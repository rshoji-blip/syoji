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'架電リスト'!$A$4:$O$26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6122.html" TargetMode="External" Id="rId1" /><Relationship Type="http://schemas.openxmlformats.org/officeDocument/2006/relationships/hyperlink" Target="https://www.gakkou.net/kou/view/index_306198.html" TargetMode="External" Id="rId2" /><Relationship Type="http://schemas.openxmlformats.org/officeDocument/2006/relationships/hyperlink" Target="https://www.gakkou.net/kou/view/index_306182.html" TargetMode="External" Id="rId3" /><Relationship Type="http://schemas.openxmlformats.org/officeDocument/2006/relationships/hyperlink" Target="https://www.gakkou.net/kou/view/index_306208.html" TargetMode="External" Id="rId4" /><Relationship Type="http://schemas.openxmlformats.org/officeDocument/2006/relationships/hyperlink" Target="https://www.gakkou.net/kou/view/index_306126.html" TargetMode="External" Id="rId5" /><Relationship Type="http://schemas.openxmlformats.org/officeDocument/2006/relationships/hyperlink" Target="https://www.gakkou.net/kou/view/index_306431.html" TargetMode="External" Id="rId6" /><Relationship Type="http://schemas.openxmlformats.org/officeDocument/2006/relationships/hyperlink" Target="https://www.gakkou.net/kou/view/index_306123.html" TargetMode="External" Id="rId7" /><Relationship Type="http://schemas.openxmlformats.org/officeDocument/2006/relationships/hyperlink" Target="https://www.gakkou.net/kou/view/index_306131.html" TargetMode="External" Id="rId8" /><Relationship Type="http://schemas.openxmlformats.org/officeDocument/2006/relationships/hyperlink" Target="https://www.gakkou.net/kou/view/index_306209.html" TargetMode="External" Id="rId9" /><Relationship Type="http://schemas.openxmlformats.org/officeDocument/2006/relationships/hyperlink" Target="https://www.gakkou.net/kou/view/index_306124.html" TargetMode="External" Id="rId10" /><Relationship Type="http://schemas.openxmlformats.org/officeDocument/2006/relationships/hyperlink" Target="https://www.gakkou.net/kou/view/index_306213.html" TargetMode="External" Id="rId11" /><Relationship Type="http://schemas.openxmlformats.org/officeDocument/2006/relationships/hyperlink" Target="https://www.gakkou.net/kou/view/index_306158.html" TargetMode="External" Id="rId12" /><Relationship Type="http://schemas.openxmlformats.org/officeDocument/2006/relationships/hyperlink" Target="https://www.gakkou.net/kou/view/index_306184.html" TargetMode="External" Id="rId13" /><Relationship Type="http://schemas.openxmlformats.org/officeDocument/2006/relationships/hyperlink" Target="https://www.gakkou.net/kou/view/index_306130.html" TargetMode="External" Id="rId14" /><Relationship Type="http://schemas.openxmlformats.org/officeDocument/2006/relationships/hyperlink" Target="https://www.gakkou.net/kou/view/index_306226.html" TargetMode="External" Id="rId15" /><Relationship Type="http://schemas.openxmlformats.org/officeDocument/2006/relationships/hyperlink" Target="https://www.gakkou.net/kou/view/index_306127.html" TargetMode="External" Id="rId16" /><Relationship Type="http://schemas.openxmlformats.org/officeDocument/2006/relationships/hyperlink" Target="https://www.gakkou.net/kou/view/index_306149.html" TargetMode="External" Id="rId17" /><Relationship Type="http://schemas.openxmlformats.org/officeDocument/2006/relationships/hyperlink" Target="https://www.gakkou.net/kou/view/index_306190.html" TargetMode="External" Id="rId18" /><Relationship Type="http://schemas.openxmlformats.org/officeDocument/2006/relationships/hyperlink" Target="https://www.gakkou.net/kou/view/index_306492.html" TargetMode="External" Id="rId19" /><Relationship Type="http://schemas.openxmlformats.org/officeDocument/2006/relationships/hyperlink" Target="https://www.gakkou.net/kou/view/index_306132.html" TargetMode="External" Id="rId20" /><Relationship Type="http://schemas.openxmlformats.org/officeDocument/2006/relationships/hyperlink" Target="https://www.gakkou.net/kou/view/index_306220.html" TargetMode="External" Id="rId21" /><Relationship Type="http://schemas.openxmlformats.org/officeDocument/2006/relationships/hyperlink" Target="https://www.gakkou.net/kou/view/index_306173.htm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架電リスト（鹿児島県／22校）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鹿児島県</t>
        </is>
      </c>
      <c r="C5" s="5" t="inlineStr">
        <is>
          <t>鹿児島市</t>
        </is>
      </c>
      <c r="D5" s="5" t="inlineStr">
        <is>
          <t>池田高等学校</t>
        </is>
      </c>
      <c r="E5" s="6" t="inlineStr">
        <is>
          <t>099-282-7888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県私学協会とも一致。中高一貫（池田学園）</t>
        </is>
      </c>
      <c r="N5" s="11" t="inlineStr">
        <is>
          <t>http://ikeda-gakuen.ed.jp/</t>
        </is>
      </c>
      <c r="O5" s="12" t="inlineStr">
        <is>
          <t>開く</t>
        </is>
      </c>
    </row>
    <row r="6">
      <c r="A6" s="4" t="n">
        <v>2</v>
      </c>
      <c r="B6" s="5" t="inlineStr">
        <is>
          <t>鹿児島県</t>
        </is>
      </c>
      <c r="C6" s="5" t="inlineStr">
        <is>
          <t>出水市</t>
        </is>
      </c>
      <c r="D6" s="5" t="inlineStr">
        <is>
          <t>出水中央高等学校</t>
        </is>
      </c>
      <c r="E6" s="6" t="inlineStr">
        <is>
          <t>0996-62-0500</t>
        </is>
      </c>
      <c r="F6" s="7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代表番号。広報室は0996-62-6677</t>
        </is>
      </c>
      <c r="N6" s="11" t="inlineStr">
        <is>
          <t>https://izumi.ac.jp/school-info/facility-info/</t>
        </is>
      </c>
      <c r="O6" s="12" t="inlineStr">
        <is>
          <t>開く</t>
        </is>
      </c>
    </row>
    <row r="7">
      <c r="A7" s="4" t="n">
        <v>3</v>
      </c>
      <c r="B7" s="5" t="inlineStr">
        <is>
          <t>鹿児島県</t>
        </is>
      </c>
      <c r="C7" s="5" t="inlineStr">
        <is>
          <t>伊佐市</t>
        </is>
      </c>
      <c r="D7" s="5" t="inlineStr">
        <is>
          <t>大口明光学園高等学校</t>
        </is>
      </c>
      <c r="E7" s="6" t="inlineStr">
        <is>
          <t>0995-22-0609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2022年4月に共学化</t>
        </is>
      </c>
      <c r="N7" s="11" t="inlineStr">
        <is>
          <t>https://www.okuchimeiko.ac.jp/inquiry/index.html</t>
        </is>
      </c>
      <c r="O7" s="12" t="inlineStr">
        <is>
          <t>開く</t>
        </is>
      </c>
    </row>
    <row r="8">
      <c r="A8" s="4" t="n">
        <v>4</v>
      </c>
      <c r="B8" s="5" t="inlineStr">
        <is>
          <t>鹿児島県</t>
        </is>
      </c>
      <c r="C8" s="5" t="inlineStr">
        <is>
          <t>日置市</t>
        </is>
      </c>
      <c r="D8" s="5" t="inlineStr">
        <is>
          <t>鹿児島育英館高等学校</t>
        </is>
      </c>
      <c r="E8" s="6" t="inlineStr">
        <is>
          <t>099-273-1407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2027年度に「日章学園育英館高等学校」へ校名変更予定</t>
        </is>
      </c>
      <c r="N8" s="11" t="inlineStr">
        <is>
          <t>https://ikueikan.ed.jp/contact/</t>
        </is>
      </c>
      <c r="O8" s="12" t="inlineStr">
        <is>
          <t>開く</t>
        </is>
      </c>
    </row>
    <row r="9">
      <c r="A9" s="4" t="n">
        <v>5</v>
      </c>
      <c r="B9" s="5" t="inlineStr">
        <is>
          <t>鹿児島県</t>
        </is>
      </c>
      <c r="C9" s="5" t="inlineStr">
        <is>
          <t>鹿児島市</t>
        </is>
      </c>
      <c r="D9" s="5" t="inlineStr">
        <is>
          <t>鹿児島高等学校</t>
        </is>
      </c>
      <c r="E9" s="6" t="inlineStr">
        <is>
          <t>099-255-3211</t>
        </is>
      </c>
      <c r="F9" s="7" t="inlineStr">
        <is>
          <t>高</t>
        </is>
      </c>
      <c r="G9" s="5" t="inlineStr">
        <is>
          <t>普通科・専門学科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n"/>
      <c r="N9" s="11" t="inlineStr">
        <is>
          <t>https://www.kagoshima-h.ed.jp/about/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鹿児島県</t>
        </is>
      </c>
      <c r="C10" s="5" t="inlineStr">
        <is>
          <t>鹿児島市</t>
        </is>
      </c>
      <c r="D10" s="5" t="inlineStr">
        <is>
          <t>鹿児島修学館高等学校</t>
        </is>
      </c>
      <c r="E10" s="6" t="inlineStr">
        <is>
          <t>099-258-2211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n"/>
      <c r="N10" s="11" t="inlineStr">
        <is>
          <t>https://www.shugakukan.ed.jp/profile/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鹿児島県</t>
        </is>
      </c>
      <c r="C11" s="5" t="inlineStr">
        <is>
          <t>鹿児島市</t>
        </is>
      </c>
      <c r="D11" s="5" t="inlineStr">
        <is>
          <t>鹿児島実業高等学校</t>
        </is>
      </c>
      <c r="E11" s="6" t="inlineStr">
        <is>
          <t>099-286-1313</t>
        </is>
      </c>
      <c r="F11" s="7" t="inlineStr">
        <is>
          <t>高</t>
        </is>
      </c>
      <c r="G11" s="5" t="inlineStr">
        <is>
          <t>普通科・専門学科・総合学科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通信制課程は099-286-1508</t>
        </is>
      </c>
      <c r="N11" s="11" t="inlineStr">
        <is>
          <t>https://www.kajitsu.ac.jp/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鹿児島県</t>
        </is>
      </c>
      <c r="C12" s="5" t="inlineStr">
        <is>
          <t>鹿児島市</t>
        </is>
      </c>
      <c r="D12" s="5" t="inlineStr">
        <is>
          <t>鹿児島純心女子高等学校</t>
        </is>
      </c>
      <c r="E12" s="6" t="inlineStr">
        <is>
          <t>099-254-4121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受付は平日9:00〜16:30</t>
        </is>
      </c>
      <c r="N12" s="11" t="inlineStr">
        <is>
          <t>https://www.k-junshin.ed.jp/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鹿児島県</t>
        </is>
      </c>
      <c r="C13" s="5" t="inlineStr">
        <is>
          <t>日置市</t>
        </is>
      </c>
      <c r="D13" s="5" t="inlineStr">
        <is>
          <t>鹿児島城西高等学校</t>
        </is>
      </c>
      <c r="E13" s="6" t="inlineStr">
        <is>
          <t>099-273-1234</t>
        </is>
      </c>
      <c r="F13" s="7" t="inlineStr">
        <is>
          <t>高</t>
        </is>
      </c>
      <c r="G13" s="5" t="inlineStr">
        <is>
          <t>普通科・専門学科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n"/>
      <c r="N13" s="11" t="inlineStr">
        <is>
          <t>https://kjh.ed.jp/introduction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鹿児島県</t>
        </is>
      </c>
      <c r="C14" s="5" t="inlineStr">
        <is>
          <t>鹿児島市</t>
        </is>
      </c>
      <c r="D14" s="5" t="inlineStr">
        <is>
          <t>鹿児島情報高等学校</t>
        </is>
      </c>
      <c r="E14" s="6" t="inlineStr">
        <is>
          <t>099-268-3101</t>
        </is>
      </c>
      <c r="F14" s="7" t="inlineStr">
        <is>
          <t>高</t>
        </is>
      </c>
      <c r="G14" s="5" t="inlineStr">
        <is>
          <t>普通科・専門学科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n"/>
      <c r="N14" s="11" t="inlineStr">
        <is>
          <t>https://ka-joho.jp/contactus/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鹿児島県</t>
        </is>
      </c>
      <c r="C15" s="5" t="inlineStr">
        <is>
          <t>霧島市</t>
        </is>
      </c>
      <c r="D15" s="5" t="inlineStr">
        <is>
          <t>鹿児島第一高等学校</t>
        </is>
      </c>
      <c r="E15" s="6" t="inlineStr">
        <is>
          <t>0995-46-4608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フリーダイヤル0120-56-4608</t>
        </is>
      </c>
      <c r="N15" s="11" t="inlineStr">
        <is>
          <t>https://h-kd.tsuzuki-edu.ac.jp/access/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鹿児島県</t>
        </is>
      </c>
      <c r="C16" s="5" t="inlineStr">
        <is>
          <t>鹿屋市</t>
        </is>
      </c>
      <c r="D16" s="5" t="inlineStr">
        <is>
          <t>鹿屋中央高等学校</t>
        </is>
      </c>
      <c r="E16" s="6" t="inlineStr">
        <is>
          <t>0994-43-3310</t>
        </is>
      </c>
      <c r="F16" s="7" t="inlineStr">
        <is>
          <t>高</t>
        </is>
      </c>
      <c r="G16" s="5" t="inlineStr">
        <is>
          <t>専門学科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鹿屋市サイトとも一致</t>
        </is>
      </c>
      <c r="N16" s="11" t="inlineStr">
        <is>
          <t>https://www.kanoya-chuo.ed.jp/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鹿児島県</t>
        </is>
      </c>
      <c r="C17" s="5" t="inlineStr">
        <is>
          <t>いちき串木野市</t>
        </is>
      </c>
      <c r="D17" s="5" t="inlineStr">
        <is>
          <t>神村学園高等部</t>
        </is>
      </c>
      <c r="E17" s="6" t="inlineStr">
        <is>
          <t>0996-32-3232</t>
        </is>
      </c>
      <c r="F17" s="7" t="inlineStr">
        <is>
          <t>高</t>
        </is>
      </c>
      <c r="G17" s="5" t="inlineStr">
        <is>
          <t>普通科・専門学科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いちき串木野市サイトとも一致</t>
        </is>
      </c>
      <c r="N17" s="11" t="inlineStr">
        <is>
          <t>https://angel.kamimura.ac.jp/access/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鹿児島県</t>
        </is>
      </c>
      <c r="C18" s="5" t="inlineStr">
        <is>
          <t>鹿児島市</t>
        </is>
      </c>
      <c r="D18" s="5" t="inlineStr">
        <is>
          <t>志學館高等部</t>
        </is>
      </c>
      <c r="E18" s="6" t="inlineStr">
        <is>
          <t>099-252-1038</t>
        </is>
      </c>
      <c r="F18" s="7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中等部と共通番号</t>
        </is>
      </c>
      <c r="N18" s="11" t="inlineStr">
        <is>
          <t>https://www.jh.shigakukan.ac.jp/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鹿児島県</t>
        </is>
      </c>
      <c r="C19" s="5" t="inlineStr">
        <is>
          <t>志布志市</t>
        </is>
      </c>
      <c r="D19" s="5" t="inlineStr">
        <is>
          <t>尚志館高等学校</t>
        </is>
      </c>
      <c r="E19" s="6" t="inlineStr">
        <is>
          <t>099-472-1318</t>
        </is>
      </c>
      <c r="F19" s="7" t="inlineStr">
        <is>
          <t>高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n"/>
      <c r="N19" s="11" t="inlineStr">
        <is>
          <t>https://www.shoshikan.ed.jp/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鹿児島県</t>
        </is>
      </c>
      <c r="C20" s="5" t="inlineStr">
        <is>
          <t>鹿児島市</t>
        </is>
      </c>
      <c r="D20" s="5" t="inlineStr">
        <is>
          <t>樟南高等学校</t>
        </is>
      </c>
      <c r="E20" s="6" t="inlineStr">
        <is>
          <t>099-281-2900</t>
        </is>
      </c>
      <c r="F20" s="7" t="inlineStr">
        <is>
          <t>高</t>
        </is>
      </c>
      <c r="G20" s="5" t="inlineStr">
        <is>
          <t>普通科・専門学科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学園本部は099-281-3611</t>
        </is>
      </c>
      <c r="N20" s="11" t="inlineStr">
        <is>
          <t>https://www.shonan-h.ac.jp/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鹿児島県</t>
        </is>
      </c>
      <c r="C21" s="5" t="inlineStr">
        <is>
          <t>天城町</t>
        </is>
      </c>
      <c r="D21" s="5" t="inlineStr">
        <is>
          <t>樟南第二高等学校</t>
        </is>
      </c>
      <c r="E21" s="6" t="inlineStr">
        <is>
          <t>0997-85-2511</t>
        </is>
      </c>
      <c r="F21" s="7" t="inlineStr">
        <is>
          <t>高</t>
        </is>
      </c>
      <c r="G21" s="5" t="inlineStr">
        <is>
          <t>普通科・専門学科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n"/>
      <c r="N21" s="11" t="inlineStr">
        <is>
          <t>https://www.shonandaini.jp/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鹿児島県</t>
        </is>
      </c>
      <c r="C22" s="5" t="inlineStr">
        <is>
          <t>南さつま市</t>
        </is>
      </c>
      <c r="D22" s="5" t="inlineStr">
        <is>
          <t>鳳凰高等学校</t>
        </is>
      </c>
      <c r="E22" s="6" t="inlineStr">
        <is>
          <t>0993-53-3633</t>
        </is>
      </c>
      <c r="F22" s="7" t="inlineStr">
        <is>
          <t>高</t>
        </is>
      </c>
      <c r="G22" s="5" t="inlineStr">
        <is>
          <t>普通科・専門学科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n"/>
      <c r="N22" s="11" t="inlineStr">
        <is>
          <t>https://hooh.ed.jp/info/introduction/outline/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鹿児島県</t>
        </is>
      </c>
      <c r="C23" s="5" t="inlineStr">
        <is>
          <t>屋久島町</t>
        </is>
      </c>
      <c r="D23" s="5" t="inlineStr">
        <is>
          <t>屋久島おおぞら高等学校</t>
        </is>
      </c>
      <c r="E23" s="6" t="inlineStr">
        <is>
          <t>0997-47-3300</t>
        </is>
      </c>
      <c r="F23" s="13" t="inlineStr">
        <is>
          <t>中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通信制・屋久島町の本校。公式未確認、私学協会等で一致。全体問合せは0120-43-8940</t>
        </is>
      </c>
      <c r="N23" s="11" t="inlineStr">
        <is>
          <t>http://kagoshima-shigaku.com/school/id19.html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鹿児島県</t>
        </is>
      </c>
      <c r="C24" s="5" t="inlineStr">
        <is>
          <t>鹿児島市</t>
        </is>
      </c>
      <c r="D24" s="5" t="inlineStr">
        <is>
          <t>ラ・サール高等学校</t>
        </is>
      </c>
      <c r="E24" s="6" t="inlineStr">
        <is>
          <t>099-268-3121</t>
        </is>
      </c>
      <c r="F24" s="7" t="inlineStr">
        <is>
          <t>高</t>
        </is>
      </c>
      <c r="G24" s="5" t="inlineStr">
        <is>
          <t>普通科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学園代表番号</t>
        </is>
      </c>
      <c r="N24" s="11" t="inlineStr">
        <is>
          <t>https://www.lasalle.ed.jp/about/access/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鹿児島県</t>
        </is>
      </c>
      <c r="C25" s="5" t="inlineStr">
        <is>
          <t>姶良市</t>
        </is>
      </c>
      <c r="D25" s="5" t="inlineStr">
        <is>
          <t>龍桜高等学校</t>
        </is>
      </c>
      <c r="E25" s="6" t="inlineStr">
        <is>
          <t>0995-63-3001</t>
        </is>
      </c>
      <c r="F25" s="7" t="inlineStr">
        <is>
          <t>高</t>
        </is>
      </c>
      <c r="G25" s="5" t="inlineStr">
        <is>
          <t>専門学科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姶良市サイトとも一致</t>
        </is>
      </c>
      <c r="N25" s="11" t="inlineStr">
        <is>
          <t>https://gh-kagoshima.ac.jp/otoi.html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鹿児島県</t>
        </is>
      </c>
      <c r="C26" s="5" t="inlineStr">
        <is>
          <t>薩摩川内市</t>
        </is>
      </c>
      <c r="D26" s="5" t="inlineStr">
        <is>
          <t>れいめい高等学校</t>
        </is>
      </c>
      <c r="E26" s="6" t="inlineStr">
        <is>
          <t>0996-23-3178</t>
        </is>
      </c>
      <c r="F26" s="7" t="inlineStr">
        <is>
          <t>高</t>
        </is>
      </c>
      <c r="G26" s="5" t="inlineStr">
        <is>
          <t>普通科・専門学科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0996-23-5111は学校法人の番号</t>
        </is>
      </c>
      <c r="N26" s="11" t="inlineStr">
        <is>
          <t>https://reimei.ed.jp/</t>
        </is>
      </c>
      <c r="O26" s="12" t="inlineStr">
        <is>
          <t>開く</t>
        </is>
      </c>
    </row>
  </sheetData>
  <autoFilter ref="A4:O26"/>
  <conditionalFormatting sqref="A5:O26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26" showDropDown="0" showInputMessage="0" showErrorMessage="0" allowBlank="1" type="list">
      <formula1>"未架電,不在・折返し待ち,担当者不在,資料送付,アポ獲得,検討中,NG,番号不明"</formula1>
    </dataValidation>
    <dataValidation sqref="H5:H26 K5:K26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鹿児島市</t>
        </is>
      </c>
      <c r="B4" s="14">
        <f>COUNTIF('架電リスト'!$C$5:$C$26,A4)</f>
        <v/>
      </c>
      <c r="C4" s="14">
        <f>COUNTIFS('架電リスト'!$C$5:$C$26,A4,'架電リスト'!$E$5:$E$26,"&lt;&gt;")</f>
        <v/>
      </c>
      <c r="D4" s="14">
        <f>B4-COUNTIFS('架電リスト'!$C$5:$C$26,A4,'架電リスト'!$J$5:$J$26,"未架電")-COUNTIFS('架電リスト'!$C$5:$C$26,A4,'架電リスト'!$J$5:$J$26,"")</f>
        <v/>
      </c>
      <c r="E4" s="14">
        <f>COUNTIFS('架電リスト'!$C$5:$C$26,$A4,'架電リスト'!$J$5:$J$26,"不在・折返し待ち")</f>
        <v/>
      </c>
      <c r="F4" s="14">
        <f>COUNTIFS('架電リスト'!$C$5:$C$26,$A4,'架電リスト'!$J$5:$J$26,"担当者不在")</f>
        <v/>
      </c>
      <c r="G4" s="14">
        <f>COUNTIFS('架電リスト'!$C$5:$C$26,$A4,'架電リスト'!$J$5:$J$26,"資料送付")</f>
        <v/>
      </c>
      <c r="H4" s="14">
        <f>COUNTIFS('架電リスト'!$C$5:$C$26,$A4,'架電リスト'!$J$5:$J$26,"アポ獲得")</f>
        <v/>
      </c>
      <c r="I4" s="14">
        <f>COUNTIFS('架電リスト'!$C$5:$C$26,$A4,'架電リスト'!$J$5:$J$26,"検討中")</f>
        <v/>
      </c>
      <c r="J4" s="14">
        <f>COUNTIFS('架電リスト'!$C$5:$C$26,$A4,'架電リスト'!$J$5:$J$26,"NG")</f>
        <v/>
      </c>
      <c r="K4" s="14">
        <f>COUNTIFS('架電リスト'!$C$5:$C$26,$A4,'架電リスト'!$J$5:$J$26,"番号不明")</f>
        <v/>
      </c>
    </row>
    <row r="5">
      <c r="A5" s="14" t="inlineStr">
        <is>
          <t>日置市</t>
        </is>
      </c>
      <c r="B5" s="14">
        <f>COUNTIF('架電リスト'!$C$5:$C$26,A5)</f>
        <v/>
      </c>
      <c r="C5" s="14">
        <f>COUNTIFS('架電リスト'!$C$5:$C$26,A5,'架電リスト'!$E$5:$E$26,"&lt;&gt;")</f>
        <v/>
      </c>
      <c r="D5" s="14">
        <f>B5-COUNTIFS('架電リスト'!$C$5:$C$26,A5,'架電リスト'!$J$5:$J$26,"未架電")-COUNTIFS('架電リスト'!$C$5:$C$26,A5,'架電リスト'!$J$5:$J$26,"")</f>
        <v/>
      </c>
      <c r="E5" s="14">
        <f>COUNTIFS('架電リスト'!$C$5:$C$26,$A5,'架電リスト'!$J$5:$J$26,"不在・折返し待ち")</f>
        <v/>
      </c>
      <c r="F5" s="14">
        <f>COUNTIFS('架電リスト'!$C$5:$C$26,$A5,'架電リスト'!$J$5:$J$26,"担当者不在")</f>
        <v/>
      </c>
      <c r="G5" s="14">
        <f>COUNTIFS('架電リスト'!$C$5:$C$26,$A5,'架電リスト'!$J$5:$J$26,"資料送付")</f>
        <v/>
      </c>
      <c r="H5" s="14">
        <f>COUNTIFS('架電リスト'!$C$5:$C$26,$A5,'架電リスト'!$J$5:$J$26,"アポ獲得")</f>
        <v/>
      </c>
      <c r="I5" s="14">
        <f>COUNTIFS('架電リスト'!$C$5:$C$26,$A5,'架電リスト'!$J$5:$J$26,"検討中")</f>
        <v/>
      </c>
      <c r="J5" s="14">
        <f>COUNTIFS('架電リスト'!$C$5:$C$26,$A5,'架電リスト'!$J$5:$J$26,"NG")</f>
        <v/>
      </c>
      <c r="K5" s="14">
        <f>COUNTIFS('架電リスト'!$C$5:$C$26,$A5,'架電リスト'!$J$5:$J$26,"番号不明")</f>
        <v/>
      </c>
    </row>
    <row r="6">
      <c r="A6" s="14" t="inlineStr">
        <is>
          <t>出水市</t>
        </is>
      </c>
      <c r="B6" s="14">
        <f>COUNTIF('架電リスト'!$C$5:$C$26,A6)</f>
        <v/>
      </c>
      <c r="C6" s="14">
        <f>COUNTIFS('架電リスト'!$C$5:$C$26,A6,'架電リスト'!$E$5:$E$26,"&lt;&gt;")</f>
        <v/>
      </c>
      <c r="D6" s="14">
        <f>B6-COUNTIFS('架電リスト'!$C$5:$C$26,A6,'架電リスト'!$J$5:$J$26,"未架電")-COUNTIFS('架電リスト'!$C$5:$C$26,A6,'架電リスト'!$J$5:$J$26,"")</f>
        <v/>
      </c>
      <c r="E6" s="14">
        <f>COUNTIFS('架電リスト'!$C$5:$C$26,$A6,'架電リスト'!$J$5:$J$26,"不在・折返し待ち")</f>
        <v/>
      </c>
      <c r="F6" s="14">
        <f>COUNTIFS('架電リスト'!$C$5:$C$26,$A6,'架電リスト'!$J$5:$J$26,"担当者不在")</f>
        <v/>
      </c>
      <c r="G6" s="14">
        <f>COUNTIFS('架電リスト'!$C$5:$C$26,$A6,'架電リスト'!$J$5:$J$26,"資料送付")</f>
        <v/>
      </c>
      <c r="H6" s="14">
        <f>COUNTIFS('架電リスト'!$C$5:$C$26,$A6,'架電リスト'!$J$5:$J$26,"アポ獲得")</f>
        <v/>
      </c>
      <c r="I6" s="14">
        <f>COUNTIFS('架電リスト'!$C$5:$C$26,$A6,'架電リスト'!$J$5:$J$26,"検討中")</f>
        <v/>
      </c>
      <c r="J6" s="14">
        <f>COUNTIFS('架電リスト'!$C$5:$C$26,$A6,'架電リスト'!$J$5:$J$26,"NG")</f>
        <v/>
      </c>
      <c r="K6" s="14">
        <f>COUNTIFS('架電リスト'!$C$5:$C$26,$A6,'架電リスト'!$J$5:$J$26,"番号不明")</f>
        <v/>
      </c>
    </row>
    <row r="7">
      <c r="A7" s="14" t="inlineStr">
        <is>
          <t>伊佐市</t>
        </is>
      </c>
      <c r="B7" s="14">
        <f>COUNTIF('架電リスト'!$C$5:$C$26,A7)</f>
        <v/>
      </c>
      <c r="C7" s="14">
        <f>COUNTIFS('架電リスト'!$C$5:$C$26,A7,'架電リスト'!$E$5:$E$26,"&lt;&gt;")</f>
        <v/>
      </c>
      <c r="D7" s="14">
        <f>B7-COUNTIFS('架電リスト'!$C$5:$C$26,A7,'架電リスト'!$J$5:$J$26,"未架電")-COUNTIFS('架電リスト'!$C$5:$C$26,A7,'架電リスト'!$J$5:$J$26,"")</f>
        <v/>
      </c>
      <c r="E7" s="14">
        <f>COUNTIFS('架電リスト'!$C$5:$C$26,$A7,'架電リスト'!$J$5:$J$26,"不在・折返し待ち")</f>
        <v/>
      </c>
      <c r="F7" s="14">
        <f>COUNTIFS('架電リスト'!$C$5:$C$26,$A7,'架電リスト'!$J$5:$J$26,"担当者不在")</f>
        <v/>
      </c>
      <c r="G7" s="14">
        <f>COUNTIFS('架電リスト'!$C$5:$C$26,$A7,'架電リスト'!$J$5:$J$26,"資料送付")</f>
        <v/>
      </c>
      <c r="H7" s="14">
        <f>COUNTIFS('架電リスト'!$C$5:$C$26,$A7,'架電リスト'!$J$5:$J$26,"アポ獲得")</f>
        <v/>
      </c>
      <c r="I7" s="14">
        <f>COUNTIFS('架電リスト'!$C$5:$C$26,$A7,'架電リスト'!$J$5:$J$26,"検討中")</f>
        <v/>
      </c>
      <c r="J7" s="14">
        <f>COUNTIFS('架電リスト'!$C$5:$C$26,$A7,'架電リスト'!$J$5:$J$26,"NG")</f>
        <v/>
      </c>
      <c r="K7" s="14">
        <f>COUNTIFS('架電リスト'!$C$5:$C$26,$A7,'架電リスト'!$J$5:$J$26,"番号不明")</f>
        <v/>
      </c>
    </row>
    <row r="8">
      <c r="A8" s="14" t="inlineStr">
        <is>
          <t>霧島市</t>
        </is>
      </c>
      <c r="B8" s="14">
        <f>COUNTIF('架電リスト'!$C$5:$C$26,A8)</f>
        <v/>
      </c>
      <c r="C8" s="14">
        <f>COUNTIFS('架電リスト'!$C$5:$C$26,A8,'架電リスト'!$E$5:$E$26,"&lt;&gt;")</f>
        <v/>
      </c>
      <c r="D8" s="14">
        <f>B8-COUNTIFS('架電リスト'!$C$5:$C$26,A8,'架電リスト'!$J$5:$J$26,"未架電")-COUNTIFS('架電リスト'!$C$5:$C$26,A8,'架電リスト'!$J$5:$J$26,"")</f>
        <v/>
      </c>
      <c r="E8" s="14">
        <f>COUNTIFS('架電リスト'!$C$5:$C$26,$A8,'架電リスト'!$J$5:$J$26,"不在・折返し待ち")</f>
        <v/>
      </c>
      <c r="F8" s="14">
        <f>COUNTIFS('架電リスト'!$C$5:$C$26,$A8,'架電リスト'!$J$5:$J$26,"担当者不在")</f>
        <v/>
      </c>
      <c r="G8" s="14">
        <f>COUNTIFS('架電リスト'!$C$5:$C$26,$A8,'架電リスト'!$J$5:$J$26,"資料送付")</f>
        <v/>
      </c>
      <c r="H8" s="14">
        <f>COUNTIFS('架電リスト'!$C$5:$C$26,$A8,'架電リスト'!$J$5:$J$26,"アポ獲得")</f>
        <v/>
      </c>
      <c r="I8" s="14">
        <f>COUNTIFS('架電リスト'!$C$5:$C$26,$A8,'架電リスト'!$J$5:$J$26,"検討中")</f>
        <v/>
      </c>
      <c r="J8" s="14">
        <f>COUNTIFS('架電リスト'!$C$5:$C$26,$A8,'架電リスト'!$J$5:$J$26,"NG")</f>
        <v/>
      </c>
      <c r="K8" s="14">
        <f>COUNTIFS('架電リスト'!$C$5:$C$26,$A8,'架電リスト'!$J$5:$J$26,"番号不明")</f>
        <v/>
      </c>
    </row>
    <row r="9">
      <c r="A9" s="14" t="inlineStr">
        <is>
          <t>鹿屋市</t>
        </is>
      </c>
      <c r="B9" s="14">
        <f>COUNTIF('架電リスト'!$C$5:$C$26,A9)</f>
        <v/>
      </c>
      <c r="C9" s="14">
        <f>COUNTIFS('架電リスト'!$C$5:$C$26,A9,'架電リスト'!$E$5:$E$26,"&lt;&gt;")</f>
        <v/>
      </c>
      <c r="D9" s="14">
        <f>B9-COUNTIFS('架電リスト'!$C$5:$C$26,A9,'架電リスト'!$J$5:$J$26,"未架電")-COUNTIFS('架電リスト'!$C$5:$C$26,A9,'架電リスト'!$J$5:$J$26,"")</f>
        <v/>
      </c>
      <c r="E9" s="14">
        <f>COUNTIFS('架電リスト'!$C$5:$C$26,$A9,'架電リスト'!$J$5:$J$26,"不在・折返し待ち")</f>
        <v/>
      </c>
      <c r="F9" s="14">
        <f>COUNTIFS('架電リスト'!$C$5:$C$26,$A9,'架電リスト'!$J$5:$J$26,"担当者不在")</f>
        <v/>
      </c>
      <c r="G9" s="14">
        <f>COUNTIFS('架電リスト'!$C$5:$C$26,$A9,'架電リスト'!$J$5:$J$26,"資料送付")</f>
        <v/>
      </c>
      <c r="H9" s="14">
        <f>COUNTIFS('架電リスト'!$C$5:$C$26,$A9,'架電リスト'!$J$5:$J$26,"アポ獲得")</f>
        <v/>
      </c>
      <c r="I9" s="14">
        <f>COUNTIFS('架電リスト'!$C$5:$C$26,$A9,'架電リスト'!$J$5:$J$26,"検討中")</f>
        <v/>
      </c>
      <c r="J9" s="14">
        <f>COUNTIFS('架電リスト'!$C$5:$C$26,$A9,'架電リスト'!$J$5:$J$26,"NG")</f>
        <v/>
      </c>
      <c r="K9" s="14">
        <f>COUNTIFS('架電リスト'!$C$5:$C$26,$A9,'架電リスト'!$J$5:$J$26,"番号不明")</f>
        <v/>
      </c>
    </row>
    <row r="10">
      <c r="A10" s="14" t="inlineStr">
        <is>
          <t>いちき串木野市</t>
        </is>
      </c>
      <c r="B10" s="14">
        <f>COUNTIF('架電リスト'!$C$5:$C$26,A10)</f>
        <v/>
      </c>
      <c r="C10" s="14">
        <f>COUNTIFS('架電リスト'!$C$5:$C$26,A10,'架電リスト'!$E$5:$E$26,"&lt;&gt;")</f>
        <v/>
      </c>
      <c r="D10" s="14">
        <f>B10-COUNTIFS('架電リスト'!$C$5:$C$26,A10,'架電リスト'!$J$5:$J$26,"未架電")-COUNTIFS('架電リスト'!$C$5:$C$26,A10,'架電リスト'!$J$5:$J$26,"")</f>
        <v/>
      </c>
      <c r="E10" s="14">
        <f>COUNTIFS('架電リスト'!$C$5:$C$26,$A10,'架電リスト'!$J$5:$J$26,"不在・折返し待ち")</f>
        <v/>
      </c>
      <c r="F10" s="14">
        <f>COUNTIFS('架電リスト'!$C$5:$C$26,$A10,'架電リスト'!$J$5:$J$26,"担当者不在")</f>
        <v/>
      </c>
      <c r="G10" s="14">
        <f>COUNTIFS('架電リスト'!$C$5:$C$26,$A10,'架電リスト'!$J$5:$J$26,"資料送付")</f>
        <v/>
      </c>
      <c r="H10" s="14">
        <f>COUNTIFS('架電リスト'!$C$5:$C$26,$A10,'架電リスト'!$J$5:$J$26,"アポ獲得")</f>
        <v/>
      </c>
      <c r="I10" s="14">
        <f>COUNTIFS('架電リスト'!$C$5:$C$26,$A10,'架電リスト'!$J$5:$J$26,"検討中")</f>
        <v/>
      </c>
      <c r="J10" s="14">
        <f>COUNTIFS('架電リスト'!$C$5:$C$26,$A10,'架電リスト'!$J$5:$J$26,"NG")</f>
        <v/>
      </c>
      <c r="K10" s="14">
        <f>COUNTIFS('架電リスト'!$C$5:$C$26,$A10,'架電リスト'!$J$5:$J$26,"番号不明")</f>
        <v/>
      </c>
    </row>
    <row r="11">
      <c r="A11" s="14" t="inlineStr">
        <is>
          <t>志布志市</t>
        </is>
      </c>
      <c r="B11" s="14">
        <f>COUNTIF('架電リスト'!$C$5:$C$26,A11)</f>
        <v/>
      </c>
      <c r="C11" s="14">
        <f>COUNTIFS('架電リスト'!$C$5:$C$26,A11,'架電リスト'!$E$5:$E$26,"&lt;&gt;")</f>
        <v/>
      </c>
      <c r="D11" s="14">
        <f>B11-COUNTIFS('架電リスト'!$C$5:$C$26,A11,'架電リスト'!$J$5:$J$26,"未架電")-COUNTIFS('架電リスト'!$C$5:$C$26,A11,'架電リスト'!$J$5:$J$26,"")</f>
        <v/>
      </c>
      <c r="E11" s="14">
        <f>COUNTIFS('架電リスト'!$C$5:$C$26,$A11,'架電リスト'!$J$5:$J$26,"不在・折返し待ち")</f>
        <v/>
      </c>
      <c r="F11" s="14">
        <f>COUNTIFS('架電リスト'!$C$5:$C$26,$A11,'架電リスト'!$J$5:$J$26,"担当者不在")</f>
        <v/>
      </c>
      <c r="G11" s="14">
        <f>COUNTIFS('架電リスト'!$C$5:$C$26,$A11,'架電リスト'!$J$5:$J$26,"資料送付")</f>
        <v/>
      </c>
      <c r="H11" s="14">
        <f>COUNTIFS('架電リスト'!$C$5:$C$26,$A11,'架電リスト'!$J$5:$J$26,"アポ獲得")</f>
        <v/>
      </c>
      <c r="I11" s="14">
        <f>COUNTIFS('架電リスト'!$C$5:$C$26,$A11,'架電リスト'!$J$5:$J$26,"検討中")</f>
        <v/>
      </c>
      <c r="J11" s="14">
        <f>COUNTIFS('架電リスト'!$C$5:$C$26,$A11,'架電リスト'!$J$5:$J$26,"NG")</f>
        <v/>
      </c>
      <c r="K11" s="14">
        <f>COUNTIFS('架電リスト'!$C$5:$C$26,$A11,'架電リスト'!$J$5:$J$26,"番号不明")</f>
        <v/>
      </c>
    </row>
    <row r="12">
      <c r="A12" s="14" t="inlineStr">
        <is>
          <t>天城町</t>
        </is>
      </c>
      <c r="B12" s="14">
        <f>COUNTIF('架電リスト'!$C$5:$C$26,A12)</f>
        <v/>
      </c>
      <c r="C12" s="14">
        <f>COUNTIFS('架電リスト'!$C$5:$C$26,A12,'架電リスト'!$E$5:$E$26,"&lt;&gt;")</f>
        <v/>
      </c>
      <c r="D12" s="14">
        <f>B12-COUNTIFS('架電リスト'!$C$5:$C$26,A12,'架電リスト'!$J$5:$J$26,"未架電")-COUNTIFS('架電リスト'!$C$5:$C$26,A12,'架電リスト'!$J$5:$J$26,"")</f>
        <v/>
      </c>
      <c r="E12" s="14">
        <f>COUNTIFS('架電リスト'!$C$5:$C$26,$A12,'架電リスト'!$J$5:$J$26,"不在・折返し待ち")</f>
        <v/>
      </c>
      <c r="F12" s="14">
        <f>COUNTIFS('架電リスト'!$C$5:$C$26,$A12,'架電リスト'!$J$5:$J$26,"担当者不在")</f>
        <v/>
      </c>
      <c r="G12" s="14">
        <f>COUNTIFS('架電リスト'!$C$5:$C$26,$A12,'架電リスト'!$J$5:$J$26,"資料送付")</f>
        <v/>
      </c>
      <c r="H12" s="14">
        <f>COUNTIFS('架電リスト'!$C$5:$C$26,$A12,'架電リスト'!$J$5:$J$26,"アポ獲得")</f>
        <v/>
      </c>
      <c r="I12" s="14">
        <f>COUNTIFS('架電リスト'!$C$5:$C$26,$A12,'架電リスト'!$J$5:$J$26,"検討中")</f>
        <v/>
      </c>
      <c r="J12" s="14">
        <f>COUNTIFS('架電リスト'!$C$5:$C$26,$A12,'架電リスト'!$J$5:$J$26,"NG")</f>
        <v/>
      </c>
      <c r="K12" s="14">
        <f>COUNTIFS('架電リスト'!$C$5:$C$26,$A12,'架電リスト'!$J$5:$J$26,"番号不明")</f>
        <v/>
      </c>
    </row>
    <row r="13">
      <c r="A13" s="14" t="inlineStr">
        <is>
          <t>南さつま市</t>
        </is>
      </c>
      <c r="B13" s="14">
        <f>COUNTIF('架電リスト'!$C$5:$C$26,A13)</f>
        <v/>
      </c>
      <c r="C13" s="14">
        <f>COUNTIFS('架電リスト'!$C$5:$C$26,A13,'架電リスト'!$E$5:$E$26,"&lt;&gt;")</f>
        <v/>
      </c>
      <c r="D13" s="14">
        <f>B13-COUNTIFS('架電リスト'!$C$5:$C$26,A13,'架電リスト'!$J$5:$J$26,"未架電")-COUNTIFS('架電リスト'!$C$5:$C$26,A13,'架電リスト'!$J$5:$J$26,"")</f>
        <v/>
      </c>
      <c r="E13" s="14">
        <f>COUNTIFS('架電リスト'!$C$5:$C$26,$A13,'架電リスト'!$J$5:$J$26,"不在・折返し待ち")</f>
        <v/>
      </c>
      <c r="F13" s="14">
        <f>COUNTIFS('架電リスト'!$C$5:$C$26,$A13,'架電リスト'!$J$5:$J$26,"担当者不在")</f>
        <v/>
      </c>
      <c r="G13" s="14">
        <f>COUNTIFS('架電リスト'!$C$5:$C$26,$A13,'架電リスト'!$J$5:$J$26,"資料送付")</f>
        <v/>
      </c>
      <c r="H13" s="14">
        <f>COUNTIFS('架電リスト'!$C$5:$C$26,$A13,'架電リスト'!$J$5:$J$26,"アポ獲得")</f>
        <v/>
      </c>
      <c r="I13" s="14">
        <f>COUNTIFS('架電リスト'!$C$5:$C$26,$A13,'架電リスト'!$J$5:$J$26,"検討中")</f>
        <v/>
      </c>
      <c r="J13" s="14">
        <f>COUNTIFS('架電リスト'!$C$5:$C$26,$A13,'架電リスト'!$J$5:$J$26,"NG")</f>
        <v/>
      </c>
      <c r="K13" s="14">
        <f>COUNTIFS('架電リスト'!$C$5:$C$26,$A13,'架電リスト'!$J$5:$J$26,"番号不明")</f>
        <v/>
      </c>
    </row>
    <row r="14">
      <c r="A14" s="14" t="inlineStr">
        <is>
          <t>屋久島町</t>
        </is>
      </c>
      <c r="B14" s="14">
        <f>COUNTIF('架電リスト'!$C$5:$C$26,A14)</f>
        <v/>
      </c>
      <c r="C14" s="14">
        <f>COUNTIFS('架電リスト'!$C$5:$C$26,A14,'架電リスト'!$E$5:$E$26,"&lt;&gt;")</f>
        <v/>
      </c>
      <c r="D14" s="14">
        <f>B14-COUNTIFS('架電リスト'!$C$5:$C$26,A14,'架電リスト'!$J$5:$J$26,"未架電")-COUNTIFS('架電リスト'!$C$5:$C$26,A14,'架電リスト'!$J$5:$J$26,"")</f>
        <v/>
      </c>
      <c r="E14" s="14">
        <f>COUNTIFS('架電リスト'!$C$5:$C$26,$A14,'架電リスト'!$J$5:$J$26,"不在・折返し待ち")</f>
        <v/>
      </c>
      <c r="F14" s="14">
        <f>COUNTIFS('架電リスト'!$C$5:$C$26,$A14,'架電リスト'!$J$5:$J$26,"担当者不在")</f>
        <v/>
      </c>
      <c r="G14" s="14">
        <f>COUNTIFS('架電リスト'!$C$5:$C$26,$A14,'架電リスト'!$J$5:$J$26,"資料送付")</f>
        <v/>
      </c>
      <c r="H14" s="14">
        <f>COUNTIFS('架電リスト'!$C$5:$C$26,$A14,'架電リスト'!$J$5:$J$26,"アポ獲得")</f>
        <v/>
      </c>
      <c r="I14" s="14">
        <f>COUNTIFS('架電リスト'!$C$5:$C$26,$A14,'架電リスト'!$J$5:$J$26,"検討中")</f>
        <v/>
      </c>
      <c r="J14" s="14">
        <f>COUNTIFS('架電リスト'!$C$5:$C$26,$A14,'架電リスト'!$J$5:$J$26,"NG")</f>
        <v/>
      </c>
      <c r="K14" s="14">
        <f>COUNTIFS('架電リスト'!$C$5:$C$26,$A14,'架電リスト'!$J$5:$J$26,"番号不明")</f>
        <v/>
      </c>
    </row>
    <row r="15">
      <c r="A15" s="14" t="inlineStr">
        <is>
          <t>姶良市</t>
        </is>
      </c>
      <c r="B15" s="14">
        <f>COUNTIF('架電リスト'!$C$5:$C$26,A15)</f>
        <v/>
      </c>
      <c r="C15" s="14">
        <f>COUNTIFS('架電リスト'!$C$5:$C$26,A15,'架電リスト'!$E$5:$E$26,"&lt;&gt;")</f>
        <v/>
      </c>
      <c r="D15" s="14">
        <f>B15-COUNTIFS('架電リスト'!$C$5:$C$26,A15,'架電リスト'!$J$5:$J$26,"未架電")-COUNTIFS('架電リスト'!$C$5:$C$26,A15,'架電リスト'!$J$5:$J$26,"")</f>
        <v/>
      </c>
      <c r="E15" s="14">
        <f>COUNTIFS('架電リスト'!$C$5:$C$26,$A15,'架電リスト'!$J$5:$J$26,"不在・折返し待ち")</f>
        <v/>
      </c>
      <c r="F15" s="14">
        <f>COUNTIFS('架電リスト'!$C$5:$C$26,$A15,'架電リスト'!$J$5:$J$26,"担当者不在")</f>
        <v/>
      </c>
      <c r="G15" s="14">
        <f>COUNTIFS('架電リスト'!$C$5:$C$26,$A15,'架電リスト'!$J$5:$J$26,"資料送付")</f>
        <v/>
      </c>
      <c r="H15" s="14">
        <f>COUNTIFS('架電リスト'!$C$5:$C$26,$A15,'架電リスト'!$J$5:$J$26,"アポ獲得")</f>
        <v/>
      </c>
      <c r="I15" s="14">
        <f>COUNTIFS('架電リスト'!$C$5:$C$26,$A15,'架電リスト'!$J$5:$J$26,"検討中")</f>
        <v/>
      </c>
      <c r="J15" s="14">
        <f>COUNTIFS('架電リスト'!$C$5:$C$26,$A15,'架電リスト'!$J$5:$J$26,"NG")</f>
        <v/>
      </c>
      <c r="K15" s="14">
        <f>COUNTIFS('架電リスト'!$C$5:$C$26,$A15,'架電リスト'!$J$5:$J$26,"番号不明")</f>
        <v/>
      </c>
    </row>
    <row r="16">
      <c r="A16" s="14" t="inlineStr">
        <is>
          <t>薩摩川内市</t>
        </is>
      </c>
      <c r="B16" s="14">
        <f>COUNTIF('架電リスト'!$C$5:$C$26,A16)</f>
        <v/>
      </c>
      <c r="C16" s="14">
        <f>COUNTIFS('架電リスト'!$C$5:$C$26,A16,'架電リスト'!$E$5:$E$26,"&lt;&gt;")</f>
        <v/>
      </c>
      <c r="D16" s="14">
        <f>B16-COUNTIFS('架電リスト'!$C$5:$C$26,A16,'架電リスト'!$J$5:$J$26,"未架電")-COUNTIFS('架電リスト'!$C$5:$C$26,A16,'架電リスト'!$J$5:$J$26,"")</f>
        <v/>
      </c>
      <c r="E16" s="14">
        <f>COUNTIFS('架電リスト'!$C$5:$C$26,$A16,'架電リスト'!$J$5:$J$26,"不在・折返し待ち")</f>
        <v/>
      </c>
      <c r="F16" s="14">
        <f>COUNTIFS('架電リスト'!$C$5:$C$26,$A16,'架電リスト'!$J$5:$J$26,"担当者不在")</f>
        <v/>
      </c>
      <c r="G16" s="14">
        <f>COUNTIFS('架電リスト'!$C$5:$C$26,$A16,'架電リスト'!$J$5:$J$26,"資料送付")</f>
        <v/>
      </c>
      <c r="H16" s="14">
        <f>COUNTIFS('架電リスト'!$C$5:$C$26,$A16,'架電リスト'!$J$5:$J$26,"アポ獲得")</f>
        <v/>
      </c>
      <c r="I16" s="14">
        <f>COUNTIFS('架電リスト'!$C$5:$C$26,$A16,'架電リスト'!$J$5:$J$26,"検討中")</f>
        <v/>
      </c>
      <c r="J16" s="14">
        <f>COUNTIFS('架電リスト'!$C$5:$C$26,$A16,'架電リスト'!$J$5:$J$26,"NG")</f>
        <v/>
      </c>
      <c r="K16" s="14">
        <f>COUNTIFS('架電リスト'!$C$5:$C$26,$A16,'架電リスト'!$J$5:$J$26,"番号不明")</f>
        <v/>
      </c>
    </row>
    <row r="17">
      <c r="A17" s="15" t="inlineStr">
        <is>
          <t>合計</t>
        </is>
      </c>
      <c r="B17" s="15">
        <f>SUM(B4:B16)</f>
        <v/>
      </c>
      <c r="C17" s="15">
        <f>SUM(C4:C16)</f>
        <v/>
      </c>
      <c r="D17" s="15">
        <f>SUM(D4:D16)</f>
        <v/>
      </c>
      <c r="E17" s="15">
        <f>SUM(E4:E16)</f>
        <v/>
      </c>
      <c r="F17" s="15">
        <f>SUM(F4:F16)</f>
        <v/>
      </c>
      <c r="G17" s="15">
        <f>SUM(G4:G16)</f>
        <v/>
      </c>
      <c r="H17" s="15">
        <f>SUM(H4:H16)</f>
        <v/>
      </c>
      <c r="I17" s="15">
        <f>SUM(I4:I16)</f>
        <v/>
      </c>
      <c r="J17" s="15">
        <f>SUM(J4:J16)</f>
        <v/>
      </c>
      <c r="K17" s="15">
        <f>SUM(K4:K16)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・出典：ご提供いただいた学校ネットの検索結果（私立高校・鹿児島県、22校）の貼り付けデータ。並び順は都道府県ごとに元データの掲載順です。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2026-10-14T02:20:03Z</dcterms:created>
  <dcterms:modified xsi:type="dcterms:W3CDTF">2026-10-14T02:20:03Z</dcterms:modified>
</cp:coreProperties>
</file>