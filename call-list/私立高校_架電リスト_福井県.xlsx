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'架電リスト'!$A$4:$O$10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2961.html" TargetMode="External" Id="rId1" /><Relationship Type="http://schemas.openxmlformats.org/officeDocument/2006/relationships/hyperlink" Target="https://www.gakkou.net/kou/view/index_302958.html" TargetMode="External" Id="rId2" /><Relationship Type="http://schemas.openxmlformats.org/officeDocument/2006/relationships/hyperlink" Target="https://www.gakkou.net/kou/view/index_302980.html" TargetMode="External" Id="rId3" /><Relationship Type="http://schemas.openxmlformats.org/officeDocument/2006/relationships/hyperlink" Target="https://www.gakkou.net/kou/view/index_302963.html" TargetMode="External" Id="rId4" /><Relationship Type="http://schemas.openxmlformats.org/officeDocument/2006/relationships/hyperlink" Target="https://www.gakkou.net/kou/view/index_302999.html" TargetMode="External" Id="rId5" /><Relationship Type="http://schemas.openxmlformats.org/officeDocument/2006/relationships/hyperlink" Target="https://www.gakkou.net/kou/view/index_302960.htm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架電リスト（福井県／6校）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福井県</t>
        </is>
      </c>
      <c r="C5" s="5" t="inlineStr">
        <is>
          <t>福井市</t>
        </is>
      </c>
      <c r="D5" s="5" t="inlineStr">
        <is>
          <t>啓新高等学校</t>
        </is>
      </c>
      <c r="E5" s="6" t="inlineStr">
        <is>
          <t>0776-23-3489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全日制の番号（公式サイト）。通信制課程は0776-63-6448</t>
        </is>
      </c>
      <c r="N5" s="11" t="inlineStr">
        <is>
          <t>https://www.keishin.ed.jp/ ; https://www.mapion.co.jp/phonebook/M11004/18201/ILSP0000041008_ipclm/</t>
        </is>
      </c>
      <c r="O5" s="12" t="inlineStr">
        <is>
          <t>開く</t>
        </is>
      </c>
    </row>
    <row r="6">
      <c r="A6" s="4" t="n">
        <v>2</v>
      </c>
      <c r="B6" s="5" t="inlineStr">
        <is>
          <t>福井県</t>
        </is>
      </c>
      <c r="C6" s="5" t="inlineStr">
        <is>
          <t>福井市</t>
        </is>
      </c>
      <c r="D6" s="5" t="inlineStr">
        <is>
          <t>仁愛女子高等学校</t>
        </is>
      </c>
      <c r="E6" s="6" t="inlineStr">
        <is>
          <t>0776-24-0493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公式サイトで確認</t>
        </is>
      </c>
      <c r="N6" s="11" t="inlineStr">
        <is>
          <t>https://www.jin-ai-h.ed.jp/ ; https://www.mapion.co.jp/phonebook/M11004/18201/ILSP0000041741_ipclm/</t>
        </is>
      </c>
      <c r="O6" s="12" t="inlineStr">
        <is>
          <t>開く</t>
        </is>
      </c>
    </row>
    <row r="7">
      <c r="A7" s="4" t="n">
        <v>3</v>
      </c>
      <c r="B7" s="5" t="inlineStr">
        <is>
          <t>福井県</t>
        </is>
      </c>
      <c r="C7" s="5" t="inlineStr">
        <is>
          <t>敦賀市</t>
        </is>
      </c>
      <c r="D7" s="5" t="inlineStr">
        <is>
          <t>敦賀気比高等学校</t>
        </is>
      </c>
      <c r="E7" s="6" t="inlineStr">
        <is>
          <t>0770-24-2150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公式サイトで確認</t>
        </is>
      </c>
      <c r="N7" s="11" t="inlineStr">
        <is>
          <t>https://tsurugakehi.ed.jp/contact</t>
        </is>
      </c>
      <c r="O7" s="12" t="inlineStr">
        <is>
          <t>開く</t>
        </is>
      </c>
    </row>
    <row r="8">
      <c r="A8" s="4" t="n">
        <v>4</v>
      </c>
      <c r="B8" s="5" t="inlineStr">
        <is>
          <t>福井県</t>
        </is>
      </c>
      <c r="C8" s="5" t="inlineStr">
        <is>
          <t>福井市</t>
        </is>
      </c>
      <c r="D8" s="5" t="inlineStr">
        <is>
          <t>福井工業大学附属福井高等学校</t>
        </is>
      </c>
      <c r="E8" s="6" t="inlineStr">
        <is>
          <t>0776-29-2630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公式サイトの問い合わせ・アクセスページで一致。0776-29-2640などの旧番号が残っているページもあり</t>
        </is>
      </c>
      <c r="N8" s="11" t="inlineStr">
        <is>
          <t>https://www.fukui-ut-fukui-h.ed.jp/high/contact/ ; https://www.fukui-ut-fukui-h.ed.jp/access/</t>
        </is>
      </c>
      <c r="O8" s="12" t="inlineStr">
        <is>
          <t>開く</t>
        </is>
      </c>
    </row>
    <row r="9">
      <c r="A9" s="4" t="n">
        <v>5</v>
      </c>
      <c r="B9" s="5" t="inlineStr">
        <is>
          <t>福井県</t>
        </is>
      </c>
      <c r="C9" s="5" t="inlineStr">
        <is>
          <t>福井市</t>
        </is>
      </c>
      <c r="D9" s="5" t="inlineStr">
        <is>
          <t>福井南高等学校</t>
        </is>
      </c>
      <c r="E9" s="6" t="inlineStr">
        <is>
          <t>0776-38-7711</t>
        </is>
      </c>
      <c r="F9" s="7" t="inlineStr">
        <is>
          <t>高</t>
        </is>
      </c>
      <c r="G9" s="5" t="inlineStr">
        <is>
          <t>総合学科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公式サイトに「代表」と記載。定時制（昼間・単位制）</t>
        </is>
      </c>
      <c r="N9" s="11" t="inlineStr">
        <is>
          <t>https://www.fukuiminami.ed.jp/%E3%82%A2%E3%82%AF%E3%82%BB%E3%82%B9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福井県</t>
        </is>
      </c>
      <c r="C10" s="5" t="inlineStr">
        <is>
          <t>福井市</t>
        </is>
      </c>
      <c r="D10" s="5" t="inlineStr">
        <is>
          <t>北陸高等学校</t>
        </is>
      </c>
      <c r="E10" s="6" t="inlineStr">
        <is>
          <t>0776-23-0321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公式サイトで確認。北陸中学校は0776-24-0321。石川県の北陸学院とは別の学校</t>
        </is>
      </c>
      <c r="N10" s="11" t="inlineStr">
        <is>
          <t>https://www.hokuriku.ed.jp/ ; https://www.mapion.co.jp/phonebook/M11004/18201/ILSP0000040913_ipclm/</t>
        </is>
      </c>
      <c r="O10" s="12" t="inlineStr">
        <is>
          <t>開く</t>
        </is>
      </c>
    </row>
  </sheetData>
  <autoFilter ref="A4:O10"/>
  <conditionalFormatting sqref="A5:O10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0" showDropDown="0" showInputMessage="0" showErrorMessage="0" allowBlank="1" type="list">
      <formula1>"未架電,不在・折返し待ち,担当者不在,資料送付,アポ獲得,検討中,NG,番号不明"</formula1>
    </dataValidation>
    <dataValidation sqref="H5:H10 K5:K10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福井市</t>
        </is>
      </c>
      <c r="B4" s="13">
        <f>COUNTIF('架電リスト'!$C$5:$C$10,A4)</f>
        <v/>
      </c>
      <c r="C4" s="13">
        <f>COUNTIFS('架電リスト'!$C$5:$C$10,A4,'架電リスト'!$E$5:$E$10,"&lt;&gt;")</f>
        <v/>
      </c>
      <c r="D4" s="13">
        <f>B4-COUNTIFS('架電リスト'!$C$5:$C$10,A4,'架電リスト'!$J$5:$J$10,"未架電")-COUNTIFS('架電リスト'!$C$5:$C$10,A4,'架電リスト'!$J$5:$J$10,"")</f>
        <v/>
      </c>
      <c r="E4" s="13">
        <f>COUNTIFS('架電リスト'!$C$5:$C$10,$A4,'架電リスト'!$J$5:$J$10,"不在・折返し待ち")</f>
        <v/>
      </c>
      <c r="F4" s="13">
        <f>COUNTIFS('架電リスト'!$C$5:$C$10,$A4,'架電リスト'!$J$5:$J$10,"担当者不在")</f>
        <v/>
      </c>
      <c r="G4" s="13">
        <f>COUNTIFS('架電リスト'!$C$5:$C$10,$A4,'架電リスト'!$J$5:$J$10,"資料送付")</f>
        <v/>
      </c>
      <c r="H4" s="13">
        <f>COUNTIFS('架電リスト'!$C$5:$C$10,$A4,'架電リスト'!$J$5:$J$10,"アポ獲得")</f>
        <v/>
      </c>
      <c r="I4" s="13">
        <f>COUNTIFS('架電リスト'!$C$5:$C$10,$A4,'架電リスト'!$J$5:$J$10,"検討中")</f>
        <v/>
      </c>
      <c r="J4" s="13">
        <f>COUNTIFS('架電リスト'!$C$5:$C$10,$A4,'架電リスト'!$J$5:$J$10,"NG")</f>
        <v/>
      </c>
      <c r="K4" s="13">
        <f>COUNTIFS('架電リスト'!$C$5:$C$10,$A4,'架電リスト'!$J$5:$J$10,"番号不明")</f>
        <v/>
      </c>
    </row>
    <row r="5">
      <c r="A5" s="13" t="inlineStr">
        <is>
          <t>敦賀市</t>
        </is>
      </c>
      <c r="B5" s="13">
        <f>COUNTIF('架電リスト'!$C$5:$C$10,A5)</f>
        <v/>
      </c>
      <c r="C5" s="13">
        <f>COUNTIFS('架電リスト'!$C$5:$C$10,A5,'架電リスト'!$E$5:$E$10,"&lt;&gt;")</f>
        <v/>
      </c>
      <c r="D5" s="13">
        <f>B5-COUNTIFS('架電リスト'!$C$5:$C$10,A5,'架電リスト'!$J$5:$J$10,"未架電")-COUNTIFS('架電リスト'!$C$5:$C$10,A5,'架電リスト'!$J$5:$J$10,"")</f>
        <v/>
      </c>
      <c r="E5" s="13">
        <f>COUNTIFS('架電リスト'!$C$5:$C$10,$A5,'架電リスト'!$J$5:$J$10,"不在・折返し待ち")</f>
        <v/>
      </c>
      <c r="F5" s="13">
        <f>COUNTIFS('架電リスト'!$C$5:$C$10,$A5,'架電リスト'!$J$5:$J$10,"担当者不在")</f>
        <v/>
      </c>
      <c r="G5" s="13">
        <f>COUNTIFS('架電リスト'!$C$5:$C$10,$A5,'架電リスト'!$J$5:$J$10,"資料送付")</f>
        <v/>
      </c>
      <c r="H5" s="13">
        <f>COUNTIFS('架電リスト'!$C$5:$C$10,$A5,'架電リスト'!$J$5:$J$10,"アポ獲得")</f>
        <v/>
      </c>
      <c r="I5" s="13">
        <f>COUNTIFS('架電リスト'!$C$5:$C$10,$A5,'架電リスト'!$J$5:$J$10,"検討中")</f>
        <v/>
      </c>
      <c r="J5" s="13">
        <f>COUNTIFS('架電リスト'!$C$5:$C$10,$A5,'架電リスト'!$J$5:$J$10,"NG")</f>
        <v/>
      </c>
      <c r="K5" s="13">
        <f>COUNTIFS('架電リスト'!$C$5:$C$10,$A5,'架電リスト'!$J$5:$J$10,"番号不明")</f>
        <v/>
      </c>
    </row>
    <row r="6">
      <c r="A6" s="14" t="inlineStr">
        <is>
          <t>合計</t>
        </is>
      </c>
      <c r="B6" s="14">
        <f>SUM(B4:B5)</f>
        <v/>
      </c>
      <c r="C6" s="14">
        <f>SUM(C4:C5)</f>
        <v/>
      </c>
      <c r="D6" s="14">
        <f>SUM(D4:D5)</f>
        <v/>
      </c>
      <c r="E6" s="14">
        <f>SUM(E4:E5)</f>
        <v/>
      </c>
      <c r="F6" s="14">
        <f>SUM(F4:F5)</f>
        <v/>
      </c>
      <c r="G6" s="14">
        <f>SUM(G4:G5)</f>
        <v/>
      </c>
      <c r="H6" s="14">
        <f>SUM(H4:H5)</f>
        <v/>
      </c>
      <c r="I6" s="14">
        <f>SUM(I4:I5)</f>
        <v/>
      </c>
      <c r="J6" s="14">
        <f>SUM(J4:J5)</f>
        <v/>
      </c>
      <c r="K6" s="14">
        <f>SUM(K4:K5)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・出典：ご提供いただいた学校ネットの検索結果（私立高校・福井県、6校）の貼り付けデータ。並び順は都道府県ごとに元データの掲載順です。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2026-10-13T08:40:07Z</dcterms:created>
  <dcterms:modified xsi:type="dcterms:W3CDTF">2026-10-13T08:40:07Z</dcterms:modified>
</cp:coreProperties>
</file>