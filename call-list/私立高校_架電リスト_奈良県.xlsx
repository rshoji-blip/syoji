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'架電リスト'!$A$4:$O$20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725.html" TargetMode="External" Id="rId1" /><Relationship Type="http://schemas.openxmlformats.org/officeDocument/2006/relationships/hyperlink" Target="https://www.gakkou.net/kou/view/index_304606.html" TargetMode="External" Id="rId2" /><Relationship Type="http://schemas.openxmlformats.org/officeDocument/2006/relationships/hyperlink" Target="https://www.gakkou.net/kou/view/index_304627.html" TargetMode="External" Id="rId3" /><Relationship Type="http://schemas.openxmlformats.org/officeDocument/2006/relationships/hyperlink" Target="https://www.gakkou.net/kou/view/index_304645.html" TargetMode="External" Id="rId4" /><Relationship Type="http://schemas.openxmlformats.org/officeDocument/2006/relationships/hyperlink" Target="https://www.gakkou.net/kou/view/index_306487.html" TargetMode="External" Id="rId5" /><Relationship Type="http://schemas.openxmlformats.org/officeDocument/2006/relationships/hyperlink" Target="https://www.gakkou.net/kou/view/index_304602.html" TargetMode="External" Id="rId6" /><Relationship Type="http://schemas.openxmlformats.org/officeDocument/2006/relationships/hyperlink" Target="https://www.gakkou.net/kou/view/index_304613.html" TargetMode="External" Id="rId7" /><Relationship Type="http://schemas.openxmlformats.org/officeDocument/2006/relationships/hyperlink" Target="https://www.gakkou.net/kou/view/index_304615.html" TargetMode="External" Id="rId8" /><Relationship Type="http://schemas.openxmlformats.org/officeDocument/2006/relationships/hyperlink" Target="https://www.gakkou.net/kou/view/index_304607.html" TargetMode="External" Id="rId9" /><Relationship Type="http://schemas.openxmlformats.org/officeDocument/2006/relationships/hyperlink" Target="https://www.gakkou.net/kou/view/index_304598.html" TargetMode="External" Id="rId10" /><Relationship Type="http://schemas.openxmlformats.org/officeDocument/2006/relationships/hyperlink" Target="https://www.gakkou.net/kou/view/index_304656.html" TargetMode="External" Id="rId11" /><Relationship Type="http://schemas.openxmlformats.org/officeDocument/2006/relationships/hyperlink" Target="https://www.gakkou.net/kou/view/index_306692.html" TargetMode="External" Id="rId12" /><Relationship Type="http://schemas.openxmlformats.org/officeDocument/2006/relationships/hyperlink" Target="https://www.gakkou.net/kou/view/index_304599.html" TargetMode="External" Id="rId13" /><Relationship Type="http://schemas.openxmlformats.org/officeDocument/2006/relationships/hyperlink" Target="https://www.gakkou.net/kou/view/index_304611.html" TargetMode="External" Id="rId14" /><Relationship Type="http://schemas.openxmlformats.org/officeDocument/2006/relationships/hyperlink" Target="https://www.gakkou.net/kou/view/index_304636.html" TargetMode="External" Id="rId15" /><Relationship Type="http://schemas.openxmlformats.org/officeDocument/2006/relationships/hyperlink" Target="https://www.gakkou.net/kou/view/index_304640.html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架電リスト（奈良県／16校）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奈良県</t>
        </is>
      </c>
      <c r="C5" s="5" t="inlineStr">
        <is>
          <t>天理市</t>
        </is>
      </c>
      <c r="D5" s="5" t="inlineStr">
        <is>
          <t>飛鳥未来高等学校</t>
        </is>
      </c>
      <c r="E5" s="6" t="inlineStr">
        <is>
          <t>0743-61-0031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通信制・天理市の奈良本校の番号。他キャンパスは別番号</t>
        </is>
      </c>
      <c r="N5" s="11" t="inlineStr">
        <is>
          <t>https://www.sanko.ac.jp/asuka/group/outline/</t>
        </is>
      </c>
      <c r="O5" s="12" t="inlineStr">
        <is>
          <t>開く</t>
        </is>
      </c>
    </row>
    <row r="6">
      <c r="A6" s="4" t="n">
        <v>2</v>
      </c>
      <c r="B6" s="5" t="inlineStr">
        <is>
          <t>奈良県</t>
        </is>
      </c>
      <c r="C6" s="5" t="inlineStr">
        <is>
          <t>奈良市</t>
        </is>
      </c>
      <c r="D6" s="5" t="inlineStr">
        <is>
          <t>育英西高等学校</t>
        </is>
      </c>
      <c r="E6" s="6" t="inlineStr">
        <is>
          <t>0742-47-0688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中高共通番号</t>
        </is>
      </c>
      <c r="N6" s="11" t="inlineStr">
        <is>
          <t>https://www.ikuei.ed.jp/ikunishi/about/access/</t>
        </is>
      </c>
      <c r="O6" s="12" t="inlineStr">
        <is>
          <t>開く</t>
        </is>
      </c>
    </row>
    <row r="7">
      <c r="A7" s="4" t="n">
        <v>3</v>
      </c>
      <c r="B7" s="5" t="inlineStr">
        <is>
          <t>奈良県</t>
        </is>
      </c>
      <c r="C7" s="5" t="inlineStr">
        <is>
          <t>橿原市</t>
        </is>
      </c>
      <c r="D7" s="5" t="inlineStr">
        <is>
          <t>橿原学院高等学校</t>
        </is>
      </c>
      <c r="E7" s="6" t="inlineStr">
        <is>
          <t>0744-27-3242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代表番号。一部サイトに0744-27-0742の記載あり（旧番号の可能性）</t>
        </is>
      </c>
      <c r="N7" s="11" t="inlineStr">
        <is>
          <t>https://www.kashigaku.ed.jp/introduction-access.html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奈良県</t>
        </is>
      </c>
      <c r="C8" s="5" t="inlineStr">
        <is>
          <t>五條市</t>
        </is>
      </c>
      <c r="D8" s="5" t="inlineStr">
        <is>
          <t>智辯学園高等学校</t>
        </is>
      </c>
      <c r="E8" s="6" t="inlineStr">
        <is>
          <t>0747-22-3191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募集要項に代表として記載</t>
        </is>
      </c>
      <c r="N8" s="11" t="inlineStr">
        <is>
          <t>https://www.chiben.ac.jp/gojo/wp-content/uploads/sites/5/2025/07/13b1883b7cc9a504f8251f3cfd903829.pdf</t>
        </is>
      </c>
      <c r="O8" s="12" t="inlineStr">
        <is>
          <t>開く</t>
        </is>
      </c>
    </row>
    <row r="9">
      <c r="A9" s="4" t="n">
        <v>5</v>
      </c>
      <c r="B9" s="5" t="inlineStr">
        <is>
          <t>奈良県</t>
        </is>
      </c>
      <c r="C9" s="5" t="inlineStr">
        <is>
          <t>香芝市</t>
        </is>
      </c>
      <c r="D9" s="5" t="inlineStr">
        <is>
          <t>智辯学園奈良カレッジ高等部</t>
        </is>
      </c>
      <c r="E9" s="6" t="inlineStr">
        <is>
          <t>0745-79-1111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香芝市HP（2021年）は0745-76-2001を掲載</t>
        </is>
      </c>
      <c r="N9" s="11" t="inlineStr">
        <is>
          <t>https://www.chiben.ac.jp/naracollege/futures/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奈良県</t>
        </is>
      </c>
      <c r="C10" s="5" t="inlineStr">
        <is>
          <t>奈良市</t>
        </is>
      </c>
      <c r="D10" s="5" t="inlineStr">
        <is>
          <t>帝塚山高等学校</t>
        </is>
      </c>
      <c r="E10" s="6" t="inlineStr">
        <is>
          <t>0742-41-4685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中高事務室の番号。学園代表は0742-43-4433</t>
        </is>
      </c>
      <c r="N10" s="11" t="inlineStr">
        <is>
          <t>https://www.tezukayama-h.ed.jp/access/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奈良県</t>
        </is>
      </c>
      <c r="C11" s="5" t="inlineStr">
        <is>
          <t>天理市</t>
        </is>
      </c>
      <c r="D11" s="5" t="inlineStr">
        <is>
          <t>天理教校学園高等学校</t>
        </is>
      </c>
      <c r="E11" s="13" t="n"/>
      <c r="F11" s="14" t="inlineStr">
        <is>
          <t>要調査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【閉校】2023年3月31日に閉校。閉校前の代表は0743-63-1511。架電対象外</t>
        </is>
      </c>
      <c r="N11" s="11" t="inlineStr">
        <is>
          <t>https://rirc.or.jp/database/?rircdb=16033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奈良県</t>
        </is>
      </c>
      <c r="C12" s="5" t="inlineStr">
        <is>
          <t>天理市</t>
        </is>
      </c>
      <c r="D12" s="5" t="inlineStr">
        <is>
          <t>天理高等学校</t>
        </is>
      </c>
      <c r="E12" s="6" t="inlineStr">
        <is>
          <t>0743-63-7691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全日制（第一部）の番号。定時制（第二部）は0743-63-7682</t>
        </is>
      </c>
      <c r="N12" s="11" t="inlineStr">
        <is>
          <t>https://www.tenri-h.ed.jp/1bu/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奈良県</t>
        </is>
      </c>
      <c r="C13" s="5" t="inlineStr">
        <is>
          <t>奈良市</t>
        </is>
      </c>
      <c r="D13" s="5" t="inlineStr">
        <is>
          <t>東大寺学園高等学校</t>
        </is>
      </c>
      <c r="E13" s="6" t="inlineStr">
        <is>
          <t>0742-47-5511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中高共通番号</t>
        </is>
      </c>
      <c r="N13" s="11" t="inlineStr">
        <is>
          <t>https://www.tdj.ac.jp/access.html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奈良県</t>
        </is>
      </c>
      <c r="C14" s="5" t="inlineStr">
        <is>
          <t>奈良市</t>
        </is>
      </c>
      <c r="D14" s="5" t="inlineStr">
        <is>
          <t>奈良育英高等学校</t>
        </is>
      </c>
      <c r="E14" s="6" t="inlineStr">
        <is>
          <t>0742-26-2845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中高共通番号</t>
        </is>
      </c>
      <c r="N14" s="11" t="inlineStr">
        <is>
          <t>https://www.ikuei.ed.jp/ikuei-jh/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奈良県</t>
        </is>
      </c>
      <c r="C15" s="5" t="inlineStr">
        <is>
          <t>大和郡山市</t>
        </is>
      </c>
      <c r="D15" s="5" t="inlineStr">
        <is>
          <t>奈良学園高等学校</t>
        </is>
      </c>
      <c r="E15" s="6" t="inlineStr">
        <is>
          <t>0743-54-0351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中高共通番号</t>
        </is>
      </c>
      <c r="N15" s="11" t="inlineStr">
        <is>
          <t>https://www.naragakuen.ed.jp/info/edu_corp.html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奈良県</t>
        </is>
      </c>
      <c r="C16" s="5" t="inlineStr">
        <is>
          <t>奈良市</t>
        </is>
      </c>
      <c r="D16" s="5" t="inlineStr">
        <is>
          <t>奈良学園登美ヶ丘高等学校</t>
        </is>
      </c>
      <c r="E16" s="6" t="inlineStr">
        <is>
          <t>0742-93-5111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代表番号。地図サイトに0742-93-5500の記載あり</t>
        </is>
      </c>
      <c r="N16" s="11" t="inlineStr">
        <is>
          <t>https://www.naragakuen.jp/inquary/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奈良県</t>
        </is>
      </c>
      <c r="C17" s="5" t="inlineStr">
        <is>
          <t>奈良市</t>
        </is>
      </c>
      <c r="D17" s="5" t="inlineStr">
        <is>
          <t>奈良女子高等学校</t>
        </is>
      </c>
      <c r="E17" s="6" t="inlineStr">
        <is>
          <t>0742-33-3601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白藤学園。通信制課程も同じ番号</t>
        </is>
      </c>
      <c r="N17" s="11" t="inlineStr">
        <is>
          <t>https://shirafuji.ac.jp/shirafuji_high/?page_id=43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奈良県</t>
        </is>
      </c>
      <c r="C18" s="5" t="inlineStr">
        <is>
          <t>奈良市</t>
        </is>
      </c>
      <c r="D18" s="5" t="inlineStr">
        <is>
          <t>奈良大学附属高等学校</t>
        </is>
      </c>
      <c r="E18" s="6" t="inlineStr">
        <is>
          <t>0742-41-8840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n"/>
      <c r="N18" s="11" t="inlineStr">
        <is>
          <t>https://www.nara-u-h.ed.jp/access/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奈良県</t>
        </is>
      </c>
      <c r="C19" s="5" t="inlineStr">
        <is>
          <t>大和高田市</t>
        </is>
      </c>
      <c r="D19" s="5" t="inlineStr">
        <is>
          <t>奈良文化高等学校</t>
        </is>
      </c>
      <c r="E19" s="6" t="inlineStr">
        <is>
          <t>0745-22-8315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法人ページには0745-22-8268も掲載</t>
        </is>
      </c>
      <c r="N19" s="11" t="inlineStr">
        <is>
          <t>https://www.narabunka.ed.jp/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奈良県</t>
        </is>
      </c>
      <c r="C20" s="5" t="inlineStr">
        <is>
          <t>河合町</t>
        </is>
      </c>
      <c r="D20" s="5" t="inlineStr">
        <is>
          <t>西大和学園高等学校</t>
        </is>
      </c>
      <c r="E20" s="6" t="inlineStr">
        <is>
          <t>0745-73-6565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中高共通番号</t>
        </is>
      </c>
      <c r="N20" s="11" t="inlineStr">
        <is>
          <t>https://www.nishiyamato.ed.jp/contact/</t>
        </is>
      </c>
      <c r="O20" s="12" t="inlineStr">
        <is>
          <t>開く</t>
        </is>
      </c>
    </row>
  </sheetData>
  <autoFilter ref="A4:O20"/>
  <conditionalFormatting sqref="A5:O20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0" showDropDown="0" showInputMessage="0" showErrorMessage="0" allowBlank="1" type="list">
      <formula1>"未架電,不在・折返し待ち,担当者不在,資料送付,アポ獲得,検討中,NG,番号不明"</formula1>
    </dataValidation>
    <dataValidation sqref="H5:H20 K5:K20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5" t="inlineStr">
        <is>
          <t>奈良市</t>
        </is>
      </c>
      <c r="B4" s="15">
        <f>COUNTIF('架電リスト'!$C$5:$C$20,A4)</f>
        <v/>
      </c>
      <c r="C4" s="15">
        <f>COUNTIFS('架電リスト'!$C$5:$C$20,A4,'架電リスト'!$E$5:$E$20,"&lt;&gt;")</f>
        <v/>
      </c>
      <c r="D4" s="15">
        <f>B4-COUNTIFS('架電リスト'!$C$5:$C$20,A4,'架電リスト'!$J$5:$J$20,"未架電")-COUNTIFS('架電リスト'!$C$5:$C$20,A4,'架電リスト'!$J$5:$J$20,"")</f>
        <v/>
      </c>
      <c r="E4" s="15">
        <f>COUNTIFS('架電リスト'!$C$5:$C$20,$A4,'架電リスト'!$J$5:$J$20,"不在・折返し待ち")</f>
        <v/>
      </c>
      <c r="F4" s="15">
        <f>COUNTIFS('架電リスト'!$C$5:$C$20,$A4,'架電リスト'!$J$5:$J$20,"担当者不在")</f>
        <v/>
      </c>
      <c r="G4" s="15">
        <f>COUNTIFS('架電リスト'!$C$5:$C$20,$A4,'架電リスト'!$J$5:$J$20,"資料送付")</f>
        <v/>
      </c>
      <c r="H4" s="15">
        <f>COUNTIFS('架電リスト'!$C$5:$C$20,$A4,'架電リスト'!$J$5:$J$20,"アポ獲得")</f>
        <v/>
      </c>
      <c r="I4" s="15">
        <f>COUNTIFS('架電リスト'!$C$5:$C$20,$A4,'架電リスト'!$J$5:$J$20,"検討中")</f>
        <v/>
      </c>
      <c r="J4" s="15">
        <f>COUNTIFS('架電リスト'!$C$5:$C$20,$A4,'架電リスト'!$J$5:$J$20,"NG")</f>
        <v/>
      </c>
      <c r="K4" s="15">
        <f>COUNTIFS('架電リスト'!$C$5:$C$20,$A4,'架電リスト'!$J$5:$J$20,"番号不明")</f>
        <v/>
      </c>
    </row>
    <row r="5">
      <c r="A5" s="15" t="inlineStr">
        <is>
          <t>天理市</t>
        </is>
      </c>
      <c r="B5" s="15">
        <f>COUNTIF('架電リスト'!$C$5:$C$20,A5)</f>
        <v/>
      </c>
      <c r="C5" s="15">
        <f>COUNTIFS('架電リスト'!$C$5:$C$20,A5,'架電リスト'!$E$5:$E$20,"&lt;&gt;")</f>
        <v/>
      </c>
      <c r="D5" s="15">
        <f>B5-COUNTIFS('架電リスト'!$C$5:$C$20,A5,'架電リスト'!$J$5:$J$20,"未架電")-COUNTIFS('架電リスト'!$C$5:$C$20,A5,'架電リスト'!$J$5:$J$20,"")</f>
        <v/>
      </c>
      <c r="E5" s="15">
        <f>COUNTIFS('架電リスト'!$C$5:$C$20,$A5,'架電リスト'!$J$5:$J$20,"不在・折返し待ち")</f>
        <v/>
      </c>
      <c r="F5" s="15">
        <f>COUNTIFS('架電リスト'!$C$5:$C$20,$A5,'架電リスト'!$J$5:$J$20,"担当者不在")</f>
        <v/>
      </c>
      <c r="G5" s="15">
        <f>COUNTIFS('架電リスト'!$C$5:$C$20,$A5,'架電リスト'!$J$5:$J$20,"資料送付")</f>
        <v/>
      </c>
      <c r="H5" s="15">
        <f>COUNTIFS('架電リスト'!$C$5:$C$20,$A5,'架電リスト'!$J$5:$J$20,"アポ獲得")</f>
        <v/>
      </c>
      <c r="I5" s="15">
        <f>COUNTIFS('架電リスト'!$C$5:$C$20,$A5,'架電リスト'!$J$5:$J$20,"検討中")</f>
        <v/>
      </c>
      <c r="J5" s="15">
        <f>COUNTIFS('架電リスト'!$C$5:$C$20,$A5,'架電リスト'!$J$5:$J$20,"NG")</f>
        <v/>
      </c>
      <c r="K5" s="15">
        <f>COUNTIFS('架電リスト'!$C$5:$C$20,$A5,'架電リスト'!$J$5:$J$20,"番号不明")</f>
        <v/>
      </c>
    </row>
    <row r="6">
      <c r="A6" s="15" t="inlineStr">
        <is>
          <t>橿原市</t>
        </is>
      </c>
      <c r="B6" s="15">
        <f>COUNTIF('架電リスト'!$C$5:$C$20,A6)</f>
        <v/>
      </c>
      <c r="C6" s="15">
        <f>COUNTIFS('架電リスト'!$C$5:$C$20,A6,'架電リスト'!$E$5:$E$20,"&lt;&gt;")</f>
        <v/>
      </c>
      <c r="D6" s="15">
        <f>B6-COUNTIFS('架電リスト'!$C$5:$C$20,A6,'架電リスト'!$J$5:$J$20,"未架電")-COUNTIFS('架電リスト'!$C$5:$C$20,A6,'架電リスト'!$J$5:$J$20,"")</f>
        <v/>
      </c>
      <c r="E6" s="15">
        <f>COUNTIFS('架電リスト'!$C$5:$C$20,$A6,'架電リスト'!$J$5:$J$20,"不在・折返し待ち")</f>
        <v/>
      </c>
      <c r="F6" s="15">
        <f>COUNTIFS('架電リスト'!$C$5:$C$20,$A6,'架電リスト'!$J$5:$J$20,"担当者不在")</f>
        <v/>
      </c>
      <c r="G6" s="15">
        <f>COUNTIFS('架電リスト'!$C$5:$C$20,$A6,'架電リスト'!$J$5:$J$20,"資料送付")</f>
        <v/>
      </c>
      <c r="H6" s="15">
        <f>COUNTIFS('架電リスト'!$C$5:$C$20,$A6,'架電リスト'!$J$5:$J$20,"アポ獲得")</f>
        <v/>
      </c>
      <c r="I6" s="15">
        <f>COUNTIFS('架電リスト'!$C$5:$C$20,$A6,'架電リスト'!$J$5:$J$20,"検討中")</f>
        <v/>
      </c>
      <c r="J6" s="15">
        <f>COUNTIFS('架電リスト'!$C$5:$C$20,$A6,'架電リスト'!$J$5:$J$20,"NG")</f>
        <v/>
      </c>
      <c r="K6" s="15">
        <f>COUNTIFS('架電リスト'!$C$5:$C$20,$A6,'架電リスト'!$J$5:$J$20,"番号不明")</f>
        <v/>
      </c>
    </row>
    <row r="7">
      <c r="A7" s="15" t="inlineStr">
        <is>
          <t>五條市</t>
        </is>
      </c>
      <c r="B7" s="15">
        <f>COUNTIF('架電リスト'!$C$5:$C$20,A7)</f>
        <v/>
      </c>
      <c r="C7" s="15">
        <f>COUNTIFS('架電リスト'!$C$5:$C$20,A7,'架電リスト'!$E$5:$E$20,"&lt;&gt;")</f>
        <v/>
      </c>
      <c r="D7" s="15">
        <f>B7-COUNTIFS('架電リスト'!$C$5:$C$20,A7,'架電リスト'!$J$5:$J$20,"未架電")-COUNTIFS('架電リスト'!$C$5:$C$20,A7,'架電リスト'!$J$5:$J$20,"")</f>
        <v/>
      </c>
      <c r="E7" s="15">
        <f>COUNTIFS('架電リスト'!$C$5:$C$20,$A7,'架電リスト'!$J$5:$J$20,"不在・折返し待ち")</f>
        <v/>
      </c>
      <c r="F7" s="15">
        <f>COUNTIFS('架電リスト'!$C$5:$C$20,$A7,'架電リスト'!$J$5:$J$20,"担当者不在")</f>
        <v/>
      </c>
      <c r="G7" s="15">
        <f>COUNTIFS('架電リスト'!$C$5:$C$20,$A7,'架電リスト'!$J$5:$J$20,"資料送付")</f>
        <v/>
      </c>
      <c r="H7" s="15">
        <f>COUNTIFS('架電リスト'!$C$5:$C$20,$A7,'架電リスト'!$J$5:$J$20,"アポ獲得")</f>
        <v/>
      </c>
      <c r="I7" s="15">
        <f>COUNTIFS('架電リスト'!$C$5:$C$20,$A7,'架電リスト'!$J$5:$J$20,"検討中")</f>
        <v/>
      </c>
      <c r="J7" s="15">
        <f>COUNTIFS('架電リスト'!$C$5:$C$20,$A7,'架電リスト'!$J$5:$J$20,"NG")</f>
        <v/>
      </c>
      <c r="K7" s="15">
        <f>COUNTIFS('架電リスト'!$C$5:$C$20,$A7,'架電リスト'!$J$5:$J$20,"番号不明")</f>
        <v/>
      </c>
    </row>
    <row r="8">
      <c r="A8" s="15" t="inlineStr">
        <is>
          <t>香芝市</t>
        </is>
      </c>
      <c r="B8" s="15">
        <f>COUNTIF('架電リスト'!$C$5:$C$20,A8)</f>
        <v/>
      </c>
      <c r="C8" s="15">
        <f>COUNTIFS('架電リスト'!$C$5:$C$20,A8,'架電リスト'!$E$5:$E$20,"&lt;&gt;")</f>
        <v/>
      </c>
      <c r="D8" s="15">
        <f>B8-COUNTIFS('架電リスト'!$C$5:$C$20,A8,'架電リスト'!$J$5:$J$20,"未架電")-COUNTIFS('架電リスト'!$C$5:$C$20,A8,'架電リスト'!$J$5:$J$20,"")</f>
        <v/>
      </c>
      <c r="E8" s="15">
        <f>COUNTIFS('架電リスト'!$C$5:$C$20,$A8,'架電リスト'!$J$5:$J$20,"不在・折返し待ち")</f>
        <v/>
      </c>
      <c r="F8" s="15">
        <f>COUNTIFS('架電リスト'!$C$5:$C$20,$A8,'架電リスト'!$J$5:$J$20,"担当者不在")</f>
        <v/>
      </c>
      <c r="G8" s="15">
        <f>COUNTIFS('架電リスト'!$C$5:$C$20,$A8,'架電リスト'!$J$5:$J$20,"資料送付")</f>
        <v/>
      </c>
      <c r="H8" s="15">
        <f>COUNTIFS('架電リスト'!$C$5:$C$20,$A8,'架電リスト'!$J$5:$J$20,"アポ獲得")</f>
        <v/>
      </c>
      <c r="I8" s="15">
        <f>COUNTIFS('架電リスト'!$C$5:$C$20,$A8,'架電リスト'!$J$5:$J$20,"検討中")</f>
        <v/>
      </c>
      <c r="J8" s="15">
        <f>COUNTIFS('架電リスト'!$C$5:$C$20,$A8,'架電リスト'!$J$5:$J$20,"NG")</f>
        <v/>
      </c>
      <c r="K8" s="15">
        <f>COUNTIFS('架電リスト'!$C$5:$C$20,$A8,'架電リスト'!$J$5:$J$20,"番号不明")</f>
        <v/>
      </c>
    </row>
    <row r="9">
      <c r="A9" s="15" t="inlineStr">
        <is>
          <t>大和郡山市</t>
        </is>
      </c>
      <c r="B9" s="15">
        <f>COUNTIF('架電リスト'!$C$5:$C$20,A9)</f>
        <v/>
      </c>
      <c r="C9" s="15">
        <f>COUNTIFS('架電リスト'!$C$5:$C$20,A9,'架電リスト'!$E$5:$E$20,"&lt;&gt;")</f>
        <v/>
      </c>
      <c r="D9" s="15">
        <f>B9-COUNTIFS('架電リスト'!$C$5:$C$20,A9,'架電リスト'!$J$5:$J$20,"未架電")-COUNTIFS('架電リスト'!$C$5:$C$20,A9,'架電リスト'!$J$5:$J$20,"")</f>
        <v/>
      </c>
      <c r="E9" s="15">
        <f>COUNTIFS('架電リスト'!$C$5:$C$20,$A9,'架電リスト'!$J$5:$J$20,"不在・折返し待ち")</f>
        <v/>
      </c>
      <c r="F9" s="15">
        <f>COUNTIFS('架電リスト'!$C$5:$C$20,$A9,'架電リスト'!$J$5:$J$20,"担当者不在")</f>
        <v/>
      </c>
      <c r="G9" s="15">
        <f>COUNTIFS('架電リスト'!$C$5:$C$20,$A9,'架電リスト'!$J$5:$J$20,"資料送付")</f>
        <v/>
      </c>
      <c r="H9" s="15">
        <f>COUNTIFS('架電リスト'!$C$5:$C$20,$A9,'架電リスト'!$J$5:$J$20,"アポ獲得")</f>
        <v/>
      </c>
      <c r="I9" s="15">
        <f>COUNTIFS('架電リスト'!$C$5:$C$20,$A9,'架電リスト'!$J$5:$J$20,"検討中")</f>
        <v/>
      </c>
      <c r="J9" s="15">
        <f>COUNTIFS('架電リスト'!$C$5:$C$20,$A9,'架電リスト'!$J$5:$J$20,"NG")</f>
        <v/>
      </c>
      <c r="K9" s="15">
        <f>COUNTIFS('架電リスト'!$C$5:$C$20,$A9,'架電リスト'!$J$5:$J$20,"番号不明")</f>
        <v/>
      </c>
    </row>
    <row r="10">
      <c r="A10" s="15" t="inlineStr">
        <is>
          <t>大和高田市</t>
        </is>
      </c>
      <c r="B10" s="15">
        <f>COUNTIF('架電リスト'!$C$5:$C$20,A10)</f>
        <v/>
      </c>
      <c r="C10" s="15">
        <f>COUNTIFS('架電リスト'!$C$5:$C$20,A10,'架電リスト'!$E$5:$E$20,"&lt;&gt;")</f>
        <v/>
      </c>
      <c r="D10" s="15">
        <f>B10-COUNTIFS('架電リスト'!$C$5:$C$20,A10,'架電リスト'!$J$5:$J$20,"未架電")-COUNTIFS('架電リスト'!$C$5:$C$20,A10,'架電リスト'!$J$5:$J$20,"")</f>
        <v/>
      </c>
      <c r="E10" s="15">
        <f>COUNTIFS('架電リスト'!$C$5:$C$20,$A10,'架電リスト'!$J$5:$J$20,"不在・折返し待ち")</f>
        <v/>
      </c>
      <c r="F10" s="15">
        <f>COUNTIFS('架電リスト'!$C$5:$C$20,$A10,'架電リスト'!$J$5:$J$20,"担当者不在")</f>
        <v/>
      </c>
      <c r="G10" s="15">
        <f>COUNTIFS('架電リスト'!$C$5:$C$20,$A10,'架電リスト'!$J$5:$J$20,"資料送付")</f>
        <v/>
      </c>
      <c r="H10" s="15">
        <f>COUNTIFS('架電リスト'!$C$5:$C$20,$A10,'架電リスト'!$J$5:$J$20,"アポ獲得")</f>
        <v/>
      </c>
      <c r="I10" s="15">
        <f>COUNTIFS('架電リスト'!$C$5:$C$20,$A10,'架電リスト'!$J$5:$J$20,"検討中")</f>
        <v/>
      </c>
      <c r="J10" s="15">
        <f>COUNTIFS('架電リスト'!$C$5:$C$20,$A10,'架電リスト'!$J$5:$J$20,"NG")</f>
        <v/>
      </c>
      <c r="K10" s="15">
        <f>COUNTIFS('架電リスト'!$C$5:$C$20,$A10,'架電リスト'!$J$5:$J$20,"番号不明")</f>
        <v/>
      </c>
    </row>
    <row r="11">
      <c r="A11" s="15" t="inlineStr">
        <is>
          <t>河合町</t>
        </is>
      </c>
      <c r="B11" s="15">
        <f>COUNTIF('架電リスト'!$C$5:$C$20,A11)</f>
        <v/>
      </c>
      <c r="C11" s="15">
        <f>COUNTIFS('架電リスト'!$C$5:$C$20,A11,'架電リスト'!$E$5:$E$20,"&lt;&gt;")</f>
        <v/>
      </c>
      <c r="D11" s="15">
        <f>B11-COUNTIFS('架電リスト'!$C$5:$C$20,A11,'架電リスト'!$J$5:$J$20,"未架電")-COUNTIFS('架電リスト'!$C$5:$C$20,A11,'架電リスト'!$J$5:$J$20,"")</f>
        <v/>
      </c>
      <c r="E11" s="15">
        <f>COUNTIFS('架電リスト'!$C$5:$C$20,$A11,'架電リスト'!$J$5:$J$20,"不在・折返し待ち")</f>
        <v/>
      </c>
      <c r="F11" s="15">
        <f>COUNTIFS('架電リスト'!$C$5:$C$20,$A11,'架電リスト'!$J$5:$J$20,"担当者不在")</f>
        <v/>
      </c>
      <c r="G11" s="15">
        <f>COUNTIFS('架電リスト'!$C$5:$C$20,$A11,'架電リスト'!$J$5:$J$20,"資料送付")</f>
        <v/>
      </c>
      <c r="H11" s="15">
        <f>COUNTIFS('架電リスト'!$C$5:$C$20,$A11,'架電リスト'!$J$5:$J$20,"アポ獲得")</f>
        <v/>
      </c>
      <c r="I11" s="15">
        <f>COUNTIFS('架電リスト'!$C$5:$C$20,$A11,'架電リスト'!$J$5:$J$20,"検討中")</f>
        <v/>
      </c>
      <c r="J11" s="15">
        <f>COUNTIFS('架電リスト'!$C$5:$C$20,$A11,'架電リスト'!$J$5:$J$20,"NG")</f>
        <v/>
      </c>
      <c r="K11" s="15">
        <f>COUNTIFS('架電リスト'!$C$5:$C$20,$A11,'架電リスト'!$J$5:$J$20,"番号不明")</f>
        <v/>
      </c>
    </row>
    <row r="12">
      <c r="A12" s="16" t="inlineStr">
        <is>
          <t>合計</t>
        </is>
      </c>
      <c r="B12" s="16">
        <f>SUM(B4:B11)</f>
        <v/>
      </c>
      <c r="C12" s="16">
        <f>SUM(C4:C11)</f>
        <v/>
      </c>
      <c r="D12" s="16">
        <f>SUM(D4:D11)</f>
        <v/>
      </c>
      <c r="E12" s="16">
        <f>SUM(E4:E11)</f>
        <v/>
      </c>
      <c r="F12" s="16">
        <f>SUM(F4:F11)</f>
        <v/>
      </c>
      <c r="G12" s="16">
        <f>SUM(G4:G11)</f>
        <v/>
      </c>
      <c r="H12" s="16">
        <f>SUM(H4:H11)</f>
        <v/>
      </c>
      <c r="I12" s="16">
        <f>SUM(I4:I11)</f>
        <v/>
      </c>
      <c r="J12" s="16">
        <f>SUM(J4:J11)</f>
        <v/>
      </c>
      <c r="K12" s="16">
        <f>SUM(K4:K11)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■ 使い方</t>
        </is>
      </c>
    </row>
    <row r="2">
      <c r="A2" s="18" t="inlineStr">
        <is>
          <t>・「架電リスト」の黄色の列（電話番号・架電日・担当者・架電結果・次回連絡日・メモ）に入力してください。</t>
        </is>
      </c>
    </row>
    <row r="3">
      <c r="A3" s="18" t="inlineStr">
        <is>
          <t>・架電結果はプルダウンから選択します（アポ獲得＝緑、NG＝グレーで行が自動着色）。</t>
        </is>
      </c>
    </row>
    <row r="4">
      <c r="A4" s="18" t="inlineStr">
        <is>
          <t>・「学校情報ページ」の「開く」をクリックすると、学校ネットの各校ページが開きます。</t>
        </is>
      </c>
    </row>
    <row r="5">
      <c r="A5" s="18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8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8" t="inlineStr">
        <is>
          <t>・都道府県や市区町村で絞り込む場合は、見出し行の▼（フィルター）を使用してください。</t>
        </is>
      </c>
    </row>
    <row r="8">
      <c r="A8" s="18" t="inlineStr">
        <is>
          <t>・集計シートは入力内容に連動して自動で集計されます。</t>
        </is>
      </c>
    </row>
    <row r="9">
      <c r="A9" s="18" t="inlineStr"/>
    </row>
    <row r="10">
      <c r="A10" s="17" t="inlineStr">
        <is>
          <t>■ 元データについての注意</t>
        </is>
      </c>
    </row>
    <row r="11">
      <c r="A11" s="18" t="inlineStr">
        <is>
          <t>・出典：ご提供いただいた学校ネットの検索結果（私立高校・奈良県、16校）の貼り付けデータ。並び順は都道府県ごとに元データの掲載順です。</t>
        </is>
      </c>
    </row>
    <row r="12">
      <c r="A12" s="18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8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8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2026-10-14T01:27:12Z</dcterms:created>
  <dcterms:modified xsi:type="dcterms:W3CDTF">2026-10-14T01:27:12Z</dcterms:modified>
</cp:coreProperties>
</file>