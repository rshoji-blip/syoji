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'架電リスト'!$A$4:$O$12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6790.html" TargetMode="External" Id="rId1" /><Relationship Type="http://schemas.openxmlformats.org/officeDocument/2006/relationships/hyperlink" Target="https://www.gakkou.net/kou/view/index_306767.html" TargetMode="External" Id="rId2" /><Relationship Type="http://schemas.openxmlformats.org/officeDocument/2006/relationships/hyperlink" Target="https://www.gakkou.net/kou/view/index_306475.html" TargetMode="External" Id="rId3" /><Relationship Type="http://schemas.openxmlformats.org/officeDocument/2006/relationships/hyperlink" Target="https://www.gakkou.net/kou/view/index_306267.html" TargetMode="External" Id="rId4" /><Relationship Type="http://schemas.openxmlformats.org/officeDocument/2006/relationships/hyperlink" Target="https://www.gakkou.net/kou/view/index_306262.html" TargetMode="External" Id="rId5" /><Relationship Type="http://schemas.openxmlformats.org/officeDocument/2006/relationships/hyperlink" Target="https://www.gakkou.net/kou/view/index_306251.html" TargetMode="External" Id="rId6" /><Relationship Type="http://schemas.openxmlformats.org/officeDocument/2006/relationships/hyperlink" Target="https://www.gakkou.net/kou/view/index_306786.html" TargetMode="External" Id="rId7" /><Relationship Type="http://schemas.openxmlformats.org/officeDocument/2006/relationships/hyperlink" Target="https://www.gakkou.net/kou/view/index_306407.html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架電リスト（沖縄県／8校）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沖縄県</t>
        </is>
      </c>
      <c r="C5" s="5" t="inlineStr">
        <is>
          <t>名護市</t>
        </is>
      </c>
      <c r="D5" s="5" t="inlineStr">
        <is>
          <t>エナジックスポーツ高等学院</t>
        </is>
      </c>
      <c r="E5" s="6" t="inlineStr">
        <is>
          <t>0980-45-9022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名護本校。資料請求用フリーダイヤル0120-115-813</t>
        </is>
      </c>
      <c r="N5" s="11" t="inlineStr">
        <is>
          <t>https://www.oshiro.ed.jp/enagicsports-hs/access/</t>
        </is>
      </c>
      <c r="O5" s="12" t="inlineStr">
        <is>
          <t>開く</t>
        </is>
      </c>
    </row>
    <row r="6">
      <c r="A6" s="4" t="n">
        <v>2</v>
      </c>
      <c r="B6" s="5" t="inlineStr">
        <is>
          <t>沖縄県</t>
        </is>
      </c>
      <c r="C6" s="5" t="inlineStr">
        <is>
          <t>うるま市</t>
        </is>
      </c>
      <c r="D6" s="5" t="inlineStr">
        <is>
          <t>Ｎ高等学校</t>
        </is>
      </c>
      <c r="E6" s="6" t="inlineStr">
        <is>
          <t>098-983-1677</t>
        </is>
      </c>
      <c r="F6" s="13" t="inlineStr">
        <is>
          <t>中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通信制・うるま市の沖縄伊計本校。文科省資料・電話帳サイトで一致。公式の案内はフリーダイヤル0120-0252-15</t>
        </is>
      </c>
      <c r="N6" s="11" t="inlineStr">
        <is>
          <t>https://www.mext.go.jp/content/20220218-mxt_koukou02-000020723_13.pdf</t>
        </is>
      </c>
      <c r="O6" s="12" t="inlineStr">
        <is>
          <t>開く</t>
        </is>
      </c>
    </row>
    <row r="7">
      <c r="A7" s="4" t="n">
        <v>3</v>
      </c>
      <c r="B7" s="5" t="inlineStr">
        <is>
          <t>沖縄県</t>
        </is>
      </c>
      <c r="C7" s="5" t="inlineStr">
        <is>
          <t>宜野湾市</t>
        </is>
      </c>
      <c r="D7" s="5" t="inlineStr">
        <is>
          <t>沖縄カトリック高等学校</t>
        </is>
      </c>
      <c r="E7" s="6" t="inlineStr">
        <is>
          <t>098-897-3300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沖縄県サイトとも一致。学校法人は098-897-3393</t>
        </is>
      </c>
      <c r="N7" s="11" t="inlineStr">
        <is>
          <t>https://www.catholic-okinawa.ed.jp/junior-and-senior-highschool/entrance-exam/</t>
        </is>
      </c>
      <c r="O7" s="12" t="inlineStr">
        <is>
          <t>開く</t>
        </is>
      </c>
    </row>
    <row r="8">
      <c r="A8" s="4" t="n">
        <v>4</v>
      </c>
      <c r="B8" s="5" t="inlineStr">
        <is>
          <t>沖縄県</t>
        </is>
      </c>
      <c r="C8" s="5" t="inlineStr">
        <is>
          <t>那覇市</t>
        </is>
      </c>
      <c r="D8" s="5" t="inlineStr">
        <is>
          <t>沖縄尚学高等学校</t>
        </is>
      </c>
      <c r="E8" s="6" t="inlineStr">
        <is>
          <t>098-832-1767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沖縄県公式サイトで確認</t>
        </is>
      </c>
      <c r="N8" s="11" t="inlineStr">
        <is>
          <t>https://www.pref.okinawa.lg.jp/kyoiku/gakko/1008900/1018622/1009323/1009331.html</t>
        </is>
      </c>
      <c r="O8" s="12" t="inlineStr">
        <is>
          <t>開く</t>
        </is>
      </c>
    </row>
    <row r="9">
      <c r="A9" s="4" t="n">
        <v>5</v>
      </c>
      <c r="B9" s="5" t="inlineStr">
        <is>
          <t>沖縄県</t>
        </is>
      </c>
      <c r="C9" s="5" t="inlineStr">
        <is>
          <t>那覇市</t>
        </is>
      </c>
      <c r="D9" s="5" t="inlineStr">
        <is>
          <t>興南高等学校</t>
        </is>
      </c>
      <c r="E9" s="6" t="inlineStr">
        <is>
          <t>098-884-3293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沖縄県サイトとも一致。一部サイトの098-884-3292は不一致</t>
        </is>
      </c>
      <c r="N9" s="11" t="inlineStr">
        <is>
          <t>https://konan-h.ed.jp/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沖縄県</t>
        </is>
      </c>
      <c r="C10" s="5" t="inlineStr">
        <is>
          <t>浦添市</t>
        </is>
      </c>
      <c r="D10" s="5" t="inlineStr">
        <is>
          <t>昭和薬科大学附属高等学校</t>
        </is>
      </c>
      <c r="E10" s="6" t="inlineStr">
        <is>
          <t>098-870-1852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沖縄県サイトとも一致</t>
        </is>
      </c>
      <c r="N10" s="11" t="inlineStr">
        <is>
          <t>https://www.showayakka-jh.ed.jp/about/disclosure/access/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沖縄県</t>
        </is>
      </c>
      <c r="C11" s="5" t="inlineStr">
        <is>
          <t>沖縄市</t>
        </is>
      </c>
      <c r="D11" s="5" t="inlineStr">
        <is>
          <t>仙台育英学園沖縄高等学校</t>
        </is>
      </c>
      <c r="E11" s="6" t="inlineStr">
        <is>
          <t>098-930-4111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098-923-2286を掲載するサイトあり（旧番号の可能性）</t>
        </is>
      </c>
      <c r="N11" s="11" t="inlineStr">
        <is>
          <t>https://www.sendaiikuei.ed.jp/okinawa/intro/access/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沖縄県</t>
        </is>
      </c>
      <c r="C12" s="5" t="inlineStr">
        <is>
          <t>本部町</t>
        </is>
      </c>
      <c r="D12" s="5" t="inlineStr">
        <is>
          <t>八洲学園大学国際高等学校</t>
        </is>
      </c>
      <c r="E12" s="6" t="inlineStr">
        <is>
          <t>0980-51-7711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通信制・本部町の本校。フリーコール0120-917-840</t>
        </is>
      </c>
      <c r="N12" s="11" t="inlineStr">
        <is>
          <t>https://www.pref.okinawa.jp/kyoiku/gakko/1008900/1018622/1009323/1009383.html</t>
        </is>
      </c>
      <c r="O12" s="12" t="inlineStr">
        <is>
          <t>開く</t>
        </is>
      </c>
    </row>
  </sheetData>
  <autoFilter ref="A4:O12"/>
  <conditionalFormatting sqref="A5:O12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2" showDropDown="0" showInputMessage="0" showErrorMessage="0" allowBlank="1" type="list">
      <formula1>"未架電,不在・折返し待ち,担当者不在,資料送付,アポ獲得,検討中,NG,番号不明"</formula1>
    </dataValidation>
    <dataValidation sqref="H5:H12 K5:K12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那覇市</t>
        </is>
      </c>
      <c r="B4" s="14">
        <f>COUNTIF('架電リスト'!$C$5:$C$12,A4)</f>
        <v/>
      </c>
      <c r="C4" s="14">
        <f>COUNTIFS('架電リスト'!$C$5:$C$12,A4,'架電リスト'!$E$5:$E$12,"&lt;&gt;")</f>
        <v/>
      </c>
      <c r="D4" s="14">
        <f>B4-COUNTIFS('架電リスト'!$C$5:$C$12,A4,'架電リスト'!$J$5:$J$12,"未架電")-COUNTIFS('架電リスト'!$C$5:$C$12,A4,'架電リスト'!$J$5:$J$12,"")</f>
        <v/>
      </c>
      <c r="E4" s="14">
        <f>COUNTIFS('架電リスト'!$C$5:$C$12,$A4,'架電リスト'!$J$5:$J$12,"不在・折返し待ち")</f>
        <v/>
      </c>
      <c r="F4" s="14">
        <f>COUNTIFS('架電リスト'!$C$5:$C$12,$A4,'架電リスト'!$J$5:$J$12,"担当者不在")</f>
        <v/>
      </c>
      <c r="G4" s="14">
        <f>COUNTIFS('架電リスト'!$C$5:$C$12,$A4,'架電リスト'!$J$5:$J$12,"資料送付")</f>
        <v/>
      </c>
      <c r="H4" s="14">
        <f>COUNTIFS('架電リスト'!$C$5:$C$12,$A4,'架電リスト'!$J$5:$J$12,"アポ獲得")</f>
        <v/>
      </c>
      <c r="I4" s="14">
        <f>COUNTIFS('架電リスト'!$C$5:$C$12,$A4,'架電リスト'!$J$5:$J$12,"検討中")</f>
        <v/>
      </c>
      <c r="J4" s="14">
        <f>COUNTIFS('架電リスト'!$C$5:$C$12,$A4,'架電リスト'!$J$5:$J$12,"NG")</f>
        <v/>
      </c>
      <c r="K4" s="14">
        <f>COUNTIFS('架電リスト'!$C$5:$C$12,$A4,'架電リスト'!$J$5:$J$12,"番号不明")</f>
        <v/>
      </c>
    </row>
    <row r="5">
      <c r="A5" s="14" t="inlineStr">
        <is>
          <t>名護市</t>
        </is>
      </c>
      <c r="B5" s="14">
        <f>COUNTIF('架電リスト'!$C$5:$C$12,A5)</f>
        <v/>
      </c>
      <c r="C5" s="14">
        <f>COUNTIFS('架電リスト'!$C$5:$C$12,A5,'架電リスト'!$E$5:$E$12,"&lt;&gt;")</f>
        <v/>
      </c>
      <c r="D5" s="14">
        <f>B5-COUNTIFS('架電リスト'!$C$5:$C$12,A5,'架電リスト'!$J$5:$J$12,"未架電")-COUNTIFS('架電リスト'!$C$5:$C$12,A5,'架電リスト'!$J$5:$J$12,"")</f>
        <v/>
      </c>
      <c r="E5" s="14">
        <f>COUNTIFS('架電リスト'!$C$5:$C$12,$A5,'架電リスト'!$J$5:$J$12,"不在・折返し待ち")</f>
        <v/>
      </c>
      <c r="F5" s="14">
        <f>COUNTIFS('架電リスト'!$C$5:$C$12,$A5,'架電リスト'!$J$5:$J$12,"担当者不在")</f>
        <v/>
      </c>
      <c r="G5" s="14">
        <f>COUNTIFS('架電リスト'!$C$5:$C$12,$A5,'架電リスト'!$J$5:$J$12,"資料送付")</f>
        <v/>
      </c>
      <c r="H5" s="14">
        <f>COUNTIFS('架電リスト'!$C$5:$C$12,$A5,'架電リスト'!$J$5:$J$12,"アポ獲得")</f>
        <v/>
      </c>
      <c r="I5" s="14">
        <f>COUNTIFS('架電リスト'!$C$5:$C$12,$A5,'架電リスト'!$J$5:$J$12,"検討中")</f>
        <v/>
      </c>
      <c r="J5" s="14">
        <f>COUNTIFS('架電リスト'!$C$5:$C$12,$A5,'架電リスト'!$J$5:$J$12,"NG")</f>
        <v/>
      </c>
      <c r="K5" s="14">
        <f>COUNTIFS('架電リスト'!$C$5:$C$12,$A5,'架電リスト'!$J$5:$J$12,"番号不明")</f>
        <v/>
      </c>
    </row>
    <row r="6">
      <c r="A6" s="14" t="inlineStr">
        <is>
          <t>うるま市</t>
        </is>
      </c>
      <c r="B6" s="14">
        <f>COUNTIF('架電リスト'!$C$5:$C$12,A6)</f>
        <v/>
      </c>
      <c r="C6" s="14">
        <f>COUNTIFS('架電リスト'!$C$5:$C$12,A6,'架電リスト'!$E$5:$E$12,"&lt;&gt;")</f>
        <v/>
      </c>
      <c r="D6" s="14">
        <f>B6-COUNTIFS('架電リスト'!$C$5:$C$12,A6,'架電リスト'!$J$5:$J$12,"未架電")-COUNTIFS('架電リスト'!$C$5:$C$12,A6,'架電リスト'!$J$5:$J$12,"")</f>
        <v/>
      </c>
      <c r="E6" s="14">
        <f>COUNTIFS('架電リスト'!$C$5:$C$12,$A6,'架電リスト'!$J$5:$J$12,"不在・折返し待ち")</f>
        <v/>
      </c>
      <c r="F6" s="14">
        <f>COUNTIFS('架電リスト'!$C$5:$C$12,$A6,'架電リスト'!$J$5:$J$12,"担当者不在")</f>
        <v/>
      </c>
      <c r="G6" s="14">
        <f>COUNTIFS('架電リスト'!$C$5:$C$12,$A6,'架電リスト'!$J$5:$J$12,"資料送付")</f>
        <v/>
      </c>
      <c r="H6" s="14">
        <f>COUNTIFS('架電リスト'!$C$5:$C$12,$A6,'架電リスト'!$J$5:$J$12,"アポ獲得")</f>
        <v/>
      </c>
      <c r="I6" s="14">
        <f>COUNTIFS('架電リスト'!$C$5:$C$12,$A6,'架電リスト'!$J$5:$J$12,"検討中")</f>
        <v/>
      </c>
      <c r="J6" s="14">
        <f>COUNTIFS('架電リスト'!$C$5:$C$12,$A6,'架電リスト'!$J$5:$J$12,"NG")</f>
        <v/>
      </c>
      <c r="K6" s="14">
        <f>COUNTIFS('架電リスト'!$C$5:$C$12,$A6,'架電リスト'!$J$5:$J$12,"番号不明")</f>
        <v/>
      </c>
    </row>
    <row r="7">
      <c r="A7" s="14" t="inlineStr">
        <is>
          <t>宜野湾市</t>
        </is>
      </c>
      <c r="B7" s="14">
        <f>COUNTIF('架電リスト'!$C$5:$C$12,A7)</f>
        <v/>
      </c>
      <c r="C7" s="14">
        <f>COUNTIFS('架電リスト'!$C$5:$C$12,A7,'架電リスト'!$E$5:$E$12,"&lt;&gt;")</f>
        <v/>
      </c>
      <c r="D7" s="14">
        <f>B7-COUNTIFS('架電リスト'!$C$5:$C$12,A7,'架電リスト'!$J$5:$J$12,"未架電")-COUNTIFS('架電リスト'!$C$5:$C$12,A7,'架電リスト'!$J$5:$J$12,"")</f>
        <v/>
      </c>
      <c r="E7" s="14">
        <f>COUNTIFS('架電リスト'!$C$5:$C$12,$A7,'架電リスト'!$J$5:$J$12,"不在・折返し待ち")</f>
        <v/>
      </c>
      <c r="F7" s="14">
        <f>COUNTIFS('架電リスト'!$C$5:$C$12,$A7,'架電リスト'!$J$5:$J$12,"担当者不在")</f>
        <v/>
      </c>
      <c r="G7" s="14">
        <f>COUNTIFS('架電リスト'!$C$5:$C$12,$A7,'架電リスト'!$J$5:$J$12,"資料送付")</f>
        <v/>
      </c>
      <c r="H7" s="14">
        <f>COUNTIFS('架電リスト'!$C$5:$C$12,$A7,'架電リスト'!$J$5:$J$12,"アポ獲得")</f>
        <v/>
      </c>
      <c r="I7" s="14">
        <f>COUNTIFS('架電リスト'!$C$5:$C$12,$A7,'架電リスト'!$J$5:$J$12,"検討中")</f>
        <v/>
      </c>
      <c r="J7" s="14">
        <f>COUNTIFS('架電リスト'!$C$5:$C$12,$A7,'架電リスト'!$J$5:$J$12,"NG")</f>
        <v/>
      </c>
      <c r="K7" s="14">
        <f>COUNTIFS('架電リスト'!$C$5:$C$12,$A7,'架電リスト'!$J$5:$J$12,"番号不明")</f>
        <v/>
      </c>
    </row>
    <row r="8">
      <c r="A8" s="14" t="inlineStr">
        <is>
          <t>浦添市</t>
        </is>
      </c>
      <c r="B8" s="14">
        <f>COUNTIF('架電リスト'!$C$5:$C$12,A8)</f>
        <v/>
      </c>
      <c r="C8" s="14">
        <f>COUNTIFS('架電リスト'!$C$5:$C$12,A8,'架電リスト'!$E$5:$E$12,"&lt;&gt;")</f>
        <v/>
      </c>
      <c r="D8" s="14">
        <f>B8-COUNTIFS('架電リスト'!$C$5:$C$12,A8,'架電リスト'!$J$5:$J$12,"未架電")-COUNTIFS('架電リスト'!$C$5:$C$12,A8,'架電リスト'!$J$5:$J$12,"")</f>
        <v/>
      </c>
      <c r="E8" s="14">
        <f>COUNTIFS('架電リスト'!$C$5:$C$12,$A8,'架電リスト'!$J$5:$J$12,"不在・折返し待ち")</f>
        <v/>
      </c>
      <c r="F8" s="14">
        <f>COUNTIFS('架電リスト'!$C$5:$C$12,$A8,'架電リスト'!$J$5:$J$12,"担当者不在")</f>
        <v/>
      </c>
      <c r="G8" s="14">
        <f>COUNTIFS('架電リスト'!$C$5:$C$12,$A8,'架電リスト'!$J$5:$J$12,"資料送付")</f>
        <v/>
      </c>
      <c r="H8" s="14">
        <f>COUNTIFS('架電リスト'!$C$5:$C$12,$A8,'架電リスト'!$J$5:$J$12,"アポ獲得")</f>
        <v/>
      </c>
      <c r="I8" s="14">
        <f>COUNTIFS('架電リスト'!$C$5:$C$12,$A8,'架電リスト'!$J$5:$J$12,"検討中")</f>
        <v/>
      </c>
      <c r="J8" s="14">
        <f>COUNTIFS('架電リスト'!$C$5:$C$12,$A8,'架電リスト'!$J$5:$J$12,"NG")</f>
        <v/>
      </c>
      <c r="K8" s="14">
        <f>COUNTIFS('架電リスト'!$C$5:$C$12,$A8,'架電リスト'!$J$5:$J$12,"番号不明")</f>
        <v/>
      </c>
    </row>
    <row r="9">
      <c r="A9" s="14" t="inlineStr">
        <is>
          <t>沖縄市</t>
        </is>
      </c>
      <c r="B9" s="14">
        <f>COUNTIF('架電リスト'!$C$5:$C$12,A9)</f>
        <v/>
      </c>
      <c r="C9" s="14">
        <f>COUNTIFS('架電リスト'!$C$5:$C$12,A9,'架電リスト'!$E$5:$E$12,"&lt;&gt;")</f>
        <v/>
      </c>
      <c r="D9" s="14">
        <f>B9-COUNTIFS('架電リスト'!$C$5:$C$12,A9,'架電リスト'!$J$5:$J$12,"未架電")-COUNTIFS('架電リスト'!$C$5:$C$12,A9,'架電リスト'!$J$5:$J$12,"")</f>
        <v/>
      </c>
      <c r="E9" s="14">
        <f>COUNTIFS('架電リスト'!$C$5:$C$12,$A9,'架電リスト'!$J$5:$J$12,"不在・折返し待ち")</f>
        <v/>
      </c>
      <c r="F9" s="14">
        <f>COUNTIFS('架電リスト'!$C$5:$C$12,$A9,'架電リスト'!$J$5:$J$12,"担当者不在")</f>
        <v/>
      </c>
      <c r="G9" s="14">
        <f>COUNTIFS('架電リスト'!$C$5:$C$12,$A9,'架電リスト'!$J$5:$J$12,"資料送付")</f>
        <v/>
      </c>
      <c r="H9" s="14">
        <f>COUNTIFS('架電リスト'!$C$5:$C$12,$A9,'架電リスト'!$J$5:$J$12,"アポ獲得")</f>
        <v/>
      </c>
      <c r="I9" s="14">
        <f>COUNTIFS('架電リスト'!$C$5:$C$12,$A9,'架電リスト'!$J$5:$J$12,"検討中")</f>
        <v/>
      </c>
      <c r="J9" s="14">
        <f>COUNTIFS('架電リスト'!$C$5:$C$12,$A9,'架電リスト'!$J$5:$J$12,"NG")</f>
        <v/>
      </c>
      <c r="K9" s="14">
        <f>COUNTIFS('架電リスト'!$C$5:$C$12,$A9,'架電リスト'!$J$5:$J$12,"番号不明")</f>
        <v/>
      </c>
    </row>
    <row r="10">
      <c r="A10" s="14" t="inlineStr">
        <is>
          <t>本部町</t>
        </is>
      </c>
      <c r="B10" s="14">
        <f>COUNTIF('架電リスト'!$C$5:$C$12,A10)</f>
        <v/>
      </c>
      <c r="C10" s="14">
        <f>COUNTIFS('架電リスト'!$C$5:$C$12,A10,'架電リスト'!$E$5:$E$12,"&lt;&gt;")</f>
        <v/>
      </c>
      <c r="D10" s="14">
        <f>B10-COUNTIFS('架電リスト'!$C$5:$C$12,A10,'架電リスト'!$J$5:$J$12,"未架電")-COUNTIFS('架電リスト'!$C$5:$C$12,A10,'架電リスト'!$J$5:$J$12,"")</f>
        <v/>
      </c>
      <c r="E10" s="14">
        <f>COUNTIFS('架電リスト'!$C$5:$C$12,$A10,'架電リスト'!$J$5:$J$12,"不在・折返し待ち")</f>
        <v/>
      </c>
      <c r="F10" s="14">
        <f>COUNTIFS('架電リスト'!$C$5:$C$12,$A10,'架電リスト'!$J$5:$J$12,"担当者不在")</f>
        <v/>
      </c>
      <c r="G10" s="14">
        <f>COUNTIFS('架電リスト'!$C$5:$C$12,$A10,'架電リスト'!$J$5:$J$12,"資料送付")</f>
        <v/>
      </c>
      <c r="H10" s="14">
        <f>COUNTIFS('架電リスト'!$C$5:$C$12,$A10,'架電リスト'!$J$5:$J$12,"アポ獲得")</f>
        <v/>
      </c>
      <c r="I10" s="14">
        <f>COUNTIFS('架電リスト'!$C$5:$C$12,$A10,'架電リスト'!$J$5:$J$12,"検討中")</f>
        <v/>
      </c>
      <c r="J10" s="14">
        <f>COUNTIFS('架電リスト'!$C$5:$C$12,$A10,'架電リスト'!$J$5:$J$12,"NG")</f>
        <v/>
      </c>
      <c r="K10" s="14">
        <f>COUNTIFS('架電リスト'!$C$5:$C$12,$A10,'架電リスト'!$J$5:$J$12,"番号不明")</f>
        <v/>
      </c>
    </row>
    <row r="11">
      <c r="A11" s="15" t="inlineStr">
        <is>
          <t>合計</t>
        </is>
      </c>
      <c r="B11" s="15">
        <f>SUM(B4:B10)</f>
        <v/>
      </c>
      <c r="C11" s="15">
        <f>SUM(C4:C10)</f>
        <v/>
      </c>
      <c r="D11" s="15">
        <f>SUM(D4:D10)</f>
        <v/>
      </c>
      <c r="E11" s="15">
        <f>SUM(E4:E10)</f>
        <v/>
      </c>
      <c r="F11" s="15">
        <f>SUM(F4:F10)</f>
        <v/>
      </c>
      <c r="G11" s="15">
        <f>SUM(G4:G10)</f>
        <v/>
      </c>
      <c r="H11" s="15">
        <f>SUM(H4:H10)</f>
        <v/>
      </c>
      <c r="I11" s="15">
        <f>SUM(I4:I10)</f>
        <v/>
      </c>
      <c r="J11" s="15">
        <f>SUM(J4:J10)</f>
        <v/>
      </c>
      <c r="K11" s="15">
        <f>SUM(K4:K10)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・出典：ご提供いただいた学校ネットの検索結果（私立高校・沖縄県、8校）の貼り付けデータ。並び順は都道府県ごとに元データの掲載順です。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2026-10-14T02:23:07Z</dcterms:created>
  <dcterms:modified xsi:type="dcterms:W3CDTF">2026-10-14T02:23:07Z</dcterms:modified>
</cp:coreProperties>
</file>