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'架電リスト'!$A$4:$O$15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025.html" TargetMode="External" Id="rId1" /><Relationship Type="http://schemas.openxmlformats.org/officeDocument/2006/relationships/hyperlink" Target="https://www.gakkou.net/kou/view/index_303053.html" TargetMode="External" Id="rId2" /><Relationship Type="http://schemas.openxmlformats.org/officeDocument/2006/relationships/hyperlink" Target="https://www.gakkou.net/kou/view/index_303009.html" TargetMode="External" Id="rId3" /><Relationship Type="http://schemas.openxmlformats.org/officeDocument/2006/relationships/hyperlink" Target="https://www.gakkou.net/kou/view/index_303052.html" TargetMode="External" Id="rId4" /><Relationship Type="http://schemas.openxmlformats.org/officeDocument/2006/relationships/hyperlink" Target="https://www.gakkou.net/kou/view/index_303011.html" TargetMode="External" Id="rId5" /><Relationship Type="http://schemas.openxmlformats.org/officeDocument/2006/relationships/hyperlink" Target="https://www.gakkou.net/kou/view/index_303048.html" TargetMode="External" Id="rId6" /><Relationship Type="http://schemas.openxmlformats.org/officeDocument/2006/relationships/hyperlink" Target="https://www.gakkou.net/kou/view/index_303055.html" TargetMode="External" Id="rId7" /><Relationship Type="http://schemas.openxmlformats.org/officeDocument/2006/relationships/hyperlink" Target="https://www.gakkou.net/kou/view/index_303037.html" TargetMode="External" Id="rId8" /><Relationship Type="http://schemas.openxmlformats.org/officeDocument/2006/relationships/hyperlink" Target="https://www.gakkou.net/kou/view/index_303058.html" TargetMode="External" Id="rId9" /><Relationship Type="http://schemas.openxmlformats.org/officeDocument/2006/relationships/hyperlink" Target="https://www.gakkou.net/kou/view/index_303005.html" TargetMode="External" Id="rId10" /><Relationship Type="http://schemas.openxmlformats.org/officeDocument/2006/relationships/hyperlink" Target="https://www.gakkou.net/kou/view/index_303021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架電リスト（山梨県／11校）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山梨県</t>
        </is>
      </c>
      <c r="C5" s="5" t="inlineStr">
        <is>
          <t>甲府市</t>
        </is>
      </c>
      <c r="D5" s="5" t="inlineStr">
        <is>
          <t>甲斐清和高等学校</t>
        </is>
      </c>
      <c r="E5" s="6" t="inlineStr">
        <is>
          <t>055-233-0127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2つの情報源で一致。通信制（寿町キャンパス）は055-221-7888</t>
        </is>
      </c>
      <c r="N5" s="11" t="inlineStr">
        <is>
          <t>https://www.mapion.co.jp/phonebook/M11004/19201/ILSP0000041535_ipclm/ ; https://www.navita.co.jp/s/11014626/</t>
        </is>
      </c>
      <c r="O5" s="12" t="inlineStr">
        <is>
          <t>開く</t>
        </is>
      </c>
    </row>
    <row r="6">
      <c r="A6" s="4" t="n">
        <v>2</v>
      </c>
      <c r="B6" s="5" t="inlineStr">
        <is>
          <t>山梨県</t>
        </is>
      </c>
      <c r="C6" s="5" t="inlineStr">
        <is>
          <t>北杜市</t>
        </is>
      </c>
      <c r="D6" s="5" t="inlineStr">
        <is>
          <t>自然学園高等学校</t>
        </is>
      </c>
      <c r="E6" s="6" t="inlineStr">
        <is>
          <t>0551-45-0510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通信制。須玉キャンパス（北杜市）の番号（公式サイト）。甲府キャンパスは055-237-0510</t>
        </is>
      </c>
      <c r="N6" s="11" t="inlineStr">
        <is>
          <t>https://shizengakuen.ed.jp/campus/sutama/ ; https://www.mapion.co.jp/phonebook/M11004/19209/ILSP0000041836_ipclm/</t>
        </is>
      </c>
      <c r="O6" s="12" t="inlineStr">
        <is>
          <t>開く</t>
        </is>
      </c>
    </row>
    <row r="7">
      <c r="A7" s="4" t="n">
        <v>3</v>
      </c>
      <c r="B7" s="5" t="inlineStr">
        <is>
          <t>山梨県</t>
        </is>
      </c>
      <c r="C7" s="5" t="inlineStr">
        <is>
          <t>甲府市</t>
        </is>
      </c>
      <c r="D7" s="5" t="inlineStr">
        <is>
          <t>駿台甲府高等学校</t>
        </is>
      </c>
      <c r="E7" s="6" t="inlineStr">
        <is>
          <t>055-253-6211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公式サイトで確認（普通科・塩部キャンパス）。通信制は別番号</t>
        </is>
      </c>
      <c r="N7" s="11" t="inlineStr">
        <is>
          <t>https://www.sundai-kofu.ed.jp/high/info/inquiry.html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山梨県</t>
        </is>
      </c>
      <c r="C8" s="5" t="inlineStr">
        <is>
          <t>北杜市</t>
        </is>
      </c>
      <c r="D8" s="5" t="inlineStr">
        <is>
          <t>帝京第三高等学校</t>
        </is>
      </c>
      <c r="E8" s="6" t="inlineStr">
        <is>
          <t>0551-36-2411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公式サイトで確認。【校名変更予定】2027年度から「帝京大学青峰高等学校」に改称予定との情報あり</t>
        </is>
      </c>
      <c r="N8" s="11" t="inlineStr">
        <is>
          <t>https://www.teikyo3.ed.jp/ ; https://www.ypec.ed.jp/ypechp/wp-content/uploads/2024/06/49_%E5%B8%9D%E4%BA%AC%E7%AC%AC%E4%B8%89_R6%E3%83%8F%E3%82%A4%E3%82%B9%E3%82%AF%E3%83%BC%E3%83%AB%E3%82%AC%E3%82%A4%E3%83%89.pdf</t>
        </is>
      </c>
      <c r="O8" s="12" t="inlineStr">
        <is>
          <t>開く</t>
        </is>
      </c>
    </row>
    <row r="9">
      <c r="A9" s="4" t="n">
        <v>5</v>
      </c>
      <c r="B9" s="5" t="inlineStr">
        <is>
          <t>山梨県</t>
        </is>
      </c>
      <c r="C9" s="5" t="inlineStr">
        <is>
          <t>甲府市</t>
        </is>
      </c>
      <c r="D9" s="5" t="inlineStr">
        <is>
          <t>東海大学付属甲府高等学校</t>
        </is>
      </c>
      <c r="E9" s="6" t="inlineStr">
        <is>
          <t>055-227-1111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公式サイトに「代表」と記載</t>
        </is>
      </c>
      <c r="N9" s="11" t="inlineStr">
        <is>
          <t>https://www.kofu.tokai.ed.jp/access/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山梨県</t>
        </is>
      </c>
      <c r="C10" s="5" t="inlineStr">
        <is>
          <t>甲斐市</t>
        </is>
      </c>
      <c r="D10" s="5" t="inlineStr">
        <is>
          <t>日本航空高等学校</t>
        </is>
      </c>
      <c r="E10" s="6" t="inlineStr">
        <is>
          <t>0551-28-3355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山梨キャンパス（公式サイト）。通信制は0551-28-0011。北海道キャンパスとは別</t>
        </is>
      </c>
      <c r="N10" s="11" t="inlineStr">
        <is>
          <t>https://www.jaaw-hs.net/yamanashi/access/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山梨県</t>
        </is>
      </c>
      <c r="C11" s="5" t="inlineStr">
        <is>
          <t>上野原市</t>
        </is>
      </c>
      <c r="D11" s="5" t="inlineStr">
        <is>
          <t>日本大学明誠高等学校</t>
        </is>
      </c>
      <c r="E11" s="6" t="inlineStr">
        <is>
          <t>0554-62-5161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</t>
        </is>
      </c>
      <c r="N11" s="11" t="inlineStr">
        <is>
          <t>https://www.meisei.hs.nihon-u.ac.jp/ ; https://www.ypec.ed.jp/ypechp/wp-content/uploads/2023/06/nichidaimeisei.pdf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山梨県</t>
        </is>
      </c>
      <c r="C12" s="5" t="inlineStr">
        <is>
          <t>富士吉田市</t>
        </is>
      </c>
      <c r="D12" s="5" t="inlineStr">
        <is>
          <t>富士学苑高等学校</t>
        </is>
      </c>
      <c r="E12" s="6" t="inlineStr">
        <is>
          <t>0555-22-0696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</t>
        </is>
      </c>
      <c r="N12" s="11" t="inlineStr">
        <is>
          <t>https://gekkouji.ac.jp/access/ ; https://www.mapion.co.jp/phonebook/M11004/19202/ILSP0000040658_ipclm/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山梨県</t>
        </is>
      </c>
      <c r="C13" s="5" t="inlineStr">
        <is>
          <t>身延町</t>
        </is>
      </c>
      <c r="D13" s="5" t="inlineStr">
        <is>
          <t>身延山高等学校</t>
        </is>
      </c>
      <c r="E13" s="6" t="inlineStr">
        <is>
          <t>0556-62-3500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公式サイトで確認。県立身延高校（0556-62-1045）とは別の学校</t>
        </is>
      </c>
      <c r="N13" s="11" t="inlineStr">
        <is>
          <t>https://www.min.ac.jp/parents/guide/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山梨県</t>
        </is>
      </c>
      <c r="C14" s="5" t="inlineStr">
        <is>
          <t>甲府市</t>
        </is>
      </c>
      <c r="D14" s="5" t="inlineStr">
        <is>
          <t>山梨英和高等学校</t>
        </is>
      </c>
      <c r="E14" s="6" t="inlineStr">
        <is>
          <t>055-252-6187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公式サイトで確認（高校の番号）。中学校は055-252-6184、法人本部は055-223-6010</t>
        </is>
      </c>
      <c r="N14" s="11" t="inlineStr">
        <is>
          <t>https://www.yamanashi-eiwa.ac.jp/jsh/about/access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山梨県</t>
        </is>
      </c>
      <c r="C15" s="5" t="inlineStr">
        <is>
          <t>甲府市</t>
        </is>
      </c>
      <c r="D15" s="5" t="inlineStr">
        <is>
          <t>山梨学院高等学校</t>
        </is>
      </c>
      <c r="E15" s="6" t="inlineStr">
        <is>
          <t>055-224-1600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公式サイトに「代表」と記載。通信制は055-224-1414</t>
        </is>
      </c>
      <c r="N15" s="11" t="inlineStr">
        <is>
          <t>https://www.yghs.ed.jp/ ; https://www.pref.yamanashi.jp/koukoukyo/182_224.html</t>
        </is>
      </c>
      <c r="O15" s="12" t="inlineStr">
        <is>
          <t>開く</t>
        </is>
      </c>
    </row>
  </sheetData>
  <autoFilter ref="A4:O15"/>
  <conditionalFormatting sqref="A5:O15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5" showDropDown="0" showInputMessage="0" showErrorMessage="0" allowBlank="1" type="list">
      <formula1>"未架電,不在・折返し待ち,担当者不在,資料送付,アポ獲得,検討中,NG,番号不明"</formula1>
    </dataValidation>
    <dataValidation sqref="H5:H15 K5:K15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甲府市</t>
        </is>
      </c>
      <c r="B4" s="13">
        <f>COUNTIF('架電リスト'!$C$5:$C$15,A4)</f>
        <v/>
      </c>
      <c r="C4" s="13">
        <f>COUNTIFS('架電リスト'!$C$5:$C$15,A4,'架電リスト'!$E$5:$E$15,"&lt;&gt;")</f>
        <v/>
      </c>
      <c r="D4" s="13">
        <f>B4-COUNTIFS('架電リスト'!$C$5:$C$15,A4,'架電リスト'!$J$5:$J$15,"未架電")-COUNTIFS('架電リスト'!$C$5:$C$15,A4,'架電リスト'!$J$5:$J$15,"")</f>
        <v/>
      </c>
      <c r="E4" s="13">
        <f>COUNTIFS('架電リスト'!$C$5:$C$15,$A4,'架電リスト'!$J$5:$J$15,"不在・折返し待ち")</f>
        <v/>
      </c>
      <c r="F4" s="13">
        <f>COUNTIFS('架電リスト'!$C$5:$C$15,$A4,'架電リスト'!$J$5:$J$15,"担当者不在")</f>
        <v/>
      </c>
      <c r="G4" s="13">
        <f>COUNTIFS('架電リスト'!$C$5:$C$15,$A4,'架電リスト'!$J$5:$J$15,"資料送付")</f>
        <v/>
      </c>
      <c r="H4" s="13">
        <f>COUNTIFS('架電リスト'!$C$5:$C$15,$A4,'架電リスト'!$J$5:$J$15,"アポ獲得")</f>
        <v/>
      </c>
      <c r="I4" s="13">
        <f>COUNTIFS('架電リスト'!$C$5:$C$15,$A4,'架電リスト'!$J$5:$J$15,"検討中")</f>
        <v/>
      </c>
      <c r="J4" s="13">
        <f>COUNTIFS('架電リスト'!$C$5:$C$15,$A4,'架電リスト'!$J$5:$J$15,"NG")</f>
        <v/>
      </c>
      <c r="K4" s="13">
        <f>COUNTIFS('架電リスト'!$C$5:$C$15,$A4,'架電リスト'!$J$5:$J$15,"番号不明")</f>
        <v/>
      </c>
    </row>
    <row r="5">
      <c r="A5" s="13" t="inlineStr">
        <is>
          <t>北杜市</t>
        </is>
      </c>
      <c r="B5" s="13">
        <f>COUNTIF('架電リスト'!$C$5:$C$15,A5)</f>
        <v/>
      </c>
      <c r="C5" s="13">
        <f>COUNTIFS('架電リスト'!$C$5:$C$15,A5,'架電リスト'!$E$5:$E$15,"&lt;&gt;")</f>
        <v/>
      </c>
      <c r="D5" s="13">
        <f>B5-COUNTIFS('架電リスト'!$C$5:$C$15,A5,'架電リスト'!$J$5:$J$15,"未架電")-COUNTIFS('架電リスト'!$C$5:$C$15,A5,'架電リスト'!$J$5:$J$15,"")</f>
        <v/>
      </c>
      <c r="E5" s="13">
        <f>COUNTIFS('架電リスト'!$C$5:$C$15,$A5,'架電リスト'!$J$5:$J$15,"不在・折返し待ち")</f>
        <v/>
      </c>
      <c r="F5" s="13">
        <f>COUNTIFS('架電リスト'!$C$5:$C$15,$A5,'架電リスト'!$J$5:$J$15,"担当者不在")</f>
        <v/>
      </c>
      <c r="G5" s="13">
        <f>COUNTIFS('架電リスト'!$C$5:$C$15,$A5,'架電リスト'!$J$5:$J$15,"資料送付")</f>
        <v/>
      </c>
      <c r="H5" s="13">
        <f>COUNTIFS('架電リスト'!$C$5:$C$15,$A5,'架電リスト'!$J$5:$J$15,"アポ獲得")</f>
        <v/>
      </c>
      <c r="I5" s="13">
        <f>COUNTIFS('架電リスト'!$C$5:$C$15,$A5,'架電リスト'!$J$5:$J$15,"検討中")</f>
        <v/>
      </c>
      <c r="J5" s="13">
        <f>COUNTIFS('架電リスト'!$C$5:$C$15,$A5,'架電リスト'!$J$5:$J$15,"NG")</f>
        <v/>
      </c>
      <c r="K5" s="13">
        <f>COUNTIFS('架電リスト'!$C$5:$C$15,$A5,'架電リスト'!$J$5:$J$15,"番号不明")</f>
        <v/>
      </c>
    </row>
    <row r="6">
      <c r="A6" s="13" t="inlineStr">
        <is>
          <t>甲斐市</t>
        </is>
      </c>
      <c r="B6" s="13">
        <f>COUNTIF('架電リスト'!$C$5:$C$15,A6)</f>
        <v/>
      </c>
      <c r="C6" s="13">
        <f>COUNTIFS('架電リスト'!$C$5:$C$15,A6,'架電リスト'!$E$5:$E$15,"&lt;&gt;")</f>
        <v/>
      </c>
      <c r="D6" s="13">
        <f>B6-COUNTIFS('架電リスト'!$C$5:$C$15,A6,'架電リスト'!$J$5:$J$15,"未架電")-COUNTIFS('架電リスト'!$C$5:$C$15,A6,'架電リスト'!$J$5:$J$15,"")</f>
        <v/>
      </c>
      <c r="E6" s="13">
        <f>COUNTIFS('架電リスト'!$C$5:$C$15,$A6,'架電リスト'!$J$5:$J$15,"不在・折返し待ち")</f>
        <v/>
      </c>
      <c r="F6" s="13">
        <f>COUNTIFS('架電リスト'!$C$5:$C$15,$A6,'架電リスト'!$J$5:$J$15,"担当者不在")</f>
        <v/>
      </c>
      <c r="G6" s="13">
        <f>COUNTIFS('架電リスト'!$C$5:$C$15,$A6,'架電リスト'!$J$5:$J$15,"資料送付")</f>
        <v/>
      </c>
      <c r="H6" s="13">
        <f>COUNTIFS('架電リスト'!$C$5:$C$15,$A6,'架電リスト'!$J$5:$J$15,"アポ獲得")</f>
        <v/>
      </c>
      <c r="I6" s="13">
        <f>COUNTIFS('架電リスト'!$C$5:$C$15,$A6,'架電リスト'!$J$5:$J$15,"検討中")</f>
        <v/>
      </c>
      <c r="J6" s="13">
        <f>COUNTIFS('架電リスト'!$C$5:$C$15,$A6,'架電リスト'!$J$5:$J$15,"NG")</f>
        <v/>
      </c>
      <c r="K6" s="13">
        <f>COUNTIFS('架電リスト'!$C$5:$C$15,$A6,'架電リスト'!$J$5:$J$15,"番号不明")</f>
        <v/>
      </c>
    </row>
    <row r="7">
      <c r="A7" s="13" t="inlineStr">
        <is>
          <t>上野原市</t>
        </is>
      </c>
      <c r="B7" s="13">
        <f>COUNTIF('架電リスト'!$C$5:$C$15,A7)</f>
        <v/>
      </c>
      <c r="C7" s="13">
        <f>COUNTIFS('架電リスト'!$C$5:$C$15,A7,'架電リスト'!$E$5:$E$15,"&lt;&gt;")</f>
        <v/>
      </c>
      <c r="D7" s="13">
        <f>B7-COUNTIFS('架電リスト'!$C$5:$C$15,A7,'架電リスト'!$J$5:$J$15,"未架電")-COUNTIFS('架電リスト'!$C$5:$C$15,A7,'架電リスト'!$J$5:$J$15,"")</f>
        <v/>
      </c>
      <c r="E7" s="13">
        <f>COUNTIFS('架電リスト'!$C$5:$C$15,$A7,'架電リスト'!$J$5:$J$15,"不在・折返し待ち")</f>
        <v/>
      </c>
      <c r="F7" s="13">
        <f>COUNTIFS('架電リスト'!$C$5:$C$15,$A7,'架電リスト'!$J$5:$J$15,"担当者不在")</f>
        <v/>
      </c>
      <c r="G7" s="13">
        <f>COUNTIFS('架電リスト'!$C$5:$C$15,$A7,'架電リスト'!$J$5:$J$15,"資料送付")</f>
        <v/>
      </c>
      <c r="H7" s="13">
        <f>COUNTIFS('架電リスト'!$C$5:$C$15,$A7,'架電リスト'!$J$5:$J$15,"アポ獲得")</f>
        <v/>
      </c>
      <c r="I7" s="13">
        <f>COUNTIFS('架電リスト'!$C$5:$C$15,$A7,'架電リスト'!$J$5:$J$15,"検討中")</f>
        <v/>
      </c>
      <c r="J7" s="13">
        <f>COUNTIFS('架電リスト'!$C$5:$C$15,$A7,'架電リスト'!$J$5:$J$15,"NG")</f>
        <v/>
      </c>
      <c r="K7" s="13">
        <f>COUNTIFS('架電リスト'!$C$5:$C$15,$A7,'架電リスト'!$J$5:$J$15,"番号不明")</f>
        <v/>
      </c>
    </row>
    <row r="8">
      <c r="A8" s="13" t="inlineStr">
        <is>
          <t>富士吉田市</t>
        </is>
      </c>
      <c r="B8" s="13">
        <f>COUNTIF('架電リスト'!$C$5:$C$15,A8)</f>
        <v/>
      </c>
      <c r="C8" s="13">
        <f>COUNTIFS('架電リスト'!$C$5:$C$15,A8,'架電リスト'!$E$5:$E$15,"&lt;&gt;")</f>
        <v/>
      </c>
      <c r="D8" s="13">
        <f>B8-COUNTIFS('架電リスト'!$C$5:$C$15,A8,'架電リスト'!$J$5:$J$15,"未架電")-COUNTIFS('架電リスト'!$C$5:$C$15,A8,'架電リスト'!$J$5:$J$15,"")</f>
        <v/>
      </c>
      <c r="E8" s="13">
        <f>COUNTIFS('架電リスト'!$C$5:$C$15,$A8,'架電リスト'!$J$5:$J$15,"不在・折返し待ち")</f>
        <v/>
      </c>
      <c r="F8" s="13">
        <f>COUNTIFS('架電リスト'!$C$5:$C$15,$A8,'架電リスト'!$J$5:$J$15,"担当者不在")</f>
        <v/>
      </c>
      <c r="G8" s="13">
        <f>COUNTIFS('架電リスト'!$C$5:$C$15,$A8,'架電リスト'!$J$5:$J$15,"資料送付")</f>
        <v/>
      </c>
      <c r="H8" s="13">
        <f>COUNTIFS('架電リスト'!$C$5:$C$15,$A8,'架電リスト'!$J$5:$J$15,"アポ獲得")</f>
        <v/>
      </c>
      <c r="I8" s="13">
        <f>COUNTIFS('架電リスト'!$C$5:$C$15,$A8,'架電リスト'!$J$5:$J$15,"検討中")</f>
        <v/>
      </c>
      <c r="J8" s="13">
        <f>COUNTIFS('架電リスト'!$C$5:$C$15,$A8,'架電リスト'!$J$5:$J$15,"NG")</f>
        <v/>
      </c>
      <c r="K8" s="13">
        <f>COUNTIFS('架電リスト'!$C$5:$C$15,$A8,'架電リスト'!$J$5:$J$15,"番号不明")</f>
        <v/>
      </c>
    </row>
    <row r="9">
      <c r="A9" s="13" t="inlineStr">
        <is>
          <t>身延町</t>
        </is>
      </c>
      <c r="B9" s="13">
        <f>COUNTIF('架電リスト'!$C$5:$C$15,A9)</f>
        <v/>
      </c>
      <c r="C9" s="13">
        <f>COUNTIFS('架電リスト'!$C$5:$C$15,A9,'架電リスト'!$E$5:$E$15,"&lt;&gt;")</f>
        <v/>
      </c>
      <c r="D9" s="13">
        <f>B9-COUNTIFS('架電リスト'!$C$5:$C$15,A9,'架電リスト'!$J$5:$J$15,"未架電")-COUNTIFS('架電リスト'!$C$5:$C$15,A9,'架電リスト'!$J$5:$J$15,"")</f>
        <v/>
      </c>
      <c r="E9" s="13">
        <f>COUNTIFS('架電リスト'!$C$5:$C$15,$A9,'架電リスト'!$J$5:$J$15,"不在・折返し待ち")</f>
        <v/>
      </c>
      <c r="F9" s="13">
        <f>COUNTIFS('架電リスト'!$C$5:$C$15,$A9,'架電リスト'!$J$5:$J$15,"担当者不在")</f>
        <v/>
      </c>
      <c r="G9" s="13">
        <f>COUNTIFS('架電リスト'!$C$5:$C$15,$A9,'架電リスト'!$J$5:$J$15,"資料送付")</f>
        <v/>
      </c>
      <c r="H9" s="13">
        <f>COUNTIFS('架電リスト'!$C$5:$C$15,$A9,'架電リスト'!$J$5:$J$15,"アポ獲得")</f>
        <v/>
      </c>
      <c r="I9" s="13">
        <f>COUNTIFS('架電リスト'!$C$5:$C$15,$A9,'架電リスト'!$J$5:$J$15,"検討中")</f>
        <v/>
      </c>
      <c r="J9" s="13">
        <f>COUNTIFS('架電リスト'!$C$5:$C$15,$A9,'架電リスト'!$J$5:$J$15,"NG")</f>
        <v/>
      </c>
      <c r="K9" s="13">
        <f>COUNTIFS('架電リスト'!$C$5:$C$15,$A9,'架電リスト'!$J$5:$J$15,"番号不明")</f>
        <v/>
      </c>
    </row>
    <row r="10">
      <c r="A10" s="14" t="inlineStr">
        <is>
          <t>合計</t>
        </is>
      </c>
      <c r="B10" s="14">
        <f>SUM(B4:B9)</f>
        <v/>
      </c>
      <c r="C10" s="14">
        <f>SUM(C4:C9)</f>
        <v/>
      </c>
      <c r="D10" s="14">
        <f>SUM(D4:D9)</f>
        <v/>
      </c>
      <c r="E10" s="14">
        <f>SUM(E4:E9)</f>
        <v/>
      </c>
      <c r="F10" s="14">
        <f>SUM(F4:F9)</f>
        <v/>
      </c>
      <c r="G10" s="14">
        <f>SUM(G4:G9)</f>
        <v/>
      </c>
      <c r="H10" s="14">
        <f>SUM(H4:H9)</f>
        <v/>
      </c>
      <c r="I10" s="14">
        <f>SUM(I4:I9)</f>
        <v/>
      </c>
      <c r="J10" s="14">
        <f>SUM(J4:J9)</f>
        <v/>
      </c>
      <c r="K10" s="14">
        <f>SUM(K4:K9)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・出典：ご提供いただいた学校ネットの検索結果（私立高校・山梨県、11校）の貼り付けデータ。並び順は都道府県ごとに元データの掲載順です。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2026-10-13T08:30:09Z</dcterms:created>
  <dcterms:modified xsi:type="dcterms:W3CDTF">2026-10-13T08:30:09Z</dcterms:modified>
</cp:coreProperties>
</file>