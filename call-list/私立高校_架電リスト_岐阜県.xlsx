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'架電リスト'!$A$4:$O$21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194.html" TargetMode="External" Id="rId1" /><Relationship Type="http://schemas.openxmlformats.org/officeDocument/2006/relationships/hyperlink" Target="https://www.gakkou.net/kou/view/index_303238.html" TargetMode="External" Id="rId2" /><Relationship Type="http://schemas.openxmlformats.org/officeDocument/2006/relationships/hyperlink" Target="https://www.gakkou.net/kou/view/index_306653.html" TargetMode="External" Id="rId3" /><Relationship Type="http://schemas.openxmlformats.org/officeDocument/2006/relationships/hyperlink" Target="https://www.gakkou.net/kou/view/index_303198.html" TargetMode="External" Id="rId4" /><Relationship Type="http://schemas.openxmlformats.org/officeDocument/2006/relationships/hyperlink" Target="https://www.gakkou.net/kou/view/index_303223.html" TargetMode="External" Id="rId5" /><Relationship Type="http://schemas.openxmlformats.org/officeDocument/2006/relationships/hyperlink" Target="https://www.gakkou.net/kou/view/index_303207.html" TargetMode="External" Id="rId6" /><Relationship Type="http://schemas.openxmlformats.org/officeDocument/2006/relationships/hyperlink" Target="https://www.gakkou.net/kou/view/index_303196.html" TargetMode="External" Id="rId7" /><Relationship Type="http://schemas.openxmlformats.org/officeDocument/2006/relationships/hyperlink" Target="https://www.gakkou.net/kou/view/index_306654.html" TargetMode="External" Id="rId8" /><Relationship Type="http://schemas.openxmlformats.org/officeDocument/2006/relationships/hyperlink" Target="https://www.gakkou.net/kou/view/index_303202.html" TargetMode="External" Id="rId9" /><Relationship Type="http://schemas.openxmlformats.org/officeDocument/2006/relationships/hyperlink" Target="https://www.gakkou.net/kou/view/index_303212.html" TargetMode="External" Id="rId10" /><Relationship Type="http://schemas.openxmlformats.org/officeDocument/2006/relationships/hyperlink" Target="https://www.gakkou.net/kou/view/index_303266.html" TargetMode="External" Id="rId11" /><Relationship Type="http://schemas.openxmlformats.org/officeDocument/2006/relationships/hyperlink" Target="https://www.gakkou.net/kou/view/index_303271.html" TargetMode="External" Id="rId12" /><Relationship Type="http://schemas.openxmlformats.org/officeDocument/2006/relationships/hyperlink" Target="https://www.gakkou.net/kou/view/index_303291.html" TargetMode="External" Id="rId13" /><Relationship Type="http://schemas.openxmlformats.org/officeDocument/2006/relationships/hyperlink" Target="https://www.gakkou.net/kou/view/index_303281.html" TargetMode="External" Id="rId14" /><Relationship Type="http://schemas.openxmlformats.org/officeDocument/2006/relationships/hyperlink" Target="https://www.gakkou.net/kou/view/index_303195.html" TargetMode="External" Id="rId15" /><Relationship Type="http://schemas.openxmlformats.org/officeDocument/2006/relationships/hyperlink" Target="https://www.gakkou.net/kou/view/index_303258.html" TargetMode="External" Id="rId16" /><Relationship Type="http://schemas.openxmlformats.org/officeDocument/2006/relationships/hyperlink" Target="https://www.gakkou.net/kou/view/index_303292.html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架電リスト（岐阜県／17校）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岐阜県</t>
        </is>
      </c>
      <c r="C5" s="5" t="inlineStr">
        <is>
          <t>岐阜市</t>
        </is>
      </c>
      <c r="D5" s="5" t="inlineStr">
        <is>
          <t>鶯谷高等学校</t>
        </is>
      </c>
      <c r="E5" s="6" t="inlineStr">
        <is>
          <t>058-265-7571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代表として掲載。中高共通</t>
        </is>
      </c>
      <c r="N5" s="11" t="inlineStr">
        <is>
          <t>https://www.mapion.co.jp/phonebook/M11004/21201/ILSP0000041163_ipclm/ ; https://www.inter-edu.com/schools/school/1452</t>
        </is>
      </c>
      <c r="O5" s="12" t="inlineStr">
        <is>
          <t>開く</t>
        </is>
      </c>
    </row>
    <row r="6">
      <c r="A6" s="4" t="n">
        <v>2</v>
      </c>
      <c r="B6" s="5" t="inlineStr">
        <is>
          <t>岐阜県</t>
        </is>
      </c>
      <c r="C6" s="5" t="inlineStr">
        <is>
          <t>大垣市</t>
        </is>
      </c>
      <c r="D6" s="5" t="inlineStr">
        <is>
          <t>大垣日本大学高等学校</t>
        </is>
      </c>
      <c r="E6" s="6" t="inlineStr">
        <is>
          <t>0584-81-7323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公式サイトと岐阜県の資料で一致</t>
        </is>
      </c>
      <c r="N6" s="11" t="inlineStr">
        <is>
          <t>https://www.ogaki.ac.jp/ ; https://www.gifu-net.ed.jp/ssd/sien/guide/gakkou/309.pdf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岐阜県</t>
        </is>
      </c>
      <c r="C7" s="5" t="inlineStr">
        <is>
          <t>岐阜市</t>
        </is>
      </c>
      <c r="D7" s="5" t="inlineStr">
        <is>
          <t>ぎふ国際高等学校</t>
        </is>
      </c>
      <c r="E7" s="6" t="inlineStr">
        <is>
          <t>058-251-8181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通信制。公式サイトと岐阜県の資料で一致</t>
        </is>
      </c>
      <c r="N7" s="11" t="inlineStr">
        <is>
          <t>https://gifu-kokusai.denpa.jp/ ; https://www.gifu-net.ed.jp/ssd/sien/guide/gakkou/318.pdf</t>
        </is>
      </c>
      <c r="O7" s="12" t="inlineStr">
        <is>
          <t>開く</t>
        </is>
      </c>
    </row>
    <row r="8">
      <c r="A8" s="4" t="n">
        <v>4</v>
      </c>
      <c r="B8" s="5" t="inlineStr">
        <is>
          <t>岐阜県</t>
        </is>
      </c>
      <c r="C8" s="5" t="inlineStr">
        <is>
          <t>岐阜市</t>
        </is>
      </c>
      <c r="D8" s="5" t="inlineStr">
        <is>
          <t>岐阜聖徳学園高等学校</t>
        </is>
      </c>
      <c r="E8" s="6" t="inlineStr">
        <is>
          <t>058-271-5451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公式サイトで確認。法人本部（058-279-3300）とは別</t>
        </is>
      </c>
      <c r="N8" s="11" t="inlineStr">
        <is>
          <t>https://www.shotoku.jp/access/index.html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岐阜県</t>
        </is>
      </c>
      <c r="C9" s="5" t="inlineStr">
        <is>
          <t>岐南町</t>
        </is>
      </c>
      <c r="D9" s="5" t="inlineStr">
        <is>
          <t>岐阜女子高等学校</t>
        </is>
      </c>
      <c r="E9" s="6" t="inlineStr">
        <is>
          <t>058-245-2670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公式サイトに「代表」と記載</t>
        </is>
      </c>
      <c r="N9" s="11" t="inlineStr">
        <is>
          <t>https://www.gifujoshi.ed.jp/info/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岐阜県</t>
        </is>
      </c>
      <c r="C10" s="5" t="inlineStr">
        <is>
          <t>本巣市</t>
        </is>
      </c>
      <c r="D10" s="5" t="inlineStr">
        <is>
          <t>岐阜第一高等学校</t>
        </is>
      </c>
      <c r="E10" s="6" t="inlineStr">
        <is>
          <t>058-324-2161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2つのサイトで一致、公式未確認</t>
        </is>
      </c>
      <c r="N10" s="11" t="inlineStr">
        <is>
          <t>https://www.mapion.co.jp/phonebook/M11004/21218/ILSP0000041106_ipclm/ ; https://www.iezo.net/tiikinavi/gifu/motosu/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岐阜県</t>
        </is>
      </c>
      <c r="C11" s="5" t="inlineStr">
        <is>
          <t>岐阜市</t>
        </is>
      </c>
      <c r="D11" s="5" t="inlineStr">
        <is>
          <t>岐阜東高等学校</t>
        </is>
      </c>
      <c r="E11" s="6" t="inlineStr">
        <is>
          <t>058-246-2956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</t>
        </is>
      </c>
      <c r="N11" s="11" t="inlineStr">
        <is>
          <t>https://www.gito.ed.jp/contact/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岐阜県</t>
        </is>
      </c>
      <c r="C12" s="5" t="inlineStr">
        <is>
          <t>岐阜市</t>
        </is>
      </c>
      <c r="D12" s="5" t="inlineStr">
        <is>
          <t>城南高等学校</t>
        </is>
      </c>
      <c r="E12" s="6" t="inlineStr">
        <is>
          <t>058-240-3335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通信制。公式サイトで確認（城南高等専修学校と共通）</t>
        </is>
      </c>
      <c r="N12" s="11" t="inlineStr">
        <is>
          <t>https://hope.sc/access/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岐阜県</t>
        </is>
      </c>
      <c r="C13" s="5" t="inlineStr">
        <is>
          <t>岐阜市</t>
        </is>
      </c>
      <c r="D13" s="5" t="inlineStr">
        <is>
          <t>済美高等学校（岐阜県）</t>
        </is>
      </c>
      <c r="E13" s="6" t="inlineStr">
        <is>
          <t>058-271-0345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</t>
        </is>
      </c>
      <c r="N13" s="11" t="inlineStr">
        <is>
          <t>https://www.gifu-seibi.ed.jp/access/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岐阜県</t>
        </is>
      </c>
      <c r="C14" s="5" t="inlineStr">
        <is>
          <t>岐阜市</t>
        </is>
      </c>
      <c r="D14" s="5" t="inlineStr">
        <is>
          <t>聖マリア女学院高等学校</t>
        </is>
      </c>
      <c r="E14" s="6" t="inlineStr">
        <is>
          <t>058-229-1102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</t>
        </is>
      </c>
      <c r="N14" s="11" t="inlineStr">
        <is>
          <t>https://maria.ed.jp/access/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岐阜県</t>
        </is>
      </c>
      <c r="C15" s="5" t="inlineStr">
        <is>
          <t>高山市</t>
        </is>
      </c>
      <c r="D15" s="5" t="inlineStr">
        <is>
          <t>高山西高等学校</t>
        </is>
      </c>
      <c r="E15" s="6" t="inlineStr">
        <is>
          <t>0577-32-2590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</t>
        </is>
      </c>
      <c r="N15" s="11" t="inlineStr">
        <is>
          <t>https://takanishi.ed.jp/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岐阜県</t>
        </is>
      </c>
      <c r="C16" s="5" t="inlineStr">
        <is>
          <t>多治見市</t>
        </is>
      </c>
      <c r="D16" s="5" t="inlineStr">
        <is>
          <t>多治見西高等学校</t>
        </is>
      </c>
      <c r="E16" s="6" t="inlineStr">
        <is>
          <t>0572-27-2547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公式サイトで確認</t>
        </is>
      </c>
      <c r="N16" s="11" t="inlineStr">
        <is>
          <t>https://www.tajiminishi.ed.jp/high/attending-school/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岐阜県</t>
        </is>
      </c>
      <c r="C17" s="5" t="inlineStr">
        <is>
          <t>瑞浪市</t>
        </is>
      </c>
      <c r="D17" s="5" t="inlineStr">
        <is>
          <t>中京高等学校</t>
        </is>
      </c>
      <c r="E17" s="6" t="inlineStr">
        <is>
          <t>0572-68-4501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全日制の番号（瑞浪市のサイトほかで一致）。通信制課程は0572-66-1255。愛知の中京大学附属中京とは別の学校</t>
        </is>
      </c>
      <c r="N17" s="11" t="inlineStr">
        <is>
          <t>https://www.city.mizunami.lg.jp/kosodate/gakkoukyouiku/1002127.html ; https://www.mapion.co.jp/phonebook/M11004/21208/ILSP0000040904_ipclm/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岐阜県</t>
        </is>
      </c>
      <c r="C18" s="5" t="inlineStr">
        <is>
          <t>可児市</t>
        </is>
      </c>
      <c r="D18" s="5" t="inlineStr">
        <is>
          <t>帝京大学可児高等学校</t>
        </is>
      </c>
      <c r="E18" s="6" t="inlineStr">
        <is>
          <t>0574-64-3211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公式サイトで確認</t>
        </is>
      </c>
      <c r="N18" s="11" t="inlineStr">
        <is>
          <t>https://www.teikyo-kani.ed.jp/high/access/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岐阜県</t>
        </is>
      </c>
      <c r="C19" s="5" t="inlineStr">
        <is>
          <t>岐阜市</t>
        </is>
      </c>
      <c r="D19" s="5" t="inlineStr">
        <is>
          <t>富田高等学校</t>
        </is>
      </c>
      <c r="E19" s="6" t="inlineStr">
        <is>
          <t>058-245-3621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公式サイトで確認</t>
        </is>
      </c>
      <c r="N19" s="11" t="inlineStr">
        <is>
          <t>https://www.tomita.ac.jp/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岐阜県</t>
        </is>
      </c>
      <c r="C20" s="5" t="inlineStr">
        <is>
          <t>美濃加茂市</t>
        </is>
      </c>
      <c r="D20" s="5" t="inlineStr">
        <is>
          <t>美濃加茂高等学校</t>
        </is>
      </c>
      <c r="E20" s="6" t="inlineStr">
        <is>
          <t>0574-26-7181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公式サイトで確認（私立）。0574-26-7182を載せるサイトもあり。公式サイトに電話設備の故障のお知らせあり</t>
        </is>
      </c>
      <c r="N20" s="11" t="inlineStr">
        <is>
          <t>https://minokamo.ed.jp/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岐阜県</t>
        </is>
      </c>
      <c r="C21" s="5" t="inlineStr">
        <is>
          <t>瑞浪市</t>
        </is>
      </c>
      <c r="D21" s="5" t="inlineStr">
        <is>
          <t>麗澤瑞浪高等学校</t>
        </is>
      </c>
      <c r="E21" s="6" t="inlineStr">
        <is>
          <t>0572-66-3111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公式サイトで確認。中高共通</t>
        </is>
      </c>
      <c r="N21" s="11" t="inlineStr">
        <is>
          <t>https://www.mz.reitaku.jp/school-guide/overview_history/</t>
        </is>
      </c>
      <c r="O21" s="12" t="inlineStr">
        <is>
          <t>開く</t>
        </is>
      </c>
    </row>
  </sheetData>
  <autoFilter ref="A4:O21"/>
  <conditionalFormatting sqref="A5:O21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1" showDropDown="0" showInputMessage="0" showErrorMessage="0" allowBlank="1" type="list">
      <formula1>"未架電,不在・折返し待ち,担当者不在,資料送付,アポ獲得,検討中,NG,番号不明"</formula1>
    </dataValidation>
    <dataValidation sqref="H5:H21 K5:K21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岐阜市</t>
        </is>
      </c>
      <c r="B4" s="13">
        <f>COUNTIF('架電リスト'!$C$5:$C$21,A4)</f>
        <v/>
      </c>
      <c r="C4" s="13">
        <f>COUNTIFS('架電リスト'!$C$5:$C$21,A4,'架電リスト'!$E$5:$E$21,"&lt;&gt;")</f>
        <v/>
      </c>
      <c r="D4" s="13">
        <f>B4-COUNTIFS('架電リスト'!$C$5:$C$21,A4,'架電リスト'!$J$5:$J$21,"未架電")-COUNTIFS('架電リスト'!$C$5:$C$21,A4,'架電リスト'!$J$5:$J$21,"")</f>
        <v/>
      </c>
      <c r="E4" s="13">
        <f>COUNTIFS('架電リスト'!$C$5:$C$21,$A4,'架電リスト'!$J$5:$J$21,"不在・折返し待ち")</f>
        <v/>
      </c>
      <c r="F4" s="13">
        <f>COUNTIFS('架電リスト'!$C$5:$C$21,$A4,'架電リスト'!$J$5:$J$21,"担当者不在")</f>
        <v/>
      </c>
      <c r="G4" s="13">
        <f>COUNTIFS('架電リスト'!$C$5:$C$21,$A4,'架電リスト'!$J$5:$J$21,"資料送付")</f>
        <v/>
      </c>
      <c r="H4" s="13">
        <f>COUNTIFS('架電リスト'!$C$5:$C$21,$A4,'架電リスト'!$J$5:$J$21,"アポ獲得")</f>
        <v/>
      </c>
      <c r="I4" s="13">
        <f>COUNTIFS('架電リスト'!$C$5:$C$21,$A4,'架電リスト'!$J$5:$J$21,"検討中")</f>
        <v/>
      </c>
      <c r="J4" s="13">
        <f>COUNTIFS('架電リスト'!$C$5:$C$21,$A4,'架電リスト'!$J$5:$J$21,"NG")</f>
        <v/>
      </c>
      <c r="K4" s="13">
        <f>COUNTIFS('架電リスト'!$C$5:$C$21,$A4,'架電リスト'!$J$5:$J$21,"番号不明")</f>
        <v/>
      </c>
    </row>
    <row r="5">
      <c r="A5" s="13" t="inlineStr">
        <is>
          <t>瑞浪市</t>
        </is>
      </c>
      <c r="B5" s="13">
        <f>COUNTIF('架電リスト'!$C$5:$C$21,A5)</f>
        <v/>
      </c>
      <c r="C5" s="13">
        <f>COUNTIFS('架電リスト'!$C$5:$C$21,A5,'架電リスト'!$E$5:$E$21,"&lt;&gt;")</f>
        <v/>
      </c>
      <c r="D5" s="13">
        <f>B5-COUNTIFS('架電リスト'!$C$5:$C$21,A5,'架電リスト'!$J$5:$J$21,"未架電")-COUNTIFS('架電リスト'!$C$5:$C$21,A5,'架電リスト'!$J$5:$J$21,"")</f>
        <v/>
      </c>
      <c r="E5" s="13">
        <f>COUNTIFS('架電リスト'!$C$5:$C$21,$A5,'架電リスト'!$J$5:$J$21,"不在・折返し待ち")</f>
        <v/>
      </c>
      <c r="F5" s="13">
        <f>COUNTIFS('架電リスト'!$C$5:$C$21,$A5,'架電リスト'!$J$5:$J$21,"担当者不在")</f>
        <v/>
      </c>
      <c r="G5" s="13">
        <f>COUNTIFS('架電リスト'!$C$5:$C$21,$A5,'架電リスト'!$J$5:$J$21,"資料送付")</f>
        <v/>
      </c>
      <c r="H5" s="13">
        <f>COUNTIFS('架電リスト'!$C$5:$C$21,$A5,'架電リスト'!$J$5:$J$21,"アポ獲得")</f>
        <v/>
      </c>
      <c r="I5" s="13">
        <f>COUNTIFS('架電リスト'!$C$5:$C$21,$A5,'架電リスト'!$J$5:$J$21,"検討中")</f>
        <v/>
      </c>
      <c r="J5" s="13">
        <f>COUNTIFS('架電リスト'!$C$5:$C$21,$A5,'架電リスト'!$J$5:$J$21,"NG")</f>
        <v/>
      </c>
      <c r="K5" s="13">
        <f>COUNTIFS('架電リスト'!$C$5:$C$21,$A5,'架電リスト'!$J$5:$J$21,"番号不明")</f>
        <v/>
      </c>
    </row>
    <row r="6">
      <c r="A6" s="13" t="inlineStr">
        <is>
          <t>大垣市</t>
        </is>
      </c>
      <c r="B6" s="13">
        <f>COUNTIF('架電リスト'!$C$5:$C$21,A6)</f>
        <v/>
      </c>
      <c r="C6" s="13">
        <f>COUNTIFS('架電リスト'!$C$5:$C$21,A6,'架電リスト'!$E$5:$E$21,"&lt;&gt;")</f>
        <v/>
      </c>
      <c r="D6" s="13">
        <f>B6-COUNTIFS('架電リスト'!$C$5:$C$21,A6,'架電リスト'!$J$5:$J$21,"未架電")-COUNTIFS('架電リスト'!$C$5:$C$21,A6,'架電リスト'!$J$5:$J$21,"")</f>
        <v/>
      </c>
      <c r="E6" s="13">
        <f>COUNTIFS('架電リスト'!$C$5:$C$21,$A6,'架電リスト'!$J$5:$J$21,"不在・折返し待ち")</f>
        <v/>
      </c>
      <c r="F6" s="13">
        <f>COUNTIFS('架電リスト'!$C$5:$C$21,$A6,'架電リスト'!$J$5:$J$21,"担当者不在")</f>
        <v/>
      </c>
      <c r="G6" s="13">
        <f>COUNTIFS('架電リスト'!$C$5:$C$21,$A6,'架電リスト'!$J$5:$J$21,"資料送付")</f>
        <v/>
      </c>
      <c r="H6" s="13">
        <f>COUNTIFS('架電リスト'!$C$5:$C$21,$A6,'架電リスト'!$J$5:$J$21,"アポ獲得")</f>
        <v/>
      </c>
      <c r="I6" s="13">
        <f>COUNTIFS('架電リスト'!$C$5:$C$21,$A6,'架電リスト'!$J$5:$J$21,"検討中")</f>
        <v/>
      </c>
      <c r="J6" s="13">
        <f>COUNTIFS('架電リスト'!$C$5:$C$21,$A6,'架電リスト'!$J$5:$J$21,"NG")</f>
        <v/>
      </c>
      <c r="K6" s="13">
        <f>COUNTIFS('架電リスト'!$C$5:$C$21,$A6,'架電リスト'!$J$5:$J$21,"番号不明")</f>
        <v/>
      </c>
    </row>
    <row r="7">
      <c r="A7" s="13" t="inlineStr">
        <is>
          <t>岐南町</t>
        </is>
      </c>
      <c r="B7" s="13">
        <f>COUNTIF('架電リスト'!$C$5:$C$21,A7)</f>
        <v/>
      </c>
      <c r="C7" s="13">
        <f>COUNTIFS('架電リスト'!$C$5:$C$21,A7,'架電リスト'!$E$5:$E$21,"&lt;&gt;")</f>
        <v/>
      </c>
      <c r="D7" s="13">
        <f>B7-COUNTIFS('架電リスト'!$C$5:$C$21,A7,'架電リスト'!$J$5:$J$21,"未架電")-COUNTIFS('架電リスト'!$C$5:$C$21,A7,'架電リスト'!$J$5:$J$21,"")</f>
        <v/>
      </c>
      <c r="E7" s="13">
        <f>COUNTIFS('架電リスト'!$C$5:$C$21,$A7,'架電リスト'!$J$5:$J$21,"不在・折返し待ち")</f>
        <v/>
      </c>
      <c r="F7" s="13">
        <f>COUNTIFS('架電リスト'!$C$5:$C$21,$A7,'架電リスト'!$J$5:$J$21,"担当者不在")</f>
        <v/>
      </c>
      <c r="G7" s="13">
        <f>COUNTIFS('架電リスト'!$C$5:$C$21,$A7,'架電リスト'!$J$5:$J$21,"資料送付")</f>
        <v/>
      </c>
      <c r="H7" s="13">
        <f>COUNTIFS('架電リスト'!$C$5:$C$21,$A7,'架電リスト'!$J$5:$J$21,"アポ獲得")</f>
        <v/>
      </c>
      <c r="I7" s="13">
        <f>COUNTIFS('架電リスト'!$C$5:$C$21,$A7,'架電リスト'!$J$5:$J$21,"検討中")</f>
        <v/>
      </c>
      <c r="J7" s="13">
        <f>COUNTIFS('架電リスト'!$C$5:$C$21,$A7,'架電リスト'!$J$5:$J$21,"NG")</f>
        <v/>
      </c>
      <c r="K7" s="13">
        <f>COUNTIFS('架電リスト'!$C$5:$C$21,$A7,'架電リスト'!$J$5:$J$21,"番号不明")</f>
        <v/>
      </c>
    </row>
    <row r="8">
      <c r="A8" s="13" t="inlineStr">
        <is>
          <t>本巣市</t>
        </is>
      </c>
      <c r="B8" s="13">
        <f>COUNTIF('架電リスト'!$C$5:$C$21,A8)</f>
        <v/>
      </c>
      <c r="C8" s="13">
        <f>COUNTIFS('架電リスト'!$C$5:$C$21,A8,'架電リスト'!$E$5:$E$21,"&lt;&gt;")</f>
        <v/>
      </c>
      <c r="D8" s="13">
        <f>B8-COUNTIFS('架電リスト'!$C$5:$C$21,A8,'架電リスト'!$J$5:$J$21,"未架電")-COUNTIFS('架電リスト'!$C$5:$C$21,A8,'架電リスト'!$J$5:$J$21,"")</f>
        <v/>
      </c>
      <c r="E8" s="13">
        <f>COUNTIFS('架電リスト'!$C$5:$C$21,$A8,'架電リスト'!$J$5:$J$21,"不在・折返し待ち")</f>
        <v/>
      </c>
      <c r="F8" s="13">
        <f>COUNTIFS('架電リスト'!$C$5:$C$21,$A8,'架電リスト'!$J$5:$J$21,"担当者不在")</f>
        <v/>
      </c>
      <c r="G8" s="13">
        <f>COUNTIFS('架電リスト'!$C$5:$C$21,$A8,'架電リスト'!$J$5:$J$21,"資料送付")</f>
        <v/>
      </c>
      <c r="H8" s="13">
        <f>COUNTIFS('架電リスト'!$C$5:$C$21,$A8,'架電リスト'!$J$5:$J$21,"アポ獲得")</f>
        <v/>
      </c>
      <c r="I8" s="13">
        <f>COUNTIFS('架電リスト'!$C$5:$C$21,$A8,'架電リスト'!$J$5:$J$21,"検討中")</f>
        <v/>
      </c>
      <c r="J8" s="13">
        <f>COUNTIFS('架電リスト'!$C$5:$C$21,$A8,'架電リスト'!$J$5:$J$21,"NG")</f>
        <v/>
      </c>
      <c r="K8" s="13">
        <f>COUNTIFS('架電リスト'!$C$5:$C$21,$A8,'架電リスト'!$J$5:$J$21,"番号不明")</f>
        <v/>
      </c>
    </row>
    <row r="9">
      <c r="A9" s="13" t="inlineStr">
        <is>
          <t>高山市</t>
        </is>
      </c>
      <c r="B9" s="13">
        <f>COUNTIF('架電リスト'!$C$5:$C$21,A9)</f>
        <v/>
      </c>
      <c r="C9" s="13">
        <f>COUNTIFS('架電リスト'!$C$5:$C$21,A9,'架電リスト'!$E$5:$E$21,"&lt;&gt;")</f>
        <v/>
      </c>
      <c r="D9" s="13">
        <f>B9-COUNTIFS('架電リスト'!$C$5:$C$21,A9,'架電リスト'!$J$5:$J$21,"未架電")-COUNTIFS('架電リスト'!$C$5:$C$21,A9,'架電リスト'!$J$5:$J$21,"")</f>
        <v/>
      </c>
      <c r="E9" s="13">
        <f>COUNTIFS('架電リスト'!$C$5:$C$21,$A9,'架電リスト'!$J$5:$J$21,"不在・折返し待ち")</f>
        <v/>
      </c>
      <c r="F9" s="13">
        <f>COUNTIFS('架電リスト'!$C$5:$C$21,$A9,'架電リスト'!$J$5:$J$21,"担当者不在")</f>
        <v/>
      </c>
      <c r="G9" s="13">
        <f>COUNTIFS('架電リスト'!$C$5:$C$21,$A9,'架電リスト'!$J$5:$J$21,"資料送付")</f>
        <v/>
      </c>
      <c r="H9" s="13">
        <f>COUNTIFS('架電リスト'!$C$5:$C$21,$A9,'架電リスト'!$J$5:$J$21,"アポ獲得")</f>
        <v/>
      </c>
      <c r="I9" s="13">
        <f>COUNTIFS('架電リスト'!$C$5:$C$21,$A9,'架電リスト'!$J$5:$J$21,"検討中")</f>
        <v/>
      </c>
      <c r="J9" s="13">
        <f>COUNTIFS('架電リスト'!$C$5:$C$21,$A9,'架電リスト'!$J$5:$J$21,"NG")</f>
        <v/>
      </c>
      <c r="K9" s="13">
        <f>COUNTIFS('架電リスト'!$C$5:$C$21,$A9,'架電リスト'!$J$5:$J$21,"番号不明")</f>
        <v/>
      </c>
    </row>
    <row r="10">
      <c r="A10" s="13" t="inlineStr">
        <is>
          <t>多治見市</t>
        </is>
      </c>
      <c r="B10" s="13">
        <f>COUNTIF('架電リスト'!$C$5:$C$21,A10)</f>
        <v/>
      </c>
      <c r="C10" s="13">
        <f>COUNTIFS('架電リスト'!$C$5:$C$21,A10,'架電リスト'!$E$5:$E$21,"&lt;&gt;")</f>
        <v/>
      </c>
      <c r="D10" s="13">
        <f>B10-COUNTIFS('架電リスト'!$C$5:$C$21,A10,'架電リスト'!$J$5:$J$21,"未架電")-COUNTIFS('架電リスト'!$C$5:$C$21,A10,'架電リスト'!$J$5:$J$21,"")</f>
        <v/>
      </c>
      <c r="E10" s="13">
        <f>COUNTIFS('架電リスト'!$C$5:$C$21,$A10,'架電リスト'!$J$5:$J$21,"不在・折返し待ち")</f>
        <v/>
      </c>
      <c r="F10" s="13">
        <f>COUNTIFS('架電リスト'!$C$5:$C$21,$A10,'架電リスト'!$J$5:$J$21,"担当者不在")</f>
        <v/>
      </c>
      <c r="G10" s="13">
        <f>COUNTIFS('架電リスト'!$C$5:$C$21,$A10,'架電リスト'!$J$5:$J$21,"資料送付")</f>
        <v/>
      </c>
      <c r="H10" s="13">
        <f>COUNTIFS('架電リスト'!$C$5:$C$21,$A10,'架電リスト'!$J$5:$J$21,"アポ獲得")</f>
        <v/>
      </c>
      <c r="I10" s="13">
        <f>COUNTIFS('架電リスト'!$C$5:$C$21,$A10,'架電リスト'!$J$5:$J$21,"検討中")</f>
        <v/>
      </c>
      <c r="J10" s="13">
        <f>COUNTIFS('架電リスト'!$C$5:$C$21,$A10,'架電リスト'!$J$5:$J$21,"NG")</f>
        <v/>
      </c>
      <c r="K10" s="13">
        <f>COUNTIFS('架電リスト'!$C$5:$C$21,$A10,'架電リスト'!$J$5:$J$21,"番号不明")</f>
        <v/>
      </c>
    </row>
    <row r="11">
      <c r="A11" s="13" t="inlineStr">
        <is>
          <t>可児市</t>
        </is>
      </c>
      <c r="B11" s="13">
        <f>COUNTIF('架電リスト'!$C$5:$C$21,A11)</f>
        <v/>
      </c>
      <c r="C11" s="13">
        <f>COUNTIFS('架電リスト'!$C$5:$C$21,A11,'架電リスト'!$E$5:$E$21,"&lt;&gt;")</f>
        <v/>
      </c>
      <c r="D11" s="13">
        <f>B11-COUNTIFS('架電リスト'!$C$5:$C$21,A11,'架電リスト'!$J$5:$J$21,"未架電")-COUNTIFS('架電リスト'!$C$5:$C$21,A11,'架電リスト'!$J$5:$J$21,"")</f>
        <v/>
      </c>
      <c r="E11" s="13">
        <f>COUNTIFS('架電リスト'!$C$5:$C$21,$A11,'架電リスト'!$J$5:$J$21,"不在・折返し待ち")</f>
        <v/>
      </c>
      <c r="F11" s="13">
        <f>COUNTIFS('架電リスト'!$C$5:$C$21,$A11,'架電リスト'!$J$5:$J$21,"担当者不在")</f>
        <v/>
      </c>
      <c r="G11" s="13">
        <f>COUNTIFS('架電リスト'!$C$5:$C$21,$A11,'架電リスト'!$J$5:$J$21,"資料送付")</f>
        <v/>
      </c>
      <c r="H11" s="13">
        <f>COUNTIFS('架電リスト'!$C$5:$C$21,$A11,'架電リスト'!$J$5:$J$21,"アポ獲得")</f>
        <v/>
      </c>
      <c r="I11" s="13">
        <f>COUNTIFS('架電リスト'!$C$5:$C$21,$A11,'架電リスト'!$J$5:$J$21,"検討中")</f>
        <v/>
      </c>
      <c r="J11" s="13">
        <f>COUNTIFS('架電リスト'!$C$5:$C$21,$A11,'架電リスト'!$J$5:$J$21,"NG")</f>
        <v/>
      </c>
      <c r="K11" s="13">
        <f>COUNTIFS('架電リスト'!$C$5:$C$21,$A11,'架電リスト'!$J$5:$J$21,"番号不明")</f>
        <v/>
      </c>
    </row>
    <row r="12">
      <c r="A12" s="13" t="inlineStr">
        <is>
          <t>美濃加茂市</t>
        </is>
      </c>
      <c r="B12" s="13">
        <f>COUNTIF('架電リスト'!$C$5:$C$21,A12)</f>
        <v/>
      </c>
      <c r="C12" s="13">
        <f>COUNTIFS('架電リスト'!$C$5:$C$21,A12,'架電リスト'!$E$5:$E$21,"&lt;&gt;")</f>
        <v/>
      </c>
      <c r="D12" s="13">
        <f>B12-COUNTIFS('架電リスト'!$C$5:$C$21,A12,'架電リスト'!$J$5:$J$21,"未架電")-COUNTIFS('架電リスト'!$C$5:$C$21,A12,'架電リスト'!$J$5:$J$21,"")</f>
        <v/>
      </c>
      <c r="E12" s="13">
        <f>COUNTIFS('架電リスト'!$C$5:$C$21,$A12,'架電リスト'!$J$5:$J$21,"不在・折返し待ち")</f>
        <v/>
      </c>
      <c r="F12" s="13">
        <f>COUNTIFS('架電リスト'!$C$5:$C$21,$A12,'架電リスト'!$J$5:$J$21,"担当者不在")</f>
        <v/>
      </c>
      <c r="G12" s="13">
        <f>COUNTIFS('架電リスト'!$C$5:$C$21,$A12,'架電リスト'!$J$5:$J$21,"資料送付")</f>
        <v/>
      </c>
      <c r="H12" s="13">
        <f>COUNTIFS('架電リスト'!$C$5:$C$21,$A12,'架電リスト'!$J$5:$J$21,"アポ獲得")</f>
        <v/>
      </c>
      <c r="I12" s="13">
        <f>COUNTIFS('架電リスト'!$C$5:$C$21,$A12,'架電リスト'!$J$5:$J$21,"検討中")</f>
        <v/>
      </c>
      <c r="J12" s="13">
        <f>COUNTIFS('架電リスト'!$C$5:$C$21,$A12,'架電リスト'!$J$5:$J$21,"NG")</f>
        <v/>
      </c>
      <c r="K12" s="13">
        <f>COUNTIFS('架電リスト'!$C$5:$C$21,$A12,'架電リスト'!$J$5:$J$21,"番号不明")</f>
        <v/>
      </c>
    </row>
    <row r="13">
      <c r="A13" s="14" t="inlineStr">
        <is>
          <t>合計</t>
        </is>
      </c>
      <c r="B13" s="14">
        <f>SUM(B4:B12)</f>
        <v/>
      </c>
      <c r="C13" s="14">
        <f>SUM(C4:C12)</f>
        <v/>
      </c>
      <c r="D13" s="14">
        <f>SUM(D4:D12)</f>
        <v/>
      </c>
      <c r="E13" s="14">
        <f>SUM(E4:E12)</f>
        <v/>
      </c>
      <c r="F13" s="14">
        <f>SUM(F4:F12)</f>
        <v/>
      </c>
      <c r="G13" s="14">
        <f>SUM(G4:G12)</f>
        <v/>
      </c>
      <c r="H13" s="14">
        <f>SUM(H4:H12)</f>
        <v/>
      </c>
      <c r="I13" s="14">
        <f>SUM(I4:I12)</f>
        <v/>
      </c>
      <c r="J13" s="14">
        <f>SUM(J4:J12)</f>
        <v/>
      </c>
      <c r="K13" s="14">
        <f>SUM(K4:K12)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・出典：ご提供いただいた学校ネットの検索結果（私立高校・岐阜県、17校）の貼り付けデータ。並び順は都道府県ごとに元データの掲載順です。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2026-10-13T09:02:05Z</dcterms:created>
  <dcterms:modified xsi:type="dcterms:W3CDTF">2026-10-13T09:02:05Z</dcterms:modified>
</cp:coreProperties>
</file>