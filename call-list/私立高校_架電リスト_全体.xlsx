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'架電リスト'!$A$4:$O$1382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Relationship Type="http://schemas.openxmlformats.org/officeDocument/2006/relationships/hyperlink" Target="https://www.gakkou.net/kou/view/index_305631.html" TargetMode="External" Id="rId1205" /><Relationship Type="http://schemas.openxmlformats.org/officeDocument/2006/relationships/hyperlink" Target="https://www.gakkou.net/kou/view/index_305697.html" TargetMode="External" Id="rId1206" /><Relationship Type="http://schemas.openxmlformats.org/officeDocument/2006/relationships/hyperlink" Target="https://www.gakkou.net/kou/view/index_305601.html" TargetMode="External" Id="rId1207" /><Relationship Type="http://schemas.openxmlformats.org/officeDocument/2006/relationships/hyperlink" Target="https://www.gakkou.net/kou/view/index_305534.html" TargetMode="External" Id="rId1208" /><Relationship Type="http://schemas.openxmlformats.org/officeDocument/2006/relationships/hyperlink" Target="https://www.gakkou.net/kou/view/index_305547.html" TargetMode="External" Id="rId1209" /><Relationship Type="http://schemas.openxmlformats.org/officeDocument/2006/relationships/hyperlink" Target="https://www.gakkou.net/kou/view/index_305525.html" TargetMode="External" Id="rId1210" /><Relationship Type="http://schemas.openxmlformats.org/officeDocument/2006/relationships/hyperlink" Target="https://www.gakkou.net/kou/view/index_305583.html" TargetMode="External" Id="rId1211" /><Relationship Type="http://schemas.openxmlformats.org/officeDocument/2006/relationships/hyperlink" Target="https://www.gakkou.net/kou/view/index_305608.html" TargetMode="External" Id="rId1212" /><Relationship Type="http://schemas.openxmlformats.org/officeDocument/2006/relationships/hyperlink" Target="https://www.gakkou.net/kou/view/index_305625.html" TargetMode="External" Id="rId1213" /><Relationship Type="http://schemas.openxmlformats.org/officeDocument/2006/relationships/hyperlink" Target="https://www.gakkou.net/kou/view/index_306563.html" TargetMode="External" Id="rId1214" /><Relationship Type="http://schemas.openxmlformats.org/officeDocument/2006/relationships/hyperlink" Target="https://www.gakkou.net/kou/view/index_305664.html" TargetMode="External" Id="rId1215" /><Relationship Type="http://schemas.openxmlformats.org/officeDocument/2006/relationships/hyperlink" Target="https://www.gakkou.net/kou/view/index_305707.html" TargetMode="External" Id="rId1216" /><Relationship Type="http://schemas.openxmlformats.org/officeDocument/2006/relationships/hyperlink" Target="https://www.gakkou.net/kou/view/index_305709.html" TargetMode="External" Id="rId1217" /><Relationship Type="http://schemas.openxmlformats.org/officeDocument/2006/relationships/hyperlink" Target="https://www.gakkou.net/kou/view/index_305496.html" TargetMode="External" Id="rId1218" /><Relationship Type="http://schemas.openxmlformats.org/officeDocument/2006/relationships/hyperlink" Target="https://www.gakkou.net/kou/view/index_305517.html" TargetMode="External" Id="rId1219" /><Relationship Type="http://schemas.openxmlformats.org/officeDocument/2006/relationships/hyperlink" Target="https://www.gakkou.net/kou/view/index_305544.html" TargetMode="External" Id="rId1220" /><Relationship Type="http://schemas.openxmlformats.org/officeDocument/2006/relationships/hyperlink" Target="https://www.gakkou.net/kou/view/index_305512.html" TargetMode="External" Id="rId1221" /><Relationship Type="http://schemas.openxmlformats.org/officeDocument/2006/relationships/hyperlink" Target="https://www.gakkou.net/kou/view/index_305595.html" TargetMode="External" Id="rId1222" /><Relationship Type="http://schemas.openxmlformats.org/officeDocument/2006/relationships/hyperlink" Target="https://www.gakkou.net/kou/view/index_305537.html" TargetMode="External" Id="rId1223" /><Relationship Type="http://schemas.openxmlformats.org/officeDocument/2006/relationships/hyperlink" Target="https://www.gakkou.net/kou/view/index_305551.html" TargetMode="External" Id="rId1224" /><Relationship Type="http://schemas.openxmlformats.org/officeDocument/2006/relationships/hyperlink" Target="https://www.gakkou.net/kou/view/index_305575.html" TargetMode="External" Id="rId1225" /><Relationship Type="http://schemas.openxmlformats.org/officeDocument/2006/relationships/hyperlink" Target="https://www.gakkou.net/kou/view/index_305695.html" TargetMode="External" Id="rId1226" /><Relationship Type="http://schemas.openxmlformats.org/officeDocument/2006/relationships/hyperlink" Target="https://www.gakkou.net/kou/view/index_305588.html" TargetMode="External" Id="rId1227" /><Relationship Type="http://schemas.openxmlformats.org/officeDocument/2006/relationships/hyperlink" Target="https://www.gakkou.net/kou/view/index_305514.html" TargetMode="External" Id="rId1228" /><Relationship Type="http://schemas.openxmlformats.org/officeDocument/2006/relationships/hyperlink" Target="https://www.gakkou.net/kou/view/index_305529.html" TargetMode="External" Id="rId1229" /><Relationship Type="http://schemas.openxmlformats.org/officeDocument/2006/relationships/hyperlink" Target="https://www.gakkou.net/kou/view/index_305598.html" TargetMode="External" Id="rId1230" /><Relationship Type="http://schemas.openxmlformats.org/officeDocument/2006/relationships/hyperlink" Target="https://www.gakkou.net/kou/view/index_305555.html" TargetMode="External" Id="rId1231" /><Relationship Type="http://schemas.openxmlformats.org/officeDocument/2006/relationships/hyperlink" Target="https://www.gakkou.net/kou/view/index_305549.html" TargetMode="External" Id="rId1232" /><Relationship Type="http://schemas.openxmlformats.org/officeDocument/2006/relationships/hyperlink" Target="https://www.gakkou.net/kou/view/index_305610.html" TargetMode="External" Id="rId1233" /><Relationship Type="http://schemas.openxmlformats.org/officeDocument/2006/relationships/hyperlink" Target="https://www.gakkou.net/kou/view/index_305609.html" TargetMode="External" Id="rId1234" /><Relationship Type="http://schemas.openxmlformats.org/officeDocument/2006/relationships/hyperlink" Target="https://www.gakkou.net/kou/view/index_305572.html" TargetMode="External" Id="rId1235" /><Relationship Type="http://schemas.openxmlformats.org/officeDocument/2006/relationships/hyperlink" Target="https://www.gakkou.net/kou/view/index_305518.html" TargetMode="External" Id="rId1236" /><Relationship Type="http://schemas.openxmlformats.org/officeDocument/2006/relationships/hyperlink" Target="https://www.gakkou.net/kou/view/index_305592.html" TargetMode="External" Id="rId1237" /><Relationship Type="http://schemas.openxmlformats.org/officeDocument/2006/relationships/hyperlink" Target="https://www.gakkou.net/kou/view/index_305619.html" TargetMode="External" Id="rId1238" /><Relationship Type="http://schemas.openxmlformats.org/officeDocument/2006/relationships/hyperlink" Target="https://www.gakkou.net/kou/view/index_305683.html" TargetMode="External" Id="rId1239" /><Relationship Type="http://schemas.openxmlformats.org/officeDocument/2006/relationships/hyperlink" Target="https://www.gakkou.net/kou/view/index_305584.html" TargetMode="External" Id="rId1240" /><Relationship Type="http://schemas.openxmlformats.org/officeDocument/2006/relationships/hyperlink" Target="https://www.gakkou.net/kou/view/index_305579.html" TargetMode="External" Id="rId1241" /><Relationship Type="http://schemas.openxmlformats.org/officeDocument/2006/relationships/hyperlink" Target="https://www.gakkou.net/kou/view/index_305513.html" TargetMode="External" Id="rId1242" /><Relationship Type="http://schemas.openxmlformats.org/officeDocument/2006/relationships/hyperlink" Target="https://www.gakkou.net/kou/view/index_305574.html" TargetMode="External" Id="rId1243" /><Relationship Type="http://schemas.openxmlformats.org/officeDocument/2006/relationships/hyperlink" Target="https://www.gakkou.net/kou/view/index_305559.html" TargetMode="External" Id="rId1244" /><Relationship Type="http://schemas.openxmlformats.org/officeDocument/2006/relationships/hyperlink" Target="https://www.gakkou.net/kou/view/index_305675.html" TargetMode="External" Id="rId1245" /><Relationship Type="http://schemas.openxmlformats.org/officeDocument/2006/relationships/hyperlink" Target="https://www.gakkou.net/kou/view/index_305556.html" TargetMode="External" Id="rId1246" /><Relationship Type="http://schemas.openxmlformats.org/officeDocument/2006/relationships/hyperlink" Target="https://www.gakkou.net/kou/view/index_305607.html" TargetMode="External" Id="rId1247" /><Relationship Type="http://schemas.openxmlformats.org/officeDocument/2006/relationships/hyperlink" Target="https://www.gakkou.net/kou/view/index_305594.html" TargetMode="External" Id="rId1248" /><Relationship Type="http://schemas.openxmlformats.org/officeDocument/2006/relationships/hyperlink" Target="https://www.gakkou.net/kou/view/index_305558.html" TargetMode="External" Id="rId1249" /><Relationship Type="http://schemas.openxmlformats.org/officeDocument/2006/relationships/hyperlink" Target="https://www.gakkou.net/kou/view/index_305597.html" TargetMode="External" Id="rId1250" /><Relationship Type="http://schemas.openxmlformats.org/officeDocument/2006/relationships/hyperlink" Target="https://www.gakkou.net/kou/view/index_305552.html" TargetMode="External" Id="rId1251" /><Relationship Type="http://schemas.openxmlformats.org/officeDocument/2006/relationships/hyperlink" Target="https://www.gakkou.net/kou/view/index_305553.html" TargetMode="External" Id="rId1252" /><Relationship Type="http://schemas.openxmlformats.org/officeDocument/2006/relationships/hyperlink" Target="https://www.gakkou.net/kou/view/index_305550.html" TargetMode="External" Id="rId1253" /><Relationship Type="http://schemas.openxmlformats.org/officeDocument/2006/relationships/hyperlink" Target="https://www.gakkou.net/kou/view/index_305617.html" TargetMode="External" Id="rId1254" /><Relationship Type="http://schemas.openxmlformats.org/officeDocument/2006/relationships/hyperlink" Target="https://www.gakkou.net/kou/view/index_305654.html" TargetMode="External" Id="rId1255" /><Relationship Type="http://schemas.openxmlformats.org/officeDocument/2006/relationships/hyperlink" Target="https://www.gakkou.net/kou/view/index_305495.html" TargetMode="External" Id="rId1256" /><Relationship Type="http://schemas.openxmlformats.org/officeDocument/2006/relationships/hyperlink" Target="https://www.gakkou.net/kou/view/index_305504.html" TargetMode="External" Id="rId1257" /><Relationship Type="http://schemas.openxmlformats.org/officeDocument/2006/relationships/hyperlink" Target="https://www.gakkou.net/kou/view/index_305694.html" TargetMode="External" Id="rId1258" /><Relationship Type="http://schemas.openxmlformats.org/officeDocument/2006/relationships/hyperlink" Target="https://www.gakkou.net/kou/view/index_305519.html" TargetMode="External" Id="rId1259" /><Relationship Type="http://schemas.openxmlformats.org/officeDocument/2006/relationships/hyperlink" Target="https://www.gakkou.net/kou/view/index_306717.html" TargetMode="External" Id="rId1260" /><Relationship Type="http://schemas.openxmlformats.org/officeDocument/2006/relationships/hyperlink" Target="https://www.gakkou.net/kou/view/index_305677.html" TargetMode="External" Id="rId1261" /><Relationship Type="http://schemas.openxmlformats.org/officeDocument/2006/relationships/hyperlink" Target="https://www.gakkou.net/kou/view/index_305638.html" TargetMode="External" Id="rId1262" /><Relationship Type="http://schemas.openxmlformats.org/officeDocument/2006/relationships/hyperlink" Target="https://www.gakkou.net/kou/view/index_305684.html" TargetMode="External" Id="rId1263" /><Relationship Type="http://schemas.openxmlformats.org/officeDocument/2006/relationships/hyperlink" Target="https://www.gakkou.net/kou/view/index_305667.html" TargetMode="External" Id="rId1264" /><Relationship Type="http://schemas.openxmlformats.org/officeDocument/2006/relationships/hyperlink" Target="https://www.gakkou.net/kou/view/index_305752.html" TargetMode="External" Id="rId1265" /><Relationship Type="http://schemas.openxmlformats.org/officeDocument/2006/relationships/hyperlink" Target="https://www.gakkou.net/kou/view/index_305759.html" TargetMode="External" Id="rId1266" /><Relationship Type="http://schemas.openxmlformats.org/officeDocument/2006/relationships/hyperlink" Target="https://www.gakkou.net/kou/view/index_305723.html" TargetMode="External" Id="rId1267" /><Relationship Type="http://schemas.openxmlformats.org/officeDocument/2006/relationships/hyperlink" Target="https://www.gakkou.net/kou/view/index_305719.html" TargetMode="External" Id="rId1268" /><Relationship Type="http://schemas.openxmlformats.org/officeDocument/2006/relationships/hyperlink" Target="https://www.gakkou.net/kou/view/index_305718.html" TargetMode="External" Id="rId1269" /><Relationship Type="http://schemas.openxmlformats.org/officeDocument/2006/relationships/hyperlink" Target="https://www.gakkou.net/kou/view/index_305734.html" TargetMode="External" Id="rId1270" /><Relationship Type="http://schemas.openxmlformats.org/officeDocument/2006/relationships/hyperlink" Target="https://www.gakkou.net/kou/view/index_305761.html" TargetMode="External" Id="rId1271" /><Relationship Type="http://schemas.openxmlformats.org/officeDocument/2006/relationships/hyperlink" Target="https://www.gakkou.net/kou/view/index_305721.html" TargetMode="External" Id="rId1272" /><Relationship Type="http://schemas.openxmlformats.org/officeDocument/2006/relationships/hyperlink" Target="https://www.gakkou.net/kou/view/index_306744.html" TargetMode="External" Id="rId1273" /><Relationship Type="http://schemas.openxmlformats.org/officeDocument/2006/relationships/hyperlink" Target="https://www.gakkou.net/kou/view/index_305784.html" TargetMode="External" Id="rId1274" /><Relationship Type="http://schemas.openxmlformats.org/officeDocument/2006/relationships/hyperlink" Target="https://www.gakkou.net/kou/view/index_305798.html" TargetMode="External" Id="rId1275" /><Relationship Type="http://schemas.openxmlformats.org/officeDocument/2006/relationships/hyperlink" Target="https://www.gakkou.net/kou/view/index_305837.html" TargetMode="External" Id="rId1276" /><Relationship Type="http://schemas.openxmlformats.org/officeDocument/2006/relationships/hyperlink" Target="https://www.gakkou.net/kou/view/index_305777.html" TargetMode="External" Id="rId1277" /><Relationship Type="http://schemas.openxmlformats.org/officeDocument/2006/relationships/hyperlink" Target="https://www.gakkou.net/kou/view/index_305827.html" TargetMode="External" Id="rId1278" /><Relationship Type="http://schemas.openxmlformats.org/officeDocument/2006/relationships/hyperlink" Target="https://www.gakkou.net/kou/view/index_305832.html" TargetMode="External" Id="rId1279" /><Relationship Type="http://schemas.openxmlformats.org/officeDocument/2006/relationships/hyperlink" Target="https://www.gakkou.net/kou/view/index_305849.html" TargetMode="External" Id="rId1280" /><Relationship Type="http://schemas.openxmlformats.org/officeDocument/2006/relationships/hyperlink" Target="https://www.gakkou.net/kou/view/index_305836.html" TargetMode="External" Id="rId1281" /><Relationship Type="http://schemas.openxmlformats.org/officeDocument/2006/relationships/hyperlink" Target="https://www.gakkou.net/kou/view/index_305825.html" TargetMode="External" Id="rId1282" /><Relationship Type="http://schemas.openxmlformats.org/officeDocument/2006/relationships/hyperlink" Target="https://www.gakkou.net/kou/view/index_305802.html" TargetMode="External" Id="rId1283" /><Relationship Type="http://schemas.openxmlformats.org/officeDocument/2006/relationships/hyperlink" Target="https://www.gakkou.net/kou/view/index_305793.html" TargetMode="External" Id="rId1284" /><Relationship Type="http://schemas.openxmlformats.org/officeDocument/2006/relationships/hyperlink" Target="https://www.gakkou.net/kou/view/index_306693.html" TargetMode="External" Id="rId1285" /><Relationship Type="http://schemas.openxmlformats.org/officeDocument/2006/relationships/hyperlink" Target="https://www.gakkou.net/kou/view/index_305776.html" TargetMode="External" Id="rId1286" /><Relationship Type="http://schemas.openxmlformats.org/officeDocument/2006/relationships/hyperlink" Target="https://www.gakkou.net/kou/view/index_305833.html" TargetMode="External" Id="rId1287" /><Relationship Type="http://schemas.openxmlformats.org/officeDocument/2006/relationships/hyperlink" Target="https://www.gakkou.net/kou/view/index_305816.html" TargetMode="External" Id="rId1288" /><Relationship Type="http://schemas.openxmlformats.org/officeDocument/2006/relationships/hyperlink" Target="https://www.gakkou.net/kou/view/index_305817.html" TargetMode="External" Id="rId1289" /><Relationship Type="http://schemas.openxmlformats.org/officeDocument/2006/relationships/hyperlink" Target="https://www.gakkou.net/kou/view/index_305778.html" TargetMode="External" Id="rId1290" /><Relationship Type="http://schemas.openxmlformats.org/officeDocument/2006/relationships/hyperlink" Target="https://www.gakkou.net/kou/view/index_305781.html" TargetMode="External" Id="rId1291" /><Relationship Type="http://schemas.openxmlformats.org/officeDocument/2006/relationships/hyperlink" Target="https://www.gakkou.net/kou/view/index_305783.html" TargetMode="External" Id="rId1292" /><Relationship Type="http://schemas.openxmlformats.org/officeDocument/2006/relationships/hyperlink" Target="https://www.gakkou.net/kou/view/index_305788.html" TargetMode="External" Id="rId1293" /><Relationship Type="http://schemas.openxmlformats.org/officeDocument/2006/relationships/hyperlink" Target="https://www.gakkou.net/kou/view/index_305801.html" TargetMode="External" Id="rId1294" /><Relationship Type="http://schemas.openxmlformats.org/officeDocument/2006/relationships/hyperlink" Target="https://www.gakkou.net/kou/view/index_305815.html" TargetMode="External" Id="rId1295" /><Relationship Type="http://schemas.openxmlformats.org/officeDocument/2006/relationships/hyperlink" Target="https://www.gakkou.net/kou/view/index_305924.html" TargetMode="External" Id="rId1296" /><Relationship Type="http://schemas.openxmlformats.org/officeDocument/2006/relationships/hyperlink" Target="https://www.gakkou.net/kou/view/index_305906.html" TargetMode="External" Id="rId1297" /><Relationship Type="http://schemas.openxmlformats.org/officeDocument/2006/relationships/hyperlink" Target="https://www.gakkou.net/kou/view/index_305885.html" TargetMode="External" Id="rId1298" /><Relationship Type="http://schemas.openxmlformats.org/officeDocument/2006/relationships/hyperlink" Target="https://www.gakkou.net/kou/view/index_305905.html" TargetMode="External" Id="rId1299" /><Relationship Type="http://schemas.openxmlformats.org/officeDocument/2006/relationships/hyperlink" Target="https://www.gakkou.net/kou/view/index_305908.html" TargetMode="External" Id="rId1300" /><Relationship Type="http://schemas.openxmlformats.org/officeDocument/2006/relationships/hyperlink" Target="https://www.gakkou.net/kou/view/index_305901.html" TargetMode="External" Id="rId1301" /><Relationship Type="http://schemas.openxmlformats.org/officeDocument/2006/relationships/hyperlink" Target="https://www.gakkou.net/kou/view/index_305873.html" TargetMode="External" Id="rId1302" /><Relationship Type="http://schemas.openxmlformats.org/officeDocument/2006/relationships/hyperlink" Target="https://www.gakkou.net/kou/view/index_306546.html" TargetMode="External" Id="rId1303" /><Relationship Type="http://schemas.openxmlformats.org/officeDocument/2006/relationships/hyperlink" Target="https://www.gakkou.net/kou/view/index_305871.html" TargetMode="External" Id="rId1304" /><Relationship Type="http://schemas.openxmlformats.org/officeDocument/2006/relationships/hyperlink" Target="https://www.gakkou.net/kou/view/index_305897.html" TargetMode="External" Id="rId1305" /><Relationship Type="http://schemas.openxmlformats.org/officeDocument/2006/relationships/hyperlink" Target="https://www.gakkou.net/kou/view/index_305907.html" TargetMode="External" Id="rId1306" /><Relationship Type="http://schemas.openxmlformats.org/officeDocument/2006/relationships/hyperlink" Target="https://www.gakkou.net/kou/view/index_305936.html" TargetMode="External" Id="rId1307" /><Relationship Type="http://schemas.openxmlformats.org/officeDocument/2006/relationships/hyperlink" Target="https://www.gakkou.net/kou/view/index_305913.html" TargetMode="External" Id="rId1308" /><Relationship Type="http://schemas.openxmlformats.org/officeDocument/2006/relationships/hyperlink" Target="https://www.gakkou.net/kou/view/index_305912.html" TargetMode="External" Id="rId1309" /><Relationship Type="http://schemas.openxmlformats.org/officeDocument/2006/relationships/hyperlink" Target="https://www.gakkou.net/kou/view/index_305881.html" TargetMode="External" Id="rId1310" /><Relationship Type="http://schemas.openxmlformats.org/officeDocument/2006/relationships/hyperlink" Target="https://www.gakkou.net/kou/view/index_305949.html" TargetMode="External" Id="rId1311" /><Relationship Type="http://schemas.openxmlformats.org/officeDocument/2006/relationships/hyperlink" Target="https://www.gakkou.net/kou/view/index_305926.html" TargetMode="External" Id="rId1312" /><Relationship Type="http://schemas.openxmlformats.org/officeDocument/2006/relationships/hyperlink" Target="https://www.gakkou.net/kou/view/index_305911.html" TargetMode="External" Id="rId1313" /><Relationship Type="http://schemas.openxmlformats.org/officeDocument/2006/relationships/hyperlink" Target="https://www.gakkou.net/kou/view/index_305910.html" TargetMode="External" Id="rId1314" /><Relationship Type="http://schemas.openxmlformats.org/officeDocument/2006/relationships/hyperlink" Target="https://www.gakkou.net/kou/view/index_306657.html" TargetMode="External" Id="rId1315" /><Relationship Type="http://schemas.openxmlformats.org/officeDocument/2006/relationships/hyperlink" Target="https://www.gakkou.net/kou/view/index_305872.html" TargetMode="External" Id="rId1316" /><Relationship Type="http://schemas.openxmlformats.org/officeDocument/2006/relationships/hyperlink" Target="https://www.gakkou.net/kou/view/index_305933.html" TargetMode="External" Id="rId1317" /><Relationship Type="http://schemas.openxmlformats.org/officeDocument/2006/relationships/hyperlink" Target="https://www.gakkou.net/kou/view/index_306494.html" TargetMode="External" Id="rId1318" /><Relationship Type="http://schemas.openxmlformats.org/officeDocument/2006/relationships/hyperlink" Target="https://www.gakkou.net/kou/view/index_305875.html" TargetMode="External" Id="rId1319" /><Relationship Type="http://schemas.openxmlformats.org/officeDocument/2006/relationships/hyperlink" Target="https://www.gakkou.net/kou/view/index_306033.html" TargetMode="External" Id="rId1320" /><Relationship Type="http://schemas.openxmlformats.org/officeDocument/2006/relationships/hyperlink" Target="https://www.gakkou.net/kou/view/index_305980.html" TargetMode="External" Id="rId1321" /><Relationship Type="http://schemas.openxmlformats.org/officeDocument/2006/relationships/hyperlink" Target="https://www.gakkou.net/kou/view/index_305968.html" TargetMode="External" Id="rId1322" /><Relationship Type="http://schemas.openxmlformats.org/officeDocument/2006/relationships/hyperlink" Target="https://www.gakkou.net/kou/view/index_305977.html" TargetMode="External" Id="rId1323" /><Relationship Type="http://schemas.openxmlformats.org/officeDocument/2006/relationships/hyperlink" Target="https://www.gakkou.net/kou/view/index_305964.html" TargetMode="External" Id="rId1324" /><Relationship Type="http://schemas.openxmlformats.org/officeDocument/2006/relationships/hyperlink" Target="https://www.gakkou.net/kou/view/index_306028.html" TargetMode="External" Id="rId1325" /><Relationship Type="http://schemas.openxmlformats.org/officeDocument/2006/relationships/hyperlink" Target="https://www.gakkou.net/kou/view/index_306027.html" TargetMode="External" Id="rId1326" /><Relationship Type="http://schemas.openxmlformats.org/officeDocument/2006/relationships/hyperlink" Target="https://www.gakkou.net/kou/view/index_306021.html" TargetMode="External" Id="rId1327" /><Relationship Type="http://schemas.openxmlformats.org/officeDocument/2006/relationships/hyperlink" Target="https://www.gakkou.net/kou/view/index_305993.html" TargetMode="External" Id="rId1328" /><Relationship Type="http://schemas.openxmlformats.org/officeDocument/2006/relationships/hyperlink" Target="https://www.gakkou.net/kou/view/index_305976.html" TargetMode="External" Id="rId1329" /><Relationship Type="http://schemas.openxmlformats.org/officeDocument/2006/relationships/hyperlink" Target="https://www.gakkou.net/kou/view/index_306007.html" TargetMode="External" Id="rId1330" /><Relationship Type="http://schemas.openxmlformats.org/officeDocument/2006/relationships/hyperlink" Target="https://www.gakkou.net/kou/view/index_306005.html" TargetMode="External" Id="rId1331" /><Relationship Type="http://schemas.openxmlformats.org/officeDocument/2006/relationships/hyperlink" Target="https://www.gakkou.net/kou/view/index_305996.html" TargetMode="External" Id="rId1332" /><Relationship Type="http://schemas.openxmlformats.org/officeDocument/2006/relationships/hyperlink" Target="https://www.gakkou.net/kou/view/index_305974.html" TargetMode="External" Id="rId1333" /><Relationship Type="http://schemas.openxmlformats.org/officeDocument/2006/relationships/hyperlink" Target="https://www.gakkou.net/kou/view/index_306107.html" TargetMode="External" Id="rId1334" /><Relationship Type="http://schemas.openxmlformats.org/officeDocument/2006/relationships/hyperlink" Target="https://www.gakkou.net/kou/view/index_306114.html" TargetMode="External" Id="rId1335" /><Relationship Type="http://schemas.openxmlformats.org/officeDocument/2006/relationships/hyperlink" Target="https://www.gakkou.net/kou/view/index_306078.html" TargetMode="External" Id="rId1336" /><Relationship Type="http://schemas.openxmlformats.org/officeDocument/2006/relationships/hyperlink" Target="https://www.gakkou.net/kou/view/index_306100.html" TargetMode="External" Id="rId1337" /><Relationship Type="http://schemas.openxmlformats.org/officeDocument/2006/relationships/hyperlink" Target="https://www.gakkou.net/kou/view/index_306105.html" TargetMode="External" Id="rId1338" /><Relationship Type="http://schemas.openxmlformats.org/officeDocument/2006/relationships/hyperlink" Target="https://www.gakkou.net/kou/view/index_306112.html" TargetMode="External" Id="rId1339" /><Relationship Type="http://schemas.openxmlformats.org/officeDocument/2006/relationships/hyperlink" Target="https://www.gakkou.net/kou/view/index_306056.html" TargetMode="External" Id="rId1340" /><Relationship Type="http://schemas.openxmlformats.org/officeDocument/2006/relationships/hyperlink" Target="https://www.gakkou.net/kou/view/index_306072.html" TargetMode="External" Id="rId1341" /><Relationship Type="http://schemas.openxmlformats.org/officeDocument/2006/relationships/hyperlink" Target="https://www.gakkou.net/kou/view/index_306060.html" TargetMode="External" Id="rId1342" /><Relationship Type="http://schemas.openxmlformats.org/officeDocument/2006/relationships/hyperlink" Target="https://www.gakkou.net/kou/view/index_306063.html" TargetMode="External" Id="rId1343" /><Relationship Type="http://schemas.openxmlformats.org/officeDocument/2006/relationships/hyperlink" Target="https://www.gakkou.net/kou/view/index_306095.html" TargetMode="External" Id="rId1344" /><Relationship Type="http://schemas.openxmlformats.org/officeDocument/2006/relationships/hyperlink" Target="https://www.gakkou.net/kou/view/index_306092.html" TargetMode="External" Id="rId1345" /><Relationship Type="http://schemas.openxmlformats.org/officeDocument/2006/relationships/hyperlink" Target="https://www.gakkou.net/kou/view/index_306059.html" TargetMode="External" Id="rId1346" /><Relationship Type="http://schemas.openxmlformats.org/officeDocument/2006/relationships/hyperlink" Target="https://www.gakkou.net/kou/view/index_306061.html" TargetMode="External" Id="rId1347" /><Relationship Type="http://schemas.openxmlformats.org/officeDocument/2006/relationships/hyperlink" Target="https://www.gakkou.net/kou/view/index_306054.html" TargetMode="External" Id="rId1348" /><Relationship Type="http://schemas.openxmlformats.org/officeDocument/2006/relationships/hyperlink" Target="https://www.gakkou.net/kou/view/index_306122.html" TargetMode="External" Id="rId1349" /><Relationship Type="http://schemas.openxmlformats.org/officeDocument/2006/relationships/hyperlink" Target="https://www.gakkou.net/kou/view/index_306198.html" TargetMode="External" Id="rId1350" /><Relationship Type="http://schemas.openxmlformats.org/officeDocument/2006/relationships/hyperlink" Target="https://www.gakkou.net/kou/view/index_306182.html" TargetMode="External" Id="rId1351" /><Relationship Type="http://schemas.openxmlformats.org/officeDocument/2006/relationships/hyperlink" Target="https://www.gakkou.net/kou/view/index_306208.html" TargetMode="External" Id="rId1352" /><Relationship Type="http://schemas.openxmlformats.org/officeDocument/2006/relationships/hyperlink" Target="https://www.gakkou.net/kou/view/index_306126.html" TargetMode="External" Id="rId1353" /><Relationship Type="http://schemas.openxmlformats.org/officeDocument/2006/relationships/hyperlink" Target="https://www.gakkou.net/kou/view/index_306431.html" TargetMode="External" Id="rId1354" /><Relationship Type="http://schemas.openxmlformats.org/officeDocument/2006/relationships/hyperlink" Target="https://www.gakkou.net/kou/view/index_306123.html" TargetMode="External" Id="rId1355" /><Relationship Type="http://schemas.openxmlformats.org/officeDocument/2006/relationships/hyperlink" Target="https://www.gakkou.net/kou/view/index_306131.html" TargetMode="External" Id="rId1356" /><Relationship Type="http://schemas.openxmlformats.org/officeDocument/2006/relationships/hyperlink" Target="https://www.gakkou.net/kou/view/index_306209.html" TargetMode="External" Id="rId1357" /><Relationship Type="http://schemas.openxmlformats.org/officeDocument/2006/relationships/hyperlink" Target="https://www.gakkou.net/kou/view/index_306124.html" TargetMode="External" Id="rId1358" /><Relationship Type="http://schemas.openxmlformats.org/officeDocument/2006/relationships/hyperlink" Target="https://www.gakkou.net/kou/view/index_306213.html" TargetMode="External" Id="rId1359" /><Relationship Type="http://schemas.openxmlformats.org/officeDocument/2006/relationships/hyperlink" Target="https://www.gakkou.net/kou/view/index_306158.html" TargetMode="External" Id="rId1360" /><Relationship Type="http://schemas.openxmlformats.org/officeDocument/2006/relationships/hyperlink" Target="https://www.gakkou.net/kou/view/index_306184.html" TargetMode="External" Id="rId1361" /><Relationship Type="http://schemas.openxmlformats.org/officeDocument/2006/relationships/hyperlink" Target="https://www.gakkou.net/kou/view/index_306130.html" TargetMode="External" Id="rId1362" /><Relationship Type="http://schemas.openxmlformats.org/officeDocument/2006/relationships/hyperlink" Target="https://www.gakkou.net/kou/view/index_306226.html" TargetMode="External" Id="rId1363" /><Relationship Type="http://schemas.openxmlformats.org/officeDocument/2006/relationships/hyperlink" Target="https://www.gakkou.net/kou/view/index_306127.html" TargetMode="External" Id="rId1364" /><Relationship Type="http://schemas.openxmlformats.org/officeDocument/2006/relationships/hyperlink" Target="https://www.gakkou.net/kou/view/index_306149.html" TargetMode="External" Id="rId1365" /><Relationship Type="http://schemas.openxmlformats.org/officeDocument/2006/relationships/hyperlink" Target="https://www.gakkou.net/kou/view/index_306190.html" TargetMode="External" Id="rId1366" /><Relationship Type="http://schemas.openxmlformats.org/officeDocument/2006/relationships/hyperlink" Target="https://www.gakkou.net/kou/view/index_306492.html" TargetMode="External" Id="rId1367" /><Relationship Type="http://schemas.openxmlformats.org/officeDocument/2006/relationships/hyperlink" Target="https://www.gakkou.net/kou/view/index_306132.html" TargetMode="External" Id="rId1368" /><Relationship Type="http://schemas.openxmlformats.org/officeDocument/2006/relationships/hyperlink" Target="https://www.gakkou.net/kou/view/index_306220.html" TargetMode="External" Id="rId1369" /><Relationship Type="http://schemas.openxmlformats.org/officeDocument/2006/relationships/hyperlink" Target="https://www.gakkou.net/kou/view/index_306173.html" TargetMode="External" Id="rId1370" /><Relationship Type="http://schemas.openxmlformats.org/officeDocument/2006/relationships/hyperlink" Target="https://www.gakkou.net/kou/view/index_306790.html" TargetMode="External" Id="rId1371" /><Relationship Type="http://schemas.openxmlformats.org/officeDocument/2006/relationships/hyperlink" Target="https://www.gakkou.net/kou/view/index_306767.html" TargetMode="External" Id="rId1372" /><Relationship Type="http://schemas.openxmlformats.org/officeDocument/2006/relationships/hyperlink" Target="https://www.gakkou.net/kou/view/index_306475.html" TargetMode="External" Id="rId1373" /><Relationship Type="http://schemas.openxmlformats.org/officeDocument/2006/relationships/hyperlink" Target="https://www.gakkou.net/kou/view/index_306267.html" TargetMode="External" Id="rId1374" /><Relationship Type="http://schemas.openxmlformats.org/officeDocument/2006/relationships/hyperlink" Target="https://www.gakkou.net/kou/view/index_306262.html" TargetMode="External" Id="rId1375" /><Relationship Type="http://schemas.openxmlformats.org/officeDocument/2006/relationships/hyperlink" Target="https://www.gakkou.net/kou/view/index_306251.html" TargetMode="External" Id="rId1376" /><Relationship Type="http://schemas.openxmlformats.org/officeDocument/2006/relationships/hyperlink" Target="https://www.gakkou.net/kou/view/index_306786.html" TargetMode="External" Id="rId1377" /><Relationship Type="http://schemas.openxmlformats.org/officeDocument/2006/relationships/hyperlink" Target="https://www.gakkou.net/kou/view/index_306407.html" TargetMode="External" Id="rId137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38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架電リスト（全国47都道府県／1378校）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徳島県</t>
        </is>
      </c>
      <c r="C1173" s="5" t="inlineStr">
        <is>
          <t>徳島市</t>
        </is>
      </c>
      <c r="D1173" s="5" t="inlineStr">
        <is>
          <t>香蘭高等学校</t>
        </is>
      </c>
      <c r="E1173" s="6" t="inlineStr">
        <is>
          <t>088-652-5044</t>
        </is>
      </c>
      <c r="F1173" s="7" t="inlineStr">
        <is>
          <t>高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徳島県私立学校一覧でも一致</t>
        </is>
      </c>
      <c r="N1173" s="11" t="inlineStr">
        <is>
          <t>https://kouran-kou.jp/nyusi.html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徳島県</t>
        </is>
      </c>
      <c r="C1174" s="5" t="inlineStr">
        <is>
          <t>徳島市</t>
        </is>
      </c>
      <c r="D1174" s="5" t="inlineStr">
        <is>
          <t>生光学園高等学校</t>
        </is>
      </c>
      <c r="E1174" s="6" t="inlineStr">
        <is>
          <t>088-641-1032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inlineStr">
        <is>
          <t>代表番号</t>
        </is>
      </c>
      <c r="N1174" s="11" t="inlineStr">
        <is>
          <t>http://www.seikogakuen.ac.jp/guide.html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徳島県</t>
        </is>
      </c>
      <c r="C1175" s="5" t="inlineStr">
        <is>
          <t>徳島市</t>
        </is>
      </c>
      <c r="D1175" s="5" t="inlineStr">
        <is>
          <t>徳島文理高等学校</t>
        </is>
      </c>
      <c r="E1175" s="6" t="inlineStr">
        <is>
          <t>088-626-1225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inlineStr">
        <is>
          <t>中高共通番号</t>
        </is>
      </c>
      <c r="N1175" s="11" t="inlineStr">
        <is>
          <t>https://www.bunri.ed.jp/access/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高松市</t>
        </is>
      </c>
      <c r="D1176" s="5" t="inlineStr">
        <is>
          <t>英明高等学校</t>
        </is>
      </c>
      <c r="E1176" s="6" t="inlineStr">
        <is>
          <t>087-833-3737</t>
        </is>
      </c>
      <c r="F1176" s="13" t="inlineStr">
        <is>
          <t>中</t>
        </is>
      </c>
      <c r="G1176" s="5" t="inlineStr">
        <is>
          <t>普通科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公式未確認。香川県私立中高連合会・複数サイトで一致。通信制課程も同じ番号</t>
        </is>
      </c>
      <c r="N1176" s="11" t="inlineStr">
        <is>
          <t>https://www.kagawa-shigaku.jp/eimei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大手前高松高等学校</t>
        </is>
      </c>
      <c r="E1177" s="6" t="inlineStr">
        <is>
          <t>087-867-5970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n"/>
      <c r="N1177" s="11" t="inlineStr">
        <is>
          <t>https://www.otemae.net/contact/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丸亀市</t>
        </is>
      </c>
      <c r="D1178" s="5" t="inlineStr">
        <is>
          <t>大手前丸亀高等学校</t>
        </is>
      </c>
      <c r="E1178" s="6" t="inlineStr">
        <is>
          <t>0877-23-3161</t>
        </is>
      </c>
      <c r="F1178" s="7" t="inlineStr">
        <is>
          <t>高</t>
        </is>
      </c>
      <c r="G1178" s="5" t="inlineStr">
        <is>
          <t>普通科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https://www.otemae.ed.jp/contact_form/otoiawase.html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丸亀市</t>
        </is>
      </c>
      <c r="D1179" s="5" t="inlineStr">
        <is>
          <t>香川県藤井高等学校</t>
        </is>
      </c>
      <c r="E1179" s="6" t="inlineStr">
        <is>
          <t>0877-22-2328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2026年度から「蓬莱高等学校」に校名変更（法人も蓬莱学園に改称）</t>
        </is>
      </c>
      <c r="N1179" s="11" t="inlineStr">
        <is>
          <t>https://www.fujii.ed.jp/fujii/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高松市</t>
        </is>
      </c>
      <c r="D1180" s="5" t="inlineStr">
        <is>
          <t>香川誠陵高等学校</t>
        </is>
      </c>
      <c r="E1180" s="6" t="inlineStr">
        <is>
          <t>087-881-7800</t>
        </is>
      </c>
      <c r="F1180" s="7" t="inlineStr">
        <is>
          <t>高</t>
        </is>
      </c>
      <c r="G1180" s="5" t="inlineStr">
        <is>
          <t>普通科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中高共通番号</t>
        </is>
      </c>
      <c r="N1180" s="11" t="inlineStr">
        <is>
          <t>https://k-seiryo.ed.jp/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坂出市</t>
        </is>
      </c>
      <c r="D1181" s="5" t="inlineStr">
        <is>
          <t>坂出第一高等学校</t>
        </is>
      </c>
      <c r="E1181" s="6" t="inlineStr">
        <is>
          <t>0877-46-2157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n"/>
      <c r="N1181" s="11" t="inlineStr">
        <is>
          <t>https://www.sakaide1-h.ed.jp/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三豊市</t>
        </is>
      </c>
      <c r="D1182" s="5" t="inlineStr">
        <is>
          <t>四国学院大学香川西高等学校</t>
        </is>
      </c>
      <c r="E1182" s="6" t="inlineStr">
        <is>
          <t>0875-72-5193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三豊市HPとも一致</t>
        </is>
      </c>
      <c r="N1182" s="11" t="inlineStr">
        <is>
          <t>https://www.kagawanishikou.com/contact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香川県</t>
        </is>
      </c>
      <c r="C1183" s="5" t="inlineStr">
        <is>
          <t>善通寺市</t>
        </is>
      </c>
      <c r="D1183" s="5" t="inlineStr">
        <is>
          <t>尽誠学園高等学校</t>
        </is>
      </c>
      <c r="E1183" s="6" t="inlineStr">
        <is>
          <t>0877-62-1515</t>
        </is>
      </c>
      <c r="F1183" s="7" t="inlineStr">
        <is>
          <t>高</t>
        </is>
      </c>
      <c r="G1183" s="5" t="inlineStr">
        <is>
          <t>普通科・専門学科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県私立中高連合会とも一致。法人本部は0877-63-1717</t>
        </is>
      </c>
      <c r="N1183" s="11" t="inlineStr">
        <is>
          <t>https://sites.google.com/jinsei.ac.jp/jinseiopenschool2020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香川県</t>
        </is>
      </c>
      <c r="C1184" s="5" t="inlineStr">
        <is>
          <t>高松市</t>
        </is>
      </c>
      <c r="D1184" s="5" t="inlineStr">
        <is>
          <t>高松中央高等学校</t>
        </is>
      </c>
      <c r="E1184" s="6" t="inlineStr">
        <is>
          <t>087-831-1291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全日制の番号。通信制課程は087-812-5285</t>
        </is>
      </c>
      <c r="N1184" s="11" t="inlineStr">
        <is>
          <t>https://www.ta-chuo.ed.jp/contact/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香川県</t>
        </is>
      </c>
      <c r="C1185" s="5" t="inlineStr">
        <is>
          <t>さぬき市</t>
        </is>
      </c>
      <c r="D1185" s="5" t="inlineStr">
        <is>
          <t>藤井学園寒川高等学校</t>
        </is>
      </c>
      <c r="E1185" s="6" t="inlineStr">
        <is>
          <t>0879-43-2571</t>
        </is>
      </c>
      <c r="F1185" s="7" t="inlineStr">
        <is>
          <t>高</t>
        </is>
      </c>
      <c r="G1185" s="5" t="inlineStr">
        <is>
          <t>普通科・専門学科</t>
        </is>
      </c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法人名は2026年に蓬莱学園へ改称</t>
        </is>
      </c>
      <c r="N1185" s="11" t="inlineStr">
        <is>
          <t>https://www.sangawa.ed.jp/wp/contact/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松山市</t>
        </is>
      </c>
      <c r="D1186" s="5" t="inlineStr">
        <is>
          <t>愛光高等学校</t>
        </is>
      </c>
      <c r="E1186" s="6" t="inlineStr">
        <is>
          <t>089-922-8980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中高共通番号</t>
        </is>
      </c>
      <c r="N1186" s="11" t="inlineStr">
        <is>
          <t>https://www.aiko.ed.jp/outline/shisetu.html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今治市</t>
        </is>
      </c>
      <c r="D1187" s="5" t="inlineStr">
        <is>
          <t>今治精華高等学校</t>
        </is>
      </c>
      <c r="E1187" s="6" t="inlineStr">
        <is>
          <t>0898-32-7100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一部サイトに0898-32-7260の記載あり（旧情報の可能性）</t>
        </is>
      </c>
      <c r="N1187" s="11" t="inlineStr">
        <is>
          <t>https://highschool.imabariseika.ac.jp/summary/about/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今治市</t>
        </is>
      </c>
      <c r="D1188" s="5" t="inlineStr">
        <is>
          <t>FC今治高等学校 里山校</t>
        </is>
      </c>
      <c r="E1188" s="6" t="inlineStr">
        <is>
          <t>0898-22-1230</t>
        </is>
      </c>
      <c r="F1188" s="13" t="inlineStr">
        <is>
          <t>中</t>
        </is>
      </c>
      <c r="G1188" s="5" t="inlineStr"/>
      <c r="H1188" s="8" t="n"/>
      <c r="I1188" s="9" t="n"/>
      <c r="J1188" s="9" t="inlineStr">
        <is>
          <t>未架電</t>
        </is>
      </c>
      <c r="K1188" s="8" t="n"/>
      <c r="L1188" s="9" t="n"/>
      <c r="M1188" s="10" t="inlineStr">
        <is>
          <t>公式未確認。複数サイト・公式Facebookで一致。2024年に今治明徳高校矢田分校から改称</t>
        </is>
      </c>
      <c r="N1188" s="11" t="inlineStr">
        <is>
          <t>https://www.gakkou.net/kou/view/index_306788.html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今治市</t>
        </is>
      </c>
      <c r="D1189" s="5" t="inlineStr">
        <is>
          <t>FC今治高等学校 明徳校</t>
        </is>
      </c>
      <c r="E1189" s="6" t="inlineStr">
        <is>
          <t>0898-22-6767</t>
        </is>
      </c>
      <c r="F1189" s="7" t="inlineStr">
        <is>
          <t>高</t>
        </is>
      </c>
      <c r="G1189" s="5" t="inlineStr">
        <is>
          <t>普通科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旧・今治明徳高校本校（2024年改称）</t>
        </is>
      </c>
      <c r="N1189" s="11" t="inlineStr">
        <is>
          <t>https://www.meitokuhonko.com/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済美高等学校（愛媛県）</t>
        </is>
      </c>
      <c r="E1190" s="6" t="inlineStr">
        <is>
          <t>089-943-4185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inlineStr">
        <is>
          <t>電話受付は平日7:30-16:55、土曜7:30-13:00</t>
        </is>
      </c>
      <c r="N1190" s="11" t="inlineStr">
        <is>
          <t>https://www.saibi.ac.jp/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松山市</t>
        </is>
      </c>
      <c r="D1191" s="5" t="inlineStr">
        <is>
          <t>聖カタリナ学園高等学校</t>
        </is>
      </c>
      <c r="E1191" s="6" t="inlineStr">
        <is>
          <t>089-933-3291</t>
        </is>
      </c>
      <c r="F1191" s="7" t="inlineStr">
        <is>
          <t>高</t>
        </is>
      </c>
      <c r="G1191" s="5" t="inlineStr">
        <is>
          <t>普通科・専門学科・総合学科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n"/>
      <c r="N1191" s="11" t="inlineStr">
        <is>
          <t>https://catalina.ed.jp/about/outline/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大洲市</t>
        </is>
      </c>
      <c r="D1192" s="5" t="inlineStr">
        <is>
          <t>帝京第五高等学校</t>
        </is>
      </c>
      <c r="E1192" s="6" t="inlineStr">
        <is>
          <t>0893-25-0511</t>
        </is>
      </c>
      <c r="F1192" s="7" t="inlineStr">
        <is>
          <t>高</t>
        </is>
      </c>
      <c r="G1192" s="5" t="inlineStr">
        <is>
          <t>普通科・専門学科・総合学科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inlineStr">
        <is>
          <t>代表番号。職員室0893-25-0566、通信制0893-57-6850</t>
        </is>
      </c>
      <c r="N1192" s="11" t="inlineStr">
        <is>
          <t>https://teikyo5-h.ed.jp/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新田高等学校</t>
        </is>
      </c>
      <c r="E1193" s="6" t="inlineStr">
        <is>
          <t>089-951-0188</t>
        </is>
      </c>
      <c r="F1193" s="7" t="inlineStr">
        <is>
          <t>高</t>
        </is>
      </c>
      <c r="G1193" s="5" t="inlineStr">
        <is>
          <t>普通科・専門学科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n"/>
      <c r="N1193" s="11" t="inlineStr">
        <is>
          <t>https://www.nitta.ac.jp/information/about/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今治市</t>
        </is>
      </c>
      <c r="D1194" s="5" t="inlineStr">
        <is>
          <t>日本ウェルネス高等学校</t>
        </is>
      </c>
      <c r="E1194" s="6" t="inlineStr">
        <is>
          <t>0897-74-1356</t>
        </is>
      </c>
      <c r="F1194" s="7" t="inlineStr">
        <is>
          <t>高</t>
        </is>
      </c>
      <c r="G1194" s="5" t="inlineStr">
        <is>
          <t>普通科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通信制・今治本校（大三島町）。総合案内は東京03-3938-7500</t>
        </is>
      </c>
      <c r="N1194" s="11" t="inlineStr">
        <is>
          <t>https://www.taiken.ac.jp/gakuin/school/index.html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松山学院高等学校</t>
        </is>
      </c>
      <c r="E1195" s="6" t="inlineStr">
        <is>
          <t>089-976-4343</t>
        </is>
      </c>
      <c r="F1195" s="7" t="inlineStr">
        <is>
          <t>高</t>
        </is>
      </c>
      <c r="G1195" s="5" t="inlineStr">
        <is>
          <t>普通科・専門学科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n"/>
      <c r="N1195" s="11" t="inlineStr">
        <is>
          <t>https://mg-h.ed.jp/form/contact/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松山市</t>
        </is>
      </c>
      <c r="D1196" s="5" t="inlineStr">
        <is>
          <t>松山東雲高等学校</t>
        </is>
      </c>
      <c r="E1196" s="6" t="inlineStr">
        <is>
          <t>089-941-4136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中高の番号。学園代表は089-931-6211</t>
        </is>
      </c>
      <c r="N1196" s="11" t="inlineStr">
        <is>
          <t>https://www.shinonome.ac.jp/overview/contact/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愛媛県</t>
        </is>
      </c>
      <c r="C1197" s="5" t="inlineStr">
        <is>
          <t>松山市</t>
        </is>
      </c>
      <c r="D1197" s="5" t="inlineStr">
        <is>
          <t>松山聖陵高等学校</t>
        </is>
      </c>
      <c r="E1197" s="6" t="inlineStr">
        <is>
          <t>089-924-8783</t>
        </is>
      </c>
      <c r="F1197" s="7" t="inlineStr">
        <is>
          <t>高</t>
        </is>
      </c>
      <c r="G1197" s="5" t="inlineStr">
        <is>
          <t>普通科・専門学科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事務室の電話対応は8:00-16:30</t>
        </is>
      </c>
      <c r="N1197" s="11" t="inlineStr">
        <is>
          <t>https://matsuyamaseiryo-h.ed.jp/guidance/about/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愛媛県</t>
        </is>
      </c>
      <c r="C1198" s="5" t="inlineStr">
        <is>
          <t>松山市</t>
        </is>
      </c>
      <c r="D1198" s="5" t="inlineStr">
        <is>
          <t>未来高等学校</t>
        </is>
      </c>
      <c r="E1198" s="6" t="inlineStr">
        <is>
          <t>089-947-4447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通信制・松山本校。フリーダイヤル0120-89-4447</t>
        </is>
      </c>
      <c r="N1198" s="11" t="inlineStr">
        <is>
          <t>https://mirai-hs.kawahara.ac.jp/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愛媛県</t>
        </is>
      </c>
      <c r="C1199" s="5" t="inlineStr">
        <is>
          <t>新居浜市</t>
        </is>
      </c>
      <c r="D1199" s="5" t="inlineStr">
        <is>
          <t>未来高等学校 新居浜分校</t>
        </is>
      </c>
      <c r="E1199" s="6" t="inlineStr">
        <is>
          <t>0897-34-9555</t>
        </is>
      </c>
      <c r="F1199" s="7" t="inlineStr">
        <is>
          <t>高</t>
        </is>
      </c>
      <c r="G1199" s="5" t="inlineStr">
        <is>
          <t>普通科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inlineStr">
        <is>
          <t>通信制・新居浜校</t>
        </is>
      </c>
      <c r="N1199" s="11" t="inlineStr">
        <is>
          <t>https://mirai-hs.kawahara.ac.jp/center/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高知市</t>
        </is>
      </c>
      <c r="D1200" s="5" t="inlineStr">
        <is>
          <t>高知学芸高等学校</t>
        </is>
      </c>
      <c r="E1200" s="6" t="inlineStr">
        <is>
          <t>088-844-1831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中高一体。公式の入試案内ページ（渉外部）に掲載、私学連合会とも一致</t>
        </is>
      </c>
      <c r="N1200" s="11" t="inlineStr">
        <is>
          <t>https://www.kochi-gakugei.ed.jp/page.html?id=45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高知高等学校</t>
        </is>
      </c>
      <c r="E1201" s="6" t="inlineStr">
        <is>
          <t>088-840-1111</t>
        </is>
      </c>
      <c r="F1201" s="7" t="inlineStr">
        <is>
          <t>高</t>
        </is>
      </c>
      <c r="G1201" s="5" t="inlineStr">
        <is>
          <t>普通科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高知中学高等学校（高知学園）</t>
        </is>
      </c>
      <c r="N1201" s="11" t="inlineStr">
        <is>
          <t>https://www.kochigakuen.jp/access.html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高知中央高等学校</t>
        </is>
      </c>
      <c r="E1202" s="6" t="inlineStr">
        <is>
          <t>088-866-3166</t>
        </is>
      </c>
      <c r="F1202" s="7" t="inlineStr">
        <is>
          <t>高</t>
        </is>
      </c>
      <c r="G1202" s="5" t="inlineStr">
        <is>
          <t>普通科・専門学科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n"/>
      <c r="N1202" s="11" t="inlineStr">
        <is>
          <t>https://www.kochi-chuo.ed.jp/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南国市</t>
        </is>
      </c>
      <c r="D1203" s="5" t="inlineStr">
        <is>
          <t>清和女子高等学校</t>
        </is>
      </c>
      <c r="E1203" s="6" t="inlineStr">
        <is>
          <t>088-863-1200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清和女子中高等学校</t>
        </is>
      </c>
      <c r="N1203" s="11" t="inlineStr">
        <is>
          <t>https://seiwa-girl.ed.jp/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太平洋学園高等学校</t>
        </is>
      </c>
      <c r="E1204" s="6" t="inlineStr">
        <is>
          <t>088-822-3584</t>
        </is>
      </c>
      <c r="F1204" s="7" t="inlineStr">
        <is>
          <t>高</t>
        </is>
      </c>
      <c r="G1204" s="5" t="inlineStr">
        <is>
          <t>総合学科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通信制・定時制あり。088-822-3585も掲載（FAX兼用の可能性）</t>
        </is>
      </c>
      <c r="N1204" s="11" t="inlineStr">
        <is>
          <t>https://www.taiheiyo.ed.jp/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高知市</t>
        </is>
      </c>
      <c r="D1205" s="5" t="inlineStr">
        <is>
          <t>土佐高等学校</t>
        </is>
      </c>
      <c r="E1205" s="6" t="inlineStr">
        <is>
          <t>088-833-4394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中高共通番号</t>
        </is>
      </c>
      <c r="N1205" s="11" t="inlineStr">
        <is>
          <t>https://www.tosa.ed.jp/</t>
        </is>
      </c>
      <c r="O1205" s="12" t="inlineStr">
        <is>
          <t>開く</t>
        </is>
      </c>
    </row>
    <row r="1206">
      <c r="A1206" s="4" t="n">
        <v>1202</v>
      </c>
      <c r="B1206" s="5" t="inlineStr">
        <is>
          <t>高知県</t>
        </is>
      </c>
      <c r="C1206" s="5" t="inlineStr">
        <is>
          <t>高知市</t>
        </is>
      </c>
      <c r="D1206" s="5" t="inlineStr">
        <is>
          <t>土佐塾高等学校</t>
        </is>
      </c>
      <c r="E1206" s="6" t="inlineStr">
        <is>
          <t>088-831-1717</t>
        </is>
      </c>
      <c r="F1206" s="7" t="inlineStr">
        <is>
          <t>高</t>
        </is>
      </c>
      <c r="G1206" s="5" t="inlineStr">
        <is>
          <t>普通科</t>
        </is>
      </c>
      <c r="H1206" s="8" t="n"/>
      <c r="I1206" s="9" t="n"/>
      <c r="J1206" s="9" t="inlineStr">
        <is>
          <t>未架電</t>
        </is>
      </c>
      <c r="K1206" s="8" t="n"/>
      <c r="L1206" s="9" t="n"/>
      <c r="M1206" s="10" t="inlineStr">
        <is>
          <t>中高共通番号</t>
        </is>
      </c>
      <c r="N1206" s="11" t="inlineStr">
        <is>
          <t>https://www.tosajuku.ed.jp/contact.html</t>
        </is>
      </c>
      <c r="O1206" s="12" t="inlineStr">
        <is>
          <t>開く</t>
        </is>
      </c>
    </row>
    <row r="1207">
      <c r="A1207" s="4" t="n">
        <v>1203</v>
      </c>
      <c r="B1207" s="5" t="inlineStr">
        <is>
          <t>高知県</t>
        </is>
      </c>
      <c r="C1207" s="5" t="inlineStr">
        <is>
          <t>高知市</t>
        </is>
      </c>
      <c r="D1207" s="5" t="inlineStr">
        <is>
          <t>土佐女子高等学校</t>
        </is>
      </c>
      <c r="E1207" s="6" t="inlineStr">
        <is>
          <t>088-875-3111</t>
        </is>
      </c>
      <c r="F1207" s="7" t="inlineStr">
        <is>
          <t>高</t>
        </is>
      </c>
      <c r="G1207" s="5" t="inlineStr">
        <is>
          <t>普通科</t>
        </is>
      </c>
      <c r="H1207" s="8" t="n"/>
      <c r="I1207" s="9" t="n"/>
      <c r="J1207" s="9" t="inlineStr">
        <is>
          <t>未架電</t>
        </is>
      </c>
      <c r="K1207" s="8" t="n"/>
      <c r="L1207" s="9" t="n"/>
      <c r="M1207" s="10" t="inlineStr">
        <is>
          <t>088-873-1670は寄宿舎の番号</t>
        </is>
      </c>
      <c r="N1207" s="11" t="inlineStr">
        <is>
          <t>https://www.tosajoshi-jh.ed.jp/</t>
        </is>
      </c>
      <c r="O1207" s="12" t="inlineStr">
        <is>
          <t>開く</t>
        </is>
      </c>
    </row>
    <row r="1208">
      <c r="A1208" s="4" t="n">
        <v>1204</v>
      </c>
      <c r="B1208" s="5" t="inlineStr">
        <is>
          <t>高知県</t>
        </is>
      </c>
      <c r="C1208" s="5" t="inlineStr">
        <is>
          <t>須崎市</t>
        </is>
      </c>
      <c r="D1208" s="5" t="inlineStr">
        <is>
          <t>明徳義塾高等学校</t>
        </is>
      </c>
      <c r="E1208" s="6" t="inlineStr">
        <is>
          <t>088-856-1211</t>
        </is>
      </c>
      <c r="F1208" s="7" t="inlineStr">
        <is>
          <t>高</t>
        </is>
      </c>
      <c r="G1208" s="5" t="inlineStr">
        <is>
          <t>普通科</t>
        </is>
      </c>
      <c r="H1208" s="8" t="n"/>
      <c r="I1208" s="9" t="n"/>
      <c r="J1208" s="9" t="inlineStr">
        <is>
          <t>未架電</t>
        </is>
      </c>
      <c r="K1208" s="8" t="n"/>
      <c r="L1208" s="9" t="n"/>
      <c r="M1208" s="10" t="inlineStr">
        <is>
          <t>本校（堂ノ浦キャンパス）。須崎市公式ページとも一致</t>
        </is>
      </c>
      <c r="N1208" s="11" t="inlineStr">
        <is>
          <t>https://www.meitoku-gijuku.ed.jp/senior_c2.php</t>
        </is>
      </c>
      <c r="O1208" s="12" t="inlineStr">
        <is>
          <t>開く</t>
        </is>
      </c>
    </row>
    <row r="1209">
      <c r="A1209" s="4" t="n">
        <v>1205</v>
      </c>
      <c r="B1209" s="5" t="inlineStr">
        <is>
          <t>福岡県</t>
        </is>
      </c>
      <c r="C1209" s="5" t="inlineStr">
        <is>
          <t>飯塚市</t>
        </is>
      </c>
      <c r="D1209" s="5" t="inlineStr">
        <is>
          <t>飯塚高等学校</t>
        </is>
      </c>
      <c r="E1209" s="6" t="inlineStr">
        <is>
          <t>0948-22-6571</t>
        </is>
      </c>
      <c r="F1209" s="7" t="inlineStr">
        <is>
          <t>高</t>
        </is>
      </c>
      <c r="G1209" s="5" t="inlineStr">
        <is>
          <t>普通科・専門学科・総合学科</t>
        </is>
      </c>
      <c r="H1209" s="8" t="n"/>
      <c r="I1209" s="9" t="n"/>
      <c r="J1209" s="9" t="inlineStr">
        <is>
          <t>未架電</t>
        </is>
      </c>
      <c r="K1209" s="8" t="n"/>
      <c r="L1209" s="9" t="n"/>
      <c r="M1209" s="10" t="n"/>
      <c r="N1209" s="11" t="inlineStr">
        <is>
          <t>https://iizuka.ed.jp/contact/</t>
        </is>
      </c>
      <c r="O1209" s="12" t="inlineStr">
        <is>
          <t>開く</t>
        </is>
      </c>
    </row>
    <row r="1210">
      <c r="A1210" s="4" t="n">
        <v>1206</v>
      </c>
      <c r="B1210" s="5" t="inlineStr">
        <is>
          <t>福岡県</t>
        </is>
      </c>
      <c r="C1210" s="5" t="inlineStr">
        <is>
          <t>大牟田市</t>
        </is>
      </c>
      <c r="D1210" s="5" t="inlineStr">
        <is>
          <t>大牟田高等学校</t>
        </is>
      </c>
      <c r="E1210" s="6" t="inlineStr">
        <is>
          <t>0944-53-5011</t>
        </is>
      </c>
      <c r="F1210" s="7" t="inlineStr">
        <is>
          <t>高</t>
        </is>
      </c>
      <c r="G1210" s="5" t="inlineStr">
        <is>
          <t>普通科・専門学科・総合学科</t>
        </is>
      </c>
      <c r="H1210" s="8" t="n"/>
      <c r="I1210" s="9" t="n"/>
      <c r="J1210" s="9" t="inlineStr">
        <is>
          <t>未架電</t>
        </is>
      </c>
      <c r="K1210" s="8" t="n"/>
      <c r="L1210" s="9" t="n"/>
      <c r="M1210" s="10" t="inlineStr">
        <is>
          <t>併設の大牟田中は0944-53-5335</t>
        </is>
      </c>
      <c r="N1210" s="11" t="inlineStr">
        <is>
          <t>https://www.ohmuta.ac.jp/hs</t>
        </is>
      </c>
      <c r="O1210" s="12" t="inlineStr">
        <is>
          <t>開く</t>
        </is>
      </c>
    </row>
    <row r="1211">
      <c r="A1211" s="4" t="n">
        <v>1207</v>
      </c>
      <c r="B1211" s="5" t="inlineStr">
        <is>
          <t>福岡県</t>
        </is>
      </c>
      <c r="C1211" s="5" t="inlineStr">
        <is>
          <t>福岡市博多区</t>
        </is>
      </c>
      <c r="D1211" s="5" t="inlineStr">
        <is>
          <t>沖学園高等学校</t>
        </is>
      </c>
      <c r="E1211" s="6" t="inlineStr">
        <is>
          <t>092-431-1868</t>
        </is>
      </c>
      <c r="F1211" s="7" t="inlineStr">
        <is>
          <t>高</t>
        </is>
      </c>
      <c r="G1211" s="5" t="inlineStr">
        <is>
          <t>普通科・専門学科</t>
        </is>
      </c>
      <c r="H1211" s="8" t="n"/>
      <c r="I1211" s="9" t="n"/>
      <c r="J1211" s="9" t="inlineStr">
        <is>
          <t>未架電</t>
        </is>
      </c>
      <c r="K1211" s="8" t="n"/>
      <c r="L1211" s="9" t="n"/>
      <c r="M1211" s="10" t="n"/>
      <c r="N1211" s="11" t="inlineStr">
        <is>
          <t>https://oki.ed.jp/about/access.html</t>
        </is>
      </c>
      <c r="O1211" s="12" t="inlineStr">
        <is>
          <t>開く</t>
        </is>
      </c>
    </row>
    <row r="1212">
      <c r="A1212" s="4" t="n">
        <v>1208</v>
      </c>
      <c r="B1212" s="5" t="inlineStr">
        <is>
          <t>福岡県</t>
        </is>
      </c>
      <c r="C1212" s="5" t="inlineStr">
        <is>
          <t>北九州市八幡西区</t>
        </is>
      </c>
      <c r="D1212" s="5" t="inlineStr">
        <is>
          <t>折尾愛真高等学校</t>
        </is>
      </c>
      <c r="E1212" s="6" t="inlineStr">
        <is>
          <t>093-602-2100</t>
        </is>
      </c>
      <c r="F1212" s="7" t="inlineStr">
        <is>
          <t>高</t>
        </is>
      </c>
      <c r="G1212" s="5" t="inlineStr">
        <is>
          <t>普通科・専門学科</t>
        </is>
      </c>
      <c r="H1212" s="8" t="n"/>
      <c r="I1212" s="9" t="n"/>
      <c r="J1212" s="9" t="inlineStr">
        <is>
          <t>未架電</t>
        </is>
      </c>
      <c r="K1212" s="8" t="n"/>
      <c r="L1212" s="9" t="n"/>
      <c r="M1212" s="10" t="n"/>
      <c r="N1212" s="11" t="inlineStr">
        <is>
          <t>https://www.orioaishin.ac.jp/hs/access</t>
        </is>
      </c>
      <c r="O1212" s="12" t="inlineStr">
        <is>
          <t>開く</t>
        </is>
      </c>
    </row>
    <row r="1213">
      <c r="A1213" s="4" t="n">
        <v>1209</v>
      </c>
      <c r="B1213" s="5" t="inlineStr">
        <is>
          <t>福岡県</t>
        </is>
      </c>
      <c r="C1213" s="5" t="inlineStr">
        <is>
          <t>中間市</t>
        </is>
      </c>
      <c r="D1213" s="5" t="inlineStr">
        <is>
          <t>希望が丘高等学校</t>
        </is>
      </c>
      <c r="E1213" s="6" t="inlineStr">
        <is>
          <t>093-245-0481</t>
        </is>
      </c>
      <c r="F1213" s="7" t="inlineStr">
        <is>
          <t>高</t>
        </is>
      </c>
      <c r="G1213" s="5" t="inlineStr">
        <is>
          <t>専門学科・総合学科</t>
        </is>
      </c>
      <c r="H1213" s="8" t="n"/>
      <c r="I1213" s="9" t="n"/>
      <c r="J1213" s="9" t="inlineStr">
        <is>
          <t>未架電</t>
        </is>
      </c>
      <c r="K1213" s="8" t="n"/>
      <c r="L1213" s="9" t="n"/>
      <c r="M1213" s="10" t="n"/>
      <c r="N1213" s="11" t="inlineStr">
        <is>
          <t>http://www.kibou.ed.jp/</t>
        </is>
      </c>
      <c r="O1213" s="12" t="inlineStr">
        <is>
          <t>開く</t>
        </is>
      </c>
    </row>
    <row r="1214">
      <c r="A1214" s="4" t="n">
        <v>1210</v>
      </c>
      <c r="B1214" s="5" t="inlineStr">
        <is>
          <t>福岡県</t>
        </is>
      </c>
      <c r="C1214" s="5" t="inlineStr">
        <is>
          <t>北九州市八幡東区</t>
        </is>
      </c>
      <c r="D1214" s="5" t="inlineStr">
        <is>
          <t>九州国際大学付属高等学校</t>
        </is>
      </c>
      <c r="E1214" s="6" t="inlineStr">
        <is>
          <t>093-671-8443</t>
        </is>
      </c>
      <c r="F1214" s="7" t="inlineStr">
        <is>
          <t>高</t>
        </is>
      </c>
      <c r="G1214" s="5" t="inlineStr">
        <is>
          <t>普通科</t>
        </is>
      </c>
      <c r="H1214" s="8" t="n"/>
      <c r="I1214" s="9" t="n"/>
      <c r="J1214" s="9" t="inlineStr">
        <is>
          <t>未架電</t>
        </is>
      </c>
      <c r="K1214" s="8" t="n"/>
      <c r="L1214" s="9" t="n"/>
      <c r="M1214" s="10" t="inlineStr">
        <is>
          <t>第三者サイトに0120-411-945の記載あり（未確認）</t>
        </is>
      </c>
      <c r="N1214" s="11" t="inlineStr">
        <is>
          <t>https://www.959h.kif.ed.jp/</t>
        </is>
      </c>
      <c r="O1214" s="12" t="inlineStr">
        <is>
          <t>開く</t>
        </is>
      </c>
    </row>
    <row r="1215">
      <c r="A1215" s="4" t="n">
        <v>1211</v>
      </c>
      <c r="B1215" s="5" t="inlineStr">
        <is>
          <t>福岡県</t>
        </is>
      </c>
      <c r="C1215" s="5" t="inlineStr">
        <is>
          <t>福岡市東区</t>
        </is>
      </c>
      <c r="D1215" s="5" t="inlineStr">
        <is>
          <t>九州産業大学付属九州高等学校</t>
        </is>
      </c>
      <c r="E1215" s="6" t="inlineStr">
        <is>
          <t>092-681-0461</t>
        </is>
      </c>
      <c r="F1215" s="7" t="inlineStr">
        <is>
          <t>高</t>
        </is>
      </c>
      <c r="G1215" s="5" t="inlineStr">
        <is>
          <t>普通科・専門学科</t>
        </is>
      </c>
      <c r="H1215" s="8" t="n"/>
      <c r="I1215" s="9" t="n"/>
      <c r="J1215" s="9" t="inlineStr">
        <is>
          <t>未架電</t>
        </is>
      </c>
      <c r="K1215" s="8" t="n"/>
      <c r="L1215" s="9" t="n"/>
      <c r="M1215" s="10" t="n"/>
      <c r="N1215" s="11" t="inlineStr">
        <is>
          <t>https://www.kyushu-h.jp/</t>
        </is>
      </c>
      <c r="O1215" s="12" t="inlineStr">
        <is>
          <t>開く</t>
        </is>
      </c>
    </row>
    <row r="1216">
      <c r="A1216" s="4" t="n">
        <v>1212</v>
      </c>
      <c r="B1216" s="5" t="inlineStr">
        <is>
          <t>福岡県</t>
        </is>
      </c>
      <c r="C1216" s="5" t="inlineStr">
        <is>
          <t>筑紫野市</t>
        </is>
      </c>
      <c r="D1216" s="5" t="inlineStr">
        <is>
          <t>九州産業大学付属九州産業高等学校</t>
        </is>
      </c>
      <c r="E1216" s="6" t="inlineStr">
        <is>
          <t>092-923-3030</t>
        </is>
      </c>
      <c r="F1216" s="7" t="inlineStr">
        <is>
          <t>高</t>
        </is>
      </c>
      <c r="G1216" s="5" t="inlineStr">
        <is>
          <t>普通科・専門学科</t>
        </is>
      </c>
      <c r="H1216" s="8" t="n"/>
      <c r="I1216" s="9" t="n"/>
      <c r="J1216" s="9" t="inlineStr">
        <is>
          <t>未架電</t>
        </is>
      </c>
      <c r="K1216" s="8" t="n"/>
      <c r="L1216" s="9" t="n"/>
      <c r="M1216" s="10" t="inlineStr">
        <is>
          <t>事務室092-923-3031の記載あり</t>
        </is>
      </c>
      <c r="N1216" s="11" t="inlineStr">
        <is>
          <t>https://www.kyusanfukyusan-h.ed.jp/contact/</t>
        </is>
      </c>
      <c r="O1216" s="12" t="inlineStr">
        <is>
          <t>開く</t>
        </is>
      </c>
    </row>
    <row r="1217">
      <c r="A1217" s="4" t="n">
        <v>1213</v>
      </c>
      <c r="B1217" s="5" t="inlineStr">
        <is>
          <t>福岡県</t>
        </is>
      </c>
      <c r="C1217" s="5" t="inlineStr">
        <is>
          <t>飯塚市</t>
        </is>
      </c>
      <c r="D1217" s="5" t="inlineStr">
        <is>
          <t>近畿大学附属福岡高等学校</t>
        </is>
      </c>
      <c r="E1217" s="6" t="inlineStr">
        <is>
          <t>0948-22-2597</t>
        </is>
      </c>
      <c r="F1217" s="7" t="inlineStr">
        <is>
          <t>高</t>
        </is>
      </c>
      <c r="G1217" s="5" t="inlineStr">
        <is>
          <t>普通科・専門学科</t>
        </is>
      </c>
      <c r="H1217" s="8" t="n"/>
      <c r="I1217" s="9" t="n"/>
      <c r="J1217" s="9" t="inlineStr">
        <is>
          <t>未架電</t>
        </is>
      </c>
      <c r="K1217" s="8" t="n"/>
      <c r="L1217" s="9" t="n"/>
      <c r="M1217" s="10" t="inlineStr">
        <is>
          <t>全日制の番号。通信制は0948-22-5655</t>
        </is>
      </c>
      <c r="N1217" s="11" t="inlineStr">
        <is>
          <t>https://www.fhs.kindai.ac.jp/contact/</t>
        </is>
      </c>
      <c r="O1217" s="12" t="inlineStr">
        <is>
          <t>開く</t>
        </is>
      </c>
    </row>
    <row r="1218">
      <c r="A1218" s="4" t="n">
        <v>1214</v>
      </c>
      <c r="B1218" s="5" t="inlineStr">
        <is>
          <t>福岡県</t>
        </is>
      </c>
      <c r="C1218" s="5" t="inlineStr">
        <is>
          <t>北九州市八幡西区</t>
        </is>
      </c>
      <c r="D1218" s="5" t="inlineStr">
        <is>
          <t>仰星学園高等学校</t>
        </is>
      </c>
      <c r="E1218" s="6" t="inlineStr">
        <is>
          <t>093-663-6037</t>
        </is>
      </c>
      <c r="F1218" s="7" t="inlineStr">
        <is>
          <t>高</t>
        </is>
      </c>
      <c r="G1218" s="5" t="inlineStr">
        <is>
          <t>普通科</t>
        </is>
      </c>
      <c r="H1218" s="8" t="n"/>
      <c r="I1218" s="9" t="n"/>
      <c r="J1218" s="9" t="inlineStr">
        <is>
          <t>未架電</t>
        </is>
      </c>
      <c r="K1218" s="8" t="n"/>
      <c r="L1218" s="9" t="n"/>
      <c r="M1218" s="10" t="inlineStr">
        <is>
          <t>入試広報は093-661-8001</t>
        </is>
      </c>
      <c r="N1218" s="11" t="inlineStr">
        <is>
          <t>https://www.gyoseigakuen.ne.jp/contact.html</t>
        </is>
      </c>
      <c r="O1218" s="12" t="inlineStr">
        <is>
          <t>開く</t>
        </is>
      </c>
    </row>
    <row r="1219">
      <c r="A1219" s="4" t="n">
        <v>1215</v>
      </c>
      <c r="B1219" s="5" t="inlineStr">
        <is>
          <t>福岡県</t>
        </is>
      </c>
      <c r="C1219" s="5" t="inlineStr">
        <is>
          <t>久留米市</t>
        </is>
      </c>
      <c r="D1219" s="5" t="inlineStr">
        <is>
          <t>久留米学園高等学校</t>
        </is>
      </c>
      <c r="E1219" s="6" t="inlineStr">
        <is>
          <t>0942-34-4535</t>
        </is>
      </c>
      <c r="F1219" s="7" t="inlineStr">
        <is>
          <t>高</t>
        </is>
      </c>
      <c r="G1219" s="5" t="inlineStr">
        <is>
          <t>普通科・総合学科</t>
        </is>
      </c>
      <c r="H1219" s="8" t="n"/>
      <c r="I1219" s="9" t="n"/>
      <c r="J1219" s="9" t="inlineStr">
        <is>
          <t>未架電</t>
        </is>
      </c>
      <c r="K1219" s="8" t="n"/>
      <c r="L1219" s="9" t="n"/>
      <c r="M1219" s="10" t="n"/>
      <c r="N1219" s="11" t="inlineStr">
        <is>
          <t>https://gakuen.ac.jp/contact/</t>
        </is>
      </c>
      <c r="O1219" s="12" t="inlineStr">
        <is>
          <t>開く</t>
        </is>
      </c>
    </row>
    <row r="1220">
      <c r="A1220" s="4" t="n">
        <v>1216</v>
      </c>
      <c r="B1220" s="5" t="inlineStr">
        <is>
          <t>福岡県</t>
        </is>
      </c>
      <c r="C1220" s="5" t="inlineStr">
        <is>
          <t>久留米市</t>
        </is>
      </c>
      <c r="D1220" s="5" t="inlineStr">
        <is>
          <t>久留米信愛高等学校</t>
        </is>
      </c>
      <c r="E1220" s="6" t="inlineStr">
        <is>
          <t>0942-43-4533</t>
        </is>
      </c>
      <c r="F1220" s="7" t="inlineStr">
        <is>
          <t>高</t>
        </is>
      </c>
      <c r="G1220" s="5" t="inlineStr">
        <is>
          <t>普通科</t>
        </is>
      </c>
      <c r="H1220" s="8" t="n"/>
      <c r="I1220" s="9" t="n"/>
      <c r="J1220" s="9" t="inlineStr">
        <is>
          <t>未架電</t>
        </is>
      </c>
      <c r="K1220" s="8" t="n"/>
      <c r="L1220" s="9" t="n"/>
      <c r="M1220" s="10" t="inlineStr">
        <is>
          <t>中高（全日制）の番号。学院代表0942-43-4531、通信制0942-43-4532</t>
        </is>
      </c>
      <c r="N1220" s="11" t="inlineStr">
        <is>
          <t>https://www.kurume-shinai.ac.jp/contact/</t>
        </is>
      </c>
      <c r="O1220" s="12" t="inlineStr">
        <is>
          <t>開く</t>
        </is>
      </c>
    </row>
    <row r="1221">
      <c r="A1221" s="4" t="n">
        <v>1217</v>
      </c>
      <c r="B1221" s="5" t="inlineStr">
        <is>
          <t>福岡県</t>
        </is>
      </c>
      <c r="C1221" s="5" t="inlineStr">
        <is>
          <t>久留米市</t>
        </is>
      </c>
      <c r="D1221" s="5" t="inlineStr">
        <is>
          <t>久留米大学附設高等学校</t>
        </is>
      </c>
      <c r="E1221" s="6" t="inlineStr">
        <is>
          <t>0942-44-2222</t>
        </is>
      </c>
      <c r="F1221" s="7" t="inlineStr">
        <is>
          <t>高</t>
        </is>
      </c>
      <c r="G1221" s="5" t="inlineStr">
        <is>
          <t>普通科</t>
        </is>
      </c>
      <c r="H1221" s="8" t="n"/>
      <c r="I1221" s="9" t="n"/>
      <c r="J1221" s="9" t="inlineStr">
        <is>
          <t>未架電</t>
        </is>
      </c>
      <c r="K1221" s="8" t="n"/>
      <c r="L1221" s="9" t="n"/>
      <c r="M1221" s="10" t="inlineStr">
        <is>
          <t>中高共通の事務室代表</t>
        </is>
      </c>
      <c r="N1221" s="11" t="inlineStr">
        <is>
          <t>https://fusetsu.kurume-u.ac.jp/contact/</t>
        </is>
      </c>
      <c r="O1221" s="12" t="inlineStr">
        <is>
          <t>開く</t>
        </is>
      </c>
    </row>
    <row r="1222">
      <c r="A1222" s="4" t="n">
        <v>1218</v>
      </c>
      <c r="B1222" s="5" t="inlineStr">
        <is>
          <t>福岡県</t>
        </is>
      </c>
      <c r="C1222" s="5" t="inlineStr">
        <is>
          <t>北九州市門司区</t>
        </is>
      </c>
      <c r="D1222" s="5" t="inlineStr">
        <is>
          <t>敬愛高等学校</t>
        </is>
      </c>
      <c r="E1222" s="6" t="inlineStr">
        <is>
          <t>093-381-3537</t>
        </is>
      </c>
      <c r="F1222" s="7" t="inlineStr">
        <is>
          <t>高</t>
        </is>
      </c>
      <c r="G1222" s="5" t="inlineStr">
        <is>
          <t>普通科</t>
        </is>
      </c>
      <c r="H1222" s="8" t="n"/>
      <c r="I1222" s="9" t="n"/>
      <c r="J1222" s="9" t="inlineStr">
        <is>
          <t>未架電</t>
        </is>
      </c>
      <c r="K1222" s="8" t="n"/>
      <c r="L1222" s="9" t="n"/>
      <c r="M1222" s="10" t="n"/>
      <c r="N1222" s="11" t="inlineStr">
        <is>
          <t>https://www.keiai.net/high/</t>
        </is>
      </c>
      <c r="O1222" s="12" t="inlineStr">
        <is>
          <t>開く</t>
        </is>
      </c>
    </row>
    <row r="1223">
      <c r="A1223" s="4" t="n">
        <v>1219</v>
      </c>
      <c r="B1223" s="5" t="inlineStr">
        <is>
          <t>福岡県</t>
        </is>
      </c>
      <c r="C1223" s="5" t="inlineStr">
        <is>
          <t>北九州市小倉北区</t>
        </is>
      </c>
      <c r="D1223" s="5" t="inlineStr">
        <is>
          <t>慶成高等学校</t>
        </is>
      </c>
      <c r="E1223" s="6" t="inlineStr">
        <is>
          <t>093-561-1331</t>
        </is>
      </c>
      <c r="F1223" s="7" t="inlineStr">
        <is>
          <t>高</t>
        </is>
      </c>
      <c r="G1223" s="5" t="inlineStr">
        <is>
          <t>普通科・専門学科</t>
        </is>
      </c>
      <c r="H1223" s="8" t="n"/>
      <c r="I1223" s="9" t="n"/>
      <c r="J1223" s="9" t="inlineStr">
        <is>
          <t>未架電</t>
        </is>
      </c>
      <c r="K1223" s="8" t="n"/>
      <c r="L1223" s="9" t="n"/>
      <c r="M1223" s="10" t="n"/>
      <c r="N1223" s="11" t="inlineStr">
        <is>
          <t>https://keisei-h.jp/inquiry/</t>
        </is>
      </c>
      <c r="O1223" s="12" t="inlineStr">
        <is>
          <t>開く</t>
        </is>
      </c>
    </row>
    <row r="1224">
      <c r="A1224" s="4" t="n">
        <v>1220</v>
      </c>
      <c r="B1224" s="5" t="inlineStr">
        <is>
          <t>福岡県</t>
        </is>
      </c>
      <c r="C1224" s="5" t="inlineStr">
        <is>
          <t>北九州市若松区</t>
        </is>
      </c>
      <c r="D1224" s="5" t="inlineStr">
        <is>
          <t>高稜高等学校</t>
        </is>
      </c>
      <c r="E1224" s="6" t="inlineStr">
        <is>
          <t>093-791-3911</t>
        </is>
      </c>
      <c r="F1224" s="7" t="inlineStr">
        <is>
          <t>高</t>
        </is>
      </c>
      <c r="G1224" s="5" t="inlineStr">
        <is>
          <t>普通科</t>
        </is>
      </c>
      <c r="H1224" s="8" t="n"/>
      <c r="I1224" s="9" t="n"/>
      <c r="J1224" s="9" t="inlineStr">
        <is>
          <t>未架電</t>
        </is>
      </c>
      <c r="K1224" s="8" t="n"/>
      <c r="L1224" s="9" t="n"/>
      <c r="M1224" s="10" t="n"/>
      <c r="N1224" s="11" t="inlineStr">
        <is>
          <t>http://www.kouryou.ed.jp/</t>
        </is>
      </c>
      <c r="O1224" s="12" t="inlineStr">
        <is>
          <t>開く</t>
        </is>
      </c>
    </row>
    <row r="1225">
      <c r="A1225" s="4" t="n">
        <v>1221</v>
      </c>
      <c r="B1225" s="5" t="inlineStr">
        <is>
          <t>福岡県</t>
        </is>
      </c>
      <c r="C1225" s="5" t="inlineStr">
        <is>
          <t>北九州市小倉北区</t>
        </is>
      </c>
      <c r="D1225" s="5" t="inlineStr">
        <is>
          <t>真颯館高等学校</t>
        </is>
      </c>
      <c r="E1225" s="6" t="inlineStr">
        <is>
          <t>093-561-1231</t>
        </is>
      </c>
      <c r="F1225" s="7" t="inlineStr">
        <is>
          <t>高</t>
        </is>
      </c>
      <c r="G1225" s="5" t="inlineStr">
        <is>
          <t>普通科・専門学科</t>
        </is>
      </c>
      <c r="H1225" s="8" t="n"/>
      <c r="I1225" s="9" t="n"/>
      <c r="J1225" s="9" t="inlineStr">
        <is>
          <t>未架電</t>
        </is>
      </c>
      <c r="K1225" s="8" t="n"/>
      <c r="L1225" s="9" t="n"/>
      <c r="M1225" s="10" t="n"/>
      <c r="N1225" s="11" t="inlineStr">
        <is>
          <t>http://www.shinsokan-h.ed.jp/contact/</t>
        </is>
      </c>
      <c r="O1225" s="12" t="inlineStr">
        <is>
          <t>開く</t>
        </is>
      </c>
    </row>
    <row r="1226">
      <c r="A1226" s="4" t="n">
        <v>1222</v>
      </c>
      <c r="B1226" s="5" t="inlineStr">
        <is>
          <t>福岡県</t>
        </is>
      </c>
      <c r="C1226" s="5" t="inlineStr">
        <is>
          <t>福岡市南区</t>
        </is>
      </c>
      <c r="D1226" s="5" t="inlineStr">
        <is>
          <t>純真高等学校</t>
        </is>
      </c>
      <c r="E1226" s="6" t="inlineStr">
        <is>
          <t>092-541-9710</t>
        </is>
      </c>
      <c r="F1226" s="7" t="inlineStr">
        <is>
          <t>高</t>
        </is>
      </c>
      <c r="G1226" s="5" t="inlineStr">
        <is>
          <t>普通科・専門学科</t>
        </is>
      </c>
      <c r="H1226" s="8" t="n"/>
      <c r="I1226" s="9" t="n"/>
      <c r="J1226" s="9" t="inlineStr">
        <is>
          <t>未架電</t>
        </is>
      </c>
      <c r="K1226" s="8" t="n"/>
      <c r="L1226" s="9" t="n"/>
      <c r="M1226" s="10" t="inlineStr">
        <is>
          <t>法人は092-541-1511</t>
        </is>
      </c>
      <c r="N1226" s="11" t="inlineStr">
        <is>
          <t>https://junshin-hs.ed.jp/contact</t>
        </is>
      </c>
      <c r="O1226" s="12" t="inlineStr">
        <is>
          <t>開く</t>
        </is>
      </c>
    </row>
    <row r="1227">
      <c r="A1227" s="4" t="n">
        <v>1223</v>
      </c>
      <c r="B1227" s="5" t="inlineStr">
        <is>
          <t>福岡県</t>
        </is>
      </c>
      <c r="C1227" s="5" t="inlineStr">
        <is>
          <t>北九州市八幡西区</t>
        </is>
      </c>
      <c r="D1227" s="5" t="inlineStr">
        <is>
          <t>自由ケ丘高等学校</t>
        </is>
      </c>
      <c r="E1227" s="6" t="inlineStr">
        <is>
          <t>093-693-3090</t>
        </is>
      </c>
      <c r="F1227" s="7" t="inlineStr">
        <is>
          <t>高</t>
        </is>
      </c>
      <c r="G1227" s="5" t="inlineStr">
        <is>
          <t>普通科</t>
        </is>
      </c>
      <c r="H1227" s="8" t="n"/>
      <c r="I1227" s="9" t="n"/>
      <c r="J1227" s="9" t="inlineStr">
        <is>
          <t>未架電</t>
        </is>
      </c>
      <c r="K1227" s="8" t="n"/>
      <c r="L1227" s="9" t="n"/>
      <c r="M1227" s="10" t="inlineStr">
        <is>
          <t>事務室093-693-3030の記載あり</t>
        </is>
      </c>
      <c r="N1227" s="11" t="inlineStr">
        <is>
          <t>https://www.jiyugaoka-hs.ed.jp/</t>
        </is>
      </c>
      <c r="O1227" s="12" t="inlineStr">
        <is>
          <t>開く</t>
        </is>
      </c>
    </row>
    <row r="1228">
      <c r="A1228" s="4" t="n">
        <v>1224</v>
      </c>
      <c r="B1228" s="5" t="inlineStr">
        <is>
          <t>福岡県</t>
        </is>
      </c>
      <c r="C1228" s="5" t="inlineStr">
        <is>
          <t>福岡市中央区</t>
        </is>
      </c>
      <c r="D1228" s="5" t="inlineStr">
        <is>
          <t>上智福岡高等学校</t>
        </is>
      </c>
      <c r="E1228" s="6" t="inlineStr">
        <is>
          <t>092-712-7181</t>
        </is>
      </c>
      <c r="F1228" s="7" t="inlineStr">
        <is>
          <t>高</t>
        </is>
      </c>
      <c r="G1228" s="5" t="inlineStr">
        <is>
          <t>普通科</t>
        </is>
      </c>
      <c r="H1228" s="8" t="n"/>
      <c r="I1228" s="9" t="n"/>
      <c r="J1228" s="9" t="inlineStr">
        <is>
          <t>未架電</t>
        </is>
      </c>
      <c r="K1228" s="8" t="n"/>
      <c r="L1228" s="9" t="n"/>
      <c r="M1228" s="10" t="inlineStr">
        <is>
          <t>中高共通番号</t>
        </is>
      </c>
      <c r="N1228" s="11" t="inlineStr">
        <is>
          <t>https://www.sophia-fukuoka.ed.jp/contact_info/</t>
        </is>
      </c>
      <c r="O1228" s="12" t="inlineStr">
        <is>
          <t>開く</t>
        </is>
      </c>
    </row>
    <row r="1229">
      <c r="A1229" s="4" t="n">
        <v>1225</v>
      </c>
      <c r="B1229" s="5" t="inlineStr">
        <is>
          <t>福岡県</t>
        </is>
      </c>
      <c r="C1229" s="5" t="inlineStr">
        <is>
          <t>福岡市博多区</t>
        </is>
      </c>
      <c r="D1229" s="5" t="inlineStr">
        <is>
          <t>精華女子高等学校</t>
        </is>
      </c>
      <c r="E1229" s="6" t="inlineStr">
        <is>
          <t>092-431-1434</t>
        </is>
      </c>
      <c r="F1229" s="7" t="inlineStr">
        <is>
          <t>高</t>
        </is>
      </c>
      <c r="G1229" s="5" t="inlineStr">
        <is>
          <t>普通科・専門学科</t>
        </is>
      </c>
      <c r="H1229" s="8" t="n"/>
      <c r="I1229" s="9" t="n"/>
      <c r="J1229" s="9" t="inlineStr">
        <is>
          <t>未架電</t>
        </is>
      </c>
      <c r="K1229" s="8" t="n"/>
      <c r="L1229" s="9" t="n"/>
      <c r="M1229" s="10" t="n"/>
      <c r="N1229" s="11" t="inlineStr">
        <is>
          <t>https://www.seika-ghs.ed.jp/</t>
        </is>
      </c>
      <c r="O1229" s="12" t="inlineStr">
        <is>
          <t>開く</t>
        </is>
      </c>
    </row>
    <row r="1230">
      <c r="A1230" s="4" t="n">
        <v>1226</v>
      </c>
      <c r="B1230" s="5" t="inlineStr">
        <is>
          <t>福岡県</t>
        </is>
      </c>
      <c r="C1230" s="5" t="inlineStr">
        <is>
          <t>大牟田市</t>
        </is>
      </c>
      <c r="D1230" s="5" t="inlineStr">
        <is>
          <t>誠修高等学校</t>
        </is>
      </c>
      <c r="E1230" s="6" t="inlineStr">
        <is>
          <t>0944-55-2344</t>
        </is>
      </c>
      <c r="F1230" s="7" t="inlineStr">
        <is>
          <t>高</t>
        </is>
      </c>
      <c r="G1230" s="5" t="inlineStr">
        <is>
          <t>普通科・専門学科</t>
        </is>
      </c>
      <c r="H1230" s="8" t="n"/>
      <c r="I1230" s="9" t="n"/>
      <c r="J1230" s="9" t="inlineStr">
        <is>
          <t>未架電</t>
        </is>
      </c>
      <c r="K1230" s="8" t="n"/>
      <c r="L1230" s="9" t="n"/>
      <c r="M1230" s="10" t="n"/>
      <c r="N1230" s="11" t="inlineStr">
        <is>
          <t>http://seishu.ed.jp/school/access/</t>
        </is>
      </c>
      <c r="O1230" s="12" t="inlineStr">
        <is>
          <t>開く</t>
        </is>
      </c>
    </row>
    <row r="1231">
      <c r="A1231" s="4" t="n">
        <v>1227</v>
      </c>
      <c r="B1231" s="5" t="inlineStr">
        <is>
          <t>福岡県</t>
        </is>
      </c>
      <c r="C1231" s="5" t="inlineStr">
        <is>
          <t>福岡市早良区</t>
        </is>
      </c>
      <c r="D1231" s="5" t="inlineStr">
        <is>
          <t>西南学院高等学校</t>
        </is>
      </c>
      <c r="E1231" s="6" t="inlineStr">
        <is>
          <t>092-841-1317</t>
        </is>
      </c>
      <c r="F1231" s="7" t="inlineStr">
        <is>
          <t>高</t>
        </is>
      </c>
      <c r="G1231" s="5" t="inlineStr">
        <is>
          <t>普通科</t>
        </is>
      </c>
      <c r="H1231" s="8" t="n"/>
      <c r="I1231" s="9" t="n"/>
      <c r="J1231" s="9" t="inlineStr">
        <is>
          <t>未架電</t>
        </is>
      </c>
      <c r="K1231" s="8" t="n"/>
      <c r="L1231" s="9" t="n"/>
      <c r="M1231" s="10" t="inlineStr">
        <is>
          <t>中高共通番号</t>
        </is>
      </c>
      <c r="N1231" s="11" t="inlineStr">
        <is>
          <t>https://hs.seinan.ed.jp/access/</t>
        </is>
      </c>
      <c r="O1231" s="12" t="inlineStr">
        <is>
          <t>開く</t>
        </is>
      </c>
    </row>
    <row r="1232">
      <c r="A1232" s="4" t="n">
        <v>1228</v>
      </c>
      <c r="B1232" s="5" t="inlineStr">
        <is>
          <t>福岡県</t>
        </is>
      </c>
      <c r="C1232" s="5" t="inlineStr">
        <is>
          <t>北九州市小倉北区</t>
        </is>
      </c>
      <c r="D1232" s="5" t="inlineStr">
        <is>
          <t>西南女学院高等学校</t>
        </is>
      </c>
      <c r="E1232" s="6" t="inlineStr">
        <is>
          <t>093-583-5800</t>
        </is>
      </c>
      <c r="F1232" s="7" t="inlineStr">
        <is>
          <t>高</t>
        </is>
      </c>
      <c r="G1232" s="5" t="inlineStr">
        <is>
          <t>普通科</t>
        </is>
      </c>
      <c r="H1232" s="8" t="n"/>
      <c r="I1232" s="9" t="n"/>
      <c r="J1232" s="9" t="inlineStr">
        <is>
          <t>未架電</t>
        </is>
      </c>
      <c r="K1232" s="8" t="n"/>
      <c r="L1232" s="9" t="n"/>
      <c r="M1232" s="10" t="inlineStr">
        <is>
          <t>中高共通番号。gakkou.netは093-583-5848と記載</t>
        </is>
      </c>
      <c r="N1232" s="11" t="inlineStr">
        <is>
          <t>https://www.seinan-jo.ac.jp/houjin/</t>
        </is>
      </c>
      <c r="O1232" s="12" t="inlineStr">
        <is>
          <t>開く</t>
        </is>
      </c>
    </row>
    <row r="1233">
      <c r="A1233" s="4" t="n">
        <v>1229</v>
      </c>
      <c r="B1233" s="5" t="inlineStr">
        <is>
          <t>福岡県</t>
        </is>
      </c>
      <c r="C1233" s="5" t="inlineStr">
        <is>
          <t>北九州市八幡西区</t>
        </is>
      </c>
      <c r="D1233" s="5" t="inlineStr">
        <is>
          <t>星琳高等学校</t>
        </is>
      </c>
      <c r="E1233" s="6" t="inlineStr">
        <is>
          <t>093-631-5350</t>
        </is>
      </c>
      <c r="F1233" s="7" t="inlineStr">
        <is>
          <t>高</t>
        </is>
      </c>
      <c r="G1233" s="5" t="inlineStr">
        <is>
          <t>普通科・専門学科</t>
        </is>
      </c>
      <c r="H1233" s="8" t="n"/>
      <c r="I1233" s="9" t="n"/>
      <c r="J1233" s="9" t="inlineStr">
        <is>
          <t>未架電</t>
        </is>
      </c>
      <c r="K1233" s="8" t="n"/>
      <c r="L1233" s="9" t="n"/>
      <c r="M1233" s="10" t="n"/>
      <c r="N1233" s="11" t="inlineStr">
        <is>
          <t>https://www.seirin.ac.jp/</t>
        </is>
      </c>
      <c r="O1233" s="12" t="inlineStr">
        <is>
          <t>開く</t>
        </is>
      </c>
    </row>
    <row r="1234">
      <c r="A1234" s="4" t="n">
        <v>1230</v>
      </c>
      <c r="B1234" s="5" t="inlineStr">
        <is>
          <t>福岡県</t>
        </is>
      </c>
      <c r="C1234" s="5" t="inlineStr">
        <is>
          <t>福岡市南区</t>
        </is>
      </c>
      <c r="D1234" s="5" t="inlineStr">
        <is>
          <t>第一薬科大学付属高等学校</t>
        </is>
      </c>
      <c r="E1234" s="6" t="inlineStr">
        <is>
          <t>092-541-0167</t>
        </is>
      </c>
      <c r="F1234" s="13" t="inlineStr">
        <is>
          <t>中</t>
        </is>
      </c>
      <c r="G1234" s="5" t="inlineStr">
        <is>
          <t>普通科・専門学科</t>
        </is>
      </c>
      <c r="H1234" s="8" t="n"/>
      <c r="I1234" s="9" t="n"/>
      <c r="J1234" s="9" t="inlineStr">
        <is>
          <t>未架電</t>
        </is>
      </c>
      <c r="K1234" s="8" t="n"/>
      <c r="L1234" s="9" t="n"/>
      <c r="M1234" s="10" t="inlineStr">
        <is>
          <t>公式未確認、複数サイトで一致。通信制福岡キャンパスは092-562-4749</t>
        </is>
      </c>
      <c r="N1234" s="11" t="inlineStr">
        <is>
          <t>https://www.mapion.co.jp/phonebook/M11004/40134/ILSP0000041841_ipclm/</t>
        </is>
      </c>
      <c r="O1234" s="12" t="inlineStr">
        <is>
          <t>開く</t>
        </is>
      </c>
    </row>
    <row r="1235">
      <c r="A1235" s="4" t="n">
        <v>1231</v>
      </c>
      <c r="B1235" s="5" t="inlineStr">
        <is>
          <t>福岡県</t>
        </is>
      </c>
      <c r="C1235" s="5" t="inlineStr">
        <is>
          <t>福岡市東区</t>
        </is>
      </c>
      <c r="D1235" s="5" t="inlineStr">
        <is>
          <t>立花高等学校</t>
        </is>
      </c>
      <c r="E1235" s="6" t="inlineStr">
        <is>
          <t>092-606-2792</t>
        </is>
      </c>
      <c r="F1235" s="7" t="inlineStr">
        <is>
          <t>高</t>
        </is>
      </c>
      <c r="G1235" s="5" t="inlineStr">
        <is>
          <t>普通科</t>
        </is>
      </c>
      <c r="H1235" s="8" t="n"/>
      <c r="I1235" s="9" t="n"/>
      <c r="J1235" s="9" t="inlineStr">
        <is>
          <t>未架電</t>
        </is>
      </c>
      <c r="K1235" s="8" t="n"/>
      <c r="L1235" s="9" t="n"/>
      <c r="M1235" s="10" t="n"/>
      <c r="N1235" s="11" t="inlineStr">
        <is>
          <t>https://www.tachibanahs.net/blank-18</t>
        </is>
      </c>
      <c r="O1235" s="12" t="inlineStr">
        <is>
          <t>開く</t>
        </is>
      </c>
    </row>
    <row r="1236">
      <c r="A1236" s="4" t="n">
        <v>1232</v>
      </c>
      <c r="B1236" s="5" t="inlineStr">
        <is>
          <t>福岡県</t>
        </is>
      </c>
      <c r="C1236" s="5" t="inlineStr">
        <is>
          <t>福岡市中央区</t>
        </is>
      </c>
      <c r="D1236" s="5" t="inlineStr">
        <is>
          <t>筑紫女学園高等学校</t>
        </is>
      </c>
      <c r="E1236" s="6" t="inlineStr">
        <is>
          <t>092-771-3066</t>
        </is>
      </c>
      <c r="F1236" s="7" t="inlineStr">
        <is>
          <t>高</t>
        </is>
      </c>
      <c r="G1236" s="5" t="inlineStr">
        <is>
          <t>普通科</t>
        </is>
      </c>
      <c r="H1236" s="8" t="n"/>
      <c r="I1236" s="9" t="n"/>
      <c r="J1236" s="9" t="inlineStr">
        <is>
          <t>未架電</t>
        </is>
      </c>
      <c r="K1236" s="8" t="n"/>
      <c r="L1236" s="9" t="n"/>
      <c r="M1236" s="10" t="n"/>
      <c r="N1236" s="11" t="inlineStr">
        <is>
          <t>https://chikujo.ed.jp/schoolinfo/access/</t>
        </is>
      </c>
      <c r="O1236" s="12" t="inlineStr">
        <is>
          <t>開く</t>
        </is>
      </c>
    </row>
    <row r="1237">
      <c r="A1237" s="4" t="n">
        <v>1233</v>
      </c>
      <c r="B1237" s="5" t="inlineStr">
        <is>
          <t>福岡県</t>
        </is>
      </c>
      <c r="C1237" s="5" t="inlineStr">
        <is>
          <t>太宰府市</t>
        </is>
      </c>
      <c r="D1237" s="5" t="inlineStr">
        <is>
          <t>筑紫台高等学校</t>
        </is>
      </c>
      <c r="E1237" s="6" t="inlineStr">
        <is>
          <t>092-923-0010</t>
        </is>
      </c>
      <c r="F1237" s="7" t="inlineStr">
        <is>
          <t>高</t>
        </is>
      </c>
      <c r="G1237" s="5" t="inlineStr">
        <is>
          <t>普通科・専門学科・総合学科</t>
        </is>
      </c>
      <c r="H1237" s="8" t="n"/>
      <c r="I1237" s="9" t="n"/>
      <c r="J1237" s="9" t="inlineStr">
        <is>
          <t>未架電</t>
        </is>
      </c>
      <c r="K1237" s="8" t="n"/>
      <c r="L1237" s="9" t="n"/>
      <c r="M1237" s="10" t="n"/>
      <c r="N1237" s="11" t="inlineStr">
        <is>
          <t>https://chikushidai.ed.jp/schoollife/access</t>
        </is>
      </c>
      <c r="O1237" s="12" t="inlineStr">
        <is>
          <t>開く</t>
        </is>
      </c>
    </row>
    <row r="1238">
      <c r="A1238" s="4" t="n">
        <v>1234</v>
      </c>
      <c r="B1238" s="5" t="inlineStr">
        <is>
          <t>福岡県</t>
        </is>
      </c>
      <c r="C1238" s="5" t="inlineStr">
        <is>
          <t>太宰府市</t>
        </is>
      </c>
      <c r="D1238" s="5" t="inlineStr">
        <is>
          <t>筑陽学園高等学校</t>
        </is>
      </c>
      <c r="E1238" s="6" t="inlineStr">
        <is>
          <t>092-922-7361</t>
        </is>
      </c>
      <c r="F1238" s="7" t="inlineStr">
        <is>
          <t>高</t>
        </is>
      </c>
      <c r="G1238" s="5" t="inlineStr">
        <is>
          <t>普通科・専門学科</t>
        </is>
      </c>
      <c r="H1238" s="8" t="n"/>
      <c r="I1238" s="9" t="n"/>
      <c r="J1238" s="9" t="inlineStr">
        <is>
          <t>未架電</t>
        </is>
      </c>
      <c r="K1238" s="8" t="n"/>
      <c r="L1238" s="9" t="n"/>
      <c r="M1238" s="10" t="n"/>
      <c r="N1238" s="11" t="inlineStr">
        <is>
          <t>http://www.chikuyogakuen.ed.jp/accessmap.html</t>
        </is>
      </c>
      <c r="O1238" s="12" t="inlineStr">
        <is>
          <t>開く</t>
        </is>
      </c>
    </row>
    <row r="1239">
      <c r="A1239" s="4" t="n">
        <v>1235</v>
      </c>
      <c r="B1239" s="5" t="inlineStr">
        <is>
          <t>福岡県</t>
        </is>
      </c>
      <c r="C1239" s="5" t="inlineStr">
        <is>
          <t>宗像市</t>
        </is>
      </c>
      <c r="D1239" s="5" t="inlineStr">
        <is>
          <t>東海大学付属福岡高等学校</t>
        </is>
      </c>
      <c r="E1239" s="6" t="inlineStr">
        <is>
          <t>0940-32-3311</t>
        </is>
      </c>
      <c r="F1239" s="7" t="inlineStr">
        <is>
          <t>高</t>
        </is>
      </c>
      <c r="G1239" s="5" t="inlineStr">
        <is>
          <t>普通科</t>
        </is>
      </c>
      <c r="H1239" s="8" t="n"/>
      <c r="I1239" s="9" t="n"/>
      <c r="J1239" s="9" t="inlineStr">
        <is>
          <t>未架電</t>
        </is>
      </c>
      <c r="K1239" s="8" t="n"/>
      <c r="L1239" s="9" t="n"/>
      <c r="M1239" s="10" t="n"/>
      <c r="N1239" s="11" t="inlineStr">
        <is>
          <t>https://www.fukuoka.tokai.ed.jp/contact/</t>
        </is>
      </c>
      <c r="O1239" s="12" t="inlineStr">
        <is>
          <t>開く</t>
        </is>
      </c>
    </row>
    <row r="1240">
      <c r="A1240" s="4" t="n">
        <v>1236</v>
      </c>
      <c r="B1240" s="5" t="inlineStr">
        <is>
          <t>福岡県</t>
        </is>
      </c>
      <c r="C1240" s="5" t="inlineStr">
        <is>
          <t>北九州市小倉南区</t>
        </is>
      </c>
      <c r="D1240" s="5" t="inlineStr">
        <is>
          <t>常磐高等学校（福岡県）</t>
        </is>
      </c>
      <c r="E1240" s="6" t="inlineStr">
        <is>
          <t>093-961-2334</t>
        </is>
      </c>
      <c r="F1240" s="7" t="inlineStr">
        <is>
          <t>高</t>
        </is>
      </c>
      <c r="G1240" s="5" t="inlineStr">
        <is>
          <t>普通科</t>
        </is>
      </c>
      <c r="H1240" s="8" t="n"/>
      <c r="I1240" s="9" t="n"/>
      <c r="J1240" s="9" t="inlineStr">
        <is>
          <t>未架電</t>
        </is>
      </c>
      <c r="K1240" s="8" t="n"/>
      <c r="L1240" s="9" t="n"/>
      <c r="M1240" s="10" t="n"/>
      <c r="N1240" s="11" t="inlineStr">
        <is>
          <t>https://www.tokiwa-hs.ed.jp/</t>
        </is>
      </c>
      <c r="O1240" s="12" t="inlineStr">
        <is>
          <t>開く</t>
        </is>
      </c>
    </row>
    <row r="1241">
      <c r="A1241" s="4" t="n">
        <v>1237</v>
      </c>
      <c r="B1241" s="5" t="inlineStr">
        <is>
          <t>福岡県</t>
        </is>
      </c>
      <c r="C1241" s="5" t="inlineStr">
        <is>
          <t>福岡市城南区</t>
        </is>
      </c>
      <c r="D1241" s="5" t="inlineStr">
        <is>
          <t>中村学園高等学校</t>
        </is>
      </c>
      <c r="E1241" s="6" t="inlineStr">
        <is>
          <t>092-831-0981</t>
        </is>
      </c>
      <c r="F1241" s="7" t="inlineStr">
        <is>
          <t>高</t>
        </is>
      </c>
      <c r="G1241" s="5" t="inlineStr">
        <is>
          <t>普通科</t>
        </is>
      </c>
      <c r="H1241" s="8" t="n"/>
      <c r="I1241" s="9" t="n"/>
      <c r="J1241" s="9" t="inlineStr">
        <is>
          <t>未架電</t>
        </is>
      </c>
      <c r="K1241" s="8" t="n"/>
      <c r="L1241" s="9" t="n"/>
      <c r="M1241" s="10" t="inlineStr">
        <is>
          <t>旧・中村学園女子。2026年4月に共学化・改称</t>
        </is>
      </c>
      <c r="N1241" s="11" t="inlineStr">
        <is>
          <t>https://www.nakamura-njh.ed.jp/access/</t>
        </is>
      </c>
      <c r="O1241" s="12" t="inlineStr">
        <is>
          <t>開く</t>
        </is>
      </c>
    </row>
    <row r="1242">
      <c r="A1242" s="4" t="n">
        <v>1238</v>
      </c>
      <c r="B1242" s="5" t="inlineStr">
        <is>
          <t>福岡県</t>
        </is>
      </c>
      <c r="C1242" s="5" t="inlineStr">
        <is>
          <t>福岡市西区</t>
        </is>
      </c>
      <c r="D1242" s="5" t="inlineStr">
        <is>
          <t>中村学園三陽高等学校</t>
        </is>
      </c>
      <c r="E1242" s="6" t="inlineStr">
        <is>
          <t>092-882-6611</t>
        </is>
      </c>
      <c r="F1242" s="7" t="inlineStr">
        <is>
          <t>高</t>
        </is>
      </c>
      <c r="G1242" s="5" t="inlineStr">
        <is>
          <t>普通科</t>
        </is>
      </c>
      <c r="H1242" s="8" t="n"/>
      <c r="I1242" s="9" t="n"/>
      <c r="J1242" s="9" t="inlineStr">
        <is>
          <t>未架電</t>
        </is>
      </c>
      <c r="K1242" s="8" t="n"/>
      <c r="L1242" s="9" t="n"/>
      <c r="M1242" s="10" t="inlineStr">
        <is>
          <t>【募集停止】2026年度から生徒募集停止、2028年3月末閉校予定</t>
        </is>
      </c>
      <c r="N1242" s="11" t="inlineStr">
        <is>
          <t>https://www.nakamura-sanyo.ed.jp/</t>
        </is>
      </c>
      <c r="O1242" s="12" t="inlineStr">
        <is>
          <t>開く</t>
        </is>
      </c>
    </row>
    <row r="1243">
      <c r="A1243" s="4" t="n">
        <v>1239</v>
      </c>
      <c r="B1243" s="5" t="inlineStr">
        <is>
          <t>福岡県</t>
        </is>
      </c>
      <c r="C1243" s="5" t="inlineStr">
        <is>
          <t>八女市</t>
        </is>
      </c>
      <c r="D1243" s="5" t="inlineStr">
        <is>
          <t>西日本短期大学附属高等学校</t>
        </is>
      </c>
      <c r="E1243" s="6" t="inlineStr">
        <is>
          <t>0943-23-5662</t>
        </is>
      </c>
      <c r="F1243" s="7" t="inlineStr">
        <is>
          <t>高</t>
        </is>
      </c>
      <c r="G1243" s="5" t="inlineStr">
        <is>
          <t>普通科</t>
        </is>
      </c>
      <c r="H1243" s="8" t="n"/>
      <c r="I1243" s="9" t="n"/>
      <c r="J1243" s="9" t="inlineStr">
        <is>
          <t>未架電</t>
        </is>
      </c>
      <c r="K1243" s="8" t="n"/>
      <c r="L1243" s="9" t="n"/>
      <c r="M1243" s="10" t="inlineStr">
        <is>
          <t>立志館（特進）は0943-23-5913</t>
        </is>
      </c>
      <c r="N1243" s="11" t="inlineStr">
        <is>
          <t>https://www.nishitan.ed.jp/contact/</t>
        </is>
      </c>
      <c r="O1243" s="12" t="inlineStr">
        <is>
          <t>開く</t>
        </is>
      </c>
    </row>
    <row r="1244">
      <c r="A1244" s="4" t="n">
        <v>1240</v>
      </c>
      <c r="B1244" s="5" t="inlineStr">
        <is>
          <t>福岡県</t>
        </is>
      </c>
      <c r="C1244" s="5" t="inlineStr">
        <is>
          <t>福岡市東区</t>
        </is>
      </c>
      <c r="D1244" s="5" t="inlineStr">
        <is>
          <t>博多高等学校</t>
        </is>
      </c>
      <c r="E1244" s="6" t="inlineStr">
        <is>
          <t>092-681-0331</t>
        </is>
      </c>
      <c r="F1244" s="7" t="inlineStr">
        <is>
          <t>高</t>
        </is>
      </c>
      <c r="G1244" s="5" t="inlineStr">
        <is>
          <t>普通科・専門学科</t>
        </is>
      </c>
      <c r="H1244" s="8" t="n"/>
      <c r="I1244" s="9" t="n"/>
      <c r="J1244" s="9" t="inlineStr">
        <is>
          <t>未架電</t>
        </is>
      </c>
      <c r="K1244" s="8" t="n"/>
      <c r="L1244" s="9" t="n"/>
      <c r="M1244" s="10" t="n"/>
      <c r="N1244" s="11" t="inlineStr">
        <is>
          <t>http://www2.hakata.ed.jp/highschool/</t>
        </is>
      </c>
      <c r="O1244" s="12" t="inlineStr">
        <is>
          <t>開く</t>
        </is>
      </c>
    </row>
    <row r="1245">
      <c r="A1245" s="4" t="n">
        <v>1241</v>
      </c>
      <c r="B1245" s="5" t="inlineStr">
        <is>
          <t>福岡県</t>
        </is>
      </c>
      <c r="C1245" s="5" t="inlineStr">
        <is>
          <t>福岡市東区</t>
        </is>
      </c>
      <c r="D1245" s="5" t="inlineStr">
        <is>
          <t>博多女子高等学校</t>
        </is>
      </c>
      <c r="E1245" s="6" t="inlineStr">
        <is>
          <t>092-651-1465</t>
        </is>
      </c>
      <c r="F1245" s="7" t="inlineStr">
        <is>
          <t>高</t>
        </is>
      </c>
      <c r="G1245" s="5" t="inlineStr">
        <is>
          <t>普通科・専門学科</t>
        </is>
      </c>
      <c r="H1245" s="8" t="n"/>
      <c r="I1245" s="9" t="n"/>
      <c r="J1245" s="9" t="inlineStr">
        <is>
          <t>未架電</t>
        </is>
      </c>
      <c r="K1245" s="8" t="n"/>
      <c r="L1245" s="9" t="n"/>
      <c r="M1245" s="10" t="n"/>
      <c r="N1245" s="11" t="inlineStr">
        <is>
          <t>https://www.ghakata.ac.jp/sh/</t>
        </is>
      </c>
      <c r="O1245" s="12" t="inlineStr">
        <is>
          <t>開く</t>
        </is>
      </c>
    </row>
    <row r="1246">
      <c r="A1246" s="4" t="n">
        <v>1242</v>
      </c>
      <c r="B1246" s="5" t="inlineStr">
        <is>
          <t>福岡県</t>
        </is>
      </c>
      <c r="C1246" s="5" t="inlineStr">
        <is>
          <t>北九州市小倉北区</t>
        </is>
      </c>
      <c r="D1246" s="5" t="inlineStr">
        <is>
          <t>東筑紫学園高等学校</t>
        </is>
      </c>
      <c r="E1246" s="6" t="inlineStr">
        <is>
          <t>093-571-0488</t>
        </is>
      </c>
      <c r="F1246" s="7" t="inlineStr">
        <is>
          <t>高</t>
        </is>
      </c>
      <c r="G1246" s="5" t="inlineStr">
        <is>
          <t>普通科・専門学科</t>
        </is>
      </c>
      <c r="H1246" s="8" t="n"/>
      <c r="I1246" s="9" t="n"/>
      <c r="J1246" s="9" t="inlineStr">
        <is>
          <t>未架電</t>
        </is>
      </c>
      <c r="K1246" s="8" t="n"/>
      <c r="L1246" s="9" t="n"/>
      <c r="M1246" s="10" t="n"/>
      <c r="N1246" s="11" t="inlineStr">
        <is>
          <t>https://www.hcg.ed.jp/inquiry/</t>
        </is>
      </c>
      <c r="O1246" s="12" t="inlineStr">
        <is>
          <t>開く</t>
        </is>
      </c>
    </row>
    <row r="1247">
      <c r="A1247" s="4" t="n">
        <v>1243</v>
      </c>
      <c r="B1247" s="5" t="inlineStr">
        <is>
          <t>福岡県</t>
        </is>
      </c>
      <c r="C1247" s="5" t="inlineStr">
        <is>
          <t>福岡市博多区</t>
        </is>
      </c>
      <c r="D1247" s="5" t="inlineStr">
        <is>
          <t>東福岡高等学校</t>
        </is>
      </c>
      <c r="E1247" s="6" t="inlineStr">
        <is>
          <t>092-411-3702</t>
        </is>
      </c>
      <c r="F1247" s="7" t="inlineStr">
        <is>
          <t>高</t>
        </is>
      </c>
      <c r="G1247" s="5" t="inlineStr">
        <is>
          <t>普通科</t>
        </is>
      </c>
      <c r="H1247" s="8" t="n"/>
      <c r="I1247" s="9" t="n"/>
      <c r="J1247" s="9" t="inlineStr">
        <is>
          <t>未架電</t>
        </is>
      </c>
      <c r="K1247" s="8" t="n"/>
      <c r="L1247" s="9" t="n"/>
      <c r="M1247" s="10" t="inlineStr">
        <is>
          <t>2025年度から男女共学</t>
        </is>
      </c>
      <c r="N1247" s="11" t="inlineStr">
        <is>
          <t>https://www.higashifukuoka.ed.jp/higashifukuoka-info/hscontact</t>
        </is>
      </c>
      <c r="O1247" s="12" t="inlineStr">
        <is>
          <t>開く</t>
        </is>
      </c>
    </row>
    <row r="1248">
      <c r="A1248" s="4" t="n">
        <v>1244</v>
      </c>
      <c r="B1248" s="5" t="inlineStr">
        <is>
          <t>福岡県</t>
        </is>
      </c>
      <c r="C1248" s="5" t="inlineStr">
        <is>
          <t>福岡市南区</t>
        </is>
      </c>
      <c r="D1248" s="5" t="inlineStr">
        <is>
          <t>福岡海星女子学院高等学校</t>
        </is>
      </c>
      <c r="E1248" s="6" t="inlineStr">
        <is>
          <t>092-565-4950</t>
        </is>
      </c>
      <c r="F1248" s="7" t="inlineStr">
        <is>
          <t>高</t>
        </is>
      </c>
      <c r="G1248" s="5" t="inlineStr">
        <is>
          <t>普通科</t>
        </is>
      </c>
      <c r="H1248" s="8" t="n"/>
      <c r="I1248" s="9" t="n"/>
      <c r="J1248" s="9" t="inlineStr">
        <is>
          <t>未架電</t>
        </is>
      </c>
      <c r="K1248" s="8" t="n"/>
      <c r="L1248" s="9" t="n"/>
      <c r="M1248" s="10" t="n"/>
      <c r="N1248" s="11" t="inlineStr">
        <is>
          <t>https://www.f-kaisei.ed.jp/access.html</t>
        </is>
      </c>
      <c r="O1248" s="12" t="inlineStr">
        <is>
          <t>開く</t>
        </is>
      </c>
    </row>
    <row r="1249">
      <c r="A1249" s="4" t="n">
        <v>1245</v>
      </c>
      <c r="B1249" s="5" t="inlineStr">
        <is>
          <t>福岡県</t>
        </is>
      </c>
      <c r="C1249" s="5" t="inlineStr">
        <is>
          <t>柳川市</t>
        </is>
      </c>
      <c r="D1249" s="5" t="inlineStr">
        <is>
          <t>福岡キャリア i 高等学校</t>
        </is>
      </c>
      <c r="E1249" s="6" t="inlineStr">
        <is>
          <t>0944-72-5216</t>
        </is>
      </c>
      <c r="F1249" s="7" t="inlineStr">
        <is>
          <t>高</t>
        </is>
      </c>
      <c r="G1249" s="5" t="inlineStr">
        <is>
          <t>専門学科</t>
        </is>
      </c>
      <c r="H1249" s="8" t="n"/>
      <c r="I1249" s="9" t="n"/>
      <c r="J1249" s="9" t="inlineStr">
        <is>
          <t>未架電</t>
        </is>
      </c>
      <c r="K1249" s="8" t="n"/>
      <c r="L1249" s="9" t="n"/>
      <c r="M1249" s="10" t="inlineStr">
        <is>
          <t>2026年4月に杉森高等学校から校名変更（番号は同じ）</t>
        </is>
      </c>
      <c r="N1249" s="11" t="inlineStr">
        <is>
          <t>https://fci-hs.ed.jp/school.php</t>
        </is>
      </c>
      <c r="O1249" s="12" t="inlineStr">
        <is>
          <t>開く</t>
        </is>
      </c>
    </row>
    <row r="1250">
      <c r="A1250" s="4" t="n">
        <v>1246</v>
      </c>
      <c r="B1250" s="5" t="inlineStr">
        <is>
          <t>福岡県</t>
        </is>
      </c>
      <c r="C1250" s="5" t="inlineStr">
        <is>
          <t>福岡市東区</t>
        </is>
      </c>
      <c r="D1250" s="5" t="inlineStr">
        <is>
          <t>福岡工業大学附属城東高等学校</t>
        </is>
      </c>
      <c r="E1250" s="6" t="inlineStr">
        <is>
          <t>092-606-0724</t>
        </is>
      </c>
      <c r="F1250" s="7" t="inlineStr">
        <is>
          <t>高</t>
        </is>
      </c>
      <c r="G1250" s="5" t="inlineStr">
        <is>
          <t>普通科・専門学科</t>
        </is>
      </c>
      <c r="H1250" s="8" t="n"/>
      <c r="I1250" s="9" t="n"/>
      <c r="J1250" s="9" t="inlineStr">
        <is>
          <t>未架電</t>
        </is>
      </c>
      <c r="K1250" s="8" t="n"/>
      <c r="L1250" s="9" t="n"/>
      <c r="M1250" s="10" t="inlineStr">
        <is>
          <t>事務室番号。職員室は092-606-0797</t>
        </is>
      </c>
      <c r="N1250" s="11" t="inlineStr">
        <is>
          <t>https://jyoto.fit.jp/zaikousei/</t>
        </is>
      </c>
      <c r="O1250" s="12" t="inlineStr">
        <is>
          <t>開く</t>
        </is>
      </c>
    </row>
    <row r="1251">
      <c r="A1251" s="4" t="n">
        <v>1247</v>
      </c>
      <c r="B1251" s="5" t="inlineStr">
        <is>
          <t>福岡県</t>
        </is>
      </c>
      <c r="C1251" s="5" t="inlineStr">
        <is>
          <t>筑紫野市</t>
        </is>
      </c>
      <c r="D1251" s="5" t="inlineStr">
        <is>
          <t>福岡常葉高等学校</t>
        </is>
      </c>
      <c r="E1251" s="6" t="inlineStr">
        <is>
          <t>092-926-0731</t>
        </is>
      </c>
      <c r="F1251" s="7" t="inlineStr">
        <is>
          <t>高</t>
        </is>
      </c>
      <c r="G1251" s="5" t="inlineStr">
        <is>
          <t>普通科・専門学科</t>
        </is>
      </c>
      <c r="H1251" s="8" t="n"/>
      <c r="I1251" s="9" t="n"/>
      <c r="J1251" s="9" t="inlineStr">
        <is>
          <t>未架電</t>
        </is>
      </c>
      <c r="K1251" s="8" t="n"/>
      <c r="L1251" s="9" t="n"/>
      <c r="M1251" s="10" t="n"/>
      <c r="N1251" s="11" t="inlineStr">
        <is>
          <t>https://ssl.f-joyo.ed.jp/</t>
        </is>
      </c>
      <c r="O1251" s="12" t="inlineStr">
        <is>
          <t>開く</t>
        </is>
      </c>
    </row>
    <row r="1252">
      <c r="A1252" s="4" t="n">
        <v>1248</v>
      </c>
      <c r="B1252" s="5" t="inlineStr">
        <is>
          <t>福岡県</t>
        </is>
      </c>
      <c r="C1252" s="5" t="inlineStr">
        <is>
          <t>福岡市南区</t>
        </is>
      </c>
      <c r="D1252" s="5" t="inlineStr">
        <is>
          <t>福岡女学院高等学校</t>
        </is>
      </c>
      <c r="E1252" s="6" t="inlineStr">
        <is>
          <t>092-575-2470</t>
        </is>
      </c>
      <c r="F1252" s="7" t="inlineStr">
        <is>
          <t>高</t>
        </is>
      </c>
      <c r="G1252" s="5" t="inlineStr">
        <is>
          <t>普通科・専門学科</t>
        </is>
      </c>
      <c r="H1252" s="8" t="n"/>
      <c r="I1252" s="9" t="n"/>
      <c r="J1252" s="9" t="inlineStr">
        <is>
          <t>未架電</t>
        </is>
      </c>
      <c r="K1252" s="8" t="n"/>
      <c r="L1252" s="9" t="n"/>
      <c r="M1252" s="10" t="inlineStr">
        <is>
          <t>中高事務室番号。法人本部代表は092-581-1492</t>
        </is>
      </c>
      <c r="N1252" s="11" t="inlineStr">
        <is>
          <t>http://www2.fukujo.ac.jp/js_new/access/</t>
        </is>
      </c>
      <c r="O1252" s="12" t="inlineStr">
        <is>
          <t>開く</t>
        </is>
      </c>
    </row>
    <row r="1253">
      <c r="A1253" s="4" t="n">
        <v>1249</v>
      </c>
      <c r="B1253" s="5" t="inlineStr">
        <is>
          <t>福岡県</t>
        </is>
      </c>
      <c r="C1253" s="5" t="inlineStr">
        <is>
          <t>那珂川市</t>
        </is>
      </c>
      <c r="D1253" s="5" t="inlineStr">
        <is>
          <t>福岡女子商業高等学校</t>
        </is>
      </c>
      <c r="E1253" s="6" t="inlineStr">
        <is>
          <t>092-952-2231</t>
        </is>
      </c>
      <c r="F1253" s="7" t="inlineStr">
        <is>
          <t>高</t>
        </is>
      </c>
      <c r="G1253" s="5" t="inlineStr">
        <is>
          <t>専門学科</t>
        </is>
      </c>
      <c r="H1253" s="8" t="n"/>
      <c r="I1253" s="9" t="n"/>
      <c r="J1253" s="9" t="inlineStr">
        <is>
          <t>未架電</t>
        </is>
      </c>
      <c r="K1253" s="8" t="n"/>
      <c r="L1253" s="9" t="n"/>
      <c r="M1253" s="10" t="n"/>
      <c r="N1253" s="11" t="inlineStr">
        <is>
          <t>https://yashima.ac.jp/fgchs/?page_id=4804</t>
        </is>
      </c>
      <c r="O1253" s="12" t="inlineStr">
        <is>
          <t>開く</t>
        </is>
      </c>
    </row>
    <row r="1254">
      <c r="A1254" s="4" t="n">
        <v>1250</v>
      </c>
      <c r="B1254" s="5" t="inlineStr">
        <is>
          <t>福岡県</t>
        </is>
      </c>
      <c r="C1254" s="5" t="inlineStr">
        <is>
          <t>福岡市南区</t>
        </is>
      </c>
      <c r="D1254" s="5" t="inlineStr">
        <is>
          <t>福岡第一高等学校</t>
        </is>
      </c>
      <c r="E1254" s="6" t="inlineStr">
        <is>
          <t>092-541-0165</t>
        </is>
      </c>
      <c r="F1254" s="7" t="inlineStr">
        <is>
          <t>高</t>
        </is>
      </c>
      <c r="G1254" s="5" t="inlineStr">
        <is>
          <t>普通科・専門学科</t>
        </is>
      </c>
      <c r="H1254" s="8" t="n"/>
      <c r="I1254" s="9" t="n"/>
      <c r="J1254" s="9" t="inlineStr">
        <is>
          <t>未架電</t>
        </is>
      </c>
      <c r="K1254" s="8" t="n"/>
      <c r="L1254" s="9" t="n"/>
      <c r="M1254" s="10" t="inlineStr">
        <is>
          <t>非通知発信はつながらない設定</t>
        </is>
      </c>
      <c r="N1254" s="11" t="inlineStr">
        <is>
          <t>https://f.f-parama.ed.jp/</t>
        </is>
      </c>
      <c r="O1254" s="12" t="inlineStr">
        <is>
          <t>開く</t>
        </is>
      </c>
    </row>
    <row r="1255">
      <c r="A1255" s="4" t="n">
        <v>1251</v>
      </c>
      <c r="B1255" s="5" t="inlineStr">
        <is>
          <t>福岡県</t>
        </is>
      </c>
      <c r="C1255" s="5" t="inlineStr">
        <is>
          <t>福岡市中央区</t>
        </is>
      </c>
      <c r="D1255" s="5" t="inlineStr">
        <is>
          <t>福岡大学附属大濠高等学校</t>
        </is>
      </c>
      <c r="E1255" s="6" t="inlineStr">
        <is>
          <t>092-771-0731</t>
        </is>
      </c>
      <c r="F1255" s="7" t="inlineStr">
        <is>
          <t>高</t>
        </is>
      </c>
      <c r="G1255" s="5" t="inlineStr">
        <is>
          <t>普通科</t>
        </is>
      </c>
      <c r="H1255" s="8" t="n"/>
      <c r="I1255" s="9" t="n"/>
      <c r="J1255" s="9" t="inlineStr">
        <is>
          <t>未架電</t>
        </is>
      </c>
      <c r="K1255" s="8" t="n"/>
      <c r="L1255" s="9" t="n"/>
      <c r="M1255" s="10" t="inlineStr">
        <is>
          <t>高校の番号。中学は092-712-5828</t>
        </is>
      </c>
      <c r="N1255" s="11" t="inlineStr">
        <is>
          <t>https://www.ohori.ed.jp/office/</t>
        </is>
      </c>
      <c r="O1255" s="12" t="inlineStr">
        <is>
          <t>開く</t>
        </is>
      </c>
    </row>
    <row r="1256">
      <c r="A1256" s="4" t="n">
        <v>1252</v>
      </c>
      <c r="B1256" s="5" t="inlineStr">
        <is>
          <t>福岡県</t>
        </is>
      </c>
      <c r="C1256" s="5" t="inlineStr">
        <is>
          <t>福岡市中央区</t>
        </is>
      </c>
      <c r="D1256" s="5" t="inlineStr">
        <is>
          <t>福岡大学附属若葉高等学校</t>
        </is>
      </c>
      <c r="E1256" s="6" t="inlineStr">
        <is>
          <t>092-771-1981</t>
        </is>
      </c>
      <c r="F1256" s="7" t="inlineStr">
        <is>
          <t>高</t>
        </is>
      </c>
      <c r="G1256" s="5" t="inlineStr">
        <is>
          <t>普通科</t>
        </is>
      </c>
      <c r="H1256" s="8" t="n"/>
      <c r="I1256" s="9" t="n"/>
      <c r="J1256" s="9" t="inlineStr">
        <is>
          <t>未架電</t>
        </is>
      </c>
      <c r="K1256" s="8" t="n"/>
      <c r="L1256" s="9" t="n"/>
      <c r="M1256" s="10" t="inlineStr">
        <is>
          <t>事務室番号</t>
        </is>
      </c>
      <c r="N1256" s="11" t="inlineStr">
        <is>
          <t>https://www.f-wakaba.ed.jp/school/information.html</t>
        </is>
      </c>
      <c r="O1256" s="12" t="inlineStr">
        <is>
          <t>開く</t>
        </is>
      </c>
    </row>
    <row r="1257">
      <c r="A1257" s="4" t="n">
        <v>1253</v>
      </c>
      <c r="B1257" s="5" t="inlineStr">
        <is>
          <t>福岡県</t>
        </is>
      </c>
      <c r="C1257" s="5" t="inlineStr">
        <is>
          <t>福岡市中央区</t>
        </is>
      </c>
      <c r="D1257" s="5" t="inlineStr">
        <is>
          <t>福岡雙葉高等学校</t>
        </is>
      </c>
      <c r="E1257" s="6" t="inlineStr">
        <is>
          <t>092-531-0438</t>
        </is>
      </c>
      <c r="F1257" s="7" t="inlineStr">
        <is>
          <t>高</t>
        </is>
      </c>
      <c r="G1257" s="5" t="inlineStr">
        <is>
          <t>普通科</t>
        </is>
      </c>
      <c r="H1257" s="8" t="n"/>
      <c r="I1257" s="9" t="n"/>
      <c r="J1257" s="9" t="inlineStr">
        <is>
          <t>未架電</t>
        </is>
      </c>
      <c r="K1257" s="8" t="n"/>
      <c r="L1257" s="9" t="n"/>
      <c r="M1257" s="10" t="inlineStr">
        <is>
          <t>中高共通番号</t>
        </is>
      </c>
      <c r="N1257" s="11" t="inlineStr">
        <is>
          <t>https://www.fukuokafutaba.ed.jp/highschool/about/access.html</t>
        </is>
      </c>
      <c r="O1257" s="12" t="inlineStr">
        <is>
          <t>開く</t>
        </is>
      </c>
    </row>
    <row r="1258">
      <c r="A1258" s="4" t="n">
        <v>1254</v>
      </c>
      <c r="B1258" s="5" t="inlineStr">
        <is>
          <t>福岡県</t>
        </is>
      </c>
      <c r="C1258" s="5" t="inlineStr">
        <is>
          <t>福岡市西区</t>
        </is>
      </c>
      <c r="D1258" s="5" t="inlineStr">
        <is>
          <t>福岡舞鶴高等学校</t>
        </is>
      </c>
      <c r="E1258" s="6" t="inlineStr">
        <is>
          <t>092-806-3334</t>
        </is>
      </c>
      <c r="F1258" s="7" t="inlineStr">
        <is>
          <t>高</t>
        </is>
      </c>
      <c r="G1258" s="5" t="inlineStr">
        <is>
          <t>普通科</t>
        </is>
      </c>
      <c r="H1258" s="8" t="n"/>
      <c r="I1258" s="9" t="n"/>
      <c r="J1258" s="9" t="inlineStr">
        <is>
          <t>未架電</t>
        </is>
      </c>
      <c r="K1258" s="8" t="n"/>
      <c r="L1258" s="9" t="n"/>
      <c r="M1258" s="10" t="n"/>
      <c r="N1258" s="11" t="inlineStr">
        <is>
          <t>http://fmaizuru.ed.jp/</t>
        </is>
      </c>
      <c r="O1258" s="12" t="inlineStr">
        <is>
          <t>開く</t>
        </is>
      </c>
    </row>
    <row r="1259">
      <c r="A1259" s="4" t="n">
        <v>1255</v>
      </c>
      <c r="B1259" s="5" t="inlineStr">
        <is>
          <t>福岡県</t>
        </is>
      </c>
      <c r="C1259" s="5" t="inlineStr">
        <is>
          <t>田川市</t>
        </is>
      </c>
      <c r="D1259" s="5" t="inlineStr">
        <is>
          <t>福智高等学校</t>
        </is>
      </c>
      <c r="E1259" s="6" t="inlineStr">
        <is>
          <t>0947-42-4711</t>
        </is>
      </c>
      <c r="F1259" s="7" t="inlineStr">
        <is>
          <t>高</t>
        </is>
      </c>
      <c r="G1259" s="5" t="inlineStr">
        <is>
          <t>普通科・専門学科</t>
        </is>
      </c>
      <c r="H1259" s="8" t="n"/>
      <c r="I1259" s="9" t="n"/>
      <c r="J1259" s="9" t="inlineStr">
        <is>
          <t>未架電</t>
        </is>
      </c>
      <c r="K1259" s="8" t="n"/>
      <c r="L1259" s="9" t="n"/>
      <c r="M1259" s="10" t="n"/>
      <c r="N1259" s="11" t="inlineStr">
        <is>
          <t>https://www.fukuchi-h.ed.jp/</t>
        </is>
      </c>
      <c r="O1259" s="12" t="inlineStr">
        <is>
          <t>開く</t>
        </is>
      </c>
    </row>
    <row r="1260">
      <c r="A1260" s="4" t="n">
        <v>1256</v>
      </c>
      <c r="B1260" s="5" t="inlineStr">
        <is>
          <t>福岡県</t>
        </is>
      </c>
      <c r="C1260" s="5" t="inlineStr">
        <is>
          <t>北九州市門司区</t>
        </is>
      </c>
      <c r="D1260" s="5" t="inlineStr">
        <is>
          <t>豊国学園高等学校</t>
        </is>
      </c>
      <c r="E1260" s="6" t="inlineStr">
        <is>
          <t>093-371-3037</t>
        </is>
      </c>
      <c r="F1260" s="7" t="inlineStr">
        <is>
          <t>高</t>
        </is>
      </c>
      <c r="G1260" s="5" t="inlineStr">
        <is>
          <t>普通科・専門学科</t>
        </is>
      </c>
      <c r="H1260" s="8" t="n"/>
      <c r="I1260" s="9" t="n"/>
      <c r="J1260" s="9" t="inlineStr">
        <is>
          <t>未架電</t>
        </is>
      </c>
      <c r="K1260" s="8" t="n"/>
      <c r="L1260" s="9" t="n"/>
      <c r="M1260" s="10" t="n"/>
      <c r="N1260" s="11" t="inlineStr">
        <is>
          <t>https://www.houkoku.ac.jp/</t>
        </is>
      </c>
      <c r="O1260" s="12" t="inlineStr">
        <is>
          <t>開く</t>
        </is>
      </c>
    </row>
    <row r="1261">
      <c r="A1261" s="4" t="n">
        <v>1257</v>
      </c>
      <c r="B1261" s="5" t="inlineStr">
        <is>
          <t>福岡県</t>
        </is>
      </c>
      <c r="C1261" s="5" t="inlineStr">
        <is>
          <t>北九州市小倉北区</t>
        </is>
      </c>
      <c r="D1261" s="5" t="inlineStr">
        <is>
          <t>美萩野女子高等学校</t>
        </is>
      </c>
      <c r="E1261" s="6" t="inlineStr">
        <is>
          <t>093-921-1331</t>
        </is>
      </c>
      <c r="F1261" s="7" t="inlineStr">
        <is>
          <t>高</t>
        </is>
      </c>
      <c r="G1261" s="5" t="inlineStr">
        <is>
          <t>普通科・専門学科</t>
        </is>
      </c>
      <c r="H1261" s="8" t="n"/>
      <c r="I1261" s="9" t="n"/>
      <c r="J1261" s="9" t="inlineStr">
        <is>
          <t>未架電</t>
        </is>
      </c>
      <c r="K1261" s="8" t="n"/>
      <c r="L1261" s="9" t="n"/>
      <c r="M1261" s="10" t="n"/>
      <c r="N1261" s="11" t="inlineStr">
        <is>
          <t>https://mihagino.ac.jp/about/access/</t>
        </is>
      </c>
      <c r="O1261" s="12" t="inlineStr">
        <is>
          <t>開く</t>
        </is>
      </c>
    </row>
    <row r="1262">
      <c r="A1262" s="4" t="n">
        <v>1258</v>
      </c>
      <c r="B1262" s="5" t="inlineStr">
        <is>
          <t>福岡県</t>
        </is>
      </c>
      <c r="C1262" s="5" t="inlineStr">
        <is>
          <t>大牟田市</t>
        </is>
      </c>
      <c r="D1262" s="5" t="inlineStr">
        <is>
          <t>明光学園高等学校</t>
        </is>
      </c>
      <c r="E1262" s="6" t="inlineStr">
        <is>
          <t>0944-58-0907</t>
        </is>
      </c>
      <c r="F1262" s="7" t="inlineStr">
        <is>
          <t>高</t>
        </is>
      </c>
      <c r="G1262" s="5" t="inlineStr">
        <is>
          <t>普通科</t>
        </is>
      </c>
      <c r="H1262" s="8" t="n"/>
      <c r="I1262" s="9" t="n"/>
      <c r="J1262" s="9" t="inlineStr">
        <is>
          <t>未架電</t>
        </is>
      </c>
      <c r="K1262" s="8" t="n"/>
      <c r="L1262" s="9" t="n"/>
      <c r="M1262" s="10" t="n"/>
      <c r="N1262" s="11" t="inlineStr">
        <is>
          <t>https://welcome.meiko.ed.jp/</t>
        </is>
      </c>
      <c r="O1262" s="12" t="inlineStr">
        <is>
          <t>開く</t>
        </is>
      </c>
    </row>
    <row r="1263">
      <c r="A1263" s="4" t="n">
        <v>1259</v>
      </c>
      <c r="B1263" s="5" t="inlineStr">
        <is>
          <t>福岡県</t>
        </is>
      </c>
      <c r="C1263" s="5" t="inlineStr">
        <is>
          <t>北九州市戸畑区</t>
        </is>
      </c>
      <c r="D1263" s="5" t="inlineStr">
        <is>
          <t>明治学園高等学校</t>
        </is>
      </c>
      <c r="E1263" s="6" t="inlineStr">
        <is>
          <t>093-881-2861</t>
        </is>
      </c>
      <c r="F1263" s="7" t="inlineStr">
        <is>
          <t>高</t>
        </is>
      </c>
      <c r="G1263" s="5" t="inlineStr">
        <is>
          <t>普通科</t>
        </is>
      </c>
      <c r="H1263" s="8" t="n"/>
      <c r="I1263" s="9" t="n"/>
      <c r="J1263" s="9" t="inlineStr">
        <is>
          <t>未架電</t>
        </is>
      </c>
      <c r="K1263" s="8" t="n"/>
      <c r="L1263" s="9" t="n"/>
      <c r="M1263" s="10" t="inlineStr">
        <is>
          <t>中高共通番号</t>
        </is>
      </c>
      <c r="N1263" s="11" t="inlineStr">
        <is>
          <t>https://meijigakuen.ed.jp/jsh/</t>
        </is>
      </c>
      <c r="O1263" s="12" t="inlineStr">
        <is>
          <t>開く</t>
        </is>
      </c>
    </row>
    <row r="1264">
      <c r="A1264" s="4" t="n">
        <v>1260</v>
      </c>
      <c r="B1264" s="5" t="inlineStr">
        <is>
          <t>福岡県</t>
        </is>
      </c>
      <c r="C1264" s="5" t="inlineStr">
        <is>
          <t>川崎町</t>
        </is>
      </c>
      <c r="D1264" s="5" t="inlineStr">
        <is>
          <t>明蓬館高等学校</t>
        </is>
      </c>
      <c r="E1264" s="6" t="inlineStr">
        <is>
          <t>0947-49-5111</t>
        </is>
      </c>
      <c r="F1264" s="7" t="inlineStr">
        <is>
          <t>高</t>
        </is>
      </c>
      <c r="G1264" s="5" t="inlineStr">
        <is>
          <t>普通科</t>
        </is>
      </c>
      <c r="H1264" s="8" t="n"/>
      <c r="I1264" s="9" t="n"/>
      <c r="J1264" s="9" t="inlineStr">
        <is>
          <t>未架電</t>
        </is>
      </c>
      <c r="K1264" s="8" t="n"/>
      <c r="L1264" s="9" t="n"/>
      <c r="M1264" s="10" t="inlineStr">
        <is>
          <t>通信制・川崎町の本校。入学相談はフリーダイヤル別途</t>
        </is>
      </c>
      <c r="N1264" s="11" t="inlineStr">
        <is>
          <t>https://at-mhk.com/center/ataka/</t>
        </is>
      </c>
      <c r="O1264" s="12" t="inlineStr">
        <is>
          <t>開く</t>
        </is>
      </c>
    </row>
    <row r="1265">
      <c r="A1265" s="4" t="n">
        <v>1261</v>
      </c>
      <c r="B1265" s="5" t="inlineStr">
        <is>
          <t>福岡県</t>
        </is>
      </c>
      <c r="C1265" s="5" t="inlineStr">
        <is>
          <t>柳川市</t>
        </is>
      </c>
      <c r="D1265" s="5" t="inlineStr">
        <is>
          <t>柳川高等学校</t>
        </is>
      </c>
      <c r="E1265" s="6" t="inlineStr">
        <is>
          <t>0944-73-3333</t>
        </is>
      </c>
      <c r="F1265" s="7" t="inlineStr">
        <is>
          <t>高</t>
        </is>
      </c>
      <c r="G1265" s="5" t="inlineStr">
        <is>
          <t>普通科・専門学科</t>
        </is>
      </c>
      <c r="H1265" s="8" t="n"/>
      <c r="I1265" s="9" t="n"/>
      <c r="J1265" s="9" t="inlineStr">
        <is>
          <t>未架電</t>
        </is>
      </c>
      <c r="K1265" s="8" t="n"/>
      <c r="L1265" s="9" t="n"/>
      <c r="M1265" s="10" t="n"/>
      <c r="N1265" s="11" t="inlineStr">
        <is>
          <t>https://yanagawa.ed.jp/</t>
        </is>
      </c>
      <c r="O1265" s="12" t="inlineStr">
        <is>
          <t>開く</t>
        </is>
      </c>
    </row>
    <row r="1266">
      <c r="A1266" s="4" t="n">
        <v>1262</v>
      </c>
      <c r="B1266" s="5" t="inlineStr">
        <is>
          <t>福岡県</t>
        </is>
      </c>
      <c r="C1266" s="5" t="inlineStr">
        <is>
          <t>直方市</t>
        </is>
      </c>
      <c r="D1266" s="5" t="inlineStr">
        <is>
          <t>大和青藍高等学校</t>
        </is>
      </c>
      <c r="E1266" s="6" t="inlineStr">
        <is>
          <t>0949-22-0533</t>
        </is>
      </c>
      <c r="F1266" s="7" t="inlineStr">
        <is>
          <t>高</t>
        </is>
      </c>
      <c r="G1266" s="5" t="inlineStr">
        <is>
          <t>普通科・専門学科</t>
        </is>
      </c>
      <c r="H1266" s="8" t="n"/>
      <c r="I1266" s="9" t="n"/>
      <c r="J1266" s="9" t="inlineStr">
        <is>
          <t>未架電</t>
        </is>
      </c>
      <c r="K1266" s="8" t="n"/>
      <c r="L1266" s="9" t="n"/>
      <c r="M1266" s="10" t="n"/>
      <c r="N1266" s="11" t="inlineStr">
        <is>
          <t>http://www.yamato-gakuen.ac.jp/about/access.html</t>
        </is>
      </c>
      <c r="O1266" s="12" t="inlineStr">
        <is>
          <t>開く</t>
        </is>
      </c>
    </row>
    <row r="1267">
      <c r="A1267" s="4" t="n">
        <v>1263</v>
      </c>
      <c r="B1267" s="5" t="inlineStr">
        <is>
          <t>福岡県</t>
        </is>
      </c>
      <c r="C1267" s="5" t="inlineStr">
        <is>
          <t>八女市</t>
        </is>
      </c>
      <c r="D1267" s="5" t="inlineStr">
        <is>
          <t>八女学院高等学校</t>
        </is>
      </c>
      <c r="E1267" s="6" t="inlineStr">
        <is>
          <t>0943-23-5111</t>
        </is>
      </c>
      <c r="F1267" s="7" t="inlineStr">
        <is>
          <t>高</t>
        </is>
      </c>
      <c r="G1267" s="5" t="inlineStr">
        <is>
          <t>普通科</t>
        </is>
      </c>
      <c r="H1267" s="8" t="n"/>
      <c r="I1267" s="9" t="n"/>
      <c r="J1267" s="9" t="inlineStr">
        <is>
          <t>未架電</t>
        </is>
      </c>
      <c r="K1267" s="8" t="n"/>
      <c r="L1267" s="9" t="n"/>
      <c r="M1267" s="10" t="n"/>
      <c r="N1267" s="11" t="inlineStr">
        <is>
          <t>https://www.yamegakuin.ac.jp/</t>
        </is>
      </c>
      <c r="O1267" s="12" t="inlineStr">
        <is>
          <t>開く</t>
        </is>
      </c>
    </row>
    <row r="1268">
      <c r="A1268" s="4" t="n">
        <v>1264</v>
      </c>
      <c r="B1268" s="5" t="inlineStr">
        <is>
          <t>福岡県</t>
        </is>
      </c>
      <c r="C1268" s="5" t="inlineStr">
        <is>
          <t>久留米市</t>
        </is>
      </c>
      <c r="D1268" s="5" t="inlineStr">
        <is>
          <t>祐誠高等学校</t>
        </is>
      </c>
      <c r="E1268" s="6" t="inlineStr">
        <is>
          <t>0942-22-1238</t>
        </is>
      </c>
      <c r="F1268" s="7" t="inlineStr">
        <is>
          <t>高</t>
        </is>
      </c>
      <c r="G1268" s="5" t="inlineStr">
        <is>
          <t>普通科・専門学科</t>
        </is>
      </c>
      <c r="H1268" s="8" t="n"/>
      <c r="I1268" s="9" t="n"/>
      <c r="J1268" s="9" t="inlineStr">
        <is>
          <t>未架電</t>
        </is>
      </c>
      <c r="K1268" s="8" t="n"/>
      <c r="L1268" s="9" t="n"/>
      <c r="M1268" s="10" t="n"/>
      <c r="N1268" s="11" t="inlineStr">
        <is>
          <t>https://yusei.ed.jp/information/outline/</t>
        </is>
      </c>
      <c r="O1268" s="12" t="inlineStr">
        <is>
          <t>開く</t>
        </is>
      </c>
    </row>
    <row r="1269">
      <c r="A1269" s="4" t="n">
        <v>1265</v>
      </c>
      <c r="B1269" s="5" t="inlineStr">
        <is>
          <t>佐賀県</t>
        </is>
      </c>
      <c r="C1269" s="5" t="inlineStr">
        <is>
          <t>伊万里市</t>
        </is>
      </c>
      <c r="D1269" s="5" t="inlineStr">
        <is>
          <t>敬徳高等学校</t>
        </is>
      </c>
      <c r="E1269" s="6" t="inlineStr">
        <is>
          <t>0955-22-6191</t>
        </is>
      </c>
      <c r="F1269" s="7" t="inlineStr">
        <is>
          <t>高</t>
        </is>
      </c>
      <c r="G1269" s="5" t="inlineStr">
        <is>
          <t>普通科・専門学科</t>
        </is>
      </c>
      <c r="H1269" s="8" t="n"/>
      <c r="I1269" s="9" t="n"/>
      <c r="J1269" s="9" t="inlineStr">
        <is>
          <t>未架電</t>
        </is>
      </c>
      <c r="K1269" s="8" t="n"/>
      <c r="L1269" s="9" t="n"/>
      <c r="M1269" s="10" t="inlineStr">
        <is>
          <t>全日制直通。通信制は0955-29-8571</t>
        </is>
      </c>
      <c r="N1269" s="11" t="inlineStr">
        <is>
          <t>https://keitoku.ed.jp/</t>
        </is>
      </c>
      <c r="O1269" s="12" t="inlineStr">
        <is>
          <t>開く</t>
        </is>
      </c>
    </row>
    <row r="1270">
      <c r="A1270" s="4" t="n">
        <v>1266</v>
      </c>
      <c r="B1270" s="5" t="inlineStr">
        <is>
          <t>佐賀県</t>
        </is>
      </c>
      <c r="C1270" s="5" t="inlineStr">
        <is>
          <t>佐賀市</t>
        </is>
      </c>
      <c r="D1270" s="5" t="inlineStr">
        <is>
          <t>弘学館高等学校</t>
        </is>
      </c>
      <c r="E1270" s="6" t="inlineStr">
        <is>
          <t>0952-98-2161</t>
        </is>
      </c>
      <c r="F1270" s="7" t="inlineStr">
        <is>
          <t>高</t>
        </is>
      </c>
      <c r="G1270" s="5" t="inlineStr">
        <is>
          <t>普通科</t>
        </is>
      </c>
      <c r="H1270" s="8" t="n"/>
      <c r="I1270" s="9" t="n"/>
      <c r="J1270" s="9" t="inlineStr">
        <is>
          <t>未架電</t>
        </is>
      </c>
      <c r="K1270" s="8" t="n"/>
      <c r="L1270" s="9" t="n"/>
      <c r="M1270" s="10" t="inlineStr">
        <is>
          <t>中高共通。学寮は0952-98-2162</t>
        </is>
      </c>
      <c r="N1270" s="11" t="inlineStr">
        <is>
          <t>https://www.kogakukan.ac.jp/access/</t>
        </is>
      </c>
      <c r="O1270" s="12" t="inlineStr">
        <is>
          <t>開く</t>
        </is>
      </c>
    </row>
    <row r="1271">
      <c r="A1271" s="4" t="n">
        <v>1267</v>
      </c>
      <c r="B1271" s="5" t="inlineStr">
        <is>
          <t>佐賀県</t>
        </is>
      </c>
      <c r="C1271" s="5" t="inlineStr">
        <is>
          <t>佐賀市</t>
        </is>
      </c>
      <c r="D1271" s="5" t="inlineStr">
        <is>
          <t>佐賀学園高等学校</t>
        </is>
      </c>
      <c r="E1271" s="6" t="inlineStr">
        <is>
          <t>0952-30-4281</t>
        </is>
      </c>
      <c r="F1271" s="7" t="inlineStr">
        <is>
          <t>高</t>
        </is>
      </c>
      <c r="G1271" s="5" t="inlineStr">
        <is>
          <t>普通科・専門学科</t>
        </is>
      </c>
      <c r="H1271" s="8" t="n"/>
      <c r="I1271" s="9" t="n"/>
      <c r="J1271" s="9" t="inlineStr">
        <is>
          <t>未架電</t>
        </is>
      </c>
      <c r="K1271" s="8" t="n"/>
      <c r="L1271" s="9" t="n"/>
      <c r="M1271" s="10" t="inlineStr">
        <is>
          <t>成穎中学校と併設</t>
        </is>
      </c>
      <c r="N1271" s="11" t="inlineStr">
        <is>
          <t>https://www.sagagakuen.ed.jp/</t>
        </is>
      </c>
      <c r="O1271" s="12" t="inlineStr">
        <is>
          <t>開く</t>
        </is>
      </c>
    </row>
    <row r="1272">
      <c r="A1272" s="4" t="n">
        <v>1268</v>
      </c>
      <c r="B1272" s="5" t="inlineStr">
        <is>
          <t>佐賀県</t>
        </is>
      </c>
      <c r="C1272" s="5" t="inlineStr">
        <is>
          <t>佐賀市</t>
        </is>
      </c>
      <c r="D1272" s="5" t="inlineStr">
        <is>
          <t>佐賀女子短期大学付属佐賀女子高等学校</t>
        </is>
      </c>
      <c r="E1272" s="6" t="inlineStr">
        <is>
          <t>0952-24-5341</t>
        </is>
      </c>
      <c r="F1272" s="7" t="inlineStr">
        <is>
          <t>高</t>
        </is>
      </c>
      <c r="G1272" s="5" t="inlineStr">
        <is>
          <t>普通科・専門学科</t>
        </is>
      </c>
      <c r="H1272" s="8" t="n"/>
      <c r="I1272" s="9" t="n"/>
      <c r="J1272" s="9" t="inlineStr">
        <is>
          <t>未架電</t>
        </is>
      </c>
      <c r="K1272" s="8" t="n"/>
      <c r="L1272" s="9" t="n"/>
      <c r="M1272" s="10" t="inlineStr">
        <is>
          <t>衛生看護科は別所在地（本庄町）</t>
        </is>
      </c>
      <c r="N1272" s="11" t="inlineStr">
        <is>
          <t>https://www.asahigakuen.ac.jp/sagajoshikou/</t>
        </is>
      </c>
      <c r="O1272" s="12" t="inlineStr">
        <is>
          <t>開く</t>
        </is>
      </c>
    </row>
    <row r="1273">
      <c r="A1273" s="4" t="n">
        <v>1269</v>
      </c>
      <c r="B1273" s="5" t="inlineStr">
        <is>
          <t>佐賀県</t>
        </is>
      </c>
      <c r="C1273" s="5" t="inlineStr">
        <is>
          <t>佐賀市</t>
        </is>
      </c>
      <c r="D1273" s="5" t="inlineStr">
        <is>
          <t>佐賀清和高等学校</t>
        </is>
      </c>
      <c r="E1273" s="6" t="inlineStr">
        <is>
          <t>0952-37-5400</t>
        </is>
      </c>
      <c r="F1273" s="7" t="inlineStr">
        <is>
          <t>高</t>
        </is>
      </c>
      <c r="G1273" s="5" t="inlineStr">
        <is>
          <t>普通科・専門学科</t>
        </is>
      </c>
      <c r="H1273" s="8" t="n"/>
      <c r="I1273" s="9" t="n"/>
      <c r="J1273" s="9" t="inlineStr">
        <is>
          <t>未架電</t>
        </is>
      </c>
      <c r="K1273" s="8" t="n"/>
      <c r="L1273" s="9" t="n"/>
      <c r="M1273" s="10" t="inlineStr">
        <is>
          <t>中高共通番号</t>
        </is>
      </c>
      <c r="N1273" s="11" t="inlineStr">
        <is>
          <t>https://sagaseiwa.com/</t>
        </is>
      </c>
      <c r="O1273" s="12" t="inlineStr">
        <is>
          <t>開く</t>
        </is>
      </c>
    </row>
    <row r="1274">
      <c r="A1274" s="4" t="n">
        <v>1270</v>
      </c>
      <c r="B1274" s="5" t="inlineStr">
        <is>
          <t>佐賀県</t>
        </is>
      </c>
      <c r="C1274" s="5" t="inlineStr">
        <is>
          <t>基山町</t>
        </is>
      </c>
      <c r="D1274" s="5" t="inlineStr">
        <is>
          <t>東明館高等学校</t>
        </is>
      </c>
      <c r="E1274" s="6" t="inlineStr">
        <is>
          <t>0942-92-5775</t>
        </is>
      </c>
      <c r="F1274" s="7" t="inlineStr">
        <is>
          <t>高</t>
        </is>
      </c>
      <c r="G1274" s="5" t="inlineStr">
        <is>
          <t>普通科</t>
        </is>
      </c>
      <c r="H1274" s="8" t="n"/>
      <c r="I1274" s="9" t="n"/>
      <c r="J1274" s="9" t="inlineStr">
        <is>
          <t>未架電</t>
        </is>
      </c>
      <c r="K1274" s="8" t="n"/>
      <c r="L1274" s="9" t="n"/>
      <c r="M1274" s="10" t="inlineStr">
        <is>
          <t>中高共通番号</t>
        </is>
      </c>
      <c r="N1274" s="11" t="inlineStr">
        <is>
          <t>https://inner.tomeikan.ed.jp/about-school/inquiry/</t>
        </is>
      </c>
      <c r="O1274" s="12" t="inlineStr">
        <is>
          <t>開く</t>
        </is>
      </c>
    </row>
    <row r="1275">
      <c r="A1275" s="4" t="n">
        <v>1271</v>
      </c>
      <c r="B1275" s="5" t="inlineStr">
        <is>
          <t>佐賀県</t>
        </is>
      </c>
      <c r="C1275" s="5" t="inlineStr">
        <is>
          <t>佐賀市</t>
        </is>
      </c>
      <c r="D1275" s="5" t="inlineStr">
        <is>
          <t>北陵高等学校</t>
        </is>
      </c>
      <c r="E1275" s="6" t="inlineStr">
        <is>
          <t>0952-30-8676</t>
        </is>
      </c>
      <c r="F1275" s="7" t="inlineStr">
        <is>
          <t>高</t>
        </is>
      </c>
      <c r="G1275" s="5" t="inlineStr">
        <is>
          <t>専門学科</t>
        </is>
      </c>
      <c r="H1275" s="8" t="n"/>
      <c r="I1275" s="9" t="n"/>
      <c r="J1275" s="9" t="inlineStr">
        <is>
          <t>未架電</t>
        </is>
      </c>
      <c r="K1275" s="8" t="n"/>
      <c r="L1275" s="9" t="n"/>
      <c r="M1275" s="10" t="inlineStr">
        <is>
          <t>法人本部は0952-30-5422</t>
        </is>
      </c>
      <c r="N1275" s="11" t="inlineStr">
        <is>
          <t>https://hokuryo.ac.jp/</t>
        </is>
      </c>
      <c r="O1275" s="12" t="inlineStr">
        <is>
          <t>開く</t>
        </is>
      </c>
    </row>
    <row r="1276">
      <c r="A1276" s="4" t="n">
        <v>1272</v>
      </c>
      <c r="B1276" s="5" t="inlineStr">
        <is>
          <t>佐賀県</t>
        </is>
      </c>
      <c r="C1276" s="5" t="inlineStr">
        <is>
          <t>佐賀市</t>
        </is>
      </c>
      <c r="D1276" s="5" t="inlineStr">
        <is>
          <t>龍谷高等学校</t>
        </is>
      </c>
      <c r="E1276" s="6" t="inlineStr">
        <is>
          <t>0952-24-2244</t>
        </is>
      </c>
      <c r="F1276" s="7" t="inlineStr">
        <is>
          <t>高</t>
        </is>
      </c>
      <c r="G1276" s="5" t="inlineStr">
        <is>
          <t>普通科</t>
        </is>
      </c>
      <c r="H1276" s="8" t="n"/>
      <c r="I1276" s="9" t="n"/>
      <c r="J1276" s="9" t="inlineStr">
        <is>
          <t>未架電</t>
        </is>
      </c>
      <c r="K1276" s="8" t="n"/>
      <c r="L1276" s="9" t="n"/>
      <c r="M1276" s="10" t="inlineStr">
        <is>
          <t>中高共通番号</t>
        </is>
      </c>
      <c r="N1276" s="11" t="inlineStr">
        <is>
          <t>https://www.sagaryukoku.ed.jp/hsc/</t>
        </is>
      </c>
      <c r="O1276" s="12" t="inlineStr">
        <is>
          <t>開く</t>
        </is>
      </c>
    </row>
    <row r="1277">
      <c r="A1277" s="4" t="n">
        <v>1273</v>
      </c>
      <c r="B1277" s="5" t="inlineStr">
        <is>
          <t>佐賀県</t>
        </is>
      </c>
      <c r="C1277" s="5" t="inlineStr">
        <is>
          <t>唐津市</t>
        </is>
      </c>
      <c r="D1277" s="5" t="inlineStr">
        <is>
          <t>早稲田佐賀高等学校</t>
        </is>
      </c>
      <c r="E1277" s="6" t="inlineStr">
        <is>
          <t>0955-58-9000</t>
        </is>
      </c>
      <c r="F1277" s="7" t="inlineStr">
        <is>
          <t>高</t>
        </is>
      </c>
      <c r="G1277" s="5" t="inlineStr">
        <is>
          <t>普通科</t>
        </is>
      </c>
      <c r="H1277" s="8" t="n"/>
      <c r="I1277" s="9" t="n"/>
      <c r="J1277" s="9" t="inlineStr">
        <is>
          <t>未架電</t>
        </is>
      </c>
      <c r="K1277" s="8" t="n"/>
      <c r="L1277" s="9" t="n"/>
      <c r="M1277" s="10" t="inlineStr">
        <is>
          <t>中高共通。唐津市HPとも一致</t>
        </is>
      </c>
      <c r="N1277" s="11" t="inlineStr">
        <is>
          <t>https://www.wasedasaga.jp/</t>
        </is>
      </c>
      <c r="O1277" s="12" t="inlineStr">
        <is>
          <t>開く</t>
        </is>
      </c>
    </row>
    <row r="1278">
      <c r="A1278" s="4" t="n">
        <v>1274</v>
      </c>
      <c r="B1278" s="5" t="inlineStr">
        <is>
          <t>長崎県</t>
        </is>
      </c>
      <c r="C1278" s="5" t="inlineStr">
        <is>
          <t>長崎市</t>
        </is>
      </c>
      <c r="D1278" s="5" t="inlineStr">
        <is>
          <t>海星高等学校（長崎県）</t>
        </is>
      </c>
      <c r="E1278" s="6" t="inlineStr">
        <is>
          <t>095-826-7321</t>
        </is>
      </c>
      <c r="F1278" s="7" t="inlineStr">
        <is>
          <t>高</t>
        </is>
      </c>
      <c r="G1278" s="5" t="inlineStr">
        <is>
          <t>普通科</t>
        </is>
      </c>
      <c r="H1278" s="8" t="n"/>
      <c r="I1278" s="9" t="n"/>
      <c r="J1278" s="9" t="inlineStr">
        <is>
          <t>未架電</t>
        </is>
      </c>
      <c r="K1278" s="8" t="n"/>
      <c r="L1278" s="9" t="n"/>
      <c r="M1278" s="10" t="inlineStr">
        <is>
          <t>ステラマリス直通095-821-0705は別番号</t>
        </is>
      </c>
      <c r="N1278" s="11" t="inlineStr">
        <is>
          <t>https://kaisei-ngs.ed.jp/gakuen-shokai/kotsu-access/</t>
        </is>
      </c>
      <c r="O1278" s="12" t="inlineStr">
        <is>
          <t>開く</t>
        </is>
      </c>
    </row>
    <row r="1279">
      <c r="A1279" s="4" t="n">
        <v>1275</v>
      </c>
      <c r="B1279" s="5" t="inlineStr">
        <is>
          <t>長崎県</t>
        </is>
      </c>
      <c r="C1279" s="5" t="inlineStr">
        <is>
          <t>長崎市</t>
        </is>
      </c>
      <c r="D1279" s="5" t="inlineStr">
        <is>
          <t>活水高等学校</t>
        </is>
      </c>
      <c r="E1279" s="6" t="inlineStr">
        <is>
          <t>095-861-5176</t>
        </is>
      </c>
      <c r="F1279" s="7" t="inlineStr">
        <is>
          <t>高</t>
        </is>
      </c>
      <c r="G1279" s="5" t="inlineStr">
        <is>
          <t>普通科・専門学科</t>
        </is>
      </c>
      <c r="H1279" s="8" t="n"/>
      <c r="I1279" s="9" t="n"/>
      <c r="J1279" s="9" t="inlineStr">
        <is>
          <t>未架電</t>
        </is>
      </c>
      <c r="K1279" s="8" t="n"/>
      <c r="L1279" s="9" t="n"/>
      <c r="M1279" s="10" t="n"/>
      <c r="N1279" s="11" t="inlineStr">
        <is>
          <t>https://www.kwassui.ac.jp/chuko/hs/hs-news.html</t>
        </is>
      </c>
      <c r="O1279" s="12" t="inlineStr">
        <is>
          <t>開く</t>
        </is>
      </c>
    </row>
    <row r="1280">
      <c r="A1280" s="4" t="n">
        <v>1276</v>
      </c>
      <c r="B1280" s="5" t="inlineStr">
        <is>
          <t>長崎県</t>
        </is>
      </c>
      <c r="C1280" s="5" t="inlineStr">
        <is>
          <t>佐世保市</t>
        </is>
      </c>
      <c r="D1280" s="5" t="inlineStr">
        <is>
          <t>九州文化学園高等学校</t>
        </is>
      </c>
      <c r="E1280" s="6" t="inlineStr">
        <is>
          <t>0956-26-2323</t>
        </is>
      </c>
      <c r="F1280" s="7" t="inlineStr">
        <is>
          <t>高</t>
        </is>
      </c>
      <c r="G1280" s="5" t="inlineStr">
        <is>
          <t>普通科・専門学科</t>
        </is>
      </c>
      <c r="H1280" s="8" t="n"/>
      <c r="I1280" s="9" t="n"/>
      <c r="J1280" s="9" t="inlineStr">
        <is>
          <t>未架電</t>
        </is>
      </c>
      <c r="K1280" s="8" t="n"/>
      <c r="L1280" s="9" t="n"/>
      <c r="M1280" s="10" t="inlineStr">
        <is>
          <t>事務室番号。職員室0956-26-2325</t>
        </is>
      </c>
      <c r="N1280" s="11" t="inlineStr">
        <is>
          <t>https://high-school.kyubun.ed.jp/about/access/</t>
        </is>
      </c>
      <c r="O1280" s="12" t="inlineStr">
        <is>
          <t>開く</t>
        </is>
      </c>
    </row>
    <row r="1281">
      <c r="A1281" s="4" t="n">
        <v>1277</v>
      </c>
      <c r="B1281" s="5" t="inlineStr">
        <is>
          <t>長崎県</t>
        </is>
      </c>
      <c r="C1281" s="5" t="inlineStr">
        <is>
          <t>長崎市</t>
        </is>
      </c>
      <c r="D1281" s="5" t="inlineStr">
        <is>
          <t>瓊浦高等学校</t>
        </is>
      </c>
      <c r="E1281" s="6" t="inlineStr">
        <is>
          <t>095-826-1261</t>
        </is>
      </c>
      <c r="F1281" s="13" t="inlineStr">
        <is>
          <t>中</t>
        </is>
      </c>
      <c r="G1281" s="5" t="inlineStr">
        <is>
          <t>普通科・専門学科</t>
        </is>
      </c>
      <c r="H1281" s="8" t="n"/>
      <c r="I1281" s="9" t="n"/>
      <c r="J1281" s="9" t="inlineStr">
        <is>
          <t>未架電</t>
        </is>
      </c>
      <c r="K1281" s="8" t="n"/>
      <c r="L1281" s="9" t="n"/>
      <c r="M1281" s="10" t="inlineStr">
        <is>
          <t>公式未確認、複数サイトで一致</t>
        </is>
      </c>
      <c r="N1281" s="11" t="inlineStr">
        <is>
          <t>https://www.gakkou.net/kou/view/index_305777.html</t>
        </is>
      </c>
      <c r="O1281" s="12" t="inlineStr">
        <is>
          <t>開く</t>
        </is>
      </c>
    </row>
    <row r="1282">
      <c r="A1282" s="4" t="n">
        <v>1278</v>
      </c>
      <c r="B1282" s="5" t="inlineStr">
        <is>
          <t>長崎県</t>
        </is>
      </c>
      <c r="C1282" s="5" t="inlineStr">
        <is>
          <t>大村市</t>
        </is>
      </c>
      <c r="D1282" s="5" t="inlineStr">
        <is>
          <t>向陽高等学校</t>
        </is>
      </c>
      <c r="E1282" s="6" t="inlineStr">
        <is>
          <t>0957-53-1110</t>
        </is>
      </c>
      <c r="F1282" s="7" t="inlineStr">
        <is>
          <t>高</t>
        </is>
      </c>
      <c r="G1282" s="5" t="inlineStr">
        <is>
          <t>普通科・専門学科</t>
        </is>
      </c>
      <c r="H1282" s="8" t="n"/>
      <c r="I1282" s="9" t="n"/>
      <c r="J1282" s="9" t="inlineStr">
        <is>
          <t>未架電</t>
        </is>
      </c>
      <c r="K1282" s="8" t="n"/>
      <c r="L1282" s="9" t="n"/>
      <c r="M1282" s="10" t="inlineStr">
        <is>
          <t>大村市サイトとも一致。職員室0957-53-9767</t>
        </is>
      </c>
      <c r="N1282" s="11" t="inlineStr">
        <is>
          <t>http://www.koyogakuen.ed.jp/high_school/</t>
        </is>
      </c>
      <c r="O1282" s="12" t="inlineStr">
        <is>
          <t>開く</t>
        </is>
      </c>
    </row>
    <row r="1283">
      <c r="A1283" s="4" t="n">
        <v>1279</v>
      </c>
      <c r="B1283" s="5" t="inlineStr">
        <is>
          <t>長崎県</t>
        </is>
      </c>
      <c r="C1283" s="5" t="inlineStr">
        <is>
          <t>佐世保市</t>
        </is>
      </c>
      <c r="D1283" s="5" t="inlineStr">
        <is>
          <t>西海学園高等学校</t>
        </is>
      </c>
      <c r="E1283" s="6" t="inlineStr">
        <is>
          <t>0956-23-6161</t>
        </is>
      </c>
      <c r="F1283" s="7" t="inlineStr">
        <is>
          <t>高</t>
        </is>
      </c>
      <c r="G1283" s="5" t="inlineStr">
        <is>
          <t>普通科</t>
        </is>
      </c>
      <c r="H1283" s="8" t="n"/>
      <c r="I1283" s="9" t="n"/>
      <c r="J1283" s="9" t="inlineStr">
        <is>
          <t>未架電</t>
        </is>
      </c>
      <c r="K1283" s="8" t="n"/>
      <c r="L1283" s="9" t="n"/>
      <c r="M1283" s="10" t="n"/>
      <c r="N1283" s="11" t="inlineStr">
        <is>
          <t>https://saikaigakuen.ed.jp/</t>
        </is>
      </c>
      <c r="O1283" s="12" t="inlineStr">
        <is>
          <t>開く</t>
        </is>
      </c>
    </row>
    <row r="1284">
      <c r="A1284" s="4" t="n">
        <v>1280</v>
      </c>
      <c r="B1284" s="5" t="inlineStr">
        <is>
          <t>長崎県</t>
        </is>
      </c>
      <c r="C1284" s="5" t="inlineStr">
        <is>
          <t>佐世保市</t>
        </is>
      </c>
      <c r="D1284" s="5" t="inlineStr">
        <is>
          <t>佐世保実業高等学校</t>
        </is>
      </c>
      <c r="E1284" s="6" t="inlineStr">
        <is>
          <t>0956-48-8881</t>
        </is>
      </c>
      <c r="F1284" s="7" t="inlineStr">
        <is>
          <t>高</t>
        </is>
      </c>
      <c r="G1284" s="5" t="inlineStr">
        <is>
          <t>専門学科</t>
        </is>
      </c>
      <c r="H1284" s="8" t="n"/>
      <c r="I1284" s="9" t="n"/>
      <c r="J1284" s="9" t="inlineStr">
        <is>
          <t>未架電</t>
        </is>
      </c>
      <c r="K1284" s="8" t="n"/>
      <c r="L1284" s="9" t="n"/>
      <c r="M1284" s="10" t="inlineStr">
        <is>
          <t>代表番号。教務室0956-48-8883</t>
        </is>
      </c>
      <c r="N1284" s="11" t="inlineStr">
        <is>
          <t>https://sajitsu.ed.jp/contact/</t>
        </is>
      </c>
      <c r="O1284" s="12" t="inlineStr">
        <is>
          <t>開く</t>
        </is>
      </c>
    </row>
    <row r="1285">
      <c r="A1285" s="4" t="n">
        <v>1281</v>
      </c>
      <c r="B1285" s="5" t="inlineStr">
        <is>
          <t>長崎県</t>
        </is>
      </c>
      <c r="C1285" s="5" t="inlineStr">
        <is>
          <t>佐世保市</t>
        </is>
      </c>
      <c r="D1285" s="5" t="inlineStr">
        <is>
          <t>佐世保女子高等学校</t>
        </is>
      </c>
      <c r="E1285" s="6" t="inlineStr">
        <is>
          <t>0956-22-4349</t>
        </is>
      </c>
      <c r="F1285" s="13" t="inlineStr">
        <is>
          <t>中</t>
        </is>
      </c>
      <c r="G1285" s="5" t="inlineStr">
        <is>
          <t>普通科</t>
        </is>
      </c>
      <c r="H1285" s="8" t="n"/>
      <c r="I1285" s="9" t="n"/>
      <c r="J1285" s="9" t="inlineStr">
        <is>
          <t>未架電</t>
        </is>
      </c>
      <c r="K1285" s="8" t="n"/>
      <c r="L1285" s="9" t="n"/>
      <c r="M1285" s="10" t="inlineStr">
        <is>
          <t>正式名は久田学園佐世保女子高等学校。公式未確認、複数資料で一致</t>
        </is>
      </c>
      <c r="N1285" s="11" t="inlineStr">
        <is>
          <t>https://www.mapion.co.jp/phonebook/M11004/42202/ILSP0000041755_ipclm/</t>
        </is>
      </c>
      <c r="O1285" s="12" t="inlineStr">
        <is>
          <t>開く</t>
        </is>
      </c>
    </row>
    <row r="1286">
      <c r="A1286" s="4" t="n">
        <v>1282</v>
      </c>
      <c r="B1286" s="5" t="inlineStr">
        <is>
          <t>長崎県</t>
        </is>
      </c>
      <c r="C1286" s="5" t="inlineStr">
        <is>
          <t>島原市</t>
        </is>
      </c>
      <c r="D1286" s="5" t="inlineStr">
        <is>
          <t>島原中央高等学校</t>
        </is>
      </c>
      <c r="E1286" s="6" t="inlineStr">
        <is>
          <t>0957-62-2435</t>
        </is>
      </c>
      <c r="F1286" s="7" t="inlineStr">
        <is>
          <t>高</t>
        </is>
      </c>
      <c r="G1286" s="5" t="inlineStr">
        <is>
          <t>普通科</t>
        </is>
      </c>
      <c r="H1286" s="8" t="n"/>
      <c r="I1286" s="9" t="n"/>
      <c r="J1286" s="9" t="inlineStr">
        <is>
          <t>未架電</t>
        </is>
      </c>
      <c r="K1286" s="8" t="n"/>
      <c r="L1286" s="9" t="n"/>
      <c r="M1286" s="10" t="n"/>
      <c r="N1286" s="11" t="inlineStr">
        <is>
          <t>https://shimabara-chuo.ac.jp/</t>
        </is>
      </c>
      <c r="O1286" s="12" t="inlineStr">
        <is>
          <t>開く</t>
        </is>
      </c>
    </row>
    <row r="1287">
      <c r="A1287" s="4" t="n">
        <v>1283</v>
      </c>
      <c r="B1287" s="5" t="inlineStr">
        <is>
          <t>長崎県</t>
        </is>
      </c>
      <c r="C1287" s="5" t="inlineStr">
        <is>
          <t>長崎市</t>
        </is>
      </c>
      <c r="D1287" s="5" t="inlineStr">
        <is>
          <t>純心女子高等学校</t>
        </is>
      </c>
      <c r="E1287" s="6" t="inlineStr">
        <is>
          <t>095-844-1175</t>
        </is>
      </c>
      <c r="F1287" s="7" t="inlineStr">
        <is>
          <t>高</t>
        </is>
      </c>
      <c r="G1287" s="5" t="inlineStr">
        <is>
          <t>普通科</t>
        </is>
      </c>
      <c r="H1287" s="8" t="n"/>
      <c r="I1287" s="9" t="n"/>
      <c r="J1287" s="9" t="inlineStr">
        <is>
          <t>未架電</t>
        </is>
      </c>
      <c r="K1287" s="8" t="n"/>
      <c r="L1287" s="9" t="n"/>
      <c r="M1287" s="10" t="inlineStr">
        <is>
          <t>中高共通の代表番号</t>
        </is>
      </c>
      <c r="N1287" s="11" t="inlineStr">
        <is>
          <t>https://www.n-junshin.ed.jp/access/</t>
        </is>
      </c>
      <c r="O1287" s="12" t="inlineStr">
        <is>
          <t>開く</t>
        </is>
      </c>
    </row>
    <row r="1288">
      <c r="A1288" s="4" t="n">
        <v>1284</v>
      </c>
      <c r="B1288" s="5" t="inlineStr">
        <is>
          <t>長崎県</t>
        </is>
      </c>
      <c r="C1288" s="5" t="inlineStr">
        <is>
          <t>時津町</t>
        </is>
      </c>
      <c r="D1288" s="5" t="inlineStr">
        <is>
          <t>青雲高等学校</t>
        </is>
      </c>
      <c r="E1288" s="6" t="inlineStr">
        <is>
          <t>095-882-0678</t>
        </is>
      </c>
      <c r="F1288" s="7" t="inlineStr">
        <is>
          <t>高</t>
        </is>
      </c>
      <c r="G1288" s="5" t="inlineStr">
        <is>
          <t>普通科</t>
        </is>
      </c>
      <c r="H1288" s="8" t="n"/>
      <c r="I1288" s="9" t="n"/>
      <c r="J1288" s="9" t="inlineStr">
        <is>
          <t>未架電</t>
        </is>
      </c>
      <c r="K1288" s="8" t="n"/>
      <c r="L1288" s="9" t="n"/>
      <c r="M1288" s="10" t="inlineStr">
        <is>
          <t>中高共通の代表番号</t>
        </is>
      </c>
      <c r="N1288" s="11" t="inlineStr">
        <is>
          <t>https://seiun-jh.ed.jp/</t>
        </is>
      </c>
      <c r="O1288" s="12" t="inlineStr">
        <is>
          <t>開く</t>
        </is>
      </c>
    </row>
    <row r="1289">
      <c r="A1289" s="4" t="n">
        <v>1285</v>
      </c>
      <c r="B1289" s="5" t="inlineStr">
        <is>
          <t>長崎県</t>
        </is>
      </c>
      <c r="C1289" s="5" t="inlineStr">
        <is>
          <t>長崎市</t>
        </is>
      </c>
      <c r="D1289" s="5" t="inlineStr">
        <is>
          <t>精道三川台高等学校</t>
        </is>
      </c>
      <c r="E1289" s="6" t="inlineStr">
        <is>
          <t>095-845-6161</t>
        </is>
      </c>
      <c r="F1289" s="7" t="inlineStr">
        <is>
          <t>高</t>
        </is>
      </c>
      <c r="G1289" s="5" t="inlineStr">
        <is>
          <t>普通科</t>
        </is>
      </c>
      <c r="H1289" s="8" t="n"/>
      <c r="I1289" s="9" t="n"/>
      <c r="J1289" s="9" t="inlineStr">
        <is>
          <t>未架電</t>
        </is>
      </c>
      <c r="K1289" s="8" t="n"/>
      <c r="L1289" s="9" t="n"/>
      <c r="M1289" s="10" t="inlineStr">
        <is>
          <t>中高一貫。FAXは095-845-6166</t>
        </is>
      </c>
      <c r="N1289" s="11" t="inlineStr">
        <is>
          <t>https://seido-gakuen.net/secondary/about-school/</t>
        </is>
      </c>
      <c r="O1289" s="12" t="inlineStr">
        <is>
          <t>開く</t>
        </is>
      </c>
    </row>
    <row r="1290">
      <c r="A1290" s="4" t="n">
        <v>1286</v>
      </c>
      <c r="B1290" s="5" t="inlineStr">
        <is>
          <t>長崎県</t>
        </is>
      </c>
      <c r="C1290" s="5" t="inlineStr">
        <is>
          <t>長崎市</t>
        </is>
      </c>
      <c r="D1290" s="5" t="inlineStr">
        <is>
          <t>聖母の騎士高等学校</t>
        </is>
      </c>
      <c r="E1290" s="6" t="inlineStr">
        <is>
          <t>095-823-4523</t>
        </is>
      </c>
      <c r="F1290" s="7" t="inlineStr">
        <is>
          <t>高</t>
        </is>
      </c>
      <c r="G1290" s="5" t="inlineStr">
        <is>
          <t>普通科</t>
        </is>
      </c>
      <c r="H1290" s="8" t="n"/>
      <c r="I1290" s="9" t="n"/>
      <c r="J1290" s="9" t="inlineStr">
        <is>
          <t>未架電</t>
        </is>
      </c>
      <c r="K1290" s="8" t="n"/>
      <c r="L1290" s="9" t="n"/>
      <c r="M1290" s="10" t="n"/>
      <c r="N1290" s="11" t="inlineStr">
        <is>
          <t>https://www.seibonokishi.ed.jp/</t>
        </is>
      </c>
      <c r="O1290" s="12" t="inlineStr">
        <is>
          <t>開く</t>
        </is>
      </c>
    </row>
    <row r="1291">
      <c r="A1291" s="4" t="n">
        <v>1287</v>
      </c>
      <c r="B1291" s="5" t="inlineStr">
        <is>
          <t>長崎県</t>
        </is>
      </c>
      <c r="C1291" s="5" t="inlineStr">
        <is>
          <t>佐世保市</t>
        </is>
      </c>
      <c r="D1291" s="5" t="inlineStr">
        <is>
          <t>聖和女子学院高等学校</t>
        </is>
      </c>
      <c r="E1291" s="6" t="inlineStr">
        <is>
          <t>0956-22-7380</t>
        </is>
      </c>
      <c r="F1291" s="7" t="inlineStr">
        <is>
          <t>高</t>
        </is>
      </c>
      <c r="G1291" s="5" t="inlineStr">
        <is>
          <t>普通科・専門学科</t>
        </is>
      </c>
      <c r="H1291" s="8" t="n"/>
      <c r="I1291" s="9" t="n"/>
      <c r="J1291" s="9" t="inlineStr">
        <is>
          <t>未架電</t>
        </is>
      </c>
      <c r="K1291" s="8" t="n"/>
      <c r="L1291" s="9" t="n"/>
      <c r="M1291" s="10" t="inlineStr">
        <is>
          <t>事務室番号。教務室は0956-23-9643</t>
        </is>
      </c>
      <c r="N1291" s="11" t="inlineStr">
        <is>
          <t>https://www.seiwajoshi.ed.jp/inquiry/</t>
        </is>
      </c>
      <c r="O1291" s="12" t="inlineStr">
        <is>
          <t>開く</t>
        </is>
      </c>
    </row>
    <row r="1292">
      <c r="A1292" s="4" t="n">
        <v>1288</v>
      </c>
      <c r="B1292" s="5" t="inlineStr">
        <is>
          <t>長崎県</t>
        </is>
      </c>
      <c r="C1292" s="5" t="inlineStr">
        <is>
          <t>諫早市</t>
        </is>
      </c>
      <c r="D1292" s="5" t="inlineStr">
        <is>
          <t>創成館高等学校</t>
        </is>
      </c>
      <c r="E1292" s="6" t="inlineStr">
        <is>
          <t>0957-25-1225</t>
        </is>
      </c>
      <c r="F1292" s="7" t="inlineStr">
        <is>
          <t>高</t>
        </is>
      </c>
      <c r="G1292" s="5" t="inlineStr">
        <is>
          <t>普通科・専門学科</t>
        </is>
      </c>
      <c r="H1292" s="8" t="n"/>
      <c r="I1292" s="9" t="n"/>
      <c r="J1292" s="9" t="inlineStr">
        <is>
          <t>未架電</t>
        </is>
      </c>
      <c r="K1292" s="8" t="n"/>
      <c r="L1292" s="9" t="n"/>
      <c r="M1292" s="10" t="inlineStr">
        <is>
          <t>諫早市の施設情報とも一致</t>
        </is>
      </c>
      <c r="N1292" s="11" t="inlineStr">
        <is>
          <t>https://www.sohseikan.ac.jp/entrance/admission/</t>
        </is>
      </c>
      <c r="O1292" s="12" t="inlineStr">
        <is>
          <t>開く</t>
        </is>
      </c>
    </row>
    <row r="1293">
      <c r="A1293" s="4" t="n">
        <v>1289</v>
      </c>
      <c r="B1293" s="5" t="inlineStr">
        <is>
          <t>長崎県</t>
        </is>
      </c>
      <c r="C1293" s="5" t="inlineStr">
        <is>
          <t>諫早市</t>
        </is>
      </c>
      <c r="D1293" s="5" t="inlineStr">
        <is>
          <t>鎮西学院高等学校</t>
        </is>
      </c>
      <c r="E1293" s="6" t="inlineStr">
        <is>
          <t>0957-25-1234</t>
        </is>
      </c>
      <c r="F1293" s="7" t="inlineStr">
        <is>
          <t>高</t>
        </is>
      </c>
      <c r="G1293" s="5" t="inlineStr">
        <is>
          <t>普通科・専門学科</t>
        </is>
      </c>
      <c r="H1293" s="8" t="n"/>
      <c r="I1293" s="9" t="n"/>
      <c r="J1293" s="9" t="inlineStr">
        <is>
          <t>未架電</t>
        </is>
      </c>
      <c r="K1293" s="8" t="n"/>
      <c r="L1293" s="9" t="n"/>
      <c r="M1293" s="10" t="n"/>
      <c r="N1293" s="11" t="inlineStr">
        <is>
          <t>https://www.chinzeigakuin.ed.jp/</t>
        </is>
      </c>
      <c r="O1293" s="12" t="inlineStr">
        <is>
          <t>開く</t>
        </is>
      </c>
    </row>
    <row r="1294">
      <c r="A1294" s="4" t="n">
        <v>1290</v>
      </c>
      <c r="B1294" s="5" t="inlineStr">
        <is>
          <t>長崎県</t>
        </is>
      </c>
      <c r="C1294" s="5" t="inlineStr">
        <is>
          <t>長崎市</t>
        </is>
      </c>
      <c r="D1294" s="5" t="inlineStr">
        <is>
          <t>長崎玉成高等学校</t>
        </is>
      </c>
      <c r="E1294" s="6" t="inlineStr">
        <is>
          <t>095-826-6321</t>
        </is>
      </c>
      <c r="F1294" s="7" t="inlineStr">
        <is>
          <t>高</t>
        </is>
      </c>
      <c r="G1294" s="5" t="inlineStr">
        <is>
          <t>普通科・専門学科</t>
        </is>
      </c>
      <c r="H1294" s="8" t="n"/>
      <c r="I1294" s="9" t="n"/>
      <c r="J1294" s="9" t="inlineStr">
        <is>
          <t>未架電</t>
        </is>
      </c>
      <c r="K1294" s="8" t="n"/>
      <c r="L1294" s="9" t="n"/>
      <c r="M1294" s="10" t="inlineStr">
        <is>
          <t>一部サイトの095-826-6322は誤記とみられる</t>
        </is>
      </c>
      <c r="N1294" s="11" t="inlineStr">
        <is>
          <t>https://tamaki.ac.jp/koukou/</t>
        </is>
      </c>
      <c r="O1294" s="12" t="inlineStr">
        <is>
          <t>開く</t>
        </is>
      </c>
    </row>
    <row r="1295">
      <c r="A1295" s="4" t="n">
        <v>1291</v>
      </c>
      <c r="B1295" s="5" t="inlineStr">
        <is>
          <t>長崎県</t>
        </is>
      </c>
      <c r="C1295" s="5" t="inlineStr">
        <is>
          <t>長崎市</t>
        </is>
      </c>
      <c r="D1295" s="5" t="inlineStr">
        <is>
          <t>長崎女子高等学校</t>
        </is>
      </c>
      <c r="E1295" s="6" t="inlineStr">
        <is>
          <t>095-826-4321</t>
        </is>
      </c>
      <c r="F1295" s="7" t="inlineStr">
        <is>
          <t>高</t>
        </is>
      </c>
      <c r="G1295" s="5" t="inlineStr">
        <is>
          <t>普通科</t>
        </is>
      </c>
      <c r="H1295" s="8" t="n"/>
      <c r="I1295" s="9" t="n"/>
      <c r="J1295" s="9" t="inlineStr">
        <is>
          <t>未架電</t>
        </is>
      </c>
      <c r="K1295" s="8" t="n"/>
      <c r="L1295" s="9" t="n"/>
      <c r="M1295" s="10" t="inlineStr">
        <is>
          <t>2026年4月に「鶴鳴高等学校」へ校名変更（女子校のまま）</t>
        </is>
      </c>
      <c r="N1295" s="11" t="inlineStr">
        <is>
          <t>https://kakumei.ac.jp/high_school/</t>
        </is>
      </c>
      <c r="O1295" s="12" t="inlineStr">
        <is>
          <t>開く</t>
        </is>
      </c>
    </row>
    <row r="1296">
      <c r="A1296" s="4" t="n">
        <v>1292</v>
      </c>
      <c r="B1296" s="5" t="inlineStr">
        <is>
          <t>長崎県</t>
        </is>
      </c>
      <c r="C1296" s="5" t="inlineStr">
        <is>
          <t>長崎市</t>
        </is>
      </c>
      <c r="D1296" s="5" t="inlineStr">
        <is>
          <t>長崎女子商業高等学校</t>
        </is>
      </c>
      <c r="E1296" s="6" t="inlineStr">
        <is>
          <t>095-824-2701</t>
        </is>
      </c>
      <c r="F1296" s="7" t="inlineStr">
        <is>
          <t>高</t>
        </is>
      </c>
      <c r="G1296" s="5" t="inlineStr">
        <is>
          <t>専門学科</t>
        </is>
      </c>
      <c r="H1296" s="8" t="n"/>
      <c r="I1296" s="9" t="n"/>
      <c r="J1296" s="9" t="inlineStr">
        <is>
          <t>未架電</t>
        </is>
      </c>
      <c r="K1296" s="8" t="n"/>
      <c r="L1296" s="9" t="n"/>
      <c r="M1296" s="10" t="n"/>
      <c r="N1296" s="11" t="inlineStr">
        <is>
          <t>https://n-joshisho.sakura.ne.jp/</t>
        </is>
      </c>
      <c r="O1296" s="12" t="inlineStr">
        <is>
          <t>開く</t>
        </is>
      </c>
    </row>
    <row r="1297">
      <c r="A1297" s="4" t="n">
        <v>1293</v>
      </c>
      <c r="B1297" s="5" t="inlineStr">
        <is>
          <t>長崎県</t>
        </is>
      </c>
      <c r="C1297" s="5" t="inlineStr">
        <is>
          <t>長崎市</t>
        </is>
      </c>
      <c r="D1297" s="5" t="inlineStr">
        <is>
          <t>長崎総合科学大学附属高等学校</t>
        </is>
      </c>
      <c r="E1297" s="6" t="inlineStr">
        <is>
          <t>095-838-2413</t>
        </is>
      </c>
      <c r="F1297" s="13" t="inlineStr">
        <is>
          <t>中</t>
        </is>
      </c>
      <c r="G1297" s="5" t="inlineStr">
        <is>
          <t>普通科</t>
        </is>
      </c>
      <c r="H1297" s="8" t="n"/>
      <c r="I1297" s="9" t="n"/>
      <c r="J1297" s="9" t="inlineStr">
        <is>
          <t>未架電</t>
        </is>
      </c>
      <c r="K1297" s="8" t="n"/>
      <c r="L1297" s="9" t="n"/>
      <c r="M1297" s="10" t="inlineStr">
        <is>
          <t>私学協会一覧の番号。公式に095-838-2364/2414もあり用途不明。大学サイトでは附属高校事務室095-838-2254</t>
        </is>
      </c>
      <c r="N1297" s="11" t="inlineStr">
        <is>
          <t>http://www.nagasaki-shigaku.jp/shoukai.html</t>
        </is>
      </c>
      <c r="O1297" s="12" t="inlineStr">
        <is>
          <t>開く</t>
        </is>
      </c>
    </row>
    <row r="1298">
      <c r="A1298" s="4" t="n">
        <v>1294</v>
      </c>
      <c r="B1298" s="5" t="inlineStr">
        <is>
          <t>長崎県</t>
        </is>
      </c>
      <c r="C1298" s="5" t="inlineStr">
        <is>
          <t>長崎市</t>
        </is>
      </c>
      <c r="D1298" s="5" t="inlineStr">
        <is>
          <t>長崎南山高等学校</t>
        </is>
      </c>
      <c r="E1298" s="6" t="inlineStr">
        <is>
          <t>095-844-1572</t>
        </is>
      </c>
      <c r="F1298" s="7" t="inlineStr">
        <is>
          <t>高</t>
        </is>
      </c>
      <c r="G1298" s="5" t="inlineStr">
        <is>
          <t>普通科</t>
        </is>
      </c>
      <c r="H1298" s="8" t="n"/>
      <c r="I1298" s="9" t="n"/>
      <c r="J1298" s="9" t="inlineStr">
        <is>
          <t>未架電</t>
        </is>
      </c>
      <c r="K1298" s="8" t="n"/>
      <c r="L1298" s="9" t="n"/>
      <c r="M1298" s="10" t="n"/>
      <c r="N1298" s="11" t="inlineStr">
        <is>
          <t>https://www.n-nanzan.ed.jp/pages/5/</t>
        </is>
      </c>
      <c r="O1298" s="12" t="inlineStr">
        <is>
          <t>開く</t>
        </is>
      </c>
    </row>
    <row r="1299">
      <c r="A1299" s="4" t="n">
        <v>1295</v>
      </c>
      <c r="B1299" s="5" t="inlineStr">
        <is>
          <t>長崎県</t>
        </is>
      </c>
      <c r="C1299" s="5" t="inlineStr">
        <is>
          <t>諫早市</t>
        </is>
      </c>
      <c r="D1299" s="5" t="inlineStr">
        <is>
          <t>長崎日本大学高等学校</t>
        </is>
      </c>
      <c r="E1299" s="6" t="inlineStr">
        <is>
          <t>0957-26-0061</t>
        </is>
      </c>
      <c r="F1299" s="7" t="inlineStr">
        <is>
          <t>高</t>
        </is>
      </c>
      <c r="G1299" s="5" t="inlineStr">
        <is>
          <t>普通科・専門学科</t>
        </is>
      </c>
      <c r="H1299" s="8" t="n"/>
      <c r="I1299" s="9" t="n"/>
      <c r="J1299" s="9" t="inlineStr">
        <is>
          <t>未架電</t>
        </is>
      </c>
      <c r="K1299" s="8" t="n"/>
      <c r="L1299" s="9" t="n"/>
      <c r="M1299" s="10" t="n"/>
      <c r="N1299" s="11" t="inlineStr">
        <is>
          <t>https://nagasaki-nichidai.jp/schoolintroduction/access/</t>
        </is>
      </c>
      <c r="O1299" s="12" t="inlineStr">
        <is>
          <t>開く</t>
        </is>
      </c>
    </row>
    <row r="1300">
      <c r="A1300" s="4" t="n">
        <v>1296</v>
      </c>
      <c r="B1300" s="5" t="inlineStr">
        <is>
          <t>熊本県</t>
        </is>
      </c>
      <c r="C1300" s="5" t="inlineStr">
        <is>
          <t>荒尾市</t>
        </is>
      </c>
      <c r="D1300" s="5" t="inlineStr">
        <is>
          <t>有明高等学校</t>
        </is>
      </c>
      <c r="E1300" s="6" t="inlineStr">
        <is>
          <t>0968-63-0545</t>
        </is>
      </c>
      <c r="F1300" s="7" t="inlineStr">
        <is>
          <t>高</t>
        </is>
      </c>
      <c r="G1300" s="5" t="inlineStr">
        <is>
          <t>普通科・専門学科</t>
        </is>
      </c>
      <c r="H1300" s="8" t="n"/>
      <c r="I1300" s="9" t="n"/>
      <c r="J1300" s="9" t="inlineStr">
        <is>
          <t>未架電</t>
        </is>
      </c>
      <c r="K1300" s="8" t="n"/>
      <c r="L1300" s="9" t="n"/>
      <c r="M1300" s="10" t="inlineStr">
        <is>
          <t>職員室0968-63-0958、衛生看護専攻科0968-63-0546</t>
        </is>
      </c>
      <c r="N1300" s="11" t="inlineStr">
        <is>
          <t>https://ariake-hs.ed.jp/contact/</t>
        </is>
      </c>
      <c r="O1300" s="12" t="inlineStr">
        <is>
          <t>開く</t>
        </is>
      </c>
    </row>
    <row r="1301">
      <c r="A1301" s="4" t="n">
        <v>1297</v>
      </c>
      <c r="B1301" s="5" t="inlineStr">
        <is>
          <t>熊本県</t>
        </is>
      </c>
      <c r="C1301" s="5" t="inlineStr">
        <is>
          <t>熊本市中央区</t>
        </is>
      </c>
      <c r="D1301" s="5" t="inlineStr">
        <is>
          <t>開新高等学校</t>
        </is>
      </c>
      <c r="E1301" s="6" t="inlineStr">
        <is>
          <t>096-366-1201</t>
        </is>
      </c>
      <c r="F1301" s="7" t="inlineStr">
        <is>
          <t>高</t>
        </is>
      </c>
      <c r="G1301" s="5" t="inlineStr">
        <is>
          <t>普通科・専門学科・総合学科</t>
        </is>
      </c>
      <c r="H1301" s="8" t="n"/>
      <c r="I1301" s="9" t="n"/>
      <c r="J1301" s="9" t="inlineStr">
        <is>
          <t>未架電</t>
        </is>
      </c>
      <c r="K1301" s="8" t="n"/>
      <c r="L1301" s="9" t="n"/>
      <c r="M1301" s="10" t="n"/>
      <c r="N1301" s="11" t="inlineStr">
        <is>
          <t>https://www.kaishin.ed.jp/</t>
        </is>
      </c>
      <c r="O1301" s="12" t="inlineStr">
        <is>
          <t>開く</t>
        </is>
      </c>
    </row>
    <row r="1302">
      <c r="A1302" s="4" t="n">
        <v>1298</v>
      </c>
      <c r="B1302" s="5" t="inlineStr">
        <is>
          <t>熊本県</t>
        </is>
      </c>
      <c r="C1302" s="5" t="inlineStr">
        <is>
          <t>菊池市</t>
        </is>
      </c>
      <c r="D1302" s="5" t="inlineStr">
        <is>
          <t>菊池女子高等学校</t>
        </is>
      </c>
      <c r="E1302" s="6" t="inlineStr">
        <is>
          <t>0968-25-3032</t>
        </is>
      </c>
      <c r="F1302" s="7" t="inlineStr">
        <is>
          <t>高</t>
        </is>
      </c>
      <c r="G1302" s="5" t="inlineStr">
        <is>
          <t>普通科・専門学科</t>
        </is>
      </c>
      <c r="H1302" s="8" t="n"/>
      <c r="I1302" s="9" t="n"/>
      <c r="J1302" s="9" t="inlineStr">
        <is>
          <t>未架電</t>
        </is>
      </c>
      <c r="K1302" s="8" t="n"/>
      <c r="L1302" s="9" t="n"/>
      <c r="M1302" s="10" t="inlineStr">
        <is>
          <t>2026年9月に「菊女北辰高等学校」へ校名変更（男子も受入れ）</t>
        </is>
      </c>
      <c r="N1302" s="11" t="inlineStr">
        <is>
          <t>https://www.kikuchijoshi.ac.jp/</t>
        </is>
      </c>
      <c r="O1302" s="12" t="inlineStr">
        <is>
          <t>開く</t>
        </is>
      </c>
    </row>
    <row r="1303">
      <c r="A1303" s="4" t="n">
        <v>1299</v>
      </c>
      <c r="B1303" s="5" t="inlineStr">
        <is>
          <t>熊本県</t>
        </is>
      </c>
      <c r="C1303" s="5" t="inlineStr">
        <is>
          <t>熊本市中央区</t>
        </is>
      </c>
      <c r="D1303" s="5" t="inlineStr">
        <is>
          <t>九州学院高等学校</t>
        </is>
      </c>
      <c r="E1303" s="6" t="inlineStr">
        <is>
          <t>096-364-6134</t>
        </is>
      </c>
      <c r="F1303" s="7" t="inlineStr">
        <is>
          <t>高</t>
        </is>
      </c>
      <c r="G1303" s="5" t="inlineStr">
        <is>
          <t>普通科</t>
        </is>
      </c>
      <c r="H1303" s="8" t="n"/>
      <c r="I1303" s="9" t="n"/>
      <c r="J1303" s="9" t="inlineStr">
        <is>
          <t>未架電</t>
        </is>
      </c>
      <c r="K1303" s="8" t="n"/>
      <c r="L1303" s="9" t="n"/>
      <c r="M1303" s="10" t="n"/>
      <c r="N1303" s="11" t="inlineStr">
        <is>
          <t>https://kyugaku.ed.jp/hs/guide/</t>
        </is>
      </c>
      <c r="O1303" s="12" t="inlineStr">
        <is>
          <t>開く</t>
        </is>
      </c>
    </row>
    <row r="1304">
      <c r="A1304" s="4" t="n">
        <v>1300</v>
      </c>
      <c r="B1304" s="5" t="inlineStr">
        <is>
          <t>熊本県</t>
        </is>
      </c>
      <c r="C1304" s="5" t="inlineStr">
        <is>
          <t>熊本市中央区</t>
        </is>
      </c>
      <c r="D1304" s="5" t="inlineStr">
        <is>
          <t>熊本学園大学付属高等学校</t>
        </is>
      </c>
      <c r="E1304" s="6" t="inlineStr">
        <is>
          <t>096-371-2551</t>
        </is>
      </c>
      <c r="F1304" s="7" t="inlineStr">
        <is>
          <t>高</t>
        </is>
      </c>
      <c r="G1304" s="5" t="inlineStr">
        <is>
          <t>普通科</t>
        </is>
      </c>
      <c r="H1304" s="8" t="n"/>
      <c r="I1304" s="9" t="n"/>
      <c r="J1304" s="9" t="inlineStr">
        <is>
          <t>未架電</t>
        </is>
      </c>
      <c r="K1304" s="8" t="n"/>
      <c r="L1304" s="9" t="n"/>
      <c r="M1304" s="10" t="inlineStr">
        <is>
          <t>付属中学校は096-364-2316</t>
        </is>
      </c>
      <c r="N1304" s="11" t="inlineStr">
        <is>
          <t>https://www.kumagaku-h.ed.jp/</t>
        </is>
      </c>
      <c r="O1304" s="12" t="inlineStr">
        <is>
          <t>開く</t>
        </is>
      </c>
    </row>
    <row r="1305">
      <c r="A1305" s="4" t="n">
        <v>1301</v>
      </c>
      <c r="B1305" s="5" t="inlineStr">
        <is>
          <t>熊本県</t>
        </is>
      </c>
      <c r="C1305" s="5" t="inlineStr">
        <is>
          <t>熊本市中央区</t>
        </is>
      </c>
      <c r="D1305" s="5" t="inlineStr">
        <is>
          <t>熊本国府高等学校</t>
        </is>
      </c>
      <c r="E1305" s="6" t="inlineStr">
        <is>
          <t>096-366-1276</t>
        </is>
      </c>
      <c r="F1305" s="7" t="inlineStr">
        <is>
          <t>高</t>
        </is>
      </c>
      <c r="G1305" s="5" t="inlineStr">
        <is>
          <t>普通科・専門学科</t>
        </is>
      </c>
      <c r="H1305" s="8" t="n"/>
      <c r="I1305" s="9" t="n"/>
      <c r="J1305" s="9" t="inlineStr">
        <is>
          <t>未架電</t>
        </is>
      </c>
      <c r="K1305" s="8" t="n"/>
      <c r="L1305" s="9" t="n"/>
      <c r="M1305" s="10" t="n"/>
      <c r="N1305" s="11" t="inlineStr">
        <is>
          <t>http://www.kumamotokokufu-h.ed.jp/access.html</t>
        </is>
      </c>
      <c r="O1305" s="12" t="inlineStr">
        <is>
          <t>開く</t>
        </is>
      </c>
    </row>
    <row r="1306">
      <c r="A1306" s="4" t="n">
        <v>1302</v>
      </c>
      <c r="B1306" s="5" t="inlineStr">
        <is>
          <t>熊本県</t>
        </is>
      </c>
      <c r="C1306" s="5" t="inlineStr">
        <is>
          <t>熊本市中央区</t>
        </is>
      </c>
      <c r="D1306" s="5" t="inlineStr">
        <is>
          <t>熊本信愛女学院高等学校</t>
        </is>
      </c>
      <c r="E1306" s="6" t="inlineStr">
        <is>
          <t>096-354-5355</t>
        </is>
      </c>
      <c r="F1306" s="7" t="inlineStr">
        <is>
          <t>高</t>
        </is>
      </c>
      <c r="G1306" s="5" t="inlineStr">
        <is>
          <t>普通科</t>
        </is>
      </c>
      <c r="H1306" s="8" t="n"/>
      <c r="I1306" s="9" t="n"/>
      <c r="J1306" s="9" t="inlineStr">
        <is>
          <t>未架電</t>
        </is>
      </c>
      <c r="K1306" s="8" t="n"/>
      <c r="L1306" s="9" t="n"/>
      <c r="M1306" s="10" t="n"/>
      <c r="N1306" s="11" t="inlineStr">
        <is>
          <t>https://www.kumamoto-shin-ai.ed.jp/</t>
        </is>
      </c>
      <c r="O1306" s="12" t="inlineStr">
        <is>
          <t>開く</t>
        </is>
      </c>
    </row>
    <row r="1307">
      <c r="A1307" s="4" t="n">
        <v>1303</v>
      </c>
      <c r="B1307" s="5" t="inlineStr">
        <is>
          <t>熊本県</t>
        </is>
      </c>
      <c r="C1307" s="5" t="inlineStr">
        <is>
          <t>南阿蘇村</t>
        </is>
      </c>
      <c r="D1307" s="5" t="inlineStr">
        <is>
          <t>くまもと清陵高等学校</t>
        </is>
      </c>
      <c r="E1307" s="6" t="inlineStr">
        <is>
          <t>0967-63-8251</t>
        </is>
      </c>
      <c r="F1307" s="7" t="inlineStr">
        <is>
          <t>高</t>
        </is>
      </c>
      <c r="G1307" s="5" t="inlineStr">
        <is>
          <t>普通科</t>
        </is>
      </c>
      <c r="H1307" s="8" t="n"/>
      <c r="I1307" s="9" t="n"/>
      <c r="J1307" s="9" t="inlineStr">
        <is>
          <t>未架電</t>
        </is>
      </c>
      <c r="K1307" s="8" t="n"/>
      <c r="L1307" s="9" t="n"/>
      <c r="M1307" s="10" t="inlineStr">
        <is>
          <t>通信制・南阿蘇村の本校</t>
        </is>
      </c>
      <c r="N1307" s="11" t="inlineStr">
        <is>
          <t>https://www.k-seiryo.jp/</t>
        </is>
      </c>
      <c r="O1307" s="12" t="inlineStr">
        <is>
          <t>開く</t>
        </is>
      </c>
    </row>
    <row r="1308">
      <c r="A1308" s="4" t="n">
        <v>1304</v>
      </c>
      <c r="B1308" s="5" t="inlineStr">
        <is>
          <t>熊本県</t>
        </is>
      </c>
      <c r="C1308" s="5" t="inlineStr">
        <is>
          <t>熊本市中央区</t>
        </is>
      </c>
      <c r="D1308" s="5" t="inlineStr">
        <is>
          <t>熊本中央高等学校</t>
        </is>
      </c>
      <c r="E1308" s="6" t="inlineStr">
        <is>
          <t>096-354-2333</t>
        </is>
      </c>
      <c r="F1308" s="7" t="inlineStr">
        <is>
          <t>高</t>
        </is>
      </c>
      <c r="G1308" s="5" t="inlineStr">
        <is>
          <t>普通科・専門学科</t>
        </is>
      </c>
      <c r="H1308" s="8" t="n"/>
      <c r="I1308" s="9" t="n"/>
      <c r="J1308" s="9" t="inlineStr">
        <is>
          <t>未架電</t>
        </is>
      </c>
      <c r="K1308" s="8" t="n"/>
      <c r="L1308" s="9" t="n"/>
      <c r="M1308" s="10" t="inlineStr">
        <is>
          <t>看護専攻科は096-354-2337</t>
        </is>
      </c>
      <c r="N1308" s="11" t="inlineStr">
        <is>
          <t>https://kasumigakuen.ac.jp/pages/248/</t>
        </is>
      </c>
      <c r="O1308" s="12" t="inlineStr">
        <is>
          <t>開く</t>
        </is>
      </c>
    </row>
    <row r="1309">
      <c r="A1309" s="4" t="n">
        <v>1305</v>
      </c>
      <c r="B1309" s="5" t="inlineStr">
        <is>
          <t>熊本県</t>
        </is>
      </c>
      <c r="C1309" s="5" t="inlineStr">
        <is>
          <t>熊本市東区</t>
        </is>
      </c>
      <c r="D1309" s="5" t="inlineStr">
        <is>
          <t>熊本マリスト学園高等学校</t>
        </is>
      </c>
      <c r="E1309" s="6" t="inlineStr">
        <is>
          <t>096-368-2131</t>
        </is>
      </c>
      <c r="F1309" s="7" t="inlineStr">
        <is>
          <t>高</t>
        </is>
      </c>
      <c r="G1309" s="5" t="inlineStr">
        <is>
          <t>普通科</t>
        </is>
      </c>
      <c r="H1309" s="8" t="n"/>
      <c r="I1309" s="9" t="n"/>
      <c r="J1309" s="9" t="inlineStr">
        <is>
          <t>未架電</t>
        </is>
      </c>
      <c r="K1309" s="8" t="n"/>
      <c r="L1309" s="9" t="n"/>
      <c r="M1309" s="10" t="inlineStr">
        <is>
          <t>中高共通番号</t>
        </is>
      </c>
      <c r="N1309" s="11" t="inlineStr">
        <is>
          <t>https://www.marist.ed.jp/</t>
        </is>
      </c>
      <c r="O1309" s="12" t="inlineStr">
        <is>
          <t>開く</t>
        </is>
      </c>
    </row>
    <row r="1310">
      <c r="A1310" s="4" t="n">
        <v>1306</v>
      </c>
      <c r="B1310" s="5" t="inlineStr">
        <is>
          <t>熊本県</t>
        </is>
      </c>
      <c r="C1310" s="5" t="inlineStr">
        <is>
          <t>熊本市中央区</t>
        </is>
      </c>
      <c r="D1310" s="5" t="inlineStr">
        <is>
          <t>慶誠高等学校</t>
        </is>
      </c>
      <c r="E1310" s="6" t="inlineStr">
        <is>
          <t>096-366-0128</t>
        </is>
      </c>
      <c r="F1310" s="7" t="inlineStr">
        <is>
          <t>高</t>
        </is>
      </c>
      <c r="G1310" s="5" t="inlineStr">
        <is>
          <t>普通科・専門学科</t>
        </is>
      </c>
      <c r="H1310" s="8" t="n"/>
      <c r="I1310" s="9" t="n"/>
      <c r="J1310" s="9" t="inlineStr">
        <is>
          <t>未架電</t>
        </is>
      </c>
      <c r="K1310" s="8" t="n"/>
      <c r="L1310" s="9" t="n"/>
      <c r="M1310" s="10" t="n"/>
      <c r="N1310" s="11" t="inlineStr">
        <is>
          <t>https://keisei-h.ed.jp/</t>
        </is>
      </c>
      <c r="O1310" s="12" t="inlineStr">
        <is>
          <t>開く</t>
        </is>
      </c>
    </row>
    <row r="1311">
      <c r="A1311" s="4" t="n">
        <v>1307</v>
      </c>
      <c r="B1311" s="5" t="inlineStr">
        <is>
          <t>熊本県</t>
        </is>
      </c>
      <c r="C1311" s="5" t="inlineStr">
        <is>
          <t>八代市</t>
        </is>
      </c>
      <c r="D1311" s="5" t="inlineStr">
        <is>
          <t>秀岳館高等学校</t>
        </is>
      </c>
      <c r="E1311" s="6" t="inlineStr">
        <is>
          <t>0965-33-5134</t>
        </is>
      </c>
      <c r="F1311" s="7" t="inlineStr">
        <is>
          <t>高</t>
        </is>
      </c>
      <c r="G1311" s="5" t="inlineStr">
        <is>
          <t>普通科・専門学科</t>
        </is>
      </c>
      <c r="H1311" s="8" t="n"/>
      <c r="I1311" s="9" t="n"/>
      <c r="J1311" s="9" t="inlineStr">
        <is>
          <t>未架電</t>
        </is>
      </c>
      <c r="K1311" s="8" t="n"/>
      <c r="L1311" s="9" t="n"/>
      <c r="M1311" s="10" t="n"/>
      <c r="N1311" s="11" t="inlineStr">
        <is>
          <t>https://syugakukan.ed.jp/</t>
        </is>
      </c>
      <c r="O1311" s="12" t="inlineStr">
        <is>
          <t>開く</t>
        </is>
      </c>
    </row>
    <row r="1312">
      <c r="A1312" s="4" t="n">
        <v>1308</v>
      </c>
      <c r="B1312" s="5" t="inlineStr">
        <is>
          <t>熊本県</t>
        </is>
      </c>
      <c r="C1312" s="5" t="inlineStr">
        <is>
          <t>熊本市中央区</t>
        </is>
      </c>
      <c r="D1312" s="5" t="inlineStr">
        <is>
          <t>尚絅高等学校</t>
        </is>
      </c>
      <c r="E1312" s="6" t="inlineStr">
        <is>
          <t>096-366-0295</t>
        </is>
      </c>
      <c r="F1312" s="7" t="inlineStr">
        <is>
          <t>高</t>
        </is>
      </c>
      <c r="G1312" s="5" t="inlineStr">
        <is>
          <t>普通科</t>
        </is>
      </c>
      <c r="H1312" s="8" t="n"/>
      <c r="I1312" s="9" t="n"/>
      <c r="J1312" s="9" t="inlineStr">
        <is>
          <t>未架電</t>
        </is>
      </c>
      <c r="K1312" s="8" t="n"/>
      <c r="L1312" s="9" t="n"/>
      <c r="M1312" s="10" t="inlineStr">
        <is>
          <t>中高共通。学園事務局は096-364-0116</t>
        </is>
      </c>
      <c r="N1312" s="11" t="inlineStr">
        <is>
          <t>https://www.shokei-gakuen.ac.jp/jh-hs/contacts/</t>
        </is>
      </c>
      <c r="O1312" s="12" t="inlineStr">
        <is>
          <t>開く</t>
        </is>
      </c>
    </row>
    <row r="1313">
      <c r="A1313" s="4" t="n">
        <v>1309</v>
      </c>
      <c r="B1313" s="5" t="inlineStr">
        <is>
          <t>熊本県</t>
        </is>
      </c>
      <c r="C1313" s="5" t="inlineStr">
        <is>
          <t>熊本市中央区</t>
        </is>
      </c>
      <c r="D1313" s="5" t="inlineStr">
        <is>
          <t>真和高等学校</t>
        </is>
      </c>
      <c r="E1313" s="6" t="inlineStr">
        <is>
          <t>096-364-8176</t>
        </is>
      </c>
      <c r="F1313" s="7" t="inlineStr">
        <is>
          <t>高</t>
        </is>
      </c>
      <c r="G1313" s="5" t="inlineStr">
        <is>
          <t>普通科</t>
        </is>
      </c>
      <c r="H1313" s="8" t="n"/>
      <c r="I1313" s="9" t="n"/>
      <c r="J1313" s="9" t="inlineStr">
        <is>
          <t>未架電</t>
        </is>
      </c>
      <c r="K1313" s="8" t="n"/>
      <c r="L1313" s="9" t="n"/>
      <c r="M1313" s="10" t="inlineStr">
        <is>
          <t>鎮西高校と同じ番号（鎮西学園の受付）。職員室096-366-6177の掲載もあり</t>
        </is>
      </c>
      <c r="N1313" s="11" t="inlineStr">
        <is>
          <t>https://www.shinwa.ed.jp/list00527.html</t>
        </is>
      </c>
      <c r="O1313" s="12" t="inlineStr">
        <is>
          <t>開く</t>
        </is>
      </c>
    </row>
    <row r="1314">
      <c r="A1314" s="4" t="n">
        <v>1310</v>
      </c>
      <c r="B1314" s="5" t="inlineStr">
        <is>
          <t>熊本県</t>
        </is>
      </c>
      <c r="C1314" s="5" t="inlineStr">
        <is>
          <t>山鹿市</t>
        </is>
      </c>
      <c r="D1314" s="5" t="inlineStr">
        <is>
          <t>城北高等学校（熊本県）</t>
        </is>
      </c>
      <c r="E1314" s="6" t="inlineStr">
        <is>
          <t>0968-44-8111</t>
        </is>
      </c>
      <c r="F1314" s="7" t="inlineStr">
        <is>
          <t>高</t>
        </is>
      </c>
      <c r="G1314" s="5" t="inlineStr">
        <is>
          <t>普通科・専門学科</t>
        </is>
      </c>
      <c r="H1314" s="8" t="n"/>
      <c r="I1314" s="9" t="n"/>
      <c r="J1314" s="9" t="inlineStr">
        <is>
          <t>未架電</t>
        </is>
      </c>
      <c r="K1314" s="8" t="n"/>
      <c r="L1314" s="9" t="n"/>
      <c r="M1314" s="10" t="n"/>
      <c r="N1314" s="11" t="inlineStr">
        <is>
          <t>https://johoku-hs.ed.jp/contact/</t>
        </is>
      </c>
      <c r="O1314" s="12" t="inlineStr">
        <is>
          <t>開く</t>
        </is>
      </c>
    </row>
    <row r="1315">
      <c r="A1315" s="4" t="n">
        <v>1311</v>
      </c>
      <c r="B1315" s="5" t="inlineStr">
        <is>
          <t>熊本県</t>
        </is>
      </c>
      <c r="C1315" s="5" t="inlineStr">
        <is>
          <t>玉名市</t>
        </is>
      </c>
      <c r="D1315" s="5" t="inlineStr">
        <is>
          <t>専修大学熊本玉名高等学校</t>
        </is>
      </c>
      <c r="E1315" s="6" t="inlineStr">
        <is>
          <t>0968-72-4151</t>
        </is>
      </c>
      <c r="F1315" s="7" t="inlineStr">
        <is>
          <t>高</t>
        </is>
      </c>
      <c r="G1315" s="5" t="inlineStr">
        <is>
          <t>普通科・専門学科</t>
        </is>
      </c>
      <c r="H1315" s="8" t="n"/>
      <c r="I1315" s="9" t="n"/>
      <c r="J1315" s="9" t="inlineStr">
        <is>
          <t>未架電</t>
        </is>
      </c>
      <c r="K1315" s="8" t="n"/>
      <c r="L1315" s="9" t="n"/>
      <c r="M1315" s="10" t="n"/>
      <c r="N1315" s="11" t="inlineStr">
        <is>
          <t>http://www.senshu.ac.jp/access</t>
        </is>
      </c>
      <c r="O1315" s="12" t="inlineStr">
        <is>
          <t>開く</t>
        </is>
      </c>
    </row>
    <row r="1316">
      <c r="A1316" s="4" t="n">
        <v>1312</v>
      </c>
      <c r="B1316" s="5" t="inlineStr">
        <is>
          <t>熊本県</t>
        </is>
      </c>
      <c r="C1316" s="5" t="inlineStr">
        <is>
          <t>玉名市</t>
        </is>
      </c>
      <c r="D1316" s="5" t="inlineStr">
        <is>
          <t>玉名女子高等学校</t>
        </is>
      </c>
      <c r="E1316" s="6" t="inlineStr">
        <is>
          <t>0968-72-5161</t>
        </is>
      </c>
      <c r="F1316" s="7" t="inlineStr">
        <is>
          <t>高</t>
        </is>
      </c>
      <c r="G1316" s="5" t="inlineStr">
        <is>
          <t>普通科・専門学科</t>
        </is>
      </c>
      <c r="H1316" s="8" t="n"/>
      <c r="I1316" s="9" t="n"/>
      <c r="J1316" s="9" t="inlineStr">
        <is>
          <t>未架電</t>
        </is>
      </c>
      <c r="K1316" s="8" t="n"/>
      <c r="L1316" s="9" t="n"/>
      <c r="M1316" s="10" t="n"/>
      <c r="N1316" s="11" t="inlineStr">
        <is>
          <t>http://www.tamanajoshi-h.ed.jp/</t>
        </is>
      </c>
      <c r="O1316" s="12" t="inlineStr">
        <is>
          <t>開く</t>
        </is>
      </c>
    </row>
    <row r="1317">
      <c r="A1317" s="4" t="n">
        <v>1313</v>
      </c>
      <c r="B1317" s="5" t="inlineStr">
        <is>
          <t>熊本県</t>
        </is>
      </c>
      <c r="C1317" s="5" t="inlineStr">
        <is>
          <t>熊本市中央区</t>
        </is>
      </c>
      <c r="D1317" s="5" t="inlineStr">
        <is>
          <t>鎮西高等学校</t>
        </is>
      </c>
      <c r="E1317" s="6" t="inlineStr">
        <is>
          <t>096-364-8176</t>
        </is>
      </c>
      <c r="F1317" s="7" t="inlineStr">
        <is>
          <t>高</t>
        </is>
      </c>
      <c r="G1317" s="5" t="inlineStr">
        <is>
          <t>普通科</t>
        </is>
      </c>
      <c r="H1317" s="8" t="n"/>
      <c r="I1317" s="9" t="n"/>
      <c r="J1317" s="9" t="inlineStr">
        <is>
          <t>未架電</t>
        </is>
      </c>
      <c r="K1317" s="8" t="n"/>
      <c r="L1317" s="9" t="n"/>
      <c r="M1317" s="10" t="inlineStr">
        <is>
          <t>真和中高と同じ番号（鎮西学園）</t>
        </is>
      </c>
      <c r="N1317" s="11" t="inlineStr">
        <is>
          <t>http://www.chinzei.ed.jp/index.html</t>
        </is>
      </c>
      <c r="O1317" s="12" t="inlineStr">
        <is>
          <t>開く</t>
        </is>
      </c>
    </row>
    <row r="1318">
      <c r="A1318" s="4" t="n">
        <v>1314</v>
      </c>
      <c r="B1318" s="5" t="inlineStr">
        <is>
          <t>熊本県</t>
        </is>
      </c>
      <c r="C1318" s="5" t="inlineStr">
        <is>
          <t>熊本市東区</t>
        </is>
      </c>
      <c r="D1318" s="5" t="inlineStr">
        <is>
          <t>東海大学付属熊本星翔高等学校</t>
        </is>
      </c>
      <c r="E1318" s="6" t="inlineStr">
        <is>
          <t>096-382-1146</t>
        </is>
      </c>
      <c r="F1318" s="7" t="inlineStr">
        <is>
          <t>高</t>
        </is>
      </c>
      <c r="G1318" s="5" t="inlineStr">
        <is>
          <t>普通科</t>
        </is>
      </c>
      <c r="H1318" s="8" t="n"/>
      <c r="I1318" s="9" t="n"/>
      <c r="J1318" s="9" t="inlineStr">
        <is>
          <t>未架電</t>
        </is>
      </c>
      <c r="K1318" s="8" t="n"/>
      <c r="L1318" s="9" t="n"/>
      <c r="M1318" s="10" t="n"/>
      <c r="N1318" s="11" t="inlineStr">
        <is>
          <t>https://www.seisho.tokai.ed.jp/access/</t>
        </is>
      </c>
      <c r="O1318" s="12" t="inlineStr">
        <is>
          <t>開く</t>
        </is>
      </c>
    </row>
    <row r="1319">
      <c r="A1319" s="4" t="n">
        <v>1315</v>
      </c>
      <c r="B1319" s="5" t="inlineStr">
        <is>
          <t>熊本県</t>
        </is>
      </c>
      <c r="C1319" s="5" t="inlineStr">
        <is>
          <t>山都町</t>
        </is>
      </c>
      <c r="D1319" s="5" t="inlineStr">
        <is>
          <t>一ツ葉高等学校</t>
        </is>
      </c>
      <c r="E1319" s="6" t="inlineStr">
        <is>
          <t>0967-72-3344</t>
        </is>
      </c>
      <c r="F1319" s="7" t="inlineStr">
        <is>
          <t>高</t>
        </is>
      </c>
      <c r="G1319" s="5" t="inlineStr">
        <is>
          <t>普通科</t>
        </is>
      </c>
      <c r="H1319" s="8" t="n"/>
      <c r="I1319" s="9" t="n"/>
      <c r="J1319" s="9" t="inlineStr">
        <is>
          <t>未架電</t>
        </is>
      </c>
      <c r="K1319" s="8" t="n"/>
      <c r="L1319" s="9" t="n"/>
      <c r="M1319" s="10" t="inlineStr">
        <is>
          <t>通信制・山都町の本校。フリーダイヤル0120-277-128</t>
        </is>
      </c>
      <c r="N1319" s="11" t="inlineStr">
        <is>
          <t>https://www.hitotsuba.ed.jp/campus/principal/</t>
        </is>
      </c>
      <c r="O1319" s="12" t="inlineStr">
        <is>
          <t>開く</t>
        </is>
      </c>
    </row>
    <row r="1320">
      <c r="A1320" s="4" t="n">
        <v>1316</v>
      </c>
      <c r="B1320" s="5" t="inlineStr">
        <is>
          <t>熊本県</t>
        </is>
      </c>
      <c r="C1320" s="5" t="inlineStr">
        <is>
          <t>熊本市西区</t>
        </is>
      </c>
      <c r="D1320" s="5" t="inlineStr">
        <is>
          <t>文徳高等学校</t>
        </is>
      </c>
      <c r="E1320" s="6" t="inlineStr">
        <is>
          <t>096-354-6416</t>
        </is>
      </c>
      <c r="F1320" s="7" t="inlineStr">
        <is>
          <t>高</t>
        </is>
      </c>
      <c r="G1320" s="5" t="inlineStr">
        <is>
          <t>普通科・専門学科</t>
        </is>
      </c>
      <c r="H1320" s="8" t="n"/>
      <c r="I1320" s="9" t="n"/>
      <c r="J1320" s="9" t="inlineStr">
        <is>
          <t>未架電</t>
        </is>
      </c>
      <c r="K1320" s="8" t="n"/>
      <c r="L1320" s="9" t="n"/>
      <c r="M1320" s="10" t="inlineStr">
        <is>
          <t>文徳中学校は096-323-6677</t>
        </is>
      </c>
      <c r="N1320" s="11" t="inlineStr">
        <is>
          <t>https://www.buntoku-h.ed.jp/buntoku/access/</t>
        </is>
      </c>
      <c r="O1320" s="12" t="inlineStr">
        <is>
          <t>開く</t>
        </is>
      </c>
    </row>
    <row r="1321">
      <c r="A1321" s="4" t="n">
        <v>1317</v>
      </c>
      <c r="B1321" s="5" t="inlineStr">
        <is>
          <t>熊本県</t>
        </is>
      </c>
      <c r="C1321" s="5" t="inlineStr">
        <is>
          <t>八代市</t>
        </is>
      </c>
      <c r="D1321" s="5" t="inlineStr">
        <is>
          <t>八代白百合学園高等学校</t>
        </is>
      </c>
      <c r="E1321" s="6" t="inlineStr">
        <is>
          <t>0965-32-2354</t>
        </is>
      </c>
      <c r="F1321" s="7" t="inlineStr">
        <is>
          <t>高</t>
        </is>
      </c>
      <c r="G1321" s="5" t="inlineStr">
        <is>
          <t>普通科</t>
        </is>
      </c>
      <c r="H1321" s="8" t="n"/>
      <c r="I1321" s="9" t="n"/>
      <c r="J1321" s="9" t="inlineStr">
        <is>
          <t>未架電</t>
        </is>
      </c>
      <c r="K1321" s="8" t="n"/>
      <c r="L1321" s="9" t="n"/>
      <c r="M1321" s="10" t="n"/>
      <c r="N1321" s="11" t="inlineStr">
        <is>
          <t>https://yatsushiro-shirayuri.ed.jp/</t>
        </is>
      </c>
      <c r="O1321" s="12" t="inlineStr">
        <is>
          <t>開く</t>
        </is>
      </c>
    </row>
    <row r="1322">
      <c r="A1322" s="4" t="n">
        <v>1318</v>
      </c>
      <c r="B1322" s="5" t="inlineStr">
        <is>
          <t>熊本県</t>
        </is>
      </c>
      <c r="C1322" s="5" t="inlineStr">
        <is>
          <t>天草市</t>
        </is>
      </c>
      <c r="D1322" s="5" t="inlineStr">
        <is>
          <t>勇志国際高等学校</t>
        </is>
      </c>
      <c r="E1322" s="6" t="inlineStr">
        <is>
          <t>0969-67-3911</t>
        </is>
      </c>
      <c r="F1322" s="13" t="inlineStr">
        <is>
          <t>中</t>
        </is>
      </c>
      <c r="G1322" s="5" t="inlineStr">
        <is>
          <t>普通科</t>
        </is>
      </c>
      <c r="H1322" s="8" t="n"/>
      <c r="I1322" s="9" t="n"/>
      <c r="J1322" s="9" t="inlineStr">
        <is>
          <t>未架電</t>
        </is>
      </c>
      <c r="K1322" s="8" t="n"/>
      <c r="L1322" s="9" t="n"/>
      <c r="M1322" s="10" t="inlineStr">
        <is>
          <t>通信制・天草市の本校。現公式はフリーダイヤル0120-593-135を案内</t>
        </is>
      </c>
      <c r="N1322" s="11" t="inlineStr">
        <is>
          <t>https://zba.jp/tsushin-highschool/schools/detail-yushikokusai/pref-43/</t>
        </is>
      </c>
      <c r="O1322" s="12" t="inlineStr">
        <is>
          <t>開く</t>
        </is>
      </c>
    </row>
    <row r="1323">
      <c r="A1323" s="4" t="n">
        <v>1319</v>
      </c>
      <c r="B1323" s="5" t="inlineStr">
        <is>
          <t>熊本県</t>
        </is>
      </c>
      <c r="C1323" s="5" t="inlineStr">
        <is>
          <t>熊本市中央区</t>
        </is>
      </c>
      <c r="D1323" s="5" t="inlineStr">
        <is>
          <t>ルーテル学院高等学校</t>
        </is>
      </c>
      <c r="E1323" s="6" t="inlineStr">
        <is>
          <t>096-343-3246</t>
        </is>
      </c>
      <c r="F1323" s="7" t="inlineStr">
        <is>
          <t>高</t>
        </is>
      </c>
      <c r="G1323" s="5" t="inlineStr">
        <is>
          <t>普通科</t>
        </is>
      </c>
      <c r="H1323" s="8" t="n"/>
      <c r="I1323" s="9" t="n"/>
      <c r="J1323" s="9" t="inlineStr">
        <is>
          <t>未架電</t>
        </is>
      </c>
      <c r="K1323" s="8" t="n"/>
      <c r="L1323" s="9" t="n"/>
      <c r="M1323" s="10" t="inlineStr">
        <is>
          <t>中高共通。法人事務局は096-343-3111</t>
        </is>
      </c>
      <c r="N1323" s="11" t="inlineStr">
        <is>
          <t>https://luther.ed.jp/</t>
        </is>
      </c>
      <c r="O1323" s="12" t="inlineStr">
        <is>
          <t>開く</t>
        </is>
      </c>
    </row>
    <row r="1324">
      <c r="A1324" s="4" t="n">
        <v>1320</v>
      </c>
      <c r="B1324" s="5" t="inlineStr">
        <is>
          <t>大分県</t>
        </is>
      </c>
      <c r="C1324" s="5" t="inlineStr">
        <is>
          <t>竹田市</t>
        </is>
      </c>
      <c r="D1324" s="5" t="inlineStr">
        <is>
          <t>稲葉学園高等学校</t>
        </is>
      </c>
      <c r="E1324" s="6" t="inlineStr">
        <is>
          <t>0974-63-3223</t>
        </is>
      </c>
      <c r="F1324" s="7" t="inlineStr">
        <is>
          <t>高</t>
        </is>
      </c>
      <c r="G1324" s="5" t="inlineStr">
        <is>
          <t>普通科</t>
        </is>
      </c>
      <c r="H1324" s="8" t="n"/>
      <c r="I1324" s="9" t="n"/>
      <c r="J1324" s="9" t="inlineStr">
        <is>
          <t>未架電</t>
        </is>
      </c>
      <c r="K1324" s="8" t="n"/>
      <c r="L1324" s="9" t="n"/>
      <c r="M1324" s="10" t="inlineStr">
        <is>
          <t>旧・竹田南高等学校。NAVITIMEは0974-63-3613を掲載</t>
        </is>
      </c>
      <c r="N1324" s="11" t="inlineStr">
        <is>
          <t>https://inabagakuen.jp/access/</t>
        </is>
      </c>
      <c r="O1324" s="12" t="inlineStr">
        <is>
          <t>開く</t>
        </is>
      </c>
    </row>
    <row r="1325">
      <c r="A1325" s="4" t="n">
        <v>1321</v>
      </c>
      <c r="B1325" s="5" t="inlineStr">
        <is>
          <t>大分県</t>
        </is>
      </c>
      <c r="C1325" s="5" t="inlineStr">
        <is>
          <t>大分市</t>
        </is>
      </c>
      <c r="D1325" s="5" t="inlineStr">
        <is>
          <t>岩田高等学校</t>
        </is>
      </c>
      <c r="E1325" s="6" t="inlineStr">
        <is>
          <t>097-558-3007</t>
        </is>
      </c>
      <c r="F1325" s="7" t="inlineStr">
        <is>
          <t>高</t>
        </is>
      </c>
      <c r="G1325" s="5" t="inlineStr">
        <is>
          <t>普通科</t>
        </is>
      </c>
      <c r="H1325" s="8" t="n"/>
      <c r="I1325" s="9" t="n"/>
      <c r="J1325" s="9" t="inlineStr">
        <is>
          <t>未架電</t>
        </is>
      </c>
      <c r="K1325" s="8" t="n"/>
      <c r="L1325" s="9" t="n"/>
      <c r="M1325" s="10" t="inlineStr">
        <is>
          <t>中高共通番号</t>
        </is>
      </c>
      <c r="N1325" s="11" t="inlineStr">
        <is>
          <t>https://www.iwata.ed.jp/menu2-6.html</t>
        </is>
      </c>
      <c r="O1325" s="12" t="inlineStr">
        <is>
          <t>開く</t>
        </is>
      </c>
    </row>
    <row r="1326">
      <c r="A1326" s="4" t="n">
        <v>1322</v>
      </c>
      <c r="B1326" s="5" t="inlineStr">
        <is>
          <t>大分県</t>
        </is>
      </c>
      <c r="C1326" s="5" t="inlineStr">
        <is>
          <t>大分市</t>
        </is>
      </c>
      <c r="D1326" s="5" t="inlineStr">
        <is>
          <t>大分高等学校</t>
        </is>
      </c>
      <c r="E1326" s="6" t="inlineStr">
        <is>
          <t>097-551-1101</t>
        </is>
      </c>
      <c r="F1326" s="7" t="inlineStr">
        <is>
          <t>高</t>
        </is>
      </c>
      <c r="G1326" s="5" t="inlineStr">
        <is>
          <t>普通科・専門学科</t>
        </is>
      </c>
      <c r="H1326" s="8" t="n"/>
      <c r="I1326" s="9" t="n"/>
      <c r="J1326" s="9" t="inlineStr">
        <is>
          <t>未架電</t>
        </is>
      </c>
      <c r="K1326" s="8" t="n"/>
      <c r="L1326" s="9" t="n"/>
      <c r="M1326" s="10" t="inlineStr">
        <is>
          <t>大分中学校を併設</t>
        </is>
      </c>
      <c r="N1326" s="11" t="inlineStr">
        <is>
          <t>http://www.oita-h.ed.jp/about/access.php</t>
        </is>
      </c>
      <c r="O1326" s="12" t="inlineStr">
        <is>
          <t>開く</t>
        </is>
      </c>
    </row>
    <row r="1327">
      <c r="A1327" s="4" t="n">
        <v>1323</v>
      </c>
      <c r="B1327" s="5" t="inlineStr">
        <is>
          <t>大分県</t>
        </is>
      </c>
      <c r="C1327" s="5" t="inlineStr">
        <is>
          <t>大分市</t>
        </is>
      </c>
      <c r="D1327" s="5" t="inlineStr">
        <is>
          <t>大分国際情報高等学校</t>
        </is>
      </c>
      <c r="E1327" s="6" t="inlineStr">
        <is>
          <t>097-558-3734</t>
        </is>
      </c>
      <c r="F1327" s="7" t="inlineStr">
        <is>
          <t>高</t>
        </is>
      </c>
      <c r="G1327" s="5" t="inlineStr">
        <is>
          <t>普通科</t>
        </is>
      </c>
      <c r="H1327" s="8" t="n"/>
      <c r="I1327" s="9" t="n"/>
      <c r="J1327" s="9" t="inlineStr">
        <is>
          <t>未架電</t>
        </is>
      </c>
      <c r="K1327" s="8" t="n"/>
      <c r="L1327" s="9" t="n"/>
      <c r="M1327" s="10" t="n"/>
      <c r="N1327" s="11" t="inlineStr">
        <is>
          <t>https://kokujou.ed.jp/school.php</t>
        </is>
      </c>
      <c r="O1327" s="12" t="inlineStr">
        <is>
          <t>開く</t>
        </is>
      </c>
    </row>
    <row r="1328">
      <c r="A1328" s="4" t="n">
        <v>1324</v>
      </c>
      <c r="B1328" s="5" t="inlineStr">
        <is>
          <t>大分県</t>
        </is>
      </c>
      <c r="C1328" s="5" t="inlineStr">
        <is>
          <t>大分市</t>
        </is>
      </c>
      <c r="D1328" s="5" t="inlineStr">
        <is>
          <t>大分東明高等学校</t>
        </is>
      </c>
      <c r="E1328" s="6" t="inlineStr">
        <is>
          <t>097-535-0201</t>
        </is>
      </c>
      <c r="F1328" s="7" t="inlineStr">
        <is>
          <t>高</t>
        </is>
      </c>
      <c r="G1328" s="5" t="inlineStr">
        <is>
          <t>普通科・専門学科</t>
        </is>
      </c>
      <c r="H1328" s="8" t="n"/>
      <c r="I1328" s="9" t="n"/>
      <c r="J1328" s="9" t="inlineStr">
        <is>
          <t>未架電</t>
        </is>
      </c>
      <c r="K1328" s="8" t="n"/>
      <c r="L1328" s="9" t="n"/>
      <c r="M1328" s="10" t="inlineStr">
        <is>
          <t>法人（平松学園）代表と同じ番号</t>
        </is>
      </c>
      <c r="N1328" s="11" t="inlineStr">
        <is>
          <t>https://www.hiramatsu.ac.jp/tomei</t>
        </is>
      </c>
      <c r="O1328" s="12" t="inlineStr">
        <is>
          <t>開く</t>
        </is>
      </c>
    </row>
    <row r="1329">
      <c r="A1329" s="4" t="n">
        <v>1325</v>
      </c>
      <c r="B1329" s="5" t="inlineStr">
        <is>
          <t>大分県</t>
        </is>
      </c>
      <c r="C1329" s="5" t="inlineStr">
        <is>
          <t>日田市</t>
        </is>
      </c>
      <c r="D1329" s="5" t="inlineStr">
        <is>
          <t>昭和学園高等学校</t>
        </is>
      </c>
      <c r="E1329" s="6" t="inlineStr">
        <is>
          <t>0973-22-7420</t>
        </is>
      </c>
      <c r="F1329" s="7" t="inlineStr">
        <is>
          <t>高</t>
        </is>
      </c>
      <c r="G1329" s="5" t="inlineStr">
        <is>
          <t>普通科・専門学科</t>
        </is>
      </c>
      <c r="H1329" s="8" t="n"/>
      <c r="I1329" s="9" t="n"/>
      <c r="J1329" s="9" t="inlineStr">
        <is>
          <t>未架電</t>
        </is>
      </c>
      <c r="K1329" s="8" t="n"/>
      <c r="L1329" s="9" t="n"/>
      <c r="M1329" s="10" t="inlineStr">
        <is>
          <t>事務室番号</t>
        </is>
      </c>
      <c r="N1329" s="11" t="inlineStr">
        <is>
          <t>https://www.showa-h.ed.jp/blank-38</t>
        </is>
      </c>
      <c r="O1329" s="12" t="inlineStr">
        <is>
          <t>開く</t>
        </is>
      </c>
    </row>
    <row r="1330">
      <c r="A1330" s="4" t="n">
        <v>1326</v>
      </c>
      <c r="B1330" s="5" t="inlineStr">
        <is>
          <t>大分県</t>
        </is>
      </c>
      <c r="C1330" s="5" t="inlineStr">
        <is>
          <t>日田市</t>
        </is>
      </c>
      <c r="D1330" s="5" t="inlineStr">
        <is>
          <t>藤蔭高等学校</t>
        </is>
      </c>
      <c r="E1330" s="6" t="inlineStr">
        <is>
          <t>0973-24-2737</t>
        </is>
      </c>
      <c r="F1330" s="7" t="inlineStr">
        <is>
          <t>高</t>
        </is>
      </c>
      <c r="G1330" s="5" t="inlineStr">
        <is>
          <t>普通科・専門学科</t>
        </is>
      </c>
      <c r="H1330" s="8" t="n"/>
      <c r="I1330" s="9" t="n"/>
      <c r="J1330" s="9" t="inlineStr">
        <is>
          <t>未架電</t>
        </is>
      </c>
      <c r="K1330" s="8" t="n"/>
      <c r="L1330" s="9" t="n"/>
      <c r="M1330" s="10" t="inlineStr">
        <is>
          <t>通信制課程は0973-23-6655</t>
        </is>
      </c>
      <c r="N1330" s="11" t="inlineStr">
        <is>
          <t>http://tohin.ac.jp/</t>
        </is>
      </c>
      <c r="O1330" s="12" t="inlineStr">
        <is>
          <t>開く</t>
        </is>
      </c>
    </row>
    <row r="1331">
      <c r="A1331" s="4" t="n">
        <v>1327</v>
      </c>
      <c r="B1331" s="5" t="inlineStr">
        <is>
          <t>大分県</t>
        </is>
      </c>
      <c r="C1331" s="5" t="inlineStr">
        <is>
          <t>佐伯市</t>
        </is>
      </c>
      <c r="D1331" s="5" t="inlineStr">
        <is>
          <t>日本文理大学附属高等学校</t>
        </is>
      </c>
      <c r="E1331" s="6" t="inlineStr">
        <is>
          <t>0972-22-3501</t>
        </is>
      </c>
      <c r="F1331" s="7" t="inlineStr">
        <is>
          <t>高</t>
        </is>
      </c>
      <c r="G1331" s="5" t="inlineStr">
        <is>
          <t>普通科・専門学科</t>
        </is>
      </c>
      <c r="H1331" s="8" t="n"/>
      <c r="I1331" s="9" t="n"/>
      <c r="J1331" s="9" t="inlineStr">
        <is>
          <t>未架電</t>
        </is>
      </c>
      <c r="K1331" s="8" t="n"/>
      <c r="L1331" s="9" t="n"/>
      <c r="M1331" s="10" t="n"/>
      <c r="N1331" s="11" t="inlineStr">
        <is>
          <t>https://www.nbu-h.ed.jp/</t>
        </is>
      </c>
      <c r="O1331" s="12" t="inlineStr">
        <is>
          <t>開く</t>
        </is>
      </c>
    </row>
    <row r="1332">
      <c r="A1332" s="4" t="n">
        <v>1328</v>
      </c>
      <c r="B1332" s="5" t="inlineStr">
        <is>
          <t>大分県</t>
        </is>
      </c>
      <c r="C1332" s="5" t="inlineStr">
        <is>
          <t>中津市</t>
        </is>
      </c>
      <c r="D1332" s="5" t="inlineStr">
        <is>
          <t>東九州龍谷高等学校</t>
        </is>
      </c>
      <c r="E1332" s="6" t="inlineStr">
        <is>
          <t>0979-22-0416</t>
        </is>
      </c>
      <c r="F1332" s="7" t="inlineStr">
        <is>
          <t>高</t>
        </is>
      </c>
      <c r="G1332" s="5" t="inlineStr">
        <is>
          <t>普通科・専門学科</t>
        </is>
      </c>
      <c r="H1332" s="8" t="n"/>
      <c r="I1332" s="9" t="n"/>
      <c r="J1332" s="9" t="inlineStr">
        <is>
          <t>未架電</t>
        </is>
      </c>
      <c r="K1332" s="8" t="n"/>
      <c r="L1332" s="9" t="n"/>
      <c r="M1332" s="10" t="inlineStr">
        <is>
          <t>事務室番号。職員室は0979-22-2555</t>
        </is>
      </c>
      <c r="N1332" s="11" t="inlineStr">
        <is>
          <t>https://hk-ryukoku.ed.jp/</t>
        </is>
      </c>
      <c r="O1332" s="12" t="inlineStr">
        <is>
          <t>開く</t>
        </is>
      </c>
    </row>
    <row r="1333">
      <c r="A1333" s="4" t="n">
        <v>1329</v>
      </c>
      <c r="B1333" s="5" t="inlineStr">
        <is>
          <t>大分県</t>
        </is>
      </c>
      <c r="C1333" s="5" t="inlineStr">
        <is>
          <t>大分市</t>
        </is>
      </c>
      <c r="D1333" s="5" t="inlineStr">
        <is>
          <t>福徳学院高等学校</t>
        </is>
      </c>
      <c r="E1333" s="6" t="inlineStr">
        <is>
          <t>097-544-3551</t>
        </is>
      </c>
      <c r="F1333" s="7" t="inlineStr">
        <is>
          <t>高</t>
        </is>
      </c>
      <c r="G1333" s="5" t="inlineStr">
        <is>
          <t>普通科・専門学科</t>
        </is>
      </c>
      <c r="H1333" s="8" t="n"/>
      <c r="I1333" s="9" t="n"/>
      <c r="J1333" s="9" t="inlineStr">
        <is>
          <t>未架電</t>
        </is>
      </c>
      <c r="K1333" s="8" t="n"/>
      <c r="L1333" s="9" t="n"/>
      <c r="M1333" s="10" t="n"/>
      <c r="N1333" s="11" t="inlineStr">
        <is>
          <t>https://fukutoku.ed.jp/access/</t>
        </is>
      </c>
      <c r="O1333" s="12" t="inlineStr">
        <is>
          <t>開く</t>
        </is>
      </c>
    </row>
    <row r="1334">
      <c r="A1334" s="4" t="n">
        <v>1330</v>
      </c>
      <c r="B1334" s="5" t="inlineStr">
        <is>
          <t>大分県</t>
        </is>
      </c>
      <c r="C1334" s="5" t="inlineStr">
        <is>
          <t>別府市</t>
        </is>
      </c>
      <c r="D1334" s="5" t="inlineStr">
        <is>
          <t>別府溝部学園高等学校</t>
        </is>
      </c>
      <c r="E1334" s="6" t="inlineStr">
        <is>
          <t>0977-67-6908</t>
        </is>
      </c>
      <c r="F1334" s="7" t="inlineStr">
        <is>
          <t>高</t>
        </is>
      </c>
      <c r="G1334" s="5" t="inlineStr">
        <is>
          <t>普通科・専門学科</t>
        </is>
      </c>
      <c r="H1334" s="8" t="n"/>
      <c r="I1334" s="9" t="n"/>
      <c r="J1334" s="9" t="inlineStr">
        <is>
          <t>未架電</t>
        </is>
      </c>
      <c r="K1334" s="8" t="n"/>
      <c r="L1334" s="9" t="n"/>
      <c r="M1334" s="10" t="inlineStr">
        <is>
          <t>電話帳サイトは0977-66-0224（短大と同番号）を掲載</t>
        </is>
      </c>
      <c r="N1334" s="11" t="inlineStr">
        <is>
          <t>https://www.mizobe-h.ed.jp/about</t>
        </is>
      </c>
      <c r="O1334" s="12" t="inlineStr">
        <is>
          <t>開く</t>
        </is>
      </c>
    </row>
    <row r="1335">
      <c r="A1335" s="4" t="n">
        <v>1331</v>
      </c>
      <c r="B1335" s="5" t="inlineStr">
        <is>
          <t>大分県</t>
        </is>
      </c>
      <c r="C1335" s="5" t="inlineStr">
        <is>
          <t>別府市</t>
        </is>
      </c>
      <c r="D1335" s="5" t="inlineStr">
        <is>
          <t>明豊高等学校</t>
        </is>
      </c>
      <c r="E1335" s="6" t="inlineStr">
        <is>
          <t>0977-27-3311</t>
        </is>
      </c>
      <c r="F1335" s="7" t="inlineStr">
        <is>
          <t>高</t>
        </is>
      </c>
      <c r="G1335" s="5" t="inlineStr">
        <is>
          <t>普通科・専門学科</t>
        </is>
      </c>
      <c r="H1335" s="8" t="n"/>
      <c r="I1335" s="9" t="n"/>
      <c r="J1335" s="9" t="inlineStr">
        <is>
          <t>未架電</t>
        </is>
      </c>
      <c r="K1335" s="8" t="n"/>
      <c r="L1335" s="9" t="n"/>
      <c r="M1335" s="10" t="n"/>
      <c r="N1335" s="11" t="inlineStr">
        <is>
          <t>https://meiho-beppu.jp/access/</t>
        </is>
      </c>
      <c r="O1335" s="12" t="inlineStr">
        <is>
          <t>開く</t>
        </is>
      </c>
    </row>
    <row r="1336">
      <c r="A1336" s="4" t="n">
        <v>1332</v>
      </c>
      <c r="B1336" s="5" t="inlineStr">
        <is>
          <t>大分県</t>
        </is>
      </c>
      <c r="C1336" s="5" t="inlineStr">
        <is>
          <t>宇佐市</t>
        </is>
      </c>
      <c r="D1336" s="5" t="inlineStr">
        <is>
          <t>柳ケ浦高等学校</t>
        </is>
      </c>
      <c r="E1336" s="6" t="inlineStr">
        <is>
          <t>0978-38-0033</t>
        </is>
      </c>
      <c r="F1336" s="7" t="inlineStr">
        <is>
          <t>高</t>
        </is>
      </c>
      <c r="G1336" s="5" t="inlineStr">
        <is>
          <t>普通科・専門学科</t>
        </is>
      </c>
      <c r="H1336" s="8" t="n"/>
      <c r="I1336" s="9" t="n"/>
      <c r="J1336" s="9" t="inlineStr">
        <is>
          <t>未架電</t>
        </is>
      </c>
      <c r="K1336" s="8" t="n"/>
      <c r="L1336" s="9" t="n"/>
      <c r="M1336" s="10" t="inlineStr">
        <is>
          <t>公式表記は「柳ヶ浦」</t>
        </is>
      </c>
      <c r="N1336" s="11" t="inlineStr">
        <is>
          <t>https://yanagigaura.ed.jp/pages/1</t>
        </is>
      </c>
      <c r="O1336" s="12" t="inlineStr">
        <is>
          <t>開く</t>
        </is>
      </c>
    </row>
    <row r="1337">
      <c r="A1337" s="4" t="n">
        <v>1333</v>
      </c>
      <c r="B1337" s="5" t="inlineStr">
        <is>
          <t>大分県</t>
        </is>
      </c>
      <c r="C1337" s="5" t="inlineStr">
        <is>
          <t>大分市</t>
        </is>
      </c>
      <c r="D1337" s="5" t="inlineStr">
        <is>
          <t>楊志館高等学校</t>
        </is>
      </c>
      <c r="E1337" s="6" t="inlineStr">
        <is>
          <t>097-543-6711</t>
        </is>
      </c>
      <c r="F1337" s="7" t="inlineStr">
        <is>
          <t>高</t>
        </is>
      </c>
      <c r="G1337" s="5" t="inlineStr">
        <is>
          <t>普通科・専門学科</t>
        </is>
      </c>
      <c r="H1337" s="8" t="n"/>
      <c r="I1337" s="9" t="n"/>
      <c r="J1337" s="9" t="inlineStr">
        <is>
          <t>未架電</t>
        </is>
      </c>
      <c r="K1337" s="8" t="n"/>
      <c r="L1337" s="9" t="n"/>
      <c r="M1337" s="10" t="inlineStr">
        <is>
          <t>法人（後藤学園）のページで確認</t>
        </is>
      </c>
      <c r="N1337" s="11" t="inlineStr">
        <is>
          <t>https://www.gotogakuen.ac.jp/yoshikan</t>
        </is>
      </c>
      <c r="O1337" s="12" t="inlineStr">
        <is>
          <t>開く</t>
        </is>
      </c>
    </row>
    <row r="1338">
      <c r="A1338" s="4" t="n">
        <v>1334</v>
      </c>
      <c r="B1338" s="5" t="inlineStr">
        <is>
          <t>宮崎県</t>
        </is>
      </c>
      <c r="C1338" s="5" t="inlineStr">
        <is>
          <t>三股町</t>
        </is>
      </c>
      <c r="D1338" s="5" t="inlineStr">
        <is>
          <t>櫻美学園高等学校</t>
        </is>
      </c>
      <c r="E1338" s="6" t="inlineStr">
        <is>
          <t>0986-52-1010</t>
        </is>
      </c>
      <c r="F1338" s="7" t="inlineStr">
        <is>
          <t>高</t>
        </is>
      </c>
      <c r="G1338" s="5" t="inlineStr">
        <is>
          <t>普通科・専門学科</t>
        </is>
      </c>
      <c r="H1338" s="8" t="n"/>
      <c r="I1338" s="9" t="n"/>
      <c r="J1338" s="9" t="inlineStr">
        <is>
          <t>未架電</t>
        </is>
      </c>
      <c r="K1338" s="8" t="n"/>
      <c r="L1338" s="9" t="n"/>
      <c r="M1338" s="10" t="inlineStr">
        <is>
          <t>2025年4月に都城東高等学校から校名変更</t>
        </is>
      </c>
      <c r="N1338" s="11" t="inlineStr">
        <is>
          <t>https://oubi.ed.jp/</t>
        </is>
      </c>
      <c r="O1338" s="12" t="inlineStr">
        <is>
          <t>開く</t>
        </is>
      </c>
    </row>
    <row r="1339">
      <c r="A1339" s="4" t="n">
        <v>1335</v>
      </c>
      <c r="B1339" s="5" t="inlineStr">
        <is>
          <t>宮崎県</t>
        </is>
      </c>
      <c r="C1339" s="5" t="inlineStr">
        <is>
          <t>小林市</t>
        </is>
      </c>
      <c r="D1339" s="5" t="inlineStr">
        <is>
          <t>小林西高等学校</t>
        </is>
      </c>
      <c r="E1339" s="6" t="inlineStr">
        <is>
          <t>0984-22-5155</t>
        </is>
      </c>
      <c r="F1339" s="7" t="inlineStr">
        <is>
          <t>高</t>
        </is>
      </c>
      <c r="G1339" s="5" t="inlineStr">
        <is>
          <t>普通科・専門学科</t>
        </is>
      </c>
      <c r="H1339" s="8" t="n"/>
      <c r="I1339" s="9" t="n"/>
      <c r="J1339" s="9" t="inlineStr">
        <is>
          <t>未架電</t>
        </is>
      </c>
      <c r="K1339" s="8" t="n"/>
      <c r="L1339" s="9" t="n"/>
      <c r="M1339" s="10" t="inlineStr">
        <is>
          <t>県サイトとも一致</t>
        </is>
      </c>
      <c r="N1339" s="11" t="inlineStr">
        <is>
          <t>https://www.kobayashi-nishi.net/</t>
        </is>
      </c>
      <c r="O1339" s="12" t="inlineStr">
        <is>
          <t>開く</t>
        </is>
      </c>
    </row>
    <row r="1340">
      <c r="A1340" s="4" t="n">
        <v>1336</v>
      </c>
      <c r="B1340" s="5" t="inlineStr">
        <is>
          <t>宮崎県</t>
        </is>
      </c>
      <c r="C1340" s="5" t="inlineStr">
        <is>
          <t>延岡市</t>
        </is>
      </c>
      <c r="D1340" s="5" t="inlineStr">
        <is>
          <t>聖心ウルスラ学園高等学校</t>
        </is>
      </c>
      <c r="E1340" s="6" t="inlineStr">
        <is>
          <t>0982-33-3472</t>
        </is>
      </c>
      <c r="F1340" s="7" t="inlineStr">
        <is>
          <t>高</t>
        </is>
      </c>
      <c r="G1340" s="5" t="inlineStr">
        <is>
          <t>普通科・専門学科</t>
        </is>
      </c>
      <c r="H1340" s="8" t="n"/>
      <c r="I1340" s="9" t="n"/>
      <c r="J1340" s="9" t="inlineStr">
        <is>
          <t>未架電</t>
        </is>
      </c>
      <c r="K1340" s="8" t="n"/>
      <c r="L1340" s="9" t="n"/>
      <c r="M1340" s="10" t="inlineStr">
        <is>
          <t>電話帳サイトの0982-31-3058は公式と不一致</t>
        </is>
      </c>
      <c r="N1340" s="11" t="inlineStr">
        <is>
          <t>https://ursula.ed.jp/high/</t>
        </is>
      </c>
      <c r="O1340" s="12" t="inlineStr">
        <is>
          <t>開く</t>
        </is>
      </c>
    </row>
    <row r="1341">
      <c r="A1341" s="4" t="n">
        <v>1337</v>
      </c>
      <c r="B1341" s="5" t="inlineStr">
        <is>
          <t>宮崎県</t>
        </is>
      </c>
      <c r="C1341" s="5" t="inlineStr">
        <is>
          <t>日南市</t>
        </is>
      </c>
      <c r="D1341" s="5" t="inlineStr">
        <is>
          <t>日南学園高等学校</t>
        </is>
      </c>
      <c r="E1341" s="6" t="inlineStr">
        <is>
          <t>0987-23-1311</t>
        </is>
      </c>
      <c r="F1341" s="7" t="inlineStr">
        <is>
          <t>高</t>
        </is>
      </c>
      <c r="G1341" s="5" t="inlineStr">
        <is>
          <t>普通科・専門学科</t>
        </is>
      </c>
      <c r="H1341" s="8" t="n"/>
      <c r="I1341" s="9" t="n"/>
      <c r="J1341" s="9" t="inlineStr">
        <is>
          <t>未架電</t>
        </is>
      </c>
      <c r="K1341" s="8" t="n"/>
      <c r="L1341" s="9" t="n"/>
      <c r="M1341" s="10" t="inlineStr">
        <is>
          <t>日南本校の番号</t>
        </is>
      </c>
      <c r="N1341" s="11" t="inlineStr">
        <is>
          <t>https://www.nichigaku-highschool.info/</t>
        </is>
      </c>
      <c r="O1341" s="12" t="inlineStr">
        <is>
          <t>開く</t>
        </is>
      </c>
    </row>
    <row r="1342">
      <c r="A1342" s="4" t="n">
        <v>1338</v>
      </c>
      <c r="B1342" s="5" t="inlineStr">
        <is>
          <t>宮崎県</t>
        </is>
      </c>
      <c r="C1342" s="5" t="inlineStr">
        <is>
          <t>宮崎市</t>
        </is>
      </c>
      <c r="D1342" s="5" t="inlineStr">
        <is>
          <t>日南学園高等学校 宮崎穎学館</t>
        </is>
      </c>
      <c r="E1342" s="6" t="inlineStr">
        <is>
          <t>0985-86-1021</t>
        </is>
      </c>
      <c r="F1342" s="7" t="inlineStr">
        <is>
          <t>高</t>
        </is>
      </c>
      <c r="G1342" s="5" t="inlineStr">
        <is>
          <t>専門学科</t>
        </is>
      </c>
      <c r="H1342" s="8" t="n"/>
      <c r="I1342" s="9" t="n"/>
      <c r="J1342" s="9" t="inlineStr">
        <is>
          <t>未架電</t>
        </is>
      </c>
      <c r="K1342" s="8" t="n"/>
      <c r="L1342" s="9" t="n"/>
      <c r="M1342" s="10" t="inlineStr">
        <is>
          <t>宮崎市田野町の校舎（本校とは別番号）</t>
        </is>
      </c>
      <c r="N1342" s="11" t="inlineStr">
        <is>
          <t>https://www.eigakukan.ed.jp/</t>
        </is>
      </c>
      <c r="O1342" s="12" t="inlineStr">
        <is>
          <t>開く</t>
        </is>
      </c>
    </row>
    <row r="1343">
      <c r="A1343" s="4" t="n">
        <v>1339</v>
      </c>
      <c r="B1343" s="5" t="inlineStr">
        <is>
          <t>宮崎県</t>
        </is>
      </c>
      <c r="C1343" s="5" t="inlineStr">
        <is>
          <t>えびの市</t>
        </is>
      </c>
      <c r="D1343" s="5" t="inlineStr">
        <is>
          <t>日章学園九州国際高等学校</t>
        </is>
      </c>
      <c r="E1343" s="6" t="inlineStr">
        <is>
          <t>0984-35-3500</t>
        </is>
      </c>
      <c r="F1343" s="13" t="inlineStr">
        <is>
          <t>中</t>
        </is>
      </c>
      <c r="G1343" s="5" t="inlineStr">
        <is>
          <t>普通科</t>
        </is>
      </c>
      <c r="H1343" s="8" t="n"/>
      <c r="I1343" s="9" t="n"/>
      <c r="J1343" s="9" t="inlineStr">
        <is>
          <t>未架電</t>
        </is>
      </c>
      <c r="K1343" s="8" t="n"/>
      <c r="L1343" s="9" t="n"/>
      <c r="M1343" s="10" t="inlineStr">
        <is>
          <t>公式未確認。私学協会・学校情報サイトで一致</t>
        </is>
      </c>
      <c r="N1343" s="11" t="inlineStr">
        <is>
          <t>https://www.miyazaki-shigaku.jp/</t>
        </is>
      </c>
      <c r="O1343" s="12" t="inlineStr">
        <is>
          <t>開く</t>
        </is>
      </c>
    </row>
    <row r="1344">
      <c r="A1344" s="4" t="n">
        <v>1340</v>
      </c>
      <c r="B1344" s="5" t="inlineStr">
        <is>
          <t>宮崎県</t>
        </is>
      </c>
      <c r="C1344" s="5" t="inlineStr">
        <is>
          <t>宮崎市</t>
        </is>
      </c>
      <c r="D1344" s="5" t="inlineStr">
        <is>
          <t>日章学園高等学校</t>
        </is>
      </c>
      <c r="E1344" s="6" t="inlineStr">
        <is>
          <t>0985-39-1321</t>
        </is>
      </c>
      <c r="F1344" s="7" t="inlineStr">
        <is>
          <t>高</t>
        </is>
      </c>
      <c r="G1344" s="5" t="inlineStr">
        <is>
          <t>普通科・専門学科</t>
        </is>
      </c>
      <c r="H1344" s="8" t="n"/>
      <c r="I1344" s="9" t="n"/>
      <c r="J1344" s="9" t="inlineStr">
        <is>
          <t>未架電</t>
        </is>
      </c>
      <c r="K1344" s="8" t="n"/>
      <c r="L1344" s="9" t="n"/>
      <c r="M1344" s="10" t="inlineStr">
        <is>
          <t>宮崎市・県サイトとも一致</t>
        </is>
      </c>
      <c r="N1344" s="11" t="inlineStr">
        <is>
          <t>https://nissho.ed.jp/</t>
        </is>
      </c>
      <c r="O1344" s="12" t="inlineStr">
        <is>
          <t>開く</t>
        </is>
      </c>
    </row>
    <row r="1345">
      <c r="A1345" s="4" t="n">
        <v>1341</v>
      </c>
      <c r="B1345" s="5" t="inlineStr">
        <is>
          <t>宮崎県</t>
        </is>
      </c>
      <c r="C1345" s="5" t="inlineStr">
        <is>
          <t>延岡市</t>
        </is>
      </c>
      <c r="D1345" s="5" t="inlineStr">
        <is>
          <t>延岡学園高等学校</t>
        </is>
      </c>
      <c r="E1345" s="6" t="inlineStr">
        <is>
          <t>0982-33-3227</t>
        </is>
      </c>
      <c r="F1345" s="7" t="inlineStr">
        <is>
          <t>高</t>
        </is>
      </c>
      <c r="G1345" s="5" t="inlineStr">
        <is>
          <t>普通科・専門学科</t>
        </is>
      </c>
      <c r="H1345" s="8" t="n"/>
      <c r="I1345" s="9" t="n"/>
      <c r="J1345" s="9" t="inlineStr">
        <is>
          <t>未架電</t>
        </is>
      </c>
      <c r="K1345" s="8" t="n"/>
      <c r="L1345" s="9" t="n"/>
      <c r="M1345" s="10" t="inlineStr">
        <is>
          <t>代表番号</t>
        </is>
      </c>
      <c r="N1345" s="11" t="inlineStr">
        <is>
          <t>https://nobeokagakuen-ed.jp/</t>
        </is>
      </c>
      <c r="O1345" s="12" t="inlineStr">
        <is>
          <t>開く</t>
        </is>
      </c>
    </row>
    <row r="1346">
      <c r="A1346" s="4" t="n">
        <v>1342</v>
      </c>
      <c r="B1346" s="5" t="inlineStr">
        <is>
          <t>宮崎県</t>
        </is>
      </c>
      <c r="C1346" s="5" t="inlineStr">
        <is>
          <t>宮崎市</t>
        </is>
      </c>
      <c r="D1346" s="5" t="inlineStr">
        <is>
          <t>日向学院高等学校</t>
        </is>
      </c>
      <c r="E1346" s="6" t="inlineStr">
        <is>
          <t>0985-22-8296</t>
        </is>
      </c>
      <c r="F1346" s="7" t="inlineStr">
        <is>
          <t>高</t>
        </is>
      </c>
      <c r="G1346" s="5" t="inlineStr">
        <is>
          <t>普通科</t>
        </is>
      </c>
      <c r="H1346" s="8" t="n"/>
      <c r="I1346" s="9" t="n"/>
      <c r="J1346" s="9" t="inlineStr">
        <is>
          <t>未架電</t>
        </is>
      </c>
      <c r="K1346" s="8" t="n"/>
      <c r="L1346" s="9" t="n"/>
      <c r="M1346" s="10" t="inlineStr">
        <is>
          <t>代表番号</t>
        </is>
      </c>
      <c r="N1346" s="11" t="inlineStr">
        <is>
          <t>https://www.hyugagakuin.ac.jp/</t>
        </is>
      </c>
      <c r="O1346" s="12" t="inlineStr">
        <is>
          <t>開く</t>
        </is>
      </c>
    </row>
    <row r="1347">
      <c r="A1347" s="4" t="n">
        <v>1343</v>
      </c>
      <c r="B1347" s="5" t="inlineStr">
        <is>
          <t>宮崎県</t>
        </is>
      </c>
      <c r="C1347" s="5" t="inlineStr">
        <is>
          <t>宮崎市</t>
        </is>
      </c>
      <c r="D1347" s="5" t="inlineStr">
        <is>
          <t>鵬翔高等学校</t>
        </is>
      </c>
      <c r="E1347" s="6" t="inlineStr">
        <is>
          <t>0985-52-2020</t>
        </is>
      </c>
      <c r="F1347" s="7" t="inlineStr">
        <is>
          <t>高</t>
        </is>
      </c>
      <c r="G1347" s="5" t="inlineStr">
        <is>
          <t>専門学科</t>
        </is>
      </c>
      <c r="H1347" s="8" t="n"/>
      <c r="I1347" s="9" t="n"/>
      <c r="J1347" s="9" t="inlineStr">
        <is>
          <t>未架電</t>
        </is>
      </c>
      <c r="K1347" s="8" t="n"/>
      <c r="L1347" s="9" t="n"/>
      <c r="M1347" s="10" t="inlineStr">
        <is>
          <t>事務室代表。入試広報部直通は0985-52-3312</t>
        </is>
      </c>
      <c r="N1347" s="11" t="inlineStr">
        <is>
          <t>https://www.hosho.ed.jp/contact/</t>
        </is>
      </c>
      <c r="O1347" s="12" t="inlineStr">
        <is>
          <t>開く</t>
        </is>
      </c>
    </row>
    <row r="1348">
      <c r="A1348" s="4" t="n">
        <v>1344</v>
      </c>
      <c r="B1348" s="5" t="inlineStr">
        <is>
          <t>宮崎県</t>
        </is>
      </c>
      <c r="C1348" s="5" t="inlineStr">
        <is>
          <t>都城市</t>
        </is>
      </c>
      <c r="D1348" s="5" t="inlineStr">
        <is>
          <t>都城高等学校</t>
        </is>
      </c>
      <c r="E1348" s="6" t="inlineStr">
        <is>
          <t>0986-23-2477</t>
        </is>
      </c>
      <c r="F1348" s="7" t="inlineStr">
        <is>
          <t>高</t>
        </is>
      </c>
      <c r="G1348" s="5" t="inlineStr">
        <is>
          <t>普通科・専門学科</t>
        </is>
      </c>
      <c r="H1348" s="8" t="n"/>
      <c r="I1348" s="9" t="n"/>
      <c r="J1348" s="9" t="inlineStr">
        <is>
          <t>未架電</t>
        </is>
      </c>
      <c r="K1348" s="8" t="n"/>
      <c r="L1348" s="9" t="n"/>
      <c r="M1348" s="10" t="inlineStr">
        <is>
          <t>県サイトとも一致</t>
        </is>
      </c>
      <c r="N1348" s="11" t="inlineStr">
        <is>
          <t>https://kubogakuen.ac.jp/</t>
        </is>
      </c>
      <c r="O1348" s="12" t="inlineStr">
        <is>
          <t>開く</t>
        </is>
      </c>
    </row>
    <row r="1349">
      <c r="A1349" s="4" t="n">
        <v>1345</v>
      </c>
      <c r="B1349" s="5" t="inlineStr">
        <is>
          <t>宮崎県</t>
        </is>
      </c>
      <c r="C1349" s="5" t="inlineStr">
        <is>
          <t>都城市</t>
        </is>
      </c>
      <c r="D1349" s="5" t="inlineStr">
        <is>
          <t>都城聖ドミニコ学園高等学校</t>
        </is>
      </c>
      <c r="E1349" s="6" t="inlineStr">
        <is>
          <t>0986-39-1303</t>
        </is>
      </c>
      <c r="F1349" s="7" t="inlineStr">
        <is>
          <t>高</t>
        </is>
      </c>
      <c r="G1349" s="5" t="inlineStr">
        <is>
          <t>普通科</t>
        </is>
      </c>
      <c r="H1349" s="8" t="n"/>
      <c r="I1349" s="9" t="n"/>
      <c r="J1349" s="9" t="inlineStr">
        <is>
          <t>未架電</t>
        </is>
      </c>
      <c r="K1349" s="8" t="n"/>
      <c r="L1349" s="9" t="n"/>
      <c r="M1349" s="10" t="inlineStr">
        <is>
          <t>私学協会とも一致</t>
        </is>
      </c>
      <c r="N1349" s="11" t="inlineStr">
        <is>
          <t>https://www.mdominico.com/</t>
        </is>
      </c>
      <c r="O1349" s="12" t="inlineStr">
        <is>
          <t>開く</t>
        </is>
      </c>
    </row>
    <row r="1350">
      <c r="A1350" s="4" t="n">
        <v>1346</v>
      </c>
      <c r="B1350" s="5" t="inlineStr">
        <is>
          <t>宮崎県</t>
        </is>
      </c>
      <c r="C1350" s="5" t="inlineStr">
        <is>
          <t>宮崎市</t>
        </is>
      </c>
      <c r="D1350" s="5" t="inlineStr">
        <is>
          <t>宮崎学園高等学校</t>
        </is>
      </c>
      <c r="E1350" s="6" t="inlineStr">
        <is>
          <t>0985-23-5318</t>
        </is>
      </c>
      <c r="F1350" s="7" t="inlineStr">
        <is>
          <t>高</t>
        </is>
      </c>
      <c r="G1350" s="5" t="inlineStr">
        <is>
          <t>普通科・専門学科</t>
        </is>
      </c>
      <c r="H1350" s="8" t="n"/>
      <c r="I1350" s="9" t="n"/>
      <c r="J1350" s="9" t="inlineStr">
        <is>
          <t>未架電</t>
        </is>
      </c>
      <c r="K1350" s="8" t="n"/>
      <c r="L1350" s="9" t="n"/>
      <c r="M1350" s="10" t="inlineStr">
        <is>
          <t>法人サイト・宮崎市サイトで一致</t>
        </is>
      </c>
      <c r="N1350" s="11" t="inlineStr">
        <is>
          <t>https://www.miyagaku.ed.jp/houjinhonbu/access.html</t>
        </is>
      </c>
      <c r="O1350" s="12" t="inlineStr">
        <is>
          <t>開く</t>
        </is>
      </c>
    </row>
    <row r="1351">
      <c r="A1351" s="4" t="n">
        <v>1347</v>
      </c>
      <c r="B1351" s="5" t="inlineStr">
        <is>
          <t>宮崎県</t>
        </is>
      </c>
      <c r="C1351" s="5" t="inlineStr">
        <is>
          <t>宮崎市</t>
        </is>
      </c>
      <c r="D1351" s="5" t="inlineStr">
        <is>
          <t>宮崎第一高等学校</t>
        </is>
      </c>
      <c r="E1351" s="6" t="inlineStr">
        <is>
          <t>0985-56-2626</t>
        </is>
      </c>
      <c r="F1351" s="13" t="inlineStr">
        <is>
          <t>中</t>
        </is>
      </c>
      <c r="G1351" s="5" t="inlineStr">
        <is>
          <t>普通科・専門学科</t>
        </is>
      </c>
      <c r="H1351" s="8" t="n"/>
      <c r="I1351" s="9" t="n"/>
      <c r="J1351" s="9" t="inlineStr">
        <is>
          <t>未架電</t>
        </is>
      </c>
      <c r="K1351" s="8" t="n"/>
      <c r="L1351" s="9" t="n"/>
      <c r="M1351" s="10" t="inlineStr">
        <is>
          <t>公式未確認。県・宮崎市・私学協会で一致</t>
        </is>
      </c>
      <c r="N1351" s="11" t="inlineStr">
        <is>
          <t>https://www.sun.pref.miyazaki.lg.jp/facilities_view/58.html</t>
        </is>
      </c>
      <c r="O1351" s="12" t="inlineStr">
        <is>
          <t>開く</t>
        </is>
      </c>
    </row>
    <row r="1352">
      <c r="A1352" s="4" t="n">
        <v>1348</v>
      </c>
      <c r="B1352" s="5" t="inlineStr">
        <is>
          <t>宮崎県</t>
        </is>
      </c>
      <c r="C1352" s="5" t="inlineStr">
        <is>
          <t>宮崎市</t>
        </is>
      </c>
      <c r="D1352" s="5" t="inlineStr">
        <is>
          <t>宮崎日本大学高等学校</t>
        </is>
      </c>
      <c r="E1352" s="6" t="inlineStr">
        <is>
          <t>0985-39-1121</t>
        </is>
      </c>
      <c r="F1352" s="7" t="inlineStr">
        <is>
          <t>高</t>
        </is>
      </c>
      <c r="G1352" s="5" t="inlineStr">
        <is>
          <t>専門学科</t>
        </is>
      </c>
      <c r="H1352" s="8" t="n"/>
      <c r="I1352" s="9" t="n"/>
      <c r="J1352" s="9" t="inlineStr">
        <is>
          <t>未架電</t>
        </is>
      </c>
      <c r="K1352" s="8" t="n"/>
      <c r="L1352" s="9" t="n"/>
      <c r="M1352" s="10" t="inlineStr">
        <is>
          <t>代表番号。県サイトとも一致</t>
        </is>
      </c>
      <c r="N1352" s="11" t="inlineStr">
        <is>
          <t>https://www.m-nichidai.com/</t>
        </is>
      </c>
      <c r="O1352" s="12" t="inlineStr">
        <is>
          <t>開く</t>
        </is>
      </c>
    </row>
    <row r="1353">
      <c r="A1353" s="4" t="n">
        <v>1349</v>
      </c>
      <c r="B1353" s="5" t="inlineStr">
        <is>
          <t>鹿児島県</t>
        </is>
      </c>
      <c r="C1353" s="5" t="inlineStr">
        <is>
          <t>鹿児島市</t>
        </is>
      </c>
      <c r="D1353" s="5" t="inlineStr">
        <is>
          <t>池田高等学校</t>
        </is>
      </c>
      <c r="E1353" s="6" t="inlineStr">
        <is>
          <t>099-282-7888</t>
        </is>
      </c>
      <c r="F1353" s="7" t="inlineStr">
        <is>
          <t>高</t>
        </is>
      </c>
      <c r="G1353" s="5" t="inlineStr">
        <is>
          <t>普通科</t>
        </is>
      </c>
      <c r="H1353" s="8" t="n"/>
      <c r="I1353" s="9" t="n"/>
      <c r="J1353" s="9" t="inlineStr">
        <is>
          <t>未架電</t>
        </is>
      </c>
      <c r="K1353" s="8" t="n"/>
      <c r="L1353" s="9" t="n"/>
      <c r="M1353" s="10" t="inlineStr">
        <is>
          <t>県私学協会とも一致。中高一貫（池田学園）</t>
        </is>
      </c>
      <c r="N1353" s="11" t="inlineStr">
        <is>
          <t>http://ikeda-gakuen.ed.jp/</t>
        </is>
      </c>
      <c r="O1353" s="12" t="inlineStr">
        <is>
          <t>開く</t>
        </is>
      </c>
    </row>
    <row r="1354">
      <c r="A1354" s="4" t="n">
        <v>1350</v>
      </c>
      <c r="B1354" s="5" t="inlineStr">
        <is>
          <t>鹿児島県</t>
        </is>
      </c>
      <c r="C1354" s="5" t="inlineStr">
        <is>
          <t>出水市</t>
        </is>
      </c>
      <c r="D1354" s="5" t="inlineStr">
        <is>
          <t>出水中央高等学校</t>
        </is>
      </c>
      <c r="E1354" s="6" t="inlineStr">
        <is>
          <t>0996-62-0500</t>
        </is>
      </c>
      <c r="F1354" s="7" t="inlineStr">
        <is>
          <t>高</t>
        </is>
      </c>
      <c r="G1354" s="5" t="inlineStr">
        <is>
          <t>普通科・専門学科</t>
        </is>
      </c>
      <c r="H1354" s="8" t="n"/>
      <c r="I1354" s="9" t="n"/>
      <c r="J1354" s="9" t="inlineStr">
        <is>
          <t>未架電</t>
        </is>
      </c>
      <c r="K1354" s="8" t="n"/>
      <c r="L1354" s="9" t="n"/>
      <c r="M1354" s="10" t="inlineStr">
        <is>
          <t>代表番号。広報室は0996-62-6677</t>
        </is>
      </c>
      <c r="N1354" s="11" t="inlineStr">
        <is>
          <t>https://izumi.ac.jp/school-info/facility-info/</t>
        </is>
      </c>
      <c r="O1354" s="12" t="inlineStr">
        <is>
          <t>開く</t>
        </is>
      </c>
    </row>
    <row r="1355">
      <c r="A1355" s="4" t="n">
        <v>1351</v>
      </c>
      <c r="B1355" s="5" t="inlineStr">
        <is>
          <t>鹿児島県</t>
        </is>
      </c>
      <c r="C1355" s="5" t="inlineStr">
        <is>
          <t>伊佐市</t>
        </is>
      </c>
      <c r="D1355" s="5" t="inlineStr">
        <is>
          <t>大口明光学園高等学校</t>
        </is>
      </c>
      <c r="E1355" s="6" t="inlineStr">
        <is>
          <t>0995-22-0609</t>
        </is>
      </c>
      <c r="F1355" s="7" t="inlineStr">
        <is>
          <t>高</t>
        </is>
      </c>
      <c r="G1355" s="5" t="inlineStr">
        <is>
          <t>普通科</t>
        </is>
      </c>
      <c r="H1355" s="8" t="n"/>
      <c r="I1355" s="9" t="n"/>
      <c r="J1355" s="9" t="inlineStr">
        <is>
          <t>未架電</t>
        </is>
      </c>
      <c r="K1355" s="8" t="n"/>
      <c r="L1355" s="9" t="n"/>
      <c r="M1355" s="10" t="inlineStr">
        <is>
          <t>2022年4月に共学化</t>
        </is>
      </c>
      <c r="N1355" s="11" t="inlineStr">
        <is>
          <t>https://www.okuchimeiko.ac.jp/inquiry/index.html</t>
        </is>
      </c>
      <c r="O1355" s="12" t="inlineStr">
        <is>
          <t>開く</t>
        </is>
      </c>
    </row>
    <row r="1356">
      <c r="A1356" s="4" t="n">
        <v>1352</v>
      </c>
      <c r="B1356" s="5" t="inlineStr">
        <is>
          <t>鹿児島県</t>
        </is>
      </c>
      <c r="C1356" s="5" t="inlineStr">
        <is>
          <t>日置市</t>
        </is>
      </c>
      <c r="D1356" s="5" t="inlineStr">
        <is>
          <t>鹿児島育英館高等学校</t>
        </is>
      </c>
      <c r="E1356" s="6" t="inlineStr">
        <is>
          <t>099-273-1407</t>
        </is>
      </c>
      <c r="F1356" s="7" t="inlineStr">
        <is>
          <t>高</t>
        </is>
      </c>
      <c r="G1356" s="5" t="inlineStr">
        <is>
          <t>普通科</t>
        </is>
      </c>
      <c r="H1356" s="8" t="n"/>
      <c r="I1356" s="9" t="n"/>
      <c r="J1356" s="9" t="inlineStr">
        <is>
          <t>未架電</t>
        </is>
      </c>
      <c r="K1356" s="8" t="n"/>
      <c r="L1356" s="9" t="n"/>
      <c r="M1356" s="10" t="inlineStr">
        <is>
          <t>2027年度に「日章学園育英館高等学校」へ校名変更予定</t>
        </is>
      </c>
      <c r="N1356" s="11" t="inlineStr">
        <is>
          <t>https://ikueikan.ed.jp/contact/</t>
        </is>
      </c>
      <c r="O1356" s="12" t="inlineStr">
        <is>
          <t>開く</t>
        </is>
      </c>
    </row>
    <row r="1357">
      <c r="A1357" s="4" t="n">
        <v>1353</v>
      </c>
      <c r="B1357" s="5" t="inlineStr">
        <is>
          <t>鹿児島県</t>
        </is>
      </c>
      <c r="C1357" s="5" t="inlineStr">
        <is>
          <t>鹿児島市</t>
        </is>
      </c>
      <c r="D1357" s="5" t="inlineStr">
        <is>
          <t>鹿児島高等学校</t>
        </is>
      </c>
      <c r="E1357" s="6" t="inlineStr">
        <is>
          <t>099-255-3211</t>
        </is>
      </c>
      <c r="F1357" s="7" t="inlineStr">
        <is>
          <t>高</t>
        </is>
      </c>
      <c r="G1357" s="5" t="inlineStr">
        <is>
          <t>普通科・専門学科</t>
        </is>
      </c>
      <c r="H1357" s="8" t="n"/>
      <c r="I1357" s="9" t="n"/>
      <c r="J1357" s="9" t="inlineStr">
        <is>
          <t>未架電</t>
        </is>
      </c>
      <c r="K1357" s="8" t="n"/>
      <c r="L1357" s="9" t="n"/>
      <c r="M1357" s="10" t="n"/>
      <c r="N1357" s="11" t="inlineStr">
        <is>
          <t>https://www.kagoshima-h.ed.jp/about/</t>
        </is>
      </c>
      <c r="O1357" s="12" t="inlineStr">
        <is>
          <t>開く</t>
        </is>
      </c>
    </row>
    <row r="1358">
      <c r="A1358" s="4" t="n">
        <v>1354</v>
      </c>
      <c r="B1358" s="5" t="inlineStr">
        <is>
          <t>鹿児島県</t>
        </is>
      </c>
      <c r="C1358" s="5" t="inlineStr">
        <is>
          <t>鹿児島市</t>
        </is>
      </c>
      <c r="D1358" s="5" t="inlineStr">
        <is>
          <t>鹿児島修学館高等学校</t>
        </is>
      </c>
      <c r="E1358" s="6" t="inlineStr">
        <is>
          <t>099-258-2211</t>
        </is>
      </c>
      <c r="F1358" s="7" t="inlineStr">
        <is>
          <t>高</t>
        </is>
      </c>
      <c r="G1358" s="5" t="inlineStr">
        <is>
          <t>普通科</t>
        </is>
      </c>
      <c r="H1358" s="8" t="n"/>
      <c r="I1358" s="9" t="n"/>
      <c r="J1358" s="9" t="inlineStr">
        <is>
          <t>未架電</t>
        </is>
      </c>
      <c r="K1358" s="8" t="n"/>
      <c r="L1358" s="9" t="n"/>
      <c r="M1358" s="10" t="n"/>
      <c r="N1358" s="11" t="inlineStr">
        <is>
          <t>https://www.shugakukan.ed.jp/profile/</t>
        </is>
      </c>
      <c r="O1358" s="12" t="inlineStr">
        <is>
          <t>開く</t>
        </is>
      </c>
    </row>
    <row r="1359">
      <c r="A1359" s="4" t="n">
        <v>1355</v>
      </c>
      <c r="B1359" s="5" t="inlineStr">
        <is>
          <t>鹿児島県</t>
        </is>
      </c>
      <c r="C1359" s="5" t="inlineStr">
        <is>
          <t>鹿児島市</t>
        </is>
      </c>
      <c r="D1359" s="5" t="inlineStr">
        <is>
          <t>鹿児島実業高等学校</t>
        </is>
      </c>
      <c r="E1359" s="6" t="inlineStr">
        <is>
          <t>099-286-1313</t>
        </is>
      </c>
      <c r="F1359" s="7" t="inlineStr">
        <is>
          <t>高</t>
        </is>
      </c>
      <c r="G1359" s="5" t="inlineStr">
        <is>
          <t>普通科・専門学科・総合学科</t>
        </is>
      </c>
      <c r="H1359" s="8" t="n"/>
      <c r="I1359" s="9" t="n"/>
      <c r="J1359" s="9" t="inlineStr">
        <is>
          <t>未架電</t>
        </is>
      </c>
      <c r="K1359" s="8" t="n"/>
      <c r="L1359" s="9" t="n"/>
      <c r="M1359" s="10" t="inlineStr">
        <is>
          <t>通信制課程は099-286-1508</t>
        </is>
      </c>
      <c r="N1359" s="11" t="inlineStr">
        <is>
          <t>https://www.kajitsu.ac.jp/</t>
        </is>
      </c>
      <c r="O1359" s="12" t="inlineStr">
        <is>
          <t>開く</t>
        </is>
      </c>
    </row>
    <row r="1360">
      <c r="A1360" s="4" t="n">
        <v>1356</v>
      </c>
      <c r="B1360" s="5" t="inlineStr">
        <is>
          <t>鹿児島県</t>
        </is>
      </c>
      <c r="C1360" s="5" t="inlineStr">
        <is>
          <t>鹿児島市</t>
        </is>
      </c>
      <c r="D1360" s="5" t="inlineStr">
        <is>
          <t>鹿児島純心女子高等学校</t>
        </is>
      </c>
      <c r="E1360" s="6" t="inlineStr">
        <is>
          <t>099-254-4121</t>
        </is>
      </c>
      <c r="F1360" s="7" t="inlineStr">
        <is>
          <t>高</t>
        </is>
      </c>
      <c r="G1360" s="5" t="inlineStr">
        <is>
          <t>普通科</t>
        </is>
      </c>
      <c r="H1360" s="8" t="n"/>
      <c r="I1360" s="9" t="n"/>
      <c r="J1360" s="9" t="inlineStr">
        <is>
          <t>未架電</t>
        </is>
      </c>
      <c r="K1360" s="8" t="n"/>
      <c r="L1360" s="9" t="n"/>
      <c r="M1360" s="10" t="inlineStr">
        <is>
          <t>受付は平日9:00〜16:30</t>
        </is>
      </c>
      <c r="N1360" s="11" t="inlineStr">
        <is>
          <t>https://www.k-junshin.ed.jp/</t>
        </is>
      </c>
      <c r="O1360" s="12" t="inlineStr">
        <is>
          <t>開く</t>
        </is>
      </c>
    </row>
    <row r="1361">
      <c r="A1361" s="4" t="n">
        <v>1357</v>
      </c>
      <c r="B1361" s="5" t="inlineStr">
        <is>
          <t>鹿児島県</t>
        </is>
      </c>
      <c r="C1361" s="5" t="inlineStr">
        <is>
          <t>日置市</t>
        </is>
      </c>
      <c r="D1361" s="5" t="inlineStr">
        <is>
          <t>鹿児島城西高等学校</t>
        </is>
      </c>
      <c r="E1361" s="6" t="inlineStr">
        <is>
          <t>099-273-1234</t>
        </is>
      </c>
      <c r="F1361" s="7" t="inlineStr">
        <is>
          <t>高</t>
        </is>
      </c>
      <c r="G1361" s="5" t="inlineStr">
        <is>
          <t>普通科・専門学科</t>
        </is>
      </c>
      <c r="H1361" s="8" t="n"/>
      <c r="I1361" s="9" t="n"/>
      <c r="J1361" s="9" t="inlineStr">
        <is>
          <t>未架電</t>
        </is>
      </c>
      <c r="K1361" s="8" t="n"/>
      <c r="L1361" s="9" t="n"/>
      <c r="M1361" s="10" t="n"/>
      <c r="N1361" s="11" t="inlineStr">
        <is>
          <t>https://kjh.ed.jp/introduction</t>
        </is>
      </c>
      <c r="O1361" s="12" t="inlineStr">
        <is>
          <t>開く</t>
        </is>
      </c>
    </row>
    <row r="1362">
      <c r="A1362" s="4" t="n">
        <v>1358</v>
      </c>
      <c r="B1362" s="5" t="inlineStr">
        <is>
          <t>鹿児島県</t>
        </is>
      </c>
      <c r="C1362" s="5" t="inlineStr">
        <is>
          <t>鹿児島市</t>
        </is>
      </c>
      <c r="D1362" s="5" t="inlineStr">
        <is>
          <t>鹿児島情報高等学校</t>
        </is>
      </c>
      <c r="E1362" s="6" t="inlineStr">
        <is>
          <t>099-268-3101</t>
        </is>
      </c>
      <c r="F1362" s="7" t="inlineStr">
        <is>
          <t>高</t>
        </is>
      </c>
      <c r="G1362" s="5" t="inlineStr">
        <is>
          <t>普通科・専門学科</t>
        </is>
      </c>
      <c r="H1362" s="8" t="n"/>
      <c r="I1362" s="9" t="n"/>
      <c r="J1362" s="9" t="inlineStr">
        <is>
          <t>未架電</t>
        </is>
      </c>
      <c r="K1362" s="8" t="n"/>
      <c r="L1362" s="9" t="n"/>
      <c r="M1362" s="10" t="n"/>
      <c r="N1362" s="11" t="inlineStr">
        <is>
          <t>https://ka-joho.jp/contactus/</t>
        </is>
      </c>
      <c r="O1362" s="12" t="inlineStr">
        <is>
          <t>開く</t>
        </is>
      </c>
    </row>
    <row r="1363">
      <c r="A1363" s="4" t="n">
        <v>1359</v>
      </c>
      <c r="B1363" s="5" t="inlineStr">
        <is>
          <t>鹿児島県</t>
        </is>
      </c>
      <c r="C1363" s="5" t="inlineStr">
        <is>
          <t>霧島市</t>
        </is>
      </c>
      <c r="D1363" s="5" t="inlineStr">
        <is>
          <t>鹿児島第一高等学校</t>
        </is>
      </c>
      <c r="E1363" s="6" t="inlineStr">
        <is>
          <t>0995-46-4608</t>
        </is>
      </c>
      <c r="F1363" s="7" t="inlineStr">
        <is>
          <t>高</t>
        </is>
      </c>
      <c r="G1363" s="5" t="inlineStr">
        <is>
          <t>普通科</t>
        </is>
      </c>
      <c r="H1363" s="8" t="n"/>
      <c r="I1363" s="9" t="n"/>
      <c r="J1363" s="9" t="inlineStr">
        <is>
          <t>未架電</t>
        </is>
      </c>
      <c r="K1363" s="8" t="n"/>
      <c r="L1363" s="9" t="n"/>
      <c r="M1363" s="10" t="inlineStr">
        <is>
          <t>フリーダイヤル0120-56-4608</t>
        </is>
      </c>
      <c r="N1363" s="11" t="inlineStr">
        <is>
          <t>https://h-kd.tsuzuki-edu.ac.jp/access/</t>
        </is>
      </c>
      <c r="O1363" s="12" t="inlineStr">
        <is>
          <t>開く</t>
        </is>
      </c>
    </row>
    <row r="1364">
      <c r="A1364" s="4" t="n">
        <v>1360</v>
      </c>
      <c r="B1364" s="5" t="inlineStr">
        <is>
          <t>鹿児島県</t>
        </is>
      </c>
      <c r="C1364" s="5" t="inlineStr">
        <is>
          <t>鹿屋市</t>
        </is>
      </c>
      <c r="D1364" s="5" t="inlineStr">
        <is>
          <t>鹿屋中央高等学校</t>
        </is>
      </c>
      <c r="E1364" s="6" t="inlineStr">
        <is>
          <t>0994-43-3310</t>
        </is>
      </c>
      <c r="F1364" s="7" t="inlineStr">
        <is>
          <t>高</t>
        </is>
      </c>
      <c r="G1364" s="5" t="inlineStr">
        <is>
          <t>専門学科</t>
        </is>
      </c>
      <c r="H1364" s="8" t="n"/>
      <c r="I1364" s="9" t="n"/>
      <c r="J1364" s="9" t="inlineStr">
        <is>
          <t>未架電</t>
        </is>
      </c>
      <c r="K1364" s="8" t="n"/>
      <c r="L1364" s="9" t="n"/>
      <c r="M1364" s="10" t="inlineStr">
        <is>
          <t>鹿屋市サイトとも一致</t>
        </is>
      </c>
      <c r="N1364" s="11" t="inlineStr">
        <is>
          <t>https://www.kanoya-chuo.ed.jp/</t>
        </is>
      </c>
      <c r="O1364" s="12" t="inlineStr">
        <is>
          <t>開く</t>
        </is>
      </c>
    </row>
    <row r="1365">
      <c r="A1365" s="4" t="n">
        <v>1361</v>
      </c>
      <c r="B1365" s="5" t="inlineStr">
        <is>
          <t>鹿児島県</t>
        </is>
      </c>
      <c r="C1365" s="5" t="inlineStr">
        <is>
          <t>いちき串木野市</t>
        </is>
      </c>
      <c r="D1365" s="5" t="inlineStr">
        <is>
          <t>神村学園高等部</t>
        </is>
      </c>
      <c r="E1365" s="6" t="inlineStr">
        <is>
          <t>0996-32-3232</t>
        </is>
      </c>
      <c r="F1365" s="7" t="inlineStr">
        <is>
          <t>高</t>
        </is>
      </c>
      <c r="G1365" s="5" t="inlineStr">
        <is>
          <t>普通科・専門学科</t>
        </is>
      </c>
      <c r="H1365" s="8" t="n"/>
      <c r="I1365" s="9" t="n"/>
      <c r="J1365" s="9" t="inlineStr">
        <is>
          <t>未架電</t>
        </is>
      </c>
      <c r="K1365" s="8" t="n"/>
      <c r="L1365" s="9" t="n"/>
      <c r="M1365" s="10" t="inlineStr">
        <is>
          <t>いちき串木野市サイトとも一致</t>
        </is>
      </c>
      <c r="N1365" s="11" t="inlineStr">
        <is>
          <t>https://angel.kamimura.ac.jp/access/</t>
        </is>
      </c>
      <c r="O1365" s="12" t="inlineStr">
        <is>
          <t>開く</t>
        </is>
      </c>
    </row>
    <row r="1366">
      <c r="A1366" s="4" t="n">
        <v>1362</v>
      </c>
      <c r="B1366" s="5" t="inlineStr">
        <is>
          <t>鹿児島県</t>
        </is>
      </c>
      <c r="C1366" s="5" t="inlineStr">
        <is>
          <t>鹿児島市</t>
        </is>
      </c>
      <c r="D1366" s="5" t="inlineStr">
        <is>
          <t>志學館高等部</t>
        </is>
      </c>
      <c r="E1366" s="6" t="inlineStr">
        <is>
          <t>099-252-1038</t>
        </is>
      </c>
      <c r="F1366" s="7" t="inlineStr">
        <is>
          <t>高</t>
        </is>
      </c>
      <c r="G1366" s="5" t="inlineStr">
        <is>
          <t>普通科</t>
        </is>
      </c>
      <c r="H1366" s="8" t="n"/>
      <c r="I1366" s="9" t="n"/>
      <c r="J1366" s="9" t="inlineStr">
        <is>
          <t>未架電</t>
        </is>
      </c>
      <c r="K1366" s="8" t="n"/>
      <c r="L1366" s="9" t="n"/>
      <c r="M1366" s="10" t="inlineStr">
        <is>
          <t>中等部と共通番号</t>
        </is>
      </c>
      <c r="N1366" s="11" t="inlineStr">
        <is>
          <t>https://www.jh.shigakukan.ac.jp/</t>
        </is>
      </c>
      <c r="O1366" s="12" t="inlineStr">
        <is>
          <t>開く</t>
        </is>
      </c>
    </row>
    <row r="1367">
      <c r="A1367" s="4" t="n">
        <v>1363</v>
      </c>
      <c r="B1367" s="5" t="inlineStr">
        <is>
          <t>鹿児島県</t>
        </is>
      </c>
      <c r="C1367" s="5" t="inlineStr">
        <is>
          <t>志布志市</t>
        </is>
      </c>
      <c r="D1367" s="5" t="inlineStr">
        <is>
          <t>尚志館高等学校</t>
        </is>
      </c>
      <c r="E1367" s="6" t="inlineStr">
        <is>
          <t>099-472-1318</t>
        </is>
      </c>
      <c r="F1367" s="7" t="inlineStr">
        <is>
          <t>高</t>
        </is>
      </c>
      <c r="G1367" s="5" t="inlineStr">
        <is>
          <t>普通科・専門学科</t>
        </is>
      </c>
      <c r="H1367" s="8" t="n"/>
      <c r="I1367" s="9" t="n"/>
      <c r="J1367" s="9" t="inlineStr">
        <is>
          <t>未架電</t>
        </is>
      </c>
      <c r="K1367" s="8" t="n"/>
      <c r="L1367" s="9" t="n"/>
      <c r="M1367" s="10" t="n"/>
      <c r="N1367" s="11" t="inlineStr">
        <is>
          <t>https://www.shoshikan.ed.jp/</t>
        </is>
      </c>
      <c r="O1367" s="12" t="inlineStr">
        <is>
          <t>開く</t>
        </is>
      </c>
    </row>
    <row r="1368">
      <c r="A1368" s="4" t="n">
        <v>1364</v>
      </c>
      <c r="B1368" s="5" t="inlineStr">
        <is>
          <t>鹿児島県</t>
        </is>
      </c>
      <c r="C1368" s="5" t="inlineStr">
        <is>
          <t>鹿児島市</t>
        </is>
      </c>
      <c r="D1368" s="5" t="inlineStr">
        <is>
          <t>樟南高等学校</t>
        </is>
      </c>
      <c r="E1368" s="6" t="inlineStr">
        <is>
          <t>099-281-2900</t>
        </is>
      </c>
      <c r="F1368" s="7" t="inlineStr">
        <is>
          <t>高</t>
        </is>
      </c>
      <c r="G1368" s="5" t="inlineStr">
        <is>
          <t>普通科・専門学科</t>
        </is>
      </c>
      <c r="H1368" s="8" t="n"/>
      <c r="I1368" s="9" t="n"/>
      <c r="J1368" s="9" t="inlineStr">
        <is>
          <t>未架電</t>
        </is>
      </c>
      <c r="K1368" s="8" t="n"/>
      <c r="L1368" s="9" t="n"/>
      <c r="M1368" s="10" t="inlineStr">
        <is>
          <t>学園本部は099-281-3611</t>
        </is>
      </c>
      <c r="N1368" s="11" t="inlineStr">
        <is>
          <t>https://www.shonan-h.ac.jp/</t>
        </is>
      </c>
      <c r="O1368" s="12" t="inlineStr">
        <is>
          <t>開く</t>
        </is>
      </c>
    </row>
    <row r="1369">
      <c r="A1369" s="4" t="n">
        <v>1365</v>
      </c>
      <c r="B1369" s="5" t="inlineStr">
        <is>
          <t>鹿児島県</t>
        </is>
      </c>
      <c r="C1369" s="5" t="inlineStr">
        <is>
          <t>天城町</t>
        </is>
      </c>
      <c r="D1369" s="5" t="inlineStr">
        <is>
          <t>樟南第二高等学校</t>
        </is>
      </c>
      <c r="E1369" s="6" t="inlineStr">
        <is>
          <t>0997-85-2511</t>
        </is>
      </c>
      <c r="F1369" s="7" t="inlineStr">
        <is>
          <t>高</t>
        </is>
      </c>
      <c r="G1369" s="5" t="inlineStr">
        <is>
          <t>普通科・専門学科</t>
        </is>
      </c>
      <c r="H1369" s="8" t="n"/>
      <c r="I1369" s="9" t="n"/>
      <c r="J1369" s="9" t="inlineStr">
        <is>
          <t>未架電</t>
        </is>
      </c>
      <c r="K1369" s="8" t="n"/>
      <c r="L1369" s="9" t="n"/>
      <c r="M1369" s="10" t="n"/>
      <c r="N1369" s="11" t="inlineStr">
        <is>
          <t>https://www.shonandaini.jp/</t>
        </is>
      </c>
      <c r="O1369" s="12" t="inlineStr">
        <is>
          <t>開く</t>
        </is>
      </c>
    </row>
    <row r="1370">
      <c r="A1370" s="4" t="n">
        <v>1366</v>
      </c>
      <c r="B1370" s="5" t="inlineStr">
        <is>
          <t>鹿児島県</t>
        </is>
      </c>
      <c r="C1370" s="5" t="inlineStr">
        <is>
          <t>南さつま市</t>
        </is>
      </c>
      <c r="D1370" s="5" t="inlineStr">
        <is>
          <t>鳳凰高等学校</t>
        </is>
      </c>
      <c r="E1370" s="6" t="inlineStr">
        <is>
          <t>0993-53-3633</t>
        </is>
      </c>
      <c r="F1370" s="7" t="inlineStr">
        <is>
          <t>高</t>
        </is>
      </c>
      <c r="G1370" s="5" t="inlineStr">
        <is>
          <t>普通科・専門学科</t>
        </is>
      </c>
      <c r="H1370" s="8" t="n"/>
      <c r="I1370" s="9" t="n"/>
      <c r="J1370" s="9" t="inlineStr">
        <is>
          <t>未架電</t>
        </is>
      </c>
      <c r="K1370" s="8" t="n"/>
      <c r="L1370" s="9" t="n"/>
      <c r="M1370" s="10" t="n"/>
      <c r="N1370" s="11" t="inlineStr">
        <is>
          <t>https://hooh.ed.jp/info/introduction/outline/</t>
        </is>
      </c>
      <c r="O1370" s="12" t="inlineStr">
        <is>
          <t>開く</t>
        </is>
      </c>
    </row>
    <row r="1371">
      <c r="A1371" s="4" t="n">
        <v>1367</v>
      </c>
      <c r="B1371" s="5" t="inlineStr">
        <is>
          <t>鹿児島県</t>
        </is>
      </c>
      <c r="C1371" s="5" t="inlineStr">
        <is>
          <t>屋久島町</t>
        </is>
      </c>
      <c r="D1371" s="5" t="inlineStr">
        <is>
          <t>屋久島おおぞら高等学校</t>
        </is>
      </c>
      <c r="E1371" s="6" t="inlineStr">
        <is>
          <t>0997-47-3300</t>
        </is>
      </c>
      <c r="F1371" s="13" t="inlineStr">
        <is>
          <t>中</t>
        </is>
      </c>
      <c r="G1371" s="5" t="inlineStr">
        <is>
          <t>普通科</t>
        </is>
      </c>
      <c r="H1371" s="8" t="n"/>
      <c r="I1371" s="9" t="n"/>
      <c r="J1371" s="9" t="inlineStr">
        <is>
          <t>未架電</t>
        </is>
      </c>
      <c r="K1371" s="8" t="n"/>
      <c r="L1371" s="9" t="n"/>
      <c r="M1371" s="10" t="inlineStr">
        <is>
          <t>通信制・屋久島町の本校。公式未確認、私学協会等で一致。全体問合せは0120-43-8940</t>
        </is>
      </c>
      <c r="N1371" s="11" t="inlineStr">
        <is>
          <t>http://kagoshima-shigaku.com/school/id19.html</t>
        </is>
      </c>
      <c r="O1371" s="12" t="inlineStr">
        <is>
          <t>開く</t>
        </is>
      </c>
    </row>
    <row r="1372">
      <c r="A1372" s="4" t="n">
        <v>1368</v>
      </c>
      <c r="B1372" s="5" t="inlineStr">
        <is>
          <t>鹿児島県</t>
        </is>
      </c>
      <c r="C1372" s="5" t="inlineStr">
        <is>
          <t>鹿児島市</t>
        </is>
      </c>
      <c r="D1372" s="5" t="inlineStr">
        <is>
          <t>ラ・サール高等学校</t>
        </is>
      </c>
      <c r="E1372" s="6" t="inlineStr">
        <is>
          <t>099-268-3121</t>
        </is>
      </c>
      <c r="F1372" s="7" t="inlineStr">
        <is>
          <t>高</t>
        </is>
      </c>
      <c r="G1372" s="5" t="inlineStr">
        <is>
          <t>普通科</t>
        </is>
      </c>
      <c r="H1372" s="8" t="n"/>
      <c r="I1372" s="9" t="n"/>
      <c r="J1372" s="9" t="inlineStr">
        <is>
          <t>未架電</t>
        </is>
      </c>
      <c r="K1372" s="8" t="n"/>
      <c r="L1372" s="9" t="n"/>
      <c r="M1372" s="10" t="inlineStr">
        <is>
          <t>学園代表番号</t>
        </is>
      </c>
      <c r="N1372" s="11" t="inlineStr">
        <is>
          <t>https://www.lasalle.ed.jp/about/access/</t>
        </is>
      </c>
      <c r="O1372" s="12" t="inlineStr">
        <is>
          <t>開く</t>
        </is>
      </c>
    </row>
    <row r="1373">
      <c r="A1373" s="4" t="n">
        <v>1369</v>
      </c>
      <c r="B1373" s="5" t="inlineStr">
        <is>
          <t>鹿児島県</t>
        </is>
      </c>
      <c r="C1373" s="5" t="inlineStr">
        <is>
          <t>姶良市</t>
        </is>
      </c>
      <c r="D1373" s="5" t="inlineStr">
        <is>
          <t>龍桜高等学校</t>
        </is>
      </c>
      <c r="E1373" s="6" t="inlineStr">
        <is>
          <t>0995-63-3001</t>
        </is>
      </c>
      <c r="F1373" s="7" t="inlineStr">
        <is>
          <t>高</t>
        </is>
      </c>
      <c r="G1373" s="5" t="inlineStr">
        <is>
          <t>専門学科</t>
        </is>
      </c>
      <c r="H1373" s="8" t="n"/>
      <c r="I1373" s="9" t="n"/>
      <c r="J1373" s="9" t="inlineStr">
        <is>
          <t>未架電</t>
        </is>
      </c>
      <c r="K1373" s="8" t="n"/>
      <c r="L1373" s="9" t="n"/>
      <c r="M1373" s="10" t="inlineStr">
        <is>
          <t>姶良市サイトとも一致</t>
        </is>
      </c>
      <c r="N1373" s="11" t="inlineStr">
        <is>
          <t>https://gh-kagoshima.ac.jp/otoi.html</t>
        </is>
      </c>
      <c r="O1373" s="12" t="inlineStr">
        <is>
          <t>開く</t>
        </is>
      </c>
    </row>
    <row r="1374">
      <c r="A1374" s="4" t="n">
        <v>1370</v>
      </c>
      <c r="B1374" s="5" t="inlineStr">
        <is>
          <t>鹿児島県</t>
        </is>
      </c>
      <c r="C1374" s="5" t="inlineStr">
        <is>
          <t>薩摩川内市</t>
        </is>
      </c>
      <c r="D1374" s="5" t="inlineStr">
        <is>
          <t>れいめい高等学校</t>
        </is>
      </c>
      <c r="E1374" s="6" t="inlineStr">
        <is>
          <t>0996-23-3178</t>
        </is>
      </c>
      <c r="F1374" s="7" t="inlineStr">
        <is>
          <t>高</t>
        </is>
      </c>
      <c r="G1374" s="5" t="inlineStr">
        <is>
          <t>普通科・専門学科</t>
        </is>
      </c>
      <c r="H1374" s="8" t="n"/>
      <c r="I1374" s="9" t="n"/>
      <c r="J1374" s="9" t="inlineStr">
        <is>
          <t>未架電</t>
        </is>
      </c>
      <c r="K1374" s="8" t="n"/>
      <c r="L1374" s="9" t="n"/>
      <c r="M1374" s="10" t="inlineStr">
        <is>
          <t>0996-23-5111は学校法人の番号</t>
        </is>
      </c>
      <c r="N1374" s="11" t="inlineStr">
        <is>
          <t>https://reimei.ed.jp/</t>
        </is>
      </c>
      <c r="O1374" s="12" t="inlineStr">
        <is>
          <t>開く</t>
        </is>
      </c>
    </row>
    <row r="1375">
      <c r="A1375" s="4" t="n">
        <v>1371</v>
      </c>
      <c r="B1375" s="5" t="inlineStr">
        <is>
          <t>沖縄県</t>
        </is>
      </c>
      <c r="C1375" s="5" t="inlineStr">
        <is>
          <t>名護市</t>
        </is>
      </c>
      <c r="D1375" s="5" t="inlineStr">
        <is>
          <t>エナジックスポーツ高等学院</t>
        </is>
      </c>
      <c r="E1375" s="6" t="inlineStr">
        <is>
          <t>0980-45-9022</t>
        </is>
      </c>
      <c r="F1375" s="7" t="inlineStr">
        <is>
          <t>高</t>
        </is>
      </c>
      <c r="G1375" s="5" t="inlineStr">
        <is>
          <t>普通科</t>
        </is>
      </c>
      <c r="H1375" s="8" t="n"/>
      <c r="I1375" s="9" t="n"/>
      <c r="J1375" s="9" t="inlineStr">
        <is>
          <t>未架電</t>
        </is>
      </c>
      <c r="K1375" s="8" t="n"/>
      <c r="L1375" s="9" t="n"/>
      <c r="M1375" s="10" t="inlineStr">
        <is>
          <t>名護本校。資料請求用フリーダイヤル0120-115-813</t>
        </is>
      </c>
      <c r="N1375" s="11" t="inlineStr">
        <is>
          <t>https://www.oshiro.ed.jp/enagicsports-hs/access/</t>
        </is>
      </c>
      <c r="O1375" s="12" t="inlineStr">
        <is>
          <t>開く</t>
        </is>
      </c>
    </row>
    <row r="1376">
      <c r="A1376" s="4" t="n">
        <v>1372</v>
      </c>
      <c r="B1376" s="5" t="inlineStr">
        <is>
          <t>沖縄県</t>
        </is>
      </c>
      <c r="C1376" s="5" t="inlineStr">
        <is>
          <t>うるま市</t>
        </is>
      </c>
      <c r="D1376" s="5" t="inlineStr">
        <is>
          <t>Ｎ高等学校</t>
        </is>
      </c>
      <c r="E1376" s="6" t="inlineStr">
        <is>
          <t>098-983-1677</t>
        </is>
      </c>
      <c r="F1376" s="13" t="inlineStr">
        <is>
          <t>中</t>
        </is>
      </c>
      <c r="G1376" s="5" t="inlineStr">
        <is>
          <t>普通科</t>
        </is>
      </c>
      <c r="H1376" s="8" t="n"/>
      <c r="I1376" s="9" t="n"/>
      <c r="J1376" s="9" t="inlineStr">
        <is>
          <t>未架電</t>
        </is>
      </c>
      <c r="K1376" s="8" t="n"/>
      <c r="L1376" s="9" t="n"/>
      <c r="M1376" s="10" t="inlineStr">
        <is>
          <t>通信制・うるま市の沖縄伊計本校。文科省資料・電話帳サイトで一致。公式の案内はフリーダイヤル0120-0252-15</t>
        </is>
      </c>
      <c r="N1376" s="11" t="inlineStr">
        <is>
          <t>https://www.mext.go.jp/content/20220218-mxt_koukou02-000020723_13.pdf</t>
        </is>
      </c>
      <c r="O1376" s="12" t="inlineStr">
        <is>
          <t>開く</t>
        </is>
      </c>
    </row>
    <row r="1377">
      <c r="A1377" s="4" t="n">
        <v>1373</v>
      </c>
      <c r="B1377" s="5" t="inlineStr">
        <is>
          <t>沖縄県</t>
        </is>
      </c>
      <c r="C1377" s="5" t="inlineStr">
        <is>
          <t>宜野湾市</t>
        </is>
      </c>
      <c r="D1377" s="5" t="inlineStr">
        <is>
          <t>沖縄カトリック高等学校</t>
        </is>
      </c>
      <c r="E1377" s="6" t="inlineStr">
        <is>
          <t>098-897-3300</t>
        </is>
      </c>
      <c r="F1377" s="7" t="inlineStr">
        <is>
          <t>高</t>
        </is>
      </c>
      <c r="G1377" s="5" t="inlineStr">
        <is>
          <t>普通科</t>
        </is>
      </c>
      <c r="H1377" s="8" t="n"/>
      <c r="I1377" s="9" t="n"/>
      <c r="J1377" s="9" t="inlineStr">
        <is>
          <t>未架電</t>
        </is>
      </c>
      <c r="K1377" s="8" t="n"/>
      <c r="L1377" s="9" t="n"/>
      <c r="M1377" s="10" t="inlineStr">
        <is>
          <t>沖縄県サイトとも一致。学校法人は098-897-3393</t>
        </is>
      </c>
      <c r="N1377" s="11" t="inlineStr">
        <is>
          <t>https://www.catholic-okinawa.ed.jp/junior-and-senior-highschool/entrance-exam/</t>
        </is>
      </c>
      <c r="O1377" s="12" t="inlineStr">
        <is>
          <t>開く</t>
        </is>
      </c>
    </row>
    <row r="1378">
      <c r="A1378" s="4" t="n">
        <v>1374</v>
      </c>
      <c r="B1378" s="5" t="inlineStr">
        <is>
          <t>沖縄県</t>
        </is>
      </c>
      <c r="C1378" s="5" t="inlineStr">
        <is>
          <t>那覇市</t>
        </is>
      </c>
      <c r="D1378" s="5" t="inlineStr">
        <is>
          <t>沖縄尚学高等学校</t>
        </is>
      </c>
      <c r="E1378" s="6" t="inlineStr">
        <is>
          <t>098-832-1767</t>
        </is>
      </c>
      <c r="F1378" s="7" t="inlineStr">
        <is>
          <t>高</t>
        </is>
      </c>
      <c r="G1378" s="5" t="inlineStr">
        <is>
          <t>普通科</t>
        </is>
      </c>
      <c r="H1378" s="8" t="n"/>
      <c r="I1378" s="9" t="n"/>
      <c r="J1378" s="9" t="inlineStr">
        <is>
          <t>未架電</t>
        </is>
      </c>
      <c r="K1378" s="8" t="n"/>
      <c r="L1378" s="9" t="n"/>
      <c r="M1378" s="10" t="inlineStr">
        <is>
          <t>沖縄県公式サイトで確認</t>
        </is>
      </c>
      <c r="N1378" s="11" t="inlineStr">
        <is>
          <t>https://www.pref.okinawa.lg.jp/kyoiku/gakko/1008900/1018622/1009323/1009331.html</t>
        </is>
      </c>
      <c r="O1378" s="12" t="inlineStr">
        <is>
          <t>開く</t>
        </is>
      </c>
    </row>
    <row r="1379">
      <c r="A1379" s="4" t="n">
        <v>1375</v>
      </c>
      <c r="B1379" s="5" t="inlineStr">
        <is>
          <t>沖縄県</t>
        </is>
      </c>
      <c r="C1379" s="5" t="inlineStr">
        <is>
          <t>那覇市</t>
        </is>
      </c>
      <c r="D1379" s="5" t="inlineStr">
        <is>
          <t>興南高等学校</t>
        </is>
      </c>
      <c r="E1379" s="6" t="inlineStr">
        <is>
          <t>098-884-3293</t>
        </is>
      </c>
      <c r="F1379" s="7" t="inlineStr">
        <is>
          <t>高</t>
        </is>
      </c>
      <c r="G1379" s="5" t="inlineStr">
        <is>
          <t>普通科</t>
        </is>
      </c>
      <c r="H1379" s="8" t="n"/>
      <c r="I1379" s="9" t="n"/>
      <c r="J1379" s="9" t="inlineStr">
        <is>
          <t>未架電</t>
        </is>
      </c>
      <c r="K1379" s="8" t="n"/>
      <c r="L1379" s="9" t="n"/>
      <c r="M1379" s="10" t="inlineStr">
        <is>
          <t>沖縄県サイトとも一致。一部サイトの098-884-3292は不一致</t>
        </is>
      </c>
      <c r="N1379" s="11" t="inlineStr">
        <is>
          <t>https://konan-h.ed.jp/</t>
        </is>
      </c>
      <c r="O1379" s="12" t="inlineStr">
        <is>
          <t>開く</t>
        </is>
      </c>
    </row>
    <row r="1380">
      <c r="A1380" s="4" t="n">
        <v>1376</v>
      </c>
      <c r="B1380" s="5" t="inlineStr">
        <is>
          <t>沖縄県</t>
        </is>
      </c>
      <c r="C1380" s="5" t="inlineStr">
        <is>
          <t>浦添市</t>
        </is>
      </c>
      <c r="D1380" s="5" t="inlineStr">
        <is>
          <t>昭和薬科大学附属高等学校</t>
        </is>
      </c>
      <c r="E1380" s="6" t="inlineStr">
        <is>
          <t>098-870-1852</t>
        </is>
      </c>
      <c r="F1380" s="7" t="inlineStr">
        <is>
          <t>高</t>
        </is>
      </c>
      <c r="G1380" s="5" t="inlineStr">
        <is>
          <t>普通科</t>
        </is>
      </c>
      <c r="H1380" s="8" t="n"/>
      <c r="I1380" s="9" t="n"/>
      <c r="J1380" s="9" t="inlineStr">
        <is>
          <t>未架電</t>
        </is>
      </c>
      <c r="K1380" s="8" t="n"/>
      <c r="L1380" s="9" t="n"/>
      <c r="M1380" s="10" t="inlineStr">
        <is>
          <t>沖縄県サイトとも一致</t>
        </is>
      </c>
      <c r="N1380" s="11" t="inlineStr">
        <is>
          <t>https://www.showayakka-jh.ed.jp/about/disclosure/access/</t>
        </is>
      </c>
      <c r="O1380" s="12" t="inlineStr">
        <is>
          <t>開く</t>
        </is>
      </c>
    </row>
    <row r="1381">
      <c r="A1381" s="4" t="n">
        <v>1377</v>
      </c>
      <c r="B1381" s="5" t="inlineStr">
        <is>
          <t>沖縄県</t>
        </is>
      </c>
      <c r="C1381" s="5" t="inlineStr">
        <is>
          <t>沖縄市</t>
        </is>
      </c>
      <c r="D1381" s="5" t="inlineStr">
        <is>
          <t>仙台育英学園沖縄高等学校</t>
        </is>
      </c>
      <c r="E1381" s="6" t="inlineStr">
        <is>
          <t>098-930-4111</t>
        </is>
      </c>
      <c r="F1381" s="7" t="inlineStr">
        <is>
          <t>高</t>
        </is>
      </c>
      <c r="G1381" s="5" t="inlineStr">
        <is>
          <t>普通科</t>
        </is>
      </c>
      <c r="H1381" s="8" t="n"/>
      <c r="I1381" s="9" t="n"/>
      <c r="J1381" s="9" t="inlineStr">
        <is>
          <t>未架電</t>
        </is>
      </c>
      <c r="K1381" s="8" t="n"/>
      <c r="L1381" s="9" t="n"/>
      <c r="M1381" s="10" t="inlineStr">
        <is>
          <t>098-923-2286を掲載するサイトあり（旧番号の可能性）</t>
        </is>
      </c>
      <c r="N1381" s="11" t="inlineStr">
        <is>
          <t>https://www.sendaiikuei.ed.jp/okinawa/intro/access/</t>
        </is>
      </c>
      <c r="O1381" s="12" t="inlineStr">
        <is>
          <t>開く</t>
        </is>
      </c>
    </row>
    <row r="1382">
      <c r="A1382" s="4" t="n">
        <v>1378</v>
      </c>
      <c r="B1382" s="5" t="inlineStr">
        <is>
          <t>沖縄県</t>
        </is>
      </c>
      <c r="C1382" s="5" t="inlineStr">
        <is>
          <t>本部町</t>
        </is>
      </c>
      <c r="D1382" s="5" t="inlineStr">
        <is>
          <t>八洲学園大学国際高等学校</t>
        </is>
      </c>
      <c r="E1382" s="6" t="inlineStr">
        <is>
          <t>0980-51-7711</t>
        </is>
      </c>
      <c r="F1382" s="7" t="inlineStr">
        <is>
          <t>高</t>
        </is>
      </c>
      <c r="G1382" s="5" t="inlineStr">
        <is>
          <t>普通科</t>
        </is>
      </c>
      <c r="H1382" s="8" t="n"/>
      <c r="I1382" s="9" t="n"/>
      <c r="J1382" s="9" t="inlineStr">
        <is>
          <t>未架電</t>
        </is>
      </c>
      <c r="K1382" s="8" t="n"/>
      <c r="L1382" s="9" t="n"/>
      <c r="M1382" s="10" t="inlineStr">
        <is>
          <t>通信制・本部町の本校。フリーコール0120-917-840</t>
        </is>
      </c>
      <c r="N1382" s="11" t="inlineStr">
        <is>
          <t>https://www.pref.okinawa.jp/kyoiku/gakko/1008900/1018622/1009323/1009383.html</t>
        </is>
      </c>
      <c r="O1382" s="12" t="inlineStr">
        <is>
          <t>開く</t>
        </is>
      </c>
    </row>
  </sheetData>
  <autoFilter ref="A4:O1382"/>
  <conditionalFormatting sqref="A5:O1382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382" showDropDown="0" showInputMessage="0" showErrorMessage="0" allowBlank="1" type="list">
      <formula1>"未架電,不在・折返し待ち,担当者不在,資料送付,アポ獲得,検討中,NG,番号不明"</formula1>
    </dataValidation>
    <dataValidation sqref="H5:H1382 K5:K1382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  <hyperlink xmlns:r="http://schemas.openxmlformats.org/officeDocument/2006/relationships" ref="O1206" r:id="rId1202"/>
    <hyperlink xmlns:r="http://schemas.openxmlformats.org/officeDocument/2006/relationships" ref="O1207" r:id="rId1203"/>
    <hyperlink xmlns:r="http://schemas.openxmlformats.org/officeDocument/2006/relationships" ref="O1208" r:id="rId1204"/>
    <hyperlink xmlns:r="http://schemas.openxmlformats.org/officeDocument/2006/relationships" ref="O1209" r:id="rId1205"/>
    <hyperlink xmlns:r="http://schemas.openxmlformats.org/officeDocument/2006/relationships" ref="O1210" r:id="rId1206"/>
    <hyperlink xmlns:r="http://schemas.openxmlformats.org/officeDocument/2006/relationships" ref="O1211" r:id="rId1207"/>
    <hyperlink xmlns:r="http://schemas.openxmlformats.org/officeDocument/2006/relationships" ref="O1212" r:id="rId1208"/>
    <hyperlink xmlns:r="http://schemas.openxmlformats.org/officeDocument/2006/relationships" ref="O1213" r:id="rId1209"/>
    <hyperlink xmlns:r="http://schemas.openxmlformats.org/officeDocument/2006/relationships" ref="O1214" r:id="rId1210"/>
    <hyperlink xmlns:r="http://schemas.openxmlformats.org/officeDocument/2006/relationships" ref="O1215" r:id="rId1211"/>
    <hyperlink xmlns:r="http://schemas.openxmlformats.org/officeDocument/2006/relationships" ref="O1216" r:id="rId1212"/>
    <hyperlink xmlns:r="http://schemas.openxmlformats.org/officeDocument/2006/relationships" ref="O1217" r:id="rId1213"/>
    <hyperlink xmlns:r="http://schemas.openxmlformats.org/officeDocument/2006/relationships" ref="O1218" r:id="rId1214"/>
    <hyperlink xmlns:r="http://schemas.openxmlformats.org/officeDocument/2006/relationships" ref="O1219" r:id="rId1215"/>
    <hyperlink xmlns:r="http://schemas.openxmlformats.org/officeDocument/2006/relationships" ref="O1220" r:id="rId1216"/>
    <hyperlink xmlns:r="http://schemas.openxmlformats.org/officeDocument/2006/relationships" ref="O1221" r:id="rId1217"/>
    <hyperlink xmlns:r="http://schemas.openxmlformats.org/officeDocument/2006/relationships" ref="O1222" r:id="rId1218"/>
    <hyperlink xmlns:r="http://schemas.openxmlformats.org/officeDocument/2006/relationships" ref="O1223" r:id="rId1219"/>
    <hyperlink xmlns:r="http://schemas.openxmlformats.org/officeDocument/2006/relationships" ref="O1224" r:id="rId1220"/>
    <hyperlink xmlns:r="http://schemas.openxmlformats.org/officeDocument/2006/relationships" ref="O1225" r:id="rId1221"/>
    <hyperlink xmlns:r="http://schemas.openxmlformats.org/officeDocument/2006/relationships" ref="O1226" r:id="rId1222"/>
    <hyperlink xmlns:r="http://schemas.openxmlformats.org/officeDocument/2006/relationships" ref="O1227" r:id="rId1223"/>
    <hyperlink xmlns:r="http://schemas.openxmlformats.org/officeDocument/2006/relationships" ref="O1228" r:id="rId1224"/>
    <hyperlink xmlns:r="http://schemas.openxmlformats.org/officeDocument/2006/relationships" ref="O1229" r:id="rId1225"/>
    <hyperlink xmlns:r="http://schemas.openxmlformats.org/officeDocument/2006/relationships" ref="O1230" r:id="rId1226"/>
    <hyperlink xmlns:r="http://schemas.openxmlformats.org/officeDocument/2006/relationships" ref="O1231" r:id="rId1227"/>
    <hyperlink xmlns:r="http://schemas.openxmlformats.org/officeDocument/2006/relationships" ref="O1232" r:id="rId1228"/>
    <hyperlink xmlns:r="http://schemas.openxmlformats.org/officeDocument/2006/relationships" ref="O1233" r:id="rId1229"/>
    <hyperlink xmlns:r="http://schemas.openxmlformats.org/officeDocument/2006/relationships" ref="O1234" r:id="rId1230"/>
    <hyperlink xmlns:r="http://schemas.openxmlformats.org/officeDocument/2006/relationships" ref="O1235" r:id="rId1231"/>
    <hyperlink xmlns:r="http://schemas.openxmlformats.org/officeDocument/2006/relationships" ref="O1236" r:id="rId1232"/>
    <hyperlink xmlns:r="http://schemas.openxmlformats.org/officeDocument/2006/relationships" ref="O1237" r:id="rId1233"/>
    <hyperlink xmlns:r="http://schemas.openxmlformats.org/officeDocument/2006/relationships" ref="O1238" r:id="rId1234"/>
    <hyperlink xmlns:r="http://schemas.openxmlformats.org/officeDocument/2006/relationships" ref="O1239" r:id="rId1235"/>
    <hyperlink xmlns:r="http://schemas.openxmlformats.org/officeDocument/2006/relationships" ref="O1240" r:id="rId1236"/>
    <hyperlink xmlns:r="http://schemas.openxmlformats.org/officeDocument/2006/relationships" ref="O1241" r:id="rId1237"/>
    <hyperlink xmlns:r="http://schemas.openxmlformats.org/officeDocument/2006/relationships" ref="O1242" r:id="rId1238"/>
    <hyperlink xmlns:r="http://schemas.openxmlformats.org/officeDocument/2006/relationships" ref="O1243" r:id="rId1239"/>
    <hyperlink xmlns:r="http://schemas.openxmlformats.org/officeDocument/2006/relationships" ref="O1244" r:id="rId1240"/>
    <hyperlink xmlns:r="http://schemas.openxmlformats.org/officeDocument/2006/relationships" ref="O1245" r:id="rId1241"/>
    <hyperlink xmlns:r="http://schemas.openxmlformats.org/officeDocument/2006/relationships" ref="O1246" r:id="rId1242"/>
    <hyperlink xmlns:r="http://schemas.openxmlformats.org/officeDocument/2006/relationships" ref="O1247" r:id="rId1243"/>
    <hyperlink xmlns:r="http://schemas.openxmlformats.org/officeDocument/2006/relationships" ref="O1248" r:id="rId1244"/>
    <hyperlink xmlns:r="http://schemas.openxmlformats.org/officeDocument/2006/relationships" ref="O1249" r:id="rId1245"/>
    <hyperlink xmlns:r="http://schemas.openxmlformats.org/officeDocument/2006/relationships" ref="O1250" r:id="rId1246"/>
    <hyperlink xmlns:r="http://schemas.openxmlformats.org/officeDocument/2006/relationships" ref="O1251" r:id="rId1247"/>
    <hyperlink xmlns:r="http://schemas.openxmlformats.org/officeDocument/2006/relationships" ref="O1252" r:id="rId1248"/>
    <hyperlink xmlns:r="http://schemas.openxmlformats.org/officeDocument/2006/relationships" ref="O1253" r:id="rId1249"/>
    <hyperlink xmlns:r="http://schemas.openxmlformats.org/officeDocument/2006/relationships" ref="O1254" r:id="rId1250"/>
    <hyperlink xmlns:r="http://schemas.openxmlformats.org/officeDocument/2006/relationships" ref="O1255" r:id="rId1251"/>
    <hyperlink xmlns:r="http://schemas.openxmlformats.org/officeDocument/2006/relationships" ref="O1256" r:id="rId1252"/>
    <hyperlink xmlns:r="http://schemas.openxmlformats.org/officeDocument/2006/relationships" ref="O1257" r:id="rId1253"/>
    <hyperlink xmlns:r="http://schemas.openxmlformats.org/officeDocument/2006/relationships" ref="O1258" r:id="rId1254"/>
    <hyperlink xmlns:r="http://schemas.openxmlformats.org/officeDocument/2006/relationships" ref="O1259" r:id="rId1255"/>
    <hyperlink xmlns:r="http://schemas.openxmlformats.org/officeDocument/2006/relationships" ref="O1260" r:id="rId1256"/>
    <hyperlink xmlns:r="http://schemas.openxmlformats.org/officeDocument/2006/relationships" ref="O1261" r:id="rId1257"/>
    <hyperlink xmlns:r="http://schemas.openxmlformats.org/officeDocument/2006/relationships" ref="O1262" r:id="rId1258"/>
    <hyperlink xmlns:r="http://schemas.openxmlformats.org/officeDocument/2006/relationships" ref="O1263" r:id="rId1259"/>
    <hyperlink xmlns:r="http://schemas.openxmlformats.org/officeDocument/2006/relationships" ref="O1264" r:id="rId1260"/>
    <hyperlink xmlns:r="http://schemas.openxmlformats.org/officeDocument/2006/relationships" ref="O1265" r:id="rId1261"/>
    <hyperlink xmlns:r="http://schemas.openxmlformats.org/officeDocument/2006/relationships" ref="O1266" r:id="rId1262"/>
    <hyperlink xmlns:r="http://schemas.openxmlformats.org/officeDocument/2006/relationships" ref="O1267" r:id="rId1263"/>
    <hyperlink xmlns:r="http://schemas.openxmlformats.org/officeDocument/2006/relationships" ref="O1268" r:id="rId1264"/>
    <hyperlink xmlns:r="http://schemas.openxmlformats.org/officeDocument/2006/relationships" ref="O1269" r:id="rId1265"/>
    <hyperlink xmlns:r="http://schemas.openxmlformats.org/officeDocument/2006/relationships" ref="O1270" r:id="rId1266"/>
    <hyperlink xmlns:r="http://schemas.openxmlformats.org/officeDocument/2006/relationships" ref="O1271" r:id="rId1267"/>
    <hyperlink xmlns:r="http://schemas.openxmlformats.org/officeDocument/2006/relationships" ref="O1272" r:id="rId1268"/>
    <hyperlink xmlns:r="http://schemas.openxmlformats.org/officeDocument/2006/relationships" ref="O1273" r:id="rId1269"/>
    <hyperlink xmlns:r="http://schemas.openxmlformats.org/officeDocument/2006/relationships" ref="O1274" r:id="rId1270"/>
    <hyperlink xmlns:r="http://schemas.openxmlformats.org/officeDocument/2006/relationships" ref="O1275" r:id="rId1271"/>
    <hyperlink xmlns:r="http://schemas.openxmlformats.org/officeDocument/2006/relationships" ref="O1276" r:id="rId1272"/>
    <hyperlink xmlns:r="http://schemas.openxmlformats.org/officeDocument/2006/relationships" ref="O1277" r:id="rId1273"/>
    <hyperlink xmlns:r="http://schemas.openxmlformats.org/officeDocument/2006/relationships" ref="O1278" r:id="rId1274"/>
    <hyperlink xmlns:r="http://schemas.openxmlformats.org/officeDocument/2006/relationships" ref="O1279" r:id="rId1275"/>
    <hyperlink xmlns:r="http://schemas.openxmlformats.org/officeDocument/2006/relationships" ref="O1280" r:id="rId1276"/>
    <hyperlink xmlns:r="http://schemas.openxmlformats.org/officeDocument/2006/relationships" ref="O1281" r:id="rId1277"/>
    <hyperlink xmlns:r="http://schemas.openxmlformats.org/officeDocument/2006/relationships" ref="O1282" r:id="rId1278"/>
    <hyperlink xmlns:r="http://schemas.openxmlformats.org/officeDocument/2006/relationships" ref="O1283" r:id="rId1279"/>
    <hyperlink xmlns:r="http://schemas.openxmlformats.org/officeDocument/2006/relationships" ref="O1284" r:id="rId1280"/>
    <hyperlink xmlns:r="http://schemas.openxmlformats.org/officeDocument/2006/relationships" ref="O1285" r:id="rId1281"/>
    <hyperlink xmlns:r="http://schemas.openxmlformats.org/officeDocument/2006/relationships" ref="O1286" r:id="rId1282"/>
    <hyperlink xmlns:r="http://schemas.openxmlformats.org/officeDocument/2006/relationships" ref="O1287" r:id="rId1283"/>
    <hyperlink xmlns:r="http://schemas.openxmlformats.org/officeDocument/2006/relationships" ref="O1288" r:id="rId1284"/>
    <hyperlink xmlns:r="http://schemas.openxmlformats.org/officeDocument/2006/relationships" ref="O1289" r:id="rId1285"/>
    <hyperlink xmlns:r="http://schemas.openxmlformats.org/officeDocument/2006/relationships" ref="O1290" r:id="rId1286"/>
    <hyperlink xmlns:r="http://schemas.openxmlformats.org/officeDocument/2006/relationships" ref="O1291" r:id="rId1287"/>
    <hyperlink xmlns:r="http://schemas.openxmlformats.org/officeDocument/2006/relationships" ref="O1292" r:id="rId1288"/>
    <hyperlink xmlns:r="http://schemas.openxmlformats.org/officeDocument/2006/relationships" ref="O1293" r:id="rId1289"/>
    <hyperlink xmlns:r="http://schemas.openxmlformats.org/officeDocument/2006/relationships" ref="O1294" r:id="rId1290"/>
    <hyperlink xmlns:r="http://schemas.openxmlformats.org/officeDocument/2006/relationships" ref="O1295" r:id="rId1291"/>
    <hyperlink xmlns:r="http://schemas.openxmlformats.org/officeDocument/2006/relationships" ref="O1296" r:id="rId1292"/>
    <hyperlink xmlns:r="http://schemas.openxmlformats.org/officeDocument/2006/relationships" ref="O1297" r:id="rId1293"/>
    <hyperlink xmlns:r="http://schemas.openxmlformats.org/officeDocument/2006/relationships" ref="O1298" r:id="rId1294"/>
    <hyperlink xmlns:r="http://schemas.openxmlformats.org/officeDocument/2006/relationships" ref="O1299" r:id="rId1295"/>
    <hyperlink xmlns:r="http://schemas.openxmlformats.org/officeDocument/2006/relationships" ref="O1300" r:id="rId1296"/>
    <hyperlink xmlns:r="http://schemas.openxmlformats.org/officeDocument/2006/relationships" ref="O1301" r:id="rId1297"/>
    <hyperlink xmlns:r="http://schemas.openxmlformats.org/officeDocument/2006/relationships" ref="O1302" r:id="rId1298"/>
    <hyperlink xmlns:r="http://schemas.openxmlformats.org/officeDocument/2006/relationships" ref="O1303" r:id="rId1299"/>
    <hyperlink xmlns:r="http://schemas.openxmlformats.org/officeDocument/2006/relationships" ref="O1304" r:id="rId1300"/>
    <hyperlink xmlns:r="http://schemas.openxmlformats.org/officeDocument/2006/relationships" ref="O1305" r:id="rId1301"/>
    <hyperlink xmlns:r="http://schemas.openxmlformats.org/officeDocument/2006/relationships" ref="O1306" r:id="rId1302"/>
    <hyperlink xmlns:r="http://schemas.openxmlformats.org/officeDocument/2006/relationships" ref="O1307" r:id="rId1303"/>
    <hyperlink xmlns:r="http://schemas.openxmlformats.org/officeDocument/2006/relationships" ref="O1308" r:id="rId1304"/>
    <hyperlink xmlns:r="http://schemas.openxmlformats.org/officeDocument/2006/relationships" ref="O1309" r:id="rId1305"/>
    <hyperlink xmlns:r="http://schemas.openxmlformats.org/officeDocument/2006/relationships" ref="O1310" r:id="rId1306"/>
    <hyperlink xmlns:r="http://schemas.openxmlformats.org/officeDocument/2006/relationships" ref="O1311" r:id="rId1307"/>
    <hyperlink xmlns:r="http://schemas.openxmlformats.org/officeDocument/2006/relationships" ref="O1312" r:id="rId1308"/>
    <hyperlink xmlns:r="http://schemas.openxmlformats.org/officeDocument/2006/relationships" ref="O1313" r:id="rId1309"/>
    <hyperlink xmlns:r="http://schemas.openxmlformats.org/officeDocument/2006/relationships" ref="O1314" r:id="rId1310"/>
    <hyperlink xmlns:r="http://schemas.openxmlformats.org/officeDocument/2006/relationships" ref="O1315" r:id="rId1311"/>
    <hyperlink xmlns:r="http://schemas.openxmlformats.org/officeDocument/2006/relationships" ref="O1316" r:id="rId1312"/>
    <hyperlink xmlns:r="http://schemas.openxmlformats.org/officeDocument/2006/relationships" ref="O1317" r:id="rId1313"/>
    <hyperlink xmlns:r="http://schemas.openxmlformats.org/officeDocument/2006/relationships" ref="O1318" r:id="rId1314"/>
    <hyperlink xmlns:r="http://schemas.openxmlformats.org/officeDocument/2006/relationships" ref="O1319" r:id="rId1315"/>
    <hyperlink xmlns:r="http://schemas.openxmlformats.org/officeDocument/2006/relationships" ref="O1320" r:id="rId1316"/>
    <hyperlink xmlns:r="http://schemas.openxmlformats.org/officeDocument/2006/relationships" ref="O1321" r:id="rId1317"/>
    <hyperlink xmlns:r="http://schemas.openxmlformats.org/officeDocument/2006/relationships" ref="O1322" r:id="rId1318"/>
    <hyperlink xmlns:r="http://schemas.openxmlformats.org/officeDocument/2006/relationships" ref="O1323" r:id="rId1319"/>
    <hyperlink xmlns:r="http://schemas.openxmlformats.org/officeDocument/2006/relationships" ref="O1324" r:id="rId1320"/>
    <hyperlink xmlns:r="http://schemas.openxmlformats.org/officeDocument/2006/relationships" ref="O1325" r:id="rId1321"/>
    <hyperlink xmlns:r="http://schemas.openxmlformats.org/officeDocument/2006/relationships" ref="O1326" r:id="rId1322"/>
    <hyperlink xmlns:r="http://schemas.openxmlformats.org/officeDocument/2006/relationships" ref="O1327" r:id="rId1323"/>
    <hyperlink xmlns:r="http://schemas.openxmlformats.org/officeDocument/2006/relationships" ref="O1328" r:id="rId1324"/>
    <hyperlink xmlns:r="http://schemas.openxmlformats.org/officeDocument/2006/relationships" ref="O1329" r:id="rId1325"/>
    <hyperlink xmlns:r="http://schemas.openxmlformats.org/officeDocument/2006/relationships" ref="O1330" r:id="rId1326"/>
    <hyperlink xmlns:r="http://schemas.openxmlformats.org/officeDocument/2006/relationships" ref="O1331" r:id="rId1327"/>
    <hyperlink xmlns:r="http://schemas.openxmlformats.org/officeDocument/2006/relationships" ref="O1332" r:id="rId1328"/>
    <hyperlink xmlns:r="http://schemas.openxmlformats.org/officeDocument/2006/relationships" ref="O1333" r:id="rId1329"/>
    <hyperlink xmlns:r="http://schemas.openxmlformats.org/officeDocument/2006/relationships" ref="O1334" r:id="rId1330"/>
    <hyperlink xmlns:r="http://schemas.openxmlformats.org/officeDocument/2006/relationships" ref="O1335" r:id="rId1331"/>
    <hyperlink xmlns:r="http://schemas.openxmlformats.org/officeDocument/2006/relationships" ref="O1336" r:id="rId1332"/>
    <hyperlink xmlns:r="http://schemas.openxmlformats.org/officeDocument/2006/relationships" ref="O1337" r:id="rId1333"/>
    <hyperlink xmlns:r="http://schemas.openxmlformats.org/officeDocument/2006/relationships" ref="O1338" r:id="rId1334"/>
    <hyperlink xmlns:r="http://schemas.openxmlformats.org/officeDocument/2006/relationships" ref="O1339" r:id="rId1335"/>
    <hyperlink xmlns:r="http://schemas.openxmlformats.org/officeDocument/2006/relationships" ref="O1340" r:id="rId1336"/>
    <hyperlink xmlns:r="http://schemas.openxmlformats.org/officeDocument/2006/relationships" ref="O1341" r:id="rId1337"/>
    <hyperlink xmlns:r="http://schemas.openxmlformats.org/officeDocument/2006/relationships" ref="O1342" r:id="rId1338"/>
    <hyperlink xmlns:r="http://schemas.openxmlformats.org/officeDocument/2006/relationships" ref="O1343" r:id="rId1339"/>
    <hyperlink xmlns:r="http://schemas.openxmlformats.org/officeDocument/2006/relationships" ref="O1344" r:id="rId1340"/>
    <hyperlink xmlns:r="http://schemas.openxmlformats.org/officeDocument/2006/relationships" ref="O1345" r:id="rId1341"/>
    <hyperlink xmlns:r="http://schemas.openxmlformats.org/officeDocument/2006/relationships" ref="O1346" r:id="rId1342"/>
    <hyperlink xmlns:r="http://schemas.openxmlformats.org/officeDocument/2006/relationships" ref="O1347" r:id="rId1343"/>
    <hyperlink xmlns:r="http://schemas.openxmlformats.org/officeDocument/2006/relationships" ref="O1348" r:id="rId1344"/>
    <hyperlink xmlns:r="http://schemas.openxmlformats.org/officeDocument/2006/relationships" ref="O1349" r:id="rId1345"/>
    <hyperlink xmlns:r="http://schemas.openxmlformats.org/officeDocument/2006/relationships" ref="O1350" r:id="rId1346"/>
    <hyperlink xmlns:r="http://schemas.openxmlformats.org/officeDocument/2006/relationships" ref="O1351" r:id="rId1347"/>
    <hyperlink xmlns:r="http://schemas.openxmlformats.org/officeDocument/2006/relationships" ref="O1352" r:id="rId1348"/>
    <hyperlink xmlns:r="http://schemas.openxmlformats.org/officeDocument/2006/relationships" ref="O1353" r:id="rId1349"/>
    <hyperlink xmlns:r="http://schemas.openxmlformats.org/officeDocument/2006/relationships" ref="O1354" r:id="rId1350"/>
    <hyperlink xmlns:r="http://schemas.openxmlformats.org/officeDocument/2006/relationships" ref="O1355" r:id="rId1351"/>
    <hyperlink xmlns:r="http://schemas.openxmlformats.org/officeDocument/2006/relationships" ref="O1356" r:id="rId1352"/>
    <hyperlink xmlns:r="http://schemas.openxmlformats.org/officeDocument/2006/relationships" ref="O1357" r:id="rId1353"/>
    <hyperlink xmlns:r="http://schemas.openxmlformats.org/officeDocument/2006/relationships" ref="O1358" r:id="rId1354"/>
    <hyperlink xmlns:r="http://schemas.openxmlformats.org/officeDocument/2006/relationships" ref="O1359" r:id="rId1355"/>
    <hyperlink xmlns:r="http://schemas.openxmlformats.org/officeDocument/2006/relationships" ref="O1360" r:id="rId1356"/>
    <hyperlink xmlns:r="http://schemas.openxmlformats.org/officeDocument/2006/relationships" ref="O1361" r:id="rId1357"/>
    <hyperlink xmlns:r="http://schemas.openxmlformats.org/officeDocument/2006/relationships" ref="O1362" r:id="rId1358"/>
    <hyperlink xmlns:r="http://schemas.openxmlformats.org/officeDocument/2006/relationships" ref="O1363" r:id="rId1359"/>
    <hyperlink xmlns:r="http://schemas.openxmlformats.org/officeDocument/2006/relationships" ref="O1364" r:id="rId1360"/>
    <hyperlink xmlns:r="http://schemas.openxmlformats.org/officeDocument/2006/relationships" ref="O1365" r:id="rId1361"/>
    <hyperlink xmlns:r="http://schemas.openxmlformats.org/officeDocument/2006/relationships" ref="O1366" r:id="rId1362"/>
    <hyperlink xmlns:r="http://schemas.openxmlformats.org/officeDocument/2006/relationships" ref="O1367" r:id="rId1363"/>
    <hyperlink xmlns:r="http://schemas.openxmlformats.org/officeDocument/2006/relationships" ref="O1368" r:id="rId1364"/>
    <hyperlink xmlns:r="http://schemas.openxmlformats.org/officeDocument/2006/relationships" ref="O1369" r:id="rId1365"/>
    <hyperlink xmlns:r="http://schemas.openxmlformats.org/officeDocument/2006/relationships" ref="O1370" r:id="rId1366"/>
    <hyperlink xmlns:r="http://schemas.openxmlformats.org/officeDocument/2006/relationships" ref="O1371" r:id="rId1367"/>
    <hyperlink xmlns:r="http://schemas.openxmlformats.org/officeDocument/2006/relationships" ref="O1372" r:id="rId1368"/>
    <hyperlink xmlns:r="http://schemas.openxmlformats.org/officeDocument/2006/relationships" ref="O1373" r:id="rId1369"/>
    <hyperlink xmlns:r="http://schemas.openxmlformats.org/officeDocument/2006/relationships" ref="O1374" r:id="rId1370"/>
    <hyperlink xmlns:r="http://schemas.openxmlformats.org/officeDocument/2006/relationships" ref="O1375" r:id="rId1371"/>
    <hyperlink xmlns:r="http://schemas.openxmlformats.org/officeDocument/2006/relationships" ref="O1376" r:id="rId1372"/>
    <hyperlink xmlns:r="http://schemas.openxmlformats.org/officeDocument/2006/relationships" ref="O1377" r:id="rId1373"/>
    <hyperlink xmlns:r="http://schemas.openxmlformats.org/officeDocument/2006/relationships" ref="O1378" r:id="rId1374"/>
    <hyperlink xmlns:r="http://schemas.openxmlformats.org/officeDocument/2006/relationships" ref="O1379" r:id="rId1375"/>
    <hyperlink xmlns:r="http://schemas.openxmlformats.org/officeDocument/2006/relationships" ref="O1380" r:id="rId1376"/>
    <hyperlink xmlns:r="http://schemas.openxmlformats.org/officeDocument/2006/relationships" ref="O1381" r:id="rId1377"/>
    <hyperlink xmlns:r="http://schemas.openxmlformats.org/officeDocument/2006/relationships" ref="O1382" r:id="rId137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COUNTIF('架電リスト'!$B$5:$B$1382,A4)</f>
        <v/>
      </c>
      <c r="C4" s="16">
        <f>COUNTIFS('架電リスト'!$B$5:$B$1382,A4,'架電リスト'!$E$5:$E$1382,"&lt;&gt;")</f>
        <v/>
      </c>
      <c r="D4" s="16">
        <f>B4-COUNTIFS('架電リスト'!$B$5:$B$1382,A4,'架電リスト'!$J$5:$J$1382,"未架電")-COUNTIFS('架電リスト'!$B$5:$B$1382,A4,'架電リスト'!$J$5:$J$1382,"")</f>
        <v/>
      </c>
      <c r="E4" s="16">
        <f>COUNTIFS('架電リスト'!$B$5:$B$1382,$A4,'架電リスト'!$J$5:$J$1382,"不在・折返し待ち")</f>
        <v/>
      </c>
      <c r="F4" s="16">
        <f>COUNTIFS('架電リスト'!$B$5:$B$1382,$A4,'架電リスト'!$J$5:$J$1382,"担当者不在")</f>
        <v/>
      </c>
      <c r="G4" s="16">
        <f>COUNTIFS('架電リスト'!$B$5:$B$1382,$A4,'架電リスト'!$J$5:$J$1382,"資料送付")</f>
        <v/>
      </c>
      <c r="H4" s="16">
        <f>COUNTIFS('架電リスト'!$B$5:$B$1382,$A4,'架電リスト'!$J$5:$J$1382,"アポ獲得")</f>
        <v/>
      </c>
      <c r="I4" s="16">
        <f>COUNTIFS('架電リスト'!$B$5:$B$1382,$A4,'架電リスト'!$J$5:$J$1382,"検討中")</f>
        <v/>
      </c>
      <c r="J4" s="16">
        <f>COUNTIFS('架電リスト'!$B$5:$B$1382,$A4,'架電リスト'!$J$5:$J$1382,"NG")</f>
        <v/>
      </c>
      <c r="K4" s="16">
        <f>COUNTIFS('架電リスト'!$B$5:$B$1382,$A4,'架電リスト'!$J$5:$J$1382,"番号不明")</f>
        <v/>
      </c>
    </row>
    <row r="5">
      <c r="A5" s="16" t="inlineStr">
        <is>
          <t>青森県</t>
        </is>
      </c>
      <c r="B5" s="16">
        <f>COUNTIF('架電リスト'!$B$5:$B$1382,A5)</f>
        <v/>
      </c>
      <c r="C5" s="16">
        <f>COUNTIFS('架電リスト'!$B$5:$B$1382,A5,'架電リスト'!$E$5:$E$1382,"&lt;&gt;")</f>
        <v/>
      </c>
      <c r="D5" s="16">
        <f>B5-COUNTIFS('架電リスト'!$B$5:$B$1382,A5,'架電リスト'!$J$5:$J$1382,"未架電")-COUNTIFS('架電リスト'!$B$5:$B$1382,A5,'架電リスト'!$J$5:$J$1382,"")</f>
        <v/>
      </c>
      <c r="E5" s="16">
        <f>COUNTIFS('架電リスト'!$B$5:$B$1382,$A5,'架電リスト'!$J$5:$J$1382,"不在・折返し待ち")</f>
        <v/>
      </c>
      <c r="F5" s="16">
        <f>COUNTIFS('架電リスト'!$B$5:$B$1382,$A5,'架電リスト'!$J$5:$J$1382,"担当者不在")</f>
        <v/>
      </c>
      <c r="G5" s="16">
        <f>COUNTIFS('架電リスト'!$B$5:$B$1382,$A5,'架電リスト'!$J$5:$J$1382,"資料送付")</f>
        <v/>
      </c>
      <c r="H5" s="16">
        <f>COUNTIFS('架電リスト'!$B$5:$B$1382,$A5,'架電リスト'!$J$5:$J$1382,"アポ獲得")</f>
        <v/>
      </c>
      <c r="I5" s="16">
        <f>COUNTIFS('架電リスト'!$B$5:$B$1382,$A5,'架電リスト'!$J$5:$J$1382,"検討中")</f>
        <v/>
      </c>
      <c r="J5" s="16">
        <f>COUNTIFS('架電リスト'!$B$5:$B$1382,$A5,'架電リスト'!$J$5:$J$1382,"NG")</f>
        <v/>
      </c>
      <c r="K5" s="16">
        <f>COUNTIFS('架電リスト'!$B$5:$B$1382,$A5,'架電リスト'!$J$5:$J$1382,"番号不明")</f>
        <v/>
      </c>
    </row>
    <row r="6">
      <c r="A6" s="16" t="inlineStr">
        <is>
          <t>岩手県</t>
        </is>
      </c>
      <c r="B6" s="16">
        <f>COUNTIF('架電リスト'!$B$5:$B$1382,A6)</f>
        <v/>
      </c>
      <c r="C6" s="16">
        <f>COUNTIFS('架電リスト'!$B$5:$B$1382,A6,'架電リスト'!$E$5:$E$1382,"&lt;&gt;")</f>
        <v/>
      </c>
      <c r="D6" s="16">
        <f>B6-COUNTIFS('架電リスト'!$B$5:$B$1382,A6,'架電リスト'!$J$5:$J$1382,"未架電")-COUNTIFS('架電リスト'!$B$5:$B$1382,A6,'架電リスト'!$J$5:$J$1382,"")</f>
        <v/>
      </c>
      <c r="E6" s="16">
        <f>COUNTIFS('架電リスト'!$B$5:$B$1382,$A6,'架電リスト'!$J$5:$J$1382,"不在・折返し待ち")</f>
        <v/>
      </c>
      <c r="F6" s="16">
        <f>COUNTIFS('架電リスト'!$B$5:$B$1382,$A6,'架電リスト'!$J$5:$J$1382,"担当者不在")</f>
        <v/>
      </c>
      <c r="G6" s="16">
        <f>COUNTIFS('架電リスト'!$B$5:$B$1382,$A6,'架電リスト'!$J$5:$J$1382,"資料送付")</f>
        <v/>
      </c>
      <c r="H6" s="16">
        <f>COUNTIFS('架電リスト'!$B$5:$B$1382,$A6,'架電リスト'!$J$5:$J$1382,"アポ獲得")</f>
        <v/>
      </c>
      <c r="I6" s="16">
        <f>COUNTIFS('架電リスト'!$B$5:$B$1382,$A6,'架電リスト'!$J$5:$J$1382,"検討中")</f>
        <v/>
      </c>
      <c r="J6" s="16">
        <f>COUNTIFS('架電リスト'!$B$5:$B$1382,$A6,'架電リスト'!$J$5:$J$1382,"NG")</f>
        <v/>
      </c>
      <c r="K6" s="16">
        <f>COUNTIFS('架電リスト'!$B$5:$B$1382,$A6,'架電リスト'!$J$5:$J$1382,"番号不明")</f>
        <v/>
      </c>
    </row>
    <row r="7">
      <c r="A7" s="16" t="inlineStr">
        <is>
          <t>宮城県</t>
        </is>
      </c>
      <c r="B7" s="16">
        <f>COUNTIF('架電リスト'!$B$5:$B$1382,A7)</f>
        <v/>
      </c>
      <c r="C7" s="16">
        <f>COUNTIFS('架電リスト'!$B$5:$B$1382,A7,'架電リスト'!$E$5:$E$1382,"&lt;&gt;")</f>
        <v/>
      </c>
      <c r="D7" s="16">
        <f>B7-COUNTIFS('架電リスト'!$B$5:$B$1382,A7,'架電リスト'!$J$5:$J$1382,"未架電")-COUNTIFS('架電リスト'!$B$5:$B$1382,A7,'架電リスト'!$J$5:$J$1382,"")</f>
        <v/>
      </c>
      <c r="E7" s="16">
        <f>COUNTIFS('架電リスト'!$B$5:$B$1382,$A7,'架電リスト'!$J$5:$J$1382,"不在・折返し待ち")</f>
        <v/>
      </c>
      <c r="F7" s="16">
        <f>COUNTIFS('架電リスト'!$B$5:$B$1382,$A7,'架電リスト'!$J$5:$J$1382,"担当者不在")</f>
        <v/>
      </c>
      <c r="G7" s="16">
        <f>COUNTIFS('架電リスト'!$B$5:$B$1382,$A7,'架電リスト'!$J$5:$J$1382,"資料送付")</f>
        <v/>
      </c>
      <c r="H7" s="16">
        <f>COUNTIFS('架電リスト'!$B$5:$B$1382,$A7,'架電リスト'!$J$5:$J$1382,"アポ獲得")</f>
        <v/>
      </c>
      <c r="I7" s="16">
        <f>COUNTIFS('架電リスト'!$B$5:$B$1382,$A7,'架電リスト'!$J$5:$J$1382,"検討中")</f>
        <v/>
      </c>
      <c r="J7" s="16">
        <f>COUNTIFS('架電リスト'!$B$5:$B$1382,$A7,'架電リスト'!$J$5:$J$1382,"NG")</f>
        <v/>
      </c>
      <c r="K7" s="16">
        <f>COUNTIFS('架電リスト'!$B$5:$B$1382,$A7,'架電リスト'!$J$5:$J$1382,"番号不明")</f>
        <v/>
      </c>
    </row>
    <row r="8">
      <c r="A8" s="16" t="inlineStr">
        <is>
          <t>秋田県</t>
        </is>
      </c>
      <c r="B8" s="16">
        <f>COUNTIF('架電リスト'!$B$5:$B$1382,A8)</f>
        <v/>
      </c>
      <c r="C8" s="16">
        <f>COUNTIFS('架電リスト'!$B$5:$B$1382,A8,'架電リスト'!$E$5:$E$1382,"&lt;&gt;")</f>
        <v/>
      </c>
      <c r="D8" s="16">
        <f>B8-COUNTIFS('架電リスト'!$B$5:$B$1382,A8,'架電リスト'!$J$5:$J$1382,"未架電")-COUNTIFS('架電リスト'!$B$5:$B$1382,A8,'架電リスト'!$J$5:$J$1382,"")</f>
        <v/>
      </c>
      <c r="E8" s="16">
        <f>COUNTIFS('架電リスト'!$B$5:$B$1382,$A8,'架電リスト'!$J$5:$J$1382,"不在・折返し待ち")</f>
        <v/>
      </c>
      <c r="F8" s="16">
        <f>COUNTIFS('架電リスト'!$B$5:$B$1382,$A8,'架電リスト'!$J$5:$J$1382,"担当者不在")</f>
        <v/>
      </c>
      <c r="G8" s="16">
        <f>COUNTIFS('架電リスト'!$B$5:$B$1382,$A8,'架電リスト'!$J$5:$J$1382,"資料送付")</f>
        <v/>
      </c>
      <c r="H8" s="16">
        <f>COUNTIFS('架電リスト'!$B$5:$B$1382,$A8,'架電リスト'!$J$5:$J$1382,"アポ獲得")</f>
        <v/>
      </c>
      <c r="I8" s="16">
        <f>COUNTIFS('架電リスト'!$B$5:$B$1382,$A8,'架電リスト'!$J$5:$J$1382,"検討中")</f>
        <v/>
      </c>
      <c r="J8" s="16">
        <f>COUNTIFS('架電リスト'!$B$5:$B$1382,$A8,'架電リスト'!$J$5:$J$1382,"NG")</f>
        <v/>
      </c>
      <c r="K8" s="16">
        <f>COUNTIFS('架電リスト'!$B$5:$B$1382,$A8,'架電リスト'!$J$5:$J$1382,"番号不明")</f>
        <v/>
      </c>
    </row>
    <row r="9">
      <c r="A9" s="16" t="inlineStr">
        <is>
          <t>山形県</t>
        </is>
      </c>
      <c r="B9" s="16">
        <f>COUNTIF('架電リスト'!$B$5:$B$1382,A9)</f>
        <v/>
      </c>
      <c r="C9" s="16">
        <f>COUNTIFS('架電リスト'!$B$5:$B$1382,A9,'架電リスト'!$E$5:$E$1382,"&lt;&gt;")</f>
        <v/>
      </c>
      <c r="D9" s="16">
        <f>B9-COUNTIFS('架電リスト'!$B$5:$B$1382,A9,'架電リスト'!$J$5:$J$1382,"未架電")-COUNTIFS('架電リスト'!$B$5:$B$1382,A9,'架電リスト'!$J$5:$J$1382,"")</f>
        <v/>
      </c>
      <c r="E9" s="16">
        <f>COUNTIFS('架電リスト'!$B$5:$B$1382,$A9,'架電リスト'!$J$5:$J$1382,"不在・折返し待ち")</f>
        <v/>
      </c>
      <c r="F9" s="16">
        <f>COUNTIFS('架電リスト'!$B$5:$B$1382,$A9,'架電リスト'!$J$5:$J$1382,"担当者不在")</f>
        <v/>
      </c>
      <c r="G9" s="16">
        <f>COUNTIFS('架電リスト'!$B$5:$B$1382,$A9,'架電リスト'!$J$5:$J$1382,"資料送付")</f>
        <v/>
      </c>
      <c r="H9" s="16">
        <f>COUNTIFS('架電リスト'!$B$5:$B$1382,$A9,'架電リスト'!$J$5:$J$1382,"アポ獲得")</f>
        <v/>
      </c>
      <c r="I9" s="16">
        <f>COUNTIFS('架電リスト'!$B$5:$B$1382,$A9,'架電リスト'!$J$5:$J$1382,"検討中")</f>
        <v/>
      </c>
      <c r="J9" s="16">
        <f>COUNTIFS('架電リスト'!$B$5:$B$1382,$A9,'架電リスト'!$J$5:$J$1382,"NG")</f>
        <v/>
      </c>
      <c r="K9" s="16">
        <f>COUNTIFS('架電リスト'!$B$5:$B$1382,$A9,'架電リスト'!$J$5:$J$1382,"番号不明")</f>
        <v/>
      </c>
    </row>
    <row r="10">
      <c r="A10" s="16" t="inlineStr">
        <is>
          <t>福島県</t>
        </is>
      </c>
      <c r="B10" s="16">
        <f>COUNTIF('架電リスト'!$B$5:$B$1382,A10)</f>
        <v/>
      </c>
      <c r="C10" s="16">
        <f>COUNTIFS('架電リスト'!$B$5:$B$1382,A10,'架電リスト'!$E$5:$E$1382,"&lt;&gt;")</f>
        <v/>
      </c>
      <c r="D10" s="16">
        <f>B10-COUNTIFS('架電リスト'!$B$5:$B$1382,A10,'架電リスト'!$J$5:$J$1382,"未架電")-COUNTIFS('架電リスト'!$B$5:$B$1382,A10,'架電リスト'!$J$5:$J$1382,"")</f>
        <v/>
      </c>
      <c r="E10" s="16">
        <f>COUNTIFS('架電リスト'!$B$5:$B$1382,$A10,'架電リスト'!$J$5:$J$1382,"不在・折返し待ち")</f>
        <v/>
      </c>
      <c r="F10" s="16">
        <f>COUNTIFS('架電リスト'!$B$5:$B$1382,$A10,'架電リスト'!$J$5:$J$1382,"担当者不在")</f>
        <v/>
      </c>
      <c r="G10" s="16">
        <f>COUNTIFS('架電リスト'!$B$5:$B$1382,$A10,'架電リスト'!$J$5:$J$1382,"資料送付")</f>
        <v/>
      </c>
      <c r="H10" s="16">
        <f>COUNTIFS('架電リスト'!$B$5:$B$1382,$A10,'架電リスト'!$J$5:$J$1382,"アポ獲得")</f>
        <v/>
      </c>
      <c r="I10" s="16">
        <f>COUNTIFS('架電リスト'!$B$5:$B$1382,$A10,'架電リスト'!$J$5:$J$1382,"検討中")</f>
        <v/>
      </c>
      <c r="J10" s="16">
        <f>COUNTIFS('架電リスト'!$B$5:$B$1382,$A10,'架電リスト'!$J$5:$J$1382,"NG")</f>
        <v/>
      </c>
      <c r="K10" s="16">
        <f>COUNTIFS('架電リスト'!$B$5:$B$1382,$A10,'架電リスト'!$J$5:$J$1382,"番号不明")</f>
        <v/>
      </c>
    </row>
    <row r="11">
      <c r="A11" s="16" t="inlineStr">
        <is>
          <t>茨城県</t>
        </is>
      </c>
      <c r="B11" s="16">
        <f>COUNTIF('架電リスト'!$B$5:$B$1382,A11)</f>
        <v/>
      </c>
      <c r="C11" s="16">
        <f>COUNTIFS('架電リスト'!$B$5:$B$1382,A11,'架電リスト'!$E$5:$E$1382,"&lt;&gt;")</f>
        <v/>
      </c>
      <c r="D11" s="16">
        <f>B11-COUNTIFS('架電リスト'!$B$5:$B$1382,A11,'架電リスト'!$J$5:$J$1382,"未架電")-COUNTIFS('架電リスト'!$B$5:$B$1382,A11,'架電リスト'!$J$5:$J$1382,"")</f>
        <v/>
      </c>
      <c r="E11" s="16">
        <f>COUNTIFS('架電リスト'!$B$5:$B$1382,$A11,'架電リスト'!$J$5:$J$1382,"不在・折返し待ち")</f>
        <v/>
      </c>
      <c r="F11" s="16">
        <f>COUNTIFS('架電リスト'!$B$5:$B$1382,$A11,'架電リスト'!$J$5:$J$1382,"担当者不在")</f>
        <v/>
      </c>
      <c r="G11" s="16">
        <f>COUNTIFS('架電リスト'!$B$5:$B$1382,$A11,'架電リスト'!$J$5:$J$1382,"資料送付")</f>
        <v/>
      </c>
      <c r="H11" s="16">
        <f>COUNTIFS('架電リスト'!$B$5:$B$1382,$A11,'架電リスト'!$J$5:$J$1382,"アポ獲得")</f>
        <v/>
      </c>
      <c r="I11" s="16">
        <f>COUNTIFS('架電リスト'!$B$5:$B$1382,$A11,'架電リスト'!$J$5:$J$1382,"検討中")</f>
        <v/>
      </c>
      <c r="J11" s="16">
        <f>COUNTIFS('架電リスト'!$B$5:$B$1382,$A11,'架電リスト'!$J$5:$J$1382,"NG")</f>
        <v/>
      </c>
      <c r="K11" s="16">
        <f>COUNTIFS('架電リスト'!$B$5:$B$1382,$A11,'架電リスト'!$J$5:$J$1382,"番号不明")</f>
        <v/>
      </c>
    </row>
    <row r="12">
      <c r="A12" s="16" t="inlineStr">
        <is>
          <t>栃木県</t>
        </is>
      </c>
      <c r="B12" s="16">
        <f>COUNTIF('架電リスト'!$B$5:$B$1382,A12)</f>
        <v/>
      </c>
      <c r="C12" s="16">
        <f>COUNTIFS('架電リスト'!$B$5:$B$1382,A12,'架電リスト'!$E$5:$E$1382,"&lt;&gt;")</f>
        <v/>
      </c>
      <c r="D12" s="16">
        <f>B12-COUNTIFS('架電リスト'!$B$5:$B$1382,A12,'架電リスト'!$J$5:$J$1382,"未架電")-COUNTIFS('架電リスト'!$B$5:$B$1382,A12,'架電リスト'!$J$5:$J$1382,"")</f>
        <v/>
      </c>
      <c r="E12" s="16">
        <f>COUNTIFS('架電リスト'!$B$5:$B$1382,$A12,'架電リスト'!$J$5:$J$1382,"不在・折返し待ち")</f>
        <v/>
      </c>
      <c r="F12" s="16">
        <f>COUNTIFS('架電リスト'!$B$5:$B$1382,$A12,'架電リスト'!$J$5:$J$1382,"担当者不在")</f>
        <v/>
      </c>
      <c r="G12" s="16">
        <f>COUNTIFS('架電リスト'!$B$5:$B$1382,$A12,'架電リスト'!$J$5:$J$1382,"資料送付")</f>
        <v/>
      </c>
      <c r="H12" s="16">
        <f>COUNTIFS('架電リスト'!$B$5:$B$1382,$A12,'架電リスト'!$J$5:$J$1382,"アポ獲得")</f>
        <v/>
      </c>
      <c r="I12" s="16">
        <f>COUNTIFS('架電リスト'!$B$5:$B$1382,$A12,'架電リスト'!$J$5:$J$1382,"検討中")</f>
        <v/>
      </c>
      <c r="J12" s="16">
        <f>COUNTIFS('架電リスト'!$B$5:$B$1382,$A12,'架電リスト'!$J$5:$J$1382,"NG")</f>
        <v/>
      </c>
      <c r="K12" s="16">
        <f>COUNTIFS('架電リスト'!$B$5:$B$1382,$A12,'架電リスト'!$J$5:$J$1382,"番号不明")</f>
        <v/>
      </c>
    </row>
    <row r="13">
      <c r="A13" s="16" t="inlineStr">
        <is>
          <t>群馬県</t>
        </is>
      </c>
      <c r="B13" s="16">
        <f>COUNTIF('架電リスト'!$B$5:$B$1382,A13)</f>
        <v/>
      </c>
      <c r="C13" s="16">
        <f>COUNTIFS('架電リスト'!$B$5:$B$1382,A13,'架電リスト'!$E$5:$E$1382,"&lt;&gt;")</f>
        <v/>
      </c>
      <c r="D13" s="16">
        <f>B13-COUNTIFS('架電リスト'!$B$5:$B$1382,A13,'架電リスト'!$J$5:$J$1382,"未架電")-COUNTIFS('架電リスト'!$B$5:$B$1382,A13,'架電リスト'!$J$5:$J$1382,"")</f>
        <v/>
      </c>
      <c r="E13" s="16">
        <f>COUNTIFS('架電リスト'!$B$5:$B$1382,$A13,'架電リスト'!$J$5:$J$1382,"不在・折返し待ち")</f>
        <v/>
      </c>
      <c r="F13" s="16">
        <f>COUNTIFS('架電リスト'!$B$5:$B$1382,$A13,'架電リスト'!$J$5:$J$1382,"担当者不在")</f>
        <v/>
      </c>
      <c r="G13" s="16">
        <f>COUNTIFS('架電リスト'!$B$5:$B$1382,$A13,'架電リスト'!$J$5:$J$1382,"資料送付")</f>
        <v/>
      </c>
      <c r="H13" s="16">
        <f>COUNTIFS('架電リスト'!$B$5:$B$1382,$A13,'架電リスト'!$J$5:$J$1382,"アポ獲得")</f>
        <v/>
      </c>
      <c r="I13" s="16">
        <f>COUNTIFS('架電リスト'!$B$5:$B$1382,$A13,'架電リスト'!$J$5:$J$1382,"検討中")</f>
        <v/>
      </c>
      <c r="J13" s="16">
        <f>COUNTIFS('架電リスト'!$B$5:$B$1382,$A13,'架電リスト'!$J$5:$J$1382,"NG")</f>
        <v/>
      </c>
      <c r="K13" s="16">
        <f>COUNTIFS('架電リスト'!$B$5:$B$1382,$A13,'架電リスト'!$J$5:$J$1382,"番号不明")</f>
        <v/>
      </c>
    </row>
    <row r="14">
      <c r="A14" s="16" t="inlineStr">
        <is>
          <t>埼玉県</t>
        </is>
      </c>
      <c r="B14" s="16">
        <f>COUNTIF('架電リスト'!$B$5:$B$1382,A14)</f>
        <v/>
      </c>
      <c r="C14" s="16">
        <f>COUNTIFS('架電リスト'!$B$5:$B$1382,A14,'架電リスト'!$E$5:$E$1382,"&lt;&gt;")</f>
        <v/>
      </c>
      <c r="D14" s="16">
        <f>B14-COUNTIFS('架電リスト'!$B$5:$B$1382,A14,'架電リスト'!$J$5:$J$1382,"未架電")-COUNTIFS('架電リスト'!$B$5:$B$1382,A14,'架電リスト'!$J$5:$J$1382,"")</f>
        <v/>
      </c>
      <c r="E14" s="16">
        <f>COUNTIFS('架電リスト'!$B$5:$B$1382,$A14,'架電リスト'!$J$5:$J$1382,"不在・折返し待ち")</f>
        <v/>
      </c>
      <c r="F14" s="16">
        <f>COUNTIFS('架電リスト'!$B$5:$B$1382,$A14,'架電リスト'!$J$5:$J$1382,"担当者不在")</f>
        <v/>
      </c>
      <c r="G14" s="16">
        <f>COUNTIFS('架電リスト'!$B$5:$B$1382,$A14,'架電リスト'!$J$5:$J$1382,"資料送付")</f>
        <v/>
      </c>
      <c r="H14" s="16">
        <f>COUNTIFS('架電リスト'!$B$5:$B$1382,$A14,'架電リスト'!$J$5:$J$1382,"アポ獲得")</f>
        <v/>
      </c>
      <c r="I14" s="16">
        <f>COUNTIFS('架電リスト'!$B$5:$B$1382,$A14,'架電リスト'!$J$5:$J$1382,"検討中")</f>
        <v/>
      </c>
      <c r="J14" s="16">
        <f>COUNTIFS('架電リスト'!$B$5:$B$1382,$A14,'架電リスト'!$J$5:$J$1382,"NG")</f>
        <v/>
      </c>
      <c r="K14" s="16">
        <f>COUNTIFS('架電リスト'!$B$5:$B$1382,$A14,'架電リスト'!$J$5:$J$1382,"番号不明")</f>
        <v/>
      </c>
    </row>
    <row r="15">
      <c r="A15" s="16" t="inlineStr">
        <is>
          <t>千葉県</t>
        </is>
      </c>
      <c r="B15" s="16">
        <f>COUNTIF('架電リスト'!$B$5:$B$1382,A15)</f>
        <v/>
      </c>
      <c r="C15" s="16">
        <f>COUNTIFS('架電リスト'!$B$5:$B$1382,A15,'架電リスト'!$E$5:$E$1382,"&lt;&gt;")</f>
        <v/>
      </c>
      <c r="D15" s="16">
        <f>B15-COUNTIFS('架電リスト'!$B$5:$B$1382,A15,'架電リスト'!$J$5:$J$1382,"未架電")-COUNTIFS('架電リスト'!$B$5:$B$1382,A15,'架電リスト'!$J$5:$J$1382,"")</f>
        <v/>
      </c>
      <c r="E15" s="16">
        <f>COUNTIFS('架電リスト'!$B$5:$B$1382,$A15,'架電リスト'!$J$5:$J$1382,"不在・折返し待ち")</f>
        <v/>
      </c>
      <c r="F15" s="16">
        <f>COUNTIFS('架電リスト'!$B$5:$B$1382,$A15,'架電リスト'!$J$5:$J$1382,"担当者不在")</f>
        <v/>
      </c>
      <c r="G15" s="16">
        <f>COUNTIFS('架電リスト'!$B$5:$B$1382,$A15,'架電リスト'!$J$5:$J$1382,"資料送付")</f>
        <v/>
      </c>
      <c r="H15" s="16">
        <f>COUNTIFS('架電リスト'!$B$5:$B$1382,$A15,'架電リスト'!$J$5:$J$1382,"アポ獲得")</f>
        <v/>
      </c>
      <c r="I15" s="16">
        <f>COUNTIFS('架電リスト'!$B$5:$B$1382,$A15,'架電リスト'!$J$5:$J$1382,"検討中")</f>
        <v/>
      </c>
      <c r="J15" s="16">
        <f>COUNTIFS('架電リスト'!$B$5:$B$1382,$A15,'架電リスト'!$J$5:$J$1382,"NG")</f>
        <v/>
      </c>
      <c r="K15" s="16">
        <f>COUNTIFS('架電リスト'!$B$5:$B$1382,$A15,'架電リスト'!$J$5:$J$1382,"番号不明")</f>
        <v/>
      </c>
    </row>
    <row r="16">
      <c r="A16" s="16" t="inlineStr">
        <is>
          <t>東京都</t>
        </is>
      </c>
      <c r="B16" s="16">
        <f>COUNTIF('架電リスト'!$B$5:$B$1382,A16)</f>
        <v/>
      </c>
      <c r="C16" s="16">
        <f>COUNTIFS('架電リスト'!$B$5:$B$1382,A16,'架電リスト'!$E$5:$E$1382,"&lt;&gt;")</f>
        <v/>
      </c>
      <c r="D16" s="16">
        <f>B16-COUNTIFS('架電リスト'!$B$5:$B$1382,A16,'架電リスト'!$J$5:$J$1382,"未架電")-COUNTIFS('架電リスト'!$B$5:$B$1382,A16,'架電リスト'!$J$5:$J$1382,"")</f>
        <v/>
      </c>
      <c r="E16" s="16">
        <f>COUNTIFS('架電リスト'!$B$5:$B$1382,$A16,'架電リスト'!$J$5:$J$1382,"不在・折返し待ち")</f>
        <v/>
      </c>
      <c r="F16" s="16">
        <f>COUNTIFS('架電リスト'!$B$5:$B$1382,$A16,'架電リスト'!$J$5:$J$1382,"担当者不在")</f>
        <v/>
      </c>
      <c r="G16" s="16">
        <f>COUNTIFS('架電リスト'!$B$5:$B$1382,$A16,'架電リスト'!$J$5:$J$1382,"資料送付")</f>
        <v/>
      </c>
      <c r="H16" s="16">
        <f>COUNTIFS('架電リスト'!$B$5:$B$1382,$A16,'架電リスト'!$J$5:$J$1382,"アポ獲得")</f>
        <v/>
      </c>
      <c r="I16" s="16">
        <f>COUNTIFS('架電リスト'!$B$5:$B$1382,$A16,'架電リスト'!$J$5:$J$1382,"検討中")</f>
        <v/>
      </c>
      <c r="J16" s="16">
        <f>COUNTIFS('架電リスト'!$B$5:$B$1382,$A16,'架電リスト'!$J$5:$J$1382,"NG")</f>
        <v/>
      </c>
      <c r="K16" s="16">
        <f>COUNTIFS('架電リスト'!$B$5:$B$1382,$A16,'架電リスト'!$J$5:$J$1382,"番号不明")</f>
        <v/>
      </c>
    </row>
    <row r="17">
      <c r="A17" s="16" t="inlineStr">
        <is>
          <t>神奈川県</t>
        </is>
      </c>
      <c r="B17" s="16">
        <f>COUNTIF('架電リスト'!$B$5:$B$1382,A17)</f>
        <v/>
      </c>
      <c r="C17" s="16">
        <f>COUNTIFS('架電リスト'!$B$5:$B$1382,A17,'架電リスト'!$E$5:$E$1382,"&lt;&gt;")</f>
        <v/>
      </c>
      <c r="D17" s="16">
        <f>B17-COUNTIFS('架電リスト'!$B$5:$B$1382,A17,'架電リスト'!$J$5:$J$1382,"未架電")-COUNTIFS('架電リスト'!$B$5:$B$1382,A17,'架電リスト'!$J$5:$J$1382,"")</f>
        <v/>
      </c>
      <c r="E17" s="16">
        <f>COUNTIFS('架電リスト'!$B$5:$B$1382,$A17,'架電リスト'!$J$5:$J$1382,"不在・折返し待ち")</f>
        <v/>
      </c>
      <c r="F17" s="16">
        <f>COUNTIFS('架電リスト'!$B$5:$B$1382,$A17,'架電リスト'!$J$5:$J$1382,"担当者不在")</f>
        <v/>
      </c>
      <c r="G17" s="16">
        <f>COUNTIFS('架電リスト'!$B$5:$B$1382,$A17,'架電リスト'!$J$5:$J$1382,"資料送付")</f>
        <v/>
      </c>
      <c r="H17" s="16">
        <f>COUNTIFS('架電リスト'!$B$5:$B$1382,$A17,'架電リスト'!$J$5:$J$1382,"アポ獲得")</f>
        <v/>
      </c>
      <c r="I17" s="16">
        <f>COUNTIFS('架電リスト'!$B$5:$B$1382,$A17,'架電リスト'!$J$5:$J$1382,"検討中")</f>
        <v/>
      </c>
      <c r="J17" s="16">
        <f>COUNTIFS('架電リスト'!$B$5:$B$1382,$A17,'架電リスト'!$J$5:$J$1382,"NG")</f>
        <v/>
      </c>
      <c r="K17" s="16">
        <f>COUNTIFS('架電リスト'!$B$5:$B$1382,$A17,'架電リスト'!$J$5:$J$1382,"番号不明")</f>
        <v/>
      </c>
    </row>
    <row r="18">
      <c r="A18" s="16" t="inlineStr">
        <is>
          <t>新潟県</t>
        </is>
      </c>
      <c r="B18" s="16">
        <f>COUNTIF('架電リスト'!$B$5:$B$1382,A18)</f>
        <v/>
      </c>
      <c r="C18" s="16">
        <f>COUNTIFS('架電リスト'!$B$5:$B$1382,A18,'架電リスト'!$E$5:$E$1382,"&lt;&gt;")</f>
        <v/>
      </c>
      <c r="D18" s="16">
        <f>B18-COUNTIFS('架電リスト'!$B$5:$B$1382,A18,'架電リスト'!$J$5:$J$1382,"未架電")-COUNTIFS('架電リスト'!$B$5:$B$1382,A18,'架電リスト'!$J$5:$J$1382,"")</f>
        <v/>
      </c>
      <c r="E18" s="16">
        <f>COUNTIFS('架電リスト'!$B$5:$B$1382,$A18,'架電リスト'!$J$5:$J$1382,"不在・折返し待ち")</f>
        <v/>
      </c>
      <c r="F18" s="16">
        <f>COUNTIFS('架電リスト'!$B$5:$B$1382,$A18,'架電リスト'!$J$5:$J$1382,"担当者不在")</f>
        <v/>
      </c>
      <c r="G18" s="16">
        <f>COUNTIFS('架電リスト'!$B$5:$B$1382,$A18,'架電リスト'!$J$5:$J$1382,"資料送付")</f>
        <v/>
      </c>
      <c r="H18" s="16">
        <f>COUNTIFS('架電リスト'!$B$5:$B$1382,$A18,'架電リスト'!$J$5:$J$1382,"アポ獲得")</f>
        <v/>
      </c>
      <c r="I18" s="16">
        <f>COUNTIFS('架電リスト'!$B$5:$B$1382,$A18,'架電リスト'!$J$5:$J$1382,"検討中")</f>
        <v/>
      </c>
      <c r="J18" s="16">
        <f>COUNTIFS('架電リスト'!$B$5:$B$1382,$A18,'架電リスト'!$J$5:$J$1382,"NG")</f>
        <v/>
      </c>
      <c r="K18" s="16">
        <f>COUNTIFS('架電リスト'!$B$5:$B$1382,$A18,'架電リスト'!$J$5:$J$1382,"番号不明")</f>
        <v/>
      </c>
    </row>
    <row r="19">
      <c r="A19" s="16" t="inlineStr">
        <is>
          <t>富山県</t>
        </is>
      </c>
      <c r="B19" s="16">
        <f>COUNTIF('架電リスト'!$B$5:$B$1382,A19)</f>
        <v/>
      </c>
      <c r="C19" s="16">
        <f>COUNTIFS('架電リスト'!$B$5:$B$1382,A19,'架電リスト'!$E$5:$E$1382,"&lt;&gt;")</f>
        <v/>
      </c>
      <c r="D19" s="16">
        <f>B19-COUNTIFS('架電リスト'!$B$5:$B$1382,A19,'架電リスト'!$J$5:$J$1382,"未架電")-COUNTIFS('架電リスト'!$B$5:$B$1382,A19,'架電リスト'!$J$5:$J$1382,"")</f>
        <v/>
      </c>
      <c r="E19" s="16">
        <f>COUNTIFS('架電リスト'!$B$5:$B$1382,$A19,'架電リスト'!$J$5:$J$1382,"不在・折返し待ち")</f>
        <v/>
      </c>
      <c r="F19" s="16">
        <f>COUNTIFS('架電リスト'!$B$5:$B$1382,$A19,'架電リスト'!$J$5:$J$1382,"担当者不在")</f>
        <v/>
      </c>
      <c r="G19" s="16">
        <f>COUNTIFS('架電リスト'!$B$5:$B$1382,$A19,'架電リスト'!$J$5:$J$1382,"資料送付")</f>
        <v/>
      </c>
      <c r="H19" s="16">
        <f>COUNTIFS('架電リスト'!$B$5:$B$1382,$A19,'架電リスト'!$J$5:$J$1382,"アポ獲得")</f>
        <v/>
      </c>
      <c r="I19" s="16">
        <f>COUNTIFS('架電リスト'!$B$5:$B$1382,$A19,'架電リスト'!$J$5:$J$1382,"検討中")</f>
        <v/>
      </c>
      <c r="J19" s="16">
        <f>COUNTIFS('架電リスト'!$B$5:$B$1382,$A19,'架電リスト'!$J$5:$J$1382,"NG")</f>
        <v/>
      </c>
      <c r="K19" s="16">
        <f>COUNTIFS('架電リスト'!$B$5:$B$1382,$A19,'架電リスト'!$J$5:$J$1382,"番号不明")</f>
        <v/>
      </c>
    </row>
    <row r="20">
      <c r="A20" s="16" t="inlineStr">
        <is>
          <t>石川県</t>
        </is>
      </c>
      <c r="B20" s="16">
        <f>COUNTIF('架電リスト'!$B$5:$B$1382,A20)</f>
        <v/>
      </c>
      <c r="C20" s="16">
        <f>COUNTIFS('架電リスト'!$B$5:$B$1382,A20,'架電リスト'!$E$5:$E$1382,"&lt;&gt;")</f>
        <v/>
      </c>
      <c r="D20" s="16">
        <f>B20-COUNTIFS('架電リスト'!$B$5:$B$1382,A20,'架電リスト'!$J$5:$J$1382,"未架電")-COUNTIFS('架電リスト'!$B$5:$B$1382,A20,'架電リスト'!$J$5:$J$1382,"")</f>
        <v/>
      </c>
      <c r="E20" s="16">
        <f>COUNTIFS('架電リスト'!$B$5:$B$1382,$A20,'架電リスト'!$J$5:$J$1382,"不在・折返し待ち")</f>
        <v/>
      </c>
      <c r="F20" s="16">
        <f>COUNTIFS('架電リスト'!$B$5:$B$1382,$A20,'架電リスト'!$J$5:$J$1382,"担当者不在")</f>
        <v/>
      </c>
      <c r="G20" s="16">
        <f>COUNTIFS('架電リスト'!$B$5:$B$1382,$A20,'架電リスト'!$J$5:$J$1382,"資料送付")</f>
        <v/>
      </c>
      <c r="H20" s="16">
        <f>COUNTIFS('架電リスト'!$B$5:$B$1382,$A20,'架電リスト'!$J$5:$J$1382,"アポ獲得")</f>
        <v/>
      </c>
      <c r="I20" s="16">
        <f>COUNTIFS('架電リスト'!$B$5:$B$1382,$A20,'架電リスト'!$J$5:$J$1382,"検討中")</f>
        <v/>
      </c>
      <c r="J20" s="16">
        <f>COUNTIFS('架電リスト'!$B$5:$B$1382,$A20,'架電リスト'!$J$5:$J$1382,"NG")</f>
        <v/>
      </c>
      <c r="K20" s="16">
        <f>COUNTIFS('架電リスト'!$B$5:$B$1382,$A20,'架電リスト'!$J$5:$J$1382,"番号不明")</f>
        <v/>
      </c>
    </row>
    <row r="21">
      <c r="A21" s="16" t="inlineStr">
        <is>
          <t>福井県</t>
        </is>
      </c>
      <c r="B21" s="16">
        <f>COUNTIF('架電リスト'!$B$5:$B$1382,A21)</f>
        <v/>
      </c>
      <c r="C21" s="16">
        <f>COUNTIFS('架電リスト'!$B$5:$B$1382,A21,'架電リスト'!$E$5:$E$1382,"&lt;&gt;")</f>
        <v/>
      </c>
      <c r="D21" s="16">
        <f>B21-COUNTIFS('架電リスト'!$B$5:$B$1382,A21,'架電リスト'!$J$5:$J$1382,"未架電")-COUNTIFS('架電リスト'!$B$5:$B$1382,A21,'架電リスト'!$J$5:$J$1382,"")</f>
        <v/>
      </c>
      <c r="E21" s="16">
        <f>COUNTIFS('架電リスト'!$B$5:$B$1382,$A21,'架電リスト'!$J$5:$J$1382,"不在・折返し待ち")</f>
        <v/>
      </c>
      <c r="F21" s="16">
        <f>COUNTIFS('架電リスト'!$B$5:$B$1382,$A21,'架電リスト'!$J$5:$J$1382,"担当者不在")</f>
        <v/>
      </c>
      <c r="G21" s="16">
        <f>COUNTIFS('架電リスト'!$B$5:$B$1382,$A21,'架電リスト'!$J$5:$J$1382,"資料送付")</f>
        <v/>
      </c>
      <c r="H21" s="16">
        <f>COUNTIFS('架電リスト'!$B$5:$B$1382,$A21,'架電リスト'!$J$5:$J$1382,"アポ獲得")</f>
        <v/>
      </c>
      <c r="I21" s="16">
        <f>COUNTIFS('架電リスト'!$B$5:$B$1382,$A21,'架電リスト'!$J$5:$J$1382,"検討中")</f>
        <v/>
      </c>
      <c r="J21" s="16">
        <f>COUNTIFS('架電リスト'!$B$5:$B$1382,$A21,'架電リスト'!$J$5:$J$1382,"NG")</f>
        <v/>
      </c>
      <c r="K21" s="16">
        <f>COUNTIFS('架電リスト'!$B$5:$B$1382,$A21,'架電リスト'!$J$5:$J$1382,"番号不明")</f>
        <v/>
      </c>
    </row>
    <row r="22">
      <c r="A22" s="16" t="inlineStr">
        <is>
          <t>山梨県</t>
        </is>
      </c>
      <c r="B22" s="16">
        <f>COUNTIF('架電リスト'!$B$5:$B$1382,A22)</f>
        <v/>
      </c>
      <c r="C22" s="16">
        <f>COUNTIFS('架電リスト'!$B$5:$B$1382,A22,'架電リスト'!$E$5:$E$1382,"&lt;&gt;")</f>
        <v/>
      </c>
      <c r="D22" s="16">
        <f>B22-COUNTIFS('架電リスト'!$B$5:$B$1382,A22,'架電リスト'!$J$5:$J$1382,"未架電")-COUNTIFS('架電リスト'!$B$5:$B$1382,A22,'架電リスト'!$J$5:$J$1382,"")</f>
        <v/>
      </c>
      <c r="E22" s="16">
        <f>COUNTIFS('架電リスト'!$B$5:$B$1382,$A22,'架電リスト'!$J$5:$J$1382,"不在・折返し待ち")</f>
        <v/>
      </c>
      <c r="F22" s="16">
        <f>COUNTIFS('架電リスト'!$B$5:$B$1382,$A22,'架電リスト'!$J$5:$J$1382,"担当者不在")</f>
        <v/>
      </c>
      <c r="G22" s="16">
        <f>COUNTIFS('架電リスト'!$B$5:$B$1382,$A22,'架電リスト'!$J$5:$J$1382,"資料送付")</f>
        <v/>
      </c>
      <c r="H22" s="16">
        <f>COUNTIFS('架電リスト'!$B$5:$B$1382,$A22,'架電リスト'!$J$5:$J$1382,"アポ獲得")</f>
        <v/>
      </c>
      <c r="I22" s="16">
        <f>COUNTIFS('架電リスト'!$B$5:$B$1382,$A22,'架電リスト'!$J$5:$J$1382,"検討中")</f>
        <v/>
      </c>
      <c r="J22" s="16">
        <f>COUNTIFS('架電リスト'!$B$5:$B$1382,$A22,'架電リスト'!$J$5:$J$1382,"NG")</f>
        <v/>
      </c>
      <c r="K22" s="16">
        <f>COUNTIFS('架電リスト'!$B$5:$B$1382,$A22,'架電リスト'!$J$5:$J$1382,"番号不明")</f>
        <v/>
      </c>
    </row>
    <row r="23">
      <c r="A23" s="16" t="inlineStr">
        <is>
          <t>長野県</t>
        </is>
      </c>
      <c r="B23" s="16">
        <f>COUNTIF('架電リスト'!$B$5:$B$1382,A23)</f>
        <v/>
      </c>
      <c r="C23" s="16">
        <f>COUNTIFS('架電リスト'!$B$5:$B$1382,A23,'架電リスト'!$E$5:$E$1382,"&lt;&gt;")</f>
        <v/>
      </c>
      <c r="D23" s="16">
        <f>B23-COUNTIFS('架電リスト'!$B$5:$B$1382,A23,'架電リスト'!$J$5:$J$1382,"未架電")-COUNTIFS('架電リスト'!$B$5:$B$1382,A23,'架電リスト'!$J$5:$J$1382,"")</f>
        <v/>
      </c>
      <c r="E23" s="16">
        <f>COUNTIFS('架電リスト'!$B$5:$B$1382,$A23,'架電リスト'!$J$5:$J$1382,"不在・折返し待ち")</f>
        <v/>
      </c>
      <c r="F23" s="16">
        <f>COUNTIFS('架電リスト'!$B$5:$B$1382,$A23,'架電リスト'!$J$5:$J$1382,"担当者不在")</f>
        <v/>
      </c>
      <c r="G23" s="16">
        <f>COUNTIFS('架電リスト'!$B$5:$B$1382,$A23,'架電リスト'!$J$5:$J$1382,"資料送付")</f>
        <v/>
      </c>
      <c r="H23" s="16">
        <f>COUNTIFS('架電リスト'!$B$5:$B$1382,$A23,'架電リスト'!$J$5:$J$1382,"アポ獲得")</f>
        <v/>
      </c>
      <c r="I23" s="16">
        <f>COUNTIFS('架電リスト'!$B$5:$B$1382,$A23,'架電リスト'!$J$5:$J$1382,"検討中")</f>
        <v/>
      </c>
      <c r="J23" s="16">
        <f>COUNTIFS('架電リスト'!$B$5:$B$1382,$A23,'架電リスト'!$J$5:$J$1382,"NG")</f>
        <v/>
      </c>
      <c r="K23" s="16">
        <f>COUNTIFS('架電リスト'!$B$5:$B$1382,$A23,'架電リスト'!$J$5:$J$1382,"番号不明")</f>
        <v/>
      </c>
    </row>
    <row r="24">
      <c r="A24" s="16" t="inlineStr">
        <is>
          <t>岐阜県</t>
        </is>
      </c>
      <c r="B24" s="16">
        <f>COUNTIF('架電リスト'!$B$5:$B$1382,A24)</f>
        <v/>
      </c>
      <c r="C24" s="16">
        <f>COUNTIFS('架電リスト'!$B$5:$B$1382,A24,'架電リスト'!$E$5:$E$1382,"&lt;&gt;")</f>
        <v/>
      </c>
      <c r="D24" s="16">
        <f>B24-COUNTIFS('架電リスト'!$B$5:$B$1382,A24,'架電リスト'!$J$5:$J$1382,"未架電")-COUNTIFS('架電リスト'!$B$5:$B$1382,A24,'架電リスト'!$J$5:$J$1382,"")</f>
        <v/>
      </c>
      <c r="E24" s="16">
        <f>COUNTIFS('架電リスト'!$B$5:$B$1382,$A24,'架電リスト'!$J$5:$J$1382,"不在・折返し待ち")</f>
        <v/>
      </c>
      <c r="F24" s="16">
        <f>COUNTIFS('架電リスト'!$B$5:$B$1382,$A24,'架電リスト'!$J$5:$J$1382,"担当者不在")</f>
        <v/>
      </c>
      <c r="G24" s="16">
        <f>COUNTIFS('架電リスト'!$B$5:$B$1382,$A24,'架電リスト'!$J$5:$J$1382,"資料送付")</f>
        <v/>
      </c>
      <c r="H24" s="16">
        <f>COUNTIFS('架電リスト'!$B$5:$B$1382,$A24,'架電リスト'!$J$5:$J$1382,"アポ獲得")</f>
        <v/>
      </c>
      <c r="I24" s="16">
        <f>COUNTIFS('架電リスト'!$B$5:$B$1382,$A24,'架電リスト'!$J$5:$J$1382,"検討中")</f>
        <v/>
      </c>
      <c r="J24" s="16">
        <f>COUNTIFS('架電リスト'!$B$5:$B$1382,$A24,'架電リスト'!$J$5:$J$1382,"NG")</f>
        <v/>
      </c>
      <c r="K24" s="16">
        <f>COUNTIFS('架電リスト'!$B$5:$B$1382,$A24,'架電リスト'!$J$5:$J$1382,"番号不明")</f>
        <v/>
      </c>
    </row>
    <row r="25">
      <c r="A25" s="16" t="inlineStr">
        <is>
          <t>静岡県</t>
        </is>
      </c>
      <c r="B25" s="16">
        <f>COUNTIF('架電リスト'!$B$5:$B$1382,A25)</f>
        <v/>
      </c>
      <c r="C25" s="16">
        <f>COUNTIFS('架電リスト'!$B$5:$B$1382,A25,'架電リスト'!$E$5:$E$1382,"&lt;&gt;")</f>
        <v/>
      </c>
      <c r="D25" s="16">
        <f>B25-COUNTIFS('架電リスト'!$B$5:$B$1382,A25,'架電リスト'!$J$5:$J$1382,"未架電")-COUNTIFS('架電リスト'!$B$5:$B$1382,A25,'架電リスト'!$J$5:$J$1382,"")</f>
        <v/>
      </c>
      <c r="E25" s="16">
        <f>COUNTIFS('架電リスト'!$B$5:$B$1382,$A25,'架電リスト'!$J$5:$J$1382,"不在・折返し待ち")</f>
        <v/>
      </c>
      <c r="F25" s="16">
        <f>COUNTIFS('架電リスト'!$B$5:$B$1382,$A25,'架電リスト'!$J$5:$J$1382,"担当者不在")</f>
        <v/>
      </c>
      <c r="G25" s="16">
        <f>COUNTIFS('架電リスト'!$B$5:$B$1382,$A25,'架電リスト'!$J$5:$J$1382,"資料送付")</f>
        <v/>
      </c>
      <c r="H25" s="16">
        <f>COUNTIFS('架電リスト'!$B$5:$B$1382,$A25,'架電リスト'!$J$5:$J$1382,"アポ獲得")</f>
        <v/>
      </c>
      <c r="I25" s="16">
        <f>COUNTIFS('架電リスト'!$B$5:$B$1382,$A25,'架電リスト'!$J$5:$J$1382,"検討中")</f>
        <v/>
      </c>
      <c r="J25" s="16">
        <f>COUNTIFS('架電リスト'!$B$5:$B$1382,$A25,'架電リスト'!$J$5:$J$1382,"NG")</f>
        <v/>
      </c>
      <c r="K25" s="16">
        <f>COUNTIFS('架電リスト'!$B$5:$B$1382,$A25,'架電リスト'!$J$5:$J$1382,"番号不明")</f>
        <v/>
      </c>
    </row>
    <row r="26">
      <c r="A26" s="16" t="inlineStr">
        <is>
          <t>愛知県</t>
        </is>
      </c>
      <c r="B26" s="16">
        <f>COUNTIF('架電リスト'!$B$5:$B$1382,A26)</f>
        <v/>
      </c>
      <c r="C26" s="16">
        <f>COUNTIFS('架電リスト'!$B$5:$B$1382,A26,'架電リスト'!$E$5:$E$1382,"&lt;&gt;")</f>
        <v/>
      </c>
      <c r="D26" s="16">
        <f>B26-COUNTIFS('架電リスト'!$B$5:$B$1382,A26,'架電リスト'!$J$5:$J$1382,"未架電")-COUNTIFS('架電リスト'!$B$5:$B$1382,A26,'架電リスト'!$J$5:$J$1382,"")</f>
        <v/>
      </c>
      <c r="E26" s="16">
        <f>COUNTIFS('架電リスト'!$B$5:$B$1382,$A26,'架電リスト'!$J$5:$J$1382,"不在・折返し待ち")</f>
        <v/>
      </c>
      <c r="F26" s="16">
        <f>COUNTIFS('架電リスト'!$B$5:$B$1382,$A26,'架電リスト'!$J$5:$J$1382,"担当者不在")</f>
        <v/>
      </c>
      <c r="G26" s="16">
        <f>COUNTIFS('架電リスト'!$B$5:$B$1382,$A26,'架電リスト'!$J$5:$J$1382,"資料送付")</f>
        <v/>
      </c>
      <c r="H26" s="16">
        <f>COUNTIFS('架電リスト'!$B$5:$B$1382,$A26,'架電リスト'!$J$5:$J$1382,"アポ獲得")</f>
        <v/>
      </c>
      <c r="I26" s="16">
        <f>COUNTIFS('架電リスト'!$B$5:$B$1382,$A26,'架電リスト'!$J$5:$J$1382,"検討中")</f>
        <v/>
      </c>
      <c r="J26" s="16">
        <f>COUNTIFS('架電リスト'!$B$5:$B$1382,$A26,'架電リスト'!$J$5:$J$1382,"NG")</f>
        <v/>
      </c>
      <c r="K26" s="16">
        <f>COUNTIFS('架電リスト'!$B$5:$B$1382,$A26,'架電リスト'!$J$5:$J$1382,"番号不明")</f>
        <v/>
      </c>
    </row>
    <row r="27">
      <c r="A27" s="16" t="inlineStr">
        <is>
          <t>三重県</t>
        </is>
      </c>
      <c r="B27" s="16">
        <f>COUNTIF('架電リスト'!$B$5:$B$1382,A27)</f>
        <v/>
      </c>
      <c r="C27" s="16">
        <f>COUNTIFS('架電リスト'!$B$5:$B$1382,A27,'架電リスト'!$E$5:$E$1382,"&lt;&gt;")</f>
        <v/>
      </c>
      <c r="D27" s="16">
        <f>B27-COUNTIFS('架電リスト'!$B$5:$B$1382,A27,'架電リスト'!$J$5:$J$1382,"未架電")-COUNTIFS('架電リスト'!$B$5:$B$1382,A27,'架電リスト'!$J$5:$J$1382,"")</f>
        <v/>
      </c>
      <c r="E27" s="16">
        <f>COUNTIFS('架電リスト'!$B$5:$B$1382,$A27,'架電リスト'!$J$5:$J$1382,"不在・折返し待ち")</f>
        <v/>
      </c>
      <c r="F27" s="16">
        <f>COUNTIFS('架電リスト'!$B$5:$B$1382,$A27,'架電リスト'!$J$5:$J$1382,"担当者不在")</f>
        <v/>
      </c>
      <c r="G27" s="16">
        <f>COUNTIFS('架電リスト'!$B$5:$B$1382,$A27,'架電リスト'!$J$5:$J$1382,"資料送付")</f>
        <v/>
      </c>
      <c r="H27" s="16">
        <f>COUNTIFS('架電リスト'!$B$5:$B$1382,$A27,'架電リスト'!$J$5:$J$1382,"アポ獲得")</f>
        <v/>
      </c>
      <c r="I27" s="16">
        <f>COUNTIFS('架電リスト'!$B$5:$B$1382,$A27,'架電リスト'!$J$5:$J$1382,"検討中")</f>
        <v/>
      </c>
      <c r="J27" s="16">
        <f>COUNTIFS('架電リスト'!$B$5:$B$1382,$A27,'架電リスト'!$J$5:$J$1382,"NG")</f>
        <v/>
      </c>
      <c r="K27" s="16">
        <f>COUNTIFS('架電リスト'!$B$5:$B$1382,$A27,'架電リスト'!$J$5:$J$1382,"番号不明")</f>
        <v/>
      </c>
    </row>
    <row r="28">
      <c r="A28" s="16" t="inlineStr">
        <is>
          <t>滋賀県</t>
        </is>
      </c>
      <c r="B28" s="16">
        <f>COUNTIF('架電リスト'!$B$5:$B$1382,A28)</f>
        <v/>
      </c>
      <c r="C28" s="16">
        <f>COUNTIFS('架電リスト'!$B$5:$B$1382,A28,'架電リスト'!$E$5:$E$1382,"&lt;&gt;")</f>
        <v/>
      </c>
      <c r="D28" s="16">
        <f>B28-COUNTIFS('架電リスト'!$B$5:$B$1382,A28,'架電リスト'!$J$5:$J$1382,"未架電")-COUNTIFS('架電リスト'!$B$5:$B$1382,A28,'架電リスト'!$J$5:$J$1382,"")</f>
        <v/>
      </c>
      <c r="E28" s="16">
        <f>COUNTIFS('架電リスト'!$B$5:$B$1382,$A28,'架電リスト'!$J$5:$J$1382,"不在・折返し待ち")</f>
        <v/>
      </c>
      <c r="F28" s="16">
        <f>COUNTIFS('架電リスト'!$B$5:$B$1382,$A28,'架電リスト'!$J$5:$J$1382,"担当者不在")</f>
        <v/>
      </c>
      <c r="G28" s="16">
        <f>COUNTIFS('架電リスト'!$B$5:$B$1382,$A28,'架電リスト'!$J$5:$J$1382,"資料送付")</f>
        <v/>
      </c>
      <c r="H28" s="16">
        <f>COUNTIFS('架電リスト'!$B$5:$B$1382,$A28,'架電リスト'!$J$5:$J$1382,"アポ獲得")</f>
        <v/>
      </c>
      <c r="I28" s="16">
        <f>COUNTIFS('架電リスト'!$B$5:$B$1382,$A28,'架電リスト'!$J$5:$J$1382,"検討中")</f>
        <v/>
      </c>
      <c r="J28" s="16">
        <f>COUNTIFS('架電リスト'!$B$5:$B$1382,$A28,'架電リスト'!$J$5:$J$1382,"NG")</f>
        <v/>
      </c>
      <c r="K28" s="16">
        <f>COUNTIFS('架電リスト'!$B$5:$B$1382,$A28,'架電リスト'!$J$5:$J$1382,"番号不明")</f>
        <v/>
      </c>
    </row>
    <row r="29">
      <c r="A29" s="16" t="inlineStr">
        <is>
          <t>京都府</t>
        </is>
      </c>
      <c r="B29" s="16">
        <f>COUNTIF('架電リスト'!$B$5:$B$1382,A29)</f>
        <v/>
      </c>
      <c r="C29" s="16">
        <f>COUNTIFS('架電リスト'!$B$5:$B$1382,A29,'架電リスト'!$E$5:$E$1382,"&lt;&gt;")</f>
        <v/>
      </c>
      <c r="D29" s="16">
        <f>B29-COUNTIFS('架電リスト'!$B$5:$B$1382,A29,'架電リスト'!$J$5:$J$1382,"未架電")-COUNTIFS('架電リスト'!$B$5:$B$1382,A29,'架電リスト'!$J$5:$J$1382,"")</f>
        <v/>
      </c>
      <c r="E29" s="16">
        <f>COUNTIFS('架電リスト'!$B$5:$B$1382,$A29,'架電リスト'!$J$5:$J$1382,"不在・折返し待ち")</f>
        <v/>
      </c>
      <c r="F29" s="16">
        <f>COUNTIFS('架電リスト'!$B$5:$B$1382,$A29,'架電リスト'!$J$5:$J$1382,"担当者不在")</f>
        <v/>
      </c>
      <c r="G29" s="16">
        <f>COUNTIFS('架電リスト'!$B$5:$B$1382,$A29,'架電リスト'!$J$5:$J$1382,"資料送付")</f>
        <v/>
      </c>
      <c r="H29" s="16">
        <f>COUNTIFS('架電リスト'!$B$5:$B$1382,$A29,'架電リスト'!$J$5:$J$1382,"アポ獲得")</f>
        <v/>
      </c>
      <c r="I29" s="16">
        <f>COUNTIFS('架電リスト'!$B$5:$B$1382,$A29,'架電リスト'!$J$5:$J$1382,"検討中")</f>
        <v/>
      </c>
      <c r="J29" s="16">
        <f>COUNTIFS('架電リスト'!$B$5:$B$1382,$A29,'架電リスト'!$J$5:$J$1382,"NG")</f>
        <v/>
      </c>
      <c r="K29" s="16">
        <f>COUNTIFS('架電リスト'!$B$5:$B$1382,$A29,'架電リスト'!$J$5:$J$1382,"番号不明")</f>
        <v/>
      </c>
    </row>
    <row r="30">
      <c r="A30" s="16" t="inlineStr">
        <is>
          <t>大阪府</t>
        </is>
      </c>
      <c r="B30" s="16">
        <f>COUNTIF('架電リスト'!$B$5:$B$1382,A30)</f>
        <v/>
      </c>
      <c r="C30" s="16">
        <f>COUNTIFS('架電リスト'!$B$5:$B$1382,A30,'架電リスト'!$E$5:$E$1382,"&lt;&gt;")</f>
        <v/>
      </c>
      <c r="D30" s="16">
        <f>B30-COUNTIFS('架電リスト'!$B$5:$B$1382,A30,'架電リスト'!$J$5:$J$1382,"未架電")-COUNTIFS('架電リスト'!$B$5:$B$1382,A30,'架電リスト'!$J$5:$J$1382,"")</f>
        <v/>
      </c>
      <c r="E30" s="16">
        <f>COUNTIFS('架電リスト'!$B$5:$B$1382,$A30,'架電リスト'!$J$5:$J$1382,"不在・折返し待ち")</f>
        <v/>
      </c>
      <c r="F30" s="16">
        <f>COUNTIFS('架電リスト'!$B$5:$B$1382,$A30,'架電リスト'!$J$5:$J$1382,"担当者不在")</f>
        <v/>
      </c>
      <c r="G30" s="16">
        <f>COUNTIFS('架電リスト'!$B$5:$B$1382,$A30,'架電リスト'!$J$5:$J$1382,"資料送付")</f>
        <v/>
      </c>
      <c r="H30" s="16">
        <f>COUNTIFS('架電リスト'!$B$5:$B$1382,$A30,'架電リスト'!$J$5:$J$1382,"アポ獲得")</f>
        <v/>
      </c>
      <c r="I30" s="16">
        <f>COUNTIFS('架電リスト'!$B$5:$B$1382,$A30,'架電リスト'!$J$5:$J$1382,"検討中")</f>
        <v/>
      </c>
      <c r="J30" s="16">
        <f>COUNTIFS('架電リスト'!$B$5:$B$1382,$A30,'架電リスト'!$J$5:$J$1382,"NG")</f>
        <v/>
      </c>
      <c r="K30" s="16">
        <f>COUNTIFS('架電リスト'!$B$5:$B$1382,$A30,'架電リスト'!$J$5:$J$1382,"番号不明")</f>
        <v/>
      </c>
    </row>
    <row r="31">
      <c r="A31" s="16" t="inlineStr">
        <is>
          <t>兵庫県</t>
        </is>
      </c>
      <c r="B31" s="16">
        <f>COUNTIF('架電リスト'!$B$5:$B$1382,A31)</f>
        <v/>
      </c>
      <c r="C31" s="16">
        <f>COUNTIFS('架電リスト'!$B$5:$B$1382,A31,'架電リスト'!$E$5:$E$1382,"&lt;&gt;")</f>
        <v/>
      </c>
      <c r="D31" s="16">
        <f>B31-COUNTIFS('架電リスト'!$B$5:$B$1382,A31,'架電リスト'!$J$5:$J$1382,"未架電")-COUNTIFS('架電リスト'!$B$5:$B$1382,A31,'架電リスト'!$J$5:$J$1382,"")</f>
        <v/>
      </c>
      <c r="E31" s="16">
        <f>COUNTIFS('架電リスト'!$B$5:$B$1382,$A31,'架電リスト'!$J$5:$J$1382,"不在・折返し待ち")</f>
        <v/>
      </c>
      <c r="F31" s="16">
        <f>COUNTIFS('架電リスト'!$B$5:$B$1382,$A31,'架電リスト'!$J$5:$J$1382,"担当者不在")</f>
        <v/>
      </c>
      <c r="G31" s="16">
        <f>COUNTIFS('架電リスト'!$B$5:$B$1382,$A31,'架電リスト'!$J$5:$J$1382,"資料送付")</f>
        <v/>
      </c>
      <c r="H31" s="16">
        <f>COUNTIFS('架電リスト'!$B$5:$B$1382,$A31,'架電リスト'!$J$5:$J$1382,"アポ獲得")</f>
        <v/>
      </c>
      <c r="I31" s="16">
        <f>COUNTIFS('架電リスト'!$B$5:$B$1382,$A31,'架電リスト'!$J$5:$J$1382,"検討中")</f>
        <v/>
      </c>
      <c r="J31" s="16">
        <f>COUNTIFS('架電リスト'!$B$5:$B$1382,$A31,'架電リスト'!$J$5:$J$1382,"NG")</f>
        <v/>
      </c>
      <c r="K31" s="16">
        <f>COUNTIFS('架電リスト'!$B$5:$B$1382,$A31,'架電リスト'!$J$5:$J$1382,"番号不明")</f>
        <v/>
      </c>
    </row>
    <row r="32">
      <c r="A32" s="16" t="inlineStr">
        <is>
          <t>奈良県</t>
        </is>
      </c>
      <c r="B32" s="16">
        <f>COUNTIF('架電リスト'!$B$5:$B$1382,A32)</f>
        <v/>
      </c>
      <c r="C32" s="16">
        <f>COUNTIFS('架電リスト'!$B$5:$B$1382,A32,'架電リスト'!$E$5:$E$1382,"&lt;&gt;")</f>
        <v/>
      </c>
      <c r="D32" s="16">
        <f>B32-COUNTIFS('架電リスト'!$B$5:$B$1382,A32,'架電リスト'!$J$5:$J$1382,"未架電")-COUNTIFS('架電リスト'!$B$5:$B$1382,A32,'架電リスト'!$J$5:$J$1382,"")</f>
        <v/>
      </c>
      <c r="E32" s="16">
        <f>COUNTIFS('架電リスト'!$B$5:$B$1382,$A32,'架電リスト'!$J$5:$J$1382,"不在・折返し待ち")</f>
        <v/>
      </c>
      <c r="F32" s="16">
        <f>COUNTIFS('架電リスト'!$B$5:$B$1382,$A32,'架電リスト'!$J$5:$J$1382,"担当者不在")</f>
        <v/>
      </c>
      <c r="G32" s="16">
        <f>COUNTIFS('架電リスト'!$B$5:$B$1382,$A32,'架電リスト'!$J$5:$J$1382,"資料送付")</f>
        <v/>
      </c>
      <c r="H32" s="16">
        <f>COUNTIFS('架電リスト'!$B$5:$B$1382,$A32,'架電リスト'!$J$5:$J$1382,"アポ獲得")</f>
        <v/>
      </c>
      <c r="I32" s="16">
        <f>COUNTIFS('架電リスト'!$B$5:$B$1382,$A32,'架電リスト'!$J$5:$J$1382,"検討中")</f>
        <v/>
      </c>
      <c r="J32" s="16">
        <f>COUNTIFS('架電リスト'!$B$5:$B$1382,$A32,'架電リスト'!$J$5:$J$1382,"NG")</f>
        <v/>
      </c>
      <c r="K32" s="16">
        <f>COUNTIFS('架電リスト'!$B$5:$B$1382,$A32,'架電リスト'!$J$5:$J$1382,"番号不明")</f>
        <v/>
      </c>
    </row>
    <row r="33">
      <c r="A33" s="16" t="inlineStr">
        <is>
          <t>和歌山県</t>
        </is>
      </c>
      <c r="B33" s="16">
        <f>COUNTIF('架電リスト'!$B$5:$B$1382,A33)</f>
        <v/>
      </c>
      <c r="C33" s="16">
        <f>COUNTIFS('架電リスト'!$B$5:$B$1382,A33,'架電リスト'!$E$5:$E$1382,"&lt;&gt;")</f>
        <v/>
      </c>
      <c r="D33" s="16">
        <f>B33-COUNTIFS('架電リスト'!$B$5:$B$1382,A33,'架電リスト'!$J$5:$J$1382,"未架電")-COUNTIFS('架電リスト'!$B$5:$B$1382,A33,'架電リスト'!$J$5:$J$1382,"")</f>
        <v/>
      </c>
      <c r="E33" s="16">
        <f>COUNTIFS('架電リスト'!$B$5:$B$1382,$A33,'架電リスト'!$J$5:$J$1382,"不在・折返し待ち")</f>
        <v/>
      </c>
      <c r="F33" s="16">
        <f>COUNTIFS('架電リスト'!$B$5:$B$1382,$A33,'架電リスト'!$J$5:$J$1382,"担当者不在")</f>
        <v/>
      </c>
      <c r="G33" s="16">
        <f>COUNTIFS('架電リスト'!$B$5:$B$1382,$A33,'架電リスト'!$J$5:$J$1382,"資料送付")</f>
        <v/>
      </c>
      <c r="H33" s="16">
        <f>COUNTIFS('架電リスト'!$B$5:$B$1382,$A33,'架電リスト'!$J$5:$J$1382,"アポ獲得")</f>
        <v/>
      </c>
      <c r="I33" s="16">
        <f>COUNTIFS('架電リスト'!$B$5:$B$1382,$A33,'架電リスト'!$J$5:$J$1382,"検討中")</f>
        <v/>
      </c>
      <c r="J33" s="16">
        <f>COUNTIFS('架電リスト'!$B$5:$B$1382,$A33,'架電リスト'!$J$5:$J$1382,"NG")</f>
        <v/>
      </c>
      <c r="K33" s="16">
        <f>COUNTIFS('架電リスト'!$B$5:$B$1382,$A33,'架電リスト'!$J$5:$J$1382,"番号不明")</f>
        <v/>
      </c>
    </row>
    <row r="34">
      <c r="A34" s="16" t="inlineStr">
        <is>
          <t>鳥取県</t>
        </is>
      </c>
      <c r="B34" s="16">
        <f>COUNTIF('架電リスト'!$B$5:$B$1382,A34)</f>
        <v/>
      </c>
      <c r="C34" s="16">
        <f>COUNTIFS('架電リスト'!$B$5:$B$1382,A34,'架電リスト'!$E$5:$E$1382,"&lt;&gt;")</f>
        <v/>
      </c>
      <c r="D34" s="16">
        <f>B34-COUNTIFS('架電リスト'!$B$5:$B$1382,A34,'架電リスト'!$J$5:$J$1382,"未架電")-COUNTIFS('架電リスト'!$B$5:$B$1382,A34,'架電リスト'!$J$5:$J$1382,"")</f>
        <v/>
      </c>
      <c r="E34" s="16">
        <f>COUNTIFS('架電リスト'!$B$5:$B$1382,$A34,'架電リスト'!$J$5:$J$1382,"不在・折返し待ち")</f>
        <v/>
      </c>
      <c r="F34" s="16">
        <f>COUNTIFS('架電リスト'!$B$5:$B$1382,$A34,'架電リスト'!$J$5:$J$1382,"担当者不在")</f>
        <v/>
      </c>
      <c r="G34" s="16">
        <f>COUNTIFS('架電リスト'!$B$5:$B$1382,$A34,'架電リスト'!$J$5:$J$1382,"資料送付")</f>
        <v/>
      </c>
      <c r="H34" s="16">
        <f>COUNTIFS('架電リスト'!$B$5:$B$1382,$A34,'架電リスト'!$J$5:$J$1382,"アポ獲得")</f>
        <v/>
      </c>
      <c r="I34" s="16">
        <f>COUNTIFS('架電リスト'!$B$5:$B$1382,$A34,'架電リスト'!$J$5:$J$1382,"検討中")</f>
        <v/>
      </c>
      <c r="J34" s="16">
        <f>COUNTIFS('架電リスト'!$B$5:$B$1382,$A34,'架電リスト'!$J$5:$J$1382,"NG")</f>
        <v/>
      </c>
      <c r="K34" s="16">
        <f>COUNTIFS('架電リスト'!$B$5:$B$1382,$A34,'架電リスト'!$J$5:$J$1382,"番号不明")</f>
        <v/>
      </c>
    </row>
    <row r="35">
      <c r="A35" s="16" t="inlineStr">
        <is>
          <t>島根県</t>
        </is>
      </c>
      <c r="B35" s="16">
        <f>COUNTIF('架電リスト'!$B$5:$B$1382,A35)</f>
        <v/>
      </c>
      <c r="C35" s="16">
        <f>COUNTIFS('架電リスト'!$B$5:$B$1382,A35,'架電リスト'!$E$5:$E$1382,"&lt;&gt;")</f>
        <v/>
      </c>
      <c r="D35" s="16">
        <f>B35-COUNTIFS('架電リスト'!$B$5:$B$1382,A35,'架電リスト'!$J$5:$J$1382,"未架電")-COUNTIFS('架電リスト'!$B$5:$B$1382,A35,'架電リスト'!$J$5:$J$1382,"")</f>
        <v/>
      </c>
      <c r="E35" s="16">
        <f>COUNTIFS('架電リスト'!$B$5:$B$1382,$A35,'架電リスト'!$J$5:$J$1382,"不在・折返し待ち")</f>
        <v/>
      </c>
      <c r="F35" s="16">
        <f>COUNTIFS('架電リスト'!$B$5:$B$1382,$A35,'架電リスト'!$J$5:$J$1382,"担当者不在")</f>
        <v/>
      </c>
      <c r="G35" s="16">
        <f>COUNTIFS('架電リスト'!$B$5:$B$1382,$A35,'架電リスト'!$J$5:$J$1382,"資料送付")</f>
        <v/>
      </c>
      <c r="H35" s="16">
        <f>COUNTIFS('架電リスト'!$B$5:$B$1382,$A35,'架電リスト'!$J$5:$J$1382,"アポ獲得")</f>
        <v/>
      </c>
      <c r="I35" s="16">
        <f>COUNTIFS('架電リスト'!$B$5:$B$1382,$A35,'架電リスト'!$J$5:$J$1382,"検討中")</f>
        <v/>
      </c>
      <c r="J35" s="16">
        <f>COUNTIFS('架電リスト'!$B$5:$B$1382,$A35,'架電リスト'!$J$5:$J$1382,"NG")</f>
        <v/>
      </c>
      <c r="K35" s="16">
        <f>COUNTIFS('架電リスト'!$B$5:$B$1382,$A35,'架電リスト'!$J$5:$J$1382,"番号不明")</f>
        <v/>
      </c>
    </row>
    <row r="36">
      <c r="A36" s="16" t="inlineStr">
        <is>
          <t>岡山県</t>
        </is>
      </c>
      <c r="B36" s="16">
        <f>COUNTIF('架電リスト'!$B$5:$B$1382,A36)</f>
        <v/>
      </c>
      <c r="C36" s="16">
        <f>COUNTIFS('架電リスト'!$B$5:$B$1382,A36,'架電リスト'!$E$5:$E$1382,"&lt;&gt;")</f>
        <v/>
      </c>
      <c r="D36" s="16">
        <f>B36-COUNTIFS('架電リスト'!$B$5:$B$1382,A36,'架電リスト'!$J$5:$J$1382,"未架電")-COUNTIFS('架電リスト'!$B$5:$B$1382,A36,'架電リスト'!$J$5:$J$1382,"")</f>
        <v/>
      </c>
      <c r="E36" s="16">
        <f>COUNTIFS('架電リスト'!$B$5:$B$1382,$A36,'架電リスト'!$J$5:$J$1382,"不在・折返し待ち")</f>
        <v/>
      </c>
      <c r="F36" s="16">
        <f>COUNTIFS('架電リスト'!$B$5:$B$1382,$A36,'架電リスト'!$J$5:$J$1382,"担当者不在")</f>
        <v/>
      </c>
      <c r="G36" s="16">
        <f>COUNTIFS('架電リスト'!$B$5:$B$1382,$A36,'架電リスト'!$J$5:$J$1382,"資料送付")</f>
        <v/>
      </c>
      <c r="H36" s="16">
        <f>COUNTIFS('架電リスト'!$B$5:$B$1382,$A36,'架電リスト'!$J$5:$J$1382,"アポ獲得")</f>
        <v/>
      </c>
      <c r="I36" s="16">
        <f>COUNTIFS('架電リスト'!$B$5:$B$1382,$A36,'架電リスト'!$J$5:$J$1382,"検討中")</f>
        <v/>
      </c>
      <c r="J36" s="16">
        <f>COUNTIFS('架電リスト'!$B$5:$B$1382,$A36,'架電リスト'!$J$5:$J$1382,"NG")</f>
        <v/>
      </c>
      <c r="K36" s="16">
        <f>COUNTIFS('架電リスト'!$B$5:$B$1382,$A36,'架電リスト'!$J$5:$J$1382,"番号不明")</f>
        <v/>
      </c>
    </row>
    <row r="37">
      <c r="A37" s="16" t="inlineStr">
        <is>
          <t>広島県</t>
        </is>
      </c>
      <c r="B37" s="16">
        <f>COUNTIF('架電リスト'!$B$5:$B$1382,A37)</f>
        <v/>
      </c>
      <c r="C37" s="16">
        <f>COUNTIFS('架電リスト'!$B$5:$B$1382,A37,'架電リスト'!$E$5:$E$1382,"&lt;&gt;")</f>
        <v/>
      </c>
      <c r="D37" s="16">
        <f>B37-COUNTIFS('架電リスト'!$B$5:$B$1382,A37,'架電リスト'!$J$5:$J$1382,"未架電")-COUNTIFS('架電リスト'!$B$5:$B$1382,A37,'架電リスト'!$J$5:$J$1382,"")</f>
        <v/>
      </c>
      <c r="E37" s="16">
        <f>COUNTIFS('架電リスト'!$B$5:$B$1382,$A37,'架電リスト'!$J$5:$J$1382,"不在・折返し待ち")</f>
        <v/>
      </c>
      <c r="F37" s="16">
        <f>COUNTIFS('架電リスト'!$B$5:$B$1382,$A37,'架電リスト'!$J$5:$J$1382,"担当者不在")</f>
        <v/>
      </c>
      <c r="G37" s="16">
        <f>COUNTIFS('架電リスト'!$B$5:$B$1382,$A37,'架電リスト'!$J$5:$J$1382,"資料送付")</f>
        <v/>
      </c>
      <c r="H37" s="16">
        <f>COUNTIFS('架電リスト'!$B$5:$B$1382,$A37,'架電リスト'!$J$5:$J$1382,"アポ獲得")</f>
        <v/>
      </c>
      <c r="I37" s="16">
        <f>COUNTIFS('架電リスト'!$B$5:$B$1382,$A37,'架電リスト'!$J$5:$J$1382,"検討中")</f>
        <v/>
      </c>
      <c r="J37" s="16">
        <f>COUNTIFS('架電リスト'!$B$5:$B$1382,$A37,'架電リスト'!$J$5:$J$1382,"NG")</f>
        <v/>
      </c>
      <c r="K37" s="16">
        <f>COUNTIFS('架電リスト'!$B$5:$B$1382,$A37,'架電リスト'!$J$5:$J$1382,"番号不明")</f>
        <v/>
      </c>
    </row>
    <row r="38">
      <c r="A38" s="16" t="inlineStr">
        <is>
          <t>山口県</t>
        </is>
      </c>
      <c r="B38" s="16">
        <f>COUNTIF('架電リスト'!$B$5:$B$1382,A38)</f>
        <v/>
      </c>
      <c r="C38" s="16">
        <f>COUNTIFS('架電リスト'!$B$5:$B$1382,A38,'架電リスト'!$E$5:$E$1382,"&lt;&gt;")</f>
        <v/>
      </c>
      <c r="D38" s="16">
        <f>B38-COUNTIFS('架電リスト'!$B$5:$B$1382,A38,'架電リスト'!$J$5:$J$1382,"未架電")-COUNTIFS('架電リスト'!$B$5:$B$1382,A38,'架電リスト'!$J$5:$J$1382,"")</f>
        <v/>
      </c>
      <c r="E38" s="16">
        <f>COUNTIFS('架電リスト'!$B$5:$B$1382,$A38,'架電リスト'!$J$5:$J$1382,"不在・折返し待ち")</f>
        <v/>
      </c>
      <c r="F38" s="16">
        <f>COUNTIFS('架電リスト'!$B$5:$B$1382,$A38,'架電リスト'!$J$5:$J$1382,"担当者不在")</f>
        <v/>
      </c>
      <c r="G38" s="16">
        <f>COUNTIFS('架電リスト'!$B$5:$B$1382,$A38,'架電リスト'!$J$5:$J$1382,"資料送付")</f>
        <v/>
      </c>
      <c r="H38" s="16">
        <f>COUNTIFS('架電リスト'!$B$5:$B$1382,$A38,'架電リスト'!$J$5:$J$1382,"アポ獲得")</f>
        <v/>
      </c>
      <c r="I38" s="16">
        <f>COUNTIFS('架電リスト'!$B$5:$B$1382,$A38,'架電リスト'!$J$5:$J$1382,"検討中")</f>
        <v/>
      </c>
      <c r="J38" s="16">
        <f>COUNTIFS('架電リスト'!$B$5:$B$1382,$A38,'架電リスト'!$J$5:$J$1382,"NG")</f>
        <v/>
      </c>
      <c r="K38" s="16">
        <f>COUNTIFS('架電リスト'!$B$5:$B$1382,$A38,'架電リスト'!$J$5:$J$1382,"番号不明")</f>
        <v/>
      </c>
    </row>
    <row r="39">
      <c r="A39" s="16" t="inlineStr">
        <is>
          <t>徳島県</t>
        </is>
      </c>
      <c r="B39" s="16">
        <f>COUNTIF('架電リスト'!$B$5:$B$1382,A39)</f>
        <v/>
      </c>
      <c r="C39" s="16">
        <f>COUNTIFS('架電リスト'!$B$5:$B$1382,A39,'架電リスト'!$E$5:$E$1382,"&lt;&gt;")</f>
        <v/>
      </c>
      <c r="D39" s="16">
        <f>B39-COUNTIFS('架電リスト'!$B$5:$B$1382,A39,'架電リスト'!$J$5:$J$1382,"未架電")-COUNTIFS('架電リスト'!$B$5:$B$1382,A39,'架電リスト'!$J$5:$J$1382,"")</f>
        <v/>
      </c>
      <c r="E39" s="16">
        <f>COUNTIFS('架電リスト'!$B$5:$B$1382,$A39,'架電リスト'!$J$5:$J$1382,"不在・折返し待ち")</f>
        <v/>
      </c>
      <c r="F39" s="16">
        <f>COUNTIFS('架電リスト'!$B$5:$B$1382,$A39,'架電リスト'!$J$5:$J$1382,"担当者不在")</f>
        <v/>
      </c>
      <c r="G39" s="16">
        <f>COUNTIFS('架電リスト'!$B$5:$B$1382,$A39,'架電リスト'!$J$5:$J$1382,"資料送付")</f>
        <v/>
      </c>
      <c r="H39" s="16">
        <f>COUNTIFS('架電リスト'!$B$5:$B$1382,$A39,'架電リスト'!$J$5:$J$1382,"アポ獲得")</f>
        <v/>
      </c>
      <c r="I39" s="16">
        <f>COUNTIFS('架電リスト'!$B$5:$B$1382,$A39,'架電リスト'!$J$5:$J$1382,"検討中")</f>
        <v/>
      </c>
      <c r="J39" s="16">
        <f>COUNTIFS('架電リスト'!$B$5:$B$1382,$A39,'架電リスト'!$J$5:$J$1382,"NG")</f>
        <v/>
      </c>
      <c r="K39" s="16">
        <f>COUNTIFS('架電リスト'!$B$5:$B$1382,$A39,'架電リスト'!$J$5:$J$1382,"番号不明")</f>
        <v/>
      </c>
    </row>
    <row r="40">
      <c r="A40" s="16" t="inlineStr">
        <is>
          <t>香川県</t>
        </is>
      </c>
      <c r="B40" s="16">
        <f>COUNTIF('架電リスト'!$B$5:$B$1382,A40)</f>
        <v/>
      </c>
      <c r="C40" s="16">
        <f>COUNTIFS('架電リスト'!$B$5:$B$1382,A40,'架電リスト'!$E$5:$E$1382,"&lt;&gt;")</f>
        <v/>
      </c>
      <c r="D40" s="16">
        <f>B40-COUNTIFS('架電リスト'!$B$5:$B$1382,A40,'架電リスト'!$J$5:$J$1382,"未架電")-COUNTIFS('架電リスト'!$B$5:$B$1382,A40,'架電リスト'!$J$5:$J$1382,"")</f>
        <v/>
      </c>
      <c r="E40" s="16">
        <f>COUNTIFS('架電リスト'!$B$5:$B$1382,$A40,'架電リスト'!$J$5:$J$1382,"不在・折返し待ち")</f>
        <v/>
      </c>
      <c r="F40" s="16">
        <f>COUNTIFS('架電リスト'!$B$5:$B$1382,$A40,'架電リスト'!$J$5:$J$1382,"担当者不在")</f>
        <v/>
      </c>
      <c r="G40" s="16">
        <f>COUNTIFS('架電リスト'!$B$5:$B$1382,$A40,'架電リスト'!$J$5:$J$1382,"資料送付")</f>
        <v/>
      </c>
      <c r="H40" s="16">
        <f>COUNTIFS('架電リスト'!$B$5:$B$1382,$A40,'架電リスト'!$J$5:$J$1382,"アポ獲得")</f>
        <v/>
      </c>
      <c r="I40" s="16">
        <f>COUNTIFS('架電リスト'!$B$5:$B$1382,$A40,'架電リスト'!$J$5:$J$1382,"検討中")</f>
        <v/>
      </c>
      <c r="J40" s="16">
        <f>COUNTIFS('架電リスト'!$B$5:$B$1382,$A40,'架電リスト'!$J$5:$J$1382,"NG")</f>
        <v/>
      </c>
      <c r="K40" s="16">
        <f>COUNTIFS('架電リスト'!$B$5:$B$1382,$A40,'架電リスト'!$J$5:$J$1382,"番号不明")</f>
        <v/>
      </c>
    </row>
    <row r="41">
      <c r="A41" s="16" t="inlineStr">
        <is>
          <t>愛媛県</t>
        </is>
      </c>
      <c r="B41" s="16">
        <f>COUNTIF('架電リスト'!$B$5:$B$1382,A41)</f>
        <v/>
      </c>
      <c r="C41" s="16">
        <f>COUNTIFS('架電リスト'!$B$5:$B$1382,A41,'架電リスト'!$E$5:$E$1382,"&lt;&gt;")</f>
        <v/>
      </c>
      <c r="D41" s="16">
        <f>B41-COUNTIFS('架電リスト'!$B$5:$B$1382,A41,'架電リスト'!$J$5:$J$1382,"未架電")-COUNTIFS('架電リスト'!$B$5:$B$1382,A41,'架電リスト'!$J$5:$J$1382,"")</f>
        <v/>
      </c>
      <c r="E41" s="16">
        <f>COUNTIFS('架電リスト'!$B$5:$B$1382,$A41,'架電リスト'!$J$5:$J$1382,"不在・折返し待ち")</f>
        <v/>
      </c>
      <c r="F41" s="16">
        <f>COUNTIFS('架電リスト'!$B$5:$B$1382,$A41,'架電リスト'!$J$5:$J$1382,"担当者不在")</f>
        <v/>
      </c>
      <c r="G41" s="16">
        <f>COUNTIFS('架電リスト'!$B$5:$B$1382,$A41,'架電リスト'!$J$5:$J$1382,"資料送付")</f>
        <v/>
      </c>
      <c r="H41" s="16">
        <f>COUNTIFS('架電リスト'!$B$5:$B$1382,$A41,'架電リスト'!$J$5:$J$1382,"アポ獲得")</f>
        <v/>
      </c>
      <c r="I41" s="16">
        <f>COUNTIFS('架電リスト'!$B$5:$B$1382,$A41,'架電リスト'!$J$5:$J$1382,"検討中")</f>
        <v/>
      </c>
      <c r="J41" s="16">
        <f>COUNTIFS('架電リスト'!$B$5:$B$1382,$A41,'架電リスト'!$J$5:$J$1382,"NG")</f>
        <v/>
      </c>
      <c r="K41" s="16">
        <f>COUNTIFS('架電リスト'!$B$5:$B$1382,$A41,'架電リスト'!$J$5:$J$1382,"番号不明")</f>
        <v/>
      </c>
    </row>
    <row r="42">
      <c r="A42" s="16" t="inlineStr">
        <is>
          <t>高知県</t>
        </is>
      </c>
      <c r="B42" s="16">
        <f>COUNTIF('架電リスト'!$B$5:$B$1382,A42)</f>
        <v/>
      </c>
      <c r="C42" s="16">
        <f>COUNTIFS('架電リスト'!$B$5:$B$1382,A42,'架電リスト'!$E$5:$E$1382,"&lt;&gt;")</f>
        <v/>
      </c>
      <c r="D42" s="16">
        <f>B42-COUNTIFS('架電リスト'!$B$5:$B$1382,A42,'架電リスト'!$J$5:$J$1382,"未架電")-COUNTIFS('架電リスト'!$B$5:$B$1382,A42,'架電リスト'!$J$5:$J$1382,"")</f>
        <v/>
      </c>
      <c r="E42" s="16">
        <f>COUNTIFS('架電リスト'!$B$5:$B$1382,$A42,'架電リスト'!$J$5:$J$1382,"不在・折返し待ち")</f>
        <v/>
      </c>
      <c r="F42" s="16">
        <f>COUNTIFS('架電リスト'!$B$5:$B$1382,$A42,'架電リスト'!$J$5:$J$1382,"担当者不在")</f>
        <v/>
      </c>
      <c r="G42" s="16">
        <f>COUNTIFS('架電リスト'!$B$5:$B$1382,$A42,'架電リスト'!$J$5:$J$1382,"資料送付")</f>
        <v/>
      </c>
      <c r="H42" s="16">
        <f>COUNTIFS('架電リスト'!$B$5:$B$1382,$A42,'架電リスト'!$J$5:$J$1382,"アポ獲得")</f>
        <v/>
      </c>
      <c r="I42" s="16">
        <f>COUNTIFS('架電リスト'!$B$5:$B$1382,$A42,'架電リスト'!$J$5:$J$1382,"検討中")</f>
        <v/>
      </c>
      <c r="J42" s="16">
        <f>COUNTIFS('架電リスト'!$B$5:$B$1382,$A42,'架電リスト'!$J$5:$J$1382,"NG")</f>
        <v/>
      </c>
      <c r="K42" s="16">
        <f>COUNTIFS('架電リスト'!$B$5:$B$1382,$A42,'架電リスト'!$J$5:$J$1382,"番号不明")</f>
        <v/>
      </c>
    </row>
    <row r="43">
      <c r="A43" s="16" t="inlineStr">
        <is>
          <t>福岡県</t>
        </is>
      </c>
      <c r="B43" s="16">
        <f>COUNTIF('架電リスト'!$B$5:$B$1382,A43)</f>
        <v/>
      </c>
      <c r="C43" s="16">
        <f>COUNTIFS('架電リスト'!$B$5:$B$1382,A43,'架電リスト'!$E$5:$E$1382,"&lt;&gt;")</f>
        <v/>
      </c>
      <c r="D43" s="16">
        <f>B43-COUNTIFS('架電リスト'!$B$5:$B$1382,A43,'架電リスト'!$J$5:$J$1382,"未架電")-COUNTIFS('架電リスト'!$B$5:$B$1382,A43,'架電リスト'!$J$5:$J$1382,"")</f>
        <v/>
      </c>
      <c r="E43" s="16">
        <f>COUNTIFS('架電リスト'!$B$5:$B$1382,$A43,'架電リスト'!$J$5:$J$1382,"不在・折返し待ち")</f>
        <v/>
      </c>
      <c r="F43" s="16">
        <f>COUNTIFS('架電リスト'!$B$5:$B$1382,$A43,'架電リスト'!$J$5:$J$1382,"担当者不在")</f>
        <v/>
      </c>
      <c r="G43" s="16">
        <f>COUNTIFS('架電リスト'!$B$5:$B$1382,$A43,'架電リスト'!$J$5:$J$1382,"資料送付")</f>
        <v/>
      </c>
      <c r="H43" s="16">
        <f>COUNTIFS('架電リスト'!$B$5:$B$1382,$A43,'架電リスト'!$J$5:$J$1382,"アポ獲得")</f>
        <v/>
      </c>
      <c r="I43" s="16">
        <f>COUNTIFS('架電リスト'!$B$5:$B$1382,$A43,'架電リスト'!$J$5:$J$1382,"検討中")</f>
        <v/>
      </c>
      <c r="J43" s="16">
        <f>COUNTIFS('架電リスト'!$B$5:$B$1382,$A43,'架電リスト'!$J$5:$J$1382,"NG")</f>
        <v/>
      </c>
      <c r="K43" s="16">
        <f>COUNTIFS('架電リスト'!$B$5:$B$1382,$A43,'架電リスト'!$J$5:$J$1382,"番号不明")</f>
        <v/>
      </c>
    </row>
    <row r="44">
      <c r="A44" s="16" t="inlineStr">
        <is>
          <t>佐賀県</t>
        </is>
      </c>
      <c r="B44" s="16">
        <f>COUNTIF('架電リスト'!$B$5:$B$1382,A44)</f>
        <v/>
      </c>
      <c r="C44" s="16">
        <f>COUNTIFS('架電リスト'!$B$5:$B$1382,A44,'架電リスト'!$E$5:$E$1382,"&lt;&gt;")</f>
        <v/>
      </c>
      <c r="D44" s="16">
        <f>B44-COUNTIFS('架電リスト'!$B$5:$B$1382,A44,'架電リスト'!$J$5:$J$1382,"未架電")-COUNTIFS('架電リスト'!$B$5:$B$1382,A44,'架電リスト'!$J$5:$J$1382,"")</f>
        <v/>
      </c>
      <c r="E44" s="16">
        <f>COUNTIFS('架電リスト'!$B$5:$B$1382,$A44,'架電リスト'!$J$5:$J$1382,"不在・折返し待ち")</f>
        <v/>
      </c>
      <c r="F44" s="16">
        <f>COUNTIFS('架電リスト'!$B$5:$B$1382,$A44,'架電リスト'!$J$5:$J$1382,"担当者不在")</f>
        <v/>
      </c>
      <c r="G44" s="16">
        <f>COUNTIFS('架電リスト'!$B$5:$B$1382,$A44,'架電リスト'!$J$5:$J$1382,"資料送付")</f>
        <v/>
      </c>
      <c r="H44" s="16">
        <f>COUNTIFS('架電リスト'!$B$5:$B$1382,$A44,'架電リスト'!$J$5:$J$1382,"アポ獲得")</f>
        <v/>
      </c>
      <c r="I44" s="16">
        <f>COUNTIFS('架電リスト'!$B$5:$B$1382,$A44,'架電リスト'!$J$5:$J$1382,"検討中")</f>
        <v/>
      </c>
      <c r="J44" s="16">
        <f>COUNTIFS('架電リスト'!$B$5:$B$1382,$A44,'架電リスト'!$J$5:$J$1382,"NG")</f>
        <v/>
      </c>
      <c r="K44" s="16">
        <f>COUNTIFS('架電リスト'!$B$5:$B$1382,$A44,'架電リスト'!$J$5:$J$1382,"番号不明")</f>
        <v/>
      </c>
    </row>
    <row r="45">
      <c r="A45" s="16" t="inlineStr">
        <is>
          <t>長崎県</t>
        </is>
      </c>
      <c r="B45" s="16">
        <f>COUNTIF('架電リスト'!$B$5:$B$1382,A45)</f>
        <v/>
      </c>
      <c r="C45" s="16">
        <f>COUNTIFS('架電リスト'!$B$5:$B$1382,A45,'架電リスト'!$E$5:$E$1382,"&lt;&gt;")</f>
        <v/>
      </c>
      <c r="D45" s="16">
        <f>B45-COUNTIFS('架電リスト'!$B$5:$B$1382,A45,'架電リスト'!$J$5:$J$1382,"未架電")-COUNTIFS('架電リスト'!$B$5:$B$1382,A45,'架電リスト'!$J$5:$J$1382,"")</f>
        <v/>
      </c>
      <c r="E45" s="16">
        <f>COUNTIFS('架電リスト'!$B$5:$B$1382,$A45,'架電リスト'!$J$5:$J$1382,"不在・折返し待ち")</f>
        <v/>
      </c>
      <c r="F45" s="16">
        <f>COUNTIFS('架電リスト'!$B$5:$B$1382,$A45,'架電リスト'!$J$5:$J$1382,"担当者不在")</f>
        <v/>
      </c>
      <c r="G45" s="16">
        <f>COUNTIFS('架電リスト'!$B$5:$B$1382,$A45,'架電リスト'!$J$5:$J$1382,"資料送付")</f>
        <v/>
      </c>
      <c r="H45" s="16">
        <f>COUNTIFS('架電リスト'!$B$5:$B$1382,$A45,'架電リスト'!$J$5:$J$1382,"アポ獲得")</f>
        <v/>
      </c>
      <c r="I45" s="16">
        <f>COUNTIFS('架電リスト'!$B$5:$B$1382,$A45,'架電リスト'!$J$5:$J$1382,"検討中")</f>
        <v/>
      </c>
      <c r="J45" s="16">
        <f>COUNTIFS('架電リスト'!$B$5:$B$1382,$A45,'架電リスト'!$J$5:$J$1382,"NG")</f>
        <v/>
      </c>
      <c r="K45" s="16">
        <f>COUNTIFS('架電リスト'!$B$5:$B$1382,$A45,'架電リスト'!$J$5:$J$1382,"番号不明")</f>
        <v/>
      </c>
    </row>
    <row r="46">
      <c r="A46" s="16" t="inlineStr">
        <is>
          <t>熊本県</t>
        </is>
      </c>
      <c r="B46" s="16">
        <f>COUNTIF('架電リスト'!$B$5:$B$1382,A46)</f>
        <v/>
      </c>
      <c r="C46" s="16">
        <f>COUNTIFS('架電リスト'!$B$5:$B$1382,A46,'架電リスト'!$E$5:$E$1382,"&lt;&gt;")</f>
        <v/>
      </c>
      <c r="D46" s="16">
        <f>B46-COUNTIFS('架電リスト'!$B$5:$B$1382,A46,'架電リスト'!$J$5:$J$1382,"未架電")-COUNTIFS('架電リスト'!$B$5:$B$1382,A46,'架電リスト'!$J$5:$J$1382,"")</f>
        <v/>
      </c>
      <c r="E46" s="16">
        <f>COUNTIFS('架電リスト'!$B$5:$B$1382,$A46,'架電リスト'!$J$5:$J$1382,"不在・折返し待ち")</f>
        <v/>
      </c>
      <c r="F46" s="16">
        <f>COUNTIFS('架電リスト'!$B$5:$B$1382,$A46,'架電リスト'!$J$5:$J$1382,"担当者不在")</f>
        <v/>
      </c>
      <c r="G46" s="16">
        <f>COUNTIFS('架電リスト'!$B$5:$B$1382,$A46,'架電リスト'!$J$5:$J$1382,"資料送付")</f>
        <v/>
      </c>
      <c r="H46" s="16">
        <f>COUNTIFS('架電リスト'!$B$5:$B$1382,$A46,'架電リスト'!$J$5:$J$1382,"アポ獲得")</f>
        <v/>
      </c>
      <c r="I46" s="16">
        <f>COUNTIFS('架電リスト'!$B$5:$B$1382,$A46,'架電リスト'!$J$5:$J$1382,"検討中")</f>
        <v/>
      </c>
      <c r="J46" s="16">
        <f>COUNTIFS('架電リスト'!$B$5:$B$1382,$A46,'架電リスト'!$J$5:$J$1382,"NG")</f>
        <v/>
      </c>
      <c r="K46" s="16">
        <f>COUNTIFS('架電リスト'!$B$5:$B$1382,$A46,'架電リスト'!$J$5:$J$1382,"番号不明")</f>
        <v/>
      </c>
    </row>
    <row r="47">
      <c r="A47" s="16" t="inlineStr">
        <is>
          <t>大分県</t>
        </is>
      </c>
      <c r="B47" s="16">
        <f>COUNTIF('架電リスト'!$B$5:$B$1382,A47)</f>
        <v/>
      </c>
      <c r="C47" s="16">
        <f>COUNTIFS('架電リスト'!$B$5:$B$1382,A47,'架電リスト'!$E$5:$E$1382,"&lt;&gt;")</f>
        <v/>
      </c>
      <c r="D47" s="16">
        <f>B47-COUNTIFS('架電リスト'!$B$5:$B$1382,A47,'架電リスト'!$J$5:$J$1382,"未架電")-COUNTIFS('架電リスト'!$B$5:$B$1382,A47,'架電リスト'!$J$5:$J$1382,"")</f>
        <v/>
      </c>
      <c r="E47" s="16">
        <f>COUNTIFS('架電リスト'!$B$5:$B$1382,$A47,'架電リスト'!$J$5:$J$1382,"不在・折返し待ち")</f>
        <v/>
      </c>
      <c r="F47" s="16">
        <f>COUNTIFS('架電リスト'!$B$5:$B$1382,$A47,'架電リスト'!$J$5:$J$1382,"担当者不在")</f>
        <v/>
      </c>
      <c r="G47" s="16">
        <f>COUNTIFS('架電リスト'!$B$5:$B$1382,$A47,'架電リスト'!$J$5:$J$1382,"資料送付")</f>
        <v/>
      </c>
      <c r="H47" s="16">
        <f>COUNTIFS('架電リスト'!$B$5:$B$1382,$A47,'架電リスト'!$J$5:$J$1382,"アポ獲得")</f>
        <v/>
      </c>
      <c r="I47" s="16">
        <f>COUNTIFS('架電リスト'!$B$5:$B$1382,$A47,'架電リスト'!$J$5:$J$1382,"検討中")</f>
        <v/>
      </c>
      <c r="J47" s="16">
        <f>COUNTIFS('架電リスト'!$B$5:$B$1382,$A47,'架電リスト'!$J$5:$J$1382,"NG")</f>
        <v/>
      </c>
      <c r="K47" s="16">
        <f>COUNTIFS('架電リスト'!$B$5:$B$1382,$A47,'架電リスト'!$J$5:$J$1382,"番号不明")</f>
        <v/>
      </c>
    </row>
    <row r="48">
      <c r="A48" s="16" t="inlineStr">
        <is>
          <t>宮崎県</t>
        </is>
      </c>
      <c r="B48" s="16">
        <f>COUNTIF('架電リスト'!$B$5:$B$1382,A48)</f>
        <v/>
      </c>
      <c r="C48" s="16">
        <f>COUNTIFS('架電リスト'!$B$5:$B$1382,A48,'架電リスト'!$E$5:$E$1382,"&lt;&gt;")</f>
        <v/>
      </c>
      <c r="D48" s="16">
        <f>B48-COUNTIFS('架電リスト'!$B$5:$B$1382,A48,'架電リスト'!$J$5:$J$1382,"未架電")-COUNTIFS('架電リスト'!$B$5:$B$1382,A48,'架電リスト'!$J$5:$J$1382,"")</f>
        <v/>
      </c>
      <c r="E48" s="16">
        <f>COUNTIFS('架電リスト'!$B$5:$B$1382,$A48,'架電リスト'!$J$5:$J$1382,"不在・折返し待ち")</f>
        <v/>
      </c>
      <c r="F48" s="16">
        <f>COUNTIFS('架電リスト'!$B$5:$B$1382,$A48,'架電リスト'!$J$5:$J$1382,"担当者不在")</f>
        <v/>
      </c>
      <c r="G48" s="16">
        <f>COUNTIFS('架電リスト'!$B$5:$B$1382,$A48,'架電リスト'!$J$5:$J$1382,"資料送付")</f>
        <v/>
      </c>
      <c r="H48" s="16">
        <f>COUNTIFS('架電リスト'!$B$5:$B$1382,$A48,'架電リスト'!$J$5:$J$1382,"アポ獲得")</f>
        <v/>
      </c>
      <c r="I48" s="16">
        <f>COUNTIFS('架電リスト'!$B$5:$B$1382,$A48,'架電リスト'!$J$5:$J$1382,"検討中")</f>
        <v/>
      </c>
      <c r="J48" s="16">
        <f>COUNTIFS('架電リスト'!$B$5:$B$1382,$A48,'架電リスト'!$J$5:$J$1382,"NG")</f>
        <v/>
      </c>
      <c r="K48" s="16">
        <f>COUNTIFS('架電リスト'!$B$5:$B$1382,$A48,'架電リスト'!$J$5:$J$1382,"番号不明")</f>
        <v/>
      </c>
    </row>
    <row r="49">
      <c r="A49" s="16" t="inlineStr">
        <is>
          <t>鹿児島県</t>
        </is>
      </c>
      <c r="B49" s="16">
        <f>COUNTIF('架電リスト'!$B$5:$B$1382,A49)</f>
        <v/>
      </c>
      <c r="C49" s="16">
        <f>COUNTIFS('架電リスト'!$B$5:$B$1382,A49,'架電リスト'!$E$5:$E$1382,"&lt;&gt;")</f>
        <v/>
      </c>
      <c r="D49" s="16">
        <f>B49-COUNTIFS('架電リスト'!$B$5:$B$1382,A49,'架電リスト'!$J$5:$J$1382,"未架電")-COUNTIFS('架電リスト'!$B$5:$B$1382,A49,'架電リスト'!$J$5:$J$1382,"")</f>
        <v/>
      </c>
      <c r="E49" s="16">
        <f>COUNTIFS('架電リスト'!$B$5:$B$1382,$A49,'架電リスト'!$J$5:$J$1382,"不在・折返し待ち")</f>
        <v/>
      </c>
      <c r="F49" s="16">
        <f>COUNTIFS('架電リスト'!$B$5:$B$1382,$A49,'架電リスト'!$J$5:$J$1382,"担当者不在")</f>
        <v/>
      </c>
      <c r="G49" s="16">
        <f>COUNTIFS('架電リスト'!$B$5:$B$1382,$A49,'架電リスト'!$J$5:$J$1382,"資料送付")</f>
        <v/>
      </c>
      <c r="H49" s="16">
        <f>COUNTIFS('架電リスト'!$B$5:$B$1382,$A49,'架電リスト'!$J$5:$J$1382,"アポ獲得")</f>
        <v/>
      </c>
      <c r="I49" s="16">
        <f>COUNTIFS('架電リスト'!$B$5:$B$1382,$A49,'架電リスト'!$J$5:$J$1382,"検討中")</f>
        <v/>
      </c>
      <c r="J49" s="16">
        <f>COUNTIFS('架電リスト'!$B$5:$B$1382,$A49,'架電リスト'!$J$5:$J$1382,"NG")</f>
        <v/>
      </c>
      <c r="K49" s="16">
        <f>COUNTIFS('架電リスト'!$B$5:$B$1382,$A49,'架電リスト'!$J$5:$J$1382,"番号不明")</f>
        <v/>
      </c>
    </row>
    <row r="50">
      <c r="A50" s="16" t="inlineStr">
        <is>
          <t>沖縄県</t>
        </is>
      </c>
      <c r="B50" s="16">
        <f>COUNTIF('架電リスト'!$B$5:$B$1382,A50)</f>
        <v/>
      </c>
      <c r="C50" s="16">
        <f>COUNTIFS('架電リスト'!$B$5:$B$1382,A50,'架電リスト'!$E$5:$E$1382,"&lt;&gt;")</f>
        <v/>
      </c>
      <c r="D50" s="16">
        <f>B50-COUNTIFS('架電リスト'!$B$5:$B$1382,A50,'架電リスト'!$J$5:$J$1382,"未架電")-COUNTIFS('架電リスト'!$B$5:$B$1382,A50,'架電リスト'!$J$5:$J$1382,"")</f>
        <v/>
      </c>
      <c r="E50" s="16">
        <f>COUNTIFS('架電リスト'!$B$5:$B$1382,$A50,'架電リスト'!$J$5:$J$1382,"不在・折返し待ち")</f>
        <v/>
      </c>
      <c r="F50" s="16">
        <f>COUNTIFS('架電リスト'!$B$5:$B$1382,$A50,'架電リスト'!$J$5:$J$1382,"担当者不在")</f>
        <v/>
      </c>
      <c r="G50" s="16">
        <f>COUNTIFS('架電リスト'!$B$5:$B$1382,$A50,'架電リスト'!$J$5:$J$1382,"資料送付")</f>
        <v/>
      </c>
      <c r="H50" s="16">
        <f>COUNTIFS('架電リスト'!$B$5:$B$1382,$A50,'架電リスト'!$J$5:$J$1382,"アポ獲得")</f>
        <v/>
      </c>
      <c r="I50" s="16">
        <f>COUNTIFS('架電リスト'!$B$5:$B$1382,$A50,'架電リスト'!$J$5:$J$1382,"検討中")</f>
        <v/>
      </c>
      <c r="J50" s="16">
        <f>COUNTIFS('架電リスト'!$B$5:$B$1382,$A50,'架電リスト'!$J$5:$J$1382,"NG")</f>
        <v/>
      </c>
      <c r="K50" s="16">
        <f>COUNTIFS('架電リスト'!$B$5:$B$1382,$A50,'架電リスト'!$J$5:$J$1382,"番号不明")</f>
        <v/>
      </c>
    </row>
    <row r="51">
      <c r="A51" s="17" t="inlineStr">
        <is>
          <t>合計</t>
        </is>
      </c>
      <c r="B51" s="17">
        <f>SUM(B4:B50)</f>
        <v/>
      </c>
      <c r="C51" s="17">
        <f>SUM(C4:C50)</f>
        <v/>
      </c>
      <c r="D51" s="17">
        <f>SUM(D4:D50)</f>
        <v/>
      </c>
      <c r="E51" s="17">
        <f>SUM(E4:E50)</f>
        <v/>
      </c>
      <c r="F51" s="17">
        <f>SUM(F4:F50)</f>
        <v/>
      </c>
      <c r="G51" s="17">
        <f>SUM(G4:G50)</f>
        <v/>
      </c>
      <c r="H51" s="17">
        <f>SUM(H4:H50)</f>
        <v/>
      </c>
      <c r="I51" s="17">
        <f>SUM(I4:I50)</f>
        <v/>
      </c>
      <c r="J51" s="17">
        <f>SUM(J4:J50)</f>
        <v/>
      </c>
      <c r="K51" s="17">
        <f>SUM(K4:K50)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・出典：ご提供いただいた学校ネットの検索結果（私立高校・全国47都道府県、1378校）の貼り付けデータ。並び順は都道府県ごとに元データの掲載順です。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2026-10-14T02:23:07Z</dcterms:created>
  <dcterms:modified xsi:type="dcterms:W3CDTF">2026-10-14T02:23:09Z</dcterms:modified>
</cp:coreProperties>
</file>