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テレアポ管理（私立全国版）" sheetId="2" state="visible" r:id="rId2"/>
    <sheet name="都道府県別集計" sheetId="3" state="visible" r:id="rId3"/>
    <sheet name="使い方・注意事項" sheetId="4" state="visible" r:id="rId4"/>
  </sheets>
  <definedNames>
    <definedName name="_xlnm._FilterDatabase" localSheetId="0" hidden="1">'架電リスト'!$A$4:$O$1382</definedName>
    <definedName name="_xlnm.Print_Titles" localSheetId="0">'架電リスト'!$4:$4</definedName>
    <definedName name="_xlnm._FilterDatabase" localSheetId="1" hidden="1">'テレアポ管理（私立全国版）'!$A$5:$W$1383</definedName>
    <definedName name="_xlnm.Print_Titles" localSheetId="1">'テレアポ管理（私立全国版）'!$5:$5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13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  <font>
      <name val="Yu Gothic"/>
      <color rgb="001155CC"/>
      <sz val="10"/>
      <u val="single"/>
    </font>
    <font>
      <name val="Yu Gothic"/>
      <b val="1"/>
      <sz val="9"/>
    </font>
    <font>
      <name val="Yu Gothic"/>
      <color rgb="00808080"/>
      <sz val="12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00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8" fillId="8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center" vertical="center"/>
    </xf>
    <xf numFmtId="0" fontId="4" fillId="0" borderId="3" applyAlignment="1" pivotButton="0" quotePrefix="0" xfId="0">
      <alignment vertical="bottom"/>
    </xf>
    <xf numFmtId="49" fontId="4" fillId="0" borderId="3" applyAlignment="1" pivotButton="0" quotePrefix="0" xfId="0">
      <alignment vertical="bottom"/>
    </xf>
    <xf numFmtId="0" fontId="4" fillId="0" borderId="4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bottom"/>
    </xf>
    <xf numFmtId="0" fontId="4" fillId="0" borderId="3" applyAlignment="1" pivotButton="0" quotePrefix="0" xfId="0">
      <alignment horizontal="right" vertical="bottom"/>
    </xf>
    <xf numFmtId="165" fontId="4" fillId="0" borderId="3" applyAlignment="1" pivotButton="0" quotePrefix="0" xfId="0">
      <alignment horizontal="right" vertical="bottom"/>
    </xf>
    <xf numFmtId="0" fontId="4" fillId="0" borderId="3" applyAlignment="1" pivotButton="0" quotePrefix="0" xfId="0">
      <alignment vertical="bottom" wrapText="1"/>
    </xf>
    <xf numFmtId="0" fontId="4" fillId="0" borderId="4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" fillId="0" borderId="3" applyAlignment="1" pivotButton="0" quotePrefix="0" xfId="0">
      <alignment vertical="bottom" wrapText="1"/>
    </xf>
    <xf numFmtId="0" fontId="7" fillId="0" borderId="3" applyAlignment="1" pivotButton="0" quotePrefix="0" xfId="0">
      <alignment horizontal="center" vertical="bottom"/>
    </xf>
    <xf numFmtId="0" fontId="4" fillId="5" borderId="3" applyAlignment="1" pivotButton="0" quotePrefix="0" xfId="0">
      <alignment horizontal="center" vertical="bottom"/>
    </xf>
    <xf numFmtId="0" fontId="4" fillId="6" borderId="3" applyAlignment="1" pivotButton="0" quotePrefix="0" xfId="0">
      <alignment horizontal="center" vertical="bottom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A6A6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Relationship Type="http://schemas.openxmlformats.org/officeDocument/2006/relationships/hyperlink" Target="https://www.gakkou.net/kou/view/index_306033.html" TargetMode="External" Id="rId1320" /><Relationship Type="http://schemas.openxmlformats.org/officeDocument/2006/relationships/hyperlink" Target="https://www.gakkou.net/kou/view/index_305980.html" TargetMode="External" Id="rId1321" /><Relationship Type="http://schemas.openxmlformats.org/officeDocument/2006/relationships/hyperlink" Target="https://www.gakkou.net/kou/view/index_305968.html" TargetMode="External" Id="rId1322" /><Relationship Type="http://schemas.openxmlformats.org/officeDocument/2006/relationships/hyperlink" Target="https://www.gakkou.net/kou/view/index_305977.html" TargetMode="External" Id="rId1323" /><Relationship Type="http://schemas.openxmlformats.org/officeDocument/2006/relationships/hyperlink" Target="https://www.gakkou.net/kou/view/index_305964.html" TargetMode="External" Id="rId1324" /><Relationship Type="http://schemas.openxmlformats.org/officeDocument/2006/relationships/hyperlink" Target="https://www.gakkou.net/kou/view/index_306028.html" TargetMode="External" Id="rId1325" /><Relationship Type="http://schemas.openxmlformats.org/officeDocument/2006/relationships/hyperlink" Target="https://www.gakkou.net/kou/view/index_306027.html" TargetMode="External" Id="rId1326" /><Relationship Type="http://schemas.openxmlformats.org/officeDocument/2006/relationships/hyperlink" Target="https://www.gakkou.net/kou/view/index_306021.html" TargetMode="External" Id="rId1327" /><Relationship Type="http://schemas.openxmlformats.org/officeDocument/2006/relationships/hyperlink" Target="https://www.gakkou.net/kou/view/index_305993.html" TargetMode="External" Id="rId1328" /><Relationship Type="http://schemas.openxmlformats.org/officeDocument/2006/relationships/hyperlink" Target="https://www.gakkou.net/kou/view/index_305976.html" TargetMode="External" Id="rId1329" /><Relationship Type="http://schemas.openxmlformats.org/officeDocument/2006/relationships/hyperlink" Target="https://www.gakkou.net/kou/view/index_306007.html" TargetMode="External" Id="rId1330" /><Relationship Type="http://schemas.openxmlformats.org/officeDocument/2006/relationships/hyperlink" Target="https://www.gakkou.net/kou/view/index_306005.html" TargetMode="External" Id="rId1331" /><Relationship Type="http://schemas.openxmlformats.org/officeDocument/2006/relationships/hyperlink" Target="https://www.gakkou.net/kou/view/index_305996.html" TargetMode="External" Id="rId1332" /><Relationship Type="http://schemas.openxmlformats.org/officeDocument/2006/relationships/hyperlink" Target="https://www.gakkou.net/kou/view/index_305974.html" TargetMode="External" Id="rId1333" /><Relationship Type="http://schemas.openxmlformats.org/officeDocument/2006/relationships/hyperlink" Target="https://www.gakkou.net/kou/view/index_306107.html" TargetMode="External" Id="rId1334" /><Relationship Type="http://schemas.openxmlformats.org/officeDocument/2006/relationships/hyperlink" Target="https://www.gakkou.net/kou/view/index_306114.html" TargetMode="External" Id="rId1335" /><Relationship Type="http://schemas.openxmlformats.org/officeDocument/2006/relationships/hyperlink" Target="https://www.gakkou.net/kou/view/index_306078.html" TargetMode="External" Id="rId1336" /><Relationship Type="http://schemas.openxmlformats.org/officeDocument/2006/relationships/hyperlink" Target="https://www.gakkou.net/kou/view/index_306100.html" TargetMode="External" Id="rId1337" /><Relationship Type="http://schemas.openxmlformats.org/officeDocument/2006/relationships/hyperlink" Target="https://www.gakkou.net/kou/view/index_306105.html" TargetMode="External" Id="rId1338" /><Relationship Type="http://schemas.openxmlformats.org/officeDocument/2006/relationships/hyperlink" Target="https://www.gakkou.net/kou/view/index_306112.html" TargetMode="External" Id="rId1339" /><Relationship Type="http://schemas.openxmlformats.org/officeDocument/2006/relationships/hyperlink" Target="https://www.gakkou.net/kou/view/index_306056.html" TargetMode="External" Id="rId1340" /><Relationship Type="http://schemas.openxmlformats.org/officeDocument/2006/relationships/hyperlink" Target="https://www.gakkou.net/kou/view/index_306072.html" TargetMode="External" Id="rId1341" /><Relationship Type="http://schemas.openxmlformats.org/officeDocument/2006/relationships/hyperlink" Target="https://www.gakkou.net/kou/view/index_306060.html" TargetMode="External" Id="rId1342" /><Relationship Type="http://schemas.openxmlformats.org/officeDocument/2006/relationships/hyperlink" Target="https://www.gakkou.net/kou/view/index_306063.html" TargetMode="External" Id="rId1343" /><Relationship Type="http://schemas.openxmlformats.org/officeDocument/2006/relationships/hyperlink" Target="https://www.gakkou.net/kou/view/index_306095.html" TargetMode="External" Id="rId1344" /><Relationship Type="http://schemas.openxmlformats.org/officeDocument/2006/relationships/hyperlink" Target="https://www.gakkou.net/kou/view/index_306092.html" TargetMode="External" Id="rId1345" /><Relationship Type="http://schemas.openxmlformats.org/officeDocument/2006/relationships/hyperlink" Target="https://www.gakkou.net/kou/view/index_306059.html" TargetMode="External" Id="rId1346" /><Relationship Type="http://schemas.openxmlformats.org/officeDocument/2006/relationships/hyperlink" Target="https://www.gakkou.net/kou/view/index_306061.html" TargetMode="External" Id="rId1347" /><Relationship Type="http://schemas.openxmlformats.org/officeDocument/2006/relationships/hyperlink" Target="https://www.gakkou.net/kou/view/index_306054.html" TargetMode="External" Id="rId1348" /><Relationship Type="http://schemas.openxmlformats.org/officeDocument/2006/relationships/hyperlink" Target="https://www.gakkou.net/kou/view/index_306122.html" TargetMode="External" Id="rId1349" /><Relationship Type="http://schemas.openxmlformats.org/officeDocument/2006/relationships/hyperlink" Target="https://www.gakkou.net/kou/view/index_306198.html" TargetMode="External" Id="rId1350" /><Relationship Type="http://schemas.openxmlformats.org/officeDocument/2006/relationships/hyperlink" Target="https://www.gakkou.net/kou/view/index_306182.html" TargetMode="External" Id="rId1351" /><Relationship Type="http://schemas.openxmlformats.org/officeDocument/2006/relationships/hyperlink" Target="https://www.gakkou.net/kou/view/index_306208.html" TargetMode="External" Id="rId1352" /><Relationship Type="http://schemas.openxmlformats.org/officeDocument/2006/relationships/hyperlink" Target="https://www.gakkou.net/kou/view/index_306126.html" TargetMode="External" Id="rId1353" /><Relationship Type="http://schemas.openxmlformats.org/officeDocument/2006/relationships/hyperlink" Target="https://www.gakkou.net/kou/view/index_306431.html" TargetMode="External" Id="rId1354" /><Relationship Type="http://schemas.openxmlformats.org/officeDocument/2006/relationships/hyperlink" Target="https://www.gakkou.net/kou/view/index_306123.html" TargetMode="External" Id="rId1355" /><Relationship Type="http://schemas.openxmlformats.org/officeDocument/2006/relationships/hyperlink" Target="https://www.gakkou.net/kou/view/index_306131.html" TargetMode="External" Id="rId1356" /><Relationship Type="http://schemas.openxmlformats.org/officeDocument/2006/relationships/hyperlink" Target="https://www.gakkou.net/kou/view/index_306209.html" TargetMode="External" Id="rId1357" /><Relationship Type="http://schemas.openxmlformats.org/officeDocument/2006/relationships/hyperlink" Target="https://www.gakkou.net/kou/view/index_306124.html" TargetMode="External" Id="rId1358" /><Relationship Type="http://schemas.openxmlformats.org/officeDocument/2006/relationships/hyperlink" Target="https://www.gakkou.net/kou/view/index_306213.html" TargetMode="External" Id="rId1359" /><Relationship Type="http://schemas.openxmlformats.org/officeDocument/2006/relationships/hyperlink" Target="https://www.gakkou.net/kou/view/index_306158.html" TargetMode="External" Id="rId1360" /><Relationship Type="http://schemas.openxmlformats.org/officeDocument/2006/relationships/hyperlink" Target="https://www.gakkou.net/kou/view/index_306184.html" TargetMode="External" Id="rId1361" /><Relationship Type="http://schemas.openxmlformats.org/officeDocument/2006/relationships/hyperlink" Target="https://www.gakkou.net/kou/view/index_306130.html" TargetMode="External" Id="rId1362" /><Relationship Type="http://schemas.openxmlformats.org/officeDocument/2006/relationships/hyperlink" Target="https://www.gakkou.net/kou/view/index_306226.html" TargetMode="External" Id="rId1363" /><Relationship Type="http://schemas.openxmlformats.org/officeDocument/2006/relationships/hyperlink" Target="https://www.gakkou.net/kou/view/index_306127.html" TargetMode="External" Id="rId1364" /><Relationship Type="http://schemas.openxmlformats.org/officeDocument/2006/relationships/hyperlink" Target="https://www.gakkou.net/kou/view/index_306149.html" TargetMode="External" Id="rId1365" /><Relationship Type="http://schemas.openxmlformats.org/officeDocument/2006/relationships/hyperlink" Target="https://www.gakkou.net/kou/view/index_306190.html" TargetMode="External" Id="rId1366" /><Relationship Type="http://schemas.openxmlformats.org/officeDocument/2006/relationships/hyperlink" Target="https://www.gakkou.net/kou/view/index_306492.html" TargetMode="External" Id="rId1367" /><Relationship Type="http://schemas.openxmlformats.org/officeDocument/2006/relationships/hyperlink" Target="https://www.gakkou.net/kou/view/index_306132.html" TargetMode="External" Id="rId1368" /><Relationship Type="http://schemas.openxmlformats.org/officeDocument/2006/relationships/hyperlink" Target="https://www.gakkou.net/kou/view/index_306220.html" TargetMode="External" Id="rId1369" /><Relationship Type="http://schemas.openxmlformats.org/officeDocument/2006/relationships/hyperlink" Target="https://www.gakkou.net/kou/view/index_306173.html" TargetMode="External" Id="rId1370" /><Relationship Type="http://schemas.openxmlformats.org/officeDocument/2006/relationships/hyperlink" Target="https://www.gakkou.net/kou/view/index_306790.html" TargetMode="External" Id="rId1371" /><Relationship Type="http://schemas.openxmlformats.org/officeDocument/2006/relationships/hyperlink" Target="https://www.gakkou.net/kou/view/index_306767.html" TargetMode="External" Id="rId1372" /><Relationship Type="http://schemas.openxmlformats.org/officeDocument/2006/relationships/hyperlink" Target="https://www.gakkou.net/kou/view/index_306475.html" TargetMode="External" Id="rId1373" /><Relationship Type="http://schemas.openxmlformats.org/officeDocument/2006/relationships/hyperlink" Target="https://www.gakkou.net/kou/view/index_306267.html" TargetMode="External" Id="rId1374" /><Relationship Type="http://schemas.openxmlformats.org/officeDocument/2006/relationships/hyperlink" Target="https://www.gakkou.net/kou/view/index_306262.html" TargetMode="External" Id="rId1375" /><Relationship Type="http://schemas.openxmlformats.org/officeDocument/2006/relationships/hyperlink" Target="https://www.gakkou.net/kou/view/index_306251.html" TargetMode="External" Id="rId1376" /><Relationship Type="http://schemas.openxmlformats.org/officeDocument/2006/relationships/hyperlink" Target="https://www.gakkou.net/kou/view/index_306786.html" TargetMode="External" Id="rId1377" /><Relationship Type="http://schemas.openxmlformats.org/officeDocument/2006/relationships/hyperlink" Target="https://www.gakkou.net/kou/view/index_306407.html" TargetMode="External" Id="rId137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Relationship Type="http://schemas.openxmlformats.org/officeDocument/2006/relationships/hyperlink" Target="https://www.gakkou.net/kou/view/index_306033.html" TargetMode="External" Id="rId1320" /><Relationship Type="http://schemas.openxmlformats.org/officeDocument/2006/relationships/hyperlink" Target="https://www.gakkou.net/kou/view/index_305980.html" TargetMode="External" Id="rId1321" /><Relationship Type="http://schemas.openxmlformats.org/officeDocument/2006/relationships/hyperlink" Target="https://www.gakkou.net/kou/view/index_305968.html" TargetMode="External" Id="rId1322" /><Relationship Type="http://schemas.openxmlformats.org/officeDocument/2006/relationships/hyperlink" Target="https://www.gakkou.net/kou/view/index_305977.html" TargetMode="External" Id="rId1323" /><Relationship Type="http://schemas.openxmlformats.org/officeDocument/2006/relationships/hyperlink" Target="https://www.gakkou.net/kou/view/index_305964.html" TargetMode="External" Id="rId1324" /><Relationship Type="http://schemas.openxmlformats.org/officeDocument/2006/relationships/hyperlink" Target="https://www.gakkou.net/kou/view/index_306028.html" TargetMode="External" Id="rId1325" /><Relationship Type="http://schemas.openxmlformats.org/officeDocument/2006/relationships/hyperlink" Target="https://www.gakkou.net/kou/view/index_306027.html" TargetMode="External" Id="rId1326" /><Relationship Type="http://schemas.openxmlformats.org/officeDocument/2006/relationships/hyperlink" Target="https://www.gakkou.net/kou/view/index_306021.html" TargetMode="External" Id="rId1327" /><Relationship Type="http://schemas.openxmlformats.org/officeDocument/2006/relationships/hyperlink" Target="https://www.gakkou.net/kou/view/index_305993.html" TargetMode="External" Id="rId1328" /><Relationship Type="http://schemas.openxmlformats.org/officeDocument/2006/relationships/hyperlink" Target="https://www.gakkou.net/kou/view/index_305976.html" TargetMode="External" Id="rId1329" /><Relationship Type="http://schemas.openxmlformats.org/officeDocument/2006/relationships/hyperlink" Target="https://www.gakkou.net/kou/view/index_306007.html" TargetMode="External" Id="rId1330" /><Relationship Type="http://schemas.openxmlformats.org/officeDocument/2006/relationships/hyperlink" Target="https://www.gakkou.net/kou/view/index_306005.html" TargetMode="External" Id="rId1331" /><Relationship Type="http://schemas.openxmlformats.org/officeDocument/2006/relationships/hyperlink" Target="https://www.gakkou.net/kou/view/index_305996.html" TargetMode="External" Id="rId1332" /><Relationship Type="http://schemas.openxmlformats.org/officeDocument/2006/relationships/hyperlink" Target="https://www.gakkou.net/kou/view/index_305974.html" TargetMode="External" Id="rId1333" /><Relationship Type="http://schemas.openxmlformats.org/officeDocument/2006/relationships/hyperlink" Target="https://www.gakkou.net/kou/view/index_306107.html" TargetMode="External" Id="rId1334" /><Relationship Type="http://schemas.openxmlformats.org/officeDocument/2006/relationships/hyperlink" Target="https://www.gakkou.net/kou/view/index_306114.html" TargetMode="External" Id="rId1335" /><Relationship Type="http://schemas.openxmlformats.org/officeDocument/2006/relationships/hyperlink" Target="https://www.gakkou.net/kou/view/index_306078.html" TargetMode="External" Id="rId1336" /><Relationship Type="http://schemas.openxmlformats.org/officeDocument/2006/relationships/hyperlink" Target="https://www.gakkou.net/kou/view/index_306100.html" TargetMode="External" Id="rId1337" /><Relationship Type="http://schemas.openxmlformats.org/officeDocument/2006/relationships/hyperlink" Target="https://www.gakkou.net/kou/view/index_306105.html" TargetMode="External" Id="rId1338" /><Relationship Type="http://schemas.openxmlformats.org/officeDocument/2006/relationships/hyperlink" Target="https://www.gakkou.net/kou/view/index_306112.html" TargetMode="External" Id="rId1339" /><Relationship Type="http://schemas.openxmlformats.org/officeDocument/2006/relationships/hyperlink" Target="https://www.gakkou.net/kou/view/index_306056.html" TargetMode="External" Id="rId1340" /><Relationship Type="http://schemas.openxmlformats.org/officeDocument/2006/relationships/hyperlink" Target="https://www.gakkou.net/kou/view/index_306072.html" TargetMode="External" Id="rId1341" /><Relationship Type="http://schemas.openxmlformats.org/officeDocument/2006/relationships/hyperlink" Target="https://www.gakkou.net/kou/view/index_306060.html" TargetMode="External" Id="rId1342" /><Relationship Type="http://schemas.openxmlformats.org/officeDocument/2006/relationships/hyperlink" Target="https://www.gakkou.net/kou/view/index_306063.html" TargetMode="External" Id="rId1343" /><Relationship Type="http://schemas.openxmlformats.org/officeDocument/2006/relationships/hyperlink" Target="https://www.gakkou.net/kou/view/index_306095.html" TargetMode="External" Id="rId1344" /><Relationship Type="http://schemas.openxmlformats.org/officeDocument/2006/relationships/hyperlink" Target="https://www.gakkou.net/kou/view/index_306092.html" TargetMode="External" Id="rId1345" /><Relationship Type="http://schemas.openxmlformats.org/officeDocument/2006/relationships/hyperlink" Target="https://www.gakkou.net/kou/view/index_306059.html" TargetMode="External" Id="rId1346" /><Relationship Type="http://schemas.openxmlformats.org/officeDocument/2006/relationships/hyperlink" Target="https://www.gakkou.net/kou/view/index_306061.html" TargetMode="External" Id="rId1347" /><Relationship Type="http://schemas.openxmlformats.org/officeDocument/2006/relationships/hyperlink" Target="https://www.gakkou.net/kou/view/index_306054.html" TargetMode="External" Id="rId1348" /><Relationship Type="http://schemas.openxmlformats.org/officeDocument/2006/relationships/hyperlink" Target="https://www.gakkou.net/kou/view/index_306122.html" TargetMode="External" Id="rId1349" /><Relationship Type="http://schemas.openxmlformats.org/officeDocument/2006/relationships/hyperlink" Target="https://www.gakkou.net/kou/view/index_306198.html" TargetMode="External" Id="rId1350" /><Relationship Type="http://schemas.openxmlformats.org/officeDocument/2006/relationships/hyperlink" Target="https://www.gakkou.net/kou/view/index_306182.html" TargetMode="External" Id="rId1351" /><Relationship Type="http://schemas.openxmlformats.org/officeDocument/2006/relationships/hyperlink" Target="https://www.gakkou.net/kou/view/index_306208.html" TargetMode="External" Id="rId1352" /><Relationship Type="http://schemas.openxmlformats.org/officeDocument/2006/relationships/hyperlink" Target="https://www.gakkou.net/kou/view/index_306126.html" TargetMode="External" Id="rId1353" /><Relationship Type="http://schemas.openxmlformats.org/officeDocument/2006/relationships/hyperlink" Target="https://www.gakkou.net/kou/view/index_306431.html" TargetMode="External" Id="rId1354" /><Relationship Type="http://schemas.openxmlformats.org/officeDocument/2006/relationships/hyperlink" Target="https://www.gakkou.net/kou/view/index_306123.html" TargetMode="External" Id="rId1355" /><Relationship Type="http://schemas.openxmlformats.org/officeDocument/2006/relationships/hyperlink" Target="https://www.gakkou.net/kou/view/index_306131.html" TargetMode="External" Id="rId1356" /><Relationship Type="http://schemas.openxmlformats.org/officeDocument/2006/relationships/hyperlink" Target="https://www.gakkou.net/kou/view/index_306209.html" TargetMode="External" Id="rId1357" /><Relationship Type="http://schemas.openxmlformats.org/officeDocument/2006/relationships/hyperlink" Target="https://www.gakkou.net/kou/view/index_306124.html" TargetMode="External" Id="rId1358" /><Relationship Type="http://schemas.openxmlformats.org/officeDocument/2006/relationships/hyperlink" Target="https://www.gakkou.net/kou/view/index_306213.html" TargetMode="External" Id="rId1359" /><Relationship Type="http://schemas.openxmlformats.org/officeDocument/2006/relationships/hyperlink" Target="https://www.gakkou.net/kou/view/index_306158.html" TargetMode="External" Id="rId1360" /><Relationship Type="http://schemas.openxmlformats.org/officeDocument/2006/relationships/hyperlink" Target="https://www.gakkou.net/kou/view/index_306184.html" TargetMode="External" Id="rId1361" /><Relationship Type="http://schemas.openxmlformats.org/officeDocument/2006/relationships/hyperlink" Target="https://www.gakkou.net/kou/view/index_306130.html" TargetMode="External" Id="rId1362" /><Relationship Type="http://schemas.openxmlformats.org/officeDocument/2006/relationships/hyperlink" Target="https://www.gakkou.net/kou/view/index_306226.html" TargetMode="External" Id="rId1363" /><Relationship Type="http://schemas.openxmlformats.org/officeDocument/2006/relationships/hyperlink" Target="https://www.gakkou.net/kou/view/index_306127.html" TargetMode="External" Id="rId1364" /><Relationship Type="http://schemas.openxmlformats.org/officeDocument/2006/relationships/hyperlink" Target="https://www.gakkou.net/kou/view/index_306149.html" TargetMode="External" Id="rId1365" /><Relationship Type="http://schemas.openxmlformats.org/officeDocument/2006/relationships/hyperlink" Target="https://www.gakkou.net/kou/view/index_306190.html" TargetMode="External" Id="rId1366" /><Relationship Type="http://schemas.openxmlformats.org/officeDocument/2006/relationships/hyperlink" Target="https://www.gakkou.net/kou/view/index_306492.html" TargetMode="External" Id="rId1367" /><Relationship Type="http://schemas.openxmlformats.org/officeDocument/2006/relationships/hyperlink" Target="https://www.gakkou.net/kou/view/index_306132.html" TargetMode="External" Id="rId1368" /><Relationship Type="http://schemas.openxmlformats.org/officeDocument/2006/relationships/hyperlink" Target="https://www.gakkou.net/kou/view/index_306220.html" TargetMode="External" Id="rId1369" /><Relationship Type="http://schemas.openxmlformats.org/officeDocument/2006/relationships/hyperlink" Target="https://www.gakkou.net/kou/view/index_306173.html" TargetMode="External" Id="rId1370" /><Relationship Type="http://schemas.openxmlformats.org/officeDocument/2006/relationships/hyperlink" Target="https://www.gakkou.net/kou/view/index_306790.html" TargetMode="External" Id="rId1371" /><Relationship Type="http://schemas.openxmlformats.org/officeDocument/2006/relationships/hyperlink" Target="https://www.gakkou.net/kou/view/index_306767.html" TargetMode="External" Id="rId1372" /><Relationship Type="http://schemas.openxmlformats.org/officeDocument/2006/relationships/hyperlink" Target="https://www.gakkou.net/kou/view/index_306475.html" TargetMode="External" Id="rId1373" /><Relationship Type="http://schemas.openxmlformats.org/officeDocument/2006/relationships/hyperlink" Target="https://www.gakkou.net/kou/view/index_306267.html" TargetMode="External" Id="rId1374" /><Relationship Type="http://schemas.openxmlformats.org/officeDocument/2006/relationships/hyperlink" Target="https://www.gakkou.net/kou/view/index_306262.html" TargetMode="External" Id="rId1375" /><Relationship Type="http://schemas.openxmlformats.org/officeDocument/2006/relationships/hyperlink" Target="https://www.gakkou.net/kou/view/index_306251.html" TargetMode="External" Id="rId1376" /><Relationship Type="http://schemas.openxmlformats.org/officeDocument/2006/relationships/hyperlink" Target="https://www.gakkou.net/kou/view/index_306786.html" TargetMode="External" Id="rId1377" /><Relationship Type="http://schemas.openxmlformats.org/officeDocument/2006/relationships/hyperlink" Target="https://www.gakkou.net/kou/view/index_306407.html" TargetMode="External" Id="rId137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82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架電リスト（全国47都道府県／1378校）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  <row r="1300">
      <c r="A1300" s="4" t="n">
        <v>1296</v>
      </c>
      <c r="B1300" s="5" t="inlineStr">
        <is>
          <t>熊本県</t>
        </is>
      </c>
      <c r="C1300" s="5" t="inlineStr">
        <is>
          <t>荒尾市</t>
        </is>
      </c>
      <c r="D1300" s="5" t="inlineStr">
        <is>
          <t>有明高等学校</t>
        </is>
      </c>
      <c r="E1300" s="6" t="inlineStr">
        <is>
          <t>0968-63-0545</t>
        </is>
      </c>
      <c r="F1300" s="7" t="inlineStr">
        <is>
          <t>高</t>
        </is>
      </c>
      <c r="G1300" s="5" t="inlineStr">
        <is>
          <t>普通科・専門学科</t>
        </is>
      </c>
      <c r="H1300" s="8" t="n"/>
      <c r="I1300" s="9" t="n"/>
      <c r="J1300" s="9" t="inlineStr">
        <is>
          <t>未架電</t>
        </is>
      </c>
      <c r="K1300" s="8" t="n"/>
      <c r="L1300" s="9" t="n"/>
      <c r="M1300" s="10" t="inlineStr">
        <is>
          <t>職員室0968-63-0958、衛生看護専攻科0968-63-0546</t>
        </is>
      </c>
      <c r="N1300" s="11" t="inlineStr">
        <is>
          <t>https://ariake-hs.ed.jp/contact/</t>
        </is>
      </c>
      <c r="O1300" s="12" t="inlineStr">
        <is>
          <t>開く</t>
        </is>
      </c>
    </row>
    <row r="1301">
      <c r="A1301" s="4" t="n">
        <v>1297</v>
      </c>
      <c r="B1301" s="5" t="inlineStr">
        <is>
          <t>熊本県</t>
        </is>
      </c>
      <c r="C1301" s="5" t="inlineStr">
        <is>
          <t>熊本市中央区</t>
        </is>
      </c>
      <c r="D1301" s="5" t="inlineStr">
        <is>
          <t>開新高等学校</t>
        </is>
      </c>
      <c r="E1301" s="6" t="inlineStr">
        <is>
          <t>096-366-1201</t>
        </is>
      </c>
      <c r="F1301" s="7" t="inlineStr">
        <is>
          <t>高</t>
        </is>
      </c>
      <c r="G1301" s="5" t="inlineStr">
        <is>
          <t>普通科・専門学科・総合学科</t>
        </is>
      </c>
      <c r="H1301" s="8" t="n"/>
      <c r="I1301" s="9" t="n"/>
      <c r="J1301" s="9" t="inlineStr">
        <is>
          <t>未架電</t>
        </is>
      </c>
      <c r="K1301" s="8" t="n"/>
      <c r="L1301" s="9" t="n"/>
      <c r="M1301" s="10" t="n"/>
      <c r="N1301" s="11" t="inlineStr">
        <is>
          <t>https://www.kaishin.ed.jp/</t>
        </is>
      </c>
      <c r="O1301" s="12" t="inlineStr">
        <is>
          <t>開く</t>
        </is>
      </c>
    </row>
    <row r="1302">
      <c r="A1302" s="4" t="n">
        <v>1298</v>
      </c>
      <c r="B1302" s="5" t="inlineStr">
        <is>
          <t>熊本県</t>
        </is>
      </c>
      <c r="C1302" s="5" t="inlineStr">
        <is>
          <t>菊池市</t>
        </is>
      </c>
      <c r="D1302" s="5" t="inlineStr">
        <is>
          <t>菊池女子高等学校</t>
        </is>
      </c>
      <c r="E1302" s="6" t="inlineStr">
        <is>
          <t>0968-25-3032</t>
        </is>
      </c>
      <c r="F1302" s="7" t="inlineStr">
        <is>
          <t>高</t>
        </is>
      </c>
      <c r="G1302" s="5" t="inlineStr">
        <is>
          <t>普通科・専門学科</t>
        </is>
      </c>
      <c r="H1302" s="8" t="n"/>
      <c r="I1302" s="9" t="n"/>
      <c r="J1302" s="9" t="inlineStr">
        <is>
          <t>未架電</t>
        </is>
      </c>
      <c r="K1302" s="8" t="n"/>
      <c r="L1302" s="9" t="n"/>
      <c r="M1302" s="10" t="inlineStr">
        <is>
          <t>2026年9月に「菊女北辰高等学校」へ校名変更（男子も受入れ）</t>
        </is>
      </c>
      <c r="N1302" s="11" t="inlineStr">
        <is>
          <t>https://www.kikuchijoshi.ac.jp/</t>
        </is>
      </c>
      <c r="O1302" s="12" t="inlineStr">
        <is>
          <t>開く</t>
        </is>
      </c>
    </row>
    <row r="1303">
      <c r="A1303" s="4" t="n">
        <v>1299</v>
      </c>
      <c r="B1303" s="5" t="inlineStr">
        <is>
          <t>熊本県</t>
        </is>
      </c>
      <c r="C1303" s="5" t="inlineStr">
        <is>
          <t>熊本市中央区</t>
        </is>
      </c>
      <c r="D1303" s="5" t="inlineStr">
        <is>
          <t>九州学院高等学校</t>
        </is>
      </c>
      <c r="E1303" s="6" t="inlineStr">
        <is>
          <t>096-364-6134</t>
        </is>
      </c>
      <c r="F1303" s="7" t="inlineStr">
        <is>
          <t>高</t>
        </is>
      </c>
      <c r="G1303" s="5" t="inlineStr">
        <is>
          <t>普通科</t>
        </is>
      </c>
      <c r="H1303" s="8" t="n"/>
      <c r="I1303" s="9" t="n"/>
      <c r="J1303" s="9" t="inlineStr">
        <is>
          <t>未架電</t>
        </is>
      </c>
      <c r="K1303" s="8" t="n"/>
      <c r="L1303" s="9" t="n"/>
      <c r="M1303" s="10" t="n"/>
      <c r="N1303" s="11" t="inlineStr">
        <is>
          <t>https://kyugaku.ed.jp/hs/guide/</t>
        </is>
      </c>
      <c r="O1303" s="12" t="inlineStr">
        <is>
          <t>開く</t>
        </is>
      </c>
    </row>
    <row r="1304">
      <c r="A1304" s="4" t="n">
        <v>1300</v>
      </c>
      <c r="B1304" s="5" t="inlineStr">
        <is>
          <t>熊本県</t>
        </is>
      </c>
      <c r="C1304" s="5" t="inlineStr">
        <is>
          <t>熊本市中央区</t>
        </is>
      </c>
      <c r="D1304" s="5" t="inlineStr">
        <is>
          <t>熊本学園大学付属高等学校</t>
        </is>
      </c>
      <c r="E1304" s="6" t="inlineStr">
        <is>
          <t>096-371-2551</t>
        </is>
      </c>
      <c r="F1304" s="7" t="inlineStr">
        <is>
          <t>高</t>
        </is>
      </c>
      <c r="G1304" s="5" t="inlineStr">
        <is>
          <t>普通科</t>
        </is>
      </c>
      <c r="H1304" s="8" t="n"/>
      <c r="I1304" s="9" t="n"/>
      <c r="J1304" s="9" t="inlineStr">
        <is>
          <t>未架電</t>
        </is>
      </c>
      <c r="K1304" s="8" t="n"/>
      <c r="L1304" s="9" t="n"/>
      <c r="M1304" s="10" t="inlineStr">
        <is>
          <t>付属中学校は096-364-2316</t>
        </is>
      </c>
      <c r="N1304" s="11" t="inlineStr">
        <is>
          <t>https://www.kumagaku-h.ed.jp/</t>
        </is>
      </c>
      <c r="O1304" s="12" t="inlineStr">
        <is>
          <t>開く</t>
        </is>
      </c>
    </row>
    <row r="1305">
      <c r="A1305" s="4" t="n">
        <v>1301</v>
      </c>
      <c r="B1305" s="5" t="inlineStr">
        <is>
          <t>熊本県</t>
        </is>
      </c>
      <c r="C1305" s="5" t="inlineStr">
        <is>
          <t>熊本市中央区</t>
        </is>
      </c>
      <c r="D1305" s="5" t="inlineStr">
        <is>
          <t>熊本国府高等学校</t>
        </is>
      </c>
      <c r="E1305" s="6" t="inlineStr">
        <is>
          <t>096-366-1276</t>
        </is>
      </c>
      <c r="F1305" s="7" t="inlineStr">
        <is>
          <t>高</t>
        </is>
      </c>
      <c r="G1305" s="5" t="inlineStr">
        <is>
          <t>普通科・専門学科</t>
        </is>
      </c>
      <c r="H1305" s="8" t="n"/>
      <c r="I1305" s="9" t="n"/>
      <c r="J1305" s="9" t="inlineStr">
        <is>
          <t>未架電</t>
        </is>
      </c>
      <c r="K1305" s="8" t="n"/>
      <c r="L1305" s="9" t="n"/>
      <c r="M1305" s="10" t="n"/>
      <c r="N1305" s="11" t="inlineStr">
        <is>
          <t>http://www.kumamotokokufu-h.ed.jp/access.html</t>
        </is>
      </c>
      <c r="O1305" s="12" t="inlineStr">
        <is>
          <t>開く</t>
        </is>
      </c>
    </row>
    <row r="1306">
      <c r="A1306" s="4" t="n">
        <v>1302</v>
      </c>
      <c r="B1306" s="5" t="inlineStr">
        <is>
          <t>熊本県</t>
        </is>
      </c>
      <c r="C1306" s="5" t="inlineStr">
        <is>
          <t>熊本市中央区</t>
        </is>
      </c>
      <c r="D1306" s="5" t="inlineStr">
        <is>
          <t>熊本信愛女学院高等学校</t>
        </is>
      </c>
      <c r="E1306" s="6" t="inlineStr">
        <is>
          <t>096-354-5355</t>
        </is>
      </c>
      <c r="F1306" s="7" t="inlineStr">
        <is>
          <t>高</t>
        </is>
      </c>
      <c r="G1306" s="5" t="inlineStr">
        <is>
          <t>普通科</t>
        </is>
      </c>
      <c r="H1306" s="8" t="n"/>
      <c r="I1306" s="9" t="n"/>
      <c r="J1306" s="9" t="inlineStr">
        <is>
          <t>未架電</t>
        </is>
      </c>
      <c r="K1306" s="8" t="n"/>
      <c r="L1306" s="9" t="n"/>
      <c r="M1306" s="10" t="n"/>
      <c r="N1306" s="11" t="inlineStr">
        <is>
          <t>https://www.kumamoto-shin-ai.ed.jp/</t>
        </is>
      </c>
      <c r="O1306" s="12" t="inlineStr">
        <is>
          <t>開く</t>
        </is>
      </c>
    </row>
    <row r="1307">
      <c r="A1307" s="4" t="n">
        <v>1303</v>
      </c>
      <c r="B1307" s="5" t="inlineStr">
        <is>
          <t>熊本県</t>
        </is>
      </c>
      <c r="C1307" s="5" t="inlineStr">
        <is>
          <t>南阿蘇村</t>
        </is>
      </c>
      <c r="D1307" s="5" t="inlineStr">
        <is>
          <t>くまもと清陵高等学校</t>
        </is>
      </c>
      <c r="E1307" s="6" t="inlineStr">
        <is>
          <t>0967-63-8251</t>
        </is>
      </c>
      <c r="F1307" s="7" t="inlineStr">
        <is>
          <t>高</t>
        </is>
      </c>
      <c r="G1307" s="5" t="inlineStr">
        <is>
          <t>普通科</t>
        </is>
      </c>
      <c r="H1307" s="8" t="n"/>
      <c r="I1307" s="9" t="n"/>
      <c r="J1307" s="9" t="inlineStr">
        <is>
          <t>未架電</t>
        </is>
      </c>
      <c r="K1307" s="8" t="n"/>
      <c r="L1307" s="9" t="n"/>
      <c r="M1307" s="10" t="inlineStr">
        <is>
          <t>通信制・南阿蘇村の本校</t>
        </is>
      </c>
      <c r="N1307" s="11" t="inlineStr">
        <is>
          <t>https://www.k-seiryo.jp/</t>
        </is>
      </c>
      <c r="O1307" s="12" t="inlineStr">
        <is>
          <t>開く</t>
        </is>
      </c>
    </row>
    <row r="1308">
      <c r="A1308" s="4" t="n">
        <v>1304</v>
      </c>
      <c r="B1308" s="5" t="inlineStr">
        <is>
          <t>熊本県</t>
        </is>
      </c>
      <c r="C1308" s="5" t="inlineStr">
        <is>
          <t>熊本市中央区</t>
        </is>
      </c>
      <c r="D1308" s="5" t="inlineStr">
        <is>
          <t>熊本中央高等学校</t>
        </is>
      </c>
      <c r="E1308" s="6" t="inlineStr">
        <is>
          <t>096-354-2333</t>
        </is>
      </c>
      <c r="F1308" s="7" t="inlineStr">
        <is>
          <t>高</t>
        </is>
      </c>
      <c r="G1308" s="5" t="inlineStr">
        <is>
          <t>普通科・専門学科</t>
        </is>
      </c>
      <c r="H1308" s="8" t="n"/>
      <c r="I1308" s="9" t="n"/>
      <c r="J1308" s="9" t="inlineStr">
        <is>
          <t>未架電</t>
        </is>
      </c>
      <c r="K1308" s="8" t="n"/>
      <c r="L1308" s="9" t="n"/>
      <c r="M1308" s="10" t="inlineStr">
        <is>
          <t>看護専攻科は096-354-2337</t>
        </is>
      </c>
      <c r="N1308" s="11" t="inlineStr">
        <is>
          <t>https://kasumigakuen.ac.jp/pages/248/</t>
        </is>
      </c>
      <c r="O1308" s="12" t="inlineStr">
        <is>
          <t>開く</t>
        </is>
      </c>
    </row>
    <row r="1309">
      <c r="A1309" s="4" t="n">
        <v>1305</v>
      </c>
      <c r="B1309" s="5" t="inlineStr">
        <is>
          <t>熊本県</t>
        </is>
      </c>
      <c r="C1309" s="5" t="inlineStr">
        <is>
          <t>熊本市東区</t>
        </is>
      </c>
      <c r="D1309" s="5" t="inlineStr">
        <is>
          <t>熊本マリスト学園高等学校</t>
        </is>
      </c>
      <c r="E1309" s="6" t="inlineStr">
        <is>
          <t>096-368-2131</t>
        </is>
      </c>
      <c r="F1309" s="7" t="inlineStr">
        <is>
          <t>高</t>
        </is>
      </c>
      <c r="G1309" s="5" t="inlineStr">
        <is>
          <t>普通科</t>
        </is>
      </c>
      <c r="H1309" s="8" t="n"/>
      <c r="I1309" s="9" t="n"/>
      <c r="J1309" s="9" t="inlineStr">
        <is>
          <t>未架電</t>
        </is>
      </c>
      <c r="K1309" s="8" t="n"/>
      <c r="L1309" s="9" t="n"/>
      <c r="M1309" s="10" t="inlineStr">
        <is>
          <t>中高共通番号</t>
        </is>
      </c>
      <c r="N1309" s="11" t="inlineStr">
        <is>
          <t>https://www.marist.ed.jp/</t>
        </is>
      </c>
      <c r="O1309" s="12" t="inlineStr">
        <is>
          <t>開く</t>
        </is>
      </c>
    </row>
    <row r="1310">
      <c r="A1310" s="4" t="n">
        <v>1306</v>
      </c>
      <c r="B1310" s="5" t="inlineStr">
        <is>
          <t>熊本県</t>
        </is>
      </c>
      <c r="C1310" s="5" t="inlineStr">
        <is>
          <t>熊本市中央区</t>
        </is>
      </c>
      <c r="D1310" s="5" t="inlineStr">
        <is>
          <t>慶誠高等学校</t>
        </is>
      </c>
      <c r="E1310" s="6" t="inlineStr">
        <is>
          <t>096-366-0128</t>
        </is>
      </c>
      <c r="F1310" s="7" t="inlineStr">
        <is>
          <t>高</t>
        </is>
      </c>
      <c r="G1310" s="5" t="inlineStr">
        <is>
          <t>普通科・専門学科</t>
        </is>
      </c>
      <c r="H1310" s="8" t="n"/>
      <c r="I1310" s="9" t="n"/>
      <c r="J1310" s="9" t="inlineStr">
        <is>
          <t>未架電</t>
        </is>
      </c>
      <c r="K1310" s="8" t="n"/>
      <c r="L1310" s="9" t="n"/>
      <c r="M1310" s="10" t="n"/>
      <c r="N1310" s="11" t="inlineStr">
        <is>
          <t>https://keisei-h.ed.jp/</t>
        </is>
      </c>
      <c r="O1310" s="12" t="inlineStr">
        <is>
          <t>開く</t>
        </is>
      </c>
    </row>
    <row r="1311">
      <c r="A1311" s="4" t="n">
        <v>1307</v>
      </c>
      <c r="B1311" s="5" t="inlineStr">
        <is>
          <t>熊本県</t>
        </is>
      </c>
      <c r="C1311" s="5" t="inlineStr">
        <is>
          <t>八代市</t>
        </is>
      </c>
      <c r="D1311" s="5" t="inlineStr">
        <is>
          <t>秀岳館高等学校</t>
        </is>
      </c>
      <c r="E1311" s="6" t="inlineStr">
        <is>
          <t>0965-33-5134</t>
        </is>
      </c>
      <c r="F1311" s="7" t="inlineStr">
        <is>
          <t>高</t>
        </is>
      </c>
      <c r="G1311" s="5" t="inlineStr">
        <is>
          <t>普通科・専門学科</t>
        </is>
      </c>
      <c r="H1311" s="8" t="n"/>
      <c r="I1311" s="9" t="n"/>
      <c r="J1311" s="9" t="inlineStr">
        <is>
          <t>未架電</t>
        </is>
      </c>
      <c r="K1311" s="8" t="n"/>
      <c r="L1311" s="9" t="n"/>
      <c r="M1311" s="10" t="n"/>
      <c r="N1311" s="11" t="inlineStr">
        <is>
          <t>https://syugakukan.ed.jp/</t>
        </is>
      </c>
      <c r="O1311" s="12" t="inlineStr">
        <is>
          <t>開く</t>
        </is>
      </c>
    </row>
    <row r="1312">
      <c r="A1312" s="4" t="n">
        <v>1308</v>
      </c>
      <c r="B1312" s="5" t="inlineStr">
        <is>
          <t>熊本県</t>
        </is>
      </c>
      <c r="C1312" s="5" t="inlineStr">
        <is>
          <t>熊本市中央区</t>
        </is>
      </c>
      <c r="D1312" s="5" t="inlineStr">
        <is>
          <t>尚絅高等学校</t>
        </is>
      </c>
      <c r="E1312" s="6" t="inlineStr">
        <is>
          <t>096-366-0295</t>
        </is>
      </c>
      <c r="F1312" s="7" t="inlineStr">
        <is>
          <t>高</t>
        </is>
      </c>
      <c r="G1312" s="5" t="inlineStr">
        <is>
          <t>普通科</t>
        </is>
      </c>
      <c r="H1312" s="8" t="n"/>
      <c r="I1312" s="9" t="n"/>
      <c r="J1312" s="9" t="inlineStr">
        <is>
          <t>未架電</t>
        </is>
      </c>
      <c r="K1312" s="8" t="n"/>
      <c r="L1312" s="9" t="n"/>
      <c r="M1312" s="10" t="inlineStr">
        <is>
          <t>中高共通。学園事務局は096-364-0116</t>
        </is>
      </c>
      <c r="N1312" s="11" t="inlineStr">
        <is>
          <t>https://www.shokei-gakuen.ac.jp/jh-hs/contacts/</t>
        </is>
      </c>
      <c r="O1312" s="12" t="inlineStr">
        <is>
          <t>開く</t>
        </is>
      </c>
    </row>
    <row r="1313">
      <c r="A1313" s="4" t="n">
        <v>1309</v>
      </c>
      <c r="B1313" s="5" t="inlineStr">
        <is>
          <t>熊本県</t>
        </is>
      </c>
      <c r="C1313" s="5" t="inlineStr">
        <is>
          <t>熊本市中央区</t>
        </is>
      </c>
      <c r="D1313" s="5" t="inlineStr">
        <is>
          <t>真和高等学校</t>
        </is>
      </c>
      <c r="E1313" s="6" t="inlineStr">
        <is>
          <t>096-364-8176</t>
        </is>
      </c>
      <c r="F1313" s="7" t="inlineStr">
        <is>
          <t>高</t>
        </is>
      </c>
      <c r="G1313" s="5" t="inlineStr">
        <is>
          <t>普通科</t>
        </is>
      </c>
      <c r="H1313" s="8" t="n"/>
      <c r="I1313" s="9" t="n"/>
      <c r="J1313" s="9" t="inlineStr">
        <is>
          <t>未架電</t>
        </is>
      </c>
      <c r="K1313" s="8" t="n"/>
      <c r="L1313" s="9" t="n"/>
      <c r="M1313" s="10" t="inlineStr">
        <is>
          <t>鎮西高校と同じ番号（鎮西学園の受付）。職員室096-366-6177の掲載もあり</t>
        </is>
      </c>
      <c r="N1313" s="11" t="inlineStr">
        <is>
          <t>https://www.shinwa.ed.jp/list00527.html</t>
        </is>
      </c>
      <c r="O1313" s="12" t="inlineStr">
        <is>
          <t>開く</t>
        </is>
      </c>
    </row>
    <row r="1314">
      <c r="A1314" s="4" t="n">
        <v>1310</v>
      </c>
      <c r="B1314" s="5" t="inlineStr">
        <is>
          <t>熊本県</t>
        </is>
      </c>
      <c r="C1314" s="5" t="inlineStr">
        <is>
          <t>山鹿市</t>
        </is>
      </c>
      <c r="D1314" s="5" t="inlineStr">
        <is>
          <t>城北高等学校（熊本県）</t>
        </is>
      </c>
      <c r="E1314" s="6" t="inlineStr">
        <is>
          <t>0968-44-8111</t>
        </is>
      </c>
      <c r="F1314" s="7" t="inlineStr">
        <is>
          <t>高</t>
        </is>
      </c>
      <c r="G1314" s="5" t="inlineStr">
        <is>
          <t>普通科・専門学科</t>
        </is>
      </c>
      <c r="H1314" s="8" t="n"/>
      <c r="I1314" s="9" t="n"/>
      <c r="J1314" s="9" t="inlineStr">
        <is>
          <t>未架電</t>
        </is>
      </c>
      <c r="K1314" s="8" t="n"/>
      <c r="L1314" s="9" t="n"/>
      <c r="M1314" s="10" t="n"/>
      <c r="N1314" s="11" t="inlineStr">
        <is>
          <t>https://johoku-hs.ed.jp/contact/</t>
        </is>
      </c>
      <c r="O1314" s="12" t="inlineStr">
        <is>
          <t>開く</t>
        </is>
      </c>
    </row>
    <row r="1315">
      <c r="A1315" s="4" t="n">
        <v>1311</v>
      </c>
      <c r="B1315" s="5" t="inlineStr">
        <is>
          <t>熊本県</t>
        </is>
      </c>
      <c r="C1315" s="5" t="inlineStr">
        <is>
          <t>玉名市</t>
        </is>
      </c>
      <c r="D1315" s="5" t="inlineStr">
        <is>
          <t>専修大学熊本玉名高等学校</t>
        </is>
      </c>
      <c r="E1315" s="6" t="inlineStr">
        <is>
          <t>0968-72-4151</t>
        </is>
      </c>
      <c r="F1315" s="7" t="inlineStr">
        <is>
          <t>高</t>
        </is>
      </c>
      <c r="G1315" s="5" t="inlineStr">
        <is>
          <t>普通科・専門学科</t>
        </is>
      </c>
      <c r="H1315" s="8" t="n"/>
      <c r="I1315" s="9" t="n"/>
      <c r="J1315" s="9" t="inlineStr">
        <is>
          <t>未架電</t>
        </is>
      </c>
      <c r="K1315" s="8" t="n"/>
      <c r="L1315" s="9" t="n"/>
      <c r="M1315" s="10" t="n"/>
      <c r="N1315" s="11" t="inlineStr">
        <is>
          <t>http://www.senshu.ac.jp/access</t>
        </is>
      </c>
      <c r="O1315" s="12" t="inlineStr">
        <is>
          <t>開く</t>
        </is>
      </c>
    </row>
    <row r="1316">
      <c r="A1316" s="4" t="n">
        <v>1312</v>
      </c>
      <c r="B1316" s="5" t="inlineStr">
        <is>
          <t>熊本県</t>
        </is>
      </c>
      <c r="C1316" s="5" t="inlineStr">
        <is>
          <t>玉名市</t>
        </is>
      </c>
      <c r="D1316" s="5" t="inlineStr">
        <is>
          <t>玉名女子高等学校</t>
        </is>
      </c>
      <c r="E1316" s="6" t="inlineStr">
        <is>
          <t>0968-72-5161</t>
        </is>
      </c>
      <c r="F1316" s="7" t="inlineStr">
        <is>
          <t>高</t>
        </is>
      </c>
      <c r="G1316" s="5" t="inlineStr">
        <is>
          <t>普通科・専門学科</t>
        </is>
      </c>
      <c r="H1316" s="8" t="n"/>
      <c r="I1316" s="9" t="n"/>
      <c r="J1316" s="9" t="inlineStr">
        <is>
          <t>未架電</t>
        </is>
      </c>
      <c r="K1316" s="8" t="n"/>
      <c r="L1316" s="9" t="n"/>
      <c r="M1316" s="10" t="n"/>
      <c r="N1316" s="11" t="inlineStr">
        <is>
          <t>http://www.tamanajoshi-h.ed.jp/</t>
        </is>
      </c>
      <c r="O1316" s="12" t="inlineStr">
        <is>
          <t>開く</t>
        </is>
      </c>
    </row>
    <row r="1317">
      <c r="A1317" s="4" t="n">
        <v>1313</v>
      </c>
      <c r="B1317" s="5" t="inlineStr">
        <is>
          <t>熊本県</t>
        </is>
      </c>
      <c r="C1317" s="5" t="inlineStr">
        <is>
          <t>熊本市中央区</t>
        </is>
      </c>
      <c r="D1317" s="5" t="inlineStr">
        <is>
          <t>鎮西高等学校</t>
        </is>
      </c>
      <c r="E1317" s="6" t="inlineStr">
        <is>
          <t>096-364-8176</t>
        </is>
      </c>
      <c r="F1317" s="7" t="inlineStr">
        <is>
          <t>高</t>
        </is>
      </c>
      <c r="G1317" s="5" t="inlineStr">
        <is>
          <t>普通科</t>
        </is>
      </c>
      <c r="H1317" s="8" t="n"/>
      <c r="I1317" s="9" t="n"/>
      <c r="J1317" s="9" t="inlineStr">
        <is>
          <t>未架電</t>
        </is>
      </c>
      <c r="K1317" s="8" t="n"/>
      <c r="L1317" s="9" t="n"/>
      <c r="M1317" s="10" t="inlineStr">
        <is>
          <t>真和中高と同じ番号（鎮西学園）</t>
        </is>
      </c>
      <c r="N1317" s="11" t="inlineStr">
        <is>
          <t>http://www.chinzei.ed.jp/index.html</t>
        </is>
      </c>
      <c r="O1317" s="12" t="inlineStr">
        <is>
          <t>開く</t>
        </is>
      </c>
    </row>
    <row r="1318">
      <c r="A1318" s="4" t="n">
        <v>1314</v>
      </c>
      <c r="B1318" s="5" t="inlineStr">
        <is>
          <t>熊本県</t>
        </is>
      </c>
      <c r="C1318" s="5" t="inlineStr">
        <is>
          <t>熊本市東区</t>
        </is>
      </c>
      <c r="D1318" s="5" t="inlineStr">
        <is>
          <t>東海大学付属熊本星翔高等学校</t>
        </is>
      </c>
      <c r="E1318" s="6" t="inlineStr">
        <is>
          <t>096-382-1146</t>
        </is>
      </c>
      <c r="F1318" s="7" t="inlineStr">
        <is>
          <t>高</t>
        </is>
      </c>
      <c r="G1318" s="5" t="inlineStr">
        <is>
          <t>普通科</t>
        </is>
      </c>
      <c r="H1318" s="8" t="n"/>
      <c r="I1318" s="9" t="n"/>
      <c r="J1318" s="9" t="inlineStr">
        <is>
          <t>未架電</t>
        </is>
      </c>
      <c r="K1318" s="8" t="n"/>
      <c r="L1318" s="9" t="n"/>
      <c r="M1318" s="10" t="n"/>
      <c r="N1318" s="11" t="inlineStr">
        <is>
          <t>https://www.seisho.tokai.ed.jp/access/</t>
        </is>
      </c>
      <c r="O1318" s="12" t="inlineStr">
        <is>
          <t>開く</t>
        </is>
      </c>
    </row>
    <row r="1319">
      <c r="A1319" s="4" t="n">
        <v>1315</v>
      </c>
      <c r="B1319" s="5" t="inlineStr">
        <is>
          <t>熊本県</t>
        </is>
      </c>
      <c r="C1319" s="5" t="inlineStr">
        <is>
          <t>山都町</t>
        </is>
      </c>
      <c r="D1319" s="5" t="inlineStr">
        <is>
          <t>一ツ葉高等学校</t>
        </is>
      </c>
      <c r="E1319" s="6" t="inlineStr">
        <is>
          <t>0967-72-3344</t>
        </is>
      </c>
      <c r="F1319" s="7" t="inlineStr">
        <is>
          <t>高</t>
        </is>
      </c>
      <c r="G1319" s="5" t="inlineStr">
        <is>
          <t>普通科</t>
        </is>
      </c>
      <c r="H1319" s="8" t="n"/>
      <c r="I1319" s="9" t="n"/>
      <c r="J1319" s="9" t="inlineStr">
        <is>
          <t>未架電</t>
        </is>
      </c>
      <c r="K1319" s="8" t="n"/>
      <c r="L1319" s="9" t="n"/>
      <c r="M1319" s="10" t="inlineStr">
        <is>
          <t>通信制・山都町の本校。フリーダイヤル0120-277-128</t>
        </is>
      </c>
      <c r="N1319" s="11" t="inlineStr">
        <is>
          <t>https://www.hitotsuba.ed.jp/campus/principal/</t>
        </is>
      </c>
      <c r="O1319" s="12" t="inlineStr">
        <is>
          <t>開く</t>
        </is>
      </c>
    </row>
    <row r="1320">
      <c r="A1320" s="4" t="n">
        <v>1316</v>
      </c>
      <c r="B1320" s="5" t="inlineStr">
        <is>
          <t>熊本県</t>
        </is>
      </c>
      <c r="C1320" s="5" t="inlineStr">
        <is>
          <t>熊本市西区</t>
        </is>
      </c>
      <c r="D1320" s="5" t="inlineStr">
        <is>
          <t>文徳高等学校</t>
        </is>
      </c>
      <c r="E1320" s="6" t="inlineStr">
        <is>
          <t>096-354-6416</t>
        </is>
      </c>
      <c r="F1320" s="7" t="inlineStr">
        <is>
          <t>高</t>
        </is>
      </c>
      <c r="G1320" s="5" t="inlineStr">
        <is>
          <t>普通科・専門学科</t>
        </is>
      </c>
      <c r="H1320" s="8" t="n"/>
      <c r="I1320" s="9" t="n"/>
      <c r="J1320" s="9" t="inlineStr">
        <is>
          <t>未架電</t>
        </is>
      </c>
      <c r="K1320" s="8" t="n"/>
      <c r="L1320" s="9" t="n"/>
      <c r="M1320" s="10" t="inlineStr">
        <is>
          <t>文徳中学校は096-323-6677</t>
        </is>
      </c>
      <c r="N1320" s="11" t="inlineStr">
        <is>
          <t>https://www.buntoku-h.ed.jp/buntoku/access/</t>
        </is>
      </c>
      <c r="O1320" s="12" t="inlineStr">
        <is>
          <t>開く</t>
        </is>
      </c>
    </row>
    <row r="1321">
      <c r="A1321" s="4" t="n">
        <v>1317</v>
      </c>
      <c r="B1321" s="5" t="inlineStr">
        <is>
          <t>熊本県</t>
        </is>
      </c>
      <c r="C1321" s="5" t="inlineStr">
        <is>
          <t>八代市</t>
        </is>
      </c>
      <c r="D1321" s="5" t="inlineStr">
        <is>
          <t>八代白百合学園高等学校</t>
        </is>
      </c>
      <c r="E1321" s="6" t="inlineStr">
        <is>
          <t>0965-32-2354</t>
        </is>
      </c>
      <c r="F1321" s="7" t="inlineStr">
        <is>
          <t>高</t>
        </is>
      </c>
      <c r="G1321" s="5" t="inlineStr">
        <is>
          <t>普通科</t>
        </is>
      </c>
      <c r="H1321" s="8" t="n"/>
      <c r="I1321" s="9" t="n"/>
      <c r="J1321" s="9" t="inlineStr">
        <is>
          <t>未架電</t>
        </is>
      </c>
      <c r="K1321" s="8" t="n"/>
      <c r="L1321" s="9" t="n"/>
      <c r="M1321" s="10" t="n"/>
      <c r="N1321" s="11" t="inlineStr">
        <is>
          <t>https://yatsushiro-shirayuri.ed.jp/</t>
        </is>
      </c>
      <c r="O1321" s="12" t="inlineStr">
        <is>
          <t>開く</t>
        </is>
      </c>
    </row>
    <row r="1322">
      <c r="A1322" s="4" t="n">
        <v>1318</v>
      </c>
      <c r="B1322" s="5" t="inlineStr">
        <is>
          <t>熊本県</t>
        </is>
      </c>
      <c r="C1322" s="5" t="inlineStr">
        <is>
          <t>天草市</t>
        </is>
      </c>
      <c r="D1322" s="5" t="inlineStr">
        <is>
          <t>勇志国際高等学校</t>
        </is>
      </c>
      <c r="E1322" s="6" t="inlineStr">
        <is>
          <t>0969-67-3911</t>
        </is>
      </c>
      <c r="F1322" s="13" t="inlineStr">
        <is>
          <t>中</t>
        </is>
      </c>
      <c r="G1322" s="5" t="inlineStr">
        <is>
          <t>普通科</t>
        </is>
      </c>
      <c r="H1322" s="8" t="n"/>
      <c r="I1322" s="9" t="n"/>
      <c r="J1322" s="9" t="inlineStr">
        <is>
          <t>未架電</t>
        </is>
      </c>
      <c r="K1322" s="8" t="n"/>
      <c r="L1322" s="9" t="n"/>
      <c r="M1322" s="10" t="inlineStr">
        <is>
          <t>通信制・天草市の本校。現公式はフリーダイヤル0120-593-135を案内</t>
        </is>
      </c>
      <c r="N1322" s="11" t="inlineStr">
        <is>
          <t>https://zba.jp/tsushin-highschool/schools/detail-yushikokusai/pref-43/</t>
        </is>
      </c>
      <c r="O1322" s="12" t="inlineStr">
        <is>
          <t>開く</t>
        </is>
      </c>
    </row>
    <row r="1323">
      <c r="A1323" s="4" t="n">
        <v>1319</v>
      </c>
      <c r="B1323" s="5" t="inlineStr">
        <is>
          <t>熊本県</t>
        </is>
      </c>
      <c r="C1323" s="5" t="inlineStr">
        <is>
          <t>熊本市中央区</t>
        </is>
      </c>
      <c r="D1323" s="5" t="inlineStr">
        <is>
          <t>ルーテル学院高等学校</t>
        </is>
      </c>
      <c r="E1323" s="6" t="inlineStr">
        <is>
          <t>096-343-3246</t>
        </is>
      </c>
      <c r="F1323" s="7" t="inlineStr">
        <is>
          <t>高</t>
        </is>
      </c>
      <c r="G1323" s="5" t="inlineStr">
        <is>
          <t>普通科</t>
        </is>
      </c>
      <c r="H1323" s="8" t="n"/>
      <c r="I1323" s="9" t="n"/>
      <c r="J1323" s="9" t="inlineStr">
        <is>
          <t>未架電</t>
        </is>
      </c>
      <c r="K1323" s="8" t="n"/>
      <c r="L1323" s="9" t="n"/>
      <c r="M1323" s="10" t="inlineStr">
        <is>
          <t>中高共通。法人事務局は096-343-3111</t>
        </is>
      </c>
      <c r="N1323" s="11" t="inlineStr">
        <is>
          <t>https://luther.ed.jp/</t>
        </is>
      </c>
      <c r="O1323" s="12" t="inlineStr">
        <is>
          <t>開く</t>
        </is>
      </c>
    </row>
    <row r="1324">
      <c r="A1324" s="4" t="n">
        <v>1320</v>
      </c>
      <c r="B1324" s="5" t="inlineStr">
        <is>
          <t>大分県</t>
        </is>
      </c>
      <c r="C1324" s="5" t="inlineStr">
        <is>
          <t>竹田市</t>
        </is>
      </c>
      <c r="D1324" s="5" t="inlineStr">
        <is>
          <t>稲葉学園高等学校</t>
        </is>
      </c>
      <c r="E1324" s="6" t="inlineStr">
        <is>
          <t>0974-63-3223</t>
        </is>
      </c>
      <c r="F1324" s="7" t="inlineStr">
        <is>
          <t>高</t>
        </is>
      </c>
      <c r="G1324" s="5" t="inlineStr">
        <is>
          <t>普通科</t>
        </is>
      </c>
      <c r="H1324" s="8" t="n"/>
      <c r="I1324" s="9" t="n"/>
      <c r="J1324" s="9" t="inlineStr">
        <is>
          <t>未架電</t>
        </is>
      </c>
      <c r="K1324" s="8" t="n"/>
      <c r="L1324" s="9" t="n"/>
      <c r="M1324" s="10" t="inlineStr">
        <is>
          <t>旧・竹田南高等学校。NAVITIMEは0974-63-3613を掲載</t>
        </is>
      </c>
      <c r="N1324" s="11" t="inlineStr">
        <is>
          <t>https://inabagakuen.jp/access/</t>
        </is>
      </c>
      <c r="O1324" s="12" t="inlineStr">
        <is>
          <t>開く</t>
        </is>
      </c>
    </row>
    <row r="1325">
      <c r="A1325" s="4" t="n">
        <v>1321</v>
      </c>
      <c r="B1325" s="5" t="inlineStr">
        <is>
          <t>大分県</t>
        </is>
      </c>
      <c r="C1325" s="5" t="inlineStr">
        <is>
          <t>大分市</t>
        </is>
      </c>
      <c r="D1325" s="5" t="inlineStr">
        <is>
          <t>岩田高等学校</t>
        </is>
      </c>
      <c r="E1325" s="6" t="inlineStr">
        <is>
          <t>097-558-3007</t>
        </is>
      </c>
      <c r="F1325" s="7" t="inlineStr">
        <is>
          <t>高</t>
        </is>
      </c>
      <c r="G1325" s="5" t="inlineStr">
        <is>
          <t>普通科</t>
        </is>
      </c>
      <c r="H1325" s="8" t="n"/>
      <c r="I1325" s="9" t="n"/>
      <c r="J1325" s="9" t="inlineStr">
        <is>
          <t>未架電</t>
        </is>
      </c>
      <c r="K1325" s="8" t="n"/>
      <c r="L1325" s="9" t="n"/>
      <c r="M1325" s="10" t="inlineStr">
        <is>
          <t>中高共通番号</t>
        </is>
      </c>
      <c r="N1325" s="11" t="inlineStr">
        <is>
          <t>https://www.iwata.ed.jp/menu2-6.html</t>
        </is>
      </c>
      <c r="O1325" s="12" t="inlineStr">
        <is>
          <t>開く</t>
        </is>
      </c>
    </row>
    <row r="1326">
      <c r="A1326" s="4" t="n">
        <v>1322</v>
      </c>
      <c r="B1326" s="5" t="inlineStr">
        <is>
          <t>大分県</t>
        </is>
      </c>
      <c r="C1326" s="5" t="inlineStr">
        <is>
          <t>大分市</t>
        </is>
      </c>
      <c r="D1326" s="5" t="inlineStr">
        <is>
          <t>大分高等学校</t>
        </is>
      </c>
      <c r="E1326" s="6" t="inlineStr">
        <is>
          <t>097-551-1101</t>
        </is>
      </c>
      <c r="F1326" s="7" t="inlineStr">
        <is>
          <t>高</t>
        </is>
      </c>
      <c r="G1326" s="5" t="inlineStr">
        <is>
          <t>普通科・専門学科</t>
        </is>
      </c>
      <c r="H1326" s="8" t="n"/>
      <c r="I1326" s="9" t="n"/>
      <c r="J1326" s="9" t="inlineStr">
        <is>
          <t>未架電</t>
        </is>
      </c>
      <c r="K1326" s="8" t="n"/>
      <c r="L1326" s="9" t="n"/>
      <c r="M1326" s="10" t="inlineStr">
        <is>
          <t>大分中学校を併設</t>
        </is>
      </c>
      <c r="N1326" s="11" t="inlineStr">
        <is>
          <t>http://www.oita-h.ed.jp/about/access.php</t>
        </is>
      </c>
      <c r="O1326" s="12" t="inlineStr">
        <is>
          <t>開く</t>
        </is>
      </c>
    </row>
    <row r="1327">
      <c r="A1327" s="4" t="n">
        <v>1323</v>
      </c>
      <c r="B1327" s="5" t="inlineStr">
        <is>
          <t>大分県</t>
        </is>
      </c>
      <c r="C1327" s="5" t="inlineStr">
        <is>
          <t>大分市</t>
        </is>
      </c>
      <c r="D1327" s="5" t="inlineStr">
        <is>
          <t>大分国際情報高等学校</t>
        </is>
      </c>
      <c r="E1327" s="6" t="inlineStr">
        <is>
          <t>097-558-3734</t>
        </is>
      </c>
      <c r="F1327" s="7" t="inlineStr">
        <is>
          <t>高</t>
        </is>
      </c>
      <c r="G1327" s="5" t="inlineStr">
        <is>
          <t>普通科</t>
        </is>
      </c>
      <c r="H1327" s="8" t="n"/>
      <c r="I1327" s="9" t="n"/>
      <c r="J1327" s="9" t="inlineStr">
        <is>
          <t>未架電</t>
        </is>
      </c>
      <c r="K1327" s="8" t="n"/>
      <c r="L1327" s="9" t="n"/>
      <c r="M1327" s="10" t="n"/>
      <c r="N1327" s="11" t="inlineStr">
        <is>
          <t>https://kokujou.ed.jp/school.php</t>
        </is>
      </c>
      <c r="O1327" s="12" t="inlineStr">
        <is>
          <t>開く</t>
        </is>
      </c>
    </row>
    <row r="1328">
      <c r="A1328" s="4" t="n">
        <v>1324</v>
      </c>
      <c r="B1328" s="5" t="inlineStr">
        <is>
          <t>大分県</t>
        </is>
      </c>
      <c r="C1328" s="5" t="inlineStr">
        <is>
          <t>大分市</t>
        </is>
      </c>
      <c r="D1328" s="5" t="inlineStr">
        <is>
          <t>大分東明高等学校</t>
        </is>
      </c>
      <c r="E1328" s="6" t="inlineStr">
        <is>
          <t>097-535-0201</t>
        </is>
      </c>
      <c r="F1328" s="7" t="inlineStr">
        <is>
          <t>高</t>
        </is>
      </c>
      <c r="G1328" s="5" t="inlineStr">
        <is>
          <t>普通科・専門学科</t>
        </is>
      </c>
      <c r="H1328" s="8" t="n"/>
      <c r="I1328" s="9" t="n"/>
      <c r="J1328" s="9" t="inlineStr">
        <is>
          <t>未架電</t>
        </is>
      </c>
      <c r="K1328" s="8" t="n"/>
      <c r="L1328" s="9" t="n"/>
      <c r="M1328" s="10" t="inlineStr">
        <is>
          <t>法人（平松学園）代表と同じ番号</t>
        </is>
      </c>
      <c r="N1328" s="11" t="inlineStr">
        <is>
          <t>https://www.hiramatsu.ac.jp/tomei</t>
        </is>
      </c>
      <c r="O1328" s="12" t="inlineStr">
        <is>
          <t>開く</t>
        </is>
      </c>
    </row>
    <row r="1329">
      <c r="A1329" s="4" t="n">
        <v>1325</v>
      </c>
      <c r="B1329" s="5" t="inlineStr">
        <is>
          <t>大分県</t>
        </is>
      </c>
      <c r="C1329" s="5" t="inlineStr">
        <is>
          <t>日田市</t>
        </is>
      </c>
      <c r="D1329" s="5" t="inlineStr">
        <is>
          <t>昭和学園高等学校</t>
        </is>
      </c>
      <c r="E1329" s="6" t="inlineStr">
        <is>
          <t>0973-22-7420</t>
        </is>
      </c>
      <c r="F1329" s="7" t="inlineStr">
        <is>
          <t>高</t>
        </is>
      </c>
      <c r="G1329" s="5" t="inlineStr">
        <is>
          <t>普通科・専門学科</t>
        </is>
      </c>
      <c r="H1329" s="8" t="n"/>
      <c r="I1329" s="9" t="n"/>
      <c r="J1329" s="9" t="inlineStr">
        <is>
          <t>未架電</t>
        </is>
      </c>
      <c r="K1329" s="8" t="n"/>
      <c r="L1329" s="9" t="n"/>
      <c r="M1329" s="10" t="inlineStr">
        <is>
          <t>事務室番号</t>
        </is>
      </c>
      <c r="N1329" s="11" t="inlineStr">
        <is>
          <t>https://www.showa-h.ed.jp/blank-38</t>
        </is>
      </c>
      <c r="O1329" s="12" t="inlineStr">
        <is>
          <t>開く</t>
        </is>
      </c>
    </row>
    <row r="1330">
      <c r="A1330" s="4" t="n">
        <v>1326</v>
      </c>
      <c r="B1330" s="5" t="inlineStr">
        <is>
          <t>大分県</t>
        </is>
      </c>
      <c r="C1330" s="5" t="inlineStr">
        <is>
          <t>日田市</t>
        </is>
      </c>
      <c r="D1330" s="5" t="inlineStr">
        <is>
          <t>藤蔭高等学校</t>
        </is>
      </c>
      <c r="E1330" s="6" t="inlineStr">
        <is>
          <t>0973-24-2737</t>
        </is>
      </c>
      <c r="F1330" s="7" t="inlineStr">
        <is>
          <t>高</t>
        </is>
      </c>
      <c r="G1330" s="5" t="inlineStr">
        <is>
          <t>普通科・専門学科</t>
        </is>
      </c>
      <c r="H1330" s="8" t="n"/>
      <c r="I1330" s="9" t="n"/>
      <c r="J1330" s="9" t="inlineStr">
        <is>
          <t>未架電</t>
        </is>
      </c>
      <c r="K1330" s="8" t="n"/>
      <c r="L1330" s="9" t="n"/>
      <c r="M1330" s="10" t="inlineStr">
        <is>
          <t>通信制課程は0973-23-6655</t>
        </is>
      </c>
      <c r="N1330" s="11" t="inlineStr">
        <is>
          <t>http://tohin.ac.jp/</t>
        </is>
      </c>
      <c r="O1330" s="12" t="inlineStr">
        <is>
          <t>開く</t>
        </is>
      </c>
    </row>
    <row r="1331">
      <c r="A1331" s="4" t="n">
        <v>1327</v>
      </c>
      <c r="B1331" s="5" t="inlineStr">
        <is>
          <t>大分県</t>
        </is>
      </c>
      <c r="C1331" s="5" t="inlineStr">
        <is>
          <t>佐伯市</t>
        </is>
      </c>
      <c r="D1331" s="5" t="inlineStr">
        <is>
          <t>日本文理大学附属高等学校</t>
        </is>
      </c>
      <c r="E1331" s="6" t="inlineStr">
        <is>
          <t>0972-22-3501</t>
        </is>
      </c>
      <c r="F1331" s="7" t="inlineStr">
        <is>
          <t>高</t>
        </is>
      </c>
      <c r="G1331" s="5" t="inlineStr">
        <is>
          <t>普通科・専門学科</t>
        </is>
      </c>
      <c r="H1331" s="8" t="n"/>
      <c r="I1331" s="9" t="n"/>
      <c r="J1331" s="9" t="inlineStr">
        <is>
          <t>未架電</t>
        </is>
      </c>
      <c r="K1331" s="8" t="n"/>
      <c r="L1331" s="9" t="n"/>
      <c r="M1331" s="10" t="n"/>
      <c r="N1331" s="11" t="inlineStr">
        <is>
          <t>https://www.nbu-h.ed.jp/</t>
        </is>
      </c>
      <c r="O1331" s="12" t="inlineStr">
        <is>
          <t>開く</t>
        </is>
      </c>
    </row>
    <row r="1332">
      <c r="A1332" s="4" t="n">
        <v>1328</v>
      </c>
      <c r="B1332" s="5" t="inlineStr">
        <is>
          <t>大分県</t>
        </is>
      </c>
      <c r="C1332" s="5" t="inlineStr">
        <is>
          <t>中津市</t>
        </is>
      </c>
      <c r="D1332" s="5" t="inlineStr">
        <is>
          <t>東九州龍谷高等学校</t>
        </is>
      </c>
      <c r="E1332" s="6" t="inlineStr">
        <is>
          <t>0979-22-0416</t>
        </is>
      </c>
      <c r="F1332" s="7" t="inlineStr">
        <is>
          <t>高</t>
        </is>
      </c>
      <c r="G1332" s="5" t="inlineStr">
        <is>
          <t>普通科・専門学科</t>
        </is>
      </c>
      <c r="H1332" s="8" t="n"/>
      <c r="I1332" s="9" t="n"/>
      <c r="J1332" s="9" t="inlineStr">
        <is>
          <t>未架電</t>
        </is>
      </c>
      <c r="K1332" s="8" t="n"/>
      <c r="L1332" s="9" t="n"/>
      <c r="M1332" s="10" t="inlineStr">
        <is>
          <t>事務室番号。職員室は0979-22-2555</t>
        </is>
      </c>
      <c r="N1332" s="11" t="inlineStr">
        <is>
          <t>https://hk-ryukoku.ed.jp/</t>
        </is>
      </c>
      <c r="O1332" s="12" t="inlineStr">
        <is>
          <t>開く</t>
        </is>
      </c>
    </row>
    <row r="1333">
      <c r="A1333" s="4" t="n">
        <v>1329</v>
      </c>
      <c r="B1333" s="5" t="inlineStr">
        <is>
          <t>大分県</t>
        </is>
      </c>
      <c r="C1333" s="5" t="inlineStr">
        <is>
          <t>大分市</t>
        </is>
      </c>
      <c r="D1333" s="5" t="inlineStr">
        <is>
          <t>福徳学院高等学校</t>
        </is>
      </c>
      <c r="E1333" s="6" t="inlineStr">
        <is>
          <t>097-544-3551</t>
        </is>
      </c>
      <c r="F1333" s="7" t="inlineStr">
        <is>
          <t>高</t>
        </is>
      </c>
      <c r="G1333" s="5" t="inlineStr">
        <is>
          <t>普通科・専門学科</t>
        </is>
      </c>
      <c r="H1333" s="8" t="n"/>
      <c r="I1333" s="9" t="n"/>
      <c r="J1333" s="9" t="inlineStr">
        <is>
          <t>未架電</t>
        </is>
      </c>
      <c r="K1333" s="8" t="n"/>
      <c r="L1333" s="9" t="n"/>
      <c r="M1333" s="10" t="n"/>
      <c r="N1333" s="11" t="inlineStr">
        <is>
          <t>https://fukutoku.ed.jp/access/</t>
        </is>
      </c>
      <c r="O1333" s="12" t="inlineStr">
        <is>
          <t>開く</t>
        </is>
      </c>
    </row>
    <row r="1334">
      <c r="A1334" s="4" t="n">
        <v>1330</v>
      </c>
      <c r="B1334" s="5" t="inlineStr">
        <is>
          <t>大分県</t>
        </is>
      </c>
      <c r="C1334" s="5" t="inlineStr">
        <is>
          <t>別府市</t>
        </is>
      </c>
      <c r="D1334" s="5" t="inlineStr">
        <is>
          <t>別府溝部学園高等学校</t>
        </is>
      </c>
      <c r="E1334" s="6" t="inlineStr">
        <is>
          <t>0977-67-6908</t>
        </is>
      </c>
      <c r="F1334" s="7" t="inlineStr">
        <is>
          <t>高</t>
        </is>
      </c>
      <c r="G1334" s="5" t="inlineStr">
        <is>
          <t>普通科・専門学科</t>
        </is>
      </c>
      <c r="H1334" s="8" t="n"/>
      <c r="I1334" s="9" t="n"/>
      <c r="J1334" s="9" t="inlineStr">
        <is>
          <t>未架電</t>
        </is>
      </c>
      <c r="K1334" s="8" t="n"/>
      <c r="L1334" s="9" t="n"/>
      <c r="M1334" s="10" t="inlineStr">
        <is>
          <t>電話帳サイトは0977-66-0224（短大と同番号）を掲載</t>
        </is>
      </c>
      <c r="N1334" s="11" t="inlineStr">
        <is>
          <t>https://www.mizobe-h.ed.jp/about</t>
        </is>
      </c>
      <c r="O1334" s="12" t="inlineStr">
        <is>
          <t>開く</t>
        </is>
      </c>
    </row>
    <row r="1335">
      <c r="A1335" s="4" t="n">
        <v>1331</v>
      </c>
      <c r="B1335" s="5" t="inlineStr">
        <is>
          <t>大分県</t>
        </is>
      </c>
      <c r="C1335" s="5" t="inlineStr">
        <is>
          <t>別府市</t>
        </is>
      </c>
      <c r="D1335" s="5" t="inlineStr">
        <is>
          <t>明豊高等学校</t>
        </is>
      </c>
      <c r="E1335" s="6" t="inlineStr">
        <is>
          <t>0977-27-3311</t>
        </is>
      </c>
      <c r="F1335" s="7" t="inlineStr">
        <is>
          <t>高</t>
        </is>
      </c>
      <c r="G1335" s="5" t="inlineStr">
        <is>
          <t>普通科・専門学科</t>
        </is>
      </c>
      <c r="H1335" s="8" t="n"/>
      <c r="I1335" s="9" t="n"/>
      <c r="J1335" s="9" t="inlineStr">
        <is>
          <t>未架電</t>
        </is>
      </c>
      <c r="K1335" s="8" t="n"/>
      <c r="L1335" s="9" t="n"/>
      <c r="M1335" s="10" t="n"/>
      <c r="N1335" s="11" t="inlineStr">
        <is>
          <t>https://meiho-beppu.jp/access/</t>
        </is>
      </c>
      <c r="O1335" s="12" t="inlineStr">
        <is>
          <t>開く</t>
        </is>
      </c>
    </row>
    <row r="1336">
      <c r="A1336" s="4" t="n">
        <v>1332</v>
      </c>
      <c r="B1336" s="5" t="inlineStr">
        <is>
          <t>大分県</t>
        </is>
      </c>
      <c r="C1336" s="5" t="inlineStr">
        <is>
          <t>宇佐市</t>
        </is>
      </c>
      <c r="D1336" s="5" t="inlineStr">
        <is>
          <t>柳ケ浦高等学校</t>
        </is>
      </c>
      <c r="E1336" s="6" t="inlineStr">
        <is>
          <t>0978-38-0033</t>
        </is>
      </c>
      <c r="F1336" s="7" t="inlineStr">
        <is>
          <t>高</t>
        </is>
      </c>
      <c r="G1336" s="5" t="inlineStr">
        <is>
          <t>普通科・専門学科</t>
        </is>
      </c>
      <c r="H1336" s="8" t="n"/>
      <c r="I1336" s="9" t="n"/>
      <c r="J1336" s="9" t="inlineStr">
        <is>
          <t>未架電</t>
        </is>
      </c>
      <c r="K1336" s="8" t="n"/>
      <c r="L1336" s="9" t="n"/>
      <c r="M1336" s="10" t="inlineStr">
        <is>
          <t>公式表記は「柳ヶ浦」</t>
        </is>
      </c>
      <c r="N1336" s="11" t="inlineStr">
        <is>
          <t>https://yanagigaura.ed.jp/pages/1</t>
        </is>
      </c>
      <c r="O1336" s="12" t="inlineStr">
        <is>
          <t>開く</t>
        </is>
      </c>
    </row>
    <row r="1337">
      <c r="A1337" s="4" t="n">
        <v>1333</v>
      </c>
      <c r="B1337" s="5" t="inlineStr">
        <is>
          <t>大分県</t>
        </is>
      </c>
      <c r="C1337" s="5" t="inlineStr">
        <is>
          <t>大分市</t>
        </is>
      </c>
      <c r="D1337" s="5" t="inlineStr">
        <is>
          <t>楊志館高等学校</t>
        </is>
      </c>
      <c r="E1337" s="6" t="inlineStr">
        <is>
          <t>097-543-6711</t>
        </is>
      </c>
      <c r="F1337" s="7" t="inlineStr">
        <is>
          <t>高</t>
        </is>
      </c>
      <c r="G1337" s="5" t="inlineStr">
        <is>
          <t>普通科・専門学科</t>
        </is>
      </c>
      <c r="H1337" s="8" t="n"/>
      <c r="I1337" s="9" t="n"/>
      <c r="J1337" s="9" t="inlineStr">
        <is>
          <t>未架電</t>
        </is>
      </c>
      <c r="K1337" s="8" t="n"/>
      <c r="L1337" s="9" t="n"/>
      <c r="M1337" s="10" t="inlineStr">
        <is>
          <t>法人（後藤学園）のページで確認</t>
        </is>
      </c>
      <c r="N1337" s="11" t="inlineStr">
        <is>
          <t>https://www.gotogakuen.ac.jp/yoshikan</t>
        </is>
      </c>
      <c r="O1337" s="12" t="inlineStr">
        <is>
          <t>開く</t>
        </is>
      </c>
    </row>
    <row r="1338">
      <c r="A1338" s="4" t="n">
        <v>1334</v>
      </c>
      <c r="B1338" s="5" t="inlineStr">
        <is>
          <t>宮崎県</t>
        </is>
      </c>
      <c r="C1338" s="5" t="inlineStr">
        <is>
          <t>三股町</t>
        </is>
      </c>
      <c r="D1338" s="5" t="inlineStr">
        <is>
          <t>櫻美学園高等学校</t>
        </is>
      </c>
      <c r="E1338" s="6" t="inlineStr">
        <is>
          <t>0986-52-1010</t>
        </is>
      </c>
      <c r="F1338" s="7" t="inlineStr">
        <is>
          <t>高</t>
        </is>
      </c>
      <c r="G1338" s="5" t="inlineStr">
        <is>
          <t>普通科・専門学科</t>
        </is>
      </c>
      <c r="H1338" s="8" t="n"/>
      <c r="I1338" s="9" t="n"/>
      <c r="J1338" s="9" t="inlineStr">
        <is>
          <t>未架電</t>
        </is>
      </c>
      <c r="K1338" s="8" t="n"/>
      <c r="L1338" s="9" t="n"/>
      <c r="M1338" s="10" t="inlineStr">
        <is>
          <t>2025年4月に都城東高等学校から校名変更</t>
        </is>
      </c>
      <c r="N1338" s="11" t="inlineStr">
        <is>
          <t>https://oubi.ed.jp/</t>
        </is>
      </c>
      <c r="O1338" s="12" t="inlineStr">
        <is>
          <t>開く</t>
        </is>
      </c>
    </row>
    <row r="1339">
      <c r="A1339" s="4" t="n">
        <v>1335</v>
      </c>
      <c r="B1339" s="5" t="inlineStr">
        <is>
          <t>宮崎県</t>
        </is>
      </c>
      <c r="C1339" s="5" t="inlineStr">
        <is>
          <t>小林市</t>
        </is>
      </c>
      <c r="D1339" s="5" t="inlineStr">
        <is>
          <t>小林西高等学校</t>
        </is>
      </c>
      <c r="E1339" s="6" t="inlineStr">
        <is>
          <t>0984-22-5155</t>
        </is>
      </c>
      <c r="F1339" s="7" t="inlineStr">
        <is>
          <t>高</t>
        </is>
      </c>
      <c r="G1339" s="5" t="inlineStr">
        <is>
          <t>普通科・専門学科</t>
        </is>
      </c>
      <c r="H1339" s="8" t="n"/>
      <c r="I1339" s="9" t="n"/>
      <c r="J1339" s="9" t="inlineStr">
        <is>
          <t>未架電</t>
        </is>
      </c>
      <c r="K1339" s="8" t="n"/>
      <c r="L1339" s="9" t="n"/>
      <c r="M1339" s="10" t="inlineStr">
        <is>
          <t>県サイトとも一致</t>
        </is>
      </c>
      <c r="N1339" s="11" t="inlineStr">
        <is>
          <t>https://www.kobayashi-nishi.net/</t>
        </is>
      </c>
      <c r="O1339" s="12" t="inlineStr">
        <is>
          <t>開く</t>
        </is>
      </c>
    </row>
    <row r="1340">
      <c r="A1340" s="4" t="n">
        <v>1336</v>
      </c>
      <c r="B1340" s="5" t="inlineStr">
        <is>
          <t>宮崎県</t>
        </is>
      </c>
      <c r="C1340" s="5" t="inlineStr">
        <is>
          <t>延岡市</t>
        </is>
      </c>
      <c r="D1340" s="5" t="inlineStr">
        <is>
          <t>聖心ウルスラ学園高等学校</t>
        </is>
      </c>
      <c r="E1340" s="6" t="inlineStr">
        <is>
          <t>0982-33-3472</t>
        </is>
      </c>
      <c r="F1340" s="7" t="inlineStr">
        <is>
          <t>高</t>
        </is>
      </c>
      <c r="G1340" s="5" t="inlineStr">
        <is>
          <t>普通科・専門学科</t>
        </is>
      </c>
      <c r="H1340" s="8" t="n"/>
      <c r="I1340" s="9" t="n"/>
      <c r="J1340" s="9" t="inlineStr">
        <is>
          <t>未架電</t>
        </is>
      </c>
      <c r="K1340" s="8" t="n"/>
      <c r="L1340" s="9" t="n"/>
      <c r="M1340" s="10" t="inlineStr">
        <is>
          <t>電話帳サイトの0982-31-3058は公式と不一致</t>
        </is>
      </c>
      <c r="N1340" s="11" t="inlineStr">
        <is>
          <t>https://ursula.ed.jp/high/</t>
        </is>
      </c>
      <c r="O1340" s="12" t="inlineStr">
        <is>
          <t>開く</t>
        </is>
      </c>
    </row>
    <row r="1341">
      <c r="A1341" s="4" t="n">
        <v>1337</v>
      </c>
      <c r="B1341" s="5" t="inlineStr">
        <is>
          <t>宮崎県</t>
        </is>
      </c>
      <c r="C1341" s="5" t="inlineStr">
        <is>
          <t>日南市</t>
        </is>
      </c>
      <c r="D1341" s="5" t="inlineStr">
        <is>
          <t>日南学園高等学校</t>
        </is>
      </c>
      <c r="E1341" s="6" t="inlineStr">
        <is>
          <t>0987-23-1311</t>
        </is>
      </c>
      <c r="F1341" s="7" t="inlineStr">
        <is>
          <t>高</t>
        </is>
      </c>
      <c r="G1341" s="5" t="inlineStr">
        <is>
          <t>普通科・専門学科</t>
        </is>
      </c>
      <c r="H1341" s="8" t="n"/>
      <c r="I1341" s="9" t="n"/>
      <c r="J1341" s="9" t="inlineStr">
        <is>
          <t>未架電</t>
        </is>
      </c>
      <c r="K1341" s="8" t="n"/>
      <c r="L1341" s="9" t="n"/>
      <c r="M1341" s="10" t="inlineStr">
        <is>
          <t>日南本校の番号</t>
        </is>
      </c>
      <c r="N1341" s="11" t="inlineStr">
        <is>
          <t>https://www.nichigaku-highschool.info/</t>
        </is>
      </c>
      <c r="O1341" s="12" t="inlineStr">
        <is>
          <t>開く</t>
        </is>
      </c>
    </row>
    <row r="1342">
      <c r="A1342" s="4" t="n">
        <v>1338</v>
      </c>
      <c r="B1342" s="5" t="inlineStr">
        <is>
          <t>宮崎県</t>
        </is>
      </c>
      <c r="C1342" s="5" t="inlineStr">
        <is>
          <t>宮崎市</t>
        </is>
      </c>
      <c r="D1342" s="5" t="inlineStr">
        <is>
          <t>日南学園高等学校 宮崎穎学館</t>
        </is>
      </c>
      <c r="E1342" s="6" t="inlineStr">
        <is>
          <t>0985-86-1021</t>
        </is>
      </c>
      <c r="F1342" s="7" t="inlineStr">
        <is>
          <t>高</t>
        </is>
      </c>
      <c r="G1342" s="5" t="inlineStr">
        <is>
          <t>専門学科</t>
        </is>
      </c>
      <c r="H1342" s="8" t="n"/>
      <c r="I1342" s="9" t="n"/>
      <c r="J1342" s="9" t="inlineStr">
        <is>
          <t>未架電</t>
        </is>
      </c>
      <c r="K1342" s="8" t="n"/>
      <c r="L1342" s="9" t="n"/>
      <c r="M1342" s="10" t="inlineStr">
        <is>
          <t>宮崎市田野町の校舎（本校とは別番号）</t>
        </is>
      </c>
      <c r="N1342" s="11" t="inlineStr">
        <is>
          <t>https://www.eigakukan.ed.jp/</t>
        </is>
      </c>
      <c r="O1342" s="12" t="inlineStr">
        <is>
          <t>開く</t>
        </is>
      </c>
    </row>
    <row r="1343">
      <c r="A1343" s="4" t="n">
        <v>1339</v>
      </c>
      <c r="B1343" s="5" t="inlineStr">
        <is>
          <t>宮崎県</t>
        </is>
      </c>
      <c r="C1343" s="5" t="inlineStr">
        <is>
          <t>えびの市</t>
        </is>
      </c>
      <c r="D1343" s="5" t="inlineStr">
        <is>
          <t>日章学園九州国際高等学校</t>
        </is>
      </c>
      <c r="E1343" s="6" t="inlineStr">
        <is>
          <t>0984-35-3500</t>
        </is>
      </c>
      <c r="F1343" s="13" t="inlineStr">
        <is>
          <t>中</t>
        </is>
      </c>
      <c r="G1343" s="5" t="inlineStr">
        <is>
          <t>普通科</t>
        </is>
      </c>
      <c r="H1343" s="8" t="n"/>
      <c r="I1343" s="9" t="n"/>
      <c r="J1343" s="9" t="inlineStr">
        <is>
          <t>未架電</t>
        </is>
      </c>
      <c r="K1343" s="8" t="n"/>
      <c r="L1343" s="9" t="n"/>
      <c r="M1343" s="10" t="inlineStr">
        <is>
          <t>公式未確認。私学協会・学校情報サイトで一致</t>
        </is>
      </c>
      <c r="N1343" s="11" t="inlineStr">
        <is>
          <t>https://www.miyazaki-shigaku.jp/</t>
        </is>
      </c>
      <c r="O1343" s="12" t="inlineStr">
        <is>
          <t>開く</t>
        </is>
      </c>
    </row>
    <row r="1344">
      <c r="A1344" s="4" t="n">
        <v>1340</v>
      </c>
      <c r="B1344" s="5" t="inlineStr">
        <is>
          <t>宮崎県</t>
        </is>
      </c>
      <c r="C1344" s="5" t="inlineStr">
        <is>
          <t>宮崎市</t>
        </is>
      </c>
      <c r="D1344" s="5" t="inlineStr">
        <is>
          <t>日章学園高等学校</t>
        </is>
      </c>
      <c r="E1344" s="6" t="inlineStr">
        <is>
          <t>0985-39-1321</t>
        </is>
      </c>
      <c r="F1344" s="7" t="inlineStr">
        <is>
          <t>高</t>
        </is>
      </c>
      <c r="G1344" s="5" t="inlineStr">
        <is>
          <t>普通科・専門学科</t>
        </is>
      </c>
      <c r="H1344" s="8" t="n"/>
      <c r="I1344" s="9" t="n"/>
      <c r="J1344" s="9" t="inlineStr">
        <is>
          <t>未架電</t>
        </is>
      </c>
      <c r="K1344" s="8" t="n"/>
      <c r="L1344" s="9" t="n"/>
      <c r="M1344" s="10" t="inlineStr">
        <is>
          <t>宮崎市・県サイトとも一致</t>
        </is>
      </c>
      <c r="N1344" s="11" t="inlineStr">
        <is>
          <t>https://nissho.ed.jp/</t>
        </is>
      </c>
      <c r="O1344" s="12" t="inlineStr">
        <is>
          <t>開く</t>
        </is>
      </c>
    </row>
    <row r="1345">
      <c r="A1345" s="4" t="n">
        <v>1341</v>
      </c>
      <c r="B1345" s="5" t="inlineStr">
        <is>
          <t>宮崎県</t>
        </is>
      </c>
      <c r="C1345" s="5" t="inlineStr">
        <is>
          <t>延岡市</t>
        </is>
      </c>
      <c r="D1345" s="5" t="inlineStr">
        <is>
          <t>延岡学園高等学校</t>
        </is>
      </c>
      <c r="E1345" s="6" t="inlineStr">
        <is>
          <t>0982-33-3227</t>
        </is>
      </c>
      <c r="F1345" s="7" t="inlineStr">
        <is>
          <t>高</t>
        </is>
      </c>
      <c r="G1345" s="5" t="inlineStr">
        <is>
          <t>普通科・専門学科</t>
        </is>
      </c>
      <c r="H1345" s="8" t="n"/>
      <c r="I1345" s="9" t="n"/>
      <c r="J1345" s="9" t="inlineStr">
        <is>
          <t>未架電</t>
        </is>
      </c>
      <c r="K1345" s="8" t="n"/>
      <c r="L1345" s="9" t="n"/>
      <c r="M1345" s="10" t="inlineStr">
        <is>
          <t>代表番号</t>
        </is>
      </c>
      <c r="N1345" s="11" t="inlineStr">
        <is>
          <t>https://nobeokagakuen-ed.jp/</t>
        </is>
      </c>
      <c r="O1345" s="12" t="inlineStr">
        <is>
          <t>開く</t>
        </is>
      </c>
    </row>
    <row r="1346">
      <c r="A1346" s="4" t="n">
        <v>1342</v>
      </c>
      <c r="B1346" s="5" t="inlineStr">
        <is>
          <t>宮崎県</t>
        </is>
      </c>
      <c r="C1346" s="5" t="inlineStr">
        <is>
          <t>宮崎市</t>
        </is>
      </c>
      <c r="D1346" s="5" t="inlineStr">
        <is>
          <t>日向学院高等学校</t>
        </is>
      </c>
      <c r="E1346" s="6" t="inlineStr">
        <is>
          <t>0985-22-8296</t>
        </is>
      </c>
      <c r="F1346" s="7" t="inlineStr">
        <is>
          <t>高</t>
        </is>
      </c>
      <c r="G1346" s="5" t="inlineStr">
        <is>
          <t>普通科</t>
        </is>
      </c>
      <c r="H1346" s="8" t="n"/>
      <c r="I1346" s="9" t="n"/>
      <c r="J1346" s="9" t="inlineStr">
        <is>
          <t>未架電</t>
        </is>
      </c>
      <c r="K1346" s="8" t="n"/>
      <c r="L1346" s="9" t="n"/>
      <c r="M1346" s="10" t="inlineStr">
        <is>
          <t>代表番号</t>
        </is>
      </c>
      <c r="N1346" s="11" t="inlineStr">
        <is>
          <t>https://www.hyugagakuin.ac.jp/</t>
        </is>
      </c>
      <c r="O1346" s="12" t="inlineStr">
        <is>
          <t>開く</t>
        </is>
      </c>
    </row>
    <row r="1347">
      <c r="A1347" s="4" t="n">
        <v>1343</v>
      </c>
      <c r="B1347" s="5" t="inlineStr">
        <is>
          <t>宮崎県</t>
        </is>
      </c>
      <c r="C1347" s="5" t="inlineStr">
        <is>
          <t>宮崎市</t>
        </is>
      </c>
      <c r="D1347" s="5" t="inlineStr">
        <is>
          <t>鵬翔高等学校</t>
        </is>
      </c>
      <c r="E1347" s="6" t="inlineStr">
        <is>
          <t>0985-52-2020</t>
        </is>
      </c>
      <c r="F1347" s="7" t="inlineStr">
        <is>
          <t>高</t>
        </is>
      </c>
      <c r="G1347" s="5" t="inlineStr">
        <is>
          <t>専門学科</t>
        </is>
      </c>
      <c r="H1347" s="8" t="n"/>
      <c r="I1347" s="9" t="n"/>
      <c r="J1347" s="9" t="inlineStr">
        <is>
          <t>未架電</t>
        </is>
      </c>
      <c r="K1347" s="8" t="n"/>
      <c r="L1347" s="9" t="n"/>
      <c r="M1347" s="10" t="inlineStr">
        <is>
          <t>事務室代表。入試広報部直通は0985-52-3312</t>
        </is>
      </c>
      <c r="N1347" s="11" t="inlineStr">
        <is>
          <t>https://www.hosho.ed.jp/contact/</t>
        </is>
      </c>
      <c r="O1347" s="12" t="inlineStr">
        <is>
          <t>開く</t>
        </is>
      </c>
    </row>
    <row r="1348">
      <c r="A1348" s="4" t="n">
        <v>1344</v>
      </c>
      <c r="B1348" s="5" t="inlineStr">
        <is>
          <t>宮崎県</t>
        </is>
      </c>
      <c r="C1348" s="5" t="inlineStr">
        <is>
          <t>都城市</t>
        </is>
      </c>
      <c r="D1348" s="5" t="inlineStr">
        <is>
          <t>都城高等学校</t>
        </is>
      </c>
      <c r="E1348" s="6" t="inlineStr">
        <is>
          <t>0986-23-2477</t>
        </is>
      </c>
      <c r="F1348" s="7" t="inlineStr">
        <is>
          <t>高</t>
        </is>
      </c>
      <c r="G1348" s="5" t="inlineStr">
        <is>
          <t>普通科・専門学科</t>
        </is>
      </c>
      <c r="H1348" s="8" t="n"/>
      <c r="I1348" s="9" t="n"/>
      <c r="J1348" s="9" t="inlineStr">
        <is>
          <t>未架電</t>
        </is>
      </c>
      <c r="K1348" s="8" t="n"/>
      <c r="L1348" s="9" t="n"/>
      <c r="M1348" s="10" t="inlineStr">
        <is>
          <t>県サイトとも一致</t>
        </is>
      </c>
      <c r="N1348" s="11" t="inlineStr">
        <is>
          <t>https://kubogakuen.ac.jp/</t>
        </is>
      </c>
      <c r="O1348" s="12" t="inlineStr">
        <is>
          <t>開く</t>
        </is>
      </c>
    </row>
    <row r="1349">
      <c r="A1349" s="4" t="n">
        <v>1345</v>
      </c>
      <c r="B1349" s="5" t="inlineStr">
        <is>
          <t>宮崎県</t>
        </is>
      </c>
      <c r="C1349" s="5" t="inlineStr">
        <is>
          <t>都城市</t>
        </is>
      </c>
      <c r="D1349" s="5" t="inlineStr">
        <is>
          <t>都城聖ドミニコ学園高等学校</t>
        </is>
      </c>
      <c r="E1349" s="6" t="inlineStr">
        <is>
          <t>0986-39-1303</t>
        </is>
      </c>
      <c r="F1349" s="7" t="inlineStr">
        <is>
          <t>高</t>
        </is>
      </c>
      <c r="G1349" s="5" t="inlineStr">
        <is>
          <t>普通科</t>
        </is>
      </c>
      <c r="H1349" s="8" t="n"/>
      <c r="I1349" s="9" t="n"/>
      <c r="J1349" s="9" t="inlineStr">
        <is>
          <t>未架電</t>
        </is>
      </c>
      <c r="K1349" s="8" t="n"/>
      <c r="L1349" s="9" t="n"/>
      <c r="M1349" s="10" t="inlineStr">
        <is>
          <t>私学協会とも一致</t>
        </is>
      </c>
      <c r="N1349" s="11" t="inlineStr">
        <is>
          <t>https://www.mdominico.com/</t>
        </is>
      </c>
      <c r="O1349" s="12" t="inlineStr">
        <is>
          <t>開く</t>
        </is>
      </c>
    </row>
    <row r="1350">
      <c r="A1350" s="4" t="n">
        <v>1346</v>
      </c>
      <c r="B1350" s="5" t="inlineStr">
        <is>
          <t>宮崎県</t>
        </is>
      </c>
      <c r="C1350" s="5" t="inlineStr">
        <is>
          <t>宮崎市</t>
        </is>
      </c>
      <c r="D1350" s="5" t="inlineStr">
        <is>
          <t>宮崎学園高等学校</t>
        </is>
      </c>
      <c r="E1350" s="6" t="inlineStr">
        <is>
          <t>0985-23-5318</t>
        </is>
      </c>
      <c r="F1350" s="7" t="inlineStr">
        <is>
          <t>高</t>
        </is>
      </c>
      <c r="G1350" s="5" t="inlineStr">
        <is>
          <t>普通科・専門学科</t>
        </is>
      </c>
      <c r="H1350" s="8" t="n"/>
      <c r="I1350" s="9" t="n"/>
      <c r="J1350" s="9" t="inlineStr">
        <is>
          <t>未架電</t>
        </is>
      </c>
      <c r="K1350" s="8" t="n"/>
      <c r="L1350" s="9" t="n"/>
      <c r="M1350" s="10" t="inlineStr">
        <is>
          <t>法人サイト・宮崎市サイトで一致</t>
        </is>
      </c>
      <c r="N1350" s="11" t="inlineStr">
        <is>
          <t>https://www.miyagaku.ed.jp/houjinhonbu/access.html</t>
        </is>
      </c>
      <c r="O1350" s="12" t="inlineStr">
        <is>
          <t>開く</t>
        </is>
      </c>
    </row>
    <row r="1351">
      <c r="A1351" s="4" t="n">
        <v>1347</v>
      </c>
      <c r="B1351" s="5" t="inlineStr">
        <is>
          <t>宮崎県</t>
        </is>
      </c>
      <c r="C1351" s="5" t="inlineStr">
        <is>
          <t>宮崎市</t>
        </is>
      </c>
      <c r="D1351" s="5" t="inlineStr">
        <is>
          <t>宮崎第一高等学校</t>
        </is>
      </c>
      <c r="E1351" s="6" t="inlineStr">
        <is>
          <t>0985-56-2626</t>
        </is>
      </c>
      <c r="F1351" s="13" t="inlineStr">
        <is>
          <t>中</t>
        </is>
      </c>
      <c r="G1351" s="5" t="inlineStr">
        <is>
          <t>普通科・専門学科</t>
        </is>
      </c>
      <c r="H1351" s="8" t="n"/>
      <c r="I1351" s="9" t="n"/>
      <c r="J1351" s="9" t="inlineStr">
        <is>
          <t>未架電</t>
        </is>
      </c>
      <c r="K1351" s="8" t="n"/>
      <c r="L1351" s="9" t="n"/>
      <c r="M1351" s="10" t="inlineStr">
        <is>
          <t>公式未確認。県・宮崎市・私学協会で一致</t>
        </is>
      </c>
      <c r="N1351" s="11" t="inlineStr">
        <is>
          <t>https://www.sun.pref.miyazaki.lg.jp/facilities_view/58.html</t>
        </is>
      </c>
      <c r="O1351" s="12" t="inlineStr">
        <is>
          <t>開く</t>
        </is>
      </c>
    </row>
    <row r="1352">
      <c r="A1352" s="4" t="n">
        <v>1348</v>
      </c>
      <c r="B1352" s="5" t="inlineStr">
        <is>
          <t>宮崎県</t>
        </is>
      </c>
      <c r="C1352" s="5" t="inlineStr">
        <is>
          <t>宮崎市</t>
        </is>
      </c>
      <c r="D1352" s="5" t="inlineStr">
        <is>
          <t>宮崎日本大学高等学校</t>
        </is>
      </c>
      <c r="E1352" s="6" t="inlineStr">
        <is>
          <t>0985-39-1121</t>
        </is>
      </c>
      <c r="F1352" s="7" t="inlineStr">
        <is>
          <t>高</t>
        </is>
      </c>
      <c r="G1352" s="5" t="inlineStr">
        <is>
          <t>専門学科</t>
        </is>
      </c>
      <c r="H1352" s="8" t="n"/>
      <c r="I1352" s="9" t="n"/>
      <c r="J1352" s="9" t="inlineStr">
        <is>
          <t>未架電</t>
        </is>
      </c>
      <c r="K1352" s="8" t="n"/>
      <c r="L1352" s="9" t="n"/>
      <c r="M1352" s="10" t="inlineStr">
        <is>
          <t>代表番号。県サイトとも一致</t>
        </is>
      </c>
      <c r="N1352" s="11" t="inlineStr">
        <is>
          <t>https://www.m-nichidai.com/</t>
        </is>
      </c>
      <c r="O1352" s="12" t="inlineStr">
        <is>
          <t>開く</t>
        </is>
      </c>
    </row>
    <row r="1353">
      <c r="A1353" s="4" t="n">
        <v>1349</v>
      </c>
      <c r="B1353" s="5" t="inlineStr">
        <is>
          <t>鹿児島県</t>
        </is>
      </c>
      <c r="C1353" s="5" t="inlineStr">
        <is>
          <t>鹿児島市</t>
        </is>
      </c>
      <c r="D1353" s="5" t="inlineStr">
        <is>
          <t>池田高等学校</t>
        </is>
      </c>
      <c r="E1353" s="6" t="inlineStr">
        <is>
          <t>099-282-7888</t>
        </is>
      </c>
      <c r="F1353" s="7" t="inlineStr">
        <is>
          <t>高</t>
        </is>
      </c>
      <c r="G1353" s="5" t="inlineStr">
        <is>
          <t>普通科</t>
        </is>
      </c>
      <c r="H1353" s="8" t="n"/>
      <c r="I1353" s="9" t="n"/>
      <c r="J1353" s="9" t="inlineStr">
        <is>
          <t>未架電</t>
        </is>
      </c>
      <c r="K1353" s="8" t="n"/>
      <c r="L1353" s="9" t="n"/>
      <c r="M1353" s="10" t="inlineStr">
        <is>
          <t>県私学協会とも一致。中高一貫（池田学園）</t>
        </is>
      </c>
      <c r="N1353" s="11" t="inlineStr">
        <is>
          <t>http://ikeda-gakuen.ed.jp/</t>
        </is>
      </c>
      <c r="O1353" s="12" t="inlineStr">
        <is>
          <t>開く</t>
        </is>
      </c>
    </row>
    <row r="1354">
      <c r="A1354" s="4" t="n">
        <v>1350</v>
      </c>
      <c r="B1354" s="5" t="inlineStr">
        <is>
          <t>鹿児島県</t>
        </is>
      </c>
      <c r="C1354" s="5" t="inlineStr">
        <is>
          <t>出水市</t>
        </is>
      </c>
      <c r="D1354" s="5" t="inlineStr">
        <is>
          <t>出水中央高等学校</t>
        </is>
      </c>
      <c r="E1354" s="6" t="inlineStr">
        <is>
          <t>0996-62-0500</t>
        </is>
      </c>
      <c r="F1354" s="7" t="inlineStr">
        <is>
          <t>高</t>
        </is>
      </c>
      <c r="G1354" s="5" t="inlineStr">
        <is>
          <t>普通科・専門学科</t>
        </is>
      </c>
      <c r="H1354" s="8" t="n"/>
      <c r="I1354" s="9" t="n"/>
      <c r="J1354" s="9" t="inlineStr">
        <is>
          <t>未架電</t>
        </is>
      </c>
      <c r="K1354" s="8" t="n"/>
      <c r="L1354" s="9" t="n"/>
      <c r="M1354" s="10" t="inlineStr">
        <is>
          <t>代表番号。広報室は0996-62-6677</t>
        </is>
      </c>
      <c r="N1354" s="11" t="inlineStr">
        <is>
          <t>https://izumi.ac.jp/school-info/facility-info/</t>
        </is>
      </c>
      <c r="O1354" s="12" t="inlineStr">
        <is>
          <t>開く</t>
        </is>
      </c>
    </row>
    <row r="1355">
      <c r="A1355" s="4" t="n">
        <v>1351</v>
      </c>
      <c r="B1355" s="5" t="inlineStr">
        <is>
          <t>鹿児島県</t>
        </is>
      </c>
      <c r="C1355" s="5" t="inlineStr">
        <is>
          <t>伊佐市</t>
        </is>
      </c>
      <c r="D1355" s="5" t="inlineStr">
        <is>
          <t>大口明光学園高等学校</t>
        </is>
      </c>
      <c r="E1355" s="6" t="inlineStr">
        <is>
          <t>0995-22-0609</t>
        </is>
      </c>
      <c r="F1355" s="7" t="inlineStr">
        <is>
          <t>高</t>
        </is>
      </c>
      <c r="G1355" s="5" t="inlineStr">
        <is>
          <t>普通科</t>
        </is>
      </c>
      <c r="H1355" s="8" t="n"/>
      <c r="I1355" s="9" t="n"/>
      <c r="J1355" s="9" t="inlineStr">
        <is>
          <t>未架電</t>
        </is>
      </c>
      <c r="K1355" s="8" t="n"/>
      <c r="L1355" s="9" t="n"/>
      <c r="M1355" s="10" t="inlineStr">
        <is>
          <t>2022年4月に共学化</t>
        </is>
      </c>
      <c r="N1355" s="11" t="inlineStr">
        <is>
          <t>https://www.okuchimeiko.ac.jp/inquiry/index.html</t>
        </is>
      </c>
      <c r="O1355" s="12" t="inlineStr">
        <is>
          <t>開く</t>
        </is>
      </c>
    </row>
    <row r="1356">
      <c r="A1356" s="4" t="n">
        <v>1352</v>
      </c>
      <c r="B1356" s="5" t="inlineStr">
        <is>
          <t>鹿児島県</t>
        </is>
      </c>
      <c r="C1356" s="5" t="inlineStr">
        <is>
          <t>日置市</t>
        </is>
      </c>
      <c r="D1356" s="5" t="inlineStr">
        <is>
          <t>鹿児島育英館高等学校</t>
        </is>
      </c>
      <c r="E1356" s="6" t="inlineStr">
        <is>
          <t>099-273-1407</t>
        </is>
      </c>
      <c r="F1356" s="7" t="inlineStr">
        <is>
          <t>高</t>
        </is>
      </c>
      <c r="G1356" s="5" t="inlineStr">
        <is>
          <t>普通科</t>
        </is>
      </c>
      <c r="H1356" s="8" t="n"/>
      <c r="I1356" s="9" t="n"/>
      <c r="J1356" s="9" t="inlineStr">
        <is>
          <t>未架電</t>
        </is>
      </c>
      <c r="K1356" s="8" t="n"/>
      <c r="L1356" s="9" t="n"/>
      <c r="M1356" s="10" t="inlineStr">
        <is>
          <t>2027年度に「日章学園育英館高等学校」へ校名変更予定</t>
        </is>
      </c>
      <c r="N1356" s="11" t="inlineStr">
        <is>
          <t>https://ikueikan.ed.jp/contact/</t>
        </is>
      </c>
      <c r="O1356" s="12" t="inlineStr">
        <is>
          <t>開く</t>
        </is>
      </c>
    </row>
    <row r="1357">
      <c r="A1357" s="4" t="n">
        <v>1353</v>
      </c>
      <c r="B1357" s="5" t="inlineStr">
        <is>
          <t>鹿児島県</t>
        </is>
      </c>
      <c r="C1357" s="5" t="inlineStr">
        <is>
          <t>鹿児島市</t>
        </is>
      </c>
      <c r="D1357" s="5" t="inlineStr">
        <is>
          <t>鹿児島高等学校</t>
        </is>
      </c>
      <c r="E1357" s="6" t="inlineStr">
        <is>
          <t>099-255-3211</t>
        </is>
      </c>
      <c r="F1357" s="7" t="inlineStr">
        <is>
          <t>高</t>
        </is>
      </c>
      <c r="G1357" s="5" t="inlineStr">
        <is>
          <t>普通科・専門学科</t>
        </is>
      </c>
      <c r="H1357" s="8" t="n"/>
      <c r="I1357" s="9" t="n"/>
      <c r="J1357" s="9" t="inlineStr">
        <is>
          <t>未架電</t>
        </is>
      </c>
      <c r="K1357" s="8" t="n"/>
      <c r="L1357" s="9" t="n"/>
      <c r="M1357" s="10" t="n"/>
      <c r="N1357" s="11" t="inlineStr">
        <is>
          <t>https://www.kagoshima-h.ed.jp/about/</t>
        </is>
      </c>
      <c r="O1357" s="12" t="inlineStr">
        <is>
          <t>開く</t>
        </is>
      </c>
    </row>
    <row r="1358">
      <c r="A1358" s="4" t="n">
        <v>1354</v>
      </c>
      <c r="B1358" s="5" t="inlineStr">
        <is>
          <t>鹿児島県</t>
        </is>
      </c>
      <c r="C1358" s="5" t="inlineStr">
        <is>
          <t>鹿児島市</t>
        </is>
      </c>
      <c r="D1358" s="5" t="inlineStr">
        <is>
          <t>鹿児島修学館高等学校</t>
        </is>
      </c>
      <c r="E1358" s="6" t="inlineStr">
        <is>
          <t>099-258-2211</t>
        </is>
      </c>
      <c r="F1358" s="7" t="inlineStr">
        <is>
          <t>高</t>
        </is>
      </c>
      <c r="G1358" s="5" t="inlineStr">
        <is>
          <t>普通科</t>
        </is>
      </c>
      <c r="H1358" s="8" t="n"/>
      <c r="I1358" s="9" t="n"/>
      <c r="J1358" s="9" t="inlineStr">
        <is>
          <t>未架電</t>
        </is>
      </c>
      <c r="K1358" s="8" t="n"/>
      <c r="L1358" s="9" t="n"/>
      <c r="M1358" s="10" t="n"/>
      <c r="N1358" s="11" t="inlineStr">
        <is>
          <t>https://www.shugakukan.ed.jp/profile/</t>
        </is>
      </c>
      <c r="O1358" s="12" t="inlineStr">
        <is>
          <t>開く</t>
        </is>
      </c>
    </row>
    <row r="1359">
      <c r="A1359" s="4" t="n">
        <v>1355</v>
      </c>
      <c r="B1359" s="5" t="inlineStr">
        <is>
          <t>鹿児島県</t>
        </is>
      </c>
      <c r="C1359" s="5" t="inlineStr">
        <is>
          <t>鹿児島市</t>
        </is>
      </c>
      <c r="D1359" s="5" t="inlineStr">
        <is>
          <t>鹿児島実業高等学校</t>
        </is>
      </c>
      <c r="E1359" s="6" t="inlineStr">
        <is>
          <t>099-286-1313</t>
        </is>
      </c>
      <c r="F1359" s="7" t="inlineStr">
        <is>
          <t>高</t>
        </is>
      </c>
      <c r="G1359" s="5" t="inlineStr">
        <is>
          <t>普通科・専門学科・総合学科</t>
        </is>
      </c>
      <c r="H1359" s="8" t="n"/>
      <c r="I1359" s="9" t="n"/>
      <c r="J1359" s="9" t="inlineStr">
        <is>
          <t>未架電</t>
        </is>
      </c>
      <c r="K1359" s="8" t="n"/>
      <c r="L1359" s="9" t="n"/>
      <c r="M1359" s="10" t="inlineStr">
        <is>
          <t>通信制課程は099-286-1508</t>
        </is>
      </c>
      <c r="N1359" s="11" t="inlineStr">
        <is>
          <t>https://www.kajitsu.ac.jp/</t>
        </is>
      </c>
      <c r="O1359" s="12" t="inlineStr">
        <is>
          <t>開く</t>
        </is>
      </c>
    </row>
    <row r="1360">
      <c r="A1360" s="4" t="n">
        <v>1356</v>
      </c>
      <c r="B1360" s="5" t="inlineStr">
        <is>
          <t>鹿児島県</t>
        </is>
      </c>
      <c r="C1360" s="5" t="inlineStr">
        <is>
          <t>鹿児島市</t>
        </is>
      </c>
      <c r="D1360" s="5" t="inlineStr">
        <is>
          <t>鹿児島純心女子高等学校</t>
        </is>
      </c>
      <c r="E1360" s="6" t="inlineStr">
        <is>
          <t>099-254-4121</t>
        </is>
      </c>
      <c r="F1360" s="7" t="inlineStr">
        <is>
          <t>高</t>
        </is>
      </c>
      <c r="G1360" s="5" t="inlineStr">
        <is>
          <t>普通科</t>
        </is>
      </c>
      <c r="H1360" s="8" t="n"/>
      <c r="I1360" s="9" t="n"/>
      <c r="J1360" s="9" t="inlineStr">
        <is>
          <t>未架電</t>
        </is>
      </c>
      <c r="K1360" s="8" t="n"/>
      <c r="L1360" s="9" t="n"/>
      <c r="M1360" s="10" t="inlineStr">
        <is>
          <t>受付は平日9:00〜16:30</t>
        </is>
      </c>
      <c r="N1360" s="11" t="inlineStr">
        <is>
          <t>https://www.k-junshin.ed.jp/</t>
        </is>
      </c>
      <c r="O1360" s="12" t="inlineStr">
        <is>
          <t>開く</t>
        </is>
      </c>
    </row>
    <row r="1361">
      <c r="A1361" s="4" t="n">
        <v>1357</v>
      </c>
      <c r="B1361" s="5" t="inlineStr">
        <is>
          <t>鹿児島県</t>
        </is>
      </c>
      <c r="C1361" s="5" t="inlineStr">
        <is>
          <t>日置市</t>
        </is>
      </c>
      <c r="D1361" s="5" t="inlineStr">
        <is>
          <t>鹿児島城西高等学校</t>
        </is>
      </c>
      <c r="E1361" s="6" t="inlineStr">
        <is>
          <t>099-273-1234</t>
        </is>
      </c>
      <c r="F1361" s="7" t="inlineStr">
        <is>
          <t>高</t>
        </is>
      </c>
      <c r="G1361" s="5" t="inlineStr">
        <is>
          <t>普通科・専門学科</t>
        </is>
      </c>
      <c r="H1361" s="8" t="n"/>
      <c r="I1361" s="9" t="n"/>
      <c r="J1361" s="9" t="inlineStr">
        <is>
          <t>未架電</t>
        </is>
      </c>
      <c r="K1361" s="8" t="n"/>
      <c r="L1361" s="9" t="n"/>
      <c r="M1361" s="10" t="n"/>
      <c r="N1361" s="11" t="inlineStr">
        <is>
          <t>https://kjh.ed.jp/introduction</t>
        </is>
      </c>
      <c r="O1361" s="12" t="inlineStr">
        <is>
          <t>開く</t>
        </is>
      </c>
    </row>
    <row r="1362">
      <c r="A1362" s="4" t="n">
        <v>1358</v>
      </c>
      <c r="B1362" s="5" t="inlineStr">
        <is>
          <t>鹿児島県</t>
        </is>
      </c>
      <c r="C1362" s="5" t="inlineStr">
        <is>
          <t>鹿児島市</t>
        </is>
      </c>
      <c r="D1362" s="5" t="inlineStr">
        <is>
          <t>鹿児島情報高等学校</t>
        </is>
      </c>
      <c r="E1362" s="6" t="inlineStr">
        <is>
          <t>099-268-3101</t>
        </is>
      </c>
      <c r="F1362" s="7" t="inlineStr">
        <is>
          <t>高</t>
        </is>
      </c>
      <c r="G1362" s="5" t="inlineStr">
        <is>
          <t>普通科・専門学科</t>
        </is>
      </c>
      <c r="H1362" s="8" t="n"/>
      <c r="I1362" s="9" t="n"/>
      <c r="J1362" s="9" t="inlineStr">
        <is>
          <t>未架電</t>
        </is>
      </c>
      <c r="K1362" s="8" t="n"/>
      <c r="L1362" s="9" t="n"/>
      <c r="M1362" s="10" t="n"/>
      <c r="N1362" s="11" t="inlineStr">
        <is>
          <t>https://ka-joho.jp/contactus/</t>
        </is>
      </c>
      <c r="O1362" s="12" t="inlineStr">
        <is>
          <t>開く</t>
        </is>
      </c>
    </row>
    <row r="1363">
      <c r="A1363" s="4" t="n">
        <v>1359</v>
      </c>
      <c r="B1363" s="5" t="inlineStr">
        <is>
          <t>鹿児島県</t>
        </is>
      </c>
      <c r="C1363" s="5" t="inlineStr">
        <is>
          <t>霧島市</t>
        </is>
      </c>
      <c r="D1363" s="5" t="inlineStr">
        <is>
          <t>鹿児島第一高等学校</t>
        </is>
      </c>
      <c r="E1363" s="6" t="inlineStr">
        <is>
          <t>0995-46-4608</t>
        </is>
      </c>
      <c r="F1363" s="7" t="inlineStr">
        <is>
          <t>高</t>
        </is>
      </c>
      <c r="G1363" s="5" t="inlineStr">
        <is>
          <t>普通科</t>
        </is>
      </c>
      <c r="H1363" s="8" t="n"/>
      <c r="I1363" s="9" t="n"/>
      <c r="J1363" s="9" t="inlineStr">
        <is>
          <t>未架電</t>
        </is>
      </c>
      <c r="K1363" s="8" t="n"/>
      <c r="L1363" s="9" t="n"/>
      <c r="M1363" s="10" t="inlineStr">
        <is>
          <t>フリーダイヤル0120-56-4608</t>
        </is>
      </c>
      <c r="N1363" s="11" t="inlineStr">
        <is>
          <t>https://h-kd.tsuzuki-edu.ac.jp/access/</t>
        </is>
      </c>
      <c r="O1363" s="12" t="inlineStr">
        <is>
          <t>開く</t>
        </is>
      </c>
    </row>
    <row r="1364">
      <c r="A1364" s="4" t="n">
        <v>1360</v>
      </c>
      <c r="B1364" s="5" t="inlineStr">
        <is>
          <t>鹿児島県</t>
        </is>
      </c>
      <c r="C1364" s="5" t="inlineStr">
        <is>
          <t>鹿屋市</t>
        </is>
      </c>
      <c r="D1364" s="5" t="inlineStr">
        <is>
          <t>鹿屋中央高等学校</t>
        </is>
      </c>
      <c r="E1364" s="6" t="inlineStr">
        <is>
          <t>0994-43-3310</t>
        </is>
      </c>
      <c r="F1364" s="7" t="inlineStr">
        <is>
          <t>高</t>
        </is>
      </c>
      <c r="G1364" s="5" t="inlineStr">
        <is>
          <t>専門学科</t>
        </is>
      </c>
      <c r="H1364" s="8" t="n"/>
      <c r="I1364" s="9" t="n"/>
      <c r="J1364" s="9" t="inlineStr">
        <is>
          <t>未架電</t>
        </is>
      </c>
      <c r="K1364" s="8" t="n"/>
      <c r="L1364" s="9" t="n"/>
      <c r="M1364" s="10" t="inlineStr">
        <is>
          <t>鹿屋市サイトとも一致</t>
        </is>
      </c>
      <c r="N1364" s="11" t="inlineStr">
        <is>
          <t>https://www.kanoya-chuo.ed.jp/</t>
        </is>
      </c>
      <c r="O1364" s="12" t="inlineStr">
        <is>
          <t>開く</t>
        </is>
      </c>
    </row>
    <row r="1365">
      <c r="A1365" s="4" t="n">
        <v>1361</v>
      </c>
      <c r="B1365" s="5" t="inlineStr">
        <is>
          <t>鹿児島県</t>
        </is>
      </c>
      <c r="C1365" s="5" t="inlineStr">
        <is>
          <t>いちき串木野市</t>
        </is>
      </c>
      <c r="D1365" s="5" t="inlineStr">
        <is>
          <t>神村学園高等部</t>
        </is>
      </c>
      <c r="E1365" s="6" t="inlineStr">
        <is>
          <t>0996-32-3232</t>
        </is>
      </c>
      <c r="F1365" s="7" t="inlineStr">
        <is>
          <t>高</t>
        </is>
      </c>
      <c r="G1365" s="5" t="inlineStr">
        <is>
          <t>普通科・専門学科</t>
        </is>
      </c>
      <c r="H1365" s="8" t="n"/>
      <c r="I1365" s="9" t="n"/>
      <c r="J1365" s="9" t="inlineStr">
        <is>
          <t>未架電</t>
        </is>
      </c>
      <c r="K1365" s="8" t="n"/>
      <c r="L1365" s="9" t="n"/>
      <c r="M1365" s="10" t="inlineStr">
        <is>
          <t>いちき串木野市サイトとも一致</t>
        </is>
      </c>
      <c r="N1365" s="11" t="inlineStr">
        <is>
          <t>https://angel.kamimura.ac.jp/access/</t>
        </is>
      </c>
      <c r="O1365" s="12" t="inlineStr">
        <is>
          <t>開く</t>
        </is>
      </c>
    </row>
    <row r="1366">
      <c r="A1366" s="4" t="n">
        <v>1362</v>
      </c>
      <c r="B1366" s="5" t="inlineStr">
        <is>
          <t>鹿児島県</t>
        </is>
      </c>
      <c r="C1366" s="5" t="inlineStr">
        <is>
          <t>鹿児島市</t>
        </is>
      </c>
      <c r="D1366" s="5" t="inlineStr">
        <is>
          <t>志學館高等部</t>
        </is>
      </c>
      <c r="E1366" s="6" t="inlineStr">
        <is>
          <t>099-252-1038</t>
        </is>
      </c>
      <c r="F1366" s="7" t="inlineStr">
        <is>
          <t>高</t>
        </is>
      </c>
      <c r="G1366" s="5" t="inlineStr">
        <is>
          <t>普通科</t>
        </is>
      </c>
      <c r="H1366" s="8" t="n"/>
      <c r="I1366" s="9" t="n"/>
      <c r="J1366" s="9" t="inlineStr">
        <is>
          <t>未架電</t>
        </is>
      </c>
      <c r="K1366" s="8" t="n"/>
      <c r="L1366" s="9" t="n"/>
      <c r="M1366" s="10" t="inlineStr">
        <is>
          <t>中等部と共通番号</t>
        </is>
      </c>
      <c r="N1366" s="11" t="inlineStr">
        <is>
          <t>https://www.jh.shigakukan.ac.jp/</t>
        </is>
      </c>
      <c r="O1366" s="12" t="inlineStr">
        <is>
          <t>開く</t>
        </is>
      </c>
    </row>
    <row r="1367">
      <c r="A1367" s="4" t="n">
        <v>1363</v>
      </c>
      <c r="B1367" s="5" t="inlineStr">
        <is>
          <t>鹿児島県</t>
        </is>
      </c>
      <c r="C1367" s="5" t="inlineStr">
        <is>
          <t>志布志市</t>
        </is>
      </c>
      <c r="D1367" s="5" t="inlineStr">
        <is>
          <t>尚志館高等学校</t>
        </is>
      </c>
      <c r="E1367" s="6" t="inlineStr">
        <is>
          <t>099-472-1318</t>
        </is>
      </c>
      <c r="F1367" s="7" t="inlineStr">
        <is>
          <t>高</t>
        </is>
      </c>
      <c r="G1367" s="5" t="inlineStr">
        <is>
          <t>普通科・専門学科</t>
        </is>
      </c>
      <c r="H1367" s="8" t="n"/>
      <c r="I1367" s="9" t="n"/>
      <c r="J1367" s="9" t="inlineStr">
        <is>
          <t>未架電</t>
        </is>
      </c>
      <c r="K1367" s="8" t="n"/>
      <c r="L1367" s="9" t="n"/>
      <c r="M1367" s="10" t="n"/>
      <c r="N1367" s="11" t="inlineStr">
        <is>
          <t>https://www.shoshikan.ed.jp/</t>
        </is>
      </c>
      <c r="O1367" s="12" t="inlineStr">
        <is>
          <t>開く</t>
        </is>
      </c>
    </row>
    <row r="1368">
      <c r="A1368" s="4" t="n">
        <v>1364</v>
      </c>
      <c r="B1368" s="5" t="inlineStr">
        <is>
          <t>鹿児島県</t>
        </is>
      </c>
      <c r="C1368" s="5" t="inlineStr">
        <is>
          <t>鹿児島市</t>
        </is>
      </c>
      <c r="D1368" s="5" t="inlineStr">
        <is>
          <t>樟南高等学校</t>
        </is>
      </c>
      <c r="E1368" s="6" t="inlineStr">
        <is>
          <t>099-281-2900</t>
        </is>
      </c>
      <c r="F1368" s="7" t="inlineStr">
        <is>
          <t>高</t>
        </is>
      </c>
      <c r="G1368" s="5" t="inlineStr">
        <is>
          <t>普通科・専門学科</t>
        </is>
      </c>
      <c r="H1368" s="8" t="n"/>
      <c r="I1368" s="9" t="n"/>
      <c r="J1368" s="9" t="inlineStr">
        <is>
          <t>未架電</t>
        </is>
      </c>
      <c r="K1368" s="8" t="n"/>
      <c r="L1368" s="9" t="n"/>
      <c r="M1368" s="10" t="inlineStr">
        <is>
          <t>学園本部は099-281-3611</t>
        </is>
      </c>
      <c r="N1368" s="11" t="inlineStr">
        <is>
          <t>https://www.shonan-h.ac.jp/</t>
        </is>
      </c>
      <c r="O1368" s="12" t="inlineStr">
        <is>
          <t>開く</t>
        </is>
      </c>
    </row>
    <row r="1369">
      <c r="A1369" s="4" t="n">
        <v>1365</v>
      </c>
      <c r="B1369" s="5" t="inlineStr">
        <is>
          <t>鹿児島県</t>
        </is>
      </c>
      <c r="C1369" s="5" t="inlineStr">
        <is>
          <t>天城町</t>
        </is>
      </c>
      <c r="D1369" s="5" t="inlineStr">
        <is>
          <t>樟南第二高等学校</t>
        </is>
      </c>
      <c r="E1369" s="6" t="inlineStr">
        <is>
          <t>0997-85-2511</t>
        </is>
      </c>
      <c r="F1369" s="7" t="inlineStr">
        <is>
          <t>高</t>
        </is>
      </c>
      <c r="G1369" s="5" t="inlineStr">
        <is>
          <t>普通科・専門学科</t>
        </is>
      </c>
      <c r="H1369" s="8" t="n"/>
      <c r="I1369" s="9" t="n"/>
      <c r="J1369" s="9" t="inlineStr">
        <is>
          <t>未架電</t>
        </is>
      </c>
      <c r="K1369" s="8" t="n"/>
      <c r="L1369" s="9" t="n"/>
      <c r="M1369" s="10" t="n"/>
      <c r="N1369" s="11" t="inlineStr">
        <is>
          <t>https://www.shonandaini.jp/</t>
        </is>
      </c>
      <c r="O1369" s="12" t="inlineStr">
        <is>
          <t>開く</t>
        </is>
      </c>
    </row>
    <row r="1370">
      <c r="A1370" s="4" t="n">
        <v>1366</v>
      </c>
      <c r="B1370" s="5" t="inlineStr">
        <is>
          <t>鹿児島県</t>
        </is>
      </c>
      <c r="C1370" s="5" t="inlineStr">
        <is>
          <t>南さつま市</t>
        </is>
      </c>
      <c r="D1370" s="5" t="inlineStr">
        <is>
          <t>鳳凰高等学校</t>
        </is>
      </c>
      <c r="E1370" s="6" t="inlineStr">
        <is>
          <t>0993-53-3633</t>
        </is>
      </c>
      <c r="F1370" s="7" t="inlineStr">
        <is>
          <t>高</t>
        </is>
      </c>
      <c r="G1370" s="5" t="inlineStr">
        <is>
          <t>普通科・専門学科</t>
        </is>
      </c>
      <c r="H1370" s="8" t="n"/>
      <c r="I1370" s="9" t="n"/>
      <c r="J1370" s="9" t="inlineStr">
        <is>
          <t>未架電</t>
        </is>
      </c>
      <c r="K1370" s="8" t="n"/>
      <c r="L1370" s="9" t="n"/>
      <c r="M1370" s="10" t="n"/>
      <c r="N1370" s="11" t="inlineStr">
        <is>
          <t>https://hooh.ed.jp/info/introduction/outline/</t>
        </is>
      </c>
      <c r="O1370" s="12" t="inlineStr">
        <is>
          <t>開く</t>
        </is>
      </c>
    </row>
    <row r="1371">
      <c r="A1371" s="4" t="n">
        <v>1367</v>
      </c>
      <c r="B1371" s="5" t="inlineStr">
        <is>
          <t>鹿児島県</t>
        </is>
      </c>
      <c r="C1371" s="5" t="inlineStr">
        <is>
          <t>屋久島町</t>
        </is>
      </c>
      <c r="D1371" s="5" t="inlineStr">
        <is>
          <t>屋久島おおぞら高等学校</t>
        </is>
      </c>
      <c r="E1371" s="6" t="inlineStr">
        <is>
          <t>0997-47-3300</t>
        </is>
      </c>
      <c r="F1371" s="13" t="inlineStr">
        <is>
          <t>中</t>
        </is>
      </c>
      <c r="G1371" s="5" t="inlineStr">
        <is>
          <t>普通科</t>
        </is>
      </c>
      <c r="H1371" s="8" t="n"/>
      <c r="I1371" s="9" t="n"/>
      <c r="J1371" s="9" t="inlineStr">
        <is>
          <t>未架電</t>
        </is>
      </c>
      <c r="K1371" s="8" t="n"/>
      <c r="L1371" s="9" t="n"/>
      <c r="M1371" s="10" t="inlineStr">
        <is>
          <t>通信制・屋久島町の本校。公式未確認、私学協会等で一致。全体問合せは0120-43-8940</t>
        </is>
      </c>
      <c r="N1371" s="11" t="inlineStr">
        <is>
          <t>http://kagoshima-shigaku.com/school/id19.html</t>
        </is>
      </c>
      <c r="O1371" s="12" t="inlineStr">
        <is>
          <t>開く</t>
        </is>
      </c>
    </row>
    <row r="1372">
      <c r="A1372" s="4" t="n">
        <v>1368</v>
      </c>
      <c r="B1372" s="5" t="inlineStr">
        <is>
          <t>鹿児島県</t>
        </is>
      </c>
      <c r="C1372" s="5" t="inlineStr">
        <is>
          <t>鹿児島市</t>
        </is>
      </c>
      <c r="D1372" s="5" t="inlineStr">
        <is>
          <t>ラ・サール高等学校</t>
        </is>
      </c>
      <c r="E1372" s="6" t="inlineStr">
        <is>
          <t>099-268-3121</t>
        </is>
      </c>
      <c r="F1372" s="7" t="inlineStr">
        <is>
          <t>高</t>
        </is>
      </c>
      <c r="G1372" s="5" t="inlineStr">
        <is>
          <t>普通科</t>
        </is>
      </c>
      <c r="H1372" s="8" t="n"/>
      <c r="I1372" s="9" t="n"/>
      <c r="J1372" s="9" t="inlineStr">
        <is>
          <t>未架電</t>
        </is>
      </c>
      <c r="K1372" s="8" t="n"/>
      <c r="L1372" s="9" t="n"/>
      <c r="M1372" s="10" t="inlineStr">
        <is>
          <t>学園代表番号</t>
        </is>
      </c>
      <c r="N1372" s="11" t="inlineStr">
        <is>
          <t>https://www.lasalle.ed.jp/about/access/</t>
        </is>
      </c>
      <c r="O1372" s="12" t="inlineStr">
        <is>
          <t>開く</t>
        </is>
      </c>
    </row>
    <row r="1373">
      <c r="A1373" s="4" t="n">
        <v>1369</v>
      </c>
      <c r="B1373" s="5" t="inlineStr">
        <is>
          <t>鹿児島県</t>
        </is>
      </c>
      <c r="C1373" s="5" t="inlineStr">
        <is>
          <t>姶良市</t>
        </is>
      </c>
      <c r="D1373" s="5" t="inlineStr">
        <is>
          <t>龍桜高等学校</t>
        </is>
      </c>
      <c r="E1373" s="6" t="inlineStr">
        <is>
          <t>0995-63-3001</t>
        </is>
      </c>
      <c r="F1373" s="7" t="inlineStr">
        <is>
          <t>高</t>
        </is>
      </c>
      <c r="G1373" s="5" t="inlineStr">
        <is>
          <t>専門学科</t>
        </is>
      </c>
      <c r="H1373" s="8" t="n"/>
      <c r="I1373" s="9" t="n"/>
      <c r="J1373" s="9" t="inlineStr">
        <is>
          <t>未架電</t>
        </is>
      </c>
      <c r="K1373" s="8" t="n"/>
      <c r="L1373" s="9" t="n"/>
      <c r="M1373" s="10" t="inlineStr">
        <is>
          <t>姶良市サイトとも一致</t>
        </is>
      </c>
      <c r="N1373" s="11" t="inlineStr">
        <is>
          <t>https://gh-kagoshima.ac.jp/otoi.html</t>
        </is>
      </c>
      <c r="O1373" s="12" t="inlineStr">
        <is>
          <t>開く</t>
        </is>
      </c>
    </row>
    <row r="1374">
      <c r="A1374" s="4" t="n">
        <v>1370</v>
      </c>
      <c r="B1374" s="5" t="inlineStr">
        <is>
          <t>鹿児島県</t>
        </is>
      </c>
      <c r="C1374" s="5" t="inlineStr">
        <is>
          <t>薩摩川内市</t>
        </is>
      </c>
      <c r="D1374" s="5" t="inlineStr">
        <is>
          <t>れいめい高等学校</t>
        </is>
      </c>
      <c r="E1374" s="6" t="inlineStr">
        <is>
          <t>0996-23-3178</t>
        </is>
      </c>
      <c r="F1374" s="7" t="inlineStr">
        <is>
          <t>高</t>
        </is>
      </c>
      <c r="G1374" s="5" t="inlineStr">
        <is>
          <t>普通科・専門学科</t>
        </is>
      </c>
      <c r="H1374" s="8" t="n"/>
      <c r="I1374" s="9" t="n"/>
      <c r="J1374" s="9" t="inlineStr">
        <is>
          <t>未架電</t>
        </is>
      </c>
      <c r="K1374" s="8" t="n"/>
      <c r="L1374" s="9" t="n"/>
      <c r="M1374" s="10" t="inlineStr">
        <is>
          <t>0996-23-5111は学校法人の番号</t>
        </is>
      </c>
      <c r="N1374" s="11" t="inlineStr">
        <is>
          <t>https://reimei.ed.jp/</t>
        </is>
      </c>
      <c r="O1374" s="12" t="inlineStr">
        <is>
          <t>開く</t>
        </is>
      </c>
    </row>
    <row r="1375">
      <c r="A1375" s="4" t="n">
        <v>1371</v>
      </c>
      <c r="B1375" s="5" t="inlineStr">
        <is>
          <t>沖縄県</t>
        </is>
      </c>
      <c r="C1375" s="5" t="inlineStr">
        <is>
          <t>名護市</t>
        </is>
      </c>
      <c r="D1375" s="5" t="inlineStr">
        <is>
          <t>エナジックスポーツ高等学院</t>
        </is>
      </c>
      <c r="E1375" s="6" t="inlineStr">
        <is>
          <t>0980-45-9022</t>
        </is>
      </c>
      <c r="F1375" s="7" t="inlineStr">
        <is>
          <t>高</t>
        </is>
      </c>
      <c r="G1375" s="5" t="inlineStr">
        <is>
          <t>普通科</t>
        </is>
      </c>
      <c r="H1375" s="8" t="n"/>
      <c r="I1375" s="9" t="n"/>
      <c r="J1375" s="9" t="inlineStr">
        <is>
          <t>未架電</t>
        </is>
      </c>
      <c r="K1375" s="8" t="n"/>
      <c r="L1375" s="9" t="n"/>
      <c r="M1375" s="10" t="inlineStr">
        <is>
          <t>名護本校。資料請求用フリーダイヤル0120-115-813</t>
        </is>
      </c>
      <c r="N1375" s="11" t="inlineStr">
        <is>
          <t>https://www.oshiro.ed.jp/enagicsports-hs/access/</t>
        </is>
      </c>
      <c r="O1375" s="12" t="inlineStr">
        <is>
          <t>開く</t>
        </is>
      </c>
    </row>
    <row r="1376">
      <c r="A1376" s="4" t="n">
        <v>1372</v>
      </c>
      <c r="B1376" s="5" t="inlineStr">
        <is>
          <t>沖縄県</t>
        </is>
      </c>
      <c r="C1376" s="5" t="inlineStr">
        <is>
          <t>うるま市</t>
        </is>
      </c>
      <c r="D1376" s="5" t="inlineStr">
        <is>
          <t>Ｎ高等学校</t>
        </is>
      </c>
      <c r="E1376" s="6" t="inlineStr">
        <is>
          <t>098-983-1677</t>
        </is>
      </c>
      <c r="F1376" s="13" t="inlineStr">
        <is>
          <t>中</t>
        </is>
      </c>
      <c r="G1376" s="5" t="inlineStr">
        <is>
          <t>普通科</t>
        </is>
      </c>
      <c r="H1376" s="8" t="n"/>
      <c r="I1376" s="9" t="n"/>
      <c r="J1376" s="9" t="inlineStr">
        <is>
          <t>未架電</t>
        </is>
      </c>
      <c r="K1376" s="8" t="n"/>
      <c r="L1376" s="9" t="n"/>
      <c r="M1376" s="10" t="inlineStr">
        <is>
          <t>通信制・うるま市の沖縄伊計本校。文科省資料・電話帳サイトで一致。公式の案内はフリーダイヤル0120-0252-15</t>
        </is>
      </c>
      <c r="N1376" s="11" t="inlineStr">
        <is>
          <t>https://www.mext.go.jp/content/20220218-mxt_koukou02-000020723_13.pdf</t>
        </is>
      </c>
      <c r="O1376" s="12" t="inlineStr">
        <is>
          <t>開く</t>
        </is>
      </c>
    </row>
    <row r="1377">
      <c r="A1377" s="4" t="n">
        <v>1373</v>
      </c>
      <c r="B1377" s="5" t="inlineStr">
        <is>
          <t>沖縄県</t>
        </is>
      </c>
      <c r="C1377" s="5" t="inlineStr">
        <is>
          <t>宜野湾市</t>
        </is>
      </c>
      <c r="D1377" s="5" t="inlineStr">
        <is>
          <t>沖縄カトリック高等学校</t>
        </is>
      </c>
      <c r="E1377" s="6" t="inlineStr">
        <is>
          <t>098-897-3300</t>
        </is>
      </c>
      <c r="F1377" s="7" t="inlineStr">
        <is>
          <t>高</t>
        </is>
      </c>
      <c r="G1377" s="5" t="inlineStr">
        <is>
          <t>普通科</t>
        </is>
      </c>
      <c r="H1377" s="8" t="n"/>
      <c r="I1377" s="9" t="n"/>
      <c r="J1377" s="9" t="inlineStr">
        <is>
          <t>未架電</t>
        </is>
      </c>
      <c r="K1377" s="8" t="n"/>
      <c r="L1377" s="9" t="n"/>
      <c r="M1377" s="10" t="inlineStr">
        <is>
          <t>沖縄県サイトとも一致。学校法人は098-897-3393</t>
        </is>
      </c>
      <c r="N1377" s="11" t="inlineStr">
        <is>
          <t>https://www.catholic-okinawa.ed.jp/junior-and-senior-highschool/entrance-exam/</t>
        </is>
      </c>
      <c r="O1377" s="12" t="inlineStr">
        <is>
          <t>開く</t>
        </is>
      </c>
    </row>
    <row r="1378">
      <c r="A1378" s="4" t="n">
        <v>1374</v>
      </c>
      <c r="B1378" s="5" t="inlineStr">
        <is>
          <t>沖縄県</t>
        </is>
      </c>
      <c r="C1378" s="5" t="inlineStr">
        <is>
          <t>那覇市</t>
        </is>
      </c>
      <c r="D1378" s="5" t="inlineStr">
        <is>
          <t>沖縄尚学高等学校</t>
        </is>
      </c>
      <c r="E1378" s="6" t="inlineStr">
        <is>
          <t>098-832-1767</t>
        </is>
      </c>
      <c r="F1378" s="7" t="inlineStr">
        <is>
          <t>高</t>
        </is>
      </c>
      <c r="G1378" s="5" t="inlineStr">
        <is>
          <t>普通科</t>
        </is>
      </c>
      <c r="H1378" s="8" t="n"/>
      <c r="I1378" s="9" t="n"/>
      <c r="J1378" s="9" t="inlineStr">
        <is>
          <t>未架電</t>
        </is>
      </c>
      <c r="K1378" s="8" t="n"/>
      <c r="L1378" s="9" t="n"/>
      <c r="M1378" s="10" t="inlineStr">
        <is>
          <t>沖縄県公式サイトで確認</t>
        </is>
      </c>
      <c r="N1378" s="11" t="inlineStr">
        <is>
          <t>https://www.pref.okinawa.lg.jp/kyoiku/gakko/1008900/1018622/1009323/1009331.html</t>
        </is>
      </c>
      <c r="O1378" s="12" t="inlineStr">
        <is>
          <t>開く</t>
        </is>
      </c>
    </row>
    <row r="1379">
      <c r="A1379" s="4" t="n">
        <v>1375</v>
      </c>
      <c r="B1379" s="5" t="inlineStr">
        <is>
          <t>沖縄県</t>
        </is>
      </c>
      <c r="C1379" s="5" t="inlineStr">
        <is>
          <t>那覇市</t>
        </is>
      </c>
      <c r="D1379" s="5" t="inlineStr">
        <is>
          <t>興南高等学校</t>
        </is>
      </c>
      <c r="E1379" s="6" t="inlineStr">
        <is>
          <t>098-884-3293</t>
        </is>
      </c>
      <c r="F1379" s="7" t="inlineStr">
        <is>
          <t>高</t>
        </is>
      </c>
      <c r="G1379" s="5" t="inlineStr">
        <is>
          <t>普通科</t>
        </is>
      </c>
      <c r="H1379" s="8" t="n"/>
      <c r="I1379" s="9" t="n"/>
      <c r="J1379" s="9" t="inlineStr">
        <is>
          <t>未架電</t>
        </is>
      </c>
      <c r="K1379" s="8" t="n"/>
      <c r="L1379" s="9" t="n"/>
      <c r="M1379" s="10" t="inlineStr">
        <is>
          <t>沖縄県サイトとも一致。一部サイトの098-884-3292は不一致</t>
        </is>
      </c>
      <c r="N1379" s="11" t="inlineStr">
        <is>
          <t>https://konan-h.ed.jp/</t>
        </is>
      </c>
      <c r="O1379" s="12" t="inlineStr">
        <is>
          <t>開く</t>
        </is>
      </c>
    </row>
    <row r="1380">
      <c r="A1380" s="4" t="n">
        <v>1376</v>
      </c>
      <c r="B1380" s="5" t="inlineStr">
        <is>
          <t>沖縄県</t>
        </is>
      </c>
      <c r="C1380" s="5" t="inlineStr">
        <is>
          <t>浦添市</t>
        </is>
      </c>
      <c r="D1380" s="5" t="inlineStr">
        <is>
          <t>昭和薬科大学附属高等学校</t>
        </is>
      </c>
      <c r="E1380" s="6" t="inlineStr">
        <is>
          <t>098-870-1852</t>
        </is>
      </c>
      <c r="F1380" s="7" t="inlineStr">
        <is>
          <t>高</t>
        </is>
      </c>
      <c r="G1380" s="5" t="inlineStr">
        <is>
          <t>普通科</t>
        </is>
      </c>
      <c r="H1380" s="8" t="n"/>
      <c r="I1380" s="9" t="n"/>
      <c r="J1380" s="9" t="inlineStr">
        <is>
          <t>未架電</t>
        </is>
      </c>
      <c r="K1380" s="8" t="n"/>
      <c r="L1380" s="9" t="n"/>
      <c r="M1380" s="10" t="inlineStr">
        <is>
          <t>沖縄県サイトとも一致</t>
        </is>
      </c>
      <c r="N1380" s="11" t="inlineStr">
        <is>
          <t>https://www.showayakka-jh.ed.jp/about/disclosure/access/</t>
        </is>
      </c>
      <c r="O1380" s="12" t="inlineStr">
        <is>
          <t>開く</t>
        </is>
      </c>
    </row>
    <row r="1381">
      <c r="A1381" s="4" t="n">
        <v>1377</v>
      </c>
      <c r="B1381" s="5" t="inlineStr">
        <is>
          <t>沖縄県</t>
        </is>
      </c>
      <c r="C1381" s="5" t="inlineStr">
        <is>
          <t>沖縄市</t>
        </is>
      </c>
      <c r="D1381" s="5" t="inlineStr">
        <is>
          <t>仙台育英学園沖縄高等学校</t>
        </is>
      </c>
      <c r="E1381" s="6" t="inlineStr">
        <is>
          <t>098-930-4111</t>
        </is>
      </c>
      <c r="F1381" s="7" t="inlineStr">
        <is>
          <t>高</t>
        </is>
      </c>
      <c r="G1381" s="5" t="inlineStr">
        <is>
          <t>普通科</t>
        </is>
      </c>
      <c r="H1381" s="8" t="n"/>
      <c r="I1381" s="9" t="n"/>
      <c r="J1381" s="9" t="inlineStr">
        <is>
          <t>未架電</t>
        </is>
      </c>
      <c r="K1381" s="8" t="n"/>
      <c r="L1381" s="9" t="n"/>
      <c r="M1381" s="10" t="inlineStr">
        <is>
          <t>098-923-2286を掲載するサイトあり（旧番号の可能性）</t>
        </is>
      </c>
      <c r="N1381" s="11" t="inlineStr">
        <is>
          <t>https://www.sendaiikuei.ed.jp/okinawa/intro/access/</t>
        </is>
      </c>
      <c r="O1381" s="12" t="inlineStr">
        <is>
          <t>開く</t>
        </is>
      </c>
    </row>
    <row r="1382">
      <c r="A1382" s="4" t="n">
        <v>1378</v>
      </c>
      <c r="B1382" s="5" t="inlineStr">
        <is>
          <t>沖縄県</t>
        </is>
      </c>
      <c r="C1382" s="5" t="inlineStr">
        <is>
          <t>本部町</t>
        </is>
      </c>
      <c r="D1382" s="5" t="inlineStr">
        <is>
          <t>八洲学園大学国際高等学校</t>
        </is>
      </c>
      <c r="E1382" s="6" t="inlineStr">
        <is>
          <t>0980-51-7711</t>
        </is>
      </c>
      <c r="F1382" s="7" t="inlineStr">
        <is>
          <t>高</t>
        </is>
      </c>
      <c r="G1382" s="5" t="inlineStr">
        <is>
          <t>普通科</t>
        </is>
      </c>
      <c r="H1382" s="8" t="n"/>
      <c r="I1382" s="9" t="n"/>
      <c r="J1382" s="9" t="inlineStr">
        <is>
          <t>未架電</t>
        </is>
      </c>
      <c r="K1382" s="8" t="n"/>
      <c r="L1382" s="9" t="n"/>
      <c r="M1382" s="10" t="inlineStr">
        <is>
          <t>通信制・本部町の本校。フリーコール0120-917-840</t>
        </is>
      </c>
      <c r="N1382" s="11" t="inlineStr">
        <is>
          <t>https://www.pref.okinawa.jp/kyoiku/gakko/1008900/1018622/1009323/1009383.html</t>
        </is>
      </c>
      <c r="O1382" s="12" t="inlineStr">
        <is>
          <t>開く</t>
        </is>
      </c>
    </row>
  </sheetData>
  <autoFilter ref="A4:O1382"/>
  <conditionalFormatting sqref="A5:O138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382" showDropDown="0" showInputMessage="0" showErrorMessage="0" allowBlank="1" type="list">
      <formula1>"未架電,不在・折返し待ち,担当者不在,資料送付,アポ獲得,検討中,NG,番号不明"</formula1>
    </dataValidation>
    <dataValidation sqref="H5:H1382 K5:K138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  <hyperlink xmlns:r="http://schemas.openxmlformats.org/officeDocument/2006/relationships" ref="O1300" r:id="rId1296"/>
    <hyperlink xmlns:r="http://schemas.openxmlformats.org/officeDocument/2006/relationships" ref="O1301" r:id="rId1297"/>
    <hyperlink xmlns:r="http://schemas.openxmlformats.org/officeDocument/2006/relationships" ref="O1302" r:id="rId1298"/>
    <hyperlink xmlns:r="http://schemas.openxmlformats.org/officeDocument/2006/relationships" ref="O1303" r:id="rId1299"/>
    <hyperlink xmlns:r="http://schemas.openxmlformats.org/officeDocument/2006/relationships" ref="O1304" r:id="rId1300"/>
    <hyperlink xmlns:r="http://schemas.openxmlformats.org/officeDocument/2006/relationships" ref="O1305" r:id="rId1301"/>
    <hyperlink xmlns:r="http://schemas.openxmlformats.org/officeDocument/2006/relationships" ref="O1306" r:id="rId1302"/>
    <hyperlink xmlns:r="http://schemas.openxmlformats.org/officeDocument/2006/relationships" ref="O1307" r:id="rId1303"/>
    <hyperlink xmlns:r="http://schemas.openxmlformats.org/officeDocument/2006/relationships" ref="O1308" r:id="rId1304"/>
    <hyperlink xmlns:r="http://schemas.openxmlformats.org/officeDocument/2006/relationships" ref="O1309" r:id="rId1305"/>
    <hyperlink xmlns:r="http://schemas.openxmlformats.org/officeDocument/2006/relationships" ref="O1310" r:id="rId1306"/>
    <hyperlink xmlns:r="http://schemas.openxmlformats.org/officeDocument/2006/relationships" ref="O1311" r:id="rId1307"/>
    <hyperlink xmlns:r="http://schemas.openxmlformats.org/officeDocument/2006/relationships" ref="O1312" r:id="rId1308"/>
    <hyperlink xmlns:r="http://schemas.openxmlformats.org/officeDocument/2006/relationships" ref="O1313" r:id="rId1309"/>
    <hyperlink xmlns:r="http://schemas.openxmlformats.org/officeDocument/2006/relationships" ref="O1314" r:id="rId1310"/>
    <hyperlink xmlns:r="http://schemas.openxmlformats.org/officeDocument/2006/relationships" ref="O1315" r:id="rId1311"/>
    <hyperlink xmlns:r="http://schemas.openxmlformats.org/officeDocument/2006/relationships" ref="O1316" r:id="rId1312"/>
    <hyperlink xmlns:r="http://schemas.openxmlformats.org/officeDocument/2006/relationships" ref="O1317" r:id="rId1313"/>
    <hyperlink xmlns:r="http://schemas.openxmlformats.org/officeDocument/2006/relationships" ref="O1318" r:id="rId1314"/>
    <hyperlink xmlns:r="http://schemas.openxmlformats.org/officeDocument/2006/relationships" ref="O1319" r:id="rId1315"/>
    <hyperlink xmlns:r="http://schemas.openxmlformats.org/officeDocument/2006/relationships" ref="O1320" r:id="rId1316"/>
    <hyperlink xmlns:r="http://schemas.openxmlformats.org/officeDocument/2006/relationships" ref="O1321" r:id="rId1317"/>
    <hyperlink xmlns:r="http://schemas.openxmlformats.org/officeDocument/2006/relationships" ref="O1322" r:id="rId1318"/>
    <hyperlink xmlns:r="http://schemas.openxmlformats.org/officeDocument/2006/relationships" ref="O1323" r:id="rId1319"/>
    <hyperlink xmlns:r="http://schemas.openxmlformats.org/officeDocument/2006/relationships" ref="O1324" r:id="rId1320"/>
    <hyperlink xmlns:r="http://schemas.openxmlformats.org/officeDocument/2006/relationships" ref="O1325" r:id="rId1321"/>
    <hyperlink xmlns:r="http://schemas.openxmlformats.org/officeDocument/2006/relationships" ref="O1326" r:id="rId1322"/>
    <hyperlink xmlns:r="http://schemas.openxmlformats.org/officeDocument/2006/relationships" ref="O1327" r:id="rId1323"/>
    <hyperlink xmlns:r="http://schemas.openxmlformats.org/officeDocument/2006/relationships" ref="O1328" r:id="rId1324"/>
    <hyperlink xmlns:r="http://schemas.openxmlformats.org/officeDocument/2006/relationships" ref="O1329" r:id="rId1325"/>
    <hyperlink xmlns:r="http://schemas.openxmlformats.org/officeDocument/2006/relationships" ref="O1330" r:id="rId1326"/>
    <hyperlink xmlns:r="http://schemas.openxmlformats.org/officeDocument/2006/relationships" ref="O1331" r:id="rId1327"/>
    <hyperlink xmlns:r="http://schemas.openxmlformats.org/officeDocument/2006/relationships" ref="O1332" r:id="rId1328"/>
    <hyperlink xmlns:r="http://schemas.openxmlformats.org/officeDocument/2006/relationships" ref="O1333" r:id="rId1329"/>
    <hyperlink xmlns:r="http://schemas.openxmlformats.org/officeDocument/2006/relationships" ref="O1334" r:id="rId1330"/>
    <hyperlink xmlns:r="http://schemas.openxmlformats.org/officeDocument/2006/relationships" ref="O1335" r:id="rId1331"/>
    <hyperlink xmlns:r="http://schemas.openxmlformats.org/officeDocument/2006/relationships" ref="O1336" r:id="rId1332"/>
    <hyperlink xmlns:r="http://schemas.openxmlformats.org/officeDocument/2006/relationships" ref="O1337" r:id="rId1333"/>
    <hyperlink xmlns:r="http://schemas.openxmlformats.org/officeDocument/2006/relationships" ref="O1338" r:id="rId1334"/>
    <hyperlink xmlns:r="http://schemas.openxmlformats.org/officeDocument/2006/relationships" ref="O1339" r:id="rId1335"/>
    <hyperlink xmlns:r="http://schemas.openxmlformats.org/officeDocument/2006/relationships" ref="O1340" r:id="rId1336"/>
    <hyperlink xmlns:r="http://schemas.openxmlformats.org/officeDocument/2006/relationships" ref="O1341" r:id="rId1337"/>
    <hyperlink xmlns:r="http://schemas.openxmlformats.org/officeDocument/2006/relationships" ref="O1342" r:id="rId1338"/>
    <hyperlink xmlns:r="http://schemas.openxmlformats.org/officeDocument/2006/relationships" ref="O1343" r:id="rId1339"/>
    <hyperlink xmlns:r="http://schemas.openxmlformats.org/officeDocument/2006/relationships" ref="O1344" r:id="rId1340"/>
    <hyperlink xmlns:r="http://schemas.openxmlformats.org/officeDocument/2006/relationships" ref="O1345" r:id="rId1341"/>
    <hyperlink xmlns:r="http://schemas.openxmlformats.org/officeDocument/2006/relationships" ref="O1346" r:id="rId1342"/>
    <hyperlink xmlns:r="http://schemas.openxmlformats.org/officeDocument/2006/relationships" ref="O1347" r:id="rId1343"/>
    <hyperlink xmlns:r="http://schemas.openxmlformats.org/officeDocument/2006/relationships" ref="O1348" r:id="rId1344"/>
    <hyperlink xmlns:r="http://schemas.openxmlformats.org/officeDocument/2006/relationships" ref="O1349" r:id="rId1345"/>
    <hyperlink xmlns:r="http://schemas.openxmlformats.org/officeDocument/2006/relationships" ref="O1350" r:id="rId1346"/>
    <hyperlink xmlns:r="http://schemas.openxmlformats.org/officeDocument/2006/relationships" ref="O1351" r:id="rId1347"/>
    <hyperlink xmlns:r="http://schemas.openxmlformats.org/officeDocument/2006/relationships" ref="O1352" r:id="rId1348"/>
    <hyperlink xmlns:r="http://schemas.openxmlformats.org/officeDocument/2006/relationships" ref="O1353" r:id="rId1349"/>
    <hyperlink xmlns:r="http://schemas.openxmlformats.org/officeDocument/2006/relationships" ref="O1354" r:id="rId1350"/>
    <hyperlink xmlns:r="http://schemas.openxmlformats.org/officeDocument/2006/relationships" ref="O1355" r:id="rId1351"/>
    <hyperlink xmlns:r="http://schemas.openxmlformats.org/officeDocument/2006/relationships" ref="O1356" r:id="rId1352"/>
    <hyperlink xmlns:r="http://schemas.openxmlformats.org/officeDocument/2006/relationships" ref="O1357" r:id="rId1353"/>
    <hyperlink xmlns:r="http://schemas.openxmlformats.org/officeDocument/2006/relationships" ref="O1358" r:id="rId1354"/>
    <hyperlink xmlns:r="http://schemas.openxmlformats.org/officeDocument/2006/relationships" ref="O1359" r:id="rId1355"/>
    <hyperlink xmlns:r="http://schemas.openxmlformats.org/officeDocument/2006/relationships" ref="O1360" r:id="rId1356"/>
    <hyperlink xmlns:r="http://schemas.openxmlformats.org/officeDocument/2006/relationships" ref="O1361" r:id="rId1357"/>
    <hyperlink xmlns:r="http://schemas.openxmlformats.org/officeDocument/2006/relationships" ref="O1362" r:id="rId1358"/>
    <hyperlink xmlns:r="http://schemas.openxmlformats.org/officeDocument/2006/relationships" ref="O1363" r:id="rId1359"/>
    <hyperlink xmlns:r="http://schemas.openxmlformats.org/officeDocument/2006/relationships" ref="O1364" r:id="rId1360"/>
    <hyperlink xmlns:r="http://schemas.openxmlformats.org/officeDocument/2006/relationships" ref="O1365" r:id="rId1361"/>
    <hyperlink xmlns:r="http://schemas.openxmlformats.org/officeDocument/2006/relationships" ref="O1366" r:id="rId1362"/>
    <hyperlink xmlns:r="http://schemas.openxmlformats.org/officeDocument/2006/relationships" ref="O1367" r:id="rId1363"/>
    <hyperlink xmlns:r="http://schemas.openxmlformats.org/officeDocument/2006/relationships" ref="O1368" r:id="rId1364"/>
    <hyperlink xmlns:r="http://schemas.openxmlformats.org/officeDocument/2006/relationships" ref="O1369" r:id="rId1365"/>
    <hyperlink xmlns:r="http://schemas.openxmlformats.org/officeDocument/2006/relationships" ref="O1370" r:id="rId1366"/>
    <hyperlink xmlns:r="http://schemas.openxmlformats.org/officeDocument/2006/relationships" ref="O1371" r:id="rId1367"/>
    <hyperlink xmlns:r="http://schemas.openxmlformats.org/officeDocument/2006/relationships" ref="O1372" r:id="rId1368"/>
    <hyperlink xmlns:r="http://schemas.openxmlformats.org/officeDocument/2006/relationships" ref="O1373" r:id="rId1369"/>
    <hyperlink xmlns:r="http://schemas.openxmlformats.org/officeDocument/2006/relationships" ref="O1374" r:id="rId1370"/>
    <hyperlink xmlns:r="http://schemas.openxmlformats.org/officeDocument/2006/relationships" ref="O1375" r:id="rId1371"/>
    <hyperlink xmlns:r="http://schemas.openxmlformats.org/officeDocument/2006/relationships" ref="O1376" r:id="rId1372"/>
    <hyperlink xmlns:r="http://schemas.openxmlformats.org/officeDocument/2006/relationships" ref="O1377" r:id="rId1373"/>
    <hyperlink xmlns:r="http://schemas.openxmlformats.org/officeDocument/2006/relationships" ref="O1378" r:id="rId1374"/>
    <hyperlink xmlns:r="http://schemas.openxmlformats.org/officeDocument/2006/relationships" ref="O1379" r:id="rId1375"/>
    <hyperlink xmlns:r="http://schemas.openxmlformats.org/officeDocument/2006/relationships" ref="O1380" r:id="rId1376"/>
    <hyperlink xmlns:r="http://schemas.openxmlformats.org/officeDocument/2006/relationships" ref="O1381" r:id="rId1377"/>
    <hyperlink xmlns:r="http://schemas.openxmlformats.org/officeDocument/2006/relationships" ref="O1382" r:id="rId137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W1383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8" customWidth="1" min="3" max="3"/>
    <col width="34" customWidth="1" min="4" max="4"/>
    <col width="15" customWidth="1" min="5" max="5"/>
    <col width="10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15" customWidth="1" min="13" max="13"/>
    <col width="8" customWidth="1" min="14" max="14"/>
    <col width="11" customWidth="1" min="15" max="15"/>
    <col width="13" customWidth="1" min="16" max="16"/>
    <col width="50" customWidth="1" min="17" max="17"/>
    <col width="30" customWidth="1" min="18" max="18"/>
    <col width="10" customWidth="1" min="19" max="19"/>
    <col width="7" customWidth="1" min="20" max="20"/>
    <col width="8" customWidth="1" min="21" max="21"/>
    <col width="40" customWidth="1" min="22" max="22"/>
    <col width="11" customWidth="1" min="23" max="23"/>
  </cols>
  <sheetData>
    <row r="2">
      <c r="B2" s="20" t="inlineStr">
        <is>
          <t>DXハイスクール テレアポ架電優先順位・運用ルール（私立高校 全国版）</t>
        </is>
      </c>
    </row>
    <row r="3">
      <c r="B3" s="2" t="inlineStr">
        <is>
          <t>私立高校 全国47都道府県／1378校。電話番号は2026年10月にWeb検索で調査（確度・補足はU〜V列）。☐の列はプルダウンで☑に切り替えてください。</t>
        </is>
      </c>
    </row>
    <row r="5" ht="20" customHeight="1">
      <c r="A5" s="21" t="inlineStr">
        <is>
          <t>都道府県名</t>
        </is>
      </c>
      <c r="B5" s="21" t="inlineStr">
        <is>
          <t>公私</t>
        </is>
      </c>
      <c r="C5" s="21" t="inlineStr">
        <is>
          <t>学校設置者名</t>
        </is>
      </c>
      <c r="D5" s="21" t="inlineStr">
        <is>
          <t>学校名</t>
        </is>
      </c>
      <c r="E5" s="21" t="inlineStr">
        <is>
          <t>電話番号</t>
        </is>
      </c>
      <c r="F5" s="21" t="inlineStr">
        <is>
          <t>新規継続</t>
        </is>
      </c>
      <c r="G5" s="21" t="inlineStr">
        <is>
          <t>学科</t>
        </is>
      </c>
      <c r="H5" s="22" t="inlineStr">
        <is>
          <t>資料送付</t>
        </is>
      </c>
      <c r="I5" s="22" t="inlineStr">
        <is>
          <t>商談希望</t>
        </is>
      </c>
      <c r="J5" s="22" t="inlineStr">
        <is>
          <t>ピック</t>
        </is>
      </c>
      <c r="K5" s="22" t="inlineStr">
        <is>
          <t>受注済</t>
        </is>
      </c>
      <c r="L5" s="22" t="inlineStr">
        <is>
          <t>提案NG</t>
        </is>
      </c>
      <c r="M5" s="21" t="inlineStr">
        <is>
          <t>偏差値帯</t>
        </is>
      </c>
      <c r="N5" s="21" t="inlineStr">
        <is>
          <t>架電回数</t>
        </is>
      </c>
      <c r="O5" s="21" t="inlineStr">
        <is>
          <t>テレアポ1：日付</t>
        </is>
      </c>
      <c r="P5" s="21" t="inlineStr">
        <is>
          <t>架電最新結果</t>
        </is>
      </c>
      <c r="Q5" s="21" t="inlineStr">
        <is>
          <t>テレアポ1：詳細</t>
        </is>
      </c>
      <c r="R5" s="21" t="inlineStr">
        <is>
          <t>取得情報（担当先生、メールアドレス、住所）</t>
        </is>
      </c>
      <c r="S5" s="21" t="inlineStr">
        <is>
          <t>担当者</t>
        </is>
      </c>
      <c r="T5" s="21" t="inlineStr">
        <is>
          <t>偏差値</t>
        </is>
      </c>
      <c r="U5" s="21" t="inlineStr">
        <is>
          <t>番号の確度</t>
        </is>
      </c>
      <c r="V5" s="21" t="inlineStr">
        <is>
          <t>電話番号の補足</t>
        </is>
      </c>
      <c r="W5" s="21" t="inlineStr">
        <is>
          <t>学校情報ページ</t>
        </is>
      </c>
    </row>
    <row r="6" ht="30" customHeight="1">
      <c r="A6" s="23" t="inlineStr">
        <is>
          <t>01北海道</t>
        </is>
      </c>
      <c r="B6" s="23" t="inlineStr">
        <is>
          <t>私立</t>
        </is>
      </c>
      <c r="C6" s="23" t="n"/>
      <c r="D6" s="23" t="inlineStr">
        <is>
          <t>旭川志峯高等学校</t>
        </is>
      </c>
      <c r="E6" s="24" t="inlineStr">
        <is>
          <t>0166-48-1221</t>
        </is>
      </c>
      <c r="F6" s="23" t="n"/>
      <c r="G6" s="25" t="inlineStr">
        <is>
          <t>普通科</t>
        </is>
      </c>
      <c r="H6" s="26" t="inlineStr">
        <is>
          <t>☐</t>
        </is>
      </c>
      <c r="I6" s="26" t="inlineStr">
        <is>
          <t>☐</t>
        </is>
      </c>
      <c r="J6" s="26" t="inlineStr">
        <is>
          <t>☐</t>
        </is>
      </c>
      <c r="K6" s="26" t="inlineStr">
        <is>
          <t>☐</t>
        </is>
      </c>
      <c r="L6" s="26" t="inlineStr">
        <is>
          <t>☐</t>
        </is>
      </c>
      <c r="M6" s="25" t="n"/>
      <c r="N6" s="27" t="n">
        <v>0</v>
      </c>
      <c r="O6" s="28" t="n"/>
      <c r="P6" s="23" t="n"/>
      <c r="Q6" s="29" t="n"/>
      <c r="R6" s="29" t="n"/>
      <c r="S6" s="23" t="n"/>
      <c r="T6" s="30" t="n"/>
      <c r="U6" s="31" t="inlineStr">
        <is>
          <t>高</t>
        </is>
      </c>
      <c r="V6" s="32" t="inlineStr">
        <is>
          <t>旧称は旭川大学高校。ハローワーク旭川の名簿（R7.6）とJS日本の学校の番号が一致</t>
        </is>
      </c>
      <c r="W6" s="33" t="inlineStr">
        <is>
          <t>開く</t>
        </is>
      </c>
    </row>
    <row r="7" ht="30" customHeight="1">
      <c r="A7" s="23" t="inlineStr">
        <is>
          <t>01北海道</t>
        </is>
      </c>
      <c r="B7" s="23" t="inlineStr">
        <is>
          <t>私立</t>
        </is>
      </c>
      <c r="C7" s="23" t="n"/>
      <c r="D7" s="23" t="inlineStr">
        <is>
          <t>旭川実業高等学校</t>
        </is>
      </c>
      <c r="E7" s="24" t="inlineStr">
        <is>
          <t>0166-51-1246</t>
        </is>
      </c>
      <c r="F7" s="23" t="n"/>
      <c r="G7" s="25" t="inlineStr">
        <is>
          <t>普通科・専門学科</t>
        </is>
      </c>
      <c r="H7" s="26" t="inlineStr">
        <is>
          <t>☐</t>
        </is>
      </c>
      <c r="I7" s="26" t="inlineStr">
        <is>
          <t>☐</t>
        </is>
      </c>
      <c r="J7" s="26" t="inlineStr">
        <is>
          <t>☐</t>
        </is>
      </c>
      <c r="K7" s="26" t="inlineStr">
        <is>
          <t>☐</t>
        </is>
      </c>
      <c r="L7" s="26" t="inlineStr">
        <is>
          <t>☐</t>
        </is>
      </c>
      <c r="M7" s="25" t="n"/>
      <c r="N7" s="27" t="n">
        <v>0</v>
      </c>
      <c r="O7" s="28" t="n"/>
      <c r="P7" s="23" t="n"/>
      <c r="Q7" s="29" t="n"/>
      <c r="R7" s="29" t="n"/>
      <c r="S7" s="23" t="n"/>
      <c r="T7" s="30" t="n"/>
      <c r="U7" s="31" t="inlineStr">
        <is>
          <t>高</t>
        </is>
      </c>
      <c r="V7" s="32" t="inlineStr">
        <is>
          <t>ハローワーク名簿とJS日本の学校・みんなの高校情報の番号が一致</t>
        </is>
      </c>
      <c r="W7" s="33" t="inlineStr">
        <is>
          <t>開く</t>
        </is>
      </c>
    </row>
    <row r="8" ht="30" customHeight="1">
      <c r="A8" s="23" t="inlineStr">
        <is>
          <t>01北海道</t>
        </is>
      </c>
      <c r="B8" s="23" t="inlineStr">
        <is>
          <t>私立</t>
        </is>
      </c>
      <c r="C8" s="23" t="n"/>
      <c r="D8" s="23" t="inlineStr">
        <is>
          <t>旭川藤星高等学校</t>
        </is>
      </c>
      <c r="E8" s="24" t="inlineStr">
        <is>
          <t>0166-51-8125</t>
        </is>
      </c>
      <c r="F8" s="23" t="n"/>
      <c r="G8" s="25" t="inlineStr">
        <is>
          <t>普通科</t>
        </is>
      </c>
      <c r="H8" s="26" t="inlineStr">
        <is>
          <t>☐</t>
        </is>
      </c>
      <c r="I8" s="26" t="inlineStr">
        <is>
          <t>☐</t>
        </is>
      </c>
      <c r="J8" s="26" t="inlineStr">
        <is>
          <t>☐</t>
        </is>
      </c>
      <c r="K8" s="26" t="inlineStr">
        <is>
          <t>☐</t>
        </is>
      </c>
      <c r="L8" s="26" t="inlineStr">
        <is>
          <t>☐</t>
        </is>
      </c>
      <c r="M8" s="25" t="n"/>
      <c r="N8" s="27" t="n">
        <v>0</v>
      </c>
      <c r="O8" s="28" t="n"/>
      <c r="P8" s="23" t="n"/>
      <c r="Q8" s="29" t="n"/>
      <c r="R8" s="29" t="n"/>
      <c r="S8" s="23" t="n"/>
      <c r="T8" s="30" t="n"/>
      <c r="U8" s="34" t="inlineStr">
        <is>
          <t>中</t>
        </is>
      </c>
      <c r="V8" s="32" t="inlineStr">
        <is>
          <t>JS日本の学校のみで確認。公式サイトは asahikawa-tosei.jp</t>
        </is>
      </c>
      <c r="W8" s="33" t="inlineStr">
        <is>
          <t>開く</t>
        </is>
      </c>
    </row>
    <row r="9" ht="30" customHeight="1">
      <c r="A9" s="23" t="inlineStr">
        <is>
          <t>01北海道</t>
        </is>
      </c>
      <c r="B9" s="23" t="inlineStr">
        <is>
          <t>私立</t>
        </is>
      </c>
      <c r="C9" s="23" t="n"/>
      <c r="D9" s="23" t="inlineStr">
        <is>
          <t>旭川明成高等学校</t>
        </is>
      </c>
      <c r="E9" s="24" t="inlineStr">
        <is>
          <t>0166-51-3220</t>
        </is>
      </c>
      <c r="F9" s="23" t="n"/>
      <c r="G9" s="25" t="inlineStr">
        <is>
          <t>総合学科</t>
        </is>
      </c>
      <c r="H9" s="26" t="inlineStr">
        <is>
          <t>☐</t>
        </is>
      </c>
      <c r="I9" s="26" t="inlineStr">
        <is>
          <t>☐</t>
        </is>
      </c>
      <c r="J9" s="26" t="inlineStr">
        <is>
          <t>☐</t>
        </is>
      </c>
      <c r="K9" s="26" t="inlineStr">
        <is>
          <t>☐</t>
        </is>
      </c>
      <c r="L9" s="26" t="inlineStr">
        <is>
          <t>☐</t>
        </is>
      </c>
      <c r="M9" s="25" t="n"/>
      <c r="N9" s="27" t="n">
        <v>0</v>
      </c>
      <c r="O9" s="28" t="n"/>
      <c r="P9" s="23" t="n"/>
      <c r="Q9" s="29" t="n"/>
      <c r="R9" s="29" t="n"/>
      <c r="S9" s="23" t="n"/>
      <c r="T9" s="30" t="n"/>
      <c r="U9" s="31" t="inlineStr">
        <is>
          <t>高</t>
        </is>
      </c>
      <c r="V9" s="32" t="inlineStr">
        <is>
          <t>ハローワーク名簿とJS日本の学校の番号が一致</t>
        </is>
      </c>
      <c r="W9" s="33" t="inlineStr">
        <is>
          <t>開く</t>
        </is>
      </c>
    </row>
    <row r="10" ht="30" customHeight="1">
      <c r="A10" s="23" t="inlineStr">
        <is>
          <t>01北海道</t>
        </is>
      </c>
      <c r="B10" s="23" t="inlineStr">
        <is>
          <t>私立</t>
        </is>
      </c>
      <c r="C10" s="23" t="n"/>
      <c r="D10" s="23" t="inlineStr">
        <is>
          <t>旭川龍谷高等学校</t>
        </is>
      </c>
      <c r="E10" s="24" t="inlineStr">
        <is>
          <t>0166-39-2700</t>
        </is>
      </c>
      <c r="F10" s="23" t="n"/>
      <c r="G10" s="25" t="inlineStr">
        <is>
          <t>普通科</t>
        </is>
      </c>
      <c r="H10" s="26" t="inlineStr">
        <is>
          <t>☐</t>
        </is>
      </c>
      <c r="I10" s="26" t="inlineStr">
        <is>
          <t>☐</t>
        </is>
      </c>
      <c r="J10" s="26" t="inlineStr">
        <is>
          <t>☐</t>
        </is>
      </c>
      <c r="K10" s="26" t="inlineStr">
        <is>
          <t>☐</t>
        </is>
      </c>
      <c r="L10" s="26" t="inlineStr">
        <is>
          <t>☐</t>
        </is>
      </c>
      <c r="M10" s="25" t="n"/>
      <c r="N10" s="27" t="n">
        <v>0</v>
      </c>
      <c r="O10" s="28" t="n"/>
      <c r="P10" s="23" t="n"/>
      <c r="Q10" s="29" t="n"/>
      <c r="R10" s="29" t="n"/>
      <c r="S10" s="23" t="n"/>
      <c r="T10" s="30" t="n"/>
      <c r="U10" s="31" t="inlineStr">
        <is>
          <t>高</t>
        </is>
      </c>
      <c r="V10" s="32" t="inlineStr">
        <is>
          <t>JS日本の学校と道私学協会の資料（2023）の番号が一致</t>
        </is>
      </c>
      <c r="W10" s="33" t="inlineStr">
        <is>
          <t>開く</t>
        </is>
      </c>
    </row>
    <row r="11" ht="30" customHeight="1">
      <c r="A11" s="23" t="inlineStr">
        <is>
          <t>01北海道</t>
        </is>
      </c>
      <c r="B11" s="23" t="inlineStr">
        <is>
          <t>私立</t>
        </is>
      </c>
      <c r="C11" s="23" t="n"/>
      <c r="D11" s="23" t="inlineStr">
        <is>
          <t>遺愛女子高等学校（青山学院大学教育提携校）</t>
        </is>
      </c>
      <c r="E11" s="24" t="inlineStr">
        <is>
          <t>0138-51-0418</t>
        </is>
      </c>
      <c r="F11" s="23" t="n"/>
      <c r="G11" s="25" t="inlineStr">
        <is>
          <t>普通科・専門学科</t>
        </is>
      </c>
      <c r="H11" s="26" t="inlineStr">
        <is>
          <t>☐</t>
        </is>
      </c>
      <c r="I11" s="26" t="inlineStr">
        <is>
          <t>☐</t>
        </is>
      </c>
      <c r="J11" s="26" t="inlineStr">
        <is>
          <t>☐</t>
        </is>
      </c>
      <c r="K11" s="26" t="inlineStr">
        <is>
          <t>☐</t>
        </is>
      </c>
      <c r="L11" s="26" t="inlineStr">
        <is>
          <t>☐</t>
        </is>
      </c>
      <c r="M11" s="25" t="n"/>
      <c r="N11" s="27" t="n">
        <v>0</v>
      </c>
      <c r="O11" s="28" t="n"/>
      <c r="P11" s="23" t="n"/>
      <c r="Q11" s="29" t="n"/>
      <c r="R11" s="29" t="n"/>
      <c r="S11" s="23" t="n"/>
      <c r="T11" s="30" t="n"/>
      <c r="U11" s="31" t="inlineStr">
        <is>
          <t>高</t>
        </is>
      </c>
      <c r="V11" s="32" t="inlineStr">
        <is>
          <t>公式パンフレットで確認。学院の代表番号（中学校と共通）</t>
        </is>
      </c>
      <c r="W11" s="33" t="inlineStr">
        <is>
          <t>開く</t>
        </is>
      </c>
    </row>
    <row r="12" ht="30" customHeight="1">
      <c r="A12" s="23" t="inlineStr">
        <is>
          <t>01北海道</t>
        </is>
      </c>
      <c r="B12" s="23" t="inlineStr">
        <is>
          <t>私立</t>
        </is>
      </c>
      <c r="C12" s="23" t="n"/>
      <c r="D12" s="23" t="inlineStr">
        <is>
          <t>池上学院高等学校</t>
        </is>
      </c>
      <c r="E12" s="24" t="inlineStr">
        <is>
          <t>011-811-5297</t>
        </is>
      </c>
      <c r="F12" s="23" t="n"/>
      <c r="G12" s="25" t="inlineStr">
        <is>
          <t>普通科</t>
        </is>
      </c>
      <c r="H12" s="26" t="inlineStr">
        <is>
          <t>☐</t>
        </is>
      </c>
      <c r="I12" s="26" t="inlineStr">
        <is>
          <t>☐</t>
        </is>
      </c>
      <c r="J12" s="26" t="inlineStr">
        <is>
          <t>☐</t>
        </is>
      </c>
      <c r="K12" s="26" t="inlineStr">
        <is>
          <t>☐</t>
        </is>
      </c>
      <c r="L12" s="26" t="inlineStr">
        <is>
          <t>☐</t>
        </is>
      </c>
      <c r="M12" s="25" t="n"/>
      <c r="N12" s="27" t="n">
        <v>0</v>
      </c>
      <c r="O12" s="28" t="n"/>
      <c r="P12" s="23" t="n"/>
      <c r="Q12" s="29" t="n"/>
      <c r="R12" s="29" t="n"/>
      <c r="S12" s="23" t="n"/>
      <c r="T12" s="30" t="n"/>
      <c r="U12" s="34" t="inlineStr">
        <is>
          <t>中</t>
        </is>
      </c>
      <c r="V12" s="32" t="inlineStr">
        <is>
          <t>通信制・札幌本校の番号。入学相談用フリーダイヤル0120-195-315の記載もあり</t>
        </is>
      </c>
      <c r="W12" s="33" t="inlineStr">
        <is>
          <t>開く</t>
        </is>
      </c>
    </row>
    <row r="13" ht="30" customHeight="1">
      <c r="A13" s="23" t="inlineStr">
        <is>
          <t>01北海道</t>
        </is>
      </c>
      <c r="B13" s="23" t="inlineStr">
        <is>
          <t>私立</t>
        </is>
      </c>
      <c r="C13" s="23" t="n"/>
      <c r="D13" s="23" t="inlineStr">
        <is>
          <t>小樽双葉高等学校</t>
        </is>
      </c>
      <c r="E13" s="24" t="inlineStr">
        <is>
          <t>0134-32-1828</t>
        </is>
      </c>
      <c r="F13" s="23" t="n"/>
      <c r="G13" s="25" t="inlineStr">
        <is>
          <t>普通科</t>
        </is>
      </c>
      <c r="H13" s="26" t="inlineStr">
        <is>
          <t>☐</t>
        </is>
      </c>
      <c r="I13" s="26" t="inlineStr">
        <is>
          <t>☐</t>
        </is>
      </c>
      <c r="J13" s="26" t="inlineStr">
        <is>
          <t>☐</t>
        </is>
      </c>
      <c r="K13" s="26" t="inlineStr">
        <is>
          <t>☐</t>
        </is>
      </c>
      <c r="L13" s="26" t="inlineStr">
        <is>
          <t>☐</t>
        </is>
      </c>
      <c r="M13" s="25" t="n"/>
      <c r="N13" s="27" t="n">
        <v>0</v>
      </c>
      <c r="O13" s="28" t="n"/>
      <c r="P13" s="23" t="n"/>
      <c r="Q13" s="29" t="n"/>
      <c r="R13" s="29" t="n"/>
      <c r="S13" s="23" t="n"/>
      <c r="T13" s="30" t="n"/>
      <c r="U13" s="31" t="inlineStr">
        <is>
          <t>高</t>
        </is>
      </c>
      <c r="V13" s="32" t="inlineStr">
        <is>
          <t>JS日本の学校と道私学協会の資料の番号が一致。通信制課程の職員室は0134-31-3100</t>
        </is>
      </c>
      <c r="W13" s="33" t="inlineStr">
        <is>
          <t>開く</t>
        </is>
      </c>
    </row>
    <row r="14" ht="30" customHeight="1">
      <c r="A14" s="23" t="inlineStr">
        <is>
          <t>01北海道</t>
        </is>
      </c>
      <c r="B14" s="23" t="inlineStr">
        <is>
          <t>私立</t>
        </is>
      </c>
      <c r="C14" s="23" t="n"/>
      <c r="D14" s="23" t="inlineStr">
        <is>
          <t>小樽明峰高等学校</t>
        </is>
      </c>
      <c r="E14" s="24" t="inlineStr">
        <is>
          <t>0134-22-7755</t>
        </is>
      </c>
      <c r="F14" s="23" t="n"/>
      <c r="G14" s="25" t="inlineStr">
        <is>
          <t>普通科</t>
        </is>
      </c>
      <c r="H14" s="26" t="inlineStr">
        <is>
          <t>☐</t>
        </is>
      </c>
      <c r="I14" s="26" t="inlineStr">
        <is>
          <t>☐</t>
        </is>
      </c>
      <c r="J14" s="26" t="inlineStr">
        <is>
          <t>☐</t>
        </is>
      </c>
      <c r="K14" s="26" t="inlineStr">
        <is>
          <t>☐</t>
        </is>
      </c>
      <c r="L14" s="26" t="inlineStr">
        <is>
          <t>☐</t>
        </is>
      </c>
      <c r="M14" s="25" t="n"/>
      <c r="N14" s="27" t="n">
        <v>0</v>
      </c>
      <c r="O14" s="28" t="n"/>
      <c r="P14" s="23" t="n"/>
      <c r="Q14" s="29" t="n"/>
      <c r="R14" s="29" t="n"/>
      <c r="S14" s="23" t="n"/>
      <c r="T14" s="30" t="n"/>
      <c r="U14" s="31" t="inlineStr">
        <is>
          <t>高</t>
        </is>
      </c>
      <c r="V14" s="32" t="inlineStr">
        <is>
          <t>JS日本の学校と札幌市中学校の資料の番号が一致</t>
        </is>
      </c>
      <c r="W14" s="33" t="inlineStr">
        <is>
          <t>開く</t>
        </is>
      </c>
    </row>
    <row r="15" ht="30" customHeight="1">
      <c r="A15" s="23" t="inlineStr">
        <is>
          <t>01北海道</t>
        </is>
      </c>
      <c r="B15" s="23" t="inlineStr">
        <is>
          <t>私立</t>
        </is>
      </c>
      <c r="C15" s="23" t="n"/>
      <c r="D15" s="23" t="inlineStr">
        <is>
          <t>帯広大谷高等学校</t>
        </is>
      </c>
      <c r="E15" s="24" t="inlineStr">
        <is>
          <t>0155-33-5811</t>
        </is>
      </c>
      <c r="F15" s="23" t="n"/>
      <c r="G15" s="25" t="inlineStr">
        <is>
          <t>普通科</t>
        </is>
      </c>
      <c r="H15" s="26" t="inlineStr">
        <is>
          <t>☐</t>
        </is>
      </c>
      <c r="I15" s="26" t="inlineStr">
        <is>
          <t>☐</t>
        </is>
      </c>
      <c r="J15" s="26" t="inlineStr">
        <is>
          <t>☐</t>
        </is>
      </c>
      <c r="K15" s="26" t="inlineStr">
        <is>
          <t>☐</t>
        </is>
      </c>
      <c r="L15" s="26" t="inlineStr">
        <is>
          <t>☐</t>
        </is>
      </c>
      <c r="M15" s="25" t="n"/>
      <c r="N15" s="27" t="n">
        <v>0</v>
      </c>
      <c r="O15" s="28" t="n"/>
      <c r="P15" s="23" t="n"/>
      <c r="Q15" s="29" t="n"/>
      <c r="R15" s="29" t="n"/>
      <c r="S15" s="23" t="n"/>
      <c r="T15" s="30" t="n"/>
      <c r="U15" s="34" t="inlineStr">
        <is>
          <t>中</t>
        </is>
      </c>
      <c r="V15" s="32" t="inlineStr">
        <is>
          <t>2018年の高文連資料のみで確認。最新かは未確認</t>
        </is>
      </c>
      <c r="W15" s="33" t="inlineStr">
        <is>
          <t>開く</t>
        </is>
      </c>
    </row>
    <row r="16" ht="30" customHeight="1">
      <c r="A16" s="23" t="inlineStr">
        <is>
          <t>01北海道</t>
        </is>
      </c>
      <c r="B16" s="23" t="inlineStr">
        <is>
          <t>私立</t>
        </is>
      </c>
      <c r="C16" s="23" t="n"/>
      <c r="D16" s="23" t="inlineStr">
        <is>
          <t>帯広北高等学校</t>
        </is>
      </c>
      <c r="E16" s="24" t="inlineStr">
        <is>
          <t>0155-47-0121</t>
        </is>
      </c>
      <c r="F16" s="23" t="n"/>
      <c r="G16" s="25" t="inlineStr">
        <is>
          <t>普通科</t>
        </is>
      </c>
      <c r="H16" s="26" t="inlineStr">
        <is>
          <t>☐</t>
        </is>
      </c>
      <c r="I16" s="26" t="inlineStr">
        <is>
          <t>☐</t>
        </is>
      </c>
      <c r="J16" s="26" t="inlineStr">
        <is>
          <t>☐</t>
        </is>
      </c>
      <c r="K16" s="26" t="inlineStr">
        <is>
          <t>☐</t>
        </is>
      </c>
      <c r="L16" s="26" t="inlineStr">
        <is>
          <t>☐</t>
        </is>
      </c>
      <c r="M16" s="25" t="n"/>
      <c r="N16" s="27" t="n">
        <v>0</v>
      </c>
      <c r="O16" s="28" t="n"/>
      <c r="P16" s="23" t="n"/>
      <c r="Q16" s="29" t="n"/>
      <c r="R16" s="29" t="n"/>
      <c r="S16" s="23" t="n"/>
      <c r="T16" s="30" t="n"/>
      <c r="U16" s="31" t="inlineStr">
        <is>
          <t>高</t>
        </is>
      </c>
      <c r="V16" s="32" t="inlineStr">
        <is>
          <t>JS日本の学校とみんなの高校情報の番号が一致</t>
        </is>
      </c>
      <c r="W16" s="33" t="inlineStr">
        <is>
          <t>開く</t>
        </is>
      </c>
    </row>
    <row r="17" ht="30" customHeight="1">
      <c r="A17" s="23" t="inlineStr">
        <is>
          <t>01北海道</t>
        </is>
      </c>
      <c r="B17" s="23" t="inlineStr">
        <is>
          <t>私立</t>
        </is>
      </c>
      <c r="C17" s="23" t="n"/>
      <c r="D17" s="23" t="inlineStr">
        <is>
          <t>海星学院高等学校</t>
        </is>
      </c>
      <c r="E17" s="24" t="inlineStr">
        <is>
          <t>0143-46-8888</t>
        </is>
      </c>
      <c r="F17" s="23" t="n"/>
      <c r="G17" s="25" t="inlineStr">
        <is>
          <t>普通科</t>
        </is>
      </c>
      <c r="H17" s="26" t="inlineStr">
        <is>
          <t>☐</t>
        </is>
      </c>
      <c r="I17" s="26" t="inlineStr">
        <is>
          <t>☐</t>
        </is>
      </c>
      <c r="J17" s="26" t="inlineStr">
        <is>
          <t>☐</t>
        </is>
      </c>
      <c r="K17" s="26" t="inlineStr">
        <is>
          <t>☐</t>
        </is>
      </c>
      <c r="L17" s="26" t="inlineStr">
        <is>
          <t>☐</t>
        </is>
      </c>
      <c r="M17" s="25" t="n"/>
      <c r="N17" s="27" t="n">
        <v>0</v>
      </c>
      <c r="O17" s="28" t="n"/>
      <c r="P17" s="23" t="n"/>
      <c r="Q17" s="29" t="n"/>
      <c r="R17" s="29" t="n"/>
      <c r="S17" s="23" t="n"/>
      <c r="T17" s="30" t="n"/>
      <c r="U17" s="34" t="inlineStr">
        <is>
          <t>中</t>
        </is>
      </c>
      <c r="V17" s="32" t="inlineStr">
        <is>
          <t>JS日本の学校のみで確認</t>
        </is>
      </c>
      <c r="W17" s="33" t="inlineStr">
        <is>
          <t>開く</t>
        </is>
      </c>
    </row>
    <row r="18" ht="30" customHeight="1">
      <c r="A18" s="23" t="inlineStr">
        <is>
          <t>01北海道</t>
        </is>
      </c>
      <c r="B18" s="23" t="inlineStr">
        <is>
          <t>私立</t>
        </is>
      </c>
      <c r="C18" s="23" t="n"/>
      <c r="D18" s="23" t="inlineStr">
        <is>
          <t>北見藤高等学校</t>
        </is>
      </c>
      <c r="E18" s="24" t="inlineStr">
        <is>
          <t>0157-23-3212</t>
        </is>
      </c>
      <c r="F18" s="23" t="n"/>
      <c r="G18" s="25" t="inlineStr">
        <is>
          <t>普通科</t>
        </is>
      </c>
      <c r="H18" s="26" t="inlineStr">
        <is>
          <t>☐</t>
        </is>
      </c>
      <c r="I18" s="26" t="inlineStr">
        <is>
          <t>☐</t>
        </is>
      </c>
      <c r="J18" s="26" t="inlineStr">
        <is>
          <t>☐</t>
        </is>
      </c>
      <c r="K18" s="26" t="inlineStr">
        <is>
          <t>☐</t>
        </is>
      </c>
      <c r="L18" s="26" t="inlineStr">
        <is>
          <t>☐</t>
        </is>
      </c>
      <c r="M18" s="25" t="n"/>
      <c r="N18" s="27" t="n">
        <v>0</v>
      </c>
      <c r="O18" s="28" t="n"/>
      <c r="P18" s="23" t="n"/>
      <c r="Q18" s="29" t="n"/>
      <c r="R18" s="29" t="n"/>
      <c r="S18" s="23" t="n"/>
      <c r="T18" s="30" t="n"/>
      <c r="U18" s="31" t="inlineStr">
        <is>
          <t>高</t>
        </is>
      </c>
      <c r="V18" s="32" t="inlineStr">
        <is>
          <t>JS日本の学校とYahoo!マップで一致</t>
        </is>
      </c>
      <c r="W18" s="33" t="inlineStr">
        <is>
          <t>開く</t>
        </is>
      </c>
    </row>
    <row r="19" ht="30" customHeight="1">
      <c r="A19" s="23" t="inlineStr">
        <is>
          <t>01北海道</t>
        </is>
      </c>
      <c r="B19" s="23" t="inlineStr">
        <is>
          <t>私立</t>
        </is>
      </c>
      <c r="C19" s="23" t="n"/>
      <c r="D19" s="23" t="inlineStr">
        <is>
          <t>クラーク記念国際高等学校</t>
        </is>
      </c>
      <c r="E19" s="24" t="inlineStr">
        <is>
          <t>0164-24-2001</t>
        </is>
      </c>
      <c r="F19" s="23" t="n"/>
      <c r="G19" s="25" t="inlineStr">
        <is>
          <t>普通科</t>
        </is>
      </c>
      <c r="H19" s="26" t="inlineStr">
        <is>
          <t>☐</t>
        </is>
      </c>
      <c r="I19" s="26" t="inlineStr">
        <is>
          <t>☐</t>
        </is>
      </c>
      <c r="J19" s="26" t="inlineStr">
        <is>
          <t>☐</t>
        </is>
      </c>
      <c r="K19" s="26" t="inlineStr">
        <is>
          <t>☐</t>
        </is>
      </c>
      <c r="L19" s="26" t="inlineStr">
        <is>
          <t>☐</t>
        </is>
      </c>
      <c r="M19" s="25" t="n"/>
      <c r="N19" s="27" t="n">
        <v>0</v>
      </c>
      <c r="O19" s="28" t="n"/>
      <c r="P19" s="23" t="n"/>
      <c r="Q19" s="29" t="n"/>
      <c r="R19" s="29" t="n"/>
      <c r="S19" s="23" t="n"/>
      <c r="T19" s="30" t="n"/>
      <c r="U19" s="34" t="inlineStr">
        <is>
          <t>中</t>
        </is>
      </c>
      <c r="V19" s="32" t="inlineStr">
        <is>
          <t>深川市の本校の番号。全国にキャンパスあり</t>
        </is>
      </c>
      <c r="W19" s="33" t="inlineStr">
        <is>
          <t>開く</t>
        </is>
      </c>
    </row>
    <row r="20" ht="30" customHeight="1">
      <c r="A20" s="23" t="inlineStr">
        <is>
          <t>01北海道</t>
        </is>
      </c>
      <c r="B20" s="23" t="inlineStr">
        <is>
          <t>私立</t>
        </is>
      </c>
      <c r="C20" s="23" t="n"/>
      <c r="D20" s="23" t="inlineStr">
        <is>
          <t>駒澤大学附属苫小牧高等学校</t>
        </is>
      </c>
      <c r="E20" s="24" t="inlineStr">
        <is>
          <t>0144-32-6291</t>
        </is>
      </c>
      <c r="F20" s="23" t="n"/>
      <c r="G20" s="25" t="inlineStr">
        <is>
          <t>普通科</t>
        </is>
      </c>
      <c r="H20" s="26" t="inlineStr">
        <is>
          <t>☐</t>
        </is>
      </c>
      <c r="I20" s="26" t="inlineStr">
        <is>
          <t>☐</t>
        </is>
      </c>
      <c r="J20" s="26" t="inlineStr">
        <is>
          <t>☐</t>
        </is>
      </c>
      <c r="K20" s="26" t="inlineStr">
        <is>
          <t>☐</t>
        </is>
      </c>
      <c r="L20" s="26" t="inlineStr">
        <is>
          <t>☐</t>
        </is>
      </c>
      <c r="M20" s="25" t="n"/>
      <c r="N20" s="27" t="n">
        <v>0</v>
      </c>
      <c r="O20" s="28" t="n"/>
      <c r="P20" s="23" t="n"/>
      <c r="Q20" s="29" t="n"/>
      <c r="R20" s="29" t="n"/>
      <c r="S20" s="23" t="n"/>
      <c r="T20" s="30" t="n"/>
      <c r="U20" s="34" t="inlineStr">
        <is>
          <t>中</t>
        </is>
      </c>
      <c r="V20" s="32" t="inlineStr">
        <is>
          <t>JS日本の学校のみで確認</t>
        </is>
      </c>
      <c r="W20" s="33" t="inlineStr">
        <is>
          <t>開く</t>
        </is>
      </c>
    </row>
    <row r="21" ht="30" customHeight="1">
      <c r="A21" s="23" t="inlineStr">
        <is>
          <t>01北海道</t>
        </is>
      </c>
      <c r="B21" s="23" t="inlineStr">
        <is>
          <t>私立</t>
        </is>
      </c>
      <c r="C21" s="23" t="n"/>
      <c r="D21" s="23" t="inlineStr">
        <is>
          <t>札幌大谷高等学校</t>
        </is>
      </c>
      <c r="E21" s="24" t="inlineStr">
        <is>
          <t>011-731-2451</t>
        </is>
      </c>
      <c r="F21" s="23" t="n"/>
      <c r="G21" s="25" t="inlineStr">
        <is>
          <t>普通科・専門学科</t>
        </is>
      </c>
      <c r="H21" s="26" t="inlineStr">
        <is>
          <t>☐</t>
        </is>
      </c>
      <c r="I21" s="26" t="inlineStr">
        <is>
          <t>☐</t>
        </is>
      </c>
      <c r="J21" s="26" t="inlineStr">
        <is>
          <t>☐</t>
        </is>
      </c>
      <c r="K21" s="26" t="inlineStr">
        <is>
          <t>☐</t>
        </is>
      </c>
      <c r="L21" s="26" t="inlineStr">
        <is>
          <t>☐</t>
        </is>
      </c>
      <c r="M21" s="25" t="n"/>
      <c r="N21" s="27" t="n">
        <v>0</v>
      </c>
      <c r="O21" s="28" t="n"/>
      <c r="P21" s="23" t="n"/>
      <c r="Q21" s="29" t="n"/>
      <c r="R21" s="29" t="n"/>
      <c r="S21" s="23" t="n"/>
      <c r="T21" s="30" t="n"/>
      <c r="U21" s="31" t="inlineStr">
        <is>
          <t>高</t>
        </is>
      </c>
      <c r="V21" s="32" t="inlineStr">
        <is>
          <t>札幌市の一覧とJS日本の学校で一致。中学校と共通</t>
        </is>
      </c>
      <c r="W21" s="33" t="inlineStr">
        <is>
          <t>開く</t>
        </is>
      </c>
    </row>
    <row r="22" ht="30" customHeight="1">
      <c r="A22" s="23" t="inlineStr">
        <is>
          <t>01北海道</t>
        </is>
      </c>
      <c r="B22" s="23" t="inlineStr">
        <is>
          <t>私立</t>
        </is>
      </c>
      <c r="C22" s="23" t="n"/>
      <c r="D22" s="23" t="inlineStr">
        <is>
          <t>札幌光星高等学校</t>
        </is>
      </c>
      <c r="E22" s="24" t="inlineStr">
        <is>
          <t>011-711-7161</t>
        </is>
      </c>
      <c r="F22" s="23" t="n"/>
      <c r="G22" s="25" t="inlineStr">
        <is>
          <t>普通科</t>
        </is>
      </c>
      <c r="H22" s="26" t="inlineStr">
        <is>
          <t>☐</t>
        </is>
      </c>
      <c r="I22" s="26" t="inlineStr">
        <is>
          <t>☐</t>
        </is>
      </c>
      <c r="J22" s="26" t="inlineStr">
        <is>
          <t>☐</t>
        </is>
      </c>
      <c r="K22" s="26" t="inlineStr">
        <is>
          <t>☐</t>
        </is>
      </c>
      <c r="L22" s="26" t="inlineStr">
        <is>
          <t>☐</t>
        </is>
      </c>
      <c r="M22" s="25" t="n"/>
      <c r="N22" s="27" t="n">
        <v>0</v>
      </c>
      <c r="O22" s="28" t="n"/>
      <c r="P22" s="23" t="n"/>
      <c r="Q22" s="29" t="n"/>
      <c r="R22" s="29" t="n"/>
      <c r="S22" s="23" t="n"/>
      <c r="T22" s="30" t="n"/>
      <c r="U22" s="31" t="inlineStr">
        <is>
          <t>高</t>
        </is>
      </c>
      <c r="V22" s="32" t="inlineStr">
        <is>
          <t>公式資料に「代表」と記載</t>
        </is>
      </c>
      <c r="W22" s="33" t="inlineStr">
        <is>
          <t>開く</t>
        </is>
      </c>
    </row>
    <row r="23" ht="30" customHeight="1">
      <c r="A23" s="23" t="inlineStr">
        <is>
          <t>01北海道</t>
        </is>
      </c>
      <c r="B23" s="23" t="inlineStr">
        <is>
          <t>私立</t>
        </is>
      </c>
      <c r="C23" s="23" t="n"/>
      <c r="D23" s="23" t="inlineStr">
        <is>
          <t>札幌新陽高等学校</t>
        </is>
      </c>
      <c r="E23" s="24" t="inlineStr">
        <is>
          <t>011-821-6161</t>
        </is>
      </c>
      <c r="F23" s="23" t="n"/>
      <c r="G23" s="25" t="inlineStr">
        <is>
          <t>普通科</t>
        </is>
      </c>
      <c r="H23" s="26" t="inlineStr">
        <is>
          <t>☐</t>
        </is>
      </c>
      <c r="I23" s="26" t="inlineStr">
        <is>
          <t>☐</t>
        </is>
      </c>
      <c r="J23" s="26" t="inlineStr">
        <is>
          <t>☐</t>
        </is>
      </c>
      <c r="K23" s="26" t="inlineStr">
        <is>
          <t>☐</t>
        </is>
      </c>
      <c r="L23" s="26" t="inlineStr">
        <is>
          <t>☐</t>
        </is>
      </c>
      <c r="M23" s="25" t="n"/>
      <c r="N23" s="27" t="n">
        <v>0</v>
      </c>
      <c r="O23" s="28" t="n"/>
      <c r="P23" s="23" t="n"/>
      <c r="Q23" s="29" t="n"/>
      <c r="R23" s="29" t="n"/>
      <c r="S23" s="23" t="n"/>
      <c r="T23" s="30" t="n"/>
      <c r="U23" s="31" t="inlineStr">
        <is>
          <t>高</t>
        </is>
      </c>
      <c r="V23" s="32" t="inlineStr">
        <is>
          <t>札幌市の一覧とJS日本の学校で一致</t>
        </is>
      </c>
      <c r="W23" s="33" t="inlineStr">
        <is>
          <t>開く</t>
        </is>
      </c>
    </row>
    <row r="24" ht="30" customHeight="1">
      <c r="A24" s="23" t="inlineStr">
        <is>
          <t>01北海道</t>
        </is>
      </c>
      <c r="B24" s="23" t="inlineStr">
        <is>
          <t>私立</t>
        </is>
      </c>
      <c r="C24" s="23" t="n"/>
      <c r="D24" s="23" t="inlineStr">
        <is>
          <t>札幌自由が丘学園三和高等学校</t>
        </is>
      </c>
      <c r="E24" s="24" t="n"/>
      <c r="F24" s="23" t="n"/>
      <c r="G24" s="25" t="inlineStr">
        <is>
          <t>普通科</t>
        </is>
      </c>
      <c r="H24" s="26" t="inlineStr">
        <is>
          <t>☐</t>
        </is>
      </c>
      <c r="I24" s="26" t="inlineStr">
        <is>
          <t>☐</t>
        </is>
      </c>
      <c r="J24" s="26" t="inlineStr">
        <is>
          <t>☐</t>
        </is>
      </c>
      <c r="K24" s="26" t="inlineStr">
        <is>
          <t>☐</t>
        </is>
      </c>
      <c r="L24" s="26" t="inlineStr">
        <is>
          <t>☐</t>
        </is>
      </c>
      <c r="M24" s="25" t="n"/>
      <c r="N24" s="27" t="n">
        <v>0</v>
      </c>
      <c r="O24" s="28" t="n"/>
      <c r="P24" s="23" t="n"/>
      <c r="Q24" s="29" t="n"/>
      <c r="R24" s="29" t="n"/>
      <c r="S24" s="23" t="n"/>
      <c r="T24" s="30" t="n"/>
      <c r="U24" s="35" t="inlineStr">
        <is>
          <t>要調査</t>
        </is>
      </c>
      <c r="V24" s="32" t="inlineStr">
        <is>
          <t>和寒本校の番号を特定できず。候補：011-792-1468（公式では札幌学習センター）／011-743-1267。校名変更の可能性あり</t>
        </is>
      </c>
      <c r="W24" s="33" t="inlineStr">
        <is>
          <t>開く</t>
        </is>
      </c>
    </row>
    <row r="25" ht="30" customHeight="1">
      <c r="A25" s="23" t="inlineStr">
        <is>
          <t>01北海道</t>
        </is>
      </c>
      <c r="B25" s="23" t="inlineStr">
        <is>
          <t>私立</t>
        </is>
      </c>
      <c r="C25" s="23" t="n"/>
      <c r="D25" s="23" t="inlineStr">
        <is>
          <t>札幌静修高等学校</t>
        </is>
      </c>
      <c r="E25" s="24" t="inlineStr">
        <is>
          <t>011-521-0234</t>
        </is>
      </c>
      <c r="F25" s="23" t="n"/>
      <c r="G25" s="25" t="inlineStr">
        <is>
          <t>普通科・専門学科</t>
        </is>
      </c>
      <c r="H25" s="26" t="inlineStr">
        <is>
          <t>☐</t>
        </is>
      </c>
      <c r="I25" s="26" t="inlineStr">
        <is>
          <t>☐</t>
        </is>
      </c>
      <c r="J25" s="26" t="inlineStr">
        <is>
          <t>☐</t>
        </is>
      </c>
      <c r="K25" s="26" t="inlineStr">
        <is>
          <t>☐</t>
        </is>
      </c>
      <c r="L25" s="26" t="inlineStr">
        <is>
          <t>☐</t>
        </is>
      </c>
      <c r="M25" s="25" t="n"/>
      <c r="N25" s="27" t="n">
        <v>0</v>
      </c>
      <c r="O25" s="28" t="n"/>
      <c r="P25" s="23" t="n"/>
      <c r="Q25" s="29" t="n"/>
      <c r="R25" s="29" t="n"/>
      <c r="S25" s="23" t="n"/>
      <c r="T25" s="30" t="n"/>
      <c r="U25" s="34" t="inlineStr">
        <is>
          <t>中</t>
        </is>
      </c>
      <c r="V25" s="32" t="inlineStr">
        <is>
          <t>JS日本の学校のみで確認</t>
        </is>
      </c>
      <c r="W25" s="33" t="inlineStr">
        <is>
          <t>開く</t>
        </is>
      </c>
    </row>
    <row r="26" ht="30" customHeight="1">
      <c r="A26" s="23" t="inlineStr">
        <is>
          <t>01北海道</t>
        </is>
      </c>
      <c r="B26" s="23" t="inlineStr">
        <is>
          <t>私立</t>
        </is>
      </c>
      <c r="C26" s="23" t="n"/>
      <c r="D26" s="23" t="inlineStr">
        <is>
          <t>札幌創成高等学校</t>
        </is>
      </c>
      <c r="E26" s="24" t="inlineStr">
        <is>
          <t>011-726-1578</t>
        </is>
      </c>
      <c r="F26" s="23" t="n"/>
      <c r="G26" s="25" t="inlineStr">
        <is>
          <t>普通科</t>
        </is>
      </c>
      <c r="H26" s="26" t="inlineStr">
        <is>
          <t>☐</t>
        </is>
      </c>
      <c r="I26" s="26" t="inlineStr">
        <is>
          <t>☐</t>
        </is>
      </c>
      <c r="J26" s="26" t="inlineStr">
        <is>
          <t>☐</t>
        </is>
      </c>
      <c r="K26" s="26" t="inlineStr">
        <is>
          <t>☐</t>
        </is>
      </c>
      <c r="L26" s="26" t="inlineStr">
        <is>
          <t>☐</t>
        </is>
      </c>
      <c r="M26" s="25" t="n"/>
      <c r="N26" s="27" t="n">
        <v>0</v>
      </c>
      <c r="O26" s="28" t="n"/>
      <c r="P26" s="23" t="n"/>
      <c r="Q26" s="29" t="n"/>
      <c r="R26" s="29" t="n"/>
      <c r="S26" s="23" t="n"/>
      <c r="T26" s="30" t="n"/>
      <c r="U26" s="31" t="inlineStr">
        <is>
          <t>高</t>
        </is>
      </c>
      <c r="V26" s="32" t="inlineStr">
        <is>
          <t>道私学協会の資料と札幌市中学校の配布資料で一致</t>
        </is>
      </c>
      <c r="W26" s="33" t="inlineStr">
        <is>
          <t>開く</t>
        </is>
      </c>
    </row>
    <row r="27" ht="30" customHeight="1">
      <c r="A27" s="23" t="inlineStr">
        <is>
          <t>01北海道</t>
        </is>
      </c>
      <c r="B27" s="23" t="inlineStr">
        <is>
          <t>私立</t>
        </is>
      </c>
      <c r="C27" s="23" t="n"/>
      <c r="D27" s="23" t="inlineStr">
        <is>
          <t>札幌第一高等学校</t>
        </is>
      </c>
      <c r="E27" s="24" t="inlineStr">
        <is>
          <t>011-851-9361</t>
        </is>
      </c>
      <c r="F27" s="23" t="n"/>
      <c r="G27" s="25" t="inlineStr">
        <is>
          <t>普通科</t>
        </is>
      </c>
      <c r="H27" s="26" t="inlineStr">
        <is>
          <t>☐</t>
        </is>
      </c>
      <c r="I27" s="26" t="inlineStr">
        <is>
          <t>☐</t>
        </is>
      </c>
      <c r="J27" s="26" t="inlineStr">
        <is>
          <t>☐</t>
        </is>
      </c>
      <c r="K27" s="26" t="inlineStr">
        <is>
          <t>☐</t>
        </is>
      </c>
      <c r="L27" s="26" t="inlineStr">
        <is>
          <t>☐</t>
        </is>
      </c>
      <c r="M27" s="25" t="n"/>
      <c r="N27" s="27" t="n">
        <v>0</v>
      </c>
      <c r="O27" s="28" t="n"/>
      <c r="P27" s="23" t="n"/>
      <c r="Q27" s="29" t="n"/>
      <c r="R27" s="29" t="n"/>
      <c r="S27" s="23" t="n"/>
      <c r="T27" s="30" t="n"/>
      <c r="U27" s="31" t="inlineStr">
        <is>
          <t>高</t>
        </is>
      </c>
      <c r="V27" s="32" t="inlineStr">
        <is>
          <t>公式サイトで「代表」と確認。入試事務局は011-851-6729</t>
        </is>
      </c>
      <c r="W27" s="33" t="inlineStr">
        <is>
          <t>開く</t>
        </is>
      </c>
    </row>
    <row r="28" ht="30" customHeight="1">
      <c r="A28" s="23" t="inlineStr">
        <is>
          <t>01北海道</t>
        </is>
      </c>
      <c r="B28" s="23" t="inlineStr">
        <is>
          <t>私立</t>
        </is>
      </c>
      <c r="C28" s="23" t="n"/>
      <c r="D28" s="23" t="inlineStr">
        <is>
          <t>札幌日本大学高等学校</t>
        </is>
      </c>
      <c r="E28" s="24" t="inlineStr">
        <is>
          <t>011-375-2611</t>
        </is>
      </c>
      <c r="F28" s="23" t="n"/>
      <c r="G28" s="25" t="inlineStr">
        <is>
          <t>普通科</t>
        </is>
      </c>
      <c r="H28" s="26" t="inlineStr">
        <is>
          <t>☐</t>
        </is>
      </c>
      <c r="I28" s="26" t="inlineStr">
        <is>
          <t>☐</t>
        </is>
      </c>
      <c r="J28" s="26" t="inlineStr">
        <is>
          <t>☐</t>
        </is>
      </c>
      <c r="K28" s="26" t="inlineStr">
        <is>
          <t>☐</t>
        </is>
      </c>
      <c r="L28" s="26" t="inlineStr">
        <is>
          <t>☐</t>
        </is>
      </c>
      <c r="M28" s="25" t="n"/>
      <c r="N28" s="27" t="n">
        <v>0</v>
      </c>
      <c r="O28" s="28" t="n"/>
      <c r="P28" s="23" t="n"/>
      <c r="Q28" s="29" t="n"/>
      <c r="R28" s="29" t="n"/>
      <c r="S28" s="23" t="n"/>
      <c r="T28" s="30" t="n"/>
      <c r="U28" s="31" t="inlineStr">
        <is>
          <t>高</t>
        </is>
      </c>
      <c r="V28" s="32" t="inlineStr">
        <is>
          <t>複数資料で一致。中高併設</t>
        </is>
      </c>
      <c r="W28" s="33" t="inlineStr">
        <is>
          <t>開く</t>
        </is>
      </c>
    </row>
    <row r="29" ht="30" customHeight="1">
      <c r="A29" s="23" t="inlineStr">
        <is>
          <t>01北海道</t>
        </is>
      </c>
      <c r="B29" s="23" t="inlineStr">
        <is>
          <t>私立</t>
        </is>
      </c>
      <c r="C29" s="23" t="n"/>
      <c r="D29" s="23" t="inlineStr">
        <is>
          <t>札幌北斗高等学校</t>
        </is>
      </c>
      <c r="E29" s="24" t="inlineStr">
        <is>
          <t>011-711-6121</t>
        </is>
      </c>
      <c r="F29" s="23" t="n"/>
      <c r="G29" s="25" t="inlineStr">
        <is>
          <t>普通科</t>
        </is>
      </c>
      <c r="H29" s="26" t="inlineStr">
        <is>
          <t>☐</t>
        </is>
      </c>
      <c r="I29" s="26" t="inlineStr">
        <is>
          <t>☐</t>
        </is>
      </c>
      <c r="J29" s="26" t="inlineStr">
        <is>
          <t>☐</t>
        </is>
      </c>
      <c r="K29" s="26" t="inlineStr">
        <is>
          <t>☐</t>
        </is>
      </c>
      <c r="L29" s="26" t="inlineStr">
        <is>
          <t>☐</t>
        </is>
      </c>
      <c r="M29" s="25" t="n"/>
      <c r="N29" s="27" t="n">
        <v>0</v>
      </c>
      <c r="O29" s="28" t="n"/>
      <c r="P29" s="23" t="n"/>
      <c r="Q29" s="29" t="n"/>
      <c r="R29" s="29" t="n"/>
      <c r="S29" s="23" t="n"/>
      <c r="T29" s="30" t="n"/>
      <c r="U29" s="31" t="inlineStr">
        <is>
          <t>高</t>
        </is>
      </c>
      <c r="V29" s="32" t="inlineStr">
        <is>
          <t>札幌市東区の学校一覧と地図サイトで一致</t>
        </is>
      </c>
      <c r="W29" s="33" t="inlineStr">
        <is>
          <t>開く</t>
        </is>
      </c>
    </row>
    <row r="30" ht="30" customHeight="1">
      <c r="A30" s="23" t="inlineStr">
        <is>
          <t>01北海道</t>
        </is>
      </c>
      <c r="B30" s="23" t="inlineStr">
        <is>
          <t>私立</t>
        </is>
      </c>
      <c r="C30" s="23" t="n"/>
      <c r="D30" s="23" t="inlineStr">
        <is>
          <t>札幌山の手高等学校</t>
        </is>
      </c>
      <c r="E30" s="24" t="inlineStr">
        <is>
          <t>011-611-7301</t>
        </is>
      </c>
      <c r="F30" s="23" t="n"/>
      <c r="G30" s="25" t="inlineStr">
        <is>
          <t>普通科</t>
        </is>
      </c>
      <c r="H30" s="26" t="inlineStr">
        <is>
          <t>☐</t>
        </is>
      </c>
      <c r="I30" s="26" t="inlineStr">
        <is>
          <t>☐</t>
        </is>
      </c>
      <c r="J30" s="26" t="inlineStr">
        <is>
          <t>☐</t>
        </is>
      </c>
      <c r="K30" s="26" t="inlineStr">
        <is>
          <t>☐</t>
        </is>
      </c>
      <c r="L30" s="26" t="inlineStr">
        <is>
          <t>☐</t>
        </is>
      </c>
      <c r="M30" s="25" t="n"/>
      <c r="N30" s="27" t="n">
        <v>0</v>
      </c>
      <c r="O30" s="28" t="n"/>
      <c r="P30" s="23" t="n"/>
      <c r="Q30" s="29" t="n"/>
      <c r="R30" s="29" t="n"/>
      <c r="S30" s="23" t="n"/>
      <c r="T30" s="30" t="n"/>
      <c r="U30" s="31" t="inlineStr">
        <is>
          <t>高</t>
        </is>
      </c>
      <c r="V30" s="32" t="inlineStr">
        <is>
          <t>代表番号。札幌市立中学校の配布資料と一致</t>
        </is>
      </c>
      <c r="W30" s="33" t="inlineStr">
        <is>
          <t>開く</t>
        </is>
      </c>
    </row>
    <row r="31" ht="30" customHeight="1">
      <c r="A31" s="23" t="inlineStr">
        <is>
          <t>01北海道</t>
        </is>
      </c>
      <c r="B31" s="23" t="inlineStr">
        <is>
          <t>私立</t>
        </is>
      </c>
      <c r="C31" s="23" t="n"/>
      <c r="D31" s="23" t="inlineStr">
        <is>
          <t>札幌龍谷学園高等学校</t>
        </is>
      </c>
      <c r="E31" s="24" t="inlineStr">
        <is>
          <t>011-631-4386</t>
        </is>
      </c>
      <c r="F31" s="23" t="n"/>
      <c r="G31" s="25" t="inlineStr">
        <is>
          <t>普通科</t>
        </is>
      </c>
      <c r="H31" s="26" t="inlineStr">
        <is>
          <t>☐</t>
        </is>
      </c>
      <c r="I31" s="26" t="inlineStr">
        <is>
          <t>☐</t>
        </is>
      </c>
      <c r="J31" s="26" t="inlineStr">
        <is>
          <t>☐</t>
        </is>
      </c>
      <c r="K31" s="26" t="inlineStr">
        <is>
          <t>☐</t>
        </is>
      </c>
      <c r="L31" s="26" t="inlineStr">
        <is>
          <t>☐</t>
        </is>
      </c>
      <c r="M31" s="25" t="n"/>
      <c r="N31" s="27" t="n">
        <v>0</v>
      </c>
      <c r="O31" s="28" t="n"/>
      <c r="P31" s="23" t="n"/>
      <c r="Q31" s="29" t="n"/>
      <c r="R31" s="29" t="n"/>
      <c r="S31" s="23" t="n"/>
      <c r="T31" s="30" t="n"/>
      <c r="U31" s="34" t="inlineStr">
        <is>
          <t>中</t>
        </is>
      </c>
      <c r="V31" s="32" t="inlineStr">
        <is>
          <t>札幌市立中学校の配布チラシで確認。公式サイトでは未確認</t>
        </is>
      </c>
      <c r="W31" s="33" t="inlineStr">
        <is>
          <t>開く</t>
        </is>
      </c>
    </row>
    <row r="32" ht="30" customHeight="1">
      <c r="A32" s="23" t="inlineStr">
        <is>
          <t>01北海道</t>
        </is>
      </c>
      <c r="B32" s="23" t="inlineStr">
        <is>
          <t>私立</t>
        </is>
      </c>
      <c r="C32" s="23" t="n"/>
      <c r="D32" s="23" t="inlineStr">
        <is>
          <t>白樺学園高等学校</t>
        </is>
      </c>
      <c r="E32" s="24" t="inlineStr">
        <is>
          <t>0155-62-7411</t>
        </is>
      </c>
      <c r="F32" s="23" t="n"/>
      <c r="G32" s="25" t="inlineStr">
        <is>
          <t>普通科</t>
        </is>
      </c>
      <c r="H32" s="26" t="inlineStr">
        <is>
          <t>☐</t>
        </is>
      </c>
      <c r="I32" s="26" t="inlineStr">
        <is>
          <t>☐</t>
        </is>
      </c>
      <c r="J32" s="26" t="inlineStr">
        <is>
          <t>☐</t>
        </is>
      </c>
      <c r="K32" s="26" t="inlineStr">
        <is>
          <t>☐</t>
        </is>
      </c>
      <c r="L32" s="26" t="inlineStr">
        <is>
          <t>☐</t>
        </is>
      </c>
      <c r="M32" s="25" t="n"/>
      <c r="N32" s="27" t="n">
        <v>0</v>
      </c>
      <c r="O32" s="28" t="n"/>
      <c r="P32" s="23" t="n"/>
      <c r="Q32" s="29" t="n"/>
      <c r="R32" s="29" t="n"/>
      <c r="S32" s="23" t="n"/>
      <c r="T32" s="30" t="n"/>
      <c r="U32" s="31" t="inlineStr">
        <is>
          <t>高</t>
        </is>
      </c>
      <c r="V32" s="32" t="inlineStr">
        <is>
          <t>中高併設</t>
        </is>
      </c>
      <c r="W32" s="33" t="inlineStr">
        <is>
          <t>開く</t>
        </is>
      </c>
    </row>
    <row r="33" ht="30" customHeight="1">
      <c r="A33" s="23" t="inlineStr">
        <is>
          <t>01北海道</t>
        </is>
      </c>
      <c r="B33" s="23" t="inlineStr">
        <is>
          <t>私立</t>
        </is>
      </c>
      <c r="C33" s="23" t="n"/>
      <c r="D33" s="23" t="inlineStr">
        <is>
          <t>星槎国際高等学校</t>
        </is>
      </c>
      <c r="E33" s="24" t="inlineStr">
        <is>
          <t>0124-24-6101</t>
        </is>
      </c>
      <c r="F33" s="23" t="n"/>
      <c r="G33" s="25" t="inlineStr">
        <is>
          <t>普通科</t>
        </is>
      </c>
      <c r="H33" s="26" t="inlineStr">
        <is>
          <t>☐</t>
        </is>
      </c>
      <c r="I33" s="26" t="inlineStr">
        <is>
          <t>☐</t>
        </is>
      </c>
      <c r="J33" s="26" t="inlineStr">
        <is>
          <t>☐</t>
        </is>
      </c>
      <c r="K33" s="26" t="inlineStr">
        <is>
          <t>☐</t>
        </is>
      </c>
      <c r="L33" s="26" t="inlineStr">
        <is>
          <t>☐</t>
        </is>
      </c>
      <c r="M33" s="25" t="n"/>
      <c r="N33" s="27" t="n">
        <v>0</v>
      </c>
      <c r="O33" s="28" t="n"/>
      <c r="P33" s="23" t="n"/>
      <c r="Q33" s="29" t="n"/>
      <c r="R33" s="29" t="n"/>
      <c r="S33" s="23" t="n"/>
      <c r="T33" s="30" t="n"/>
      <c r="U33" s="31" t="inlineStr">
        <is>
          <t>高</t>
        </is>
      </c>
      <c r="V33" s="32" t="inlineStr">
        <is>
          <t>芦別の本部校の番号（公式サイト）。全国にキャンパスあり</t>
        </is>
      </c>
      <c r="W33" s="33" t="inlineStr">
        <is>
          <t>開く</t>
        </is>
      </c>
    </row>
    <row r="34" ht="30" customHeight="1">
      <c r="A34" s="23" t="inlineStr">
        <is>
          <t>01北海道</t>
        </is>
      </c>
      <c r="B34" s="23" t="inlineStr">
        <is>
          <t>私立</t>
        </is>
      </c>
      <c r="C34" s="23" t="n"/>
      <c r="D34" s="23" t="inlineStr">
        <is>
          <t>清尚学院高等学校</t>
        </is>
      </c>
      <c r="E34" s="24" t="inlineStr">
        <is>
          <t>0138-41-6584</t>
        </is>
      </c>
      <c r="F34" s="23" t="n"/>
      <c r="G34" s="25" t="inlineStr">
        <is>
          <t>専門学科</t>
        </is>
      </c>
      <c r="H34" s="26" t="inlineStr">
        <is>
          <t>☐</t>
        </is>
      </c>
      <c r="I34" s="26" t="inlineStr">
        <is>
          <t>☐</t>
        </is>
      </c>
      <c r="J34" s="26" t="inlineStr">
        <is>
          <t>☐</t>
        </is>
      </c>
      <c r="K34" s="26" t="inlineStr">
        <is>
          <t>☐</t>
        </is>
      </c>
      <c r="L34" s="26" t="inlineStr">
        <is>
          <t>☐</t>
        </is>
      </c>
      <c r="M34" s="25" t="n"/>
      <c r="N34" s="27" t="n">
        <v>0</v>
      </c>
      <c r="O34" s="28" t="n"/>
      <c r="P34" s="23" t="n"/>
      <c r="Q34" s="29" t="n"/>
      <c r="R34" s="29" t="n"/>
      <c r="S34" s="23" t="n"/>
      <c r="T34" s="30" t="n"/>
      <c r="U34" s="34" t="inlineStr">
        <is>
          <t>中</t>
        </is>
      </c>
      <c r="V34" s="32" t="inlineStr">
        <is>
          <t>JS日本の学校のみで確認</t>
        </is>
      </c>
      <c r="W34" s="33" t="inlineStr">
        <is>
          <t>開く</t>
        </is>
      </c>
    </row>
    <row r="35" ht="30" customHeight="1">
      <c r="A35" s="23" t="inlineStr">
        <is>
          <t>01北海道</t>
        </is>
      </c>
      <c r="B35" s="23" t="inlineStr">
        <is>
          <t>私立</t>
        </is>
      </c>
      <c r="C35" s="23" t="n"/>
      <c r="D35" s="23" t="inlineStr">
        <is>
          <t>東海大学付属札幌高等学校</t>
        </is>
      </c>
      <c r="E35" s="24" t="inlineStr">
        <is>
          <t>011-571-5175</t>
        </is>
      </c>
      <c r="F35" s="23" t="n"/>
      <c r="G35" s="25" t="inlineStr">
        <is>
          <t>普通科</t>
        </is>
      </c>
      <c r="H35" s="26" t="inlineStr">
        <is>
          <t>☐</t>
        </is>
      </c>
      <c r="I35" s="26" t="inlineStr">
        <is>
          <t>☐</t>
        </is>
      </c>
      <c r="J35" s="26" t="inlineStr">
        <is>
          <t>☐</t>
        </is>
      </c>
      <c r="K35" s="26" t="inlineStr">
        <is>
          <t>☐</t>
        </is>
      </c>
      <c r="L35" s="26" t="inlineStr">
        <is>
          <t>☐</t>
        </is>
      </c>
      <c r="M35" s="25" t="n"/>
      <c r="N35" s="27" t="n">
        <v>0</v>
      </c>
      <c r="O35" s="28" t="n"/>
      <c r="P35" s="23" t="n"/>
      <c r="Q35" s="29" t="n"/>
      <c r="R35" s="29" t="n"/>
      <c r="S35" s="23" t="n"/>
      <c r="T35" s="30" t="n"/>
      <c r="U35" s="31" t="inlineStr">
        <is>
          <t>高</t>
        </is>
      </c>
      <c r="V35" s="32" t="inlineStr">
        <is>
          <t>複数資料で一致</t>
        </is>
      </c>
      <c r="W35" s="33" t="inlineStr">
        <is>
          <t>開く</t>
        </is>
      </c>
    </row>
    <row r="36" ht="30" customHeight="1">
      <c r="A36" s="23" t="inlineStr">
        <is>
          <t>01北海道</t>
        </is>
      </c>
      <c r="B36" s="23" t="inlineStr">
        <is>
          <t>私立</t>
        </is>
      </c>
      <c r="C36" s="23" t="n"/>
      <c r="D36" s="23" t="inlineStr">
        <is>
          <t>苫小牧中央高等学校</t>
        </is>
      </c>
      <c r="E36" s="24" t="inlineStr">
        <is>
          <t>0144-74-4200</t>
        </is>
      </c>
      <c r="F36" s="23" t="n"/>
      <c r="G36" s="25" t="inlineStr">
        <is>
          <t>普通科</t>
        </is>
      </c>
      <c r="H36" s="26" t="inlineStr">
        <is>
          <t>☐</t>
        </is>
      </c>
      <c r="I36" s="26" t="inlineStr">
        <is>
          <t>☐</t>
        </is>
      </c>
      <c r="J36" s="26" t="inlineStr">
        <is>
          <t>☐</t>
        </is>
      </c>
      <c r="K36" s="26" t="inlineStr">
        <is>
          <t>☐</t>
        </is>
      </c>
      <c r="L36" s="26" t="inlineStr">
        <is>
          <t>☐</t>
        </is>
      </c>
      <c r="M36" s="25" t="n"/>
      <c r="N36" s="27" t="n">
        <v>0</v>
      </c>
      <c r="O36" s="28" t="n"/>
      <c r="P36" s="23" t="n"/>
      <c r="Q36" s="29" t="n"/>
      <c r="R36" s="29" t="n"/>
      <c r="S36" s="23" t="n"/>
      <c r="T36" s="30" t="n"/>
      <c r="U36" s="31" t="inlineStr">
        <is>
          <t>高</t>
        </is>
      </c>
      <c r="V36" s="32" t="inlineStr">
        <is>
          <t>公式サイト：事務室。職員室は0144-74-4300</t>
        </is>
      </c>
      <c r="W36" s="33" t="inlineStr">
        <is>
          <t>開く</t>
        </is>
      </c>
    </row>
    <row r="37" ht="30" customHeight="1">
      <c r="A37" s="23" t="inlineStr">
        <is>
          <t>01北海道</t>
        </is>
      </c>
      <c r="B37" s="23" t="inlineStr">
        <is>
          <t>私立</t>
        </is>
      </c>
      <c r="C37" s="23" t="n"/>
      <c r="D37" s="23" t="inlineStr">
        <is>
          <t>日本航空高等学校 北海道</t>
        </is>
      </c>
      <c r="E37" s="24" t="inlineStr">
        <is>
          <t>0123-28-1155</t>
        </is>
      </c>
      <c r="F37" s="23" t="n"/>
      <c r="G37" s="25" t="inlineStr">
        <is>
          <t>専門学科</t>
        </is>
      </c>
      <c r="H37" s="26" t="inlineStr">
        <is>
          <t>☐</t>
        </is>
      </c>
      <c r="I37" s="26" t="inlineStr">
        <is>
          <t>☐</t>
        </is>
      </c>
      <c r="J37" s="26" t="inlineStr">
        <is>
          <t>☐</t>
        </is>
      </c>
      <c r="K37" s="26" t="inlineStr">
        <is>
          <t>☐</t>
        </is>
      </c>
      <c r="L37" s="26" t="inlineStr">
        <is>
          <t>☐</t>
        </is>
      </c>
      <c r="M37" s="25" t="n"/>
      <c r="N37" s="27" t="n">
        <v>0</v>
      </c>
      <c r="O37" s="28" t="n"/>
      <c r="P37" s="23" t="n"/>
      <c r="Q37" s="29" t="n"/>
      <c r="R37" s="29" t="n"/>
      <c r="S37" s="23" t="n"/>
      <c r="T37" s="30" t="n"/>
      <c r="U37" s="31" t="inlineStr">
        <is>
          <t>高</t>
        </is>
      </c>
      <c r="V37" s="32" t="inlineStr">
        <is>
          <t>千歳市の北海道キャンパスの番号。日本航空大学校とは別</t>
        </is>
      </c>
      <c r="W37" s="33" t="inlineStr">
        <is>
          <t>開く</t>
        </is>
      </c>
    </row>
    <row r="38" ht="30" customHeight="1">
      <c r="A38" s="23" t="inlineStr">
        <is>
          <t>01北海道</t>
        </is>
      </c>
      <c r="B38" s="23" t="inlineStr">
        <is>
          <t>私立</t>
        </is>
      </c>
      <c r="C38" s="23" t="n"/>
      <c r="D38" s="23" t="inlineStr">
        <is>
          <t>函館大谷高等学校</t>
        </is>
      </c>
      <c r="E38" s="24" t="inlineStr">
        <is>
          <t>0138-52-1834</t>
        </is>
      </c>
      <c r="F38" s="23" t="n"/>
      <c r="G38" s="25" t="inlineStr">
        <is>
          <t>普通科</t>
        </is>
      </c>
      <c r="H38" s="26" t="inlineStr">
        <is>
          <t>☐</t>
        </is>
      </c>
      <c r="I38" s="26" t="inlineStr">
        <is>
          <t>☐</t>
        </is>
      </c>
      <c r="J38" s="26" t="inlineStr">
        <is>
          <t>☐</t>
        </is>
      </c>
      <c r="K38" s="26" t="inlineStr">
        <is>
          <t>☐</t>
        </is>
      </c>
      <c r="L38" s="26" t="inlineStr">
        <is>
          <t>☐</t>
        </is>
      </c>
      <c r="M38" s="25" t="n"/>
      <c r="N38" s="27" t="n">
        <v>0</v>
      </c>
      <c r="O38" s="28" t="n"/>
      <c r="P38" s="23" t="n"/>
      <c r="Q38" s="29" t="n"/>
      <c r="R38" s="29" t="n"/>
      <c r="S38" s="23" t="n"/>
      <c r="T38" s="30" t="n"/>
      <c r="U38" s="34" t="inlineStr">
        <is>
          <t>中</t>
        </is>
      </c>
      <c r="V38" s="32" t="inlineStr">
        <is>
          <t>JS日本の学校のみで確認</t>
        </is>
      </c>
      <c r="W38" s="33" t="inlineStr">
        <is>
          <t>開く</t>
        </is>
      </c>
    </row>
    <row r="39" ht="30" customHeight="1">
      <c r="A39" s="23" t="inlineStr">
        <is>
          <t>01北海道</t>
        </is>
      </c>
      <c r="B39" s="23" t="inlineStr">
        <is>
          <t>私立</t>
        </is>
      </c>
      <c r="C39" s="23" t="n"/>
      <c r="D39" s="23" t="inlineStr">
        <is>
          <t>函館大妻高等学校</t>
        </is>
      </c>
      <c r="E39" s="24" t="inlineStr">
        <is>
          <t>0138-52-1890</t>
        </is>
      </c>
      <c r="F39" s="23" t="n"/>
      <c r="G39" s="25" t="inlineStr">
        <is>
          <t>普通科・専門学科</t>
        </is>
      </c>
      <c r="H39" s="26" t="inlineStr">
        <is>
          <t>☐</t>
        </is>
      </c>
      <c r="I39" s="26" t="inlineStr">
        <is>
          <t>☐</t>
        </is>
      </c>
      <c r="J39" s="26" t="inlineStr">
        <is>
          <t>☐</t>
        </is>
      </c>
      <c r="K39" s="26" t="inlineStr">
        <is>
          <t>☐</t>
        </is>
      </c>
      <c r="L39" s="26" t="inlineStr">
        <is>
          <t>☐</t>
        </is>
      </c>
      <c r="M39" s="25" t="n"/>
      <c r="N39" s="27" t="n">
        <v>0</v>
      </c>
      <c r="O39" s="28" t="n"/>
      <c r="P39" s="23" t="n"/>
      <c r="Q39" s="29" t="n"/>
      <c r="R39" s="29" t="n"/>
      <c r="S39" s="23" t="n"/>
      <c r="T39" s="30" t="n"/>
      <c r="U39" s="34" t="inlineStr">
        <is>
          <t>中</t>
        </is>
      </c>
      <c r="V39" s="32" t="inlineStr">
        <is>
          <t>みんなの高校情報のみで確認</t>
        </is>
      </c>
      <c r="W39" s="33" t="inlineStr">
        <is>
          <t>開く</t>
        </is>
      </c>
    </row>
    <row r="40" ht="30" customHeight="1">
      <c r="A40" s="23" t="inlineStr">
        <is>
          <t>01北海道</t>
        </is>
      </c>
      <c r="B40" s="23" t="inlineStr">
        <is>
          <t>私立</t>
        </is>
      </c>
      <c r="C40" s="23" t="n"/>
      <c r="D40" s="23" t="inlineStr">
        <is>
          <t>函館白百合学園高等学校</t>
        </is>
      </c>
      <c r="E40" s="24" t="inlineStr">
        <is>
          <t>0138-55-6682</t>
        </is>
      </c>
      <c r="F40" s="23" t="n"/>
      <c r="G40" s="25" t="inlineStr">
        <is>
          <t>普通科</t>
        </is>
      </c>
      <c r="H40" s="26" t="inlineStr">
        <is>
          <t>☐</t>
        </is>
      </c>
      <c r="I40" s="26" t="inlineStr">
        <is>
          <t>☐</t>
        </is>
      </c>
      <c r="J40" s="26" t="inlineStr">
        <is>
          <t>☐</t>
        </is>
      </c>
      <c r="K40" s="26" t="inlineStr">
        <is>
          <t>☐</t>
        </is>
      </c>
      <c r="L40" s="26" t="inlineStr">
        <is>
          <t>☐</t>
        </is>
      </c>
      <c r="M40" s="25" t="n"/>
      <c r="N40" s="27" t="n">
        <v>0</v>
      </c>
      <c r="O40" s="28" t="n"/>
      <c r="P40" s="23" t="n"/>
      <c r="Q40" s="29" t="n"/>
      <c r="R40" s="29" t="n"/>
      <c r="S40" s="23" t="n"/>
      <c r="T40" s="30" t="n"/>
      <c r="U40" s="31" t="inlineStr">
        <is>
          <t>高</t>
        </is>
      </c>
      <c r="V40" s="32" t="inlineStr">
        <is>
          <t>中高共通の代表番号</t>
        </is>
      </c>
      <c r="W40" s="33" t="inlineStr">
        <is>
          <t>開く</t>
        </is>
      </c>
    </row>
    <row r="41" ht="30" customHeight="1">
      <c r="A41" s="23" t="inlineStr">
        <is>
          <t>01北海道</t>
        </is>
      </c>
      <c r="B41" s="23" t="inlineStr">
        <is>
          <t>私立</t>
        </is>
      </c>
      <c r="C41" s="23" t="n"/>
      <c r="D41" s="23" t="inlineStr">
        <is>
          <t>函館大学付属柏稜高等学校</t>
        </is>
      </c>
      <c r="E41" s="24" t="inlineStr">
        <is>
          <t>0138-51-1481</t>
        </is>
      </c>
      <c r="F41" s="23" t="n"/>
      <c r="G41" s="25" t="inlineStr">
        <is>
          <t>普通科・専門学科</t>
        </is>
      </c>
      <c r="H41" s="26" t="inlineStr">
        <is>
          <t>☐</t>
        </is>
      </c>
      <c r="I41" s="26" t="inlineStr">
        <is>
          <t>☐</t>
        </is>
      </c>
      <c r="J41" s="26" t="inlineStr">
        <is>
          <t>☐</t>
        </is>
      </c>
      <c r="K41" s="26" t="inlineStr">
        <is>
          <t>☐</t>
        </is>
      </c>
      <c r="L41" s="26" t="inlineStr">
        <is>
          <t>☐</t>
        </is>
      </c>
      <c r="M41" s="25" t="n"/>
      <c r="N41" s="27" t="n">
        <v>0</v>
      </c>
      <c r="O41" s="28" t="n"/>
      <c r="P41" s="23" t="n"/>
      <c r="Q41" s="29" t="n"/>
      <c r="R41" s="29" t="n"/>
      <c r="S41" s="23" t="n"/>
      <c r="T41" s="30" t="n"/>
      <c r="U41" s="31" t="inlineStr">
        <is>
          <t>高</t>
        </is>
      </c>
      <c r="V41" s="32" t="inlineStr">
        <is>
          <t>JS日本の学校とみんなの高校情報で一致</t>
        </is>
      </c>
      <c r="W41" s="33" t="inlineStr">
        <is>
          <t>開く</t>
        </is>
      </c>
    </row>
    <row r="42" ht="30" customHeight="1">
      <c r="A42" s="23" t="inlineStr">
        <is>
          <t>01北海道</t>
        </is>
      </c>
      <c r="B42" s="23" t="inlineStr">
        <is>
          <t>私立</t>
        </is>
      </c>
      <c r="C42" s="23" t="n"/>
      <c r="D42" s="23" t="inlineStr">
        <is>
          <t>函館大学付属有斗高等学校</t>
        </is>
      </c>
      <c r="E42" s="24" t="inlineStr">
        <is>
          <t>0138-57-1381</t>
        </is>
      </c>
      <c r="F42" s="23" t="n"/>
      <c r="G42" s="25" t="inlineStr">
        <is>
          <t>普通科</t>
        </is>
      </c>
      <c r="H42" s="26" t="inlineStr">
        <is>
          <t>☐</t>
        </is>
      </c>
      <c r="I42" s="26" t="inlineStr">
        <is>
          <t>☐</t>
        </is>
      </c>
      <c r="J42" s="26" t="inlineStr">
        <is>
          <t>☐</t>
        </is>
      </c>
      <c r="K42" s="26" t="inlineStr">
        <is>
          <t>☐</t>
        </is>
      </c>
      <c r="L42" s="26" t="inlineStr">
        <is>
          <t>☐</t>
        </is>
      </c>
      <c r="M42" s="25" t="n"/>
      <c r="N42" s="27" t="n">
        <v>0</v>
      </c>
      <c r="O42" s="28" t="n"/>
      <c r="P42" s="23" t="n"/>
      <c r="Q42" s="29" t="n"/>
      <c r="R42" s="29" t="n"/>
      <c r="S42" s="23" t="n"/>
      <c r="T42" s="30" t="n"/>
      <c r="U42" s="31" t="inlineStr">
        <is>
          <t>高</t>
        </is>
      </c>
      <c r="V42" s="32" t="inlineStr">
        <is>
          <t>複数の進学情報サイトで一致</t>
        </is>
      </c>
      <c r="W42" s="33" t="inlineStr">
        <is>
          <t>開く</t>
        </is>
      </c>
    </row>
    <row r="43" ht="30" customHeight="1">
      <c r="A43" s="23" t="inlineStr">
        <is>
          <t>01北海道</t>
        </is>
      </c>
      <c r="B43" s="23" t="inlineStr">
        <is>
          <t>私立</t>
        </is>
      </c>
      <c r="C43" s="23" t="n"/>
      <c r="D43" s="23" t="inlineStr">
        <is>
          <t>函館ラ・サール高等学校</t>
        </is>
      </c>
      <c r="E43" s="24" t="inlineStr">
        <is>
          <t>0138-52-0365</t>
        </is>
      </c>
      <c r="F43" s="23" t="n"/>
      <c r="G43" s="25" t="inlineStr">
        <is>
          <t>普通科</t>
        </is>
      </c>
      <c r="H43" s="26" t="inlineStr">
        <is>
          <t>☐</t>
        </is>
      </c>
      <c r="I43" s="26" t="inlineStr">
        <is>
          <t>☐</t>
        </is>
      </c>
      <c r="J43" s="26" t="inlineStr">
        <is>
          <t>☐</t>
        </is>
      </c>
      <c r="K43" s="26" t="inlineStr">
        <is>
          <t>☐</t>
        </is>
      </c>
      <c r="L43" s="26" t="inlineStr">
        <is>
          <t>☐</t>
        </is>
      </c>
      <c r="M43" s="25" t="n"/>
      <c r="N43" s="27" t="n">
        <v>0</v>
      </c>
      <c r="O43" s="28" t="n"/>
      <c r="P43" s="23" t="n"/>
      <c r="Q43" s="29" t="n"/>
      <c r="R43" s="29" t="n"/>
      <c r="S43" s="23" t="n"/>
      <c r="T43" s="30" t="n"/>
      <c r="U43" s="31" t="inlineStr">
        <is>
          <t>高</t>
        </is>
      </c>
      <c r="V43" s="32" t="inlineStr">
        <is>
          <t>中高共通。複数サイトで一致</t>
        </is>
      </c>
      <c r="W43" s="33" t="inlineStr">
        <is>
          <t>開く</t>
        </is>
      </c>
    </row>
    <row r="44" ht="30" customHeight="1">
      <c r="A44" s="23" t="inlineStr">
        <is>
          <t>01北海道</t>
        </is>
      </c>
      <c r="B44" s="23" t="inlineStr">
        <is>
          <t>私立</t>
        </is>
      </c>
      <c r="C44" s="23" t="n"/>
      <c r="D44" s="23" t="inlineStr">
        <is>
          <t>藤女子高等学校</t>
        </is>
      </c>
      <c r="E44" s="24" t="inlineStr">
        <is>
          <t>011-707-5001</t>
        </is>
      </c>
      <c r="F44" s="23" t="n"/>
      <c r="G44" s="25" t="inlineStr">
        <is>
          <t>普通科</t>
        </is>
      </c>
      <c r="H44" s="26" t="inlineStr">
        <is>
          <t>☐</t>
        </is>
      </c>
      <c r="I44" s="26" t="inlineStr">
        <is>
          <t>☐</t>
        </is>
      </c>
      <c r="J44" s="26" t="inlineStr">
        <is>
          <t>☐</t>
        </is>
      </c>
      <c r="K44" s="26" t="inlineStr">
        <is>
          <t>☐</t>
        </is>
      </c>
      <c r="L44" s="26" t="inlineStr">
        <is>
          <t>☐</t>
        </is>
      </c>
      <c r="M44" s="25" t="n"/>
      <c r="N44" s="27" t="n">
        <v>0</v>
      </c>
      <c r="O44" s="28" t="n"/>
      <c r="P44" s="23" t="n"/>
      <c r="Q44" s="29" t="n"/>
      <c r="R44" s="29" t="n"/>
      <c r="S44" s="23" t="n"/>
      <c r="T44" s="30" t="n"/>
      <c r="U44" s="31" t="inlineStr">
        <is>
          <t>高</t>
        </is>
      </c>
      <c r="V44" s="32" t="inlineStr">
        <is>
          <t>公式の募集要項PDFと道私学協会の資料で一致</t>
        </is>
      </c>
      <c r="W44" s="33" t="inlineStr">
        <is>
          <t>開く</t>
        </is>
      </c>
    </row>
    <row r="45" ht="30" customHeight="1">
      <c r="A45" s="23" t="inlineStr">
        <is>
          <t>01北海道</t>
        </is>
      </c>
      <c r="B45" s="23" t="inlineStr">
        <is>
          <t>私立</t>
        </is>
      </c>
      <c r="C45" s="23" t="n"/>
      <c r="D45" s="23" t="inlineStr">
        <is>
          <t>武修館高等学校</t>
        </is>
      </c>
      <c r="E45" s="24" t="inlineStr">
        <is>
          <t>0154-47-3211</t>
        </is>
      </c>
      <c r="F45" s="23" t="n"/>
      <c r="G45" s="25" t="inlineStr">
        <is>
          <t>普通科</t>
        </is>
      </c>
      <c r="H45" s="26" t="inlineStr">
        <is>
          <t>☐</t>
        </is>
      </c>
      <c r="I45" s="26" t="inlineStr">
        <is>
          <t>☐</t>
        </is>
      </c>
      <c r="J45" s="26" t="inlineStr">
        <is>
          <t>☐</t>
        </is>
      </c>
      <c r="K45" s="26" t="inlineStr">
        <is>
          <t>☐</t>
        </is>
      </c>
      <c r="L45" s="26" t="inlineStr">
        <is>
          <t>☐</t>
        </is>
      </c>
      <c r="M45" s="25" t="n"/>
      <c r="N45" s="27" t="n">
        <v>0</v>
      </c>
      <c r="O45" s="28" t="n"/>
      <c r="P45" s="23" t="n"/>
      <c r="Q45" s="29" t="n"/>
      <c r="R45" s="29" t="n"/>
      <c r="S45" s="23" t="n"/>
      <c r="T45" s="30" t="n"/>
      <c r="U45" s="31" t="inlineStr">
        <is>
          <t>高</t>
        </is>
      </c>
      <c r="V45" s="32" t="inlineStr">
        <is>
          <t>JS日本の学校とみんなの高校情報で一致。中学校は別番号（0154-47-3220）</t>
        </is>
      </c>
      <c r="W45" s="33" t="inlineStr">
        <is>
          <t>開く</t>
        </is>
      </c>
    </row>
    <row r="46" ht="30" customHeight="1">
      <c r="A46" s="23" t="inlineStr">
        <is>
          <t>01北海道</t>
        </is>
      </c>
      <c r="B46" s="23" t="inlineStr">
        <is>
          <t>私立</t>
        </is>
      </c>
      <c r="C46" s="23" t="n"/>
      <c r="D46" s="23" t="inlineStr">
        <is>
          <t>北照高等学校</t>
        </is>
      </c>
      <c r="E46" s="24" t="inlineStr">
        <is>
          <t>0134-32-0331</t>
        </is>
      </c>
      <c r="F46" s="23" t="n"/>
      <c r="G46" s="25" t="inlineStr">
        <is>
          <t>普通科</t>
        </is>
      </c>
      <c r="H46" s="26" t="inlineStr">
        <is>
          <t>☐</t>
        </is>
      </c>
      <c r="I46" s="26" t="inlineStr">
        <is>
          <t>☐</t>
        </is>
      </c>
      <c r="J46" s="26" t="inlineStr">
        <is>
          <t>☐</t>
        </is>
      </c>
      <c r="K46" s="26" t="inlineStr">
        <is>
          <t>☐</t>
        </is>
      </c>
      <c r="L46" s="26" t="inlineStr">
        <is>
          <t>☐</t>
        </is>
      </c>
      <c r="M46" s="25" t="n"/>
      <c r="N46" s="27" t="n">
        <v>0</v>
      </c>
      <c r="O46" s="28" t="n"/>
      <c r="P46" s="23" t="n"/>
      <c r="Q46" s="29" t="n"/>
      <c r="R46" s="29" t="n"/>
      <c r="S46" s="23" t="n"/>
      <c r="T46" s="30" t="n"/>
      <c r="U46" s="31" t="inlineStr">
        <is>
          <t>高</t>
        </is>
      </c>
      <c r="V46" s="32" t="inlineStr">
        <is>
          <t>複数サイトと公式PDFで一致</t>
        </is>
      </c>
      <c r="W46" s="33" t="inlineStr">
        <is>
          <t>開く</t>
        </is>
      </c>
    </row>
    <row r="47" ht="30" customHeight="1">
      <c r="A47" s="23" t="inlineStr">
        <is>
          <t>01北海道</t>
        </is>
      </c>
      <c r="B47" s="23" t="inlineStr">
        <is>
          <t>私立</t>
        </is>
      </c>
      <c r="C47" s="23" t="n"/>
      <c r="D47" s="23" t="inlineStr">
        <is>
          <t>北星学園女子高等学校</t>
        </is>
      </c>
      <c r="E47" s="24" t="inlineStr">
        <is>
          <t>011-561-7153</t>
        </is>
      </c>
      <c r="F47" s="23" t="n"/>
      <c r="G47" s="25" t="inlineStr">
        <is>
          <t>普通科・専門学科</t>
        </is>
      </c>
      <c r="H47" s="26" t="inlineStr">
        <is>
          <t>☐</t>
        </is>
      </c>
      <c r="I47" s="26" t="inlineStr">
        <is>
          <t>☐</t>
        </is>
      </c>
      <c r="J47" s="26" t="inlineStr">
        <is>
          <t>☐</t>
        </is>
      </c>
      <c r="K47" s="26" t="inlineStr">
        <is>
          <t>☐</t>
        </is>
      </c>
      <c r="L47" s="26" t="inlineStr">
        <is>
          <t>☐</t>
        </is>
      </c>
      <c r="M47" s="25" t="n"/>
      <c r="N47" s="27" t="n">
        <v>0</v>
      </c>
      <c r="O47" s="28" t="n"/>
      <c r="P47" s="23" t="n"/>
      <c r="Q47" s="29" t="n"/>
      <c r="R47" s="29" t="n"/>
      <c r="S47" s="23" t="n"/>
      <c r="T47" s="30" t="n"/>
      <c r="U47" s="31" t="inlineStr">
        <is>
          <t>高</t>
        </is>
      </c>
      <c r="V47" s="32" t="inlineStr">
        <is>
          <t>学校情報サイトと札幌市中学校の掲載資料で一致</t>
        </is>
      </c>
      <c r="W47" s="33" t="inlineStr">
        <is>
          <t>開く</t>
        </is>
      </c>
    </row>
    <row r="48" ht="30" customHeight="1">
      <c r="A48" s="23" t="inlineStr">
        <is>
          <t>01北海道</t>
        </is>
      </c>
      <c r="B48" s="23" t="inlineStr">
        <is>
          <t>私立</t>
        </is>
      </c>
      <c r="C48" s="23" t="n"/>
      <c r="D48" s="23" t="inlineStr">
        <is>
          <t>北星学園大学附属高等学校</t>
        </is>
      </c>
      <c r="E48" s="24" t="inlineStr">
        <is>
          <t>011-897-2881</t>
        </is>
      </c>
      <c r="F48" s="23" t="n"/>
      <c r="G48" s="25" t="inlineStr">
        <is>
          <t>普通科</t>
        </is>
      </c>
      <c r="H48" s="26" t="inlineStr">
        <is>
          <t>☐</t>
        </is>
      </c>
      <c r="I48" s="26" t="inlineStr">
        <is>
          <t>☐</t>
        </is>
      </c>
      <c r="J48" s="26" t="inlineStr">
        <is>
          <t>☐</t>
        </is>
      </c>
      <c r="K48" s="26" t="inlineStr">
        <is>
          <t>☐</t>
        </is>
      </c>
      <c r="L48" s="26" t="inlineStr">
        <is>
          <t>☐</t>
        </is>
      </c>
      <c r="M48" s="25" t="n"/>
      <c r="N48" s="27" t="n">
        <v>0</v>
      </c>
      <c r="O48" s="28" t="n"/>
      <c r="P48" s="23" t="n"/>
      <c r="Q48" s="29" t="n"/>
      <c r="R48" s="29" t="n"/>
      <c r="S48" s="23" t="n"/>
      <c r="T48" s="30" t="n"/>
      <c r="U48" s="31" t="inlineStr">
        <is>
          <t>高</t>
        </is>
      </c>
      <c r="V48" s="32" t="inlineStr">
        <is>
          <t>JS日本の学校とみんなの高校情報で一致</t>
        </is>
      </c>
      <c r="W48" s="33" t="inlineStr">
        <is>
          <t>開く</t>
        </is>
      </c>
    </row>
    <row r="49" ht="30" customHeight="1">
      <c r="A49" s="23" t="inlineStr">
        <is>
          <t>01北海道</t>
        </is>
      </c>
      <c r="B49" s="23" t="inlineStr">
        <is>
          <t>私立</t>
        </is>
      </c>
      <c r="C49" s="23" t="n"/>
      <c r="D49" s="23" t="inlineStr">
        <is>
          <t>北星学園余市高等学校</t>
        </is>
      </c>
      <c r="E49" s="24" t="inlineStr">
        <is>
          <t>0135-23-2165</t>
        </is>
      </c>
      <c r="F49" s="23" t="n"/>
      <c r="G49" s="25" t="inlineStr">
        <is>
          <t>普通科</t>
        </is>
      </c>
      <c r="H49" s="26" t="inlineStr">
        <is>
          <t>☐</t>
        </is>
      </c>
      <c r="I49" s="26" t="inlineStr">
        <is>
          <t>☐</t>
        </is>
      </c>
      <c r="J49" s="26" t="inlineStr">
        <is>
          <t>☐</t>
        </is>
      </c>
      <c r="K49" s="26" t="inlineStr">
        <is>
          <t>☐</t>
        </is>
      </c>
      <c r="L49" s="26" t="inlineStr">
        <is>
          <t>☐</t>
        </is>
      </c>
      <c r="M49" s="25" t="n"/>
      <c r="N49" s="27" t="n">
        <v>0</v>
      </c>
      <c r="O49" s="28" t="n"/>
      <c r="P49" s="23" t="n"/>
      <c r="Q49" s="29" t="n"/>
      <c r="R49" s="29" t="n"/>
      <c r="S49" s="23" t="n"/>
      <c r="T49" s="30" t="n"/>
      <c r="U49" s="34" t="inlineStr">
        <is>
          <t>中</t>
        </is>
      </c>
      <c r="V49" s="32" t="inlineStr">
        <is>
          <t>公式PDF（2026年5月）では「事務室 0135-23-2166」の記載あり。要確認</t>
        </is>
      </c>
      <c r="W49" s="33" t="inlineStr">
        <is>
          <t>開く</t>
        </is>
      </c>
    </row>
    <row r="50" ht="30" customHeight="1">
      <c r="A50" s="23" t="inlineStr">
        <is>
          <t>01北海道</t>
        </is>
      </c>
      <c r="B50" s="23" t="inlineStr">
        <is>
          <t>私立</t>
        </is>
      </c>
      <c r="C50" s="23" t="n"/>
      <c r="D50" s="23" t="inlineStr">
        <is>
          <t>北嶺高等学校</t>
        </is>
      </c>
      <c r="E50" s="24" t="inlineStr">
        <is>
          <t>011-883-4651</t>
        </is>
      </c>
      <c r="F50" s="23" t="n"/>
      <c r="G50" s="25" t="inlineStr">
        <is>
          <t>普通科</t>
        </is>
      </c>
      <c r="H50" s="26" t="inlineStr">
        <is>
          <t>☐</t>
        </is>
      </c>
      <c r="I50" s="26" t="inlineStr">
        <is>
          <t>☐</t>
        </is>
      </c>
      <c r="J50" s="26" t="inlineStr">
        <is>
          <t>☐</t>
        </is>
      </c>
      <c r="K50" s="26" t="inlineStr">
        <is>
          <t>☐</t>
        </is>
      </c>
      <c r="L50" s="26" t="inlineStr">
        <is>
          <t>☐</t>
        </is>
      </c>
      <c r="M50" s="25" t="n"/>
      <c r="N50" s="27" t="n">
        <v>0</v>
      </c>
      <c r="O50" s="28" t="n"/>
      <c r="P50" s="23" t="n"/>
      <c r="Q50" s="29" t="n"/>
      <c r="R50" s="29" t="n"/>
      <c r="S50" s="23" t="n"/>
      <c r="T50" s="30" t="n"/>
      <c r="U50" s="31" t="inlineStr">
        <is>
          <t>高</t>
        </is>
      </c>
      <c r="V50" s="32" t="inlineStr">
        <is>
          <t>中高共通。複数サイトで一致</t>
        </is>
      </c>
      <c r="W50" s="33" t="inlineStr">
        <is>
          <t>開く</t>
        </is>
      </c>
    </row>
    <row r="51" ht="30" customHeight="1">
      <c r="A51" s="23" t="inlineStr">
        <is>
          <t>01北海道</t>
        </is>
      </c>
      <c r="B51" s="23" t="inlineStr">
        <is>
          <t>私立</t>
        </is>
      </c>
      <c r="C51" s="23" t="n"/>
      <c r="D51" s="23" t="inlineStr">
        <is>
          <t>北海学園札幌高等学校</t>
        </is>
      </c>
      <c r="E51" s="24" t="inlineStr">
        <is>
          <t>011-841-1161</t>
        </is>
      </c>
      <c r="F51" s="23" t="n"/>
      <c r="G51" s="25" t="inlineStr">
        <is>
          <t>普通科</t>
        </is>
      </c>
      <c r="H51" s="26" t="inlineStr">
        <is>
          <t>☐</t>
        </is>
      </c>
      <c r="I51" s="26" t="inlineStr">
        <is>
          <t>☐</t>
        </is>
      </c>
      <c r="J51" s="26" t="inlineStr">
        <is>
          <t>☐</t>
        </is>
      </c>
      <c r="K51" s="26" t="inlineStr">
        <is>
          <t>☐</t>
        </is>
      </c>
      <c r="L51" s="26" t="inlineStr">
        <is>
          <t>☐</t>
        </is>
      </c>
      <c r="M51" s="25" t="n"/>
      <c r="N51" s="27" t="n">
        <v>0</v>
      </c>
      <c r="O51" s="28" t="n"/>
      <c r="P51" s="23" t="n"/>
      <c r="Q51" s="29" t="n"/>
      <c r="R51" s="29" t="n"/>
      <c r="S51" s="23" t="n"/>
      <c r="T51" s="30" t="n"/>
      <c r="U51" s="31" t="inlineStr">
        <is>
          <t>高</t>
        </is>
      </c>
      <c r="V51" s="32" t="inlineStr">
        <is>
          <t>公式サイトで「代表」と確認。北海高校・北海学園大学と同じ代表番号のため、学校名を伝えて取り次ぎを依頼</t>
        </is>
      </c>
      <c r="W51" s="33" t="inlineStr">
        <is>
          <t>開く</t>
        </is>
      </c>
    </row>
    <row r="52" ht="30" customHeight="1">
      <c r="A52" s="23" t="inlineStr">
        <is>
          <t>01北海道</t>
        </is>
      </c>
      <c r="B52" s="23" t="inlineStr">
        <is>
          <t>私立</t>
        </is>
      </c>
      <c r="C52" s="23" t="n"/>
      <c r="D52" s="23" t="inlineStr">
        <is>
          <t>北海高等学校</t>
        </is>
      </c>
      <c r="E52" s="24" t="inlineStr">
        <is>
          <t>011-841-1161</t>
        </is>
      </c>
      <c r="F52" s="23" t="n"/>
      <c r="G52" s="25" t="inlineStr">
        <is>
          <t>普通科</t>
        </is>
      </c>
      <c r="H52" s="26" t="inlineStr">
        <is>
          <t>☐</t>
        </is>
      </c>
      <c r="I52" s="26" t="inlineStr">
        <is>
          <t>☐</t>
        </is>
      </c>
      <c r="J52" s="26" t="inlineStr">
        <is>
          <t>☐</t>
        </is>
      </c>
      <c r="K52" s="26" t="inlineStr">
        <is>
          <t>☐</t>
        </is>
      </c>
      <c r="L52" s="26" t="inlineStr">
        <is>
          <t>☐</t>
        </is>
      </c>
      <c r="M52" s="25" t="n"/>
      <c r="N52" s="27" t="n">
        <v>0</v>
      </c>
      <c r="O52" s="28" t="n"/>
      <c r="P52" s="23" t="n"/>
      <c r="Q52" s="29" t="n"/>
      <c r="R52" s="29" t="n"/>
      <c r="S52" s="23" t="n"/>
      <c r="T52" s="30" t="n"/>
      <c r="U52" s="34" t="inlineStr">
        <is>
          <t>中</t>
        </is>
      </c>
      <c r="V52" s="32" t="inlineStr">
        <is>
          <t>北海学園の共通代表番号。学校名を伝えて取り次ぎを依頼</t>
        </is>
      </c>
      <c r="W52" s="33" t="inlineStr">
        <is>
          <t>開く</t>
        </is>
      </c>
    </row>
    <row r="53" ht="30" customHeight="1">
      <c r="A53" s="23" t="inlineStr">
        <is>
          <t>01北海道</t>
        </is>
      </c>
      <c r="B53" s="23" t="inlineStr">
        <is>
          <t>私立</t>
        </is>
      </c>
      <c r="C53" s="23" t="n"/>
      <c r="D53" s="23" t="inlineStr">
        <is>
          <t>北海道大谷室蘭高等学校</t>
        </is>
      </c>
      <c r="E53" s="24" t="inlineStr">
        <is>
          <t>0143-44-5641</t>
        </is>
      </c>
      <c r="F53" s="23" t="n"/>
      <c r="G53" s="25" t="inlineStr">
        <is>
          <t>普通科</t>
        </is>
      </c>
      <c r="H53" s="26" t="inlineStr">
        <is>
          <t>☐</t>
        </is>
      </c>
      <c r="I53" s="26" t="inlineStr">
        <is>
          <t>☐</t>
        </is>
      </c>
      <c r="J53" s="26" t="inlineStr">
        <is>
          <t>☐</t>
        </is>
      </c>
      <c r="K53" s="26" t="inlineStr">
        <is>
          <t>☐</t>
        </is>
      </c>
      <c r="L53" s="26" t="inlineStr">
        <is>
          <t>☐</t>
        </is>
      </c>
      <c r="M53" s="25" t="n"/>
      <c r="N53" s="27" t="n">
        <v>0</v>
      </c>
      <c r="O53" s="28" t="n"/>
      <c r="P53" s="23" t="n"/>
      <c r="Q53" s="29" t="n"/>
      <c r="R53" s="29" t="n"/>
      <c r="S53" s="23" t="n"/>
      <c r="T53" s="30" t="n"/>
      <c r="U53" s="34" t="inlineStr">
        <is>
          <t>中</t>
        </is>
      </c>
      <c r="V53" s="32" t="inlineStr">
        <is>
          <t>学校情報サイト1件のみで確認</t>
        </is>
      </c>
      <c r="W53" s="33" t="inlineStr">
        <is>
          <t>開く</t>
        </is>
      </c>
    </row>
    <row r="54" ht="30" customHeight="1">
      <c r="A54" s="23" t="inlineStr">
        <is>
          <t>01北海道</t>
        </is>
      </c>
      <c r="B54" s="23" t="inlineStr">
        <is>
          <t>私立</t>
        </is>
      </c>
      <c r="C54" s="23" t="n"/>
      <c r="D54" s="23" t="inlineStr">
        <is>
          <t>北海道科学大学高等学校</t>
        </is>
      </c>
      <c r="E54" s="24" t="inlineStr">
        <is>
          <t>011-699-6987</t>
        </is>
      </c>
      <c r="F54" s="23" t="n"/>
      <c r="G54" s="25" t="inlineStr">
        <is>
          <t>普通科・専門学科</t>
        </is>
      </c>
      <c r="H54" s="26" t="inlineStr">
        <is>
          <t>☐</t>
        </is>
      </c>
      <c r="I54" s="26" t="inlineStr">
        <is>
          <t>☐</t>
        </is>
      </c>
      <c r="J54" s="26" t="inlineStr">
        <is>
          <t>☐</t>
        </is>
      </c>
      <c r="K54" s="26" t="inlineStr">
        <is>
          <t>☐</t>
        </is>
      </c>
      <c r="L54" s="26" t="inlineStr">
        <is>
          <t>☐</t>
        </is>
      </c>
      <c r="M54" s="25" t="n"/>
      <c r="N54" s="27" t="n">
        <v>0</v>
      </c>
      <c r="O54" s="28" t="n"/>
      <c r="P54" s="23" t="n"/>
      <c r="Q54" s="29" t="n"/>
      <c r="R54" s="29" t="n"/>
      <c r="S54" s="23" t="n"/>
      <c r="T54" s="30" t="n"/>
      <c r="U54" s="31" t="inlineStr">
        <is>
          <t>高</t>
        </is>
      </c>
      <c r="V54" s="32" t="inlineStr">
        <is>
          <t>札幌市の一覧で確認。大学の番号とは別</t>
        </is>
      </c>
      <c r="W54" s="33" t="inlineStr">
        <is>
          <t>開く</t>
        </is>
      </c>
    </row>
    <row r="55" ht="30" customHeight="1">
      <c r="A55" s="23" t="inlineStr">
        <is>
          <t>01北海道</t>
        </is>
      </c>
      <c r="B55" s="23" t="inlineStr">
        <is>
          <t>私立</t>
        </is>
      </c>
      <c r="C55" s="23" t="n"/>
      <c r="D55" s="23" t="inlineStr">
        <is>
          <t>北海道芸術高等学校</t>
        </is>
      </c>
      <c r="E55" s="24" t="inlineStr">
        <is>
          <t>0135-48-5131</t>
        </is>
      </c>
      <c r="F55" s="23" t="n"/>
      <c r="G55" s="25" t="inlineStr">
        <is>
          <t>普通科</t>
        </is>
      </c>
      <c r="H55" s="26" t="inlineStr">
        <is>
          <t>☐</t>
        </is>
      </c>
      <c r="I55" s="26" t="inlineStr">
        <is>
          <t>☐</t>
        </is>
      </c>
      <c r="J55" s="26" t="inlineStr">
        <is>
          <t>☐</t>
        </is>
      </c>
      <c r="K55" s="26" t="inlineStr">
        <is>
          <t>☐</t>
        </is>
      </c>
      <c r="L55" s="26" t="inlineStr">
        <is>
          <t>☐</t>
        </is>
      </c>
      <c r="M55" s="25" t="n"/>
      <c r="N55" s="27" t="n">
        <v>0</v>
      </c>
      <c r="O55" s="28" t="n"/>
      <c r="P55" s="23" t="n"/>
      <c r="Q55" s="29" t="n"/>
      <c r="R55" s="29" t="n"/>
      <c r="S55" s="23" t="n"/>
      <c r="T55" s="30" t="n"/>
      <c r="U55" s="34" t="inlineStr">
        <is>
          <t>中</t>
        </is>
      </c>
      <c r="V55" s="32" t="inlineStr">
        <is>
          <t>【所在地注意】本校は2015年に清水町から仁木町へ移転済み。番号は仁木本校のもの</t>
        </is>
      </c>
      <c r="W55" s="33" t="inlineStr">
        <is>
          <t>開く</t>
        </is>
      </c>
    </row>
    <row r="56" ht="30" customHeight="1">
      <c r="A56" s="23" t="inlineStr">
        <is>
          <t>01北海道</t>
        </is>
      </c>
      <c r="B56" s="23" t="inlineStr">
        <is>
          <t>私立</t>
        </is>
      </c>
      <c r="C56" s="23" t="n"/>
      <c r="D56" s="23" t="inlineStr">
        <is>
          <t>北海道栄高等学校</t>
        </is>
      </c>
      <c r="E56" s="24" t="inlineStr">
        <is>
          <t>0144-82-2185</t>
        </is>
      </c>
      <c r="F56" s="23" t="n"/>
      <c r="G56" s="25" t="inlineStr">
        <is>
          <t>普通科</t>
        </is>
      </c>
      <c r="H56" s="26" t="inlineStr">
        <is>
          <t>☐</t>
        </is>
      </c>
      <c r="I56" s="26" t="inlineStr">
        <is>
          <t>☐</t>
        </is>
      </c>
      <c r="J56" s="26" t="inlineStr">
        <is>
          <t>☐</t>
        </is>
      </c>
      <c r="K56" s="26" t="inlineStr">
        <is>
          <t>☐</t>
        </is>
      </c>
      <c r="L56" s="26" t="inlineStr">
        <is>
          <t>☐</t>
        </is>
      </c>
      <c r="M56" s="25" t="n"/>
      <c r="N56" s="27" t="n">
        <v>0</v>
      </c>
      <c r="O56" s="28" t="n"/>
      <c r="P56" s="23" t="n"/>
      <c r="Q56" s="29" t="n"/>
      <c r="R56" s="29" t="n"/>
      <c r="S56" s="23" t="n"/>
      <c r="T56" s="30" t="n"/>
      <c r="U56" s="34" t="inlineStr">
        <is>
          <t>中</t>
        </is>
      </c>
      <c r="V56" s="32" t="inlineStr">
        <is>
          <t>白老町。苫小牧市への移転計画の報道あり（移転後は番号が変わる可能性）</t>
        </is>
      </c>
      <c r="W56" s="33" t="inlineStr">
        <is>
          <t>開く</t>
        </is>
      </c>
    </row>
    <row r="57" ht="30" customHeight="1">
      <c r="A57" s="23" t="inlineStr">
        <is>
          <t>01北海道</t>
        </is>
      </c>
      <c r="B57" s="23" t="inlineStr">
        <is>
          <t>私立</t>
        </is>
      </c>
      <c r="C57" s="23" t="n"/>
      <c r="D57" s="23" t="inlineStr">
        <is>
          <t>北海道文教大学附属高等学校</t>
        </is>
      </c>
      <c r="E57" s="24" t="inlineStr">
        <is>
          <t>0123-25-5570</t>
        </is>
      </c>
      <c r="F57" s="23" t="n"/>
      <c r="G57" s="25" t="inlineStr">
        <is>
          <t>普通科・専門学科</t>
        </is>
      </c>
      <c r="H57" s="26" t="inlineStr">
        <is>
          <t>☐</t>
        </is>
      </c>
      <c r="I57" s="26" t="inlineStr">
        <is>
          <t>☐</t>
        </is>
      </c>
      <c r="J57" s="26" t="inlineStr">
        <is>
          <t>☐</t>
        </is>
      </c>
      <c r="K57" s="26" t="inlineStr">
        <is>
          <t>☐</t>
        </is>
      </c>
      <c r="L57" s="26" t="inlineStr">
        <is>
          <t>☐</t>
        </is>
      </c>
      <c r="M57" s="25" t="n"/>
      <c r="N57" s="27" t="n">
        <v>0</v>
      </c>
      <c r="O57" s="28" t="n"/>
      <c r="P57" s="23" t="n"/>
      <c r="Q57" s="29" t="n"/>
      <c r="R57" s="29" t="n"/>
      <c r="S57" s="23" t="n"/>
      <c r="T57" s="30" t="n"/>
      <c r="U57" s="31" t="inlineStr">
        <is>
          <t>高</t>
        </is>
      </c>
      <c r="V57" s="32" t="inlineStr">
        <is>
          <t>複数サイトで一致</t>
        </is>
      </c>
      <c r="W57" s="33" t="inlineStr">
        <is>
          <t>開く</t>
        </is>
      </c>
    </row>
    <row r="58" ht="30" customHeight="1">
      <c r="A58" s="23" t="inlineStr">
        <is>
          <t>01北海道</t>
        </is>
      </c>
      <c r="B58" s="23" t="inlineStr">
        <is>
          <t>私立</t>
        </is>
      </c>
      <c r="C58" s="23" t="n"/>
      <c r="D58" s="23" t="inlineStr">
        <is>
          <t>酪農学園大学附属とわの森三愛高等学校</t>
        </is>
      </c>
      <c r="E58" s="24" t="inlineStr">
        <is>
          <t>011-386-3111</t>
        </is>
      </c>
      <c r="F58" s="23" t="n"/>
      <c r="G58" s="25" t="inlineStr">
        <is>
          <t>普通科・専門学科</t>
        </is>
      </c>
      <c r="H58" s="26" t="inlineStr">
        <is>
          <t>☐</t>
        </is>
      </c>
      <c r="I58" s="26" t="inlineStr">
        <is>
          <t>☐</t>
        </is>
      </c>
      <c r="J58" s="26" t="inlineStr">
        <is>
          <t>☐</t>
        </is>
      </c>
      <c r="K58" s="26" t="inlineStr">
        <is>
          <t>☐</t>
        </is>
      </c>
      <c r="L58" s="26" t="inlineStr">
        <is>
          <t>☐</t>
        </is>
      </c>
      <c r="M58" s="25" t="n"/>
      <c r="N58" s="27" t="n">
        <v>0</v>
      </c>
      <c r="O58" s="28" t="n"/>
      <c r="P58" s="23" t="n"/>
      <c r="Q58" s="29" t="n"/>
      <c r="R58" s="29" t="n"/>
      <c r="S58" s="23" t="n"/>
      <c r="T58" s="30" t="n"/>
      <c r="U58" s="34" t="inlineStr">
        <is>
          <t>中</t>
        </is>
      </c>
      <c r="V58" s="32" t="inlineStr">
        <is>
          <t>代表番号。通信制課程は011-388-4831</t>
        </is>
      </c>
      <c r="W58" s="33" t="inlineStr">
        <is>
          <t>開く</t>
        </is>
      </c>
    </row>
    <row r="59" ht="30" customHeight="1">
      <c r="A59" s="23" t="inlineStr">
        <is>
          <t>01北海道</t>
        </is>
      </c>
      <c r="B59" s="23" t="inlineStr">
        <is>
          <t>私立</t>
        </is>
      </c>
      <c r="C59" s="23" t="n"/>
      <c r="D59" s="23" t="inlineStr">
        <is>
          <t>立命館慶祥高等学校</t>
        </is>
      </c>
      <c r="E59" s="24" t="inlineStr">
        <is>
          <t>011-381-8888</t>
        </is>
      </c>
      <c r="F59" s="23" t="n"/>
      <c r="G59" s="25" t="inlineStr">
        <is>
          <t>普通科</t>
        </is>
      </c>
      <c r="H59" s="26" t="inlineStr">
        <is>
          <t>☐</t>
        </is>
      </c>
      <c r="I59" s="26" t="inlineStr">
        <is>
          <t>☐</t>
        </is>
      </c>
      <c r="J59" s="26" t="inlineStr">
        <is>
          <t>☐</t>
        </is>
      </c>
      <c r="K59" s="26" t="inlineStr">
        <is>
          <t>☐</t>
        </is>
      </c>
      <c r="L59" s="26" t="inlineStr">
        <is>
          <t>☐</t>
        </is>
      </c>
      <c r="M59" s="25" t="n"/>
      <c r="N59" s="27" t="n">
        <v>0</v>
      </c>
      <c r="O59" s="28" t="n"/>
      <c r="P59" s="23" t="n"/>
      <c r="Q59" s="29" t="n"/>
      <c r="R59" s="29" t="n"/>
      <c r="S59" s="23" t="n"/>
      <c r="T59" s="30" t="n"/>
      <c r="U59" s="31" t="inlineStr">
        <is>
          <t>高</t>
        </is>
      </c>
      <c r="V59" s="32" t="inlineStr">
        <is>
          <t>中高共通。札幌市立中学校の配布資料と一致</t>
        </is>
      </c>
      <c r="W59" s="33" t="inlineStr">
        <is>
          <t>開く</t>
        </is>
      </c>
    </row>
    <row r="60" ht="30" customHeight="1">
      <c r="A60" s="23" t="inlineStr">
        <is>
          <t>01北海道</t>
        </is>
      </c>
      <c r="B60" s="23" t="inlineStr">
        <is>
          <t>私立</t>
        </is>
      </c>
      <c r="C60" s="23" t="n"/>
      <c r="D60" s="23" t="inlineStr">
        <is>
          <t>稚内大谷高等学校</t>
        </is>
      </c>
      <c r="E60" s="24" t="inlineStr">
        <is>
          <t>0162-32-2660</t>
        </is>
      </c>
      <c r="F60" s="23" t="n"/>
      <c r="G60" s="25" t="inlineStr">
        <is>
          <t>普通科</t>
        </is>
      </c>
      <c r="H60" s="26" t="inlineStr">
        <is>
          <t>☐</t>
        </is>
      </c>
      <c r="I60" s="26" t="inlineStr">
        <is>
          <t>☐</t>
        </is>
      </c>
      <c r="J60" s="26" t="inlineStr">
        <is>
          <t>☐</t>
        </is>
      </c>
      <c r="K60" s="26" t="inlineStr">
        <is>
          <t>☐</t>
        </is>
      </c>
      <c r="L60" s="26" t="inlineStr">
        <is>
          <t>☐</t>
        </is>
      </c>
      <c r="M60" s="25" t="n"/>
      <c r="N60" s="27" t="n">
        <v>0</v>
      </c>
      <c r="O60" s="28" t="n"/>
      <c r="P60" s="23" t="n"/>
      <c r="Q60" s="29" t="n"/>
      <c r="R60" s="29" t="n"/>
      <c r="S60" s="23" t="n"/>
      <c r="T60" s="30" t="n"/>
      <c r="U60" s="34" t="inlineStr">
        <is>
          <t>中</t>
        </is>
      </c>
      <c r="V60" s="32" t="inlineStr">
        <is>
          <t>学校情報サイト1件のみで確認</t>
        </is>
      </c>
      <c r="W60" s="33" t="inlineStr">
        <is>
          <t>開く</t>
        </is>
      </c>
    </row>
    <row r="61" ht="30" customHeight="1">
      <c r="A61" s="23" t="inlineStr">
        <is>
          <t>02青森県</t>
        </is>
      </c>
      <c r="B61" s="23" t="inlineStr">
        <is>
          <t>私立</t>
        </is>
      </c>
      <c r="C61" s="23" t="n"/>
      <c r="D61" s="23" t="inlineStr">
        <is>
          <t>青森明の星高等学校</t>
        </is>
      </c>
      <c r="E61" s="24" t="inlineStr">
        <is>
          <t>017-741-0121</t>
        </is>
      </c>
      <c r="F61" s="23" t="n"/>
      <c r="G61" s="25" t="inlineStr">
        <is>
          <t>普通科・専門学科</t>
        </is>
      </c>
      <c r="H61" s="26" t="inlineStr">
        <is>
          <t>☐</t>
        </is>
      </c>
      <c r="I61" s="26" t="inlineStr">
        <is>
          <t>☐</t>
        </is>
      </c>
      <c r="J61" s="26" t="inlineStr">
        <is>
          <t>☐</t>
        </is>
      </c>
      <c r="K61" s="26" t="inlineStr">
        <is>
          <t>☐</t>
        </is>
      </c>
      <c r="L61" s="26" t="inlineStr">
        <is>
          <t>☐</t>
        </is>
      </c>
      <c r="M61" s="25" t="n"/>
      <c r="N61" s="27" t="n">
        <v>0</v>
      </c>
      <c r="O61" s="28" t="n"/>
      <c r="P61" s="23" t="n"/>
      <c r="Q61" s="29" t="n"/>
      <c r="R61" s="29" t="n"/>
      <c r="S61" s="23" t="n"/>
      <c r="T61" s="30" t="n"/>
      <c r="U61" s="31" t="inlineStr">
        <is>
          <t>高</t>
        </is>
      </c>
      <c r="V61" s="32" t="inlineStr">
        <is>
          <t>公式サイトで確認。中学校と共通。017-741-0123は短大の番号なので注意</t>
        </is>
      </c>
      <c r="W61" s="33" t="inlineStr">
        <is>
          <t>開く</t>
        </is>
      </c>
    </row>
    <row r="62" ht="30" customHeight="1">
      <c r="A62" s="23" t="inlineStr">
        <is>
          <t>02青森県</t>
        </is>
      </c>
      <c r="B62" s="23" t="inlineStr">
        <is>
          <t>私立</t>
        </is>
      </c>
      <c r="C62" s="23" t="n"/>
      <c r="D62" s="23" t="inlineStr">
        <is>
          <t>青森山田高等学校</t>
        </is>
      </c>
      <c r="E62" s="24" t="inlineStr">
        <is>
          <t>017-739-2001</t>
        </is>
      </c>
      <c r="F62" s="23" t="n"/>
      <c r="G62" s="25" t="inlineStr">
        <is>
          <t>普通科・専門学科</t>
        </is>
      </c>
      <c r="H62" s="26" t="inlineStr">
        <is>
          <t>☐</t>
        </is>
      </c>
      <c r="I62" s="26" t="inlineStr">
        <is>
          <t>☐</t>
        </is>
      </c>
      <c r="J62" s="26" t="inlineStr">
        <is>
          <t>☐</t>
        </is>
      </c>
      <c r="K62" s="26" t="inlineStr">
        <is>
          <t>☐</t>
        </is>
      </c>
      <c r="L62" s="26" t="inlineStr">
        <is>
          <t>☐</t>
        </is>
      </c>
      <c r="M62" s="25" t="n"/>
      <c r="N62" s="27" t="n">
        <v>0</v>
      </c>
      <c r="O62" s="28" t="n"/>
      <c r="P62" s="23" t="n"/>
      <c r="Q62" s="29" t="n"/>
      <c r="R62" s="29" t="n"/>
      <c r="S62" s="23" t="n"/>
      <c r="T62" s="30" t="n"/>
      <c r="U62" s="31" t="inlineStr">
        <is>
          <t>高</t>
        </is>
      </c>
      <c r="V62" s="32" t="inlineStr">
        <is>
          <t>全日制の番号。青森県の一覧ほか複数で一致。通信制は別番号（017-728-5030・未検証）</t>
        </is>
      </c>
      <c r="W62" s="33" t="inlineStr">
        <is>
          <t>開く</t>
        </is>
      </c>
    </row>
    <row r="63" ht="30" customHeight="1">
      <c r="A63" s="23" t="inlineStr">
        <is>
          <t>02青森県</t>
        </is>
      </c>
      <c r="B63" s="23" t="inlineStr">
        <is>
          <t>私立</t>
        </is>
      </c>
      <c r="C63" s="23" t="n"/>
      <c r="D63" s="23" t="inlineStr">
        <is>
          <t>向陵高等学校</t>
        </is>
      </c>
      <c r="E63" s="24" t="inlineStr">
        <is>
          <t>0178-44-3866</t>
        </is>
      </c>
      <c r="F63" s="23" t="n"/>
      <c r="G63" s="25" t="inlineStr">
        <is>
          <t>普通科</t>
        </is>
      </c>
      <c r="H63" s="26" t="inlineStr">
        <is>
          <t>☐</t>
        </is>
      </c>
      <c r="I63" s="26" t="inlineStr">
        <is>
          <t>☐</t>
        </is>
      </c>
      <c r="J63" s="26" t="inlineStr">
        <is>
          <t>☐</t>
        </is>
      </c>
      <c r="K63" s="26" t="inlineStr">
        <is>
          <t>☐</t>
        </is>
      </c>
      <c r="L63" s="26" t="inlineStr">
        <is>
          <t>☐</t>
        </is>
      </c>
      <c r="M63" s="25" t="n"/>
      <c r="N63" s="27" t="n">
        <v>0</v>
      </c>
      <c r="O63" s="28" t="n"/>
      <c r="P63" s="23" t="n"/>
      <c r="Q63" s="29" t="n"/>
      <c r="R63" s="29" t="n"/>
      <c r="S63" s="23" t="n"/>
      <c r="T63" s="30" t="n"/>
      <c r="U63" s="34" t="inlineStr">
        <is>
          <t>中</t>
        </is>
      </c>
      <c r="V63" s="32" t="inlineStr">
        <is>
          <t>JS日本の学校のみで確認。千葉学園と同じ系列</t>
        </is>
      </c>
      <c r="W63" s="33" t="inlineStr">
        <is>
          <t>開く</t>
        </is>
      </c>
    </row>
    <row r="64" ht="30" customHeight="1">
      <c r="A64" s="23" t="inlineStr">
        <is>
          <t>02青森県</t>
        </is>
      </c>
      <c r="B64" s="23" t="inlineStr">
        <is>
          <t>私立</t>
        </is>
      </c>
      <c r="C64" s="23" t="n"/>
      <c r="D64" s="23" t="inlineStr">
        <is>
          <t>五所川原第一高等学校</t>
        </is>
      </c>
      <c r="E64" s="24" t="inlineStr">
        <is>
          <t>0173-34-2347</t>
        </is>
      </c>
      <c r="F64" s="23" t="n"/>
      <c r="G64" s="25" t="inlineStr">
        <is>
          <t>普通科</t>
        </is>
      </c>
      <c r="H64" s="26" t="inlineStr">
        <is>
          <t>☐</t>
        </is>
      </c>
      <c r="I64" s="26" t="inlineStr">
        <is>
          <t>☐</t>
        </is>
      </c>
      <c r="J64" s="26" t="inlineStr">
        <is>
          <t>☐</t>
        </is>
      </c>
      <c r="K64" s="26" t="inlineStr">
        <is>
          <t>☐</t>
        </is>
      </c>
      <c r="L64" s="26" t="inlineStr">
        <is>
          <t>☐</t>
        </is>
      </c>
      <c r="M64" s="25" t="n"/>
      <c r="N64" s="27" t="n">
        <v>0</v>
      </c>
      <c r="O64" s="28" t="n"/>
      <c r="P64" s="23" t="n"/>
      <c r="Q64" s="29" t="n"/>
      <c r="R64" s="29" t="n"/>
      <c r="S64" s="23" t="n"/>
      <c r="T64" s="30" t="n"/>
      <c r="U64" s="31" t="inlineStr">
        <is>
          <t>高</t>
        </is>
      </c>
      <c r="V64" s="32" t="inlineStr">
        <is>
          <t>全日制の番号。職員室直通は0173-34-3635、通信制課程は0173-26-6662</t>
        </is>
      </c>
      <c r="W64" s="33" t="inlineStr">
        <is>
          <t>開く</t>
        </is>
      </c>
    </row>
    <row r="65" ht="30" customHeight="1">
      <c r="A65" s="23" t="inlineStr">
        <is>
          <t>02青森県</t>
        </is>
      </c>
      <c r="B65" s="23" t="inlineStr">
        <is>
          <t>私立</t>
        </is>
      </c>
      <c r="C65" s="23" t="n"/>
      <c r="D65" s="23" t="inlineStr">
        <is>
          <t>柴田学園大学附属柴田学園高等学校</t>
        </is>
      </c>
      <c r="E65" s="24" t="inlineStr">
        <is>
          <t>0172-32-0135</t>
        </is>
      </c>
      <c r="F65" s="23" t="n"/>
      <c r="G65" s="25" t="inlineStr">
        <is>
          <t>普通科・専門学科</t>
        </is>
      </c>
      <c r="H65" s="26" t="inlineStr">
        <is>
          <t>☐</t>
        </is>
      </c>
      <c r="I65" s="26" t="inlineStr">
        <is>
          <t>☐</t>
        </is>
      </c>
      <c r="J65" s="26" t="inlineStr">
        <is>
          <t>☐</t>
        </is>
      </c>
      <c r="K65" s="26" t="inlineStr">
        <is>
          <t>☐</t>
        </is>
      </c>
      <c r="L65" s="26" t="inlineStr">
        <is>
          <t>☐</t>
        </is>
      </c>
      <c r="M65" s="25" t="n"/>
      <c r="N65" s="27" t="n">
        <v>0</v>
      </c>
      <c r="O65" s="28" t="n"/>
      <c r="P65" s="23" t="n"/>
      <c r="Q65" s="29" t="n"/>
      <c r="R65" s="29" t="n"/>
      <c r="S65" s="23" t="n"/>
      <c r="T65" s="30" t="n"/>
      <c r="U65" s="31" t="inlineStr">
        <is>
          <t>高</t>
        </is>
      </c>
      <c r="V65" s="32" t="inlineStr">
        <is>
          <t>公式サイトで確認。0172-32-6151は短大の番号なので注意</t>
        </is>
      </c>
      <c r="W65" s="33" t="inlineStr">
        <is>
          <t>開く</t>
        </is>
      </c>
    </row>
    <row r="66" ht="30" customHeight="1">
      <c r="A66" s="23" t="inlineStr">
        <is>
          <t>02青森県</t>
        </is>
      </c>
      <c r="B66" s="23" t="inlineStr">
        <is>
          <t>私立</t>
        </is>
      </c>
      <c r="C66" s="23" t="n"/>
      <c r="D66" s="23" t="inlineStr">
        <is>
          <t>下山学園高等学校</t>
        </is>
      </c>
      <c r="E66" s="24" t="inlineStr">
        <is>
          <t>0173-23-5541</t>
        </is>
      </c>
      <c r="F66" s="23" t="n"/>
      <c r="G66" s="25" t="inlineStr">
        <is>
          <t>普通科・専門学科</t>
        </is>
      </c>
      <c r="H66" s="26" t="inlineStr">
        <is>
          <t>☐</t>
        </is>
      </c>
      <c r="I66" s="26" t="inlineStr">
        <is>
          <t>☐</t>
        </is>
      </c>
      <c r="J66" s="26" t="inlineStr">
        <is>
          <t>☐</t>
        </is>
      </c>
      <c r="K66" s="26" t="inlineStr">
        <is>
          <t>☐</t>
        </is>
      </c>
      <c r="L66" s="26" t="inlineStr">
        <is>
          <t>☐</t>
        </is>
      </c>
      <c r="M66" s="25" t="n"/>
      <c r="N66" s="27" t="n">
        <v>0</v>
      </c>
      <c r="O66" s="28" t="n"/>
      <c r="P66" s="23" t="n"/>
      <c r="Q66" s="29" t="n"/>
      <c r="R66" s="29" t="n"/>
      <c r="S66" s="23" t="n"/>
      <c r="T66" s="30" t="n"/>
      <c r="U66" s="31" t="inlineStr">
        <is>
          <t>高</t>
        </is>
      </c>
      <c r="V66" s="32" t="inlineStr">
        <is>
          <t>2つの情報源で一致</t>
        </is>
      </c>
      <c r="W66" s="33" t="inlineStr">
        <is>
          <t>開く</t>
        </is>
      </c>
    </row>
    <row r="67" ht="30" customHeight="1">
      <c r="A67" s="23" t="inlineStr">
        <is>
          <t>02青森県</t>
        </is>
      </c>
      <c r="B67" s="23" t="inlineStr">
        <is>
          <t>私立</t>
        </is>
      </c>
      <c r="C67" s="23" t="n"/>
      <c r="D67" s="23" t="inlineStr">
        <is>
          <t>松風塾高等学校</t>
        </is>
      </c>
      <c r="E67" s="24" t="inlineStr">
        <is>
          <t>017-756-2817</t>
        </is>
      </c>
      <c r="F67" s="23" t="n"/>
      <c r="G67" s="25" t="inlineStr">
        <is>
          <t>普通科</t>
        </is>
      </c>
      <c r="H67" s="26" t="inlineStr">
        <is>
          <t>☐</t>
        </is>
      </c>
      <c r="I67" s="26" t="inlineStr">
        <is>
          <t>☐</t>
        </is>
      </c>
      <c r="J67" s="26" t="inlineStr">
        <is>
          <t>☐</t>
        </is>
      </c>
      <c r="K67" s="26" t="inlineStr">
        <is>
          <t>☐</t>
        </is>
      </c>
      <c r="L67" s="26" t="inlineStr">
        <is>
          <t>☐</t>
        </is>
      </c>
      <c r="M67" s="25" t="n"/>
      <c r="N67" s="27" t="n">
        <v>0</v>
      </c>
      <c r="O67" s="28" t="n"/>
      <c r="P67" s="23" t="n"/>
      <c r="Q67" s="29" t="n"/>
      <c r="R67" s="29" t="n"/>
      <c r="S67" s="23" t="n"/>
      <c r="T67" s="30" t="n"/>
      <c r="U67" s="31" t="inlineStr">
        <is>
          <t>高</t>
        </is>
      </c>
      <c r="V67" s="32" t="inlineStr">
        <is>
          <t>青森県の一覧（R6）と学校情報サイトで一致</t>
        </is>
      </c>
      <c r="W67" s="33" t="inlineStr">
        <is>
          <t>開く</t>
        </is>
      </c>
    </row>
    <row r="68" ht="30" customHeight="1">
      <c r="A68" s="23" t="inlineStr">
        <is>
          <t>02青森県</t>
        </is>
      </c>
      <c r="B68" s="23" t="inlineStr">
        <is>
          <t>私立</t>
        </is>
      </c>
      <c r="C68" s="23" t="n"/>
      <c r="D68" s="23" t="inlineStr">
        <is>
          <t>千葉学園高等学校</t>
        </is>
      </c>
      <c r="E68" s="24" t="inlineStr">
        <is>
          <t>0178-43-4321</t>
        </is>
      </c>
      <c r="F68" s="23" t="n"/>
      <c r="G68" s="25" t="inlineStr">
        <is>
          <t>専門学科</t>
        </is>
      </c>
      <c r="H68" s="26" t="inlineStr">
        <is>
          <t>☐</t>
        </is>
      </c>
      <c r="I68" s="26" t="inlineStr">
        <is>
          <t>☐</t>
        </is>
      </c>
      <c r="J68" s="26" t="inlineStr">
        <is>
          <t>☐</t>
        </is>
      </c>
      <c r="K68" s="26" t="inlineStr">
        <is>
          <t>☐</t>
        </is>
      </c>
      <c r="L68" s="26" t="inlineStr">
        <is>
          <t>☐</t>
        </is>
      </c>
      <c r="M68" s="25" t="n"/>
      <c r="N68" s="27" t="n">
        <v>0</v>
      </c>
      <c r="O68" s="28" t="n"/>
      <c r="P68" s="23" t="n"/>
      <c r="Q68" s="29" t="n"/>
      <c r="R68" s="29" t="n"/>
      <c r="S68" s="23" t="n"/>
      <c r="T68" s="30" t="n"/>
      <c r="U68" s="31" t="inlineStr">
        <is>
          <t>高</t>
        </is>
      </c>
      <c r="V68" s="32" t="inlineStr">
        <is>
          <t>青森県の一覧・マピオン・学校情報サイトで一致</t>
        </is>
      </c>
      <c r="W68" s="33" t="inlineStr">
        <is>
          <t>開く</t>
        </is>
      </c>
    </row>
    <row r="69" ht="30" customHeight="1">
      <c r="A69" s="23" t="inlineStr">
        <is>
          <t>02青森県</t>
        </is>
      </c>
      <c r="B69" s="23" t="inlineStr">
        <is>
          <t>私立</t>
        </is>
      </c>
      <c r="C69" s="23" t="n"/>
      <c r="D69" s="23" t="inlineStr">
        <is>
          <t>東奥学園高等学校</t>
        </is>
      </c>
      <c r="E69" s="24" t="inlineStr">
        <is>
          <t>017-775-2121</t>
        </is>
      </c>
      <c r="F69" s="23" t="n"/>
      <c r="G69" s="25" t="inlineStr">
        <is>
          <t>普通科・専門学科</t>
        </is>
      </c>
      <c r="H69" s="26" t="inlineStr">
        <is>
          <t>☐</t>
        </is>
      </c>
      <c r="I69" s="26" t="inlineStr">
        <is>
          <t>☐</t>
        </is>
      </c>
      <c r="J69" s="26" t="inlineStr">
        <is>
          <t>☐</t>
        </is>
      </c>
      <c r="K69" s="26" t="inlineStr">
        <is>
          <t>☐</t>
        </is>
      </c>
      <c r="L69" s="26" t="inlineStr">
        <is>
          <t>☐</t>
        </is>
      </c>
      <c r="M69" s="25" t="n"/>
      <c r="N69" s="27" t="n">
        <v>0</v>
      </c>
      <c r="O69" s="28" t="n"/>
      <c r="P69" s="23" t="n"/>
      <c r="Q69" s="29" t="n"/>
      <c r="R69" s="29" t="n"/>
      <c r="S69" s="23" t="n"/>
      <c r="T69" s="30" t="n"/>
      <c r="U69" s="31" t="inlineStr">
        <is>
          <t>高</t>
        </is>
      </c>
      <c r="V69" s="32" t="inlineStr">
        <is>
          <t>公式サイトで確認。通信制課程も同じ番号</t>
        </is>
      </c>
      <c r="W69" s="33" t="inlineStr">
        <is>
          <t>開く</t>
        </is>
      </c>
    </row>
    <row r="70" ht="30" customHeight="1">
      <c r="A70" s="23" t="inlineStr">
        <is>
          <t>02青森県</t>
        </is>
      </c>
      <c r="B70" s="23" t="inlineStr">
        <is>
          <t>私立</t>
        </is>
      </c>
      <c r="C70" s="23" t="n"/>
      <c r="D70" s="23" t="inlineStr">
        <is>
          <t>東奥義塾高等学校</t>
        </is>
      </c>
      <c r="E70" s="24" t="inlineStr">
        <is>
          <t>0172-92-4111</t>
        </is>
      </c>
      <c r="F70" s="23" t="n"/>
      <c r="G70" s="25" t="inlineStr">
        <is>
          <t>普通科</t>
        </is>
      </c>
      <c r="H70" s="26" t="inlineStr">
        <is>
          <t>☐</t>
        </is>
      </c>
      <c r="I70" s="26" t="inlineStr">
        <is>
          <t>☐</t>
        </is>
      </c>
      <c r="J70" s="26" t="inlineStr">
        <is>
          <t>☐</t>
        </is>
      </c>
      <c r="K70" s="26" t="inlineStr">
        <is>
          <t>☐</t>
        </is>
      </c>
      <c r="L70" s="26" t="inlineStr">
        <is>
          <t>☐</t>
        </is>
      </c>
      <c r="M70" s="25" t="n"/>
      <c r="N70" s="27" t="n">
        <v>0</v>
      </c>
      <c r="O70" s="28" t="n"/>
      <c r="P70" s="23" t="n"/>
      <c r="Q70" s="29" t="n"/>
      <c r="R70" s="29" t="n"/>
      <c r="S70" s="23" t="n"/>
      <c r="T70" s="30" t="n"/>
      <c r="U70" s="31" t="inlineStr">
        <is>
          <t>高</t>
        </is>
      </c>
      <c r="V70" s="32" t="inlineStr">
        <is>
          <t>青森県の私立高校一覧と学校情報サイトで一致</t>
        </is>
      </c>
      <c r="W70" s="33" t="inlineStr">
        <is>
          <t>開く</t>
        </is>
      </c>
    </row>
    <row r="71" ht="30" customHeight="1">
      <c r="A71" s="23" t="inlineStr">
        <is>
          <t>02青森県</t>
        </is>
      </c>
      <c r="B71" s="23" t="inlineStr">
        <is>
          <t>私立</t>
        </is>
      </c>
      <c r="C71" s="23" t="n"/>
      <c r="D71" s="23" t="inlineStr">
        <is>
          <t>八戸学院光星高等学校</t>
        </is>
      </c>
      <c r="E71" s="24" t="inlineStr">
        <is>
          <t>0178-33-4151</t>
        </is>
      </c>
      <c r="F71" s="23" t="n"/>
      <c r="G71" s="25" t="inlineStr">
        <is>
          <t>普通科・専門学科</t>
        </is>
      </c>
      <c r="H71" s="26" t="inlineStr">
        <is>
          <t>☐</t>
        </is>
      </c>
      <c r="I71" s="26" t="inlineStr">
        <is>
          <t>☐</t>
        </is>
      </c>
      <c r="J71" s="26" t="inlineStr">
        <is>
          <t>☐</t>
        </is>
      </c>
      <c r="K71" s="26" t="inlineStr">
        <is>
          <t>☐</t>
        </is>
      </c>
      <c r="L71" s="26" t="inlineStr">
        <is>
          <t>☐</t>
        </is>
      </c>
      <c r="M71" s="25" t="n"/>
      <c r="N71" s="27" t="n">
        <v>0</v>
      </c>
      <c r="O71" s="28" t="n"/>
      <c r="P71" s="23" t="n"/>
      <c r="Q71" s="29" t="n"/>
      <c r="R71" s="29" t="n"/>
      <c r="S71" s="23" t="n"/>
      <c r="T71" s="30" t="n"/>
      <c r="U71" s="31" t="inlineStr">
        <is>
          <t>高</t>
        </is>
      </c>
      <c r="V71" s="32" t="inlineStr">
        <is>
          <t>公式サイトで確認。入試関係（総務部直通）は0178-35-2043</t>
        </is>
      </c>
      <c r="W71" s="33" t="inlineStr">
        <is>
          <t>開く</t>
        </is>
      </c>
    </row>
    <row r="72" ht="30" customHeight="1">
      <c r="A72" s="23" t="inlineStr">
        <is>
          <t>02青森県</t>
        </is>
      </c>
      <c r="B72" s="23" t="inlineStr">
        <is>
          <t>私立</t>
        </is>
      </c>
      <c r="C72" s="23" t="n"/>
      <c r="D72" s="23" t="inlineStr">
        <is>
          <t>八戸学院野辺地西高等学校</t>
        </is>
      </c>
      <c r="E72" s="24" t="inlineStr">
        <is>
          <t>0175-64-4166</t>
        </is>
      </c>
      <c r="F72" s="23" t="n"/>
      <c r="G72" s="25" t="inlineStr">
        <is>
          <t>総合学科</t>
        </is>
      </c>
      <c r="H72" s="26" t="inlineStr">
        <is>
          <t>☐</t>
        </is>
      </c>
      <c r="I72" s="26" t="inlineStr">
        <is>
          <t>☐</t>
        </is>
      </c>
      <c r="J72" s="26" t="inlineStr">
        <is>
          <t>☐</t>
        </is>
      </c>
      <c r="K72" s="26" t="inlineStr">
        <is>
          <t>☐</t>
        </is>
      </c>
      <c r="L72" s="26" t="inlineStr">
        <is>
          <t>☐</t>
        </is>
      </c>
      <c r="M72" s="25" t="n"/>
      <c r="N72" s="27" t="n">
        <v>0</v>
      </c>
      <c r="O72" s="28" t="n"/>
      <c r="P72" s="23" t="n"/>
      <c r="Q72" s="29" t="n"/>
      <c r="R72" s="29" t="n"/>
      <c r="S72" s="23" t="n"/>
      <c r="T72" s="30" t="n"/>
      <c r="U72" s="34" t="inlineStr">
        <is>
          <t>中</t>
        </is>
      </c>
      <c r="V72" s="32" t="inlineStr">
        <is>
          <t>野辺地町の本校。JS日本の学校のみで確認</t>
        </is>
      </c>
      <c r="W72" s="33" t="inlineStr">
        <is>
          <t>開く</t>
        </is>
      </c>
    </row>
    <row r="73" ht="30" customHeight="1">
      <c r="A73" s="23" t="inlineStr">
        <is>
          <t>02青森県</t>
        </is>
      </c>
      <c r="B73" s="23" t="inlineStr">
        <is>
          <t>私立</t>
        </is>
      </c>
      <c r="C73" s="23" t="n"/>
      <c r="D73" s="23" t="inlineStr">
        <is>
          <t>八戸工業大学第一高等学校</t>
        </is>
      </c>
      <c r="E73" s="24" t="inlineStr">
        <is>
          <t>0178-33-5121</t>
        </is>
      </c>
      <c r="F73" s="23" t="n"/>
      <c r="G73" s="25" t="inlineStr">
        <is>
          <t>普通科・専門学科</t>
        </is>
      </c>
      <c r="H73" s="26" t="inlineStr">
        <is>
          <t>☐</t>
        </is>
      </c>
      <c r="I73" s="26" t="inlineStr">
        <is>
          <t>☐</t>
        </is>
      </c>
      <c r="J73" s="26" t="inlineStr">
        <is>
          <t>☐</t>
        </is>
      </c>
      <c r="K73" s="26" t="inlineStr">
        <is>
          <t>☐</t>
        </is>
      </c>
      <c r="L73" s="26" t="inlineStr">
        <is>
          <t>☐</t>
        </is>
      </c>
      <c r="M73" s="25" t="n"/>
      <c r="N73" s="27" t="n">
        <v>0</v>
      </c>
      <c r="O73" s="28" t="n"/>
      <c r="P73" s="23" t="n"/>
      <c r="Q73" s="29" t="n"/>
      <c r="R73" s="29" t="n"/>
      <c r="S73" s="23" t="n"/>
      <c r="T73" s="30" t="n"/>
      <c r="U73" s="31" t="inlineStr">
        <is>
          <t>高</t>
        </is>
      </c>
      <c r="V73" s="32" t="inlineStr">
        <is>
          <t>代表番号。2つの情報源で一致</t>
        </is>
      </c>
      <c r="W73" s="33" t="inlineStr">
        <is>
          <t>開く</t>
        </is>
      </c>
    </row>
    <row r="74" ht="30" customHeight="1">
      <c r="A74" s="23" t="inlineStr">
        <is>
          <t>02青森県</t>
        </is>
      </c>
      <c r="B74" s="23" t="inlineStr">
        <is>
          <t>私立</t>
        </is>
      </c>
      <c r="C74" s="23" t="n"/>
      <c r="D74" s="23" t="inlineStr">
        <is>
          <t>八戸工業大学第二高等学校</t>
        </is>
      </c>
      <c r="E74" s="24" t="inlineStr">
        <is>
          <t>0178-25-4311</t>
        </is>
      </c>
      <c r="F74" s="23" t="n"/>
      <c r="G74" s="25" t="inlineStr">
        <is>
          <t>普通科</t>
        </is>
      </c>
      <c r="H74" s="26" t="inlineStr">
        <is>
          <t>☐</t>
        </is>
      </c>
      <c r="I74" s="26" t="inlineStr">
        <is>
          <t>☐</t>
        </is>
      </c>
      <c r="J74" s="26" t="inlineStr">
        <is>
          <t>☐</t>
        </is>
      </c>
      <c r="K74" s="26" t="inlineStr">
        <is>
          <t>☐</t>
        </is>
      </c>
      <c r="L74" s="26" t="inlineStr">
        <is>
          <t>☐</t>
        </is>
      </c>
      <c r="M74" s="25" t="n"/>
      <c r="N74" s="27" t="n">
        <v>0</v>
      </c>
      <c r="O74" s="28" t="n"/>
      <c r="P74" s="23" t="n"/>
      <c r="Q74" s="29" t="n"/>
      <c r="R74" s="29" t="n"/>
      <c r="S74" s="23" t="n"/>
      <c r="T74" s="30" t="n"/>
      <c r="U74" s="31" t="inlineStr">
        <is>
          <t>高</t>
        </is>
      </c>
      <c r="V74" s="32" t="inlineStr">
        <is>
          <t>公式サイトで確認。附属中学校と共通</t>
        </is>
      </c>
      <c r="W74" s="33" t="inlineStr">
        <is>
          <t>開く</t>
        </is>
      </c>
    </row>
    <row r="75" ht="30" customHeight="1">
      <c r="A75" s="23" t="inlineStr">
        <is>
          <t>02青森県</t>
        </is>
      </c>
      <c r="B75" s="23" t="inlineStr">
        <is>
          <t>私立</t>
        </is>
      </c>
      <c r="C75" s="23" t="n"/>
      <c r="D75" s="23" t="inlineStr">
        <is>
          <t>八戸聖ウルスラ学院高等学校</t>
        </is>
      </c>
      <c r="E75" s="24" t="inlineStr">
        <is>
          <t>0178-27-2245</t>
        </is>
      </c>
      <c r="F75" s="23" t="n"/>
      <c r="G75" s="25" t="inlineStr">
        <is>
          <t>普通科・専門学科</t>
        </is>
      </c>
      <c r="H75" s="26" t="inlineStr">
        <is>
          <t>☐</t>
        </is>
      </c>
      <c r="I75" s="26" t="inlineStr">
        <is>
          <t>☐</t>
        </is>
      </c>
      <c r="J75" s="26" t="inlineStr">
        <is>
          <t>☐</t>
        </is>
      </c>
      <c r="K75" s="26" t="inlineStr">
        <is>
          <t>☐</t>
        </is>
      </c>
      <c r="L75" s="26" t="inlineStr">
        <is>
          <t>☐</t>
        </is>
      </c>
      <c r="M75" s="25" t="n"/>
      <c r="N75" s="27" t="n">
        <v>0</v>
      </c>
      <c r="O75" s="28" t="n"/>
      <c r="P75" s="23" t="n"/>
      <c r="Q75" s="29" t="n"/>
      <c r="R75" s="29" t="n"/>
      <c r="S75" s="23" t="n"/>
      <c r="T75" s="30" t="n"/>
      <c r="U75" s="31" t="inlineStr">
        <is>
          <t>高</t>
        </is>
      </c>
      <c r="V75" s="32" t="inlineStr">
        <is>
          <t>中高共通の番号</t>
        </is>
      </c>
      <c r="W75" s="33" t="inlineStr">
        <is>
          <t>開く</t>
        </is>
      </c>
    </row>
    <row r="76" ht="30" customHeight="1">
      <c r="A76" s="23" t="inlineStr">
        <is>
          <t>02青森県</t>
        </is>
      </c>
      <c r="B76" s="23" t="inlineStr">
        <is>
          <t>私立</t>
        </is>
      </c>
      <c r="C76" s="23" t="n"/>
      <c r="D76" s="23" t="inlineStr">
        <is>
          <t>弘前学院聖愛高等学校</t>
        </is>
      </c>
      <c r="E76" s="24" t="inlineStr">
        <is>
          <t>0172-87-1411</t>
        </is>
      </c>
      <c r="F76" s="23" t="n"/>
      <c r="G76" s="25" t="inlineStr">
        <is>
          <t>普通科</t>
        </is>
      </c>
      <c r="H76" s="26" t="inlineStr">
        <is>
          <t>☐</t>
        </is>
      </c>
      <c r="I76" s="26" t="inlineStr">
        <is>
          <t>☐</t>
        </is>
      </c>
      <c r="J76" s="26" t="inlineStr">
        <is>
          <t>☐</t>
        </is>
      </c>
      <c r="K76" s="26" t="inlineStr">
        <is>
          <t>☐</t>
        </is>
      </c>
      <c r="L76" s="26" t="inlineStr">
        <is>
          <t>☐</t>
        </is>
      </c>
      <c r="M76" s="25" t="n"/>
      <c r="N76" s="27" t="n">
        <v>0</v>
      </c>
      <c r="O76" s="28" t="n"/>
      <c r="P76" s="23" t="n"/>
      <c r="Q76" s="29" t="n"/>
      <c r="R76" s="29" t="n"/>
      <c r="S76" s="23" t="n"/>
      <c r="T76" s="30" t="n"/>
      <c r="U76" s="31" t="inlineStr">
        <is>
          <t>高</t>
        </is>
      </c>
      <c r="V76" s="32" t="inlineStr">
        <is>
          <t>青森県の私立高校一覧（R4・R6版）で確認</t>
        </is>
      </c>
      <c r="W76" s="33" t="inlineStr">
        <is>
          <t>開く</t>
        </is>
      </c>
    </row>
    <row r="77" ht="30" customHeight="1">
      <c r="A77" s="23" t="inlineStr">
        <is>
          <t>02青森県</t>
        </is>
      </c>
      <c r="B77" s="23" t="inlineStr">
        <is>
          <t>私立</t>
        </is>
      </c>
      <c r="C77" s="23" t="n"/>
      <c r="D77" s="23" t="inlineStr">
        <is>
          <t>弘前東高等学校</t>
        </is>
      </c>
      <c r="E77" s="24" t="inlineStr">
        <is>
          <t>0172-27-6487</t>
        </is>
      </c>
      <c r="F77" s="23" t="n"/>
      <c r="G77" s="25" t="inlineStr">
        <is>
          <t>普通科・専門学科</t>
        </is>
      </c>
      <c r="H77" s="26" t="inlineStr">
        <is>
          <t>☐</t>
        </is>
      </c>
      <c r="I77" s="26" t="inlineStr">
        <is>
          <t>☐</t>
        </is>
      </c>
      <c r="J77" s="26" t="inlineStr">
        <is>
          <t>☐</t>
        </is>
      </c>
      <c r="K77" s="26" t="inlineStr">
        <is>
          <t>☐</t>
        </is>
      </c>
      <c r="L77" s="26" t="inlineStr">
        <is>
          <t>☐</t>
        </is>
      </c>
      <c r="M77" s="25" t="n"/>
      <c r="N77" s="27" t="n">
        <v>0</v>
      </c>
      <c r="O77" s="28" t="n"/>
      <c r="P77" s="23" t="n"/>
      <c r="Q77" s="29" t="n"/>
      <c r="R77" s="29" t="n"/>
      <c r="S77" s="23" t="n"/>
      <c r="T77" s="30" t="n"/>
      <c r="U77" s="31" t="inlineStr">
        <is>
          <t>高</t>
        </is>
      </c>
      <c r="V77" s="32" t="inlineStr">
        <is>
          <t>公式サイトと青森県の一覧で一致</t>
        </is>
      </c>
      <c r="W77" s="33" t="inlineStr">
        <is>
          <t>開く</t>
        </is>
      </c>
    </row>
    <row r="78" ht="30" customHeight="1">
      <c r="A78" s="23" t="inlineStr">
        <is>
          <t>03岩手県</t>
        </is>
      </c>
      <c r="B78" s="23" t="inlineStr">
        <is>
          <t>私立</t>
        </is>
      </c>
      <c r="C78" s="23" t="n"/>
      <c r="D78" s="23" t="inlineStr">
        <is>
          <t>一関学院高等学校</t>
        </is>
      </c>
      <c r="E78" s="24" t="inlineStr">
        <is>
          <t>0191-23-4240</t>
        </is>
      </c>
      <c r="F78" s="23" t="n"/>
      <c r="G78" s="25" t="inlineStr">
        <is>
          <t>普通科</t>
        </is>
      </c>
      <c r="H78" s="26" t="inlineStr">
        <is>
          <t>☐</t>
        </is>
      </c>
      <c r="I78" s="26" t="inlineStr">
        <is>
          <t>☐</t>
        </is>
      </c>
      <c r="J78" s="26" t="inlineStr">
        <is>
          <t>☐</t>
        </is>
      </c>
      <c r="K78" s="26" t="inlineStr">
        <is>
          <t>☐</t>
        </is>
      </c>
      <c r="L78" s="26" t="inlineStr">
        <is>
          <t>☐</t>
        </is>
      </c>
      <c r="M78" s="25" t="n"/>
      <c r="N78" s="27" t="n">
        <v>0</v>
      </c>
      <c r="O78" s="28" t="n"/>
      <c r="P78" s="23" t="n"/>
      <c r="Q78" s="29" t="n"/>
      <c r="R78" s="29" t="n"/>
      <c r="S78" s="23" t="n"/>
      <c r="T78" s="30" t="n"/>
      <c r="U78" s="31" t="inlineStr">
        <is>
          <t>高</t>
        </is>
      </c>
      <c r="V78" s="32" t="inlineStr">
        <is>
          <t>公式サイトで確認（全日制・通信制共通、受付8:30〜17:00）。職員室は0191-23-3906</t>
        </is>
      </c>
      <c r="W78" s="33" t="inlineStr">
        <is>
          <t>開く</t>
        </is>
      </c>
    </row>
    <row r="79" ht="30" customHeight="1">
      <c r="A79" s="23" t="inlineStr">
        <is>
          <t>03岩手県</t>
        </is>
      </c>
      <c r="B79" s="23" t="inlineStr">
        <is>
          <t>私立</t>
        </is>
      </c>
      <c r="C79" s="23" t="n"/>
      <c r="D79" s="23" t="inlineStr">
        <is>
          <t>一関修紅高等学校</t>
        </is>
      </c>
      <c r="E79" s="24" t="inlineStr">
        <is>
          <t>0191-23-3096</t>
        </is>
      </c>
      <c r="F79" s="23" t="n"/>
      <c r="G79" s="25" t="inlineStr">
        <is>
          <t>普通科</t>
        </is>
      </c>
      <c r="H79" s="26" t="inlineStr">
        <is>
          <t>☐</t>
        </is>
      </c>
      <c r="I79" s="26" t="inlineStr">
        <is>
          <t>☐</t>
        </is>
      </c>
      <c r="J79" s="26" t="inlineStr">
        <is>
          <t>☐</t>
        </is>
      </c>
      <c r="K79" s="26" t="inlineStr">
        <is>
          <t>☐</t>
        </is>
      </c>
      <c r="L79" s="26" t="inlineStr">
        <is>
          <t>☐</t>
        </is>
      </c>
      <c r="M79" s="25" t="n"/>
      <c r="N79" s="27" t="n">
        <v>0</v>
      </c>
      <c r="O79" s="28" t="n"/>
      <c r="P79" s="23" t="n"/>
      <c r="Q79" s="29" t="n"/>
      <c r="R79" s="29" t="n"/>
      <c r="S79" s="23" t="n"/>
      <c r="T79" s="30" t="n"/>
      <c r="U79" s="31" t="inlineStr">
        <is>
          <t>高</t>
        </is>
      </c>
      <c r="V79" s="32" t="inlineStr">
        <is>
          <t>公式サイトで確認。一部サイトの0191-23-3271は旧番号の可能性あり</t>
        </is>
      </c>
      <c r="W79" s="33" t="inlineStr">
        <is>
          <t>開く</t>
        </is>
      </c>
    </row>
    <row r="80" ht="30" customHeight="1">
      <c r="A80" s="23" t="inlineStr">
        <is>
          <t>03岩手県</t>
        </is>
      </c>
      <c r="B80" s="23" t="inlineStr">
        <is>
          <t>私立</t>
        </is>
      </c>
      <c r="C80" s="23" t="n"/>
      <c r="D80" s="23" t="inlineStr">
        <is>
          <t>岩手高等学校</t>
        </is>
      </c>
      <c r="E80" s="24" t="inlineStr">
        <is>
          <t>019-624-4445</t>
        </is>
      </c>
      <c r="F80" s="23" t="n"/>
      <c r="G80" s="25" t="inlineStr">
        <is>
          <t>普通科</t>
        </is>
      </c>
      <c r="H80" s="26" t="inlineStr">
        <is>
          <t>☐</t>
        </is>
      </c>
      <c r="I80" s="26" t="inlineStr">
        <is>
          <t>☐</t>
        </is>
      </c>
      <c r="J80" s="26" t="inlineStr">
        <is>
          <t>☐</t>
        </is>
      </c>
      <c r="K80" s="26" t="inlineStr">
        <is>
          <t>☐</t>
        </is>
      </c>
      <c r="L80" s="26" t="inlineStr">
        <is>
          <t>☐</t>
        </is>
      </c>
      <c r="M80" s="25" t="n"/>
      <c r="N80" s="27" t="n">
        <v>0</v>
      </c>
      <c r="O80" s="28" t="n"/>
      <c r="P80" s="23" t="n"/>
      <c r="Q80" s="29" t="n"/>
      <c r="R80" s="29" t="n"/>
      <c r="S80" s="23" t="n"/>
      <c r="T80" s="30" t="n"/>
      <c r="U80" s="31" t="inlineStr">
        <is>
          <t>高</t>
        </is>
      </c>
      <c r="V80" s="32" t="inlineStr">
        <is>
          <t>公式サイトで確認。中高共通の番号。男子校</t>
        </is>
      </c>
      <c r="W80" s="33" t="inlineStr">
        <is>
          <t>開く</t>
        </is>
      </c>
    </row>
    <row r="81" ht="30" customHeight="1">
      <c r="A81" s="23" t="inlineStr">
        <is>
          <t>03岩手県</t>
        </is>
      </c>
      <c r="B81" s="23" t="inlineStr">
        <is>
          <t>私立</t>
        </is>
      </c>
      <c r="C81" s="23" t="n"/>
      <c r="D81" s="23" t="inlineStr">
        <is>
          <t>岩手女子高等学校</t>
        </is>
      </c>
      <c r="E81" s="24" t="inlineStr">
        <is>
          <t>019-623-6467</t>
        </is>
      </c>
      <c r="F81" s="23" t="n"/>
      <c r="G81" s="25" t="inlineStr">
        <is>
          <t>普通科・専門学科</t>
        </is>
      </c>
      <c r="H81" s="26" t="inlineStr">
        <is>
          <t>☐</t>
        </is>
      </c>
      <c r="I81" s="26" t="inlineStr">
        <is>
          <t>☐</t>
        </is>
      </c>
      <c r="J81" s="26" t="inlineStr">
        <is>
          <t>☐</t>
        </is>
      </c>
      <c r="K81" s="26" t="inlineStr">
        <is>
          <t>☐</t>
        </is>
      </c>
      <c r="L81" s="26" t="inlineStr">
        <is>
          <t>☐</t>
        </is>
      </c>
      <c r="M81" s="25" t="n"/>
      <c r="N81" s="27" t="n">
        <v>0</v>
      </c>
      <c r="O81" s="28" t="n"/>
      <c r="P81" s="23" t="n"/>
      <c r="Q81" s="29" t="n"/>
      <c r="R81" s="29" t="n"/>
      <c r="S81" s="23" t="n"/>
      <c r="T81" s="30" t="n"/>
      <c r="U81" s="31" t="inlineStr">
        <is>
          <t>高</t>
        </is>
      </c>
      <c r="V81" s="32" t="inlineStr">
        <is>
          <t>公式サイトで確認</t>
        </is>
      </c>
      <c r="W81" s="33" t="inlineStr">
        <is>
          <t>開く</t>
        </is>
      </c>
    </row>
    <row r="82" ht="30" customHeight="1">
      <c r="A82" s="23" t="inlineStr">
        <is>
          <t>03岩手県</t>
        </is>
      </c>
      <c r="B82" s="23" t="inlineStr">
        <is>
          <t>私立</t>
        </is>
      </c>
      <c r="C82" s="23" t="n"/>
      <c r="D82" s="23" t="inlineStr">
        <is>
          <t>江南義塾盛岡高等学校</t>
        </is>
      </c>
      <c r="E82" s="24" t="inlineStr">
        <is>
          <t>019-646-1866</t>
        </is>
      </c>
      <c r="F82" s="23" t="n"/>
      <c r="G82" s="25" t="inlineStr">
        <is>
          <t>普通科</t>
        </is>
      </c>
      <c r="H82" s="26" t="inlineStr">
        <is>
          <t>☐</t>
        </is>
      </c>
      <c r="I82" s="26" t="inlineStr">
        <is>
          <t>☐</t>
        </is>
      </c>
      <c r="J82" s="26" t="inlineStr">
        <is>
          <t>☐</t>
        </is>
      </c>
      <c r="K82" s="26" t="inlineStr">
        <is>
          <t>☐</t>
        </is>
      </c>
      <c r="L82" s="26" t="inlineStr">
        <is>
          <t>☐</t>
        </is>
      </c>
      <c r="M82" s="25" t="n"/>
      <c r="N82" s="27" t="n">
        <v>0</v>
      </c>
      <c r="O82" s="28" t="n"/>
      <c r="P82" s="23" t="n"/>
      <c r="Q82" s="29" t="n"/>
      <c r="R82" s="29" t="n"/>
      <c r="S82" s="23" t="n"/>
      <c r="T82" s="30" t="n"/>
      <c r="U82" s="31" t="inlineStr">
        <is>
          <t>高</t>
        </is>
      </c>
      <c r="V82" s="32" t="inlineStr">
        <is>
          <t>公式サイトの事務室の番号（通信制・盛岡本校）。職員室は019-656-1550</t>
        </is>
      </c>
      <c r="W82" s="33" t="inlineStr">
        <is>
          <t>開く</t>
        </is>
      </c>
    </row>
    <row r="83" ht="30" customHeight="1">
      <c r="A83" s="23" t="inlineStr">
        <is>
          <t>03岩手県</t>
        </is>
      </c>
      <c r="B83" s="23" t="inlineStr">
        <is>
          <t>私立</t>
        </is>
      </c>
      <c r="C83" s="23" t="n"/>
      <c r="D83" s="23" t="inlineStr">
        <is>
          <t>専修大学北上高等学校</t>
        </is>
      </c>
      <c r="E83" s="24" t="inlineStr">
        <is>
          <t>0197-63-2341</t>
        </is>
      </c>
      <c r="F83" s="23" t="n"/>
      <c r="G83" s="25" t="inlineStr">
        <is>
          <t>普通科・専門学科</t>
        </is>
      </c>
      <c r="H83" s="26" t="inlineStr">
        <is>
          <t>☐</t>
        </is>
      </c>
      <c r="I83" s="26" t="inlineStr">
        <is>
          <t>☐</t>
        </is>
      </c>
      <c r="J83" s="26" t="inlineStr">
        <is>
          <t>☐</t>
        </is>
      </c>
      <c r="K83" s="26" t="inlineStr">
        <is>
          <t>☐</t>
        </is>
      </c>
      <c r="L83" s="26" t="inlineStr">
        <is>
          <t>☐</t>
        </is>
      </c>
      <c r="M83" s="25" t="n"/>
      <c r="N83" s="27" t="n">
        <v>0</v>
      </c>
      <c r="O83" s="28" t="n"/>
      <c r="P83" s="23" t="n"/>
      <c r="Q83" s="29" t="n"/>
      <c r="R83" s="29" t="n"/>
      <c r="S83" s="23" t="n"/>
      <c r="T83" s="30" t="n"/>
      <c r="U83" s="31" t="inlineStr">
        <is>
          <t>高</t>
        </is>
      </c>
      <c r="V83" s="32" t="inlineStr">
        <is>
          <t>公式サイトに「代表」と記載</t>
        </is>
      </c>
      <c r="W83" s="33" t="inlineStr">
        <is>
          <t>開く</t>
        </is>
      </c>
    </row>
    <row r="84" ht="30" customHeight="1">
      <c r="A84" s="23" t="inlineStr">
        <is>
          <t>03岩手県</t>
        </is>
      </c>
      <c r="B84" s="23" t="inlineStr">
        <is>
          <t>私立</t>
        </is>
      </c>
      <c r="C84" s="23" t="n"/>
      <c r="D84" s="23" t="inlineStr">
        <is>
          <t>花巻東高等学校</t>
        </is>
      </c>
      <c r="E84" s="24" t="inlineStr">
        <is>
          <t>0198-41-1135</t>
        </is>
      </c>
      <c r="F84" s="23" t="n"/>
      <c r="G84" s="25" t="inlineStr">
        <is>
          <t>普通科</t>
        </is>
      </c>
      <c r="H84" s="26" t="inlineStr">
        <is>
          <t>☐</t>
        </is>
      </c>
      <c r="I84" s="26" t="inlineStr">
        <is>
          <t>☐</t>
        </is>
      </c>
      <c r="J84" s="26" t="inlineStr">
        <is>
          <t>☐</t>
        </is>
      </c>
      <c r="K84" s="26" t="inlineStr">
        <is>
          <t>☐</t>
        </is>
      </c>
      <c r="L84" s="26" t="inlineStr">
        <is>
          <t>☐</t>
        </is>
      </c>
      <c r="M84" s="25" t="n"/>
      <c r="N84" s="27" t="n">
        <v>0</v>
      </c>
      <c r="O84" s="28" t="n"/>
      <c r="P84" s="23" t="n"/>
      <c r="Q84" s="29" t="n"/>
      <c r="R84" s="29" t="n"/>
      <c r="S84" s="23" t="n"/>
      <c r="T84" s="30" t="n"/>
      <c r="U84" s="31" t="inlineStr">
        <is>
          <t>高</t>
        </is>
      </c>
      <c r="V84" s="32" t="inlineStr">
        <is>
          <t>公式サイトの事務室の番号。職員室は0198-24-2825</t>
        </is>
      </c>
      <c r="W84" s="33" t="inlineStr">
        <is>
          <t>開く</t>
        </is>
      </c>
    </row>
    <row r="85" ht="30" customHeight="1">
      <c r="A85" s="23" t="inlineStr">
        <is>
          <t>03岩手県</t>
        </is>
      </c>
      <c r="B85" s="23" t="inlineStr">
        <is>
          <t>私立</t>
        </is>
      </c>
      <c r="C85" s="23" t="n"/>
      <c r="D85" s="23" t="inlineStr">
        <is>
          <t>水沢第一高等学校</t>
        </is>
      </c>
      <c r="E85" s="24" t="inlineStr">
        <is>
          <t>0197-24-6171</t>
        </is>
      </c>
      <c r="F85" s="23" t="n"/>
      <c r="G85" s="25" t="inlineStr">
        <is>
          <t>普通科・専門学科</t>
        </is>
      </c>
      <c r="H85" s="26" t="inlineStr">
        <is>
          <t>☐</t>
        </is>
      </c>
      <c r="I85" s="26" t="inlineStr">
        <is>
          <t>☐</t>
        </is>
      </c>
      <c r="J85" s="26" t="inlineStr">
        <is>
          <t>☐</t>
        </is>
      </c>
      <c r="K85" s="26" t="inlineStr">
        <is>
          <t>☐</t>
        </is>
      </c>
      <c r="L85" s="26" t="inlineStr">
        <is>
          <t>☐</t>
        </is>
      </c>
      <c r="M85" s="25" t="n"/>
      <c r="N85" s="27" t="n">
        <v>0</v>
      </c>
      <c r="O85" s="28" t="n"/>
      <c r="P85" s="23" t="n"/>
      <c r="Q85" s="29" t="n"/>
      <c r="R85" s="29" t="n"/>
      <c r="S85" s="23" t="n"/>
      <c r="T85" s="30" t="n"/>
      <c r="U85" s="31" t="inlineStr">
        <is>
          <t>高</t>
        </is>
      </c>
      <c r="V85" s="32" t="inlineStr">
        <is>
          <t>公式サイトで確認。県立水沢高校（0197-24-3152）とは別の学校なので注意</t>
        </is>
      </c>
      <c r="W85" s="33" t="inlineStr">
        <is>
          <t>開く</t>
        </is>
      </c>
    </row>
    <row r="86" ht="30" customHeight="1">
      <c r="A86" s="23" t="inlineStr">
        <is>
          <t>03岩手県</t>
        </is>
      </c>
      <c r="B86" s="23" t="inlineStr">
        <is>
          <t>私立</t>
        </is>
      </c>
      <c r="C86" s="23" t="n"/>
      <c r="D86" s="23" t="inlineStr">
        <is>
          <t>盛岡白百合学園高等学校</t>
        </is>
      </c>
      <c r="E86" s="24" t="inlineStr">
        <is>
          <t>019-661-6330</t>
        </is>
      </c>
      <c r="F86" s="23" t="n"/>
      <c r="G86" s="25" t="inlineStr">
        <is>
          <t>普通科</t>
        </is>
      </c>
      <c r="H86" s="26" t="inlineStr">
        <is>
          <t>☐</t>
        </is>
      </c>
      <c r="I86" s="26" t="inlineStr">
        <is>
          <t>☐</t>
        </is>
      </c>
      <c r="J86" s="26" t="inlineStr">
        <is>
          <t>☐</t>
        </is>
      </c>
      <c r="K86" s="26" t="inlineStr">
        <is>
          <t>☐</t>
        </is>
      </c>
      <c r="L86" s="26" t="inlineStr">
        <is>
          <t>☐</t>
        </is>
      </c>
      <c r="M86" s="25" t="n"/>
      <c r="N86" s="27" t="n">
        <v>0</v>
      </c>
      <c r="O86" s="28" t="n"/>
      <c r="P86" s="23" t="n"/>
      <c r="Q86" s="29" t="n"/>
      <c r="R86" s="29" t="n"/>
      <c r="S86" s="23" t="n"/>
      <c r="T86" s="30" t="n"/>
      <c r="U86" s="31" t="inlineStr">
        <is>
          <t>高</t>
        </is>
      </c>
      <c r="V86" s="32" t="inlineStr">
        <is>
          <t>中高共通の代表番号。共学化の可能性あり（校名・体制を要確認）</t>
        </is>
      </c>
      <c r="W86" s="33" t="inlineStr">
        <is>
          <t>開く</t>
        </is>
      </c>
    </row>
    <row r="87" ht="30" customHeight="1">
      <c r="A87" s="23" t="inlineStr">
        <is>
          <t>03岩手県</t>
        </is>
      </c>
      <c r="B87" s="23" t="inlineStr">
        <is>
          <t>私立</t>
        </is>
      </c>
      <c r="C87" s="23" t="n"/>
      <c r="D87" s="23" t="inlineStr">
        <is>
          <t>盛岡スコーレ高等学校</t>
        </is>
      </c>
      <c r="E87" s="24" t="inlineStr">
        <is>
          <t>019-636-0827</t>
        </is>
      </c>
      <c r="F87" s="23" t="n"/>
      <c r="G87" s="25" t="inlineStr">
        <is>
          <t>総合学科</t>
        </is>
      </c>
      <c r="H87" s="26" t="inlineStr">
        <is>
          <t>☐</t>
        </is>
      </c>
      <c r="I87" s="26" t="inlineStr">
        <is>
          <t>☐</t>
        </is>
      </c>
      <c r="J87" s="26" t="inlineStr">
        <is>
          <t>☐</t>
        </is>
      </c>
      <c r="K87" s="26" t="inlineStr">
        <is>
          <t>☐</t>
        </is>
      </c>
      <c r="L87" s="26" t="inlineStr">
        <is>
          <t>☐</t>
        </is>
      </c>
      <c r="M87" s="25" t="n"/>
      <c r="N87" s="27" t="n">
        <v>0</v>
      </c>
      <c r="O87" s="28" t="n"/>
      <c r="P87" s="23" t="n"/>
      <c r="Q87" s="29" t="n"/>
      <c r="R87" s="29" t="n"/>
      <c r="S87" s="23" t="n"/>
      <c r="T87" s="30" t="n"/>
      <c r="U87" s="34" t="inlineStr">
        <is>
          <t>中</t>
        </is>
      </c>
      <c r="V87" s="32" t="inlineStr">
        <is>
          <t>JS日本の学校のみで確認。019-681-0831は高校生レストラン専用の番号</t>
        </is>
      </c>
      <c r="W87" s="33" t="inlineStr">
        <is>
          <t>開く</t>
        </is>
      </c>
    </row>
    <row r="88" ht="30" customHeight="1">
      <c r="A88" s="23" t="inlineStr">
        <is>
          <t>03岩手県</t>
        </is>
      </c>
      <c r="B88" s="23" t="inlineStr">
        <is>
          <t>私立</t>
        </is>
      </c>
      <c r="C88" s="23" t="n"/>
      <c r="D88" s="23" t="inlineStr">
        <is>
          <t>盛岡誠桜高等学校</t>
        </is>
      </c>
      <c r="E88" s="24" t="inlineStr">
        <is>
          <t>019-661-3633</t>
        </is>
      </c>
      <c r="F88" s="23" t="n"/>
      <c r="G88" s="25" t="inlineStr">
        <is>
          <t>普通科・専門学科</t>
        </is>
      </c>
      <c r="H88" s="26" t="inlineStr">
        <is>
          <t>☐</t>
        </is>
      </c>
      <c r="I88" s="26" t="inlineStr">
        <is>
          <t>☐</t>
        </is>
      </c>
      <c r="J88" s="26" t="inlineStr">
        <is>
          <t>☐</t>
        </is>
      </c>
      <c r="K88" s="26" t="inlineStr">
        <is>
          <t>☐</t>
        </is>
      </c>
      <c r="L88" s="26" t="inlineStr">
        <is>
          <t>☐</t>
        </is>
      </c>
      <c r="M88" s="25" t="n"/>
      <c r="N88" s="27" t="n">
        <v>0</v>
      </c>
      <c r="O88" s="28" t="n"/>
      <c r="P88" s="23" t="n"/>
      <c r="Q88" s="29" t="n"/>
      <c r="R88" s="29" t="n"/>
      <c r="S88" s="23" t="n"/>
      <c r="T88" s="30" t="n"/>
      <c r="U88" s="31" t="inlineStr">
        <is>
          <t>高</t>
        </is>
      </c>
      <c r="V88" s="32" t="inlineStr">
        <is>
          <t>公式サイトで確認</t>
        </is>
      </c>
      <c r="W88" s="33" t="inlineStr">
        <is>
          <t>開く</t>
        </is>
      </c>
    </row>
    <row r="89" ht="30" customHeight="1">
      <c r="A89" s="23" t="inlineStr">
        <is>
          <t>03岩手県</t>
        </is>
      </c>
      <c r="B89" s="23" t="inlineStr">
        <is>
          <t>私立</t>
        </is>
      </c>
      <c r="C89" s="23" t="n"/>
      <c r="D89" s="23" t="inlineStr">
        <is>
          <t>盛岡大学附属高等学校</t>
        </is>
      </c>
      <c r="E89" s="24" t="inlineStr">
        <is>
          <t>019-641-1121</t>
        </is>
      </c>
      <c r="F89" s="23" t="n"/>
      <c r="G89" s="25" t="inlineStr">
        <is>
          <t>普通科</t>
        </is>
      </c>
      <c r="H89" s="26" t="inlineStr">
        <is>
          <t>☐</t>
        </is>
      </c>
      <c r="I89" s="26" t="inlineStr">
        <is>
          <t>☐</t>
        </is>
      </c>
      <c r="J89" s="26" t="inlineStr">
        <is>
          <t>☐</t>
        </is>
      </c>
      <c r="K89" s="26" t="inlineStr">
        <is>
          <t>☐</t>
        </is>
      </c>
      <c r="L89" s="26" t="inlineStr">
        <is>
          <t>☐</t>
        </is>
      </c>
      <c r="M89" s="25" t="n"/>
      <c r="N89" s="27" t="n">
        <v>0</v>
      </c>
      <c r="O89" s="28" t="n"/>
      <c r="P89" s="23" t="n"/>
      <c r="Q89" s="29" t="n"/>
      <c r="R89" s="29" t="n"/>
      <c r="S89" s="23" t="n"/>
      <c r="T89" s="30" t="n"/>
      <c r="U89" s="34" t="inlineStr">
        <is>
          <t>中</t>
        </is>
      </c>
      <c r="V89" s="32" t="inlineStr">
        <is>
          <t>JS日本の学校のみで確認。019-688-5656は法人本部の番号</t>
        </is>
      </c>
      <c r="W89" s="33" t="inlineStr">
        <is>
          <t>開く</t>
        </is>
      </c>
    </row>
    <row r="90" ht="30" customHeight="1">
      <c r="A90" s="23" t="inlineStr">
        <is>
          <t>03岩手県</t>
        </is>
      </c>
      <c r="B90" s="23" t="inlineStr">
        <is>
          <t>私立</t>
        </is>
      </c>
      <c r="C90" s="23" t="n"/>
      <c r="D90" s="23" t="inlineStr">
        <is>
          <t>盛岡中央高等学校</t>
        </is>
      </c>
      <c r="E90" s="24" t="inlineStr">
        <is>
          <t>019-641-0458</t>
        </is>
      </c>
      <c r="F90" s="23" t="n"/>
      <c r="G90" s="25" t="inlineStr">
        <is>
          <t>普通科</t>
        </is>
      </c>
      <c r="H90" s="26" t="inlineStr">
        <is>
          <t>☐</t>
        </is>
      </c>
      <c r="I90" s="26" t="inlineStr">
        <is>
          <t>☐</t>
        </is>
      </c>
      <c r="J90" s="26" t="inlineStr">
        <is>
          <t>☐</t>
        </is>
      </c>
      <c r="K90" s="26" t="inlineStr">
        <is>
          <t>☐</t>
        </is>
      </c>
      <c r="L90" s="26" t="inlineStr">
        <is>
          <t>☐</t>
        </is>
      </c>
      <c r="M90" s="25" t="n"/>
      <c r="N90" s="27" t="n">
        <v>0</v>
      </c>
      <c r="O90" s="28" t="n"/>
      <c r="P90" s="23" t="n"/>
      <c r="Q90" s="29" t="n"/>
      <c r="R90" s="29" t="n"/>
      <c r="S90" s="23" t="n"/>
      <c r="T90" s="30" t="n"/>
      <c r="U90" s="31" t="inlineStr">
        <is>
          <t>高</t>
        </is>
      </c>
      <c r="V90" s="32" t="inlineStr">
        <is>
          <t>2つの情報源で一致。附属中学校は別番号（019-641-0505）</t>
        </is>
      </c>
      <c r="W90" s="33" t="inlineStr">
        <is>
          <t>開く</t>
        </is>
      </c>
    </row>
    <row r="91" ht="30" customHeight="1">
      <c r="A91" s="23" t="inlineStr">
        <is>
          <t>04宮城県</t>
        </is>
      </c>
      <c r="B91" s="23" t="inlineStr">
        <is>
          <t>私立</t>
        </is>
      </c>
      <c r="C91" s="23" t="n"/>
      <c r="D91" s="23" t="inlineStr">
        <is>
          <t>大崎中央高等学校</t>
        </is>
      </c>
      <c r="E91" s="24" t="inlineStr">
        <is>
          <t>0229-22-2030</t>
        </is>
      </c>
      <c r="F91" s="23" t="n"/>
      <c r="G91" s="25" t="inlineStr">
        <is>
          <t>普通科</t>
        </is>
      </c>
      <c r="H91" s="26" t="inlineStr">
        <is>
          <t>☐</t>
        </is>
      </c>
      <c r="I91" s="26" t="inlineStr">
        <is>
          <t>☐</t>
        </is>
      </c>
      <c r="J91" s="26" t="inlineStr">
        <is>
          <t>☐</t>
        </is>
      </c>
      <c r="K91" s="26" t="inlineStr">
        <is>
          <t>☐</t>
        </is>
      </c>
      <c r="L91" s="26" t="inlineStr">
        <is>
          <t>☐</t>
        </is>
      </c>
      <c r="M91" s="25" t="n"/>
      <c r="N91" s="27" t="n">
        <v>0</v>
      </c>
      <c r="O91" s="28" t="n"/>
      <c r="P91" s="23" t="n"/>
      <c r="Q91" s="29" t="n"/>
      <c r="R91" s="29" t="n"/>
      <c r="S91" s="23" t="n"/>
      <c r="T91" s="30" t="n"/>
      <c r="U91" s="31" t="inlineStr">
        <is>
          <t>高</t>
        </is>
      </c>
      <c r="V91" s="32" t="inlineStr">
        <is>
          <t>公式サイトで確認</t>
        </is>
      </c>
      <c r="W91" s="33" t="inlineStr">
        <is>
          <t>開く</t>
        </is>
      </c>
    </row>
    <row r="92" ht="30" customHeight="1">
      <c r="A92" s="23" t="inlineStr">
        <is>
          <t>04宮城県</t>
        </is>
      </c>
      <c r="B92" s="23" t="inlineStr">
        <is>
          <t>私立</t>
        </is>
      </c>
      <c r="C92" s="23" t="n"/>
      <c r="D92" s="23" t="inlineStr">
        <is>
          <t>尚絅学院高等学校</t>
        </is>
      </c>
      <c r="E92" s="24" t="inlineStr">
        <is>
          <t>022-264-5881</t>
        </is>
      </c>
      <c r="F92" s="23" t="n"/>
      <c r="G92" s="25" t="inlineStr">
        <is>
          <t>普通科</t>
        </is>
      </c>
      <c r="H92" s="26" t="inlineStr">
        <is>
          <t>☐</t>
        </is>
      </c>
      <c r="I92" s="26" t="inlineStr">
        <is>
          <t>☐</t>
        </is>
      </c>
      <c r="J92" s="26" t="inlineStr">
        <is>
          <t>☐</t>
        </is>
      </c>
      <c r="K92" s="26" t="inlineStr">
        <is>
          <t>☐</t>
        </is>
      </c>
      <c r="L92" s="26" t="inlineStr">
        <is>
          <t>☐</t>
        </is>
      </c>
      <c r="M92" s="25" t="n"/>
      <c r="N92" s="27" t="n">
        <v>0</v>
      </c>
      <c r="O92" s="28" t="n"/>
      <c r="P92" s="23" t="n"/>
      <c r="Q92" s="29" t="n"/>
      <c r="R92" s="29" t="n"/>
      <c r="S92" s="23" t="n"/>
      <c r="T92" s="30" t="n"/>
      <c r="U92" s="31" t="inlineStr">
        <is>
          <t>高</t>
        </is>
      </c>
      <c r="V92" s="32" t="inlineStr">
        <is>
          <t>公式サイトで確認。中高共通。名取市の尚絅学院大学（022-381-3300）とは別</t>
        </is>
      </c>
      <c r="W92" s="33" t="inlineStr">
        <is>
          <t>開く</t>
        </is>
      </c>
    </row>
    <row r="93" ht="30" customHeight="1">
      <c r="A93" s="23" t="inlineStr">
        <is>
          <t>04宮城県</t>
        </is>
      </c>
      <c r="B93" s="23" t="inlineStr">
        <is>
          <t>私立</t>
        </is>
      </c>
      <c r="C93" s="23" t="n"/>
      <c r="D93" s="23" t="inlineStr">
        <is>
          <t>聖ウルスラ学院英智高等学校</t>
        </is>
      </c>
      <c r="E93" s="24" t="inlineStr">
        <is>
          <t>022-286-3557</t>
        </is>
      </c>
      <c r="F93" s="23" t="n"/>
      <c r="G93" s="25" t="inlineStr">
        <is>
          <t>普通科</t>
        </is>
      </c>
      <c r="H93" s="26" t="inlineStr">
        <is>
          <t>☐</t>
        </is>
      </c>
      <c r="I93" s="26" t="inlineStr">
        <is>
          <t>☐</t>
        </is>
      </c>
      <c r="J93" s="26" t="inlineStr">
        <is>
          <t>☐</t>
        </is>
      </c>
      <c r="K93" s="26" t="inlineStr">
        <is>
          <t>☐</t>
        </is>
      </c>
      <c r="L93" s="26" t="inlineStr">
        <is>
          <t>☐</t>
        </is>
      </c>
      <c r="M93" s="25" t="n"/>
      <c r="N93" s="27" t="n">
        <v>0</v>
      </c>
      <c r="O93" s="28" t="n"/>
      <c r="P93" s="23" t="n"/>
      <c r="Q93" s="29" t="n"/>
      <c r="R93" s="29" t="n"/>
      <c r="S93" s="23" t="n"/>
      <c r="T93" s="30" t="n"/>
      <c r="U93" s="31" t="inlineStr">
        <is>
          <t>高</t>
        </is>
      </c>
      <c r="V93" s="32" t="inlineStr">
        <is>
          <t>宮城県の名簿（R7）と学校情報サイトで一致。小・中学校課程は別番号（022-286-6461）</t>
        </is>
      </c>
      <c r="W93" s="33" t="inlineStr">
        <is>
          <t>開く</t>
        </is>
      </c>
    </row>
    <row r="94" ht="30" customHeight="1">
      <c r="A94" s="23" t="inlineStr">
        <is>
          <t>04宮城県</t>
        </is>
      </c>
      <c r="B94" s="23" t="inlineStr">
        <is>
          <t>私立</t>
        </is>
      </c>
      <c r="C94" s="23" t="n"/>
      <c r="D94" s="23" t="inlineStr">
        <is>
          <t>聖ドミニコ学院高等学校</t>
        </is>
      </c>
      <c r="E94" s="24" t="inlineStr">
        <is>
          <t>022-222-6337</t>
        </is>
      </c>
      <c r="F94" s="23" t="n"/>
      <c r="G94" s="25" t="inlineStr">
        <is>
          <t>普通科</t>
        </is>
      </c>
      <c r="H94" s="26" t="inlineStr">
        <is>
          <t>☐</t>
        </is>
      </c>
      <c r="I94" s="26" t="inlineStr">
        <is>
          <t>☐</t>
        </is>
      </c>
      <c r="J94" s="26" t="inlineStr">
        <is>
          <t>☐</t>
        </is>
      </c>
      <c r="K94" s="26" t="inlineStr">
        <is>
          <t>☐</t>
        </is>
      </c>
      <c r="L94" s="26" t="inlineStr">
        <is>
          <t>☐</t>
        </is>
      </c>
      <c r="M94" s="25" t="n"/>
      <c r="N94" s="27" t="n">
        <v>0</v>
      </c>
      <c r="O94" s="28" t="n"/>
      <c r="P94" s="23" t="n"/>
      <c r="Q94" s="29" t="n"/>
      <c r="R94" s="29" t="n"/>
      <c r="S94" s="23" t="n"/>
      <c r="T94" s="30" t="n"/>
      <c r="U94" s="34" t="inlineStr">
        <is>
          <t>中</t>
        </is>
      </c>
      <c r="V94" s="32" t="inlineStr">
        <is>
          <t>JS日本の学校のみで確認。中学校と共通</t>
        </is>
      </c>
      <c r="W94" s="33" t="inlineStr">
        <is>
          <t>開く</t>
        </is>
      </c>
    </row>
    <row r="95" ht="30" customHeight="1">
      <c r="A95" s="23" t="inlineStr">
        <is>
          <t>04宮城県</t>
        </is>
      </c>
      <c r="B95" s="23" t="inlineStr">
        <is>
          <t>私立</t>
        </is>
      </c>
      <c r="C95" s="23" t="n"/>
      <c r="D95" s="23" t="inlineStr">
        <is>
          <t>聖和学園高等学校</t>
        </is>
      </c>
      <c r="E95" s="24" t="inlineStr">
        <is>
          <t>022-257-7777</t>
        </is>
      </c>
      <c r="F95" s="23" t="n"/>
      <c r="G95" s="25" t="inlineStr">
        <is>
          <t>普通科</t>
        </is>
      </c>
      <c r="H95" s="26" t="inlineStr">
        <is>
          <t>☐</t>
        </is>
      </c>
      <c r="I95" s="26" t="inlineStr">
        <is>
          <t>☐</t>
        </is>
      </c>
      <c r="J95" s="26" t="inlineStr">
        <is>
          <t>☐</t>
        </is>
      </c>
      <c r="K95" s="26" t="inlineStr">
        <is>
          <t>☐</t>
        </is>
      </c>
      <c r="L95" s="26" t="inlineStr">
        <is>
          <t>☐</t>
        </is>
      </c>
      <c r="M95" s="25" t="n"/>
      <c r="N95" s="27" t="n">
        <v>0</v>
      </c>
      <c r="O95" s="28" t="n"/>
      <c r="P95" s="23" t="n"/>
      <c r="Q95" s="29" t="n"/>
      <c r="R95" s="29" t="n"/>
      <c r="S95" s="23" t="n"/>
      <c r="T95" s="30" t="n"/>
      <c r="U95" s="31" t="inlineStr">
        <is>
          <t>高</t>
        </is>
      </c>
      <c r="V95" s="32" t="inlineStr">
        <is>
          <t>公式サイトで確認（薬師堂キャンパス）。三神峯キャンパスは022-304-2030</t>
        </is>
      </c>
      <c r="W95" s="33" t="inlineStr">
        <is>
          <t>開く</t>
        </is>
      </c>
    </row>
    <row r="96" ht="30" customHeight="1">
      <c r="A96" s="23" t="inlineStr">
        <is>
          <t>04宮城県</t>
        </is>
      </c>
      <c r="B96" s="23" t="inlineStr">
        <is>
          <t>私立</t>
        </is>
      </c>
      <c r="C96" s="23" t="n"/>
      <c r="D96" s="23" t="inlineStr">
        <is>
          <t>仙台育英学園高等学校</t>
        </is>
      </c>
      <c r="E96" s="24" t="inlineStr">
        <is>
          <t>022-256-4141</t>
        </is>
      </c>
      <c r="F96" s="23" t="n"/>
      <c r="G96" s="25" t="inlineStr">
        <is>
          <t>普通科</t>
        </is>
      </c>
      <c r="H96" s="26" t="inlineStr">
        <is>
          <t>☐</t>
        </is>
      </c>
      <c r="I96" s="26" t="inlineStr">
        <is>
          <t>☐</t>
        </is>
      </c>
      <c r="J96" s="26" t="inlineStr">
        <is>
          <t>☐</t>
        </is>
      </c>
      <c r="K96" s="26" t="inlineStr">
        <is>
          <t>☐</t>
        </is>
      </c>
      <c r="L96" s="26" t="inlineStr">
        <is>
          <t>☐</t>
        </is>
      </c>
      <c r="M96" s="25" t="n"/>
      <c r="N96" s="27" t="n">
        <v>0</v>
      </c>
      <c r="O96" s="28" t="n"/>
      <c r="P96" s="23" t="n"/>
      <c r="Q96" s="29" t="n"/>
      <c r="R96" s="29" t="n"/>
      <c r="S96" s="23" t="n"/>
      <c r="T96" s="30" t="n"/>
      <c r="U96" s="31" t="inlineStr">
        <is>
          <t>高</t>
        </is>
      </c>
      <c r="V96" s="32" t="inlineStr">
        <is>
          <t>公式サイトで確認（宮城野校舎の代表）。多賀城校舎は022-368-4111、入試広報部は022-353-6103</t>
        </is>
      </c>
      <c r="W96" s="33" t="inlineStr">
        <is>
          <t>開く</t>
        </is>
      </c>
    </row>
    <row r="97" ht="30" customHeight="1">
      <c r="A97" s="23" t="inlineStr">
        <is>
          <t>04宮城県</t>
        </is>
      </c>
      <c r="B97" s="23" t="inlineStr">
        <is>
          <t>私立</t>
        </is>
      </c>
      <c r="C97" s="23" t="n"/>
      <c r="D97" s="23" t="inlineStr">
        <is>
          <t>仙台白百合学園高等学校</t>
        </is>
      </c>
      <c r="E97" s="24" t="inlineStr">
        <is>
          <t>022-777-5777</t>
        </is>
      </c>
      <c r="F97" s="23" t="n"/>
      <c r="G97" s="25" t="inlineStr">
        <is>
          <t>普通科</t>
        </is>
      </c>
      <c r="H97" s="26" t="inlineStr">
        <is>
          <t>☐</t>
        </is>
      </c>
      <c r="I97" s="26" t="inlineStr">
        <is>
          <t>☐</t>
        </is>
      </c>
      <c r="J97" s="26" t="inlineStr">
        <is>
          <t>☐</t>
        </is>
      </c>
      <c r="K97" s="26" t="inlineStr">
        <is>
          <t>☐</t>
        </is>
      </c>
      <c r="L97" s="26" t="inlineStr">
        <is>
          <t>☐</t>
        </is>
      </c>
      <c r="M97" s="25" t="n"/>
      <c r="N97" s="27" t="n">
        <v>0</v>
      </c>
      <c r="O97" s="28" t="n"/>
      <c r="P97" s="23" t="n"/>
      <c r="Q97" s="29" t="n"/>
      <c r="R97" s="29" t="n"/>
      <c r="S97" s="23" t="n"/>
      <c r="T97" s="30" t="n"/>
      <c r="U97" s="31" t="inlineStr">
        <is>
          <t>高</t>
        </is>
      </c>
      <c r="V97" s="32" t="inlineStr">
        <is>
          <t>公式サイトで確認。中高共通。仙台白百合女子大学とは別</t>
        </is>
      </c>
      <c r="W97" s="33" t="inlineStr">
        <is>
          <t>開く</t>
        </is>
      </c>
    </row>
    <row r="98" ht="30" customHeight="1">
      <c r="A98" s="23" t="inlineStr">
        <is>
          <t>04宮城県</t>
        </is>
      </c>
      <c r="B98" s="23" t="inlineStr">
        <is>
          <t>私立</t>
        </is>
      </c>
      <c r="C98" s="23" t="n"/>
      <c r="D98" s="23" t="inlineStr">
        <is>
          <t>仙台城南高等学校</t>
        </is>
      </c>
      <c r="E98" s="24" t="inlineStr">
        <is>
          <t>022-305-2111</t>
        </is>
      </c>
      <c r="F98" s="23" t="n"/>
      <c r="G98" s="25" t="inlineStr">
        <is>
          <t>普通科・専門学科</t>
        </is>
      </c>
      <c r="H98" s="26" t="inlineStr">
        <is>
          <t>☐</t>
        </is>
      </c>
      <c r="I98" s="26" t="inlineStr">
        <is>
          <t>☐</t>
        </is>
      </c>
      <c r="J98" s="26" t="inlineStr">
        <is>
          <t>☐</t>
        </is>
      </c>
      <c r="K98" s="26" t="inlineStr">
        <is>
          <t>☐</t>
        </is>
      </c>
      <c r="L98" s="26" t="inlineStr">
        <is>
          <t>☐</t>
        </is>
      </c>
      <c r="M98" s="25" t="n"/>
      <c r="N98" s="27" t="n">
        <v>0</v>
      </c>
      <c r="O98" s="28" t="n"/>
      <c r="P98" s="23" t="n"/>
      <c r="Q98" s="29" t="n"/>
      <c r="R98" s="29" t="n"/>
      <c r="S98" s="23" t="n"/>
      <c r="T98" s="30" t="n"/>
      <c r="U98" s="31" t="inlineStr">
        <is>
          <t>高</t>
        </is>
      </c>
      <c r="V98" s="32" t="inlineStr">
        <is>
          <t>学校情報サイト2件で一致、公式サイトでは未確認</t>
        </is>
      </c>
      <c r="W98" s="33" t="inlineStr">
        <is>
          <t>開く</t>
        </is>
      </c>
    </row>
    <row r="99" ht="30" customHeight="1">
      <c r="A99" s="23" t="inlineStr">
        <is>
          <t>04宮城県</t>
        </is>
      </c>
      <c r="B99" s="23" t="inlineStr">
        <is>
          <t>私立</t>
        </is>
      </c>
      <c r="C99" s="23" t="n"/>
      <c r="D99" s="23" t="inlineStr">
        <is>
          <t>仙台大学附属明成高等学校</t>
        </is>
      </c>
      <c r="E99" s="24" t="inlineStr">
        <is>
          <t>022-278-6131</t>
        </is>
      </c>
      <c r="F99" s="23" t="n"/>
      <c r="G99" s="25" t="inlineStr">
        <is>
          <t>普通科・専門学科</t>
        </is>
      </c>
      <c r="H99" s="26" t="inlineStr">
        <is>
          <t>☐</t>
        </is>
      </c>
      <c r="I99" s="26" t="inlineStr">
        <is>
          <t>☐</t>
        </is>
      </c>
      <c r="J99" s="26" t="inlineStr">
        <is>
          <t>☐</t>
        </is>
      </c>
      <c r="K99" s="26" t="inlineStr">
        <is>
          <t>☐</t>
        </is>
      </c>
      <c r="L99" s="26" t="inlineStr">
        <is>
          <t>☐</t>
        </is>
      </c>
      <c r="M99" s="25" t="n"/>
      <c r="N99" s="27" t="n">
        <v>0</v>
      </c>
      <c r="O99" s="28" t="n"/>
      <c r="P99" s="23" t="n"/>
      <c r="Q99" s="29" t="n"/>
      <c r="R99" s="29" t="n"/>
      <c r="S99" s="23" t="n"/>
      <c r="T99" s="30" t="n"/>
      <c r="U99" s="31" t="inlineStr">
        <is>
          <t>高</t>
        </is>
      </c>
      <c r="V99" s="32" t="inlineStr">
        <is>
          <t>公式の令和8年度募集要項で確認。法人事務所（022-278-9136）とは別</t>
        </is>
      </c>
      <c r="W99" s="33" t="inlineStr">
        <is>
          <t>開く</t>
        </is>
      </c>
    </row>
    <row r="100" ht="30" customHeight="1">
      <c r="A100" s="23" t="inlineStr">
        <is>
          <t>04宮城県</t>
        </is>
      </c>
      <c r="B100" s="23" t="inlineStr">
        <is>
          <t>私立</t>
        </is>
      </c>
      <c r="C100" s="23" t="n"/>
      <c r="D100" s="23" t="inlineStr">
        <is>
          <t>東北学院高等学校</t>
        </is>
      </c>
      <c r="E100" s="24" t="inlineStr">
        <is>
          <t>022-786-1231</t>
        </is>
      </c>
      <c r="F100" s="23" t="n"/>
      <c r="G100" s="25" t="inlineStr">
        <is>
          <t>普通科</t>
        </is>
      </c>
      <c r="H100" s="26" t="inlineStr">
        <is>
          <t>☐</t>
        </is>
      </c>
      <c r="I100" s="26" t="inlineStr">
        <is>
          <t>☐</t>
        </is>
      </c>
      <c r="J100" s="26" t="inlineStr">
        <is>
          <t>☐</t>
        </is>
      </c>
      <c r="K100" s="26" t="inlineStr">
        <is>
          <t>☐</t>
        </is>
      </c>
      <c r="L100" s="26" t="inlineStr">
        <is>
          <t>☐</t>
        </is>
      </c>
      <c r="M100" s="25" t="n"/>
      <c r="N100" s="27" t="n">
        <v>0</v>
      </c>
      <c r="O100" s="28" t="n"/>
      <c r="P100" s="23" t="n"/>
      <c r="Q100" s="29" t="n"/>
      <c r="R100" s="29" t="n"/>
      <c r="S100" s="23" t="n"/>
      <c r="T100" s="30" t="n"/>
      <c r="U100" s="31" t="inlineStr">
        <is>
          <t>高</t>
        </is>
      </c>
      <c r="V100" s="32" t="inlineStr">
        <is>
          <t>公式資料に「代表」と記載。中学校と共通</t>
        </is>
      </c>
      <c r="W100" s="33" t="inlineStr">
        <is>
          <t>開く</t>
        </is>
      </c>
    </row>
    <row r="101" ht="30" customHeight="1">
      <c r="A101" s="23" t="inlineStr">
        <is>
          <t>04宮城県</t>
        </is>
      </c>
      <c r="B101" s="23" t="inlineStr">
        <is>
          <t>私立</t>
        </is>
      </c>
      <c r="C101" s="23" t="n"/>
      <c r="D101" s="23" t="inlineStr">
        <is>
          <t>東北学院榴ケ岡高等学校</t>
        </is>
      </c>
      <c r="E101" s="24" t="inlineStr">
        <is>
          <t>022-372-6611</t>
        </is>
      </c>
      <c r="F101" s="23" t="n"/>
      <c r="G101" s="25" t="inlineStr">
        <is>
          <t>普通科</t>
        </is>
      </c>
      <c r="H101" s="26" t="inlineStr">
        <is>
          <t>☐</t>
        </is>
      </c>
      <c r="I101" s="26" t="inlineStr">
        <is>
          <t>☐</t>
        </is>
      </c>
      <c r="J101" s="26" t="inlineStr">
        <is>
          <t>☐</t>
        </is>
      </c>
      <c r="K101" s="26" t="inlineStr">
        <is>
          <t>☐</t>
        </is>
      </c>
      <c r="L101" s="26" t="inlineStr">
        <is>
          <t>☐</t>
        </is>
      </c>
      <c r="M101" s="25" t="n"/>
      <c r="N101" s="27" t="n">
        <v>0</v>
      </c>
      <c r="O101" s="28" t="n"/>
      <c r="P101" s="23" t="n"/>
      <c r="Q101" s="29" t="n"/>
      <c r="R101" s="29" t="n"/>
      <c r="S101" s="23" t="n"/>
      <c r="T101" s="30" t="n"/>
      <c r="U101" s="31" t="inlineStr">
        <is>
          <t>高</t>
        </is>
      </c>
      <c r="V101" s="32" t="inlineStr">
        <is>
          <t>公式パンフレットと入試要項で一致</t>
        </is>
      </c>
      <c r="W101" s="33" t="inlineStr">
        <is>
          <t>開く</t>
        </is>
      </c>
    </row>
    <row r="102" ht="30" customHeight="1">
      <c r="A102" s="23" t="inlineStr">
        <is>
          <t>04宮城県</t>
        </is>
      </c>
      <c r="B102" s="23" t="inlineStr">
        <is>
          <t>私立</t>
        </is>
      </c>
      <c r="C102" s="23" t="n"/>
      <c r="D102" s="23" t="inlineStr">
        <is>
          <t>東北高等学校</t>
        </is>
      </c>
      <c r="E102" s="24" t="inlineStr">
        <is>
          <t>022-234-6361</t>
        </is>
      </c>
      <c r="F102" s="23" t="n"/>
      <c r="G102" s="25" t="inlineStr">
        <is>
          <t>普通科</t>
        </is>
      </c>
      <c r="H102" s="26" t="inlineStr">
        <is>
          <t>☐</t>
        </is>
      </c>
      <c r="I102" s="26" t="inlineStr">
        <is>
          <t>☐</t>
        </is>
      </c>
      <c r="J102" s="26" t="inlineStr">
        <is>
          <t>☐</t>
        </is>
      </c>
      <c r="K102" s="26" t="inlineStr">
        <is>
          <t>☐</t>
        </is>
      </c>
      <c r="L102" s="26" t="inlineStr">
        <is>
          <t>☐</t>
        </is>
      </c>
      <c r="M102" s="25" t="n"/>
      <c r="N102" s="27" t="n">
        <v>0</v>
      </c>
      <c r="O102" s="28" t="n"/>
      <c r="P102" s="23" t="n"/>
      <c r="Q102" s="29" t="n"/>
      <c r="R102" s="29" t="n"/>
      <c r="S102" s="23" t="n"/>
      <c r="T102" s="30" t="n"/>
      <c r="U102" s="31" t="inlineStr">
        <is>
          <t>高</t>
        </is>
      </c>
      <c r="V102" s="32" t="inlineStr">
        <is>
          <t>小松島キャンパスの代表。泉キャンパスは022-379-6001、入試広報センターは022-234-2351</t>
        </is>
      </c>
      <c r="W102" s="33" t="inlineStr">
        <is>
          <t>開く</t>
        </is>
      </c>
    </row>
    <row r="103" ht="30" customHeight="1">
      <c r="A103" s="23" t="inlineStr">
        <is>
          <t>04宮城県</t>
        </is>
      </c>
      <c r="B103" s="23" t="inlineStr">
        <is>
          <t>私立</t>
        </is>
      </c>
      <c r="C103" s="23" t="n"/>
      <c r="D103" s="23" t="inlineStr">
        <is>
          <t>東北生活文化大学高等学校</t>
        </is>
      </c>
      <c r="E103" s="24" t="inlineStr">
        <is>
          <t>022-272-7511</t>
        </is>
      </c>
      <c r="F103" s="23" t="n"/>
      <c r="G103" s="25" t="inlineStr">
        <is>
          <t>普通科・専門学科</t>
        </is>
      </c>
      <c r="H103" s="26" t="inlineStr">
        <is>
          <t>☐</t>
        </is>
      </c>
      <c r="I103" s="26" t="inlineStr">
        <is>
          <t>☐</t>
        </is>
      </c>
      <c r="J103" s="26" t="inlineStr">
        <is>
          <t>☐</t>
        </is>
      </c>
      <c r="K103" s="26" t="inlineStr">
        <is>
          <t>☐</t>
        </is>
      </c>
      <c r="L103" s="26" t="inlineStr">
        <is>
          <t>☐</t>
        </is>
      </c>
      <c r="M103" s="25" t="n"/>
      <c r="N103" s="27" t="n">
        <v>0</v>
      </c>
      <c r="O103" s="28" t="n"/>
      <c r="P103" s="23" t="n"/>
      <c r="Q103" s="29" t="n"/>
      <c r="R103" s="29" t="n"/>
      <c r="S103" s="23" t="n"/>
      <c r="T103" s="30" t="n"/>
      <c r="U103" s="31" t="inlineStr">
        <is>
          <t>高</t>
        </is>
      </c>
      <c r="V103" s="32" t="inlineStr">
        <is>
          <t>公式サイトに「代表」と記載。入試広報室は022-272-7522</t>
        </is>
      </c>
      <c r="W103" s="33" t="inlineStr">
        <is>
          <t>開く</t>
        </is>
      </c>
    </row>
    <row r="104" ht="30" customHeight="1">
      <c r="A104" s="23" t="inlineStr">
        <is>
          <t>04宮城県</t>
        </is>
      </c>
      <c r="B104" s="23" t="inlineStr">
        <is>
          <t>私立</t>
        </is>
      </c>
      <c r="C104" s="23" t="n"/>
      <c r="D104" s="23" t="inlineStr">
        <is>
          <t>東陵高等学校</t>
        </is>
      </c>
      <c r="E104" s="24" t="inlineStr">
        <is>
          <t>0226-23-3100</t>
        </is>
      </c>
      <c r="F104" s="23" t="n"/>
      <c r="G104" s="25" t="inlineStr">
        <is>
          <t>普通科</t>
        </is>
      </c>
      <c r="H104" s="26" t="inlineStr">
        <is>
          <t>☐</t>
        </is>
      </c>
      <c r="I104" s="26" t="inlineStr">
        <is>
          <t>☐</t>
        </is>
      </c>
      <c r="J104" s="26" t="inlineStr">
        <is>
          <t>☐</t>
        </is>
      </c>
      <c r="K104" s="26" t="inlineStr">
        <is>
          <t>☐</t>
        </is>
      </c>
      <c r="L104" s="26" t="inlineStr">
        <is>
          <t>☐</t>
        </is>
      </c>
      <c r="M104" s="25" t="n"/>
      <c r="N104" s="27" t="n">
        <v>0</v>
      </c>
      <c r="O104" s="28" t="n"/>
      <c r="P104" s="23" t="n"/>
      <c r="Q104" s="29" t="n"/>
      <c r="R104" s="29" t="n"/>
      <c r="S104" s="23" t="n"/>
      <c r="T104" s="30" t="n"/>
      <c r="U104" s="31" t="inlineStr">
        <is>
          <t>高</t>
        </is>
      </c>
      <c r="V104" s="32" t="inlineStr">
        <is>
          <t>宮城県の資料と学校情報サイトで一致</t>
        </is>
      </c>
      <c r="W104" s="33" t="inlineStr">
        <is>
          <t>開く</t>
        </is>
      </c>
    </row>
    <row r="105" ht="30" customHeight="1">
      <c r="A105" s="23" t="inlineStr">
        <is>
          <t>04宮城県</t>
        </is>
      </c>
      <c r="B105" s="23" t="inlineStr">
        <is>
          <t>私立</t>
        </is>
      </c>
      <c r="C105" s="23" t="n"/>
      <c r="D105" s="23" t="inlineStr">
        <is>
          <t>常盤木学園高等学校</t>
        </is>
      </c>
      <c r="E105" s="24" t="inlineStr">
        <is>
          <t>022-263-1755</t>
        </is>
      </c>
      <c r="F105" s="23" t="n"/>
      <c r="G105" s="25" t="inlineStr">
        <is>
          <t>普通科・専門学科</t>
        </is>
      </c>
      <c r="H105" s="26" t="inlineStr">
        <is>
          <t>☐</t>
        </is>
      </c>
      <c r="I105" s="26" t="inlineStr">
        <is>
          <t>☐</t>
        </is>
      </c>
      <c r="J105" s="26" t="inlineStr">
        <is>
          <t>☐</t>
        </is>
      </c>
      <c r="K105" s="26" t="inlineStr">
        <is>
          <t>☐</t>
        </is>
      </c>
      <c r="L105" s="26" t="inlineStr">
        <is>
          <t>☐</t>
        </is>
      </c>
      <c r="M105" s="25" t="n"/>
      <c r="N105" s="27" t="n">
        <v>0</v>
      </c>
      <c r="O105" s="28" t="n"/>
      <c r="P105" s="23" t="n"/>
      <c r="Q105" s="29" t="n"/>
      <c r="R105" s="29" t="n"/>
      <c r="S105" s="23" t="n"/>
      <c r="T105" s="30" t="n"/>
      <c r="U105" s="34" t="inlineStr">
        <is>
          <t>中</t>
        </is>
      </c>
      <c r="V105" s="32" t="inlineStr">
        <is>
          <t>公式サイトでは職員室の番号。事務室（法人）は022-263-1751で、こちらを代表とするサイトもあり</t>
        </is>
      </c>
      <c r="W105" s="33" t="inlineStr">
        <is>
          <t>開く</t>
        </is>
      </c>
    </row>
    <row r="106" ht="30" customHeight="1">
      <c r="A106" s="23" t="inlineStr">
        <is>
          <t>04宮城県</t>
        </is>
      </c>
      <c r="B106" s="23" t="inlineStr">
        <is>
          <t>私立</t>
        </is>
      </c>
      <c r="C106" s="23" t="n"/>
      <c r="D106" s="23" t="inlineStr">
        <is>
          <t>西山学院高等学校</t>
        </is>
      </c>
      <c r="E106" s="24" t="inlineStr">
        <is>
          <t>0224-37-2131</t>
        </is>
      </c>
      <c r="F106" s="23" t="n"/>
      <c r="G106" s="25" t="inlineStr">
        <is>
          <t>普通科</t>
        </is>
      </c>
      <c r="H106" s="26" t="inlineStr">
        <is>
          <t>☐</t>
        </is>
      </c>
      <c r="I106" s="26" t="inlineStr">
        <is>
          <t>☐</t>
        </is>
      </c>
      <c r="J106" s="26" t="inlineStr">
        <is>
          <t>☐</t>
        </is>
      </c>
      <c r="K106" s="26" t="inlineStr">
        <is>
          <t>☐</t>
        </is>
      </c>
      <c r="L106" s="26" t="inlineStr">
        <is>
          <t>☐</t>
        </is>
      </c>
      <c r="M106" s="25" t="n"/>
      <c r="N106" s="27" t="n">
        <v>0</v>
      </c>
      <c r="O106" s="28" t="n"/>
      <c r="P106" s="23" t="n"/>
      <c r="Q106" s="29" t="n"/>
      <c r="R106" s="29" t="n"/>
      <c r="S106" s="23" t="n"/>
      <c r="T106" s="30" t="n"/>
      <c r="U106" s="34" t="inlineStr">
        <is>
          <t>中</t>
        </is>
      </c>
      <c r="V106" s="32" t="inlineStr">
        <is>
          <t>七ヶ宿町の本校。学校情報サイト2件で一致、公式サイトでは未確認。全寮制</t>
        </is>
      </c>
      <c r="W106" s="33" t="inlineStr">
        <is>
          <t>開く</t>
        </is>
      </c>
    </row>
    <row r="107" ht="30" customHeight="1">
      <c r="A107" s="23" t="inlineStr">
        <is>
          <t>04宮城県</t>
        </is>
      </c>
      <c r="B107" s="23" t="inlineStr">
        <is>
          <t>私立</t>
        </is>
      </c>
      <c r="C107" s="23" t="n"/>
      <c r="D107" s="23" t="inlineStr">
        <is>
          <t>古川学園高等学校</t>
        </is>
      </c>
      <c r="E107" s="24" t="inlineStr">
        <is>
          <t>0229-22-2545</t>
        </is>
      </c>
      <c r="F107" s="23" t="n"/>
      <c r="G107" s="25" t="inlineStr">
        <is>
          <t>普通科・専門学科</t>
        </is>
      </c>
      <c r="H107" s="26" t="inlineStr">
        <is>
          <t>☐</t>
        </is>
      </c>
      <c r="I107" s="26" t="inlineStr">
        <is>
          <t>☐</t>
        </is>
      </c>
      <c r="J107" s="26" t="inlineStr">
        <is>
          <t>☐</t>
        </is>
      </c>
      <c r="K107" s="26" t="inlineStr">
        <is>
          <t>☐</t>
        </is>
      </c>
      <c r="L107" s="26" t="inlineStr">
        <is>
          <t>☐</t>
        </is>
      </c>
      <c r="M107" s="25" t="n"/>
      <c r="N107" s="27" t="n">
        <v>0</v>
      </c>
      <c r="O107" s="28" t="n"/>
      <c r="P107" s="23" t="n"/>
      <c r="Q107" s="29" t="n"/>
      <c r="R107" s="29" t="n"/>
      <c r="S107" s="23" t="n"/>
      <c r="T107" s="30" t="n"/>
      <c r="U107" s="34" t="inlineStr">
        <is>
          <t>中</t>
        </is>
      </c>
      <c r="V107" s="32" t="inlineStr">
        <is>
          <t>学校情報サイト2件で一致、公式サイトでは未確認。中学校と共通</t>
        </is>
      </c>
      <c r="W107" s="33" t="inlineStr">
        <is>
          <t>開く</t>
        </is>
      </c>
    </row>
    <row r="108" ht="30" customHeight="1">
      <c r="A108" s="23" t="inlineStr">
        <is>
          <t>04宮城県</t>
        </is>
      </c>
      <c r="B108" s="23" t="inlineStr">
        <is>
          <t>私立</t>
        </is>
      </c>
      <c r="C108" s="23" t="n"/>
      <c r="D108" s="23" t="inlineStr">
        <is>
          <t>宮城学院高等学校</t>
        </is>
      </c>
      <c r="E108" s="24" t="inlineStr">
        <is>
          <t>022-279-1331</t>
        </is>
      </c>
      <c r="F108" s="23" t="n"/>
      <c r="G108" s="25" t="inlineStr">
        <is>
          <t>普通科</t>
        </is>
      </c>
      <c r="H108" s="26" t="inlineStr">
        <is>
          <t>☐</t>
        </is>
      </c>
      <c r="I108" s="26" t="inlineStr">
        <is>
          <t>☐</t>
        </is>
      </c>
      <c r="J108" s="26" t="inlineStr">
        <is>
          <t>☐</t>
        </is>
      </c>
      <c r="K108" s="26" t="inlineStr">
        <is>
          <t>☐</t>
        </is>
      </c>
      <c r="L108" s="26" t="inlineStr">
        <is>
          <t>☐</t>
        </is>
      </c>
      <c r="M108" s="25" t="n"/>
      <c r="N108" s="27" t="n">
        <v>0</v>
      </c>
      <c r="O108" s="28" t="n"/>
      <c r="P108" s="23" t="n"/>
      <c r="Q108" s="29" t="n"/>
      <c r="R108" s="29" t="n"/>
      <c r="S108" s="23" t="n"/>
      <c r="T108" s="30" t="n"/>
      <c r="U108" s="31" t="inlineStr">
        <is>
          <t>高</t>
        </is>
      </c>
      <c r="V108" s="32" t="inlineStr">
        <is>
          <t>宮城県私立中学高等学校連合会ほかで「代表」として一致。法人代表（022-279-1311）とは別</t>
        </is>
      </c>
      <c r="W108" s="33" t="inlineStr">
        <is>
          <t>開く</t>
        </is>
      </c>
    </row>
    <row r="109" ht="30" customHeight="1">
      <c r="A109" s="23" t="inlineStr">
        <is>
          <t>05秋田県</t>
        </is>
      </c>
      <c r="B109" s="23" t="inlineStr">
        <is>
          <t>私立</t>
        </is>
      </c>
      <c r="C109" s="23" t="n"/>
      <c r="D109" s="23" t="inlineStr">
        <is>
          <t>秋田修英高等学校</t>
        </is>
      </c>
      <c r="E109" s="24" t="inlineStr">
        <is>
          <t>0187-63-2622</t>
        </is>
      </c>
      <c r="F109" s="23" t="n"/>
      <c r="G109" s="25" t="inlineStr">
        <is>
          <t>普通科・総合学科</t>
        </is>
      </c>
      <c r="H109" s="26" t="inlineStr">
        <is>
          <t>☐</t>
        </is>
      </c>
      <c r="I109" s="26" t="inlineStr">
        <is>
          <t>☐</t>
        </is>
      </c>
      <c r="J109" s="26" t="inlineStr">
        <is>
          <t>☐</t>
        </is>
      </c>
      <c r="K109" s="26" t="inlineStr">
        <is>
          <t>☐</t>
        </is>
      </c>
      <c r="L109" s="26" t="inlineStr">
        <is>
          <t>☐</t>
        </is>
      </c>
      <c r="M109" s="25" t="n"/>
      <c r="N109" s="27" t="n">
        <v>0</v>
      </c>
      <c r="O109" s="28" t="n"/>
      <c r="P109" s="23" t="n"/>
      <c r="Q109" s="29" t="n"/>
      <c r="R109" s="29" t="n"/>
      <c r="S109" s="23" t="n"/>
      <c r="T109" s="30" t="n"/>
      <c r="U109" s="31" t="inlineStr">
        <is>
          <t>高</t>
        </is>
      </c>
      <c r="V109" s="32" t="inlineStr">
        <is>
          <t>Yahoo!マップと学校情報サイトで一致</t>
        </is>
      </c>
      <c r="W109" s="33" t="inlineStr">
        <is>
          <t>開く</t>
        </is>
      </c>
    </row>
    <row r="110" ht="30" customHeight="1">
      <c r="A110" s="23" t="inlineStr">
        <is>
          <t>05秋田県</t>
        </is>
      </c>
      <c r="B110" s="23" t="inlineStr">
        <is>
          <t>私立</t>
        </is>
      </c>
      <c r="C110" s="23" t="n"/>
      <c r="D110" s="23" t="inlineStr">
        <is>
          <t>秋田令和高等学校</t>
        </is>
      </c>
      <c r="E110" s="24" t="inlineStr">
        <is>
          <t>018-833-1353</t>
        </is>
      </c>
      <c r="F110" s="23" t="n"/>
      <c r="G110" s="25" t="inlineStr">
        <is>
          <t>普通科</t>
        </is>
      </c>
      <c r="H110" s="26" t="inlineStr">
        <is>
          <t>☐</t>
        </is>
      </c>
      <c r="I110" s="26" t="inlineStr">
        <is>
          <t>☐</t>
        </is>
      </c>
      <c r="J110" s="26" t="inlineStr">
        <is>
          <t>☐</t>
        </is>
      </c>
      <c r="K110" s="26" t="inlineStr">
        <is>
          <t>☐</t>
        </is>
      </c>
      <c r="L110" s="26" t="inlineStr">
        <is>
          <t>☐</t>
        </is>
      </c>
      <c r="M110" s="25" t="n"/>
      <c r="N110" s="27" t="n">
        <v>0</v>
      </c>
      <c r="O110" s="28" t="n"/>
      <c r="P110" s="23" t="n"/>
      <c r="Q110" s="29" t="n"/>
      <c r="R110" s="29" t="n"/>
      <c r="S110" s="23" t="n"/>
      <c r="T110" s="30" t="n"/>
      <c r="U110" s="34" t="inlineStr">
        <is>
          <t>中</t>
        </is>
      </c>
      <c r="V110" s="32" t="inlineStr">
        <is>
          <t>秋田県の高等学校一覧（R5）で確認。最新版では未確認</t>
        </is>
      </c>
      <c r="W110" s="33" t="inlineStr">
        <is>
          <t>開く</t>
        </is>
      </c>
    </row>
    <row r="111" ht="30" customHeight="1">
      <c r="A111" s="23" t="inlineStr">
        <is>
          <t>05秋田県</t>
        </is>
      </c>
      <c r="B111" s="23" t="inlineStr">
        <is>
          <t>私立</t>
        </is>
      </c>
      <c r="C111" s="23" t="n"/>
      <c r="D111" s="23" t="inlineStr">
        <is>
          <t>国学館高等学校</t>
        </is>
      </c>
      <c r="E111" s="24" t="inlineStr">
        <is>
          <t>018-833-6361</t>
        </is>
      </c>
      <c r="F111" s="23" t="n"/>
      <c r="G111" s="25" t="inlineStr">
        <is>
          <t>普通科・専門学科</t>
        </is>
      </c>
      <c r="H111" s="26" t="inlineStr">
        <is>
          <t>☐</t>
        </is>
      </c>
      <c r="I111" s="26" t="inlineStr">
        <is>
          <t>☐</t>
        </is>
      </c>
      <c r="J111" s="26" t="inlineStr">
        <is>
          <t>☐</t>
        </is>
      </c>
      <c r="K111" s="26" t="inlineStr">
        <is>
          <t>☐</t>
        </is>
      </c>
      <c r="L111" s="26" t="inlineStr">
        <is>
          <t>☐</t>
        </is>
      </c>
      <c r="M111" s="25" t="n"/>
      <c r="N111" s="27" t="n">
        <v>0</v>
      </c>
      <c r="O111" s="28" t="n"/>
      <c r="P111" s="23" t="n"/>
      <c r="Q111" s="29" t="n"/>
      <c r="R111" s="29" t="n"/>
      <c r="S111" s="23" t="n"/>
      <c r="T111" s="30" t="n"/>
      <c r="U111" s="31" t="inlineStr">
        <is>
          <t>高</t>
        </is>
      </c>
      <c r="V111" s="32" t="inlineStr">
        <is>
          <t>秋田県の高等学校一覧（複数年度）で一致</t>
        </is>
      </c>
      <c r="W111" s="33" t="inlineStr">
        <is>
          <t>開く</t>
        </is>
      </c>
    </row>
    <row r="112" ht="30" customHeight="1">
      <c r="A112" s="23" t="inlineStr">
        <is>
          <t>05秋田県</t>
        </is>
      </c>
      <c r="B112" s="23" t="inlineStr">
        <is>
          <t>私立</t>
        </is>
      </c>
      <c r="C112" s="23" t="n"/>
      <c r="D112" s="23" t="inlineStr">
        <is>
          <t>聖霊女子短期大学付属高等学校</t>
        </is>
      </c>
      <c r="E112" s="24" t="inlineStr">
        <is>
          <t>018-833-7311</t>
        </is>
      </c>
      <c r="F112" s="23" t="n"/>
      <c r="G112" s="25" t="inlineStr">
        <is>
          <t>普通科</t>
        </is>
      </c>
      <c r="H112" s="26" t="inlineStr">
        <is>
          <t>☐</t>
        </is>
      </c>
      <c r="I112" s="26" t="inlineStr">
        <is>
          <t>☐</t>
        </is>
      </c>
      <c r="J112" s="26" t="inlineStr">
        <is>
          <t>☐</t>
        </is>
      </c>
      <c r="K112" s="26" t="inlineStr">
        <is>
          <t>☐</t>
        </is>
      </c>
      <c r="L112" s="26" t="inlineStr">
        <is>
          <t>☐</t>
        </is>
      </c>
      <c r="M112" s="25" t="n"/>
      <c r="N112" s="27" t="n">
        <v>0</v>
      </c>
      <c r="O112" s="28" t="n"/>
      <c r="P112" s="23" t="n"/>
      <c r="Q112" s="29" t="n"/>
      <c r="R112" s="29" t="n"/>
      <c r="S112" s="23" t="n"/>
      <c r="T112" s="30" t="n"/>
      <c r="U112" s="31" t="inlineStr">
        <is>
          <t>高</t>
        </is>
      </c>
      <c r="V112" s="32" t="inlineStr">
        <is>
          <t>【校名変更】2024年4月から「聖霊学園高等学校」。018-845-4111は短大の番号なので注意</t>
        </is>
      </c>
      <c r="W112" s="33" t="inlineStr">
        <is>
          <t>開く</t>
        </is>
      </c>
    </row>
    <row r="113" ht="30" customHeight="1">
      <c r="A113" s="23" t="inlineStr">
        <is>
          <t>05秋田県</t>
        </is>
      </c>
      <c r="B113" s="23" t="inlineStr">
        <is>
          <t>私立</t>
        </is>
      </c>
      <c r="C113" s="23" t="n"/>
      <c r="D113" s="23" t="inlineStr">
        <is>
          <t>明桜高等学校</t>
        </is>
      </c>
      <c r="E113" s="24" t="inlineStr">
        <is>
          <t>018-836-2471</t>
        </is>
      </c>
      <c r="F113" s="23" t="n"/>
      <c r="G113" s="25" t="inlineStr">
        <is>
          <t>普通科</t>
        </is>
      </c>
      <c r="H113" s="26" t="inlineStr">
        <is>
          <t>☐</t>
        </is>
      </c>
      <c r="I113" s="26" t="inlineStr">
        <is>
          <t>☐</t>
        </is>
      </c>
      <c r="J113" s="26" t="inlineStr">
        <is>
          <t>☐</t>
        </is>
      </c>
      <c r="K113" s="26" t="inlineStr">
        <is>
          <t>☐</t>
        </is>
      </c>
      <c r="L113" s="26" t="inlineStr">
        <is>
          <t>☐</t>
        </is>
      </c>
      <c r="M113" s="25" t="n"/>
      <c r="N113" s="27" t="n">
        <v>0</v>
      </c>
      <c r="O113" s="28" t="n"/>
      <c r="P113" s="23" t="n"/>
      <c r="Q113" s="29" t="n"/>
      <c r="R113" s="29" t="n"/>
      <c r="S113" s="23" t="n"/>
      <c r="T113" s="30" t="n"/>
      <c r="U113" s="31" t="inlineStr">
        <is>
          <t>高</t>
        </is>
      </c>
      <c r="V113" s="32" t="inlineStr">
        <is>
          <t>正式名称は「ノースアジア大学明桜高等学校」。秋田県の一覧（複数年度）で一致</t>
        </is>
      </c>
      <c r="W113" s="33" t="inlineStr">
        <is>
          <t>開く</t>
        </is>
      </c>
    </row>
    <row r="114" ht="30" customHeight="1">
      <c r="A114" s="23" t="inlineStr">
        <is>
          <t>06山形県</t>
        </is>
      </c>
      <c r="B114" s="23" t="inlineStr">
        <is>
          <t>私立</t>
        </is>
      </c>
      <c r="C114" s="23" t="n"/>
      <c r="D114" s="23" t="inlineStr">
        <is>
          <t>基督教独立学園高等学校</t>
        </is>
      </c>
      <c r="E114" s="24" t="inlineStr">
        <is>
          <t>0238-65-2021</t>
        </is>
      </c>
      <c r="F114" s="23" t="n"/>
      <c r="G114" s="25" t="inlineStr">
        <is>
          <t>普通科</t>
        </is>
      </c>
      <c r="H114" s="26" t="inlineStr">
        <is>
          <t>☐</t>
        </is>
      </c>
      <c r="I114" s="26" t="inlineStr">
        <is>
          <t>☐</t>
        </is>
      </c>
      <c r="J114" s="26" t="inlineStr">
        <is>
          <t>☐</t>
        </is>
      </c>
      <c r="K114" s="26" t="inlineStr">
        <is>
          <t>☐</t>
        </is>
      </c>
      <c r="L114" s="26" t="inlineStr">
        <is>
          <t>☐</t>
        </is>
      </c>
      <c r="M114" s="25" t="n"/>
      <c r="N114" s="27" t="n">
        <v>0</v>
      </c>
      <c r="O114" s="28" t="n"/>
      <c r="P114" s="23" t="n"/>
      <c r="Q114" s="29" t="n"/>
      <c r="R114" s="29" t="n"/>
      <c r="S114" s="23" t="n"/>
      <c r="T114" s="30" t="n"/>
      <c r="U114" s="31" t="inlineStr">
        <is>
          <t>高</t>
        </is>
      </c>
      <c r="V114" s="32" t="inlineStr">
        <is>
          <t>複数の情報源で一致</t>
        </is>
      </c>
      <c r="W114" s="33" t="inlineStr">
        <is>
          <t>開く</t>
        </is>
      </c>
    </row>
    <row r="115" ht="30" customHeight="1">
      <c r="A115" s="23" t="inlineStr">
        <is>
          <t>06山形県</t>
        </is>
      </c>
      <c r="B115" s="23" t="inlineStr">
        <is>
          <t>私立</t>
        </is>
      </c>
      <c r="C115" s="23" t="n"/>
      <c r="D115" s="23" t="inlineStr">
        <is>
          <t>九里学園高等学校</t>
        </is>
      </c>
      <c r="E115" s="24" t="inlineStr">
        <is>
          <t>0238-22-0091</t>
        </is>
      </c>
      <c r="F115" s="23" t="n"/>
      <c r="G115" s="25" t="inlineStr">
        <is>
          <t>普通科</t>
        </is>
      </c>
      <c r="H115" s="26" t="inlineStr">
        <is>
          <t>☐</t>
        </is>
      </c>
      <c r="I115" s="26" t="inlineStr">
        <is>
          <t>☐</t>
        </is>
      </c>
      <c r="J115" s="26" t="inlineStr">
        <is>
          <t>☐</t>
        </is>
      </c>
      <c r="K115" s="26" t="inlineStr">
        <is>
          <t>☐</t>
        </is>
      </c>
      <c r="L115" s="26" t="inlineStr">
        <is>
          <t>☐</t>
        </is>
      </c>
      <c r="M115" s="25" t="n"/>
      <c r="N115" s="27" t="n">
        <v>0</v>
      </c>
      <c r="O115" s="28" t="n"/>
      <c r="P115" s="23" t="n"/>
      <c r="Q115" s="29" t="n"/>
      <c r="R115" s="29" t="n"/>
      <c r="S115" s="23" t="n"/>
      <c r="T115" s="30" t="n"/>
      <c r="U115" s="31" t="inlineStr">
        <is>
          <t>高</t>
        </is>
      </c>
      <c r="V115" s="32" t="inlineStr">
        <is>
          <t>学校情報サイトと山形県の学校法人名簿で一致</t>
        </is>
      </c>
      <c r="W115" s="33" t="inlineStr">
        <is>
          <t>開く</t>
        </is>
      </c>
    </row>
    <row r="116" ht="30" customHeight="1">
      <c r="A116" s="23" t="inlineStr">
        <is>
          <t>06山形県</t>
        </is>
      </c>
      <c r="B116" s="23" t="inlineStr">
        <is>
          <t>私立</t>
        </is>
      </c>
      <c r="C116" s="23" t="n"/>
      <c r="D116" s="23" t="inlineStr">
        <is>
          <t>酒田南高等学校</t>
        </is>
      </c>
      <c r="E116" s="24" t="inlineStr">
        <is>
          <t>0234-22-4733</t>
        </is>
      </c>
      <c r="F116" s="23" t="n"/>
      <c r="G116" s="25" t="inlineStr">
        <is>
          <t>普通科・専門学科</t>
        </is>
      </c>
      <c r="H116" s="26" t="inlineStr">
        <is>
          <t>☐</t>
        </is>
      </c>
      <c r="I116" s="26" t="inlineStr">
        <is>
          <t>☐</t>
        </is>
      </c>
      <c r="J116" s="26" t="inlineStr">
        <is>
          <t>☐</t>
        </is>
      </c>
      <c r="K116" s="26" t="inlineStr">
        <is>
          <t>☐</t>
        </is>
      </c>
      <c r="L116" s="26" t="inlineStr">
        <is>
          <t>☐</t>
        </is>
      </c>
      <c r="M116" s="25" t="n"/>
      <c r="N116" s="27" t="n">
        <v>0</v>
      </c>
      <c r="O116" s="28" t="n"/>
      <c r="P116" s="23" t="n"/>
      <c r="Q116" s="29" t="n"/>
      <c r="R116" s="29" t="n"/>
      <c r="S116" s="23" t="n"/>
      <c r="T116" s="30" t="n"/>
      <c r="U116" s="34" t="inlineStr">
        <is>
          <t>中</t>
        </is>
      </c>
      <c r="V116" s="32" t="inlineStr">
        <is>
          <t>公式サイトの職員室の番号（浜田キャンパス）。事務室は0234-24-2900。一部サイトの0234-22-7341は旧キャンパスの番号の可能性あり</t>
        </is>
      </c>
      <c r="W116" s="33" t="inlineStr">
        <is>
          <t>開く</t>
        </is>
      </c>
    </row>
    <row r="117" ht="30" customHeight="1">
      <c r="A117" s="23" t="inlineStr">
        <is>
          <t>06山形県</t>
        </is>
      </c>
      <c r="B117" s="23" t="inlineStr">
        <is>
          <t>私立</t>
        </is>
      </c>
      <c r="C117" s="23" t="n"/>
      <c r="D117" s="23" t="inlineStr">
        <is>
          <t>新庄東高等学校</t>
        </is>
      </c>
      <c r="E117" s="24" t="inlineStr">
        <is>
          <t>0233-22-1562</t>
        </is>
      </c>
      <c r="F117" s="23" t="n"/>
      <c r="G117" s="25" t="inlineStr">
        <is>
          <t>普通科</t>
        </is>
      </c>
      <c r="H117" s="26" t="inlineStr">
        <is>
          <t>☐</t>
        </is>
      </c>
      <c r="I117" s="26" t="inlineStr">
        <is>
          <t>☐</t>
        </is>
      </c>
      <c r="J117" s="26" t="inlineStr">
        <is>
          <t>☐</t>
        </is>
      </c>
      <c r="K117" s="26" t="inlineStr">
        <is>
          <t>☐</t>
        </is>
      </c>
      <c r="L117" s="26" t="inlineStr">
        <is>
          <t>☐</t>
        </is>
      </c>
      <c r="M117" s="25" t="n"/>
      <c r="N117" s="27" t="n">
        <v>0</v>
      </c>
      <c r="O117" s="28" t="n"/>
      <c r="P117" s="23" t="n"/>
      <c r="Q117" s="29" t="n"/>
      <c r="R117" s="29" t="n"/>
      <c r="S117" s="23" t="n"/>
      <c r="T117" s="30" t="n"/>
      <c r="U117" s="31" t="inlineStr">
        <is>
          <t>高</t>
        </is>
      </c>
      <c r="V117" s="32" t="inlineStr">
        <is>
          <t>公式サイトに「代表」と記載</t>
        </is>
      </c>
      <c r="W117" s="33" t="inlineStr">
        <is>
          <t>開く</t>
        </is>
      </c>
    </row>
    <row r="118" ht="30" customHeight="1">
      <c r="A118" s="23" t="inlineStr">
        <is>
          <t>06山形県</t>
        </is>
      </c>
      <c r="B118" s="23" t="inlineStr">
        <is>
          <t>私立</t>
        </is>
      </c>
      <c r="C118" s="23" t="n"/>
      <c r="D118" s="23" t="inlineStr">
        <is>
          <t>創学館高等学校</t>
        </is>
      </c>
      <c r="E118" s="24" t="inlineStr">
        <is>
          <t>023-655-2321</t>
        </is>
      </c>
      <c r="F118" s="23" t="n"/>
      <c r="G118" s="25" t="inlineStr">
        <is>
          <t>専門学科</t>
        </is>
      </c>
      <c r="H118" s="26" t="inlineStr">
        <is>
          <t>☐</t>
        </is>
      </c>
      <c r="I118" s="26" t="inlineStr">
        <is>
          <t>☐</t>
        </is>
      </c>
      <c r="J118" s="26" t="inlineStr">
        <is>
          <t>☐</t>
        </is>
      </c>
      <c r="K118" s="26" t="inlineStr">
        <is>
          <t>☐</t>
        </is>
      </c>
      <c r="L118" s="26" t="inlineStr">
        <is>
          <t>☐</t>
        </is>
      </c>
      <c r="M118" s="25" t="n"/>
      <c r="N118" s="27" t="n">
        <v>0</v>
      </c>
      <c r="O118" s="28" t="n"/>
      <c r="P118" s="23" t="n"/>
      <c r="Q118" s="29" t="n"/>
      <c r="R118" s="29" t="n"/>
      <c r="S118" s="23" t="n"/>
      <c r="T118" s="30" t="n"/>
      <c r="U118" s="31" t="inlineStr">
        <is>
          <t>高</t>
        </is>
      </c>
      <c r="V118" s="32" t="inlineStr">
        <is>
          <t>公式サイトと山形県の名簿で一致。023-655-2328は同じ法人の別の学校の番号なので注意</t>
        </is>
      </c>
      <c r="W118" s="33" t="inlineStr">
        <is>
          <t>開く</t>
        </is>
      </c>
    </row>
    <row r="119" ht="30" customHeight="1">
      <c r="A119" s="23" t="inlineStr">
        <is>
          <t>06山形県</t>
        </is>
      </c>
      <c r="B119" s="23" t="inlineStr">
        <is>
          <t>私立</t>
        </is>
      </c>
      <c r="C119" s="23" t="n"/>
      <c r="D119" s="23" t="inlineStr">
        <is>
          <t>鶴岡東高等学校</t>
        </is>
      </c>
      <c r="E119" s="24" t="inlineStr">
        <is>
          <t>0235-22-0223</t>
        </is>
      </c>
      <c r="F119" s="23" t="n"/>
      <c r="G119" s="25" t="inlineStr">
        <is>
          <t>普通科</t>
        </is>
      </c>
      <c r="H119" s="26" t="inlineStr">
        <is>
          <t>☐</t>
        </is>
      </c>
      <c r="I119" s="26" t="inlineStr">
        <is>
          <t>☐</t>
        </is>
      </c>
      <c r="J119" s="26" t="inlineStr">
        <is>
          <t>☐</t>
        </is>
      </c>
      <c r="K119" s="26" t="inlineStr">
        <is>
          <t>☐</t>
        </is>
      </c>
      <c r="L119" s="26" t="inlineStr">
        <is>
          <t>☐</t>
        </is>
      </c>
      <c r="M119" s="25" t="n"/>
      <c r="N119" s="27" t="n">
        <v>0</v>
      </c>
      <c r="O119" s="28" t="n"/>
      <c r="P119" s="23" t="n"/>
      <c r="Q119" s="29" t="n"/>
      <c r="R119" s="29" t="n"/>
      <c r="S119" s="23" t="n"/>
      <c r="T119" s="30" t="n"/>
      <c r="U119" s="31" t="inlineStr">
        <is>
          <t>高</t>
        </is>
      </c>
      <c r="V119" s="32" t="inlineStr">
        <is>
          <t>学校情報サイト2件で一致</t>
        </is>
      </c>
      <c r="W119" s="33" t="inlineStr">
        <is>
          <t>開く</t>
        </is>
      </c>
    </row>
    <row r="120" ht="30" customHeight="1">
      <c r="A120" s="23" t="inlineStr">
        <is>
          <t>06山形県</t>
        </is>
      </c>
      <c r="B120" s="23" t="inlineStr">
        <is>
          <t>私立</t>
        </is>
      </c>
      <c r="C120" s="23" t="n"/>
      <c r="D120" s="23" t="inlineStr">
        <is>
          <t>東海大学山形高等学校</t>
        </is>
      </c>
      <c r="E120" s="24" t="inlineStr">
        <is>
          <t>023-688-3022</t>
        </is>
      </c>
      <c r="F120" s="23" t="n"/>
      <c r="G120" s="25" t="inlineStr">
        <is>
          <t>普通科</t>
        </is>
      </c>
      <c r="H120" s="26" t="inlineStr">
        <is>
          <t>☐</t>
        </is>
      </c>
      <c r="I120" s="26" t="inlineStr">
        <is>
          <t>☐</t>
        </is>
      </c>
      <c r="J120" s="26" t="inlineStr">
        <is>
          <t>☐</t>
        </is>
      </c>
      <c r="K120" s="26" t="inlineStr">
        <is>
          <t>☐</t>
        </is>
      </c>
      <c r="L120" s="26" t="inlineStr">
        <is>
          <t>☐</t>
        </is>
      </c>
      <c r="M120" s="25" t="n"/>
      <c r="N120" s="27" t="n">
        <v>0</v>
      </c>
      <c r="O120" s="28" t="n"/>
      <c r="P120" s="23" t="n"/>
      <c r="Q120" s="29" t="n"/>
      <c r="R120" s="29" t="n"/>
      <c r="S120" s="23" t="n"/>
      <c r="T120" s="30" t="n"/>
      <c r="U120" s="31" t="inlineStr">
        <is>
          <t>高</t>
        </is>
      </c>
      <c r="V120" s="32" t="inlineStr">
        <is>
          <t>学校情報サイトと山形県の学校法人名簿で一致</t>
        </is>
      </c>
      <c r="W120" s="33" t="inlineStr">
        <is>
          <t>開く</t>
        </is>
      </c>
    </row>
    <row r="121" ht="30" customHeight="1">
      <c r="A121" s="23" t="inlineStr">
        <is>
          <t>06山形県</t>
        </is>
      </c>
      <c r="B121" s="23" t="inlineStr">
        <is>
          <t>私立</t>
        </is>
      </c>
      <c r="C121" s="23" t="n"/>
      <c r="D121" s="23" t="inlineStr">
        <is>
          <t>東北文教大学山形城北高等学校</t>
        </is>
      </c>
      <c r="E121" s="24" t="inlineStr">
        <is>
          <t>023-645-3377</t>
        </is>
      </c>
      <c r="F121" s="23" t="n"/>
      <c r="G121" s="25" t="inlineStr">
        <is>
          <t>普通科</t>
        </is>
      </c>
      <c r="H121" s="26" t="inlineStr">
        <is>
          <t>☐</t>
        </is>
      </c>
      <c r="I121" s="26" t="inlineStr">
        <is>
          <t>☐</t>
        </is>
      </c>
      <c r="J121" s="26" t="inlineStr">
        <is>
          <t>☐</t>
        </is>
      </c>
      <c r="K121" s="26" t="inlineStr">
        <is>
          <t>☐</t>
        </is>
      </c>
      <c r="L121" s="26" t="inlineStr">
        <is>
          <t>☐</t>
        </is>
      </c>
      <c r="M121" s="25" t="n"/>
      <c r="N121" s="27" t="n">
        <v>0</v>
      </c>
      <c r="O121" s="28" t="n"/>
      <c r="P121" s="23" t="n"/>
      <c r="Q121" s="29" t="n"/>
      <c r="R121" s="29" t="n"/>
      <c r="S121" s="23" t="n"/>
      <c r="T121" s="30" t="n"/>
      <c r="U121" s="31" t="inlineStr">
        <is>
          <t>高</t>
        </is>
      </c>
      <c r="V121" s="32" t="inlineStr">
        <is>
          <t>公式サイトに「代表」と記載。023-688-2296は短大の番号なので注意</t>
        </is>
      </c>
      <c r="W121" s="33" t="inlineStr">
        <is>
          <t>開く</t>
        </is>
      </c>
    </row>
    <row r="122" ht="30" customHeight="1">
      <c r="A122" s="23" t="inlineStr">
        <is>
          <t>06山形県</t>
        </is>
      </c>
      <c r="B122" s="23" t="inlineStr">
        <is>
          <t>私立</t>
        </is>
      </c>
      <c r="C122" s="23" t="n"/>
      <c r="D122" s="23" t="inlineStr">
        <is>
          <t>日本大学山形高等学校</t>
        </is>
      </c>
      <c r="E122" s="24" t="inlineStr">
        <is>
          <t>023-641-6631</t>
        </is>
      </c>
      <c r="F122" s="23" t="n"/>
      <c r="G122" s="25" t="inlineStr">
        <is>
          <t>普通科</t>
        </is>
      </c>
      <c r="H122" s="26" t="inlineStr">
        <is>
          <t>☐</t>
        </is>
      </c>
      <c r="I122" s="26" t="inlineStr">
        <is>
          <t>☐</t>
        </is>
      </c>
      <c r="J122" s="26" t="inlineStr">
        <is>
          <t>☐</t>
        </is>
      </c>
      <c r="K122" s="26" t="inlineStr">
        <is>
          <t>☐</t>
        </is>
      </c>
      <c r="L122" s="26" t="inlineStr">
        <is>
          <t>☐</t>
        </is>
      </c>
      <c r="M122" s="25" t="n"/>
      <c r="N122" s="27" t="n">
        <v>0</v>
      </c>
      <c r="O122" s="28" t="n"/>
      <c r="P122" s="23" t="n"/>
      <c r="Q122" s="29" t="n"/>
      <c r="R122" s="29" t="n"/>
      <c r="S122" s="23" t="n"/>
      <c r="T122" s="30" t="n"/>
      <c r="U122" s="31" t="inlineStr">
        <is>
          <t>高</t>
        </is>
      </c>
      <c r="V122" s="32" t="inlineStr">
        <is>
          <t>公式資料に「代表」と記載</t>
        </is>
      </c>
      <c r="W122" s="33" t="inlineStr">
        <is>
          <t>開く</t>
        </is>
      </c>
    </row>
    <row r="123" ht="30" customHeight="1">
      <c r="A123" s="23" t="inlineStr">
        <is>
          <t>06山形県</t>
        </is>
      </c>
      <c r="B123" s="23" t="inlineStr">
        <is>
          <t>私立</t>
        </is>
      </c>
      <c r="C123" s="23" t="n"/>
      <c r="D123" s="23" t="inlineStr">
        <is>
          <t>羽黒高等学校</t>
        </is>
      </c>
      <c r="E123" s="24" t="inlineStr">
        <is>
          <t>0235-62-2105</t>
        </is>
      </c>
      <c r="F123" s="23" t="n"/>
      <c r="G123" s="25" t="inlineStr">
        <is>
          <t>普通科・専門学科</t>
        </is>
      </c>
      <c r="H123" s="26" t="inlineStr">
        <is>
          <t>☐</t>
        </is>
      </c>
      <c r="I123" s="26" t="inlineStr">
        <is>
          <t>☐</t>
        </is>
      </c>
      <c r="J123" s="26" t="inlineStr">
        <is>
          <t>☐</t>
        </is>
      </c>
      <c r="K123" s="26" t="inlineStr">
        <is>
          <t>☐</t>
        </is>
      </c>
      <c r="L123" s="26" t="inlineStr">
        <is>
          <t>☐</t>
        </is>
      </c>
      <c r="M123" s="25" t="n"/>
      <c r="N123" s="27" t="n">
        <v>0</v>
      </c>
      <c r="O123" s="28" t="n"/>
      <c r="P123" s="23" t="n"/>
      <c r="Q123" s="29" t="n"/>
      <c r="R123" s="29" t="n"/>
      <c r="S123" s="23" t="n"/>
      <c r="T123" s="30" t="n"/>
      <c r="U123" s="31" t="inlineStr">
        <is>
          <t>高</t>
        </is>
      </c>
      <c r="V123" s="32" t="inlineStr">
        <is>
          <t>公式サイトとマピオンで一致。0235-62-2103は法人の事業部の番号なので注意</t>
        </is>
      </c>
      <c r="W123" s="33" t="inlineStr">
        <is>
          <t>開く</t>
        </is>
      </c>
    </row>
    <row r="124" ht="30" customHeight="1">
      <c r="A124" s="23" t="inlineStr">
        <is>
          <t>06山形県</t>
        </is>
      </c>
      <c r="B124" s="23" t="inlineStr">
        <is>
          <t>私立</t>
        </is>
      </c>
      <c r="C124" s="23" t="n"/>
      <c r="D124" s="23" t="inlineStr">
        <is>
          <t>山形学院高等学校</t>
        </is>
      </c>
      <c r="E124" s="24" t="inlineStr">
        <is>
          <t>023-641-4116</t>
        </is>
      </c>
      <c r="F124" s="23" t="n"/>
      <c r="G124" s="25" t="inlineStr">
        <is>
          <t>普通科・専門学科</t>
        </is>
      </c>
      <c r="H124" s="26" t="inlineStr">
        <is>
          <t>☐</t>
        </is>
      </c>
      <c r="I124" s="26" t="inlineStr">
        <is>
          <t>☐</t>
        </is>
      </c>
      <c r="J124" s="26" t="inlineStr">
        <is>
          <t>☐</t>
        </is>
      </c>
      <c r="K124" s="26" t="inlineStr">
        <is>
          <t>☐</t>
        </is>
      </c>
      <c r="L124" s="26" t="inlineStr">
        <is>
          <t>☐</t>
        </is>
      </c>
      <c r="M124" s="25" t="n"/>
      <c r="N124" s="27" t="n">
        <v>0</v>
      </c>
      <c r="O124" s="28" t="n"/>
      <c r="P124" s="23" t="n"/>
      <c r="Q124" s="29" t="n"/>
      <c r="R124" s="29" t="n"/>
      <c r="S124" s="23" t="n"/>
      <c r="T124" s="30" t="n"/>
      <c r="U124" s="31" t="inlineStr">
        <is>
          <t>高</t>
        </is>
      </c>
      <c r="V124" s="32" t="inlineStr">
        <is>
          <t>公式サイトの事務室の番号。職員室は023-641-4115</t>
        </is>
      </c>
      <c r="W124" s="33" t="inlineStr">
        <is>
          <t>開く</t>
        </is>
      </c>
    </row>
    <row r="125" ht="30" customHeight="1">
      <c r="A125" s="23" t="inlineStr">
        <is>
          <t>06山形県</t>
        </is>
      </c>
      <c r="B125" s="23" t="inlineStr">
        <is>
          <t>私立</t>
        </is>
      </c>
      <c r="C125" s="23" t="n"/>
      <c r="D125" s="23" t="inlineStr">
        <is>
          <t>山形明正高等学校</t>
        </is>
      </c>
      <c r="E125" s="24" t="inlineStr">
        <is>
          <t>023-631-2099</t>
        </is>
      </c>
      <c r="F125" s="23" t="n"/>
      <c r="G125" s="25" t="inlineStr">
        <is>
          <t>普通科・専門学科</t>
        </is>
      </c>
      <c r="H125" s="26" t="inlineStr">
        <is>
          <t>☐</t>
        </is>
      </c>
      <c r="I125" s="26" t="inlineStr">
        <is>
          <t>☐</t>
        </is>
      </c>
      <c r="J125" s="26" t="inlineStr">
        <is>
          <t>☐</t>
        </is>
      </c>
      <c r="K125" s="26" t="inlineStr">
        <is>
          <t>☐</t>
        </is>
      </c>
      <c r="L125" s="26" t="inlineStr">
        <is>
          <t>☐</t>
        </is>
      </c>
      <c r="M125" s="25" t="n"/>
      <c r="N125" s="27" t="n">
        <v>0</v>
      </c>
      <c r="O125" s="28" t="n"/>
      <c r="P125" s="23" t="n"/>
      <c r="Q125" s="29" t="n"/>
      <c r="R125" s="29" t="n"/>
      <c r="S125" s="23" t="n"/>
      <c r="T125" s="30" t="n"/>
      <c r="U125" s="31" t="inlineStr">
        <is>
          <t>高</t>
        </is>
      </c>
      <c r="V125" s="32" t="inlineStr">
        <is>
          <t>山形県の学校法人名簿とYahoo!マップで一致</t>
        </is>
      </c>
      <c r="W125" s="33" t="inlineStr">
        <is>
          <t>開く</t>
        </is>
      </c>
    </row>
    <row r="126" ht="30" customHeight="1">
      <c r="A126" s="23" t="inlineStr">
        <is>
          <t>06山形県</t>
        </is>
      </c>
      <c r="B126" s="23" t="inlineStr">
        <is>
          <t>私立</t>
        </is>
      </c>
      <c r="C126" s="23" t="n"/>
      <c r="D126" s="23" t="inlineStr">
        <is>
          <t>惺山高等学校</t>
        </is>
      </c>
      <c r="E126" s="24" t="inlineStr">
        <is>
          <t>023-643-0321</t>
        </is>
      </c>
      <c r="F126" s="23" t="n"/>
      <c r="G126" s="25" t="inlineStr">
        <is>
          <t>普通科・専門学科</t>
        </is>
      </c>
      <c r="H126" s="26" t="inlineStr">
        <is>
          <t>☐</t>
        </is>
      </c>
      <c r="I126" s="26" t="inlineStr">
        <is>
          <t>☐</t>
        </is>
      </c>
      <c r="J126" s="26" t="inlineStr">
        <is>
          <t>☐</t>
        </is>
      </c>
      <c r="K126" s="26" t="inlineStr">
        <is>
          <t>☐</t>
        </is>
      </c>
      <c r="L126" s="26" t="inlineStr">
        <is>
          <t>☐</t>
        </is>
      </c>
      <c r="M126" s="25" t="n"/>
      <c r="N126" s="27" t="n">
        <v>0</v>
      </c>
      <c r="O126" s="28" t="n"/>
      <c r="P126" s="23" t="n"/>
      <c r="Q126" s="29" t="n"/>
      <c r="R126" s="29" t="n"/>
      <c r="S126" s="23" t="n"/>
      <c r="T126" s="30" t="n"/>
      <c r="U126" s="31" t="inlineStr">
        <is>
          <t>高</t>
        </is>
      </c>
      <c r="V126" s="32" t="inlineStr">
        <is>
          <t>【旧校名】2022年4月に山本学園高等学校から改称。通信制課程は023-679-3715</t>
        </is>
      </c>
      <c r="W126" s="33" t="inlineStr">
        <is>
          <t>開く</t>
        </is>
      </c>
    </row>
    <row r="127" ht="30" customHeight="1">
      <c r="A127" s="23" t="inlineStr">
        <is>
          <t>06山形県</t>
        </is>
      </c>
      <c r="B127" s="23" t="inlineStr">
        <is>
          <t>私立</t>
        </is>
      </c>
      <c r="C127" s="23" t="n"/>
      <c r="D127" s="23" t="inlineStr">
        <is>
          <t>米沢中央高等学校</t>
        </is>
      </c>
      <c r="E127" s="24" t="inlineStr">
        <is>
          <t>0238-22-4223</t>
        </is>
      </c>
      <c r="F127" s="23" t="n"/>
      <c r="G127" s="25" t="inlineStr">
        <is>
          <t>普通科</t>
        </is>
      </c>
      <c r="H127" s="26" t="inlineStr">
        <is>
          <t>☐</t>
        </is>
      </c>
      <c r="I127" s="26" t="inlineStr">
        <is>
          <t>☐</t>
        </is>
      </c>
      <c r="J127" s="26" t="inlineStr">
        <is>
          <t>☐</t>
        </is>
      </c>
      <c r="K127" s="26" t="inlineStr">
        <is>
          <t>☐</t>
        </is>
      </c>
      <c r="L127" s="26" t="inlineStr">
        <is>
          <t>☐</t>
        </is>
      </c>
      <c r="M127" s="25" t="n"/>
      <c r="N127" s="27" t="n">
        <v>0</v>
      </c>
      <c r="O127" s="28" t="n"/>
      <c r="P127" s="23" t="n"/>
      <c r="Q127" s="29" t="n"/>
      <c r="R127" s="29" t="n"/>
      <c r="S127" s="23" t="n"/>
      <c r="T127" s="30" t="n"/>
      <c r="U127" s="34" t="inlineStr">
        <is>
          <t>中</t>
        </is>
      </c>
      <c r="V127" s="32" t="inlineStr">
        <is>
          <t>学校情報サイト複数で一致、公式サイトでは未確認</t>
        </is>
      </c>
      <c r="W127" s="33" t="inlineStr">
        <is>
          <t>開く</t>
        </is>
      </c>
    </row>
    <row r="128" ht="30" customHeight="1">
      <c r="A128" s="23" t="inlineStr">
        <is>
          <t>06山形県</t>
        </is>
      </c>
      <c r="B128" s="23" t="inlineStr">
        <is>
          <t>私立</t>
        </is>
      </c>
      <c r="C128" s="23" t="n"/>
      <c r="D128" s="23" t="inlineStr">
        <is>
          <t>和順館高等学校</t>
        </is>
      </c>
      <c r="E128" s="24" t="inlineStr">
        <is>
          <t>0234-26-1670</t>
        </is>
      </c>
      <c r="F128" s="23" t="n"/>
      <c r="G128" s="25" t="inlineStr">
        <is>
          <t>普通科</t>
        </is>
      </c>
      <c r="H128" s="26" t="inlineStr">
        <is>
          <t>☐</t>
        </is>
      </c>
      <c r="I128" s="26" t="inlineStr">
        <is>
          <t>☐</t>
        </is>
      </c>
      <c r="J128" s="26" t="inlineStr">
        <is>
          <t>☐</t>
        </is>
      </c>
      <c r="K128" s="26" t="inlineStr">
        <is>
          <t>☐</t>
        </is>
      </c>
      <c r="L128" s="26" t="inlineStr">
        <is>
          <t>☐</t>
        </is>
      </c>
      <c r="M128" s="25" t="n"/>
      <c r="N128" s="27" t="n">
        <v>0</v>
      </c>
      <c r="O128" s="28" t="n"/>
      <c r="P128" s="23" t="n"/>
      <c r="Q128" s="29" t="n"/>
      <c r="R128" s="29" t="n"/>
      <c r="S128" s="23" t="n"/>
      <c r="T128" s="30" t="n"/>
      <c r="U128" s="31" t="inlineStr">
        <is>
          <t>高</t>
        </is>
      </c>
      <c r="V128" s="32" t="inlineStr">
        <is>
          <t>私立（酒田南高校と同じ学校法人）。通信制・単位制</t>
        </is>
      </c>
      <c r="W128" s="33" t="inlineStr">
        <is>
          <t>開く</t>
        </is>
      </c>
    </row>
    <row r="129" ht="30" customHeight="1">
      <c r="A129" s="23" t="inlineStr">
        <is>
          <t>07福島県</t>
        </is>
      </c>
      <c r="B129" s="23" t="inlineStr">
        <is>
          <t>私立</t>
        </is>
      </c>
      <c r="C129" s="23" t="n"/>
      <c r="D129" s="23" t="inlineStr">
        <is>
          <t>会津北嶺高等学校</t>
        </is>
      </c>
      <c r="E129" s="24" t="inlineStr">
        <is>
          <t>0242-22-1004</t>
        </is>
      </c>
      <c r="F129" s="23" t="n"/>
      <c r="G129" s="25" t="inlineStr">
        <is>
          <t>普通科・専門学科</t>
        </is>
      </c>
      <c r="H129" s="26" t="inlineStr">
        <is>
          <t>☐</t>
        </is>
      </c>
      <c r="I129" s="26" t="inlineStr">
        <is>
          <t>☐</t>
        </is>
      </c>
      <c r="J129" s="26" t="inlineStr">
        <is>
          <t>☐</t>
        </is>
      </c>
      <c r="K129" s="26" t="inlineStr">
        <is>
          <t>☐</t>
        </is>
      </c>
      <c r="L129" s="26" t="inlineStr">
        <is>
          <t>☐</t>
        </is>
      </c>
      <c r="M129" s="25" t="n"/>
      <c r="N129" s="27" t="n">
        <v>0</v>
      </c>
      <c r="O129" s="28" t="n"/>
      <c r="P129" s="23" t="n"/>
      <c r="Q129" s="29" t="n"/>
      <c r="R129" s="29" t="n"/>
      <c r="S129" s="23" t="n"/>
      <c r="T129" s="30" t="n"/>
      <c r="U129" s="31" t="inlineStr">
        <is>
          <t>高</t>
        </is>
      </c>
      <c r="V129" s="32" t="inlineStr">
        <is>
          <t>会津若松市の資料と学校情報サイトで一致。2017年に若松第一高校から改称</t>
        </is>
      </c>
      <c r="W129" s="33" t="inlineStr">
        <is>
          <t>開く</t>
        </is>
      </c>
    </row>
    <row r="130" ht="30" customHeight="1">
      <c r="A130" s="23" t="inlineStr">
        <is>
          <t>07福島県</t>
        </is>
      </c>
      <c r="B130" s="23" t="inlineStr">
        <is>
          <t>私立</t>
        </is>
      </c>
      <c r="C130" s="23" t="n"/>
      <c r="D130" s="23" t="inlineStr">
        <is>
          <t>会津若松ザベリオ学園高等学校</t>
        </is>
      </c>
      <c r="E130" s="24" t="inlineStr">
        <is>
          <t>0242-27-1970</t>
        </is>
      </c>
      <c r="F130" s="23" t="n"/>
      <c r="G130" s="25" t="inlineStr">
        <is>
          <t>普通科</t>
        </is>
      </c>
      <c r="H130" s="26" t="inlineStr">
        <is>
          <t>☐</t>
        </is>
      </c>
      <c r="I130" s="26" t="inlineStr">
        <is>
          <t>☐</t>
        </is>
      </c>
      <c r="J130" s="26" t="inlineStr">
        <is>
          <t>☐</t>
        </is>
      </c>
      <c r="K130" s="26" t="inlineStr">
        <is>
          <t>☐</t>
        </is>
      </c>
      <c r="L130" s="26" t="inlineStr">
        <is>
          <t>☐</t>
        </is>
      </c>
      <c r="M130" s="25" t="n"/>
      <c r="N130" s="27" t="n">
        <v>0</v>
      </c>
      <c r="O130" s="28" t="n"/>
      <c r="P130" s="23" t="n"/>
      <c r="Q130" s="29" t="n"/>
      <c r="R130" s="29" t="n"/>
      <c r="S130" s="23" t="n"/>
      <c r="T130" s="30" t="n"/>
      <c r="U130" s="31" t="inlineStr">
        <is>
          <t>高</t>
        </is>
      </c>
      <c r="V130" s="32" t="inlineStr">
        <is>
          <t>公式サイトで確認。中高共通。一部の地図サイトではFAX（0242-27-3300）が電話番号として誤って載っているので注意</t>
        </is>
      </c>
      <c r="W130" s="33" t="inlineStr">
        <is>
          <t>開く</t>
        </is>
      </c>
    </row>
    <row r="131" ht="30" customHeight="1">
      <c r="A131" s="23" t="inlineStr">
        <is>
          <t>07福島県</t>
        </is>
      </c>
      <c r="B131" s="23" t="inlineStr">
        <is>
          <t>私立</t>
        </is>
      </c>
      <c r="C131" s="23" t="n"/>
      <c r="D131" s="23" t="inlineStr">
        <is>
          <t>石川高等学校</t>
        </is>
      </c>
      <c r="E131" s="24" t="inlineStr">
        <is>
          <t>0247-26-5151</t>
        </is>
      </c>
      <c r="F131" s="23" t="n"/>
      <c r="G131" s="25" t="inlineStr">
        <is>
          <t>普通科</t>
        </is>
      </c>
      <c r="H131" s="26" t="inlineStr">
        <is>
          <t>☐</t>
        </is>
      </c>
      <c r="I131" s="26" t="inlineStr">
        <is>
          <t>☐</t>
        </is>
      </c>
      <c r="J131" s="26" t="inlineStr">
        <is>
          <t>☐</t>
        </is>
      </c>
      <c r="K131" s="26" t="inlineStr">
        <is>
          <t>☐</t>
        </is>
      </c>
      <c r="L131" s="26" t="inlineStr">
        <is>
          <t>☐</t>
        </is>
      </c>
      <c r="M131" s="25" t="n"/>
      <c r="N131" s="27" t="n">
        <v>0</v>
      </c>
      <c r="O131" s="28" t="n"/>
      <c r="P131" s="23" t="n"/>
      <c r="Q131" s="29" t="n"/>
      <c r="R131" s="29" t="n"/>
      <c r="S131" s="23" t="n"/>
      <c r="T131" s="30" t="n"/>
      <c r="U131" s="31" t="inlineStr">
        <is>
          <t>高</t>
        </is>
      </c>
      <c r="V131" s="32" t="inlineStr">
        <is>
          <t>私立（通称「学法石川」）。県立石川高校とは別なので注意。石川義塾中学校と共通</t>
        </is>
      </c>
      <c r="W131" s="33" t="inlineStr">
        <is>
          <t>開く</t>
        </is>
      </c>
    </row>
    <row r="132" ht="30" customHeight="1">
      <c r="A132" s="23" t="inlineStr">
        <is>
          <t>07福島県</t>
        </is>
      </c>
      <c r="B132" s="23" t="inlineStr">
        <is>
          <t>私立</t>
        </is>
      </c>
      <c r="C132" s="23" t="n"/>
      <c r="D132" s="23" t="inlineStr">
        <is>
          <t>いわき秀英高等学校</t>
        </is>
      </c>
      <c r="E132" s="24" t="inlineStr">
        <is>
          <t>0246-75-2111</t>
        </is>
      </c>
      <c r="F132" s="23" t="n"/>
      <c r="G132" s="25" t="inlineStr">
        <is>
          <t>普通科</t>
        </is>
      </c>
      <c r="H132" s="26" t="inlineStr">
        <is>
          <t>☐</t>
        </is>
      </c>
      <c r="I132" s="26" t="inlineStr">
        <is>
          <t>☐</t>
        </is>
      </c>
      <c r="J132" s="26" t="inlineStr">
        <is>
          <t>☐</t>
        </is>
      </c>
      <c r="K132" s="26" t="inlineStr">
        <is>
          <t>☐</t>
        </is>
      </c>
      <c r="L132" s="26" t="inlineStr">
        <is>
          <t>☐</t>
        </is>
      </c>
      <c r="M132" s="25" t="n"/>
      <c r="N132" s="27" t="n">
        <v>0</v>
      </c>
      <c r="O132" s="28" t="n"/>
      <c r="P132" s="23" t="n"/>
      <c r="Q132" s="29" t="n"/>
      <c r="R132" s="29" t="n"/>
      <c r="S132" s="23" t="n"/>
      <c r="T132" s="30" t="n"/>
      <c r="U132" s="31" t="inlineStr">
        <is>
          <t>高</t>
        </is>
      </c>
      <c r="V132" s="32" t="inlineStr">
        <is>
          <t>福島県の資料と学校情報サイトで一致</t>
        </is>
      </c>
      <c r="W132" s="33" t="inlineStr">
        <is>
          <t>開く</t>
        </is>
      </c>
    </row>
    <row r="133" ht="30" customHeight="1">
      <c r="A133" s="23" t="inlineStr">
        <is>
          <t>07福島県</t>
        </is>
      </c>
      <c r="B133" s="23" t="inlineStr">
        <is>
          <t>私立</t>
        </is>
      </c>
      <c r="C133" s="23" t="n"/>
      <c r="D133" s="23" t="inlineStr">
        <is>
          <t>磐城第一高等学校</t>
        </is>
      </c>
      <c r="E133" s="24" t="inlineStr">
        <is>
          <t>0246-26-1251</t>
        </is>
      </c>
      <c r="F133" s="23" t="n"/>
      <c r="G133" s="25" t="inlineStr">
        <is>
          <t>普通科</t>
        </is>
      </c>
      <c r="H133" s="26" t="inlineStr">
        <is>
          <t>☐</t>
        </is>
      </c>
      <c r="I133" s="26" t="inlineStr">
        <is>
          <t>☐</t>
        </is>
      </c>
      <c r="J133" s="26" t="inlineStr">
        <is>
          <t>☐</t>
        </is>
      </c>
      <c r="K133" s="26" t="inlineStr">
        <is>
          <t>☐</t>
        </is>
      </c>
      <c r="L133" s="26" t="inlineStr">
        <is>
          <t>☐</t>
        </is>
      </c>
      <c r="M133" s="25" t="n"/>
      <c r="N133" s="27" t="n">
        <v>0</v>
      </c>
      <c r="O133" s="28" t="n"/>
      <c r="P133" s="23" t="n"/>
      <c r="Q133" s="29" t="n"/>
      <c r="R133" s="29" t="n"/>
      <c r="S133" s="23" t="n"/>
      <c r="T133" s="30" t="n"/>
      <c r="U133" s="31" t="inlineStr">
        <is>
          <t>高</t>
        </is>
      </c>
      <c r="V133" s="32" t="inlineStr">
        <is>
          <t>公式サイトで確認。私立の女子校。県立磐城高校（0246-23-2566）とは別なので注意</t>
        </is>
      </c>
      <c r="W133" s="33" t="inlineStr">
        <is>
          <t>開く</t>
        </is>
      </c>
    </row>
    <row r="134" ht="30" customHeight="1">
      <c r="A134" s="23" t="inlineStr">
        <is>
          <t>07福島県</t>
        </is>
      </c>
      <c r="B134" s="23" t="inlineStr">
        <is>
          <t>私立</t>
        </is>
      </c>
      <c r="C134" s="23" t="n"/>
      <c r="D134" s="23" t="inlineStr">
        <is>
          <t>磐城緑蔭高等学校</t>
        </is>
      </c>
      <c r="E134" s="24" t="inlineStr">
        <is>
          <t>0246-25-6341</t>
        </is>
      </c>
      <c r="F134" s="23" t="n"/>
      <c r="G134" s="25" t="inlineStr">
        <is>
          <t>普通科</t>
        </is>
      </c>
      <c r="H134" s="26" t="inlineStr">
        <is>
          <t>☐</t>
        </is>
      </c>
      <c r="I134" s="26" t="inlineStr">
        <is>
          <t>☐</t>
        </is>
      </c>
      <c r="J134" s="26" t="inlineStr">
        <is>
          <t>☐</t>
        </is>
      </c>
      <c r="K134" s="26" t="inlineStr">
        <is>
          <t>☐</t>
        </is>
      </c>
      <c r="L134" s="26" t="inlineStr">
        <is>
          <t>☐</t>
        </is>
      </c>
      <c r="M134" s="25" t="n"/>
      <c r="N134" s="27" t="n">
        <v>0</v>
      </c>
      <c r="O134" s="28" t="n"/>
      <c r="P134" s="23" t="n"/>
      <c r="Q134" s="29" t="n"/>
      <c r="R134" s="29" t="n"/>
      <c r="S134" s="23" t="n"/>
      <c r="T134" s="30" t="n"/>
      <c r="U134" s="31" t="inlineStr">
        <is>
          <t>高</t>
        </is>
      </c>
      <c r="V134" s="32" t="inlineStr">
        <is>
          <t>福島県の資料と学校情報サイトで一致</t>
        </is>
      </c>
      <c r="W134" s="33" t="inlineStr">
        <is>
          <t>開く</t>
        </is>
      </c>
    </row>
    <row r="135" ht="30" customHeight="1">
      <c r="A135" s="23" t="inlineStr">
        <is>
          <t>07福島県</t>
        </is>
      </c>
      <c r="B135" s="23" t="inlineStr">
        <is>
          <t>私立</t>
        </is>
      </c>
      <c r="C135" s="23" t="n"/>
      <c r="D135" s="23" t="inlineStr">
        <is>
          <t>郡山女子大学附属高等学校</t>
        </is>
      </c>
      <c r="E135" s="24" t="inlineStr">
        <is>
          <t>024-932-4848</t>
        </is>
      </c>
      <c r="F135" s="23" t="n"/>
      <c r="G135" s="25" t="inlineStr">
        <is>
          <t>普通科・専門学科</t>
        </is>
      </c>
      <c r="H135" s="26" t="inlineStr">
        <is>
          <t>☐</t>
        </is>
      </c>
      <c r="I135" s="26" t="inlineStr">
        <is>
          <t>☐</t>
        </is>
      </c>
      <c r="J135" s="26" t="inlineStr">
        <is>
          <t>☐</t>
        </is>
      </c>
      <c r="K135" s="26" t="inlineStr">
        <is>
          <t>☐</t>
        </is>
      </c>
      <c r="L135" s="26" t="inlineStr">
        <is>
          <t>☐</t>
        </is>
      </c>
      <c r="M135" s="25" t="n"/>
      <c r="N135" s="27" t="n">
        <v>0</v>
      </c>
      <c r="O135" s="28" t="n"/>
      <c r="P135" s="23" t="n"/>
      <c r="Q135" s="29" t="n"/>
      <c r="R135" s="29" t="n"/>
      <c r="S135" s="23" t="n"/>
      <c r="T135" s="30" t="n"/>
      <c r="U135" s="34" t="inlineStr">
        <is>
          <t>中</t>
        </is>
      </c>
      <c r="V135" s="32" t="inlineStr">
        <is>
          <t>大学と共通の代表番号。高校に取り次いでもらう形になる可能性あり。公式サイトでは未確認</t>
        </is>
      </c>
      <c r="W135" s="33" t="inlineStr">
        <is>
          <t>開く</t>
        </is>
      </c>
    </row>
    <row r="136" ht="30" customHeight="1">
      <c r="A136" s="23" t="inlineStr">
        <is>
          <t>07福島県</t>
        </is>
      </c>
      <c r="B136" s="23" t="inlineStr">
        <is>
          <t>私立</t>
        </is>
      </c>
      <c r="C136" s="23" t="n"/>
      <c r="D136" s="23" t="inlineStr">
        <is>
          <t>桜の聖母学院高等学校</t>
        </is>
      </c>
      <c r="E136" s="24" t="inlineStr">
        <is>
          <t>024-535-3141</t>
        </is>
      </c>
      <c r="F136" s="23" t="n"/>
      <c r="G136" s="25" t="inlineStr">
        <is>
          <t>普通科・専門学科</t>
        </is>
      </c>
      <c r="H136" s="26" t="inlineStr">
        <is>
          <t>☐</t>
        </is>
      </c>
      <c r="I136" s="26" t="inlineStr">
        <is>
          <t>☐</t>
        </is>
      </c>
      <c r="J136" s="26" t="inlineStr">
        <is>
          <t>☐</t>
        </is>
      </c>
      <c r="K136" s="26" t="inlineStr">
        <is>
          <t>☐</t>
        </is>
      </c>
      <c r="L136" s="26" t="inlineStr">
        <is>
          <t>☐</t>
        </is>
      </c>
      <c r="M136" s="25" t="n"/>
      <c r="N136" s="27" t="n">
        <v>0</v>
      </c>
      <c r="O136" s="28" t="n"/>
      <c r="P136" s="23" t="n"/>
      <c r="Q136" s="29" t="n"/>
      <c r="R136" s="29" t="n"/>
      <c r="S136" s="23" t="n"/>
      <c r="T136" s="30" t="n"/>
      <c r="U136" s="31" t="inlineStr">
        <is>
          <t>高</t>
        </is>
      </c>
      <c r="V136" s="32" t="inlineStr">
        <is>
          <t>福島県の資料と学校情報サイトで一致</t>
        </is>
      </c>
      <c r="W136" s="33" t="inlineStr">
        <is>
          <t>開く</t>
        </is>
      </c>
    </row>
    <row r="137" ht="30" customHeight="1">
      <c r="A137" s="23" t="inlineStr">
        <is>
          <t>07福島県</t>
        </is>
      </c>
      <c r="B137" s="23" t="inlineStr">
        <is>
          <t>私立</t>
        </is>
      </c>
      <c r="C137" s="23" t="n"/>
      <c r="D137" s="23" t="inlineStr">
        <is>
          <t>松韻学園福島高等学校</t>
        </is>
      </c>
      <c r="E137" s="24" t="inlineStr">
        <is>
          <t>024-534-3480</t>
        </is>
      </c>
      <c r="F137" s="23" t="n"/>
      <c r="G137" s="25" t="inlineStr">
        <is>
          <t>普通科</t>
        </is>
      </c>
      <c r="H137" s="26" t="inlineStr">
        <is>
          <t>☐</t>
        </is>
      </c>
      <c r="I137" s="26" t="inlineStr">
        <is>
          <t>☐</t>
        </is>
      </c>
      <c r="J137" s="26" t="inlineStr">
        <is>
          <t>☐</t>
        </is>
      </c>
      <c r="K137" s="26" t="inlineStr">
        <is>
          <t>☐</t>
        </is>
      </c>
      <c r="L137" s="26" t="inlineStr">
        <is>
          <t>☐</t>
        </is>
      </c>
      <c r="M137" s="25" t="n"/>
      <c r="N137" s="27" t="n">
        <v>0</v>
      </c>
      <c r="O137" s="28" t="n"/>
      <c r="P137" s="23" t="n"/>
      <c r="Q137" s="29" t="n"/>
      <c r="R137" s="29" t="n"/>
      <c r="S137" s="23" t="n"/>
      <c r="T137" s="30" t="n"/>
      <c r="U137" s="31" t="inlineStr">
        <is>
          <t>高</t>
        </is>
      </c>
      <c r="V137" s="32" t="inlineStr">
        <is>
          <t>福島県の資料と学校情報サイトで一致</t>
        </is>
      </c>
      <c r="W137" s="33" t="inlineStr">
        <is>
          <t>開く</t>
        </is>
      </c>
    </row>
    <row r="138" ht="30" customHeight="1">
      <c r="A138" s="23" t="inlineStr">
        <is>
          <t>07福島県</t>
        </is>
      </c>
      <c r="B138" s="23" t="inlineStr">
        <is>
          <t>私立</t>
        </is>
      </c>
      <c r="C138" s="23" t="n"/>
      <c r="D138" s="23" t="inlineStr">
        <is>
          <t>尚志高等学校</t>
        </is>
      </c>
      <c r="E138" s="24" t="inlineStr">
        <is>
          <t>024-951-3500</t>
        </is>
      </c>
      <c r="F138" s="23" t="n"/>
      <c r="G138" s="25" t="inlineStr">
        <is>
          <t>普通科・専門学科</t>
        </is>
      </c>
      <c r="H138" s="26" t="inlineStr">
        <is>
          <t>☐</t>
        </is>
      </c>
      <c r="I138" s="26" t="inlineStr">
        <is>
          <t>☐</t>
        </is>
      </c>
      <c r="J138" s="26" t="inlineStr">
        <is>
          <t>☐</t>
        </is>
      </c>
      <c r="K138" s="26" t="inlineStr">
        <is>
          <t>☐</t>
        </is>
      </c>
      <c r="L138" s="26" t="inlineStr">
        <is>
          <t>☐</t>
        </is>
      </c>
      <c r="M138" s="25" t="n"/>
      <c r="N138" s="27" t="n">
        <v>0</v>
      </c>
      <c r="O138" s="28" t="n"/>
      <c r="P138" s="23" t="n"/>
      <c r="Q138" s="29" t="n"/>
      <c r="R138" s="29" t="n"/>
      <c r="S138" s="23" t="n"/>
      <c r="T138" s="30" t="n"/>
      <c r="U138" s="31" t="inlineStr">
        <is>
          <t>高</t>
        </is>
      </c>
      <c r="V138" s="32" t="inlineStr">
        <is>
          <t>公式サイトで確認。学校法人の本部（024-951-1476）とは別</t>
        </is>
      </c>
      <c r="W138" s="33" t="inlineStr">
        <is>
          <t>開く</t>
        </is>
      </c>
    </row>
    <row r="139" ht="30" customHeight="1">
      <c r="A139" s="23" t="inlineStr">
        <is>
          <t>07福島県</t>
        </is>
      </c>
      <c r="B139" s="23" t="inlineStr">
        <is>
          <t>私立</t>
        </is>
      </c>
      <c r="C139" s="23" t="n"/>
      <c r="D139" s="23" t="inlineStr">
        <is>
          <t>仁愛高等学校</t>
        </is>
      </c>
      <c r="E139" s="24" t="inlineStr">
        <is>
          <t>0242-25-0581</t>
        </is>
      </c>
      <c r="F139" s="23" t="n"/>
      <c r="G139" s="25" t="inlineStr">
        <is>
          <t>専門学科</t>
        </is>
      </c>
      <c r="H139" s="26" t="inlineStr">
        <is>
          <t>☐</t>
        </is>
      </c>
      <c r="I139" s="26" t="inlineStr">
        <is>
          <t>☐</t>
        </is>
      </c>
      <c r="J139" s="26" t="inlineStr">
        <is>
          <t>☐</t>
        </is>
      </c>
      <c r="K139" s="26" t="inlineStr">
        <is>
          <t>☐</t>
        </is>
      </c>
      <c r="L139" s="26" t="inlineStr">
        <is>
          <t>☐</t>
        </is>
      </c>
      <c r="M139" s="25" t="n"/>
      <c r="N139" s="27" t="n">
        <v>0</v>
      </c>
      <c r="O139" s="28" t="n"/>
      <c r="P139" s="23" t="n"/>
      <c r="Q139" s="29" t="n"/>
      <c r="R139" s="29" t="n"/>
      <c r="S139" s="23" t="n"/>
      <c r="T139" s="30" t="n"/>
      <c r="U139" s="31" t="inlineStr">
        <is>
          <t>高</t>
        </is>
      </c>
      <c r="V139" s="32" t="inlineStr">
        <is>
          <t>福島県の資料と学校情報サイトで一致</t>
        </is>
      </c>
      <c r="W139" s="33" t="inlineStr">
        <is>
          <t>開く</t>
        </is>
      </c>
    </row>
    <row r="140" ht="30" customHeight="1">
      <c r="A140" s="23" t="inlineStr">
        <is>
          <t>07福島県</t>
        </is>
      </c>
      <c r="B140" s="23" t="inlineStr">
        <is>
          <t>私立</t>
        </is>
      </c>
      <c r="C140" s="23" t="n"/>
      <c r="D140" s="23" t="inlineStr">
        <is>
          <t>聖光学院高等学校（福島県）</t>
        </is>
      </c>
      <c r="E140" s="24" t="inlineStr">
        <is>
          <t>024-583-3325</t>
        </is>
      </c>
      <c r="F140" s="23" t="n"/>
      <c r="G140" s="25" t="inlineStr">
        <is>
          <t>普通科・専門学科</t>
        </is>
      </c>
      <c r="H140" s="26" t="inlineStr">
        <is>
          <t>☐</t>
        </is>
      </c>
      <c r="I140" s="26" t="inlineStr">
        <is>
          <t>☐</t>
        </is>
      </c>
      <c r="J140" s="26" t="inlineStr">
        <is>
          <t>☐</t>
        </is>
      </c>
      <c r="K140" s="26" t="inlineStr">
        <is>
          <t>☐</t>
        </is>
      </c>
      <c r="L140" s="26" t="inlineStr">
        <is>
          <t>☐</t>
        </is>
      </c>
      <c r="M140" s="25" t="n"/>
      <c r="N140" s="27" t="n">
        <v>0</v>
      </c>
      <c r="O140" s="28" t="n"/>
      <c r="P140" s="23" t="n"/>
      <c r="Q140" s="29" t="n"/>
      <c r="R140" s="29" t="n"/>
      <c r="S140" s="23" t="n"/>
      <c r="T140" s="30" t="n"/>
      <c r="U140" s="31" t="inlineStr">
        <is>
          <t>高</t>
        </is>
      </c>
      <c r="V140" s="32" t="inlineStr">
        <is>
          <t>公式資料に「代表」と記載（第一校舎・伊達市）。第二校舎（桑折町）は024-583-2168</t>
        </is>
      </c>
      <c r="W140" s="33" t="inlineStr">
        <is>
          <t>開く</t>
        </is>
      </c>
    </row>
    <row r="141" ht="30" customHeight="1">
      <c r="A141" s="23" t="inlineStr">
        <is>
          <t>07福島県</t>
        </is>
      </c>
      <c r="B141" s="23" t="inlineStr">
        <is>
          <t>私立</t>
        </is>
      </c>
      <c r="C141" s="23" t="n"/>
      <c r="D141" s="23" t="inlineStr">
        <is>
          <t>帝京安積高等学校</t>
        </is>
      </c>
      <c r="E141" s="24" t="inlineStr">
        <is>
          <t>024-941-7755</t>
        </is>
      </c>
      <c r="F141" s="23" t="n"/>
      <c r="G141" s="25" t="inlineStr">
        <is>
          <t>普通科・専門学科</t>
        </is>
      </c>
      <c r="H141" s="26" t="inlineStr">
        <is>
          <t>☐</t>
        </is>
      </c>
      <c r="I141" s="26" t="inlineStr">
        <is>
          <t>☐</t>
        </is>
      </c>
      <c r="J141" s="26" t="inlineStr">
        <is>
          <t>☐</t>
        </is>
      </c>
      <c r="K141" s="26" t="inlineStr">
        <is>
          <t>☐</t>
        </is>
      </c>
      <c r="L141" s="26" t="inlineStr">
        <is>
          <t>☐</t>
        </is>
      </c>
      <c r="M141" s="25" t="n"/>
      <c r="N141" s="27" t="n">
        <v>0</v>
      </c>
      <c r="O141" s="28" t="n"/>
      <c r="P141" s="23" t="n"/>
      <c r="Q141" s="29" t="n"/>
      <c r="R141" s="29" t="n"/>
      <c r="S141" s="23" t="n"/>
      <c r="T141" s="30" t="n"/>
      <c r="U141" s="31" t="inlineStr">
        <is>
          <t>高</t>
        </is>
      </c>
      <c r="V141" s="32" t="inlineStr">
        <is>
          <t>学校情報サイト2件で一致、公式サイトでは未確認</t>
        </is>
      </c>
      <c r="W141" s="33" t="inlineStr">
        <is>
          <t>開く</t>
        </is>
      </c>
    </row>
    <row r="142" ht="30" customHeight="1">
      <c r="A142" s="23" t="inlineStr">
        <is>
          <t>07福島県</t>
        </is>
      </c>
      <c r="B142" s="23" t="inlineStr">
        <is>
          <t>私立</t>
        </is>
      </c>
      <c r="C142" s="23" t="n"/>
      <c r="D142" s="23" t="inlineStr">
        <is>
          <t>日本大学東北高等学校</t>
        </is>
      </c>
      <c r="E142" s="24" t="inlineStr">
        <is>
          <t>024-956-8840</t>
        </is>
      </c>
      <c r="F142" s="23" t="n"/>
      <c r="G142" s="25" t="inlineStr">
        <is>
          <t>普通科</t>
        </is>
      </c>
      <c r="H142" s="26" t="inlineStr">
        <is>
          <t>☐</t>
        </is>
      </c>
      <c r="I142" s="26" t="inlineStr">
        <is>
          <t>☐</t>
        </is>
      </c>
      <c r="J142" s="26" t="inlineStr">
        <is>
          <t>☐</t>
        </is>
      </c>
      <c r="K142" s="26" t="inlineStr">
        <is>
          <t>☐</t>
        </is>
      </c>
      <c r="L142" s="26" t="inlineStr">
        <is>
          <t>☐</t>
        </is>
      </c>
      <c r="M142" s="25" t="n"/>
      <c r="N142" s="27" t="n">
        <v>0</v>
      </c>
      <c r="O142" s="28" t="n"/>
      <c r="P142" s="23" t="n"/>
      <c r="Q142" s="29" t="n"/>
      <c r="R142" s="29" t="n"/>
      <c r="S142" s="23" t="n"/>
      <c r="T142" s="30" t="n"/>
      <c r="U142" s="34" t="inlineStr">
        <is>
          <t>中</t>
        </is>
      </c>
      <c r="V142" s="32" t="inlineStr">
        <is>
          <t>公式サイトの住所欄の番号（「代表」の表記なし）。入試・学校案内の問い合わせは024-956-8838、広報部は024-956-8856</t>
        </is>
      </c>
      <c r="W142" s="33" t="inlineStr">
        <is>
          <t>開く</t>
        </is>
      </c>
    </row>
    <row r="143" ht="30" customHeight="1">
      <c r="A143" s="23" t="inlineStr">
        <is>
          <t>07福島県</t>
        </is>
      </c>
      <c r="B143" s="23" t="inlineStr">
        <is>
          <t>私立</t>
        </is>
      </c>
      <c r="C143" s="23" t="n"/>
      <c r="D143" s="23" t="inlineStr">
        <is>
          <t>東日本国際大学附属昌平高等学校</t>
        </is>
      </c>
      <c r="E143" s="24" t="inlineStr">
        <is>
          <t>0246-57-1123</t>
        </is>
      </c>
      <c r="F143" s="23" t="n"/>
      <c r="G143" s="25" t="inlineStr">
        <is>
          <t>普通科・専門学科</t>
        </is>
      </c>
      <c r="H143" s="26" t="inlineStr">
        <is>
          <t>☐</t>
        </is>
      </c>
      <c r="I143" s="26" t="inlineStr">
        <is>
          <t>☐</t>
        </is>
      </c>
      <c r="J143" s="26" t="inlineStr">
        <is>
          <t>☐</t>
        </is>
      </c>
      <c r="K143" s="26" t="inlineStr">
        <is>
          <t>☐</t>
        </is>
      </c>
      <c r="L143" s="26" t="inlineStr">
        <is>
          <t>☐</t>
        </is>
      </c>
      <c r="M143" s="25" t="n"/>
      <c r="N143" s="27" t="n">
        <v>0</v>
      </c>
      <c r="O143" s="28" t="n"/>
      <c r="P143" s="23" t="n"/>
      <c r="Q143" s="29" t="n"/>
      <c r="R143" s="29" t="n"/>
      <c r="S143" s="23" t="n"/>
      <c r="T143" s="30" t="n"/>
      <c r="U143" s="31" t="inlineStr">
        <is>
          <t>高</t>
        </is>
      </c>
      <c r="V143" s="32" t="inlineStr">
        <is>
          <t>公式サイトに「代表」と記載。中高共通。一部サイトの0246-88-6743は公式と異なるため不採用</t>
        </is>
      </c>
      <c r="W143" s="33" t="inlineStr">
        <is>
          <t>開く</t>
        </is>
      </c>
    </row>
    <row r="144" ht="30" customHeight="1">
      <c r="A144" s="23" t="inlineStr">
        <is>
          <t>07福島県</t>
        </is>
      </c>
      <c r="B144" s="23" t="inlineStr">
        <is>
          <t>私立</t>
        </is>
      </c>
      <c r="C144" s="23" t="n"/>
      <c r="D144" s="23" t="inlineStr">
        <is>
          <t>福島成蹊高等学校</t>
        </is>
      </c>
      <c r="E144" s="24" t="inlineStr">
        <is>
          <t>024-522-2049</t>
        </is>
      </c>
      <c r="F144" s="23" t="n"/>
      <c r="G144" s="25" t="inlineStr">
        <is>
          <t>普通科</t>
        </is>
      </c>
      <c r="H144" s="26" t="inlineStr">
        <is>
          <t>☐</t>
        </is>
      </c>
      <c r="I144" s="26" t="inlineStr">
        <is>
          <t>☐</t>
        </is>
      </c>
      <c r="J144" s="26" t="inlineStr">
        <is>
          <t>☐</t>
        </is>
      </c>
      <c r="K144" s="26" t="inlineStr">
        <is>
          <t>☐</t>
        </is>
      </c>
      <c r="L144" s="26" t="inlineStr">
        <is>
          <t>☐</t>
        </is>
      </c>
      <c r="M144" s="25" t="n"/>
      <c r="N144" s="27" t="n">
        <v>0</v>
      </c>
      <c r="O144" s="28" t="n"/>
      <c r="P144" s="23" t="n"/>
      <c r="Q144" s="29" t="n"/>
      <c r="R144" s="29" t="n"/>
      <c r="S144" s="23" t="n"/>
      <c r="T144" s="30" t="n"/>
      <c r="U144" s="31" t="inlineStr">
        <is>
          <t>高</t>
        </is>
      </c>
      <c r="V144" s="32" t="inlineStr">
        <is>
          <t>福島県・文部科学省の資料と学校情報サイトで一致。中学校は別番号（024-526-2282）</t>
        </is>
      </c>
      <c r="W144" s="33" t="inlineStr">
        <is>
          <t>開く</t>
        </is>
      </c>
    </row>
    <row r="145" ht="30" customHeight="1">
      <c r="A145" s="23" t="inlineStr">
        <is>
          <t>07福島県</t>
        </is>
      </c>
      <c r="B145" s="23" t="inlineStr">
        <is>
          <t>私立</t>
        </is>
      </c>
      <c r="C145" s="23" t="n"/>
      <c r="D145" s="23" t="inlineStr">
        <is>
          <t>福島東稜高等学校</t>
        </is>
      </c>
      <c r="E145" s="24" t="inlineStr">
        <is>
          <t>024-535-3316</t>
        </is>
      </c>
      <c r="F145" s="23" t="n"/>
      <c r="G145" s="25" t="inlineStr">
        <is>
          <t>普通科・専門学科</t>
        </is>
      </c>
      <c r="H145" s="26" t="inlineStr">
        <is>
          <t>☐</t>
        </is>
      </c>
      <c r="I145" s="26" t="inlineStr">
        <is>
          <t>☐</t>
        </is>
      </c>
      <c r="J145" s="26" t="inlineStr">
        <is>
          <t>☐</t>
        </is>
      </c>
      <c r="K145" s="26" t="inlineStr">
        <is>
          <t>☐</t>
        </is>
      </c>
      <c r="L145" s="26" t="inlineStr">
        <is>
          <t>☐</t>
        </is>
      </c>
      <c r="M145" s="25" t="n"/>
      <c r="N145" s="27" t="n">
        <v>0</v>
      </c>
      <c r="O145" s="28" t="n"/>
      <c r="P145" s="23" t="n"/>
      <c r="Q145" s="29" t="n"/>
      <c r="R145" s="29" t="n"/>
      <c r="S145" s="23" t="n"/>
      <c r="T145" s="30" t="n"/>
      <c r="U145" s="31" t="inlineStr">
        <is>
          <t>高</t>
        </is>
      </c>
      <c r="V145" s="32" t="inlineStr">
        <is>
          <t>公式サイトで確認</t>
        </is>
      </c>
      <c r="W145" s="33" t="inlineStr">
        <is>
          <t>開く</t>
        </is>
      </c>
    </row>
    <row r="146" ht="30" customHeight="1">
      <c r="A146" s="23" t="inlineStr">
        <is>
          <t>08茨城県</t>
        </is>
      </c>
      <c r="B146" s="23" t="inlineStr">
        <is>
          <t>私立</t>
        </is>
      </c>
      <c r="C146" s="23" t="n"/>
      <c r="D146" s="23" t="inlineStr">
        <is>
          <t>愛国学園大学附属龍ヶ崎高等学校</t>
        </is>
      </c>
      <c r="E146" s="24" t="inlineStr">
        <is>
          <t>0297-66-0757</t>
        </is>
      </c>
      <c r="F146" s="23" t="n"/>
      <c r="G146" s="25" t="inlineStr">
        <is>
          <t>普通科</t>
        </is>
      </c>
      <c r="H146" s="26" t="inlineStr">
        <is>
          <t>☐</t>
        </is>
      </c>
      <c r="I146" s="26" t="inlineStr">
        <is>
          <t>☐</t>
        </is>
      </c>
      <c r="J146" s="26" t="inlineStr">
        <is>
          <t>☐</t>
        </is>
      </c>
      <c r="K146" s="26" t="inlineStr">
        <is>
          <t>☐</t>
        </is>
      </c>
      <c r="L146" s="26" t="inlineStr">
        <is>
          <t>☐</t>
        </is>
      </c>
      <c r="M146" s="25" t="n"/>
      <c r="N146" s="27" t="n">
        <v>0</v>
      </c>
      <c r="O146" s="28" t="n"/>
      <c r="P146" s="23" t="n"/>
      <c r="Q146" s="29" t="n"/>
      <c r="R146" s="29" t="n"/>
      <c r="S146" s="23" t="n"/>
      <c r="T146" s="30" t="n"/>
      <c r="U146" s="31" t="inlineStr">
        <is>
          <t>高</t>
        </is>
      </c>
      <c r="V146" s="32" t="inlineStr">
        <is>
          <t>茨城県の名簿と龍ケ崎市の資料で一致。女子校</t>
        </is>
      </c>
      <c r="W146" s="33" t="inlineStr">
        <is>
          <t>開く</t>
        </is>
      </c>
    </row>
    <row r="147" ht="30" customHeight="1">
      <c r="A147" s="23" t="inlineStr">
        <is>
          <t>08茨城県</t>
        </is>
      </c>
      <c r="B147" s="23" t="inlineStr">
        <is>
          <t>私立</t>
        </is>
      </c>
      <c r="C147" s="23" t="n"/>
      <c r="D147" s="23" t="inlineStr">
        <is>
          <t>茨城キリスト教学園高等学校</t>
        </is>
      </c>
      <c r="E147" s="24" t="inlineStr">
        <is>
          <t>0294-52-3215</t>
        </is>
      </c>
      <c r="F147" s="23" t="n"/>
      <c r="G147" s="25" t="inlineStr">
        <is>
          <t>普通科</t>
        </is>
      </c>
      <c r="H147" s="26" t="inlineStr">
        <is>
          <t>☐</t>
        </is>
      </c>
      <c r="I147" s="26" t="inlineStr">
        <is>
          <t>☐</t>
        </is>
      </c>
      <c r="J147" s="26" t="inlineStr">
        <is>
          <t>☐</t>
        </is>
      </c>
      <c r="K147" s="26" t="inlineStr">
        <is>
          <t>☐</t>
        </is>
      </c>
      <c r="L147" s="26" t="inlineStr">
        <is>
          <t>☐</t>
        </is>
      </c>
      <c r="M147" s="25" t="n"/>
      <c r="N147" s="27" t="n">
        <v>0</v>
      </c>
      <c r="O147" s="28" t="n"/>
      <c r="P147" s="23" t="n"/>
      <c r="Q147" s="29" t="n"/>
      <c r="R147" s="29" t="n"/>
      <c r="S147" s="23" t="n"/>
      <c r="T147" s="30" t="n"/>
      <c r="U147" s="31" t="inlineStr">
        <is>
          <t>高</t>
        </is>
      </c>
      <c r="V147" s="32" t="inlineStr">
        <is>
          <t>学園の代表番号。一部サイトではFAX（0294-53-9927）が電話番号として誤って載っているので注意</t>
        </is>
      </c>
      <c r="W147" s="33" t="inlineStr">
        <is>
          <t>開く</t>
        </is>
      </c>
    </row>
    <row r="148" ht="30" customHeight="1">
      <c r="A148" s="23" t="inlineStr">
        <is>
          <t>08茨城県</t>
        </is>
      </c>
      <c r="B148" s="23" t="inlineStr">
        <is>
          <t>私立</t>
        </is>
      </c>
      <c r="C148" s="23" t="n"/>
      <c r="D148" s="23" t="inlineStr">
        <is>
          <t>茨城高等学校</t>
        </is>
      </c>
      <c r="E148" s="24" t="inlineStr">
        <is>
          <t>029-221-4936</t>
        </is>
      </c>
      <c r="F148" s="23" t="n"/>
      <c r="G148" s="25" t="inlineStr">
        <is>
          <t>普通科</t>
        </is>
      </c>
      <c r="H148" s="26" t="inlineStr">
        <is>
          <t>☐</t>
        </is>
      </c>
      <c r="I148" s="26" t="inlineStr">
        <is>
          <t>☐</t>
        </is>
      </c>
      <c r="J148" s="26" t="inlineStr">
        <is>
          <t>☐</t>
        </is>
      </c>
      <c r="K148" s="26" t="inlineStr">
        <is>
          <t>☐</t>
        </is>
      </c>
      <c r="L148" s="26" t="inlineStr">
        <is>
          <t>☐</t>
        </is>
      </c>
      <c r="M148" s="25" t="n"/>
      <c r="N148" s="27" t="n">
        <v>0</v>
      </c>
      <c r="O148" s="28" t="n"/>
      <c r="P148" s="23" t="n"/>
      <c r="Q148" s="29" t="n"/>
      <c r="R148" s="29" t="n"/>
      <c r="S148" s="23" t="n"/>
      <c r="T148" s="30" t="n"/>
      <c r="U148" s="31" t="inlineStr">
        <is>
          <t>高</t>
        </is>
      </c>
      <c r="V148" s="32" t="inlineStr">
        <is>
          <t>公式サイトで確認。中学校と共通</t>
        </is>
      </c>
      <c r="W148" s="33" t="inlineStr">
        <is>
          <t>開く</t>
        </is>
      </c>
    </row>
    <row r="149" ht="30" customHeight="1">
      <c r="A149" s="23" t="inlineStr">
        <is>
          <t>08茨城県</t>
        </is>
      </c>
      <c r="B149" s="23" t="inlineStr">
        <is>
          <t>私立</t>
        </is>
      </c>
      <c r="C149" s="23" t="n"/>
      <c r="D149" s="23" t="inlineStr">
        <is>
          <t>岩瀬日本大学高等学校</t>
        </is>
      </c>
      <c r="E149" s="24" t="inlineStr">
        <is>
          <t>0296-75-2242</t>
        </is>
      </c>
      <c r="F149" s="23" t="n"/>
      <c r="G149" s="25" t="inlineStr">
        <is>
          <t>普通科</t>
        </is>
      </c>
      <c r="H149" s="26" t="inlineStr">
        <is>
          <t>☐</t>
        </is>
      </c>
      <c r="I149" s="26" t="inlineStr">
        <is>
          <t>☐</t>
        </is>
      </c>
      <c r="J149" s="26" t="inlineStr">
        <is>
          <t>☐</t>
        </is>
      </c>
      <c r="K149" s="26" t="inlineStr">
        <is>
          <t>☐</t>
        </is>
      </c>
      <c r="L149" s="26" t="inlineStr">
        <is>
          <t>☐</t>
        </is>
      </c>
      <c r="M149" s="25" t="n"/>
      <c r="N149" s="27" t="n">
        <v>0</v>
      </c>
      <c r="O149" s="28" t="n"/>
      <c r="P149" s="23" t="n"/>
      <c r="Q149" s="29" t="n"/>
      <c r="R149" s="29" t="n"/>
      <c r="S149" s="23" t="n"/>
      <c r="T149" s="30" t="n"/>
      <c r="U149" s="31" t="inlineStr">
        <is>
          <t>高</t>
        </is>
      </c>
      <c r="V149" s="32" t="inlineStr">
        <is>
          <t>公式サイトに「代表」と記載。入試広報直通は0296-75-6467</t>
        </is>
      </c>
      <c r="W149" s="33" t="inlineStr">
        <is>
          <t>開く</t>
        </is>
      </c>
    </row>
    <row r="150" ht="30" customHeight="1">
      <c r="A150" s="23" t="inlineStr">
        <is>
          <t>08茨城県</t>
        </is>
      </c>
      <c r="B150" s="23" t="inlineStr">
        <is>
          <t>私立</t>
        </is>
      </c>
      <c r="C150" s="23" t="n"/>
      <c r="D150" s="23" t="inlineStr">
        <is>
          <t>Ｓ高等学校</t>
        </is>
      </c>
      <c r="E150" s="24" t="inlineStr">
        <is>
          <t>029-879-5801</t>
        </is>
      </c>
      <c r="F150" s="23" t="n"/>
      <c r="G150" s="25" t="inlineStr">
        <is>
          <t>普通科</t>
        </is>
      </c>
      <c r="H150" s="26" t="inlineStr">
        <is>
          <t>☐</t>
        </is>
      </c>
      <c r="I150" s="26" t="inlineStr">
        <is>
          <t>☐</t>
        </is>
      </c>
      <c r="J150" s="26" t="inlineStr">
        <is>
          <t>☐</t>
        </is>
      </c>
      <c r="K150" s="26" t="inlineStr">
        <is>
          <t>☐</t>
        </is>
      </c>
      <c r="L150" s="26" t="inlineStr">
        <is>
          <t>☐</t>
        </is>
      </c>
      <c r="M150" s="25" t="n"/>
      <c r="N150" s="27" t="n">
        <v>0</v>
      </c>
      <c r="O150" s="28" t="n"/>
      <c r="P150" s="23" t="n"/>
      <c r="Q150" s="29" t="n"/>
      <c r="R150" s="29" t="n"/>
      <c r="S150" s="23" t="n"/>
      <c r="T150" s="30" t="n"/>
      <c r="U150" s="34" t="inlineStr">
        <is>
          <t>中</t>
        </is>
      </c>
      <c r="V150" s="32" t="inlineStr">
        <is>
          <t>茨城県の名簿に載っているつくば本校の番号（広域通信制、N高グループ）。公式の窓口は入学相談のフリーダイヤル0120-025-215</t>
        </is>
      </c>
      <c r="W150" s="33" t="inlineStr">
        <is>
          <t>開く</t>
        </is>
      </c>
    </row>
    <row r="151" ht="30" customHeight="1">
      <c r="A151" s="23" t="inlineStr">
        <is>
          <t>08茨城県</t>
        </is>
      </c>
      <c r="B151" s="23" t="inlineStr">
        <is>
          <t>私立</t>
        </is>
      </c>
      <c r="C151" s="23" t="n"/>
      <c r="D151" s="23" t="inlineStr">
        <is>
          <t>江戸川学園取手高等学校</t>
        </is>
      </c>
      <c r="E151" s="24" t="inlineStr">
        <is>
          <t>0297-74-8771</t>
        </is>
      </c>
      <c r="F151" s="23" t="n"/>
      <c r="G151" s="25" t="inlineStr">
        <is>
          <t>普通科</t>
        </is>
      </c>
      <c r="H151" s="26" t="inlineStr">
        <is>
          <t>☐</t>
        </is>
      </c>
      <c r="I151" s="26" t="inlineStr">
        <is>
          <t>☐</t>
        </is>
      </c>
      <c r="J151" s="26" t="inlineStr">
        <is>
          <t>☐</t>
        </is>
      </c>
      <c r="K151" s="26" t="inlineStr">
        <is>
          <t>☐</t>
        </is>
      </c>
      <c r="L151" s="26" t="inlineStr">
        <is>
          <t>☐</t>
        </is>
      </c>
      <c r="M151" s="25" t="n"/>
      <c r="N151" s="27" t="n">
        <v>0</v>
      </c>
      <c r="O151" s="28" t="n"/>
      <c r="P151" s="23" t="n"/>
      <c r="Q151" s="29" t="n"/>
      <c r="R151" s="29" t="n"/>
      <c r="S151" s="23" t="n"/>
      <c r="T151" s="30" t="n"/>
      <c r="U151" s="31" t="inlineStr">
        <is>
          <t>高</t>
        </is>
      </c>
      <c r="V151" s="32" t="inlineStr">
        <is>
          <t>公式サイトに「代表」と記載。中高共通。一部サイトの0297-74-0111は公式と異なる</t>
        </is>
      </c>
      <c r="W151" s="33" t="inlineStr">
        <is>
          <t>開く</t>
        </is>
      </c>
    </row>
    <row r="152" ht="30" customHeight="1">
      <c r="A152" s="23" t="inlineStr">
        <is>
          <t>08茨城県</t>
        </is>
      </c>
      <c r="B152" s="23" t="inlineStr">
        <is>
          <t>私立</t>
        </is>
      </c>
      <c r="C152" s="23" t="n"/>
      <c r="D152" s="23" t="inlineStr">
        <is>
          <t>鹿島学園高等学校</t>
        </is>
      </c>
      <c r="E152" s="24" t="inlineStr">
        <is>
          <t>0299-83-3211</t>
        </is>
      </c>
      <c r="F152" s="23" t="n"/>
      <c r="G152" s="25" t="inlineStr">
        <is>
          <t>普通科</t>
        </is>
      </c>
      <c r="H152" s="26" t="inlineStr">
        <is>
          <t>☐</t>
        </is>
      </c>
      <c r="I152" s="26" t="inlineStr">
        <is>
          <t>☐</t>
        </is>
      </c>
      <c r="J152" s="26" t="inlineStr">
        <is>
          <t>☐</t>
        </is>
      </c>
      <c r="K152" s="26" t="inlineStr">
        <is>
          <t>☐</t>
        </is>
      </c>
      <c r="L152" s="26" t="inlineStr">
        <is>
          <t>☐</t>
        </is>
      </c>
      <c r="M152" s="25" t="n"/>
      <c r="N152" s="27" t="n">
        <v>0</v>
      </c>
      <c r="O152" s="28" t="n"/>
      <c r="P152" s="23" t="n"/>
      <c r="Q152" s="29" t="n"/>
      <c r="R152" s="29" t="n"/>
      <c r="S152" s="23" t="n"/>
      <c r="T152" s="30" t="n"/>
      <c r="U152" s="31" t="inlineStr">
        <is>
          <t>高</t>
        </is>
      </c>
      <c r="V152" s="32" t="inlineStr">
        <is>
          <t>全日制の代表（公式サイト）。入試部直通は0299-83-3215。通信制の本部は0299-85-2020</t>
        </is>
      </c>
      <c r="W152" s="33" t="inlineStr">
        <is>
          <t>開く</t>
        </is>
      </c>
    </row>
    <row r="153" ht="30" customHeight="1">
      <c r="A153" s="23" t="inlineStr">
        <is>
          <t>08茨城県</t>
        </is>
      </c>
      <c r="B153" s="23" t="inlineStr">
        <is>
          <t>私立</t>
        </is>
      </c>
      <c r="C153" s="23" t="n"/>
      <c r="D153" s="23" t="inlineStr">
        <is>
          <t>霞ヶ浦高等学校</t>
        </is>
      </c>
      <c r="E153" s="24" t="inlineStr">
        <is>
          <t>029-887-0013</t>
        </is>
      </c>
      <c r="F153" s="23" t="n"/>
      <c r="G153" s="25" t="inlineStr">
        <is>
          <t>普通科</t>
        </is>
      </c>
      <c r="H153" s="26" t="inlineStr">
        <is>
          <t>☐</t>
        </is>
      </c>
      <c r="I153" s="26" t="inlineStr">
        <is>
          <t>☐</t>
        </is>
      </c>
      <c r="J153" s="26" t="inlineStr">
        <is>
          <t>☐</t>
        </is>
      </c>
      <c r="K153" s="26" t="inlineStr">
        <is>
          <t>☐</t>
        </is>
      </c>
      <c r="L153" s="26" t="inlineStr">
        <is>
          <t>☐</t>
        </is>
      </c>
      <c r="M153" s="25" t="n"/>
      <c r="N153" s="27" t="n">
        <v>0</v>
      </c>
      <c r="O153" s="28" t="n"/>
      <c r="P153" s="23" t="n"/>
      <c r="Q153" s="29" t="n"/>
      <c r="R153" s="29" t="n"/>
      <c r="S153" s="23" t="n"/>
      <c r="T153" s="30" t="n"/>
      <c r="U153" s="31" t="inlineStr">
        <is>
          <t>高</t>
        </is>
      </c>
      <c r="V153" s="32" t="inlineStr">
        <is>
          <t>公式サイトで確認（029-887-4755も併記）。附属中学校は別番号（029-888-8208）</t>
        </is>
      </c>
      <c r="W153" s="33" t="inlineStr">
        <is>
          <t>開く</t>
        </is>
      </c>
    </row>
    <row r="154" ht="30" customHeight="1">
      <c r="A154" s="23" t="inlineStr">
        <is>
          <t>08茨城県</t>
        </is>
      </c>
      <c r="B154" s="23" t="inlineStr">
        <is>
          <t>私立</t>
        </is>
      </c>
      <c r="C154" s="23" t="n"/>
      <c r="D154" s="23" t="inlineStr">
        <is>
          <t>晃陽学園高等学校</t>
        </is>
      </c>
      <c r="E154" s="24" t="inlineStr">
        <is>
          <t>0280-31-5455</t>
        </is>
      </c>
      <c r="F154" s="23" t="n"/>
      <c r="G154" s="25" t="inlineStr">
        <is>
          <t>普通科</t>
        </is>
      </c>
      <c r="H154" s="26" t="inlineStr">
        <is>
          <t>☐</t>
        </is>
      </c>
      <c r="I154" s="26" t="inlineStr">
        <is>
          <t>☐</t>
        </is>
      </c>
      <c r="J154" s="26" t="inlineStr">
        <is>
          <t>☐</t>
        </is>
      </c>
      <c r="K154" s="26" t="inlineStr">
        <is>
          <t>☐</t>
        </is>
      </c>
      <c r="L154" s="26" t="inlineStr">
        <is>
          <t>☐</t>
        </is>
      </c>
      <c r="M154" s="25" t="n"/>
      <c r="N154" s="27" t="n">
        <v>0</v>
      </c>
      <c r="O154" s="28" t="n"/>
      <c r="P154" s="23" t="n"/>
      <c r="Q154" s="29" t="n"/>
      <c r="R154" s="29" t="n"/>
      <c r="S154" s="23" t="n"/>
      <c r="T154" s="30" t="n"/>
      <c r="U154" s="31" t="inlineStr">
        <is>
          <t>高</t>
        </is>
      </c>
      <c r="V154" s="32" t="inlineStr">
        <is>
          <t>公式サイトで確認（通信制・古河本校）</t>
        </is>
      </c>
      <c r="W154" s="33" t="inlineStr">
        <is>
          <t>開く</t>
        </is>
      </c>
    </row>
    <row r="155" ht="30" customHeight="1">
      <c r="A155" s="23" t="inlineStr">
        <is>
          <t>08茨城県</t>
        </is>
      </c>
      <c r="B155" s="23" t="inlineStr">
        <is>
          <t>私立</t>
        </is>
      </c>
      <c r="C155" s="23" t="n"/>
      <c r="D155" s="23" t="inlineStr">
        <is>
          <t>翔洋学園高等学校</t>
        </is>
      </c>
      <c r="E155" s="24" t="inlineStr">
        <is>
          <t>0294-27-1101</t>
        </is>
      </c>
      <c r="F155" s="23" t="n"/>
      <c r="G155" s="25" t="inlineStr">
        <is>
          <t>普通科</t>
        </is>
      </c>
      <c r="H155" s="26" t="inlineStr">
        <is>
          <t>☐</t>
        </is>
      </c>
      <c r="I155" s="26" t="inlineStr">
        <is>
          <t>☐</t>
        </is>
      </c>
      <c r="J155" s="26" t="inlineStr">
        <is>
          <t>☐</t>
        </is>
      </c>
      <c r="K155" s="26" t="inlineStr">
        <is>
          <t>☐</t>
        </is>
      </c>
      <c r="L155" s="26" t="inlineStr">
        <is>
          <t>☐</t>
        </is>
      </c>
      <c r="M155" s="25" t="n"/>
      <c r="N155" s="27" t="n">
        <v>0</v>
      </c>
      <c r="O155" s="28" t="n"/>
      <c r="P155" s="23" t="n"/>
      <c r="Q155" s="29" t="n"/>
      <c r="R155" s="29" t="n"/>
      <c r="S155" s="23" t="n"/>
      <c r="T155" s="30" t="n"/>
      <c r="U155" s="31" t="inlineStr">
        <is>
          <t>高</t>
        </is>
      </c>
      <c r="V155" s="32" t="inlineStr">
        <is>
          <t>公式サイトで確認（通信制・日立本校）。入学相談は別番号（04-7199-3171）</t>
        </is>
      </c>
      <c r="W155" s="33" t="inlineStr">
        <is>
          <t>開く</t>
        </is>
      </c>
    </row>
    <row r="156" ht="30" customHeight="1">
      <c r="A156" s="23" t="inlineStr">
        <is>
          <t>08茨城県</t>
        </is>
      </c>
      <c r="B156" s="23" t="inlineStr">
        <is>
          <t>私立</t>
        </is>
      </c>
      <c r="C156" s="23" t="n"/>
      <c r="D156" s="23" t="inlineStr">
        <is>
          <t>常総学院高等学校</t>
        </is>
      </c>
      <c r="E156" s="24" t="inlineStr">
        <is>
          <t>029-842-8771</t>
        </is>
      </c>
      <c r="F156" s="23" t="n"/>
      <c r="G156" s="25" t="inlineStr">
        <is>
          <t>普通科</t>
        </is>
      </c>
      <c r="H156" s="26" t="inlineStr">
        <is>
          <t>☐</t>
        </is>
      </c>
      <c r="I156" s="26" t="inlineStr">
        <is>
          <t>☐</t>
        </is>
      </c>
      <c r="J156" s="26" t="inlineStr">
        <is>
          <t>☐</t>
        </is>
      </c>
      <c r="K156" s="26" t="inlineStr">
        <is>
          <t>☐</t>
        </is>
      </c>
      <c r="L156" s="26" t="inlineStr">
        <is>
          <t>☐</t>
        </is>
      </c>
      <c r="M156" s="25" t="n"/>
      <c r="N156" s="27" t="n">
        <v>0</v>
      </c>
      <c r="O156" s="28" t="n"/>
      <c r="P156" s="23" t="n"/>
      <c r="Q156" s="29" t="n"/>
      <c r="R156" s="29" t="n"/>
      <c r="S156" s="23" t="n"/>
      <c r="T156" s="30" t="n"/>
      <c r="U156" s="31" t="inlineStr">
        <is>
          <t>高</t>
        </is>
      </c>
      <c r="V156" s="32" t="inlineStr">
        <is>
          <t>公式サイトで確認。中学校は別番号（029-842-0708）</t>
        </is>
      </c>
      <c r="W156" s="33" t="inlineStr">
        <is>
          <t>開く</t>
        </is>
      </c>
    </row>
    <row r="157" ht="30" customHeight="1">
      <c r="A157" s="23" t="inlineStr">
        <is>
          <t>08茨城県</t>
        </is>
      </c>
      <c r="B157" s="23" t="inlineStr">
        <is>
          <t>私立</t>
        </is>
      </c>
      <c r="C157" s="23" t="n"/>
      <c r="D157" s="23" t="inlineStr">
        <is>
          <t>水城高等学校</t>
        </is>
      </c>
      <c r="E157" s="24" t="inlineStr">
        <is>
          <t>029-247-6509</t>
        </is>
      </c>
      <c r="F157" s="23" t="n"/>
      <c r="G157" s="25" t="inlineStr">
        <is>
          <t>普通科</t>
        </is>
      </c>
      <c r="H157" s="26" t="inlineStr">
        <is>
          <t>☐</t>
        </is>
      </c>
      <c r="I157" s="26" t="inlineStr">
        <is>
          <t>☐</t>
        </is>
      </c>
      <c r="J157" s="26" t="inlineStr">
        <is>
          <t>☐</t>
        </is>
      </c>
      <c r="K157" s="26" t="inlineStr">
        <is>
          <t>☐</t>
        </is>
      </c>
      <c r="L157" s="26" t="inlineStr">
        <is>
          <t>☐</t>
        </is>
      </c>
      <c r="M157" s="25" t="n"/>
      <c r="N157" s="27" t="n">
        <v>0</v>
      </c>
      <c r="O157" s="28" t="n"/>
      <c r="P157" s="23" t="n"/>
      <c r="Q157" s="29" t="n"/>
      <c r="R157" s="29" t="n"/>
      <c r="S157" s="23" t="n"/>
      <c r="T157" s="30" t="n"/>
      <c r="U157" s="31" t="inlineStr">
        <is>
          <t>高</t>
        </is>
      </c>
      <c r="V157" s="32" t="inlineStr">
        <is>
          <t>茨城県教育委員会の一覧ほか複数の資料で一致</t>
        </is>
      </c>
      <c r="W157" s="33" t="inlineStr">
        <is>
          <t>開く</t>
        </is>
      </c>
    </row>
    <row r="158" ht="30" customHeight="1">
      <c r="A158" s="23" t="inlineStr">
        <is>
          <t>08茨城県</t>
        </is>
      </c>
      <c r="B158" s="23" t="inlineStr">
        <is>
          <t>私立</t>
        </is>
      </c>
      <c r="C158" s="23" t="n"/>
      <c r="D158" s="23" t="inlineStr">
        <is>
          <t>清真学園高等学校</t>
        </is>
      </c>
      <c r="E158" s="24" t="inlineStr">
        <is>
          <t>0299-83-1811</t>
        </is>
      </c>
      <c r="F158" s="23" t="n"/>
      <c r="G158" s="25" t="inlineStr">
        <is>
          <t>普通科</t>
        </is>
      </c>
      <c r="H158" s="26" t="inlineStr">
        <is>
          <t>☐</t>
        </is>
      </c>
      <c r="I158" s="26" t="inlineStr">
        <is>
          <t>☐</t>
        </is>
      </c>
      <c r="J158" s="26" t="inlineStr">
        <is>
          <t>☐</t>
        </is>
      </c>
      <c r="K158" s="26" t="inlineStr">
        <is>
          <t>☐</t>
        </is>
      </c>
      <c r="L158" s="26" t="inlineStr">
        <is>
          <t>☐</t>
        </is>
      </c>
      <c r="M158" s="25" t="n"/>
      <c r="N158" s="27" t="n">
        <v>0</v>
      </c>
      <c r="O158" s="28" t="n"/>
      <c r="P158" s="23" t="n"/>
      <c r="Q158" s="29" t="n"/>
      <c r="R158" s="29" t="n"/>
      <c r="S158" s="23" t="n"/>
      <c r="T158" s="30" t="n"/>
      <c r="U158" s="31" t="inlineStr">
        <is>
          <t>高</t>
        </is>
      </c>
      <c r="V158" s="32" t="inlineStr">
        <is>
          <t>茨城県教育委員会の一覧と学校情報サイトで一致。中高一貫校</t>
        </is>
      </c>
      <c r="W158" s="33" t="inlineStr">
        <is>
          <t>開く</t>
        </is>
      </c>
    </row>
    <row r="159" ht="30" customHeight="1">
      <c r="A159" s="23" t="inlineStr">
        <is>
          <t>08茨城県</t>
        </is>
      </c>
      <c r="B159" s="23" t="inlineStr">
        <is>
          <t>私立</t>
        </is>
      </c>
      <c r="C159" s="23" t="n"/>
      <c r="D159" s="23" t="inlineStr">
        <is>
          <t>聖徳大学附属取手聖徳女子高等学校</t>
        </is>
      </c>
      <c r="E159" s="24" t="inlineStr">
        <is>
          <t>0297-83-8111</t>
        </is>
      </c>
      <c r="F159" s="23" t="n"/>
      <c r="G159" s="25" t="inlineStr">
        <is>
          <t>普通科・専門学科</t>
        </is>
      </c>
      <c r="H159" s="26" t="inlineStr">
        <is>
          <t>☐</t>
        </is>
      </c>
      <c r="I159" s="26" t="inlineStr">
        <is>
          <t>☐</t>
        </is>
      </c>
      <c r="J159" s="26" t="inlineStr">
        <is>
          <t>☐</t>
        </is>
      </c>
      <c r="K159" s="26" t="inlineStr">
        <is>
          <t>☐</t>
        </is>
      </c>
      <c r="L159" s="26" t="inlineStr">
        <is>
          <t>☐</t>
        </is>
      </c>
      <c r="M159" s="25" t="n"/>
      <c r="N159" s="27" t="n">
        <v>0</v>
      </c>
      <c r="O159" s="28" t="n"/>
      <c r="P159" s="23" t="n"/>
      <c r="Q159" s="29" t="n"/>
      <c r="R159" s="29" t="n"/>
      <c r="S159" s="23" t="n"/>
      <c r="T159" s="30" t="n"/>
      <c r="U159" s="31" t="inlineStr">
        <is>
          <t>高</t>
        </is>
      </c>
      <c r="V159" s="32" t="inlineStr">
        <is>
          <t>学校の資料に「代表」と記載</t>
        </is>
      </c>
      <c r="W159" s="33" t="inlineStr">
        <is>
          <t>開く</t>
        </is>
      </c>
    </row>
    <row r="160" ht="30" customHeight="1">
      <c r="A160" s="23" t="inlineStr">
        <is>
          <t>08茨城県</t>
        </is>
      </c>
      <c r="B160" s="23" t="inlineStr">
        <is>
          <t>私立</t>
        </is>
      </c>
      <c r="C160" s="23" t="n"/>
      <c r="D160" s="23" t="inlineStr">
        <is>
          <t>大成女子高等学校</t>
        </is>
      </c>
      <c r="E160" s="24" t="inlineStr">
        <is>
          <t>029-221-4888</t>
        </is>
      </c>
      <c r="F160" s="23" t="n"/>
      <c r="G160" s="25" t="inlineStr">
        <is>
          <t>普通科・専門学科</t>
        </is>
      </c>
      <c r="H160" s="26" t="inlineStr">
        <is>
          <t>☐</t>
        </is>
      </c>
      <c r="I160" s="26" t="inlineStr">
        <is>
          <t>☐</t>
        </is>
      </c>
      <c r="J160" s="26" t="inlineStr">
        <is>
          <t>☐</t>
        </is>
      </c>
      <c r="K160" s="26" t="inlineStr">
        <is>
          <t>☐</t>
        </is>
      </c>
      <c r="L160" s="26" t="inlineStr">
        <is>
          <t>☐</t>
        </is>
      </c>
      <c r="M160" s="25" t="n"/>
      <c r="N160" s="27" t="n">
        <v>0</v>
      </c>
      <c r="O160" s="28" t="n"/>
      <c r="P160" s="23" t="n"/>
      <c r="Q160" s="29" t="n"/>
      <c r="R160" s="29" t="n"/>
      <c r="S160" s="23" t="n"/>
      <c r="T160" s="30" t="n"/>
      <c r="U160" s="31" t="inlineStr">
        <is>
          <t>高</t>
        </is>
      </c>
      <c r="V160" s="32" t="inlineStr">
        <is>
          <t>茨城県教育委員会の一覧と学校情報サイトで一致</t>
        </is>
      </c>
      <c r="W160" s="33" t="inlineStr">
        <is>
          <t>開く</t>
        </is>
      </c>
    </row>
    <row r="161" ht="30" customHeight="1">
      <c r="A161" s="23" t="inlineStr">
        <is>
          <t>08茨城県</t>
        </is>
      </c>
      <c r="B161" s="23" t="inlineStr">
        <is>
          <t>私立</t>
        </is>
      </c>
      <c r="C161" s="23" t="n"/>
      <c r="D161" s="23" t="inlineStr">
        <is>
          <t>第一学院高等学校 高萩本校</t>
        </is>
      </c>
      <c r="E161" s="24" t="inlineStr">
        <is>
          <t>0293-20-5800</t>
        </is>
      </c>
      <c r="F161" s="23" t="n"/>
      <c r="G161" s="25" t="inlineStr">
        <is>
          <t>総合学科</t>
        </is>
      </c>
      <c r="H161" s="26" t="inlineStr">
        <is>
          <t>☐</t>
        </is>
      </c>
      <c r="I161" s="26" t="inlineStr">
        <is>
          <t>☐</t>
        </is>
      </c>
      <c r="J161" s="26" t="inlineStr">
        <is>
          <t>☐</t>
        </is>
      </c>
      <c r="K161" s="26" t="inlineStr">
        <is>
          <t>☐</t>
        </is>
      </c>
      <c r="L161" s="26" t="inlineStr">
        <is>
          <t>☐</t>
        </is>
      </c>
      <c r="M161" s="25" t="n"/>
      <c r="N161" s="27" t="n">
        <v>0</v>
      </c>
      <c r="O161" s="28" t="n"/>
      <c r="P161" s="23" t="n"/>
      <c r="Q161" s="29" t="n"/>
      <c r="R161" s="29" t="n"/>
      <c r="S161" s="23" t="n"/>
      <c r="T161" s="30" t="n"/>
      <c r="U161" s="31" t="inlineStr">
        <is>
          <t>高</t>
        </is>
      </c>
      <c r="V161" s="32" t="inlineStr">
        <is>
          <t>高萩校（通信制）の番号。公式サイトと茨城県教育委員会のページで一致</t>
        </is>
      </c>
      <c r="W161" s="33" t="inlineStr">
        <is>
          <t>開く</t>
        </is>
      </c>
    </row>
    <row r="162" ht="30" customHeight="1">
      <c r="A162" s="23" t="inlineStr">
        <is>
          <t>08茨城県</t>
        </is>
      </c>
      <c r="B162" s="23" t="inlineStr">
        <is>
          <t>私立</t>
        </is>
      </c>
      <c r="C162" s="23" t="n"/>
      <c r="D162" s="23" t="inlineStr">
        <is>
          <t>つくば開成高等学校</t>
        </is>
      </c>
      <c r="E162" s="24" t="inlineStr">
        <is>
          <t>029-872-5532</t>
        </is>
      </c>
      <c r="F162" s="23" t="n"/>
      <c r="G162" s="25" t="inlineStr">
        <is>
          <t>普通科</t>
        </is>
      </c>
      <c r="H162" s="26" t="inlineStr">
        <is>
          <t>☐</t>
        </is>
      </c>
      <c r="I162" s="26" t="inlineStr">
        <is>
          <t>☐</t>
        </is>
      </c>
      <c r="J162" s="26" t="inlineStr">
        <is>
          <t>☐</t>
        </is>
      </c>
      <c r="K162" s="26" t="inlineStr">
        <is>
          <t>☐</t>
        </is>
      </c>
      <c r="L162" s="26" t="inlineStr">
        <is>
          <t>☐</t>
        </is>
      </c>
      <c r="M162" s="25" t="n"/>
      <c r="N162" s="27" t="n">
        <v>0</v>
      </c>
      <c r="O162" s="28" t="n"/>
      <c r="P162" s="23" t="n"/>
      <c r="Q162" s="29" t="n"/>
      <c r="R162" s="29" t="n"/>
      <c r="S162" s="23" t="n"/>
      <c r="T162" s="30" t="n"/>
      <c r="U162" s="31" t="inlineStr">
        <is>
          <t>高</t>
        </is>
      </c>
      <c r="V162" s="32" t="inlineStr">
        <is>
          <t>牛久本校（通信制）の番号。土浦・守谷の学習センターは別番号</t>
        </is>
      </c>
      <c r="W162" s="33" t="inlineStr">
        <is>
          <t>開く</t>
        </is>
      </c>
    </row>
    <row r="163" ht="30" customHeight="1">
      <c r="A163" s="23" t="inlineStr">
        <is>
          <t>08茨城県</t>
        </is>
      </c>
      <c r="B163" s="23" t="inlineStr">
        <is>
          <t>私立</t>
        </is>
      </c>
      <c r="C163" s="23" t="n"/>
      <c r="D163" s="23" t="inlineStr">
        <is>
          <t>つくば国際大学高等学校</t>
        </is>
      </c>
      <c r="E163" s="24" t="inlineStr">
        <is>
          <t>029-821-0670</t>
        </is>
      </c>
      <c r="F163" s="23" t="n"/>
      <c r="G163" s="25" t="inlineStr">
        <is>
          <t>普通科</t>
        </is>
      </c>
      <c r="H163" s="26" t="inlineStr">
        <is>
          <t>☐</t>
        </is>
      </c>
      <c r="I163" s="26" t="inlineStr">
        <is>
          <t>☐</t>
        </is>
      </c>
      <c r="J163" s="26" t="inlineStr">
        <is>
          <t>☐</t>
        </is>
      </c>
      <c r="K163" s="26" t="inlineStr">
        <is>
          <t>☐</t>
        </is>
      </c>
      <c r="L163" s="26" t="inlineStr">
        <is>
          <t>☐</t>
        </is>
      </c>
      <c r="M163" s="25" t="n"/>
      <c r="N163" s="27" t="n">
        <v>0</v>
      </c>
      <c r="O163" s="28" t="n"/>
      <c r="P163" s="23" t="n"/>
      <c r="Q163" s="29" t="n"/>
      <c r="R163" s="29" t="n"/>
      <c r="S163" s="23" t="n"/>
      <c r="T163" s="30" t="n"/>
      <c r="U163" s="31" t="inlineStr">
        <is>
          <t>高</t>
        </is>
      </c>
      <c r="V163" s="32" t="inlineStr">
        <is>
          <t>公式サイトで確認。029-826-6000は大学の番号なので注意</t>
        </is>
      </c>
      <c r="W163" s="33" t="inlineStr">
        <is>
          <t>開く</t>
        </is>
      </c>
    </row>
    <row r="164" ht="30" customHeight="1">
      <c r="A164" s="23" t="inlineStr">
        <is>
          <t>08茨城県</t>
        </is>
      </c>
      <c r="B164" s="23" t="inlineStr">
        <is>
          <t>私立</t>
        </is>
      </c>
      <c r="C164" s="23" t="n"/>
      <c r="D164" s="23" t="inlineStr">
        <is>
          <t>つくば国際大学東風高等学校</t>
        </is>
      </c>
      <c r="E164" s="24" t="inlineStr">
        <is>
          <t>0299-59-7516</t>
        </is>
      </c>
      <c r="F164" s="23" t="n"/>
      <c r="G164" s="25" t="inlineStr">
        <is>
          <t>普通科</t>
        </is>
      </c>
      <c r="H164" s="26" t="inlineStr">
        <is>
          <t>☐</t>
        </is>
      </c>
      <c r="I164" s="26" t="inlineStr">
        <is>
          <t>☐</t>
        </is>
      </c>
      <c r="J164" s="26" t="inlineStr">
        <is>
          <t>☐</t>
        </is>
      </c>
      <c r="K164" s="26" t="inlineStr">
        <is>
          <t>☐</t>
        </is>
      </c>
      <c r="L164" s="26" t="inlineStr">
        <is>
          <t>☐</t>
        </is>
      </c>
      <c r="M164" s="25" t="n"/>
      <c r="N164" s="27" t="n">
        <v>0</v>
      </c>
      <c r="O164" s="28" t="n"/>
      <c r="P164" s="23" t="n"/>
      <c r="Q164" s="29" t="n"/>
      <c r="R164" s="29" t="n"/>
      <c r="S164" s="23" t="n"/>
      <c r="T164" s="30" t="n"/>
      <c r="U164" s="31" t="inlineStr">
        <is>
          <t>高</t>
        </is>
      </c>
      <c r="V164" s="32" t="inlineStr">
        <is>
          <t>公式サイトで確認</t>
        </is>
      </c>
      <c r="W164" s="33" t="inlineStr">
        <is>
          <t>開く</t>
        </is>
      </c>
    </row>
    <row r="165" ht="30" customHeight="1">
      <c r="A165" s="23" t="inlineStr">
        <is>
          <t>08茨城県</t>
        </is>
      </c>
      <c r="B165" s="23" t="inlineStr">
        <is>
          <t>私立</t>
        </is>
      </c>
      <c r="C165" s="23" t="n"/>
      <c r="D165" s="23" t="inlineStr">
        <is>
          <t>つくば秀英高等学校</t>
        </is>
      </c>
      <c r="E165" s="24" t="inlineStr">
        <is>
          <t>029-847-1611</t>
        </is>
      </c>
      <c r="F165" s="23" t="n"/>
      <c r="G165" s="25" t="inlineStr">
        <is>
          <t>普通科</t>
        </is>
      </c>
      <c r="H165" s="26" t="inlineStr">
        <is>
          <t>☐</t>
        </is>
      </c>
      <c r="I165" s="26" t="inlineStr">
        <is>
          <t>☐</t>
        </is>
      </c>
      <c r="J165" s="26" t="inlineStr">
        <is>
          <t>☐</t>
        </is>
      </c>
      <c r="K165" s="26" t="inlineStr">
        <is>
          <t>☐</t>
        </is>
      </c>
      <c r="L165" s="26" t="inlineStr">
        <is>
          <t>☐</t>
        </is>
      </c>
      <c r="M165" s="25" t="n"/>
      <c r="N165" s="27" t="n">
        <v>0</v>
      </c>
      <c r="O165" s="28" t="n"/>
      <c r="P165" s="23" t="n"/>
      <c r="Q165" s="29" t="n"/>
      <c r="R165" s="29" t="n"/>
      <c r="S165" s="23" t="n"/>
      <c r="T165" s="30" t="n"/>
      <c r="U165" s="31" t="inlineStr">
        <is>
          <t>高</t>
        </is>
      </c>
      <c r="V165" s="32" t="inlineStr">
        <is>
          <t>公式サイトで確認</t>
        </is>
      </c>
      <c r="W165" s="33" t="inlineStr">
        <is>
          <t>開く</t>
        </is>
      </c>
    </row>
    <row r="166" ht="30" customHeight="1">
      <c r="A166" s="23" t="inlineStr">
        <is>
          <t>08茨城県</t>
        </is>
      </c>
      <c r="B166" s="23" t="inlineStr">
        <is>
          <t>私立</t>
        </is>
      </c>
      <c r="C166" s="23" t="n"/>
      <c r="D166" s="23" t="inlineStr">
        <is>
          <t>土浦日本大学高等学校</t>
        </is>
      </c>
      <c r="E166" s="24" t="inlineStr">
        <is>
          <t>029-822-3382</t>
        </is>
      </c>
      <c r="F166" s="23" t="n"/>
      <c r="G166" s="25" t="inlineStr">
        <is>
          <t>普通科</t>
        </is>
      </c>
      <c r="H166" s="26" t="inlineStr">
        <is>
          <t>☐</t>
        </is>
      </c>
      <c r="I166" s="26" t="inlineStr">
        <is>
          <t>☐</t>
        </is>
      </c>
      <c r="J166" s="26" t="inlineStr">
        <is>
          <t>☐</t>
        </is>
      </c>
      <c r="K166" s="26" t="inlineStr">
        <is>
          <t>☐</t>
        </is>
      </c>
      <c r="L166" s="26" t="inlineStr">
        <is>
          <t>☐</t>
        </is>
      </c>
      <c r="M166" s="25" t="n"/>
      <c r="N166" s="27" t="n">
        <v>0</v>
      </c>
      <c r="O166" s="28" t="n"/>
      <c r="P166" s="23" t="n"/>
      <c r="Q166" s="29" t="n"/>
      <c r="R166" s="29" t="n"/>
      <c r="S166" s="23" t="n"/>
      <c r="T166" s="30" t="n"/>
      <c r="U166" s="31" t="inlineStr">
        <is>
          <t>高</t>
        </is>
      </c>
      <c r="V166" s="32" t="inlineStr">
        <is>
          <t>公式の募集要項に「代表」と記載。土浦日本大学中等教育学校（029-835-3907）は別の学校</t>
        </is>
      </c>
      <c r="W166" s="33" t="inlineStr">
        <is>
          <t>開く</t>
        </is>
      </c>
    </row>
    <row r="167" ht="30" customHeight="1">
      <c r="A167" s="23" t="inlineStr">
        <is>
          <t>08茨城県</t>
        </is>
      </c>
      <c r="B167" s="23" t="inlineStr">
        <is>
          <t>私立</t>
        </is>
      </c>
      <c r="C167" s="23" t="n"/>
      <c r="D167" s="23" t="inlineStr">
        <is>
          <t>東洋大学附属牛久高等学校</t>
        </is>
      </c>
      <c r="E167" s="24" t="inlineStr">
        <is>
          <t>029-872-0350</t>
        </is>
      </c>
      <c r="F167" s="23" t="n"/>
      <c r="G167" s="25" t="inlineStr">
        <is>
          <t>普通科</t>
        </is>
      </c>
      <c r="H167" s="26" t="inlineStr">
        <is>
          <t>☐</t>
        </is>
      </c>
      <c r="I167" s="26" t="inlineStr">
        <is>
          <t>☐</t>
        </is>
      </c>
      <c r="J167" s="26" t="inlineStr">
        <is>
          <t>☐</t>
        </is>
      </c>
      <c r="K167" s="26" t="inlineStr">
        <is>
          <t>☐</t>
        </is>
      </c>
      <c r="L167" s="26" t="inlineStr">
        <is>
          <t>☐</t>
        </is>
      </c>
      <c r="M167" s="25" t="n"/>
      <c r="N167" s="27" t="n">
        <v>0</v>
      </c>
      <c r="O167" s="28" t="n"/>
      <c r="P167" s="23" t="n"/>
      <c r="Q167" s="29" t="n"/>
      <c r="R167" s="29" t="n"/>
      <c r="S167" s="23" t="n"/>
      <c r="T167" s="30" t="n"/>
      <c r="U167" s="31" t="inlineStr">
        <is>
          <t>高</t>
        </is>
      </c>
      <c r="V167" s="32" t="inlineStr">
        <is>
          <t>公式の募集要項に「代表」と記載</t>
        </is>
      </c>
      <c r="W167" s="33" t="inlineStr">
        <is>
          <t>開く</t>
        </is>
      </c>
    </row>
    <row r="168" ht="30" customHeight="1">
      <c r="A168" s="23" t="inlineStr">
        <is>
          <t>08茨城県</t>
        </is>
      </c>
      <c r="B168" s="23" t="inlineStr">
        <is>
          <t>私立</t>
        </is>
      </c>
      <c r="C168" s="23" t="n"/>
      <c r="D168" s="23" t="inlineStr">
        <is>
          <t>常磐大学高等学校</t>
        </is>
      </c>
      <c r="E168" s="24" t="inlineStr">
        <is>
          <t>029-224-1707</t>
        </is>
      </c>
      <c r="F168" s="23" t="n"/>
      <c r="G168" s="25" t="inlineStr">
        <is>
          <t>普通科</t>
        </is>
      </c>
      <c r="H168" s="26" t="inlineStr">
        <is>
          <t>☐</t>
        </is>
      </c>
      <c r="I168" s="26" t="inlineStr">
        <is>
          <t>☐</t>
        </is>
      </c>
      <c r="J168" s="26" t="inlineStr">
        <is>
          <t>☐</t>
        </is>
      </c>
      <c r="K168" s="26" t="inlineStr">
        <is>
          <t>☐</t>
        </is>
      </c>
      <c r="L168" s="26" t="inlineStr">
        <is>
          <t>☐</t>
        </is>
      </c>
      <c r="M168" s="25" t="n"/>
      <c r="N168" s="27" t="n">
        <v>0</v>
      </c>
      <c r="O168" s="28" t="n"/>
      <c r="P168" s="23" t="n"/>
      <c r="Q168" s="29" t="n"/>
      <c r="R168" s="29" t="n"/>
      <c r="S168" s="23" t="n"/>
      <c r="T168" s="30" t="n"/>
      <c r="U168" s="31" t="inlineStr">
        <is>
          <t>高</t>
        </is>
      </c>
      <c r="V168" s="32" t="inlineStr">
        <is>
          <t>茨城労働局の資料と学校情報サイトで一致</t>
        </is>
      </c>
      <c r="W168" s="33" t="inlineStr">
        <is>
          <t>開く</t>
        </is>
      </c>
    </row>
    <row r="169" ht="30" customHeight="1">
      <c r="A169" s="23" t="inlineStr">
        <is>
          <t>08茨城県</t>
        </is>
      </c>
      <c r="B169" s="23" t="inlineStr">
        <is>
          <t>私立</t>
        </is>
      </c>
      <c r="C169" s="23" t="n"/>
      <c r="D169" s="23" t="inlineStr">
        <is>
          <t>水戸葵陵高等学校</t>
        </is>
      </c>
      <c r="E169" s="24" t="inlineStr">
        <is>
          <t>029-243-7718</t>
        </is>
      </c>
      <c r="F169" s="23" t="n"/>
      <c r="G169" s="25" t="inlineStr">
        <is>
          <t>普通科</t>
        </is>
      </c>
      <c r="H169" s="26" t="inlineStr">
        <is>
          <t>☐</t>
        </is>
      </c>
      <c r="I169" s="26" t="inlineStr">
        <is>
          <t>☐</t>
        </is>
      </c>
      <c r="J169" s="26" t="inlineStr">
        <is>
          <t>☐</t>
        </is>
      </c>
      <c r="K169" s="26" t="inlineStr">
        <is>
          <t>☐</t>
        </is>
      </c>
      <c r="L169" s="26" t="inlineStr">
        <is>
          <t>☐</t>
        </is>
      </c>
      <c r="M169" s="25" t="n"/>
      <c r="N169" s="27" t="n">
        <v>0</v>
      </c>
      <c r="O169" s="28" t="n"/>
      <c r="P169" s="23" t="n"/>
      <c r="Q169" s="29" t="n"/>
      <c r="R169" s="29" t="n"/>
      <c r="S169" s="23" t="n"/>
      <c r="T169" s="30" t="n"/>
      <c r="U169" s="31" t="inlineStr">
        <is>
          <t>高</t>
        </is>
      </c>
      <c r="V169" s="32" t="inlineStr">
        <is>
          <t>茨城労働局の資料と学校情報サイトで一致。募集室直通は029-243-7750</t>
        </is>
      </c>
      <c r="W169" s="33" t="inlineStr">
        <is>
          <t>開く</t>
        </is>
      </c>
    </row>
    <row r="170" ht="30" customHeight="1">
      <c r="A170" s="23" t="inlineStr">
        <is>
          <t>08茨城県</t>
        </is>
      </c>
      <c r="B170" s="23" t="inlineStr">
        <is>
          <t>私立</t>
        </is>
      </c>
      <c r="C170" s="23" t="n"/>
      <c r="D170" s="23" t="inlineStr">
        <is>
          <t>水戸啓明高等学校</t>
        </is>
      </c>
      <c r="E170" s="24" t="inlineStr">
        <is>
          <t>029-241-1573</t>
        </is>
      </c>
      <c r="F170" s="23" t="n"/>
      <c r="G170" s="25" t="inlineStr">
        <is>
          <t>普通科・専門学科</t>
        </is>
      </c>
      <c r="H170" s="26" t="inlineStr">
        <is>
          <t>☐</t>
        </is>
      </c>
      <c r="I170" s="26" t="inlineStr">
        <is>
          <t>☐</t>
        </is>
      </c>
      <c r="J170" s="26" t="inlineStr">
        <is>
          <t>☐</t>
        </is>
      </c>
      <c r="K170" s="26" t="inlineStr">
        <is>
          <t>☐</t>
        </is>
      </c>
      <c r="L170" s="26" t="inlineStr">
        <is>
          <t>☐</t>
        </is>
      </c>
      <c r="M170" s="25" t="n"/>
      <c r="N170" s="27" t="n">
        <v>0</v>
      </c>
      <c r="O170" s="28" t="n"/>
      <c r="P170" s="23" t="n"/>
      <c r="Q170" s="29" t="n"/>
      <c r="R170" s="29" t="n"/>
      <c r="S170" s="23" t="n"/>
      <c r="T170" s="30" t="n"/>
      <c r="U170" s="31" t="inlineStr">
        <is>
          <t>高</t>
        </is>
      </c>
      <c r="V170" s="32" t="inlineStr">
        <is>
          <t>公式サイトと茨城県教育委員会のページで一致</t>
        </is>
      </c>
      <c r="W170" s="33" t="inlineStr">
        <is>
          <t>開く</t>
        </is>
      </c>
    </row>
    <row r="171" ht="30" customHeight="1">
      <c r="A171" s="23" t="inlineStr">
        <is>
          <t>08茨城県</t>
        </is>
      </c>
      <c r="B171" s="23" t="inlineStr">
        <is>
          <t>私立</t>
        </is>
      </c>
      <c r="C171" s="23" t="n"/>
      <c r="D171" s="23" t="inlineStr">
        <is>
          <t>水戸女子高等学校</t>
        </is>
      </c>
      <c r="E171" s="24" t="inlineStr">
        <is>
          <t>029-224-4124</t>
        </is>
      </c>
      <c r="F171" s="23" t="n"/>
      <c r="G171" s="25" t="inlineStr">
        <is>
          <t>普通科・専門学科</t>
        </is>
      </c>
      <c r="H171" s="26" t="inlineStr">
        <is>
          <t>☐</t>
        </is>
      </c>
      <c r="I171" s="26" t="inlineStr">
        <is>
          <t>☐</t>
        </is>
      </c>
      <c r="J171" s="26" t="inlineStr">
        <is>
          <t>☐</t>
        </is>
      </c>
      <c r="K171" s="26" t="inlineStr">
        <is>
          <t>☐</t>
        </is>
      </c>
      <c r="L171" s="26" t="inlineStr">
        <is>
          <t>☐</t>
        </is>
      </c>
      <c r="M171" s="25" t="n"/>
      <c r="N171" s="27" t="n">
        <v>0</v>
      </c>
      <c r="O171" s="28" t="n"/>
      <c r="P171" s="23" t="n"/>
      <c r="Q171" s="29" t="n"/>
      <c r="R171" s="29" t="n"/>
      <c r="S171" s="23" t="n"/>
      <c r="T171" s="30" t="n"/>
      <c r="U171" s="31" t="inlineStr">
        <is>
          <t>高</t>
        </is>
      </c>
      <c r="V171" s="32" t="inlineStr">
        <is>
          <t>複数の資料で一致</t>
        </is>
      </c>
      <c r="W171" s="33" t="inlineStr">
        <is>
          <t>開く</t>
        </is>
      </c>
    </row>
    <row r="172" ht="30" customHeight="1">
      <c r="A172" s="23" t="inlineStr">
        <is>
          <t>08茨城県</t>
        </is>
      </c>
      <c r="B172" s="23" t="inlineStr">
        <is>
          <t>私立</t>
        </is>
      </c>
      <c r="C172" s="23" t="n"/>
      <c r="D172" s="23" t="inlineStr">
        <is>
          <t>水戸平成学園高等学校</t>
        </is>
      </c>
      <c r="E172" s="24" t="inlineStr">
        <is>
          <t>029-300-5777</t>
        </is>
      </c>
      <c r="F172" s="23" t="n"/>
      <c r="G172" s="25" t="inlineStr">
        <is>
          <t>普通科</t>
        </is>
      </c>
      <c r="H172" s="26" t="inlineStr">
        <is>
          <t>☐</t>
        </is>
      </c>
      <c r="I172" s="26" t="inlineStr">
        <is>
          <t>☐</t>
        </is>
      </c>
      <c r="J172" s="26" t="inlineStr">
        <is>
          <t>☐</t>
        </is>
      </c>
      <c r="K172" s="26" t="inlineStr">
        <is>
          <t>☐</t>
        </is>
      </c>
      <c r="L172" s="26" t="inlineStr">
        <is>
          <t>☐</t>
        </is>
      </c>
      <c r="M172" s="25" t="n"/>
      <c r="N172" s="27" t="n">
        <v>0</v>
      </c>
      <c r="O172" s="28" t="n"/>
      <c r="P172" s="23" t="n"/>
      <c r="Q172" s="29" t="n"/>
      <c r="R172" s="29" t="n"/>
      <c r="S172" s="23" t="n"/>
      <c r="T172" s="30" t="n"/>
      <c r="U172" s="31" t="inlineStr">
        <is>
          <t>高</t>
        </is>
      </c>
      <c r="V172" s="32" t="inlineStr">
        <is>
          <t>通信制。公式サイトと茨城県教育委員会のページで一致</t>
        </is>
      </c>
      <c r="W172" s="33" t="inlineStr">
        <is>
          <t>開く</t>
        </is>
      </c>
    </row>
    <row r="173" ht="30" customHeight="1">
      <c r="A173" s="23" t="inlineStr">
        <is>
          <t>08茨城県</t>
        </is>
      </c>
      <c r="B173" s="23" t="inlineStr">
        <is>
          <t>私立</t>
        </is>
      </c>
      <c r="C173" s="23" t="n"/>
      <c r="D173" s="23" t="inlineStr">
        <is>
          <t>茗溪学園高等学校</t>
        </is>
      </c>
      <c r="E173" s="24" t="inlineStr">
        <is>
          <t>029-851-6611</t>
        </is>
      </c>
      <c r="F173" s="23" t="n"/>
      <c r="G173" s="25" t="inlineStr">
        <is>
          <t>普通科</t>
        </is>
      </c>
      <c r="H173" s="26" t="inlineStr">
        <is>
          <t>☐</t>
        </is>
      </c>
      <c r="I173" s="26" t="inlineStr">
        <is>
          <t>☐</t>
        </is>
      </c>
      <c r="J173" s="26" t="inlineStr">
        <is>
          <t>☐</t>
        </is>
      </c>
      <c r="K173" s="26" t="inlineStr">
        <is>
          <t>☐</t>
        </is>
      </c>
      <c r="L173" s="26" t="inlineStr">
        <is>
          <t>☐</t>
        </is>
      </c>
      <c r="M173" s="25" t="n"/>
      <c r="N173" s="27" t="n">
        <v>0</v>
      </c>
      <c r="O173" s="28" t="n"/>
      <c r="P173" s="23" t="n"/>
      <c r="Q173" s="29" t="n"/>
      <c r="R173" s="29" t="n"/>
      <c r="S173" s="23" t="n"/>
      <c r="T173" s="30" t="n"/>
      <c r="U173" s="31" t="inlineStr">
        <is>
          <t>高</t>
        </is>
      </c>
      <c r="V173" s="32" t="inlineStr">
        <is>
          <t>中高共通の代表番号</t>
        </is>
      </c>
      <c r="W173" s="33" t="inlineStr">
        <is>
          <t>開く</t>
        </is>
      </c>
    </row>
    <row r="174" ht="30" customHeight="1">
      <c r="A174" s="23" t="inlineStr">
        <is>
          <t>08茨城県</t>
        </is>
      </c>
      <c r="B174" s="23" t="inlineStr">
        <is>
          <t>私立</t>
        </is>
      </c>
      <c r="C174" s="23" t="n"/>
      <c r="D174" s="23" t="inlineStr">
        <is>
          <t>明秀学園日立高等学校</t>
        </is>
      </c>
      <c r="E174" s="24" t="inlineStr">
        <is>
          <t>0294-21-6328</t>
        </is>
      </c>
      <c r="F174" s="23" t="n"/>
      <c r="G174" s="25" t="inlineStr">
        <is>
          <t>普通科</t>
        </is>
      </c>
      <c r="H174" s="26" t="inlineStr">
        <is>
          <t>☐</t>
        </is>
      </c>
      <c r="I174" s="26" t="inlineStr">
        <is>
          <t>☐</t>
        </is>
      </c>
      <c r="J174" s="26" t="inlineStr">
        <is>
          <t>☐</t>
        </is>
      </c>
      <c r="K174" s="26" t="inlineStr">
        <is>
          <t>☐</t>
        </is>
      </c>
      <c r="L174" s="26" t="inlineStr">
        <is>
          <t>☐</t>
        </is>
      </c>
      <c r="M174" s="25" t="n"/>
      <c r="N174" s="27" t="n">
        <v>0</v>
      </c>
      <c r="O174" s="28" t="n"/>
      <c r="P174" s="23" t="n"/>
      <c r="Q174" s="29" t="n"/>
      <c r="R174" s="29" t="n"/>
      <c r="S174" s="23" t="n"/>
      <c r="T174" s="30" t="n"/>
      <c r="U174" s="34" t="inlineStr">
        <is>
          <t>中</t>
        </is>
      </c>
      <c r="V174" s="32" t="inlineStr">
        <is>
          <t>学校情報サイトのみで確認、公式サイトでは未確認</t>
        </is>
      </c>
      <c r="W174" s="33" t="inlineStr">
        <is>
          <t>開く</t>
        </is>
      </c>
    </row>
    <row r="175" ht="30" customHeight="1">
      <c r="A175" s="23" t="inlineStr">
        <is>
          <t>08茨城県</t>
        </is>
      </c>
      <c r="B175" s="23" t="inlineStr">
        <is>
          <t>私立</t>
        </is>
      </c>
      <c r="C175" s="23" t="n"/>
      <c r="D175" s="23" t="inlineStr">
        <is>
          <t>ルネサンス高等学校</t>
        </is>
      </c>
      <c r="E175" s="24" t="inlineStr">
        <is>
          <t>0295-76-8031</t>
        </is>
      </c>
      <c r="F175" s="23" t="n"/>
      <c r="G175" s="25" t="inlineStr">
        <is>
          <t>普通科</t>
        </is>
      </c>
      <c r="H175" s="26" t="inlineStr">
        <is>
          <t>☐</t>
        </is>
      </c>
      <c r="I175" s="26" t="inlineStr">
        <is>
          <t>☐</t>
        </is>
      </c>
      <c r="J175" s="26" t="inlineStr">
        <is>
          <t>☐</t>
        </is>
      </c>
      <c r="K175" s="26" t="inlineStr">
        <is>
          <t>☐</t>
        </is>
      </c>
      <c r="L175" s="26" t="inlineStr">
        <is>
          <t>☐</t>
        </is>
      </c>
      <c r="M175" s="25" t="n"/>
      <c r="N175" s="27" t="n">
        <v>0</v>
      </c>
      <c r="O175" s="28" t="n"/>
      <c r="P175" s="23" t="n"/>
      <c r="Q175" s="29" t="n"/>
      <c r="R175" s="29" t="n"/>
      <c r="S175" s="23" t="n"/>
      <c r="T175" s="30" t="n"/>
      <c r="U175" s="31" t="inlineStr">
        <is>
          <t>高</t>
        </is>
      </c>
      <c r="V175" s="32" t="inlineStr">
        <is>
          <t>大子町の本校（広域通信制）。本校は移転済みで、電話帳サイトに残る旧番号（0295-79-1151）は使わない</t>
        </is>
      </c>
      <c r="W175" s="33" t="inlineStr">
        <is>
          <t>開く</t>
        </is>
      </c>
    </row>
    <row r="176" ht="30" customHeight="1">
      <c r="A176" s="23" t="inlineStr">
        <is>
          <t>09栃木県</t>
        </is>
      </c>
      <c r="B176" s="23" t="inlineStr">
        <is>
          <t>私立</t>
        </is>
      </c>
      <c r="C176" s="23" t="n"/>
      <c r="D176" s="23" t="inlineStr">
        <is>
          <t>足利短期大学附属高等学校</t>
        </is>
      </c>
      <c r="E176" s="24" t="inlineStr">
        <is>
          <t>0284-21-7344</t>
        </is>
      </c>
      <c r="F176" s="23" t="n"/>
      <c r="G176" s="25" t="inlineStr">
        <is>
          <t>普通科</t>
        </is>
      </c>
      <c r="H176" s="26" t="inlineStr">
        <is>
          <t>☐</t>
        </is>
      </c>
      <c r="I176" s="26" t="inlineStr">
        <is>
          <t>☐</t>
        </is>
      </c>
      <c r="J176" s="26" t="inlineStr">
        <is>
          <t>☐</t>
        </is>
      </c>
      <c r="K176" s="26" t="inlineStr">
        <is>
          <t>☐</t>
        </is>
      </c>
      <c r="L176" s="26" t="inlineStr">
        <is>
          <t>☐</t>
        </is>
      </c>
      <c r="M176" s="25" t="n"/>
      <c r="N176" s="27" t="n">
        <v>0</v>
      </c>
      <c r="O176" s="28" t="n"/>
      <c r="P176" s="23" t="n"/>
      <c r="Q176" s="29" t="n"/>
      <c r="R176" s="29" t="n"/>
      <c r="S176" s="23" t="n"/>
      <c r="T176" s="30" t="n"/>
      <c r="U176" s="31" t="inlineStr">
        <is>
          <t>高</t>
        </is>
      </c>
      <c r="V176" s="32" t="inlineStr">
        <is>
          <t>【校名変更】2025年4月から「足利大学附属女子高等学校」。番号は変更なし。足利大学附属高校（0284-71-1285）とは別の学校</t>
        </is>
      </c>
      <c r="W176" s="33" t="inlineStr">
        <is>
          <t>開く</t>
        </is>
      </c>
    </row>
    <row r="177" ht="30" customHeight="1">
      <c r="A177" s="23" t="inlineStr">
        <is>
          <t>09栃木県</t>
        </is>
      </c>
      <c r="B177" s="23" t="inlineStr">
        <is>
          <t>私立</t>
        </is>
      </c>
      <c r="C177" s="23" t="n"/>
      <c r="D177" s="23" t="inlineStr">
        <is>
          <t>足利大学附属高等学校</t>
        </is>
      </c>
      <c r="E177" s="24" t="inlineStr">
        <is>
          <t>0284-71-1285</t>
        </is>
      </c>
      <c r="F177" s="23" t="n"/>
      <c r="G177" s="25" t="inlineStr">
        <is>
          <t>普通科・専門学科</t>
        </is>
      </c>
      <c r="H177" s="26" t="inlineStr">
        <is>
          <t>☐</t>
        </is>
      </c>
      <c r="I177" s="26" t="inlineStr">
        <is>
          <t>☐</t>
        </is>
      </c>
      <c r="J177" s="26" t="inlineStr">
        <is>
          <t>☐</t>
        </is>
      </c>
      <c r="K177" s="26" t="inlineStr">
        <is>
          <t>☐</t>
        </is>
      </c>
      <c r="L177" s="26" t="inlineStr">
        <is>
          <t>☐</t>
        </is>
      </c>
      <c r="M177" s="25" t="n"/>
      <c r="N177" s="27" t="n">
        <v>0</v>
      </c>
      <c r="O177" s="28" t="n"/>
      <c r="P177" s="23" t="n"/>
      <c r="Q177" s="29" t="n"/>
      <c r="R177" s="29" t="n"/>
      <c r="S177" s="23" t="n"/>
      <c r="T177" s="30" t="n"/>
      <c r="U177" s="31" t="inlineStr">
        <is>
          <t>高</t>
        </is>
      </c>
      <c r="V177" s="32" t="inlineStr">
        <is>
          <t>学校情報サイト複数で一致、公式サイトの「代表」表記は未確認</t>
        </is>
      </c>
      <c r="W177" s="33" t="inlineStr">
        <is>
          <t>開く</t>
        </is>
      </c>
    </row>
    <row r="178" ht="30" customHeight="1">
      <c r="A178" s="23" t="inlineStr">
        <is>
          <t>09栃木県</t>
        </is>
      </c>
      <c r="B178" s="23" t="inlineStr">
        <is>
          <t>私立</t>
        </is>
      </c>
      <c r="C178" s="23" t="n"/>
      <c r="D178" s="23" t="inlineStr">
        <is>
          <t>宇都宮短期大学附属高等学校</t>
        </is>
      </c>
      <c r="E178" s="24" t="inlineStr">
        <is>
          <t>028-634-4161</t>
        </is>
      </c>
      <c r="F178" s="23" t="n"/>
      <c r="G178" s="25" t="inlineStr">
        <is>
          <t>普通科・専門学科</t>
        </is>
      </c>
      <c r="H178" s="26" t="inlineStr">
        <is>
          <t>☐</t>
        </is>
      </c>
      <c r="I178" s="26" t="inlineStr">
        <is>
          <t>☐</t>
        </is>
      </c>
      <c r="J178" s="26" t="inlineStr">
        <is>
          <t>☐</t>
        </is>
      </c>
      <c r="K178" s="26" t="inlineStr">
        <is>
          <t>☐</t>
        </is>
      </c>
      <c r="L178" s="26" t="inlineStr">
        <is>
          <t>☐</t>
        </is>
      </c>
      <c r="M178" s="25" t="n"/>
      <c r="N178" s="27" t="n">
        <v>0</v>
      </c>
      <c r="O178" s="28" t="n"/>
      <c r="P178" s="23" t="n"/>
      <c r="Q178" s="29" t="n"/>
      <c r="R178" s="29" t="n"/>
      <c r="S178" s="23" t="n"/>
      <c r="T178" s="30" t="n"/>
      <c r="U178" s="31" t="inlineStr">
        <is>
          <t>高</t>
        </is>
      </c>
      <c r="V178" s="32" t="inlineStr">
        <is>
          <t>複数の情報源で一致。附属中学校と共通</t>
        </is>
      </c>
      <c r="W178" s="33" t="inlineStr">
        <is>
          <t>開く</t>
        </is>
      </c>
    </row>
    <row r="179" ht="30" customHeight="1">
      <c r="A179" s="23" t="inlineStr">
        <is>
          <t>09栃木県</t>
        </is>
      </c>
      <c r="B179" s="23" t="inlineStr">
        <is>
          <t>私立</t>
        </is>
      </c>
      <c r="C179" s="23" t="n"/>
      <c r="D179" s="23" t="inlineStr">
        <is>
          <t>宇都宮文星女子高等学校</t>
        </is>
      </c>
      <c r="E179" s="24" t="inlineStr">
        <is>
          <t>028-621-8156</t>
        </is>
      </c>
      <c r="F179" s="23" t="n"/>
      <c r="G179" s="25" t="inlineStr">
        <is>
          <t>普通科・専門学科</t>
        </is>
      </c>
      <c r="H179" s="26" t="inlineStr">
        <is>
          <t>☐</t>
        </is>
      </c>
      <c r="I179" s="26" t="inlineStr">
        <is>
          <t>☐</t>
        </is>
      </c>
      <c r="J179" s="26" t="inlineStr">
        <is>
          <t>☐</t>
        </is>
      </c>
      <c r="K179" s="26" t="inlineStr">
        <is>
          <t>☐</t>
        </is>
      </c>
      <c r="L179" s="26" t="inlineStr">
        <is>
          <t>☐</t>
        </is>
      </c>
      <c r="M179" s="25" t="n"/>
      <c r="N179" s="27" t="n">
        <v>0</v>
      </c>
      <c r="O179" s="28" t="n"/>
      <c r="P179" s="23" t="n"/>
      <c r="Q179" s="29" t="n"/>
      <c r="R179" s="29" t="n"/>
      <c r="S179" s="23" t="n"/>
      <c r="T179" s="30" t="n"/>
      <c r="U179" s="31" t="inlineStr">
        <is>
          <t>高</t>
        </is>
      </c>
      <c r="V179" s="32" t="inlineStr">
        <is>
          <t>Yahoo!マップと学校情報サイトで一致</t>
        </is>
      </c>
      <c r="W179" s="33" t="inlineStr">
        <is>
          <t>開く</t>
        </is>
      </c>
    </row>
    <row r="180" ht="30" customHeight="1">
      <c r="A180" s="23" t="inlineStr">
        <is>
          <t>09栃木県</t>
        </is>
      </c>
      <c r="B180" s="23" t="inlineStr">
        <is>
          <t>私立</t>
        </is>
      </c>
      <c r="C180" s="23" t="n"/>
      <c r="D180" s="23" t="inlineStr">
        <is>
          <t>國學院大學栃木高等学校</t>
        </is>
      </c>
      <c r="E180" s="24" t="inlineStr">
        <is>
          <t>0282-22-5511</t>
        </is>
      </c>
      <c r="F180" s="23" t="n"/>
      <c r="G180" s="25" t="inlineStr">
        <is>
          <t>普通科</t>
        </is>
      </c>
      <c r="H180" s="26" t="inlineStr">
        <is>
          <t>☐</t>
        </is>
      </c>
      <c r="I180" s="26" t="inlineStr">
        <is>
          <t>☐</t>
        </is>
      </c>
      <c r="J180" s="26" t="inlineStr">
        <is>
          <t>☐</t>
        </is>
      </c>
      <c r="K180" s="26" t="inlineStr">
        <is>
          <t>☐</t>
        </is>
      </c>
      <c r="L180" s="26" t="inlineStr">
        <is>
          <t>☐</t>
        </is>
      </c>
      <c r="M180" s="25" t="n"/>
      <c r="N180" s="27" t="n">
        <v>0</v>
      </c>
      <c r="O180" s="28" t="n"/>
      <c r="P180" s="23" t="n"/>
      <c r="Q180" s="29" t="n"/>
      <c r="R180" s="29" t="n"/>
      <c r="S180" s="23" t="n"/>
      <c r="T180" s="30" t="n"/>
      <c r="U180" s="31" t="inlineStr">
        <is>
          <t>高</t>
        </is>
      </c>
      <c r="V180" s="32" t="inlineStr">
        <is>
          <t>公式パンフレットに「代表」と記載。入試広報室直通は0282-25-5020</t>
        </is>
      </c>
      <c r="W180" s="33" t="inlineStr">
        <is>
          <t>開く</t>
        </is>
      </c>
    </row>
    <row r="181" ht="30" customHeight="1">
      <c r="A181" s="23" t="inlineStr">
        <is>
          <t>09栃木県</t>
        </is>
      </c>
      <c r="B181" s="23" t="inlineStr">
        <is>
          <t>私立</t>
        </is>
      </c>
      <c r="C181" s="23" t="n"/>
      <c r="D181" s="23" t="inlineStr">
        <is>
          <t>幸福の科学学園高等学校</t>
        </is>
      </c>
      <c r="E181" s="24" t="inlineStr">
        <is>
          <t>0287-75-7777</t>
        </is>
      </c>
      <c r="F181" s="23" t="n"/>
      <c r="G181" s="25" t="inlineStr">
        <is>
          <t>普通科</t>
        </is>
      </c>
      <c r="H181" s="26" t="inlineStr">
        <is>
          <t>☐</t>
        </is>
      </c>
      <c r="I181" s="26" t="inlineStr">
        <is>
          <t>☐</t>
        </is>
      </c>
      <c r="J181" s="26" t="inlineStr">
        <is>
          <t>☐</t>
        </is>
      </c>
      <c r="K181" s="26" t="inlineStr">
        <is>
          <t>☐</t>
        </is>
      </c>
      <c r="L181" s="26" t="inlineStr">
        <is>
          <t>☐</t>
        </is>
      </c>
      <c r="M181" s="25" t="n"/>
      <c r="N181" s="27" t="n">
        <v>0</v>
      </c>
      <c r="O181" s="28" t="n"/>
      <c r="P181" s="23" t="n"/>
      <c r="Q181" s="29" t="n"/>
      <c r="R181" s="29" t="n"/>
      <c r="S181" s="23" t="n"/>
      <c r="T181" s="30" t="n"/>
      <c r="U181" s="31" t="inlineStr">
        <is>
          <t>高</t>
        </is>
      </c>
      <c r="V181" s="32" t="inlineStr">
        <is>
          <t>那須本校。学校情報サイト複数で一致、公式サイトでは未確認</t>
        </is>
      </c>
      <c r="W181" s="33" t="inlineStr">
        <is>
          <t>開く</t>
        </is>
      </c>
    </row>
    <row r="182" ht="30" customHeight="1">
      <c r="A182" s="23" t="inlineStr">
        <is>
          <t>09栃木県</t>
        </is>
      </c>
      <c r="B182" s="23" t="inlineStr">
        <is>
          <t>私立</t>
        </is>
      </c>
      <c r="C182" s="23" t="n"/>
      <c r="D182" s="23" t="inlineStr">
        <is>
          <t>作新学院高等学校</t>
        </is>
      </c>
      <c r="E182" s="24" t="inlineStr">
        <is>
          <t>028-648-1811</t>
        </is>
      </c>
      <c r="F182" s="23" t="n"/>
      <c r="G182" s="25" t="inlineStr">
        <is>
          <t>普通科</t>
        </is>
      </c>
      <c r="H182" s="26" t="inlineStr">
        <is>
          <t>☐</t>
        </is>
      </c>
      <c r="I182" s="26" t="inlineStr">
        <is>
          <t>☐</t>
        </is>
      </c>
      <c r="J182" s="26" t="inlineStr">
        <is>
          <t>☐</t>
        </is>
      </c>
      <c r="K182" s="26" t="inlineStr">
        <is>
          <t>☐</t>
        </is>
      </c>
      <c r="L182" s="26" t="inlineStr">
        <is>
          <t>☐</t>
        </is>
      </c>
      <c r="M182" s="25" t="n"/>
      <c r="N182" s="27" t="n">
        <v>0</v>
      </c>
      <c r="O182" s="28" t="n"/>
      <c r="P182" s="23" t="n"/>
      <c r="Q182" s="29" t="n"/>
      <c r="R182" s="29" t="n"/>
      <c r="S182" s="23" t="n"/>
      <c r="T182" s="30" t="n"/>
      <c r="U182" s="31" t="inlineStr">
        <is>
          <t>高</t>
        </is>
      </c>
      <c r="V182" s="32" t="inlineStr">
        <is>
          <t>学院共通の代表番号（公式資料で確認）。高校に取り次ぎを依頼</t>
        </is>
      </c>
      <c r="W182" s="33" t="inlineStr">
        <is>
          <t>開く</t>
        </is>
      </c>
    </row>
    <row r="183" ht="30" customHeight="1">
      <c r="A183" s="23" t="inlineStr">
        <is>
          <t>09栃木県</t>
        </is>
      </c>
      <c r="B183" s="23" t="inlineStr">
        <is>
          <t>私立</t>
        </is>
      </c>
      <c r="C183" s="23" t="n"/>
      <c r="D183" s="23" t="inlineStr">
        <is>
          <t>佐野清澄高等学校</t>
        </is>
      </c>
      <c r="E183" s="24" t="inlineStr">
        <is>
          <t>0283-23-0841</t>
        </is>
      </c>
      <c r="F183" s="23" t="n"/>
      <c r="G183" s="25" t="inlineStr">
        <is>
          <t>普通科・専門学科</t>
        </is>
      </c>
      <c r="H183" s="26" t="inlineStr">
        <is>
          <t>☐</t>
        </is>
      </c>
      <c r="I183" s="26" t="inlineStr">
        <is>
          <t>☐</t>
        </is>
      </c>
      <c r="J183" s="26" t="inlineStr">
        <is>
          <t>☐</t>
        </is>
      </c>
      <c r="K183" s="26" t="inlineStr">
        <is>
          <t>☐</t>
        </is>
      </c>
      <c r="L183" s="26" t="inlineStr">
        <is>
          <t>☐</t>
        </is>
      </c>
      <c r="M183" s="25" t="n"/>
      <c r="N183" s="27" t="n">
        <v>0</v>
      </c>
      <c r="O183" s="28" t="n"/>
      <c r="P183" s="23" t="n"/>
      <c r="Q183" s="29" t="n"/>
      <c r="R183" s="29" t="n"/>
      <c r="S183" s="23" t="n"/>
      <c r="T183" s="30" t="n"/>
      <c r="U183" s="31" t="inlineStr">
        <is>
          <t>高</t>
        </is>
      </c>
      <c r="V183" s="32" t="inlineStr">
        <is>
          <t>「代表」として掲載。県立佐野高校（0283-23-0161）とは別の学校</t>
        </is>
      </c>
      <c r="W183" s="33" t="inlineStr">
        <is>
          <t>開く</t>
        </is>
      </c>
    </row>
    <row r="184" ht="30" customHeight="1">
      <c r="A184" s="23" t="inlineStr">
        <is>
          <t>09栃木県</t>
        </is>
      </c>
      <c r="B184" s="23" t="inlineStr">
        <is>
          <t>私立</t>
        </is>
      </c>
      <c r="C184" s="23" t="n"/>
      <c r="D184" s="23" t="inlineStr">
        <is>
          <t>佐野日本大学高等学校</t>
        </is>
      </c>
      <c r="E184" s="24" t="inlineStr">
        <is>
          <t>0283-25-0111</t>
        </is>
      </c>
      <c r="F184" s="23" t="n"/>
      <c r="G184" s="25" t="inlineStr">
        <is>
          <t>普通科</t>
        </is>
      </c>
      <c r="H184" s="26" t="inlineStr">
        <is>
          <t>☐</t>
        </is>
      </c>
      <c r="I184" s="26" t="inlineStr">
        <is>
          <t>☐</t>
        </is>
      </c>
      <c r="J184" s="26" t="inlineStr">
        <is>
          <t>☐</t>
        </is>
      </c>
      <c r="K184" s="26" t="inlineStr">
        <is>
          <t>☐</t>
        </is>
      </c>
      <c r="L184" s="26" t="inlineStr">
        <is>
          <t>☐</t>
        </is>
      </c>
      <c r="M184" s="25" t="n"/>
      <c r="N184" s="27" t="n">
        <v>0</v>
      </c>
      <c r="O184" s="28" t="n"/>
      <c r="P184" s="23" t="n"/>
      <c r="Q184" s="29" t="n"/>
      <c r="R184" s="29" t="n"/>
      <c r="S184" s="23" t="n"/>
      <c r="T184" s="30" t="n"/>
      <c r="U184" s="31" t="inlineStr">
        <is>
          <t>高</t>
        </is>
      </c>
      <c r="V184" s="32" t="inlineStr">
        <is>
          <t>公式サイトで確認。0283-25-0373は学園の法人事務局の番号</t>
        </is>
      </c>
      <c r="W184" s="33" t="inlineStr">
        <is>
          <t>開く</t>
        </is>
      </c>
    </row>
    <row r="185" ht="30" customHeight="1">
      <c r="A185" s="23" t="inlineStr">
        <is>
          <t>09栃木県</t>
        </is>
      </c>
      <c r="B185" s="23" t="inlineStr">
        <is>
          <t>私立</t>
        </is>
      </c>
      <c r="C185" s="23" t="n"/>
      <c r="D185" s="23" t="inlineStr">
        <is>
          <t>青藍泰斗高等学校</t>
        </is>
      </c>
      <c r="E185" s="24" t="inlineStr">
        <is>
          <t>0283-86-2511</t>
        </is>
      </c>
      <c r="F185" s="23" t="n"/>
      <c r="G185" s="25" t="inlineStr">
        <is>
          <t>普通科・専門学科</t>
        </is>
      </c>
      <c r="H185" s="26" t="inlineStr">
        <is>
          <t>☐</t>
        </is>
      </c>
      <c r="I185" s="26" t="inlineStr">
        <is>
          <t>☐</t>
        </is>
      </c>
      <c r="J185" s="26" t="inlineStr">
        <is>
          <t>☐</t>
        </is>
      </c>
      <c r="K185" s="26" t="inlineStr">
        <is>
          <t>☐</t>
        </is>
      </c>
      <c r="L185" s="26" t="inlineStr">
        <is>
          <t>☐</t>
        </is>
      </c>
      <c r="M185" s="25" t="n"/>
      <c r="N185" s="27" t="n">
        <v>0</v>
      </c>
      <c r="O185" s="28" t="n"/>
      <c r="P185" s="23" t="n"/>
      <c r="Q185" s="29" t="n"/>
      <c r="R185" s="29" t="n"/>
      <c r="S185" s="23" t="n"/>
      <c r="T185" s="30" t="n"/>
      <c r="U185" s="31" t="inlineStr">
        <is>
          <t>高</t>
        </is>
      </c>
      <c r="V185" s="32" t="inlineStr">
        <is>
          <t>公式サイトとiタウンページで一致</t>
        </is>
      </c>
      <c r="W185" s="33" t="inlineStr">
        <is>
          <t>開く</t>
        </is>
      </c>
    </row>
    <row r="186" ht="30" customHeight="1">
      <c r="A186" s="23" t="inlineStr">
        <is>
          <t>09栃木県</t>
        </is>
      </c>
      <c r="B186" s="23" t="inlineStr">
        <is>
          <t>私立</t>
        </is>
      </c>
      <c r="C186" s="23" t="n"/>
      <c r="D186" s="23" t="inlineStr">
        <is>
          <t>白鷗大学足利高等学校</t>
        </is>
      </c>
      <c r="E186" s="24" t="inlineStr">
        <is>
          <t>0284-41-0890</t>
        </is>
      </c>
      <c r="F186" s="23" t="n"/>
      <c r="G186" s="25" t="inlineStr">
        <is>
          <t>普通科</t>
        </is>
      </c>
      <c r="H186" s="26" t="inlineStr">
        <is>
          <t>☐</t>
        </is>
      </c>
      <c r="I186" s="26" t="inlineStr">
        <is>
          <t>☐</t>
        </is>
      </c>
      <c r="J186" s="26" t="inlineStr">
        <is>
          <t>☐</t>
        </is>
      </c>
      <c r="K186" s="26" t="inlineStr">
        <is>
          <t>☐</t>
        </is>
      </c>
      <c r="L186" s="26" t="inlineStr">
        <is>
          <t>☐</t>
        </is>
      </c>
      <c r="M186" s="25" t="n"/>
      <c r="N186" s="27" t="n">
        <v>0</v>
      </c>
      <c r="O186" s="28" t="n"/>
      <c r="P186" s="23" t="n"/>
      <c r="Q186" s="29" t="n"/>
      <c r="R186" s="29" t="n"/>
      <c r="S186" s="23" t="n"/>
      <c r="T186" s="30" t="n"/>
      <c r="U186" s="31" t="inlineStr">
        <is>
          <t>高</t>
        </is>
      </c>
      <c r="V186" s="32" t="inlineStr">
        <is>
          <t>本校舎の番号（公式サイト）。新校舎は0284-41-0801。富田キャンパスは2024年4月に本校舎へ統合済み</t>
        </is>
      </c>
      <c r="W186" s="33" t="inlineStr">
        <is>
          <t>開く</t>
        </is>
      </c>
    </row>
    <row r="187" ht="30" customHeight="1">
      <c r="A187" s="23" t="inlineStr">
        <is>
          <t>09栃木県</t>
        </is>
      </c>
      <c r="B187" s="23" t="inlineStr">
        <is>
          <t>私立</t>
        </is>
      </c>
      <c r="C187" s="23" t="n"/>
      <c r="D187" s="23" t="inlineStr">
        <is>
          <t>日々輝学園高等学校</t>
        </is>
      </c>
      <c r="E187" s="24" t="inlineStr">
        <is>
          <t>0287-41-3851</t>
        </is>
      </c>
      <c r="F187" s="23" t="n"/>
      <c r="G187" s="25" t="inlineStr">
        <is>
          <t>普通科</t>
        </is>
      </c>
      <c r="H187" s="26" t="inlineStr">
        <is>
          <t>☐</t>
        </is>
      </c>
      <c r="I187" s="26" t="inlineStr">
        <is>
          <t>☐</t>
        </is>
      </c>
      <c r="J187" s="26" t="inlineStr">
        <is>
          <t>☐</t>
        </is>
      </c>
      <c r="K187" s="26" t="inlineStr">
        <is>
          <t>☐</t>
        </is>
      </c>
      <c r="L187" s="26" t="inlineStr">
        <is>
          <t>☐</t>
        </is>
      </c>
      <c r="M187" s="25" t="n"/>
      <c r="N187" s="27" t="n">
        <v>0</v>
      </c>
      <c r="O187" s="28" t="n"/>
      <c r="P187" s="23" t="n"/>
      <c r="Q187" s="29" t="n"/>
      <c r="R187" s="29" t="n"/>
      <c r="S187" s="23" t="n"/>
      <c r="T187" s="30" t="n"/>
      <c r="U187" s="31" t="inlineStr">
        <is>
          <t>高</t>
        </is>
      </c>
      <c r="V187" s="32" t="inlineStr">
        <is>
          <t>塩谷町の本校（通信制・公式サイト）。各校舎は別番号</t>
        </is>
      </c>
      <c r="W187" s="33" t="inlineStr">
        <is>
          <t>開く</t>
        </is>
      </c>
    </row>
    <row r="188" ht="30" customHeight="1">
      <c r="A188" s="23" t="inlineStr">
        <is>
          <t>09栃木県</t>
        </is>
      </c>
      <c r="B188" s="23" t="inlineStr">
        <is>
          <t>私立</t>
        </is>
      </c>
      <c r="C188" s="23" t="n"/>
      <c r="D188" s="23" t="inlineStr">
        <is>
          <t>文星芸術大学附属高等学校</t>
        </is>
      </c>
      <c r="E188" s="24" t="inlineStr">
        <is>
          <t>028-636-8585</t>
        </is>
      </c>
      <c r="F188" s="23" t="n"/>
      <c r="G188" s="25" t="inlineStr">
        <is>
          <t>普通科・専門学科</t>
        </is>
      </c>
      <c r="H188" s="26" t="inlineStr">
        <is>
          <t>☐</t>
        </is>
      </c>
      <c r="I188" s="26" t="inlineStr">
        <is>
          <t>☐</t>
        </is>
      </c>
      <c r="J188" s="26" t="inlineStr">
        <is>
          <t>☐</t>
        </is>
      </c>
      <c r="K188" s="26" t="inlineStr">
        <is>
          <t>☐</t>
        </is>
      </c>
      <c r="L188" s="26" t="inlineStr">
        <is>
          <t>☐</t>
        </is>
      </c>
      <c r="M188" s="25" t="n"/>
      <c r="N188" s="27" t="n">
        <v>0</v>
      </c>
      <c r="O188" s="28" t="n"/>
      <c r="P188" s="23" t="n"/>
      <c r="Q188" s="29" t="n"/>
      <c r="R188" s="29" t="n"/>
      <c r="S188" s="23" t="n"/>
      <c r="T188" s="30" t="n"/>
      <c r="U188" s="31" t="inlineStr">
        <is>
          <t>高</t>
        </is>
      </c>
      <c r="V188" s="32" t="inlineStr">
        <is>
          <t>公式サイトで確認。附属中学校は028-636-8000</t>
        </is>
      </c>
      <c r="W188" s="33" t="inlineStr">
        <is>
          <t>開く</t>
        </is>
      </c>
    </row>
    <row r="189" ht="30" customHeight="1">
      <c r="A189" s="23" t="inlineStr">
        <is>
          <t>09栃木県</t>
        </is>
      </c>
      <c r="B189" s="23" t="inlineStr">
        <is>
          <t>私立</t>
        </is>
      </c>
      <c r="C189" s="23" t="n"/>
      <c r="D189" s="23" t="inlineStr">
        <is>
          <t>星の杜高等学校</t>
        </is>
      </c>
      <c r="E189" s="24" t="inlineStr">
        <is>
          <t>028-667-0700</t>
        </is>
      </c>
      <c r="F189" s="23" t="n"/>
      <c r="G189" s="25" t="inlineStr">
        <is>
          <t>普通科</t>
        </is>
      </c>
      <c r="H189" s="26" t="inlineStr">
        <is>
          <t>☐</t>
        </is>
      </c>
      <c r="I189" s="26" t="inlineStr">
        <is>
          <t>☐</t>
        </is>
      </c>
      <c r="J189" s="26" t="inlineStr">
        <is>
          <t>☐</t>
        </is>
      </c>
      <c r="K189" s="26" t="inlineStr">
        <is>
          <t>☐</t>
        </is>
      </c>
      <c r="L189" s="26" t="inlineStr">
        <is>
          <t>☐</t>
        </is>
      </c>
      <c r="M189" s="25" t="n"/>
      <c r="N189" s="27" t="n">
        <v>0</v>
      </c>
      <c r="O189" s="28" t="n"/>
      <c r="P189" s="23" t="n"/>
      <c r="Q189" s="29" t="n"/>
      <c r="R189" s="29" t="n"/>
      <c r="S189" s="23" t="n"/>
      <c r="T189" s="30" t="n"/>
      <c r="U189" s="34" t="inlineStr">
        <is>
          <t>中</t>
        </is>
      </c>
      <c r="V189" s="32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W189" s="33" t="inlineStr">
        <is>
          <t>開く</t>
        </is>
      </c>
    </row>
    <row r="190" ht="30" customHeight="1">
      <c r="A190" s="23" t="inlineStr">
        <is>
          <t>09栃木県</t>
        </is>
      </c>
      <c r="B190" s="23" t="inlineStr">
        <is>
          <t>私立</t>
        </is>
      </c>
      <c r="C190" s="23" t="n"/>
      <c r="D190" s="23" t="inlineStr">
        <is>
          <t>矢板中央高等学校</t>
        </is>
      </c>
      <c r="E190" s="24" t="inlineStr">
        <is>
          <t>0287-43-0447</t>
        </is>
      </c>
      <c r="F190" s="23" t="n"/>
      <c r="G190" s="25" t="inlineStr">
        <is>
          <t>普通科・専門学科</t>
        </is>
      </c>
      <c r="H190" s="26" t="inlineStr">
        <is>
          <t>☐</t>
        </is>
      </c>
      <c r="I190" s="26" t="inlineStr">
        <is>
          <t>☐</t>
        </is>
      </c>
      <c r="J190" s="26" t="inlineStr">
        <is>
          <t>☐</t>
        </is>
      </c>
      <c r="K190" s="26" t="inlineStr">
        <is>
          <t>☐</t>
        </is>
      </c>
      <c r="L190" s="26" t="inlineStr">
        <is>
          <t>☐</t>
        </is>
      </c>
      <c r="M190" s="25" t="n"/>
      <c r="N190" s="27" t="n">
        <v>0</v>
      </c>
      <c r="O190" s="28" t="n"/>
      <c r="P190" s="23" t="n"/>
      <c r="Q190" s="29" t="n"/>
      <c r="R190" s="29" t="n"/>
      <c r="S190" s="23" t="n"/>
      <c r="T190" s="30" t="n"/>
      <c r="U190" s="31" t="inlineStr">
        <is>
          <t>高</t>
        </is>
      </c>
      <c r="V190" s="32" t="inlineStr">
        <is>
          <t>複数の情報源で一致</t>
        </is>
      </c>
      <c r="W190" s="33" t="inlineStr">
        <is>
          <t>開く</t>
        </is>
      </c>
    </row>
    <row r="191" ht="30" customHeight="1">
      <c r="A191" s="23" t="inlineStr">
        <is>
          <t>10群馬県</t>
        </is>
      </c>
      <c r="B191" s="23" t="inlineStr">
        <is>
          <t>私立</t>
        </is>
      </c>
      <c r="C191" s="23" t="n"/>
      <c r="D191" s="23" t="inlineStr">
        <is>
          <t>Ｒ高等学校</t>
        </is>
      </c>
      <c r="E191" s="24" t="inlineStr">
        <is>
          <t>0277-66-9943</t>
        </is>
      </c>
      <c r="F191" s="23" t="n"/>
      <c r="G191" s="25" t="inlineStr">
        <is>
          <t>普通科</t>
        </is>
      </c>
      <c r="H191" s="26" t="inlineStr">
        <is>
          <t>☐</t>
        </is>
      </c>
      <c r="I191" s="26" t="inlineStr">
        <is>
          <t>☐</t>
        </is>
      </c>
      <c r="J191" s="26" t="inlineStr">
        <is>
          <t>☐</t>
        </is>
      </c>
      <c r="K191" s="26" t="inlineStr">
        <is>
          <t>☐</t>
        </is>
      </c>
      <c r="L191" s="26" t="inlineStr">
        <is>
          <t>☐</t>
        </is>
      </c>
      <c r="M191" s="25" t="n"/>
      <c r="N191" s="27" t="n">
        <v>0</v>
      </c>
      <c r="O191" s="28" t="n"/>
      <c r="P191" s="23" t="n"/>
      <c r="Q191" s="29" t="n"/>
      <c r="R191" s="29" t="n"/>
      <c r="S191" s="23" t="n"/>
      <c r="T191" s="30" t="n"/>
      <c r="U191" s="34" t="inlineStr">
        <is>
          <t>中</t>
        </is>
      </c>
      <c r="V191" s="32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W191" s="33" t="inlineStr">
        <is>
          <t>開く</t>
        </is>
      </c>
    </row>
    <row r="192" ht="30" customHeight="1">
      <c r="A192" s="23" t="inlineStr">
        <is>
          <t>10群馬県</t>
        </is>
      </c>
      <c r="B192" s="23" t="inlineStr">
        <is>
          <t>私立</t>
        </is>
      </c>
      <c r="C192" s="23" t="n"/>
      <c r="D192" s="23" t="inlineStr">
        <is>
          <t>関東学園大学附属高等学校</t>
        </is>
      </c>
      <c r="E192" s="24" t="inlineStr">
        <is>
          <t>0276-74-1213</t>
        </is>
      </c>
      <c r="F192" s="23" t="n"/>
      <c r="G192" s="25" t="inlineStr">
        <is>
          <t>普通科</t>
        </is>
      </c>
      <c r="H192" s="26" t="inlineStr">
        <is>
          <t>☐</t>
        </is>
      </c>
      <c r="I192" s="26" t="inlineStr">
        <is>
          <t>☐</t>
        </is>
      </c>
      <c r="J192" s="26" t="inlineStr">
        <is>
          <t>☐</t>
        </is>
      </c>
      <c r="K192" s="26" t="inlineStr">
        <is>
          <t>☐</t>
        </is>
      </c>
      <c r="L192" s="26" t="inlineStr">
        <is>
          <t>☐</t>
        </is>
      </c>
      <c r="M192" s="25" t="n"/>
      <c r="N192" s="27" t="n">
        <v>0</v>
      </c>
      <c r="O192" s="28" t="n"/>
      <c r="P192" s="23" t="n"/>
      <c r="Q192" s="29" t="n"/>
      <c r="R192" s="29" t="n"/>
      <c r="S192" s="23" t="n"/>
      <c r="T192" s="30" t="n"/>
      <c r="U192" s="31" t="inlineStr">
        <is>
          <t>高</t>
        </is>
      </c>
      <c r="V192" s="32" t="inlineStr">
        <is>
          <t>公式サイトに「代表」と記載。学校法人の代表（0276-74-1211）とは別</t>
        </is>
      </c>
      <c r="W192" s="33" t="inlineStr">
        <is>
          <t>開く</t>
        </is>
      </c>
    </row>
    <row r="193" ht="30" customHeight="1">
      <c r="A193" s="23" t="inlineStr">
        <is>
          <t>10群馬県</t>
        </is>
      </c>
      <c r="B193" s="23" t="inlineStr">
        <is>
          <t>私立</t>
        </is>
      </c>
      <c r="C193" s="23" t="n"/>
      <c r="D193" s="23" t="inlineStr">
        <is>
          <t>共愛学園高等学校</t>
        </is>
      </c>
      <c r="E193" s="24" t="inlineStr">
        <is>
          <t>027-267-1000</t>
        </is>
      </c>
      <c r="F193" s="23" t="n"/>
      <c r="G193" s="25" t="inlineStr">
        <is>
          <t>普通科・専門学科</t>
        </is>
      </c>
      <c r="H193" s="26" t="inlineStr">
        <is>
          <t>☐</t>
        </is>
      </c>
      <c r="I193" s="26" t="inlineStr">
        <is>
          <t>☐</t>
        </is>
      </c>
      <c r="J193" s="26" t="inlineStr">
        <is>
          <t>☐</t>
        </is>
      </c>
      <c r="K193" s="26" t="inlineStr">
        <is>
          <t>☐</t>
        </is>
      </c>
      <c r="L193" s="26" t="inlineStr">
        <is>
          <t>☐</t>
        </is>
      </c>
      <c r="M193" s="25" t="n"/>
      <c r="N193" s="27" t="n">
        <v>0</v>
      </c>
      <c r="O193" s="28" t="n"/>
      <c r="P193" s="23" t="n"/>
      <c r="Q193" s="29" t="n"/>
      <c r="R193" s="29" t="n"/>
      <c r="S193" s="23" t="n"/>
      <c r="T193" s="30" t="n"/>
      <c r="U193" s="31" t="inlineStr">
        <is>
          <t>高</t>
        </is>
      </c>
      <c r="V193" s="32" t="inlineStr">
        <is>
          <t>群馬県の一覧と学校情報サイトで一致。中学校と共通</t>
        </is>
      </c>
      <c r="W193" s="33" t="inlineStr">
        <is>
          <t>開く</t>
        </is>
      </c>
    </row>
    <row r="194" ht="30" customHeight="1">
      <c r="A194" s="23" t="inlineStr">
        <is>
          <t>10群馬県</t>
        </is>
      </c>
      <c r="B194" s="23" t="inlineStr">
        <is>
          <t>私立</t>
        </is>
      </c>
      <c r="C194" s="23" t="n"/>
      <c r="D194" s="23" t="inlineStr">
        <is>
          <t>桐生第一高等学校</t>
        </is>
      </c>
      <c r="E194" s="24" t="inlineStr">
        <is>
          <t>0277-22-8131</t>
        </is>
      </c>
      <c r="F194" s="23" t="n"/>
      <c r="G194" s="25" t="inlineStr">
        <is>
          <t>普通科・専門学科</t>
        </is>
      </c>
      <c r="H194" s="26" t="inlineStr">
        <is>
          <t>☐</t>
        </is>
      </c>
      <c r="I194" s="26" t="inlineStr">
        <is>
          <t>☐</t>
        </is>
      </c>
      <c r="J194" s="26" t="inlineStr">
        <is>
          <t>☐</t>
        </is>
      </c>
      <c r="K194" s="26" t="inlineStr">
        <is>
          <t>☐</t>
        </is>
      </c>
      <c r="L194" s="26" t="inlineStr">
        <is>
          <t>☐</t>
        </is>
      </c>
      <c r="M194" s="25" t="n"/>
      <c r="N194" s="27" t="n">
        <v>0</v>
      </c>
      <c r="O194" s="28" t="n"/>
      <c r="P194" s="23" t="n"/>
      <c r="Q194" s="29" t="n"/>
      <c r="R194" s="29" t="n"/>
      <c r="S194" s="23" t="n"/>
      <c r="T194" s="30" t="n"/>
      <c r="U194" s="31" t="inlineStr">
        <is>
          <t>高</t>
        </is>
      </c>
      <c r="V194" s="32" t="inlineStr">
        <is>
          <t>群馬県の名簿と学校情報サイトで一致。併設中学校は別番号（0277-48-8600）</t>
        </is>
      </c>
      <c r="W194" s="33" t="inlineStr">
        <is>
          <t>開く</t>
        </is>
      </c>
    </row>
    <row r="195" ht="30" customHeight="1">
      <c r="A195" s="23" t="inlineStr">
        <is>
          <t>10群馬県</t>
        </is>
      </c>
      <c r="B195" s="23" t="inlineStr">
        <is>
          <t>私立</t>
        </is>
      </c>
      <c r="C195" s="23" t="n"/>
      <c r="D195" s="23" t="inlineStr">
        <is>
          <t>白根開善学校高等部</t>
        </is>
      </c>
      <c r="E195" s="24" t="inlineStr">
        <is>
          <t>0279-95-5311</t>
        </is>
      </c>
      <c r="F195" s="23" t="n"/>
      <c r="G195" s="25" t="inlineStr">
        <is>
          <t>普通科</t>
        </is>
      </c>
      <c r="H195" s="26" t="inlineStr">
        <is>
          <t>☐</t>
        </is>
      </c>
      <c r="I195" s="26" t="inlineStr">
        <is>
          <t>☐</t>
        </is>
      </c>
      <c r="J195" s="26" t="inlineStr">
        <is>
          <t>☐</t>
        </is>
      </c>
      <c r="K195" s="26" t="inlineStr">
        <is>
          <t>☐</t>
        </is>
      </c>
      <c r="L195" s="26" t="inlineStr">
        <is>
          <t>☐</t>
        </is>
      </c>
      <c r="M195" s="25" t="n"/>
      <c r="N195" s="27" t="n">
        <v>0</v>
      </c>
      <c r="O195" s="28" t="n"/>
      <c r="P195" s="23" t="n"/>
      <c r="Q195" s="29" t="n"/>
      <c r="R195" s="29" t="n"/>
      <c r="S195" s="23" t="n"/>
      <c r="T195" s="30" t="n"/>
      <c r="U195" s="31" t="inlineStr">
        <is>
          <t>高</t>
        </is>
      </c>
      <c r="V195" s="32" t="inlineStr">
        <is>
          <t>群馬県の名簿と学校情報サイトで一致。中等部と共通。全寮制</t>
        </is>
      </c>
      <c r="W195" s="33" t="inlineStr">
        <is>
          <t>開く</t>
        </is>
      </c>
    </row>
    <row r="196" ht="30" customHeight="1">
      <c r="A196" s="23" t="inlineStr">
        <is>
          <t>10群馬県</t>
        </is>
      </c>
      <c r="B196" s="23" t="inlineStr">
        <is>
          <t>私立</t>
        </is>
      </c>
      <c r="C196" s="23" t="n"/>
      <c r="D196" s="23" t="inlineStr">
        <is>
          <t>樹徳高等学校</t>
        </is>
      </c>
      <c r="E196" s="24" t="inlineStr">
        <is>
          <t>0277-45-2258</t>
        </is>
      </c>
      <c r="F196" s="23" t="n"/>
      <c r="G196" s="25" t="inlineStr">
        <is>
          <t>普通科</t>
        </is>
      </c>
      <c r="H196" s="26" t="inlineStr">
        <is>
          <t>☐</t>
        </is>
      </c>
      <c r="I196" s="26" t="inlineStr">
        <is>
          <t>☐</t>
        </is>
      </c>
      <c r="J196" s="26" t="inlineStr">
        <is>
          <t>☐</t>
        </is>
      </c>
      <c r="K196" s="26" t="inlineStr">
        <is>
          <t>☐</t>
        </is>
      </c>
      <c r="L196" s="26" t="inlineStr">
        <is>
          <t>☐</t>
        </is>
      </c>
      <c r="M196" s="25" t="n"/>
      <c r="N196" s="27" t="n">
        <v>0</v>
      </c>
      <c r="O196" s="28" t="n"/>
      <c r="P196" s="23" t="n"/>
      <c r="Q196" s="29" t="n"/>
      <c r="R196" s="29" t="n"/>
      <c r="S196" s="23" t="n"/>
      <c r="T196" s="30" t="n"/>
      <c r="U196" s="31" t="inlineStr">
        <is>
          <t>高</t>
        </is>
      </c>
      <c r="V196" s="32" t="inlineStr">
        <is>
          <t>群馬県の資料と学校情報サイトで一致。グラウンドの番号は別</t>
        </is>
      </c>
      <c r="W196" s="33" t="inlineStr">
        <is>
          <t>開く</t>
        </is>
      </c>
    </row>
    <row r="197" ht="30" customHeight="1">
      <c r="A197" s="23" t="inlineStr">
        <is>
          <t>10群馬県</t>
        </is>
      </c>
      <c r="B197" s="23" t="inlineStr">
        <is>
          <t>私立</t>
        </is>
      </c>
      <c r="C197" s="23" t="n"/>
      <c r="D197" s="23" t="inlineStr">
        <is>
          <t>高崎健康福祉大学高崎高等学校</t>
        </is>
      </c>
      <c r="E197" s="24" t="inlineStr">
        <is>
          <t>027-352-3460</t>
        </is>
      </c>
      <c r="F197" s="23" t="n"/>
      <c r="G197" s="25" t="inlineStr">
        <is>
          <t>普通科</t>
        </is>
      </c>
      <c r="H197" s="26" t="inlineStr">
        <is>
          <t>☐</t>
        </is>
      </c>
      <c r="I197" s="26" t="inlineStr">
        <is>
          <t>☐</t>
        </is>
      </c>
      <c r="J197" s="26" t="inlineStr">
        <is>
          <t>☐</t>
        </is>
      </c>
      <c r="K197" s="26" t="inlineStr">
        <is>
          <t>☐</t>
        </is>
      </c>
      <c r="L197" s="26" t="inlineStr">
        <is>
          <t>☐</t>
        </is>
      </c>
      <c r="M197" s="25" t="n"/>
      <c r="N197" s="27" t="n">
        <v>0</v>
      </c>
      <c r="O197" s="28" t="n"/>
      <c r="P197" s="23" t="n"/>
      <c r="Q197" s="29" t="n"/>
      <c r="R197" s="29" t="n"/>
      <c r="S197" s="23" t="n"/>
      <c r="T197" s="30" t="n"/>
      <c r="U197" s="31" t="inlineStr">
        <is>
          <t>高</t>
        </is>
      </c>
      <c r="V197" s="32" t="inlineStr">
        <is>
          <t>公式サイトに「代表」と記載</t>
        </is>
      </c>
      <c r="W197" s="33" t="inlineStr">
        <is>
          <t>開く</t>
        </is>
      </c>
    </row>
    <row r="198" ht="30" customHeight="1">
      <c r="A198" s="23" t="inlineStr">
        <is>
          <t>10群馬県</t>
        </is>
      </c>
      <c r="B198" s="23" t="inlineStr">
        <is>
          <t>私立</t>
        </is>
      </c>
      <c r="C198" s="23" t="n"/>
      <c r="D198" s="23" t="inlineStr">
        <is>
          <t>高崎商科大学附属高等学校</t>
        </is>
      </c>
      <c r="E198" s="24" t="inlineStr">
        <is>
          <t>027-322-2827</t>
        </is>
      </c>
      <c r="F198" s="23" t="n"/>
      <c r="G198" s="25" t="inlineStr">
        <is>
          <t>普通科・専門学科</t>
        </is>
      </c>
      <c r="H198" s="26" t="inlineStr">
        <is>
          <t>☐</t>
        </is>
      </c>
      <c r="I198" s="26" t="inlineStr">
        <is>
          <t>☐</t>
        </is>
      </c>
      <c r="J198" s="26" t="inlineStr">
        <is>
          <t>☐</t>
        </is>
      </c>
      <c r="K198" s="26" t="inlineStr">
        <is>
          <t>☐</t>
        </is>
      </c>
      <c r="L198" s="26" t="inlineStr">
        <is>
          <t>☐</t>
        </is>
      </c>
      <c r="M198" s="25" t="n"/>
      <c r="N198" s="27" t="n">
        <v>0</v>
      </c>
      <c r="O198" s="28" t="n"/>
      <c r="P198" s="23" t="n"/>
      <c r="Q198" s="29" t="n"/>
      <c r="R198" s="29" t="n"/>
      <c r="S198" s="23" t="n"/>
      <c r="T198" s="30" t="n"/>
      <c r="U198" s="31" t="inlineStr">
        <is>
          <t>高</t>
        </is>
      </c>
      <c r="V198" s="32" t="inlineStr">
        <is>
          <t>群馬県の私立学校名簿と学校情報サイトで一致</t>
        </is>
      </c>
      <c r="W198" s="33" t="inlineStr">
        <is>
          <t>開く</t>
        </is>
      </c>
    </row>
    <row r="199" ht="30" customHeight="1">
      <c r="A199" s="23" t="inlineStr">
        <is>
          <t>10群馬県</t>
        </is>
      </c>
      <c r="B199" s="23" t="inlineStr">
        <is>
          <t>私立</t>
        </is>
      </c>
      <c r="C199" s="23" t="n"/>
      <c r="D199" s="23" t="inlineStr">
        <is>
          <t>東京農業大学第二高等学校</t>
        </is>
      </c>
      <c r="E199" s="24" t="inlineStr">
        <is>
          <t>027-323-1483</t>
        </is>
      </c>
      <c r="F199" s="23" t="n"/>
      <c r="G199" s="25" t="inlineStr">
        <is>
          <t>普通科</t>
        </is>
      </c>
      <c r="H199" s="26" t="inlineStr">
        <is>
          <t>☐</t>
        </is>
      </c>
      <c r="I199" s="26" t="inlineStr">
        <is>
          <t>☐</t>
        </is>
      </c>
      <c r="J199" s="26" t="inlineStr">
        <is>
          <t>☐</t>
        </is>
      </c>
      <c r="K199" s="26" t="inlineStr">
        <is>
          <t>☐</t>
        </is>
      </c>
      <c r="L199" s="26" t="inlineStr">
        <is>
          <t>☐</t>
        </is>
      </c>
      <c r="M199" s="25" t="n"/>
      <c r="N199" s="27" t="n">
        <v>0</v>
      </c>
      <c r="O199" s="28" t="n"/>
      <c r="P199" s="23" t="n"/>
      <c r="Q199" s="29" t="n"/>
      <c r="R199" s="29" t="n"/>
      <c r="S199" s="23" t="n"/>
      <c r="T199" s="30" t="n"/>
      <c r="U199" s="31" t="inlineStr">
        <is>
          <t>高</t>
        </is>
      </c>
      <c r="V199" s="32" t="inlineStr">
        <is>
          <t>公式サイトで確認。校内塾（027-324-8800）は別番号</t>
        </is>
      </c>
      <c r="W199" s="33" t="inlineStr">
        <is>
          <t>開く</t>
        </is>
      </c>
    </row>
    <row r="200" ht="30" customHeight="1">
      <c r="A200" s="23" t="inlineStr">
        <is>
          <t>10群馬県</t>
        </is>
      </c>
      <c r="B200" s="23" t="inlineStr">
        <is>
          <t>私立</t>
        </is>
      </c>
      <c r="C200" s="23" t="n"/>
      <c r="D200" s="23" t="inlineStr">
        <is>
          <t>常磐高等学校（群馬県）</t>
        </is>
      </c>
      <c r="E200" s="24" t="inlineStr">
        <is>
          <t>0276-45-4372</t>
        </is>
      </c>
      <c r="F200" s="23" t="n"/>
      <c r="G200" s="25" t="inlineStr">
        <is>
          <t>普通科</t>
        </is>
      </c>
      <c r="H200" s="26" t="inlineStr">
        <is>
          <t>☐</t>
        </is>
      </c>
      <c r="I200" s="26" t="inlineStr">
        <is>
          <t>☐</t>
        </is>
      </c>
      <c r="J200" s="26" t="inlineStr">
        <is>
          <t>☐</t>
        </is>
      </c>
      <c r="K200" s="26" t="inlineStr">
        <is>
          <t>☐</t>
        </is>
      </c>
      <c r="L200" s="26" t="inlineStr">
        <is>
          <t>☐</t>
        </is>
      </c>
      <c r="M200" s="25" t="n"/>
      <c r="N200" s="27" t="n">
        <v>0</v>
      </c>
      <c r="O200" s="28" t="n"/>
      <c r="P200" s="23" t="n"/>
      <c r="Q200" s="29" t="n"/>
      <c r="R200" s="29" t="n"/>
      <c r="S200" s="23" t="n"/>
      <c r="T200" s="30" t="n"/>
      <c r="U200" s="31" t="inlineStr">
        <is>
          <t>高</t>
        </is>
      </c>
      <c r="V200" s="32" t="inlineStr">
        <is>
          <t>群馬県の私立学校名簿（R5）と学校情報サイトで一致</t>
        </is>
      </c>
      <c r="W200" s="33" t="inlineStr">
        <is>
          <t>開く</t>
        </is>
      </c>
    </row>
    <row r="201" ht="30" customHeight="1">
      <c r="A201" s="23" t="inlineStr">
        <is>
          <t>10群馬県</t>
        </is>
      </c>
      <c r="B201" s="23" t="inlineStr">
        <is>
          <t>私立</t>
        </is>
      </c>
      <c r="C201" s="23" t="n"/>
      <c r="D201" s="23" t="inlineStr">
        <is>
          <t>新島学園高等学校</t>
        </is>
      </c>
      <c r="E201" s="24" t="inlineStr">
        <is>
          <t>027-381-0240</t>
        </is>
      </c>
      <c r="F201" s="23" t="n"/>
      <c r="G201" s="25" t="inlineStr">
        <is>
          <t>普通科</t>
        </is>
      </c>
      <c r="H201" s="26" t="inlineStr">
        <is>
          <t>☐</t>
        </is>
      </c>
      <c r="I201" s="26" t="inlineStr">
        <is>
          <t>☐</t>
        </is>
      </c>
      <c r="J201" s="26" t="inlineStr">
        <is>
          <t>☐</t>
        </is>
      </c>
      <c r="K201" s="26" t="inlineStr">
        <is>
          <t>☐</t>
        </is>
      </c>
      <c r="L201" s="26" t="inlineStr">
        <is>
          <t>☐</t>
        </is>
      </c>
      <c r="M201" s="25" t="n"/>
      <c r="N201" s="27" t="n">
        <v>0</v>
      </c>
      <c r="O201" s="28" t="n"/>
      <c r="P201" s="23" t="n"/>
      <c r="Q201" s="29" t="n"/>
      <c r="R201" s="29" t="n"/>
      <c r="S201" s="23" t="n"/>
      <c r="T201" s="30" t="n"/>
      <c r="U201" s="31" t="inlineStr">
        <is>
          <t>高</t>
        </is>
      </c>
      <c r="V201" s="32" t="inlineStr">
        <is>
          <t>複数の情報源で一致、公式サイトでは未確認</t>
        </is>
      </c>
      <c r="W201" s="33" t="inlineStr">
        <is>
          <t>開く</t>
        </is>
      </c>
    </row>
    <row r="202" ht="30" customHeight="1">
      <c r="A202" s="23" t="inlineStr">
        <is>
          <t>10群馬県</t>
        </is>
      </c>
      <c r="B202" s="23" t="inlineStr">
        <is>
          <t>私立</t>
        </is>
      </c>
      <c r="C202" s="23" t="n"/>
      <c r="D202" s="23" t="inlineStr">
        <is>
          <t>前橋育英高等学校</t>
        </is>
      </c>
      <c r="E202" s="24" t="inlineStr">
        <is>
          <t>027-251-7087</t>
        </is>
      </c>
      <c r="F202" s="23" t="n"/>
      <c r="G202" s="25" t="inlineStr">
        <is>
          <t>普通科・専門学科</t>
        </is>
      </c>
      <c r="H202" s="26" t="inlineStr">
        <is>
          <t>☐</t>
        </is>
      </c>
      <c r="I202" s="26" t="inlineStr">
        <is>
          <t>☐</t>
        </is>
      </c>
      <c r="J202" s="26" t="inlineStr">
        <is>
          <t>☐</t>
        </is>
      </c>
      <c r="K202" s="26" t="inlineStr">
        <is>
          <t>☐</t>
        </is>
      </c>
      <c r="L202" s="26" t="inlineStr">
        <is>
          <t>☐</t>
        </is>
      </c>
      <c r="M202" s="25" t="n"/>
      <c r="N202" s="27" t="n">
        <v>0</v>
      </c>
      <c r="O202" s="28" t="n"/>
      <c r="P202" s="23" t="n"/>
      <c r="Q202" s="29" t="n"/>
      <c r="R202" s="29" t="n"/>
      <c r="S202" s="23" t="n"/>
      <c r="T202" s="30" t="n"/>
      <c r="U202" s="31" t="inlineStr">
        <is>
          <t>高</t>
        </is>
      </c>
      <c r="V202" s="32" t="inlineStr">
        <is>
          <t>複数の情報源で一致、公式サイトでは未確認</t>
        </is>
      </c>
      <c r="W202" s="33" t="inlineStr">
        <is>
          <t>開く</t>
        </is>
      </c>
    </row>
    <row r="203" ht="30" customHeight="1">
      <c r="A203" s="23" t="inlineStr">
        <is>
          <t>10群馬県</t>
        </is>
      </c>
      <c r="B203" s="23" t="inlineStr">
        <is>
          <t>私立</t>
        </is>
      </c>
      <c r="C203" s="23" t="n"/>
      <c r="D203" s="23" t="inlineStr">
        <is>
          <t>明和県央高等学校</t>
        </is>
      </c>
      <c r="E203" s="24" t="inlineStr">
        <is>
          <t>027-373-5773</t>
        </is>
      </c>
      <c r="F203" s="23" t="n"/>
      <c r="G203" s="25" t="inlineStr">
        <is>
          <t>普通科</t>
        </is>
      </c>
      <c r="H203" s="26" t="inlineStr">
        <is>
          <t>☐</t>
        </is>
      </c>
      <c r="I203" s="26" t="inlineStr">
        <is>
          <t>☐</t>
        </is>
      </c>
      <c r="J203" s="26" t="inlineStr">
        <is>
          <t>☐</t>
        </is>
      </c>
      <c r="K203" s="26" t="inlineStr">
        <is>
          <t>☐</t>
        </is>
      </c>
      <c r="L203" s="26" t="inlineStr">
        <is>
          <t>☐</t>
        </is>
      </c>
      <c r="M203" s="25" t="n"/>
      <c r="N203" s="27" t="n">
        <v>0</v>
      </c>
      <c r="O203" s="28" t="n"/>
      <c r="P203" s="23" t="n"/>
      <c r="Q203" s="29" t="n"/>
      <c r="R203" s="29" t="n"/>
      <c r="S203" s="23" t="n"/>
      <c r="T203" s="30" t="n"/>
      <c r="U203" s="31" t="inlineStr">
        <is>
          <t>高</t>
        </is>
      </c>
      <c r="V203" s="32" t="inlineStr">
        <is>
          <t>公式サイトに「代表」と記載</t>
        </is>
      </c>
      <c r="W203" s="33" t="inlineStr">
        <is>
          <t>開く</t>
        </is>
      </c>
    </row>
    <row r="204" ht="30" customHeight="1">
      <c r="A204" s="23" t="inlineStr">
        <is>
          <t>11埼玉県</t>
        </is>
      </c>
      <c r="B204" s="23" t="inlineStr">
        <is>
          <t>私立</t>
        </is>
      </c>
      <c r="C204" s="23" t="n"/>
      <c r="D204" s="23" t="inlineStr">
        <is>
          <t>青山学院大学系属浦和ルーテル学院高等学校</t>
        </is>
      </c>
      <c r="E204" s="24" t="inlineStr">
        <is>
          <t>048-711-8221</t>
        </is>
      </c>
      <c r="F204" s="23" t="n"/>
      <c r="G204" s="25" t="inlineStr">
        <is>
          <t>普通科</t>
        </is>
      </c>
      <c r="H204" s="26" t="inlineStr">
        <is>
          <t>☐</t>
        </is>
      </c>
      <c r="I204" s="26" t="inlineStr">
        <is>
          <t>☐</t>
        </is>
      </c>
      <c r="J204" s="26" t="inlineStr">
        <is>
          <t>☐</t>
        </is>
      </c>
      <c r="K204" s="26" t="inlineStr">
        <is>
          <t>☐</t>
        </is>
      </c>
      <c r="L204" s="26" t="inlineStr">
        <is>
          <t>☐</t>
        </is>
      </c>
      <c r="M204" s="25" t="n"/>
      <c r="N204" s="27" t="n">
        <v>0</v>
      </c>
      <c r="O204" s="28" t="n"/>
      <c r="P204" s="23" t="n"/>
      <c r="Q204" s="29" t="n"/>
      <c r="R204" s="29" t="n"/>
      <c r="S204" s="23" t="n"/>
      <c r="T204" s="30" t="n"/>
      <c r="U204" s="31" t="inlineStr">
        <is>
          <t>高</t>
        </is>
      </c>
      <c r="V204" s="32" t="inlineStr">
        <is>
          <t>中高共通。学校ネットの一覧に区名がなく、所在地は緑区（大崎）として調査</t>
        </is>
      </c>
      <c r="W204" s="33" t="inlineStr">
        <is>
          <t>開く</t>
        </is>
      </c>
    </row>
    <row r="205" ht="30" customHeight="1">
      <c r="A205" s="23" t="inlineStr">
        <is>
          <t>11埼玉県</t>
        </is>
      </c>
      <c r="B205" s="23" t="inlineStr">
        <is>
          <t>私立</t>
        </is>
      </c>
      <c r="C205" s="23" t="n"/>
      <c r="D205" s="23" t="inlineStr">
        <is>
          <t>秋草学園高等学校</t>
        </is>
      </c>
      <c r="E205" s="24" t="inlineStr">
        <is>
          <t>04-2958-4111</t>
        </is>
      </c>
      <c r="F205" s="23" t="n"/>
      <c r="G205" s="25" t="inlineStr">
        <is>
          <t>普通科</t>
        </is>
      </c>
      <c r="H205" s="26" t="inlineStr">
        <is>
          <t>☐</t>
        </is>
      </c>
      <c r="I205" s="26" t="inlineStr">
        <is>
          <t>☐</t>
        </is>
      </c>
      <c r="J205" s="26" t="inlineStr">
        <is>
          <t>☐</t>
        </is>
      </c>
      <c r="K205" s="26" t="inlineStr">
        <is>
          <t>☐</t>
        </is>
      </c>
      <c r="L205" s="26" t="inlineStr">
        <is>
          <t>☐</t>
        </is>
      </c>
      <c r="M205" s="25" t="n"/>
      <c r="N205" s="27" t="n">
        <v>0</v>
      </c>
      <c r="O205" s="28" t="n"/>
      <c r="P205" s="23" t="n"/>
      <c r="Q205" s="29" t="n"/>
      <c r="R205" s="29" t="n"/>
      <c r="S205" s="23" t="n"/>
      <c r="T205" s="30" t="n"/>
      <c r="U205" s="31" t="inlineStr">
        <is>
          <t>高</t>
        </is>
      </c>
      <c r="V205" s="32" t="inlineStr">
        <is>
          <t>2つの情報源で一致</t>
        </is>
      </c>
      <c r="W205" s="33" t="inlineStr">
        <is>
          <t>開く</t>
        </is>
      </c>
    </row>
    <row r="206" ht="30" customHeight="1">
      <c r="A206" s="23" t="inlineStr">
        <is>
          <t>11埼玉県</t>
        </is>
      </c>
      <c r="B206" s="23" t="inlineStr">
        <is>
          <t>私立</t>
        </is>
      </c>
      <c r="C206" s="23" t="n"/>
      <c r="D206" s="23" t="inlineStr">
        <is>
          <t>浦和明の星女子高等学校</t>
        </is>
      </c>
      <c r="E206" s="24" t="inlineStr">
        <is>
          <t>048-873-1160</t>
        </is>
      </c>
      <c r="F206" s="23" t="n"/>
      <c r="G206" s="25" t="inlineStr">
        <is>
          <t>普通科</t>
        </is>
      </c>
      <c r="H206" s="26" t="inlineStr">
        <is>
          <t>☐</t>
        </is>
      </c>
      <c r="I206" s="26" t="inlineStr">
        <is>
          <t>☐</t>
        </is>
      </c>
      <c r="J206" s="26" t="inlineStr">
        <is>
          <t>☐</t>
        </is>
      </c>
      <c r="K206" s="26" t="inlineStr">
        <is>
          <t>☐</t>
        </is>
      </c>
      <c r="L206" s="26" t="inlineStr">
        <is>
          <t>☐</t>
        </is>
      </c>
      <c r="M206" s="25" t="n"/>
      <c r="N206" s="27" t="n">
        <v>0</v>
      </c>
      <c r="O206" s="28" t="n"/>
      <c r="P206" s="23" t="n"/>
      <c r="Q206" s="29" t="n"/>
      <c r="R206" s="29" t="n"/>
      <c r="S206" s="23" t="n"/>
      <c r="T206" s="30" t="n"/>
      <c r="U206" s="34" t="inlineStr">
        <is>
          <t>中</t>
        </is>
      </c>
      <c r="V206" s="32" t="inlineStr">
        <is>
          <t>中高共通。学校情報サイト1件のみで確認</t>
        </is>
      </c>
      <c r="W206" s="33" t="inlineStr">
        <is>
          <t>開く</t>
        </is>
      </c>
    </row>
    <row r="207" ht="30" customHeight="1">
      <c r="A207" s="23" t="inlineStr">
        <is>
          <t>11埼玉県</t>
        </is>
      </c>
      <c r="B207" s="23" t="inlineStr">
        <is>
          <t>私立</t>
        </is>
      </c>
      <c r="C207" s="23" t="n"/>
      <c r="D207" s="23" t="inlineStr">
        <is>
          <t>浦和学院高等学校</t>
        </is>
      </c>
      <c r="E207" s="24" t="inlineStr">
        <is>
          <t>048-878-2101</t>
        </is>
      </c>
      <c r="F207" s="23" t="n"/>
      <c r="G207" s="25" t="inlineStr">
        <is>
          <t>普通科</t>
        </is>
      </c>
      <c r="H207" s="26" t="inlineStr">
        <is>
          <t>☐</t>
        </is>
      </c>
      <c r="I207" s="26" t="inlineStr">
        <is>
          <t>☐</t>
        </is>
      </c>
      <c r="J207" s="26" t="inlineStr">
        <is>
          <t>☐</t>
        </is>
      </c>
      <c r="K207" s="26" t="inlineStr">
        <is>
          <t>☐</t>
        </is>
      </c>
      <c r="L207" s="26" t="inlineStr">
        <is>
          <t>☐</t>
        </is>
      </c>
      <c r="M207" s="25" t="n"/>
      <c r="N207" s="27" t="n">
        <v>0</v>
      </c>
      <c r="O207" s="28" t="n"/>
      <c r="P207" s="23" t="n"/>
      <c r="Q207" s="29" t="n"/>
      <c r="R207" s="29" t="n"/>
      <c r="S207" s="23" t="n"/>
      <c r="T207" s="30" t="n"/>
      <c r="U207" s="31" t="inlineStr">
        <is>
          <t>高</t>
        </is>
      </c>
      <c r="V207" s="32" t="inlineStr">
        <is>
          <t>2つの情報源で一致。併設中学校（2026年開校）は048-767-8484</t>
        </is>
      </c>
      <c r="W207" s="33" t="inlineStr">
        <is>
          <t>開く</t>
        </is>
      </c>
    </row>
    <row r="208" ht="30" customHeight="1">
      <c r="A208" s="23" t="inlineStr">
        <is>
          <t>11埼玉県</t>
        </is>
      </c>
      <c r="B208" s="23" t="inlineStr">
        <is>
          <t>私立</t>
        </is>
      </c>
      <c r="C208" s="23" t="n"/>
      <c r="D208" s="23" t="inlineStr">
        <is>
          <t>浦和実業学園高等学校</t>
        </is>
      </c>
      <c r="E208" s="24" t="inlineStr">
        <is>
          <t>048-861-6131</t>
        </is>
      </c>
      <c r="F208" s="23" t="n"/>
      <c r="G208" s="25" t="inlineStr">
        <is>
          <t>普通科・専門学科</t>
        </is>
      </c>
      <c r="H208" s="26" t="inlineStr">
        <is>
          <t>☐</t>
        </is>
      </c>
      <c r="I208" s="26" t="inlineStr">
        <is>
          <t>☐</t>
        </is>
      </c>
      <c r="J208" s="26" t="inlineStr">
        <is>
          <t>☐</t>
        </is>
      </c>
      <c r="K208" s="26" t="inlineStr">
        <is>
          <t>☐</t>
        </is>
      </c>
      <c r="L208" s="26" t="inlineStr">
        <is>
          <t>☐</t>
        </is>
      </c>
      <c r="M208" s="25" t="n"/>
      <c r="N208" s="27" t="n">
        <v>0</v>
      </c>
      <c r="O208" s="28" t="n"/>
      <c r="P208" s="23" t="n"/>
      <c r="Q208" s="29" t="n"/>
      <c r="R208" s="29" t="n"/>
      <c r="S208" s="23" t="n"/>
      <c r="T208" s="30" t="n"/>
      <c r="U208" s="31" t="inlineStr">
        <is>
          <t>高</t>
        </is>
      </c>
      <c r="V208" s="32" t="inlineStr">
        <is>
          <t>中高共通</t>
        </is>
      </c>
      <c r="W208" s="33" t="inlineStr">
        <is>
          <t>開く</t>
        </is>
      </c>
    </row>
    <row r="209" ht="30" customHeight="1">
      <c r="A209" s="23" t="inlineStr">
        <is>
          <t>11埼玉県</t>
        </is>
      </c>
      <c r="B209" s="23" t="inlineStr">
        <is>
          <t>私立</t>
        </is>
      </c>
      <c r="C209" s="23" t="n"/>
      <c r="D209" s="23" t="inlineStr">
        <is>
          <t>浦和麗明高等学校</t>
        </is>
      </c>
      <c r="E209" s="24" t="inlineStr">
        <is>
          <t>048-885-8625</t>
        </is>
      </c>
      <c r="F209" s="23" t="n"/>
      <c r="G209" s="25" t="inlineStr">
        <is>
          <t>普通科</t>
        </is>
      </c>
      <c r="H209" s="26" t="inlineStr">
        <is>
          <t>☐</t>
        </is>
      </c>
      <c r="I209" s="26" t="inlineStr">
        <is>
          <t>☐</t>
        </is>
      </c>
      <c r="J209" s="26" t="inlineStr">
        <is>
          <t>☐</t>
        </is>
      </c>
      <c r="K209" s="26" t="inlineStr">
        <is>
          <t>☐</t>
        </is>
      </c>
      <c r="L209" s="26" t="inlineStr">
        <is>
          <t>☐</t>
        </is>
      </c>
      <c r="M209" s="25" t="n"/>
      <c r="N209" s="27" t="n">
        <v>0</v>
      </c>
      <c r="O209" s="28" t="n"/>
      <c r="P209" s="23" t="n"/>
      <c r="Q209" s="29" t="n"/>
      <c r="R209" s="29" t="n"/>
      <c r="S209" s="23" t="n"/>
      <c r="T209" s="30" t="n"/>
      <c r="U209" s="31" t="inlineStr">
        <is>
          <t>高</t>
        </is>
      </c>
      <c r="V209" s="32" t="inlineStr">
        <is>
          <t>2つの情報源で一致</t>
        </is>
      </c>
      <c r="W209" s="33" t="inlineStr">
        <is>
          <t>開く</t>
        </is>
      </c>
    </row>
    <row r="210" ht="30" customHeight="1">
      <c r="A210" s="23" t="inlineStr">
        <is>
          <t>11埼玉県</t>
        </is>
      </c>
      <c r="B210" s="23" t="inlineStr">
        <is>
          <t>私立</t>
        </is>
      </c>
      <c r="C210" s="23" t="n"/>
      <c r="D210" s="23" t="inlineStr">
        <is>
          <t>叡明高等学校</t>
        </is>
      </c>
      <c r="E210" s="24" t="inlineStr">
        <is>
          <t>048-990-2211</t>
        </is>
      </c>
      <c r="F210" s="23" t="n"/>
      <c r="G210" s="25" t="inlineStr">
        <is>
          <t>普通科</t>
        </is>
      </c>
      <c r="H210" s="26" t="inlineStr">
        <is>
          <t>☐</t>
        </is>
      </c>
      <c r="I210" s="26" t="inlineStr">
        <is>
          <t>☐</t>
        </is>
      </c>
      <c r="J210" s="26" t="inlineStr">
        <is>
          <t>☐</t>
        </is>
      </c>
      <c r="K210" s="26" t="inlineStr">
        <is>
          <t>☐</t>
        </is>
      </c>
      <c r="L210" s="26" t="inlineStr">
        <is>
          <t>☐</t>
        </is>
      </c>
      <c r="M210" s="25" t="n"/>
      <c r="N210" s="27" t="n">
        <v>0</v>
      </c>
      <c r="O210" s="28" t="n"/>
      <c r="P210" s="23" t="n"/>
      <c r="Q210" s="29" t="n"/>
      <c r="R210" s="29" t="n"/>
      <c r="S210" s="23" t="n"/>
      <c r="T210" s="30" t="n"/>
      <c r="U210" s="31" t="inlineStr">
        <is>
          <t>高</t>
        </is>
      </c>
      <c r="V210" s="32" t="inlineStr">
        <is>
          <t>2つの情報源で一致</t>
        </is>
      </c>
      <c r="W210" s="33" t="inlineStr">
        <is>
          <t>開く</t>
        </is>
      </c>
    </row>
    <row r="211" ht="30" customHeight="1">
      <c r="A211" s="23" t="inlineStr">
        <is>
          <t>11埼玉県</t>
        </is>
      </c>
      <c r="B211" s="23" t="inlineStr">
        <is>
          <t>私立</t>
        </is>
      </c>
      <c r="C211" s="23" t="n"/>
      <c r="D211" s="23" t="inlineStr">
        <is>
          <t>大川学園高等学校</t>
        </is>
      </c>
      <c r="E211" s="24" t="inlineStr">
        <is>
          <t>042-974-8880</t>
        </is>
      </c>
      <c r="F211" s="23" t="n"/>
      <c r="G211" s="25" t="inlineStr">
        <is>
          <t>普通科・専門学科</t>
        </is>
      </c>
      <c r="H211" s="26" t="inlineStr">
        <is>
          <t>☐</t>
        </is>
      </c>
      <c r="I211" s="26" t="inlineStr">
        <is>
          <t>☐</t>
        </is>
      </c>
      <c r="J211" s="26" t="inlineStr">
        <is>
          <t>☐</t>
        </is>
      </c>
      <c r="K211" s="26" t="inlineStr">
        <is>
          <t>☐</t>
        </is>
      </c>
      <c r="L211" s="26" t="inlineStr">
        <is>
          <t>☐</t>
        </is>
      </c>
      <c r="M211" s="25" t="n"/>
      <c r="N211" s="27" t="n">
        <v>0</v>
      </c>
      <c r="O211" s="28" t="n"/>
      <c r="P211" s="23" t="n"/>
      <c r="Q211" s="29" t="n"/>
      <c r="R211" s="29" t="n"/>
      <c r="S211" s="23" t="n"/>
      <c r="T211" s="30" t="n"/>
      <c r="U211" s="34" t="inlineStr">
        <is>
          <t>中</t>
        </is>
      </c>
      <c r="V211" s="32" t="inlineStr">
        <is>
          <t>通信制。学校の講師募集要項の問い合わせ先（同じ法人の専門学校と共通の可能性）</t>
        </is>
      </c>
      <c r="W211" s="33" t="inlineStr">
        <is>
          <t>開く</t>
        </is>
      </c>
    </row>
    <row r="212" ht="30" customHeight="1">
      <c r="A212" s="23" t="inlineStr">
        <is>
          <t>11埼玉県</t>
        </is>
      </c>
      <c r="B212" s="23" t="inlineStr">
        <is>
          <t>私立</t>
        </is>
      </c>
      <c r="C212" s="23" t="n"/>
      <c r="D212" s="23" t="inlineStr">
        <is>
          <t>大妻嵐山高等学校</t>
        </is>
      </c>
      <c r="E212" s="24" t="inlineStr">
        <is>
          <t>0493-62-2281</t>
        </is>
      </c>
      <c r="F212" s="23" t="n"/>
      <c r="G212" s="25" t="inlineStr">
        <is>
          <t>普通科</t>
        </is>
      </c>
      <c r="H212" s="26" t="inlineStr">
        <is>
          <t>☐</t>
        </is>
      </c>
      <c r="I212" s="26" t="inlineStr">
        <is>
          <t>☐</t>
        </is>
      </c>
      <c r="J212" s="26" t="inlineStr">
        <is>
          <t>☐</t>
        </is>
      </c>
      <c r="K212" s="26" t="inlineStr">
        <is>
          <t>☐</t>
        </is>
      </c>
      <c r="L212" s="26" t="inlineStr">
        <is>
          <t>☐</t>
        </is>
      </c>
      <c r="M212" s="25" t="n"/>
      <c r="N212" s="27" t="n">
        <v>0</v>
      </c>
      <c r="O212" s="28" t="n"/>
      <c r="P212" s="23" t="n"/>
      <c r="Q212" s="29" t="n"/>
      <c r="R212" s="29" t="n"/>
      <c r="S212" s="23" t="n"/>
      <c r="T212" s="30" t="n"/>
      <c r="U212" s="34" t="inlineStr">
        <is>
          <t>中</t>
        </is>
      </c>
      <c r="V212" s="32" t="inlineStr">
        <is>
          <t>学校情報サイト1件のみで確認</t>
        </is>
      </c>
      <c r="W212" s="33" t="inlineStr">
        <is>
          <t>開く</t>
        </is>
      </c>
    </row>
    <row r="213" ht="30" customHeight="1">
      <c r="A213" s="23" t="inlineStr">
        <is>
          <t>11埼玉県</t>
        </is>
      </c>
      <c r="B213" s="23" t="inlineStr">
        <is>
          <t>私立</t>
        </is>
      </c>
      <c r="C213" s="23" t="n"/>
      <c r="D213" s="23" t="inlineStr">
        <is>
          <t>大宮開成高等学校</t>
        </is>
      </c>
      <c r="E213" s="24" t="inlineStr">
        <is>
          <t>048-641-7161</t>
        </is>
      </c>
      <c r="F213" s="23" t="n"/>
      <c r="G213" s="25" t="inlineStr">
        <is>
          <t>普通科</t>
        </is>
      </c>
      <c r="H213" s="26" t="inlineStr">
        <is>
          <t>☐</t>
        </is>
      </c>
      <c r="I213" s="26" t="inlineStr">
        <is>
          <t>☐</t>
        </is>
      </c>
      <c r="J213" s="26" t="inlineStr">
        <is>
          <t>☐</t>
        </is>
      </c>
      <c r="K213" s="26" t="inlineStr">
        <is>
          <t>☐</t>
        </is>
      </c>
      <c r="L213" s="26" t="inlineStr">
        <is>
          <t>☐</t>
        </is>
      </c>
      <c r="M213" s="25" t="n"/>
      <c r="N213" s="27" t="n">
        <v>0</v>
      </c>
      <c r="O213" s="28" t="n"/>
      <c r="P213" s="23" t="n"/>
      <c r="Q213" s="29" t="n"/>
      <c r="R213" s="29" t="n"/>
      <c r="S213" s="23" t="n"/>
      <c r="T213" s="30" t="n"/>
      <c r="U213" s="31" t="inlineStr">
        <is>
          <t>高</t>
        </is>
      </c>
      <c r="V213" s="32" t="inlineStr">
        <is>
          <t>公式資料で確認。中高共通</t>
        </is>
      </c>
      <c r="W213" s="33" t="inlineStr">
        <is>
          <t>開く</t>
        </is>
      </c>
    </row>
    <row r="214" ht="30" customHeight="1">
      <c r="A214" s="23" t="inlineStr">
        <is>
          <t>11埼玉県</t>
        </is>
      </c>
      <c r="B214" s="23" t="inlineStr">
        <is>
          <t>私立</t>
        </is>
      </c>
      <c r="C214" s="23" t="n"/>
      <c r="D214" s="23" t="inlineStr">
        <is>
          <t>開智高等学校（埼玉県）</t>
        </is>
      </c>
      <c r="E214" s="24" t="inlineStr">
        <is>
          <t>048-794-4321</t>
        </is>
      </c>
      <c r="F214" s="23" t="n"/>
      <c r="G214" s="25" t="inlineStr">
        <is>
          <t>普通科</t>
        </is>
      </c>
      <c r="H214" s="26" t="inlineStr">
        <is>
          <t>☐</t>
        </is>
      </c>
      <c r="I214" s="26" t="inlineStr">
        <is>
          <t>☐</t>
        </is>
      </c>
      <c r="J214" s="26" t="inlineStr">
        <is>
          <t>☐</t>
        </is>
      </c>
      <c r="K214" s="26" t="inlineStr">
        <is>
          <t>☐</t>
        </is>
      </c>
      <c r="L214" s="26" t="inlineStr">
        <is>
          <t>☐</t>
        </is>
      </c>
      <c r="M214" s="25" t="n"/>
      <c r="N214" s="27" t="n">
        <v>0</v>
      </c>
      <c r="O214" s="28" t="n"/>
      <c r="P214" s="23" t="n"/>
      <c r="Q214" s="29" t="n"/>
      <c r="R214" s="29" t="n"/>
      <c r="S214" s="23" t="n"/>
      <c r="T214" s="30" t="n"/>
      <c r="U214" s="34" t="inlineStr">
        <is>
          <t>中</t>
        </is>
      </c>
      <c r="V214" s="32" t="inlineStr">
        <is>
          <t>代表として掲載。高等部（048-793-1370）・一貫部（048-795-0777）の番号が別にあり要確認</t>
        </is>
      </c>
      <c r="W214" s="33" t="inlineStr">
        <is>
          <t>開く</t>
        </is>
      </c>
    </row>
    <row r="215" ht="30" customHeight="1">
      <c r="A215" s="23" t="inlineStr">
        <is>
          <t>11埼玉県</t>
        </is>
      </c>
      <c r="B215" s="23" t="inlineStr">
        <is>
          <t>私立</t>
        </is>
      </c>
      <c r="C215" s="23" t="n"/>
      <c r="D215" s="23" t="inlineStr">
        <is>
          <t>開智未来高等学校</t>
        </is>
      </c>
      <c r="E215" s="24" t="inlineStr">
        <is>
          <t>0280-61-2021</t>
        </is>
      </c>
      <c r="F215" s="23" t="n"/>
      <c r="G215" s="25" t="inlineStr">
        <is>
          <t>普通科</t>
        </is>
      </c>
      <c r="H215" s="26" t="inlineStr">
        <is>
          <t>☐</t>
        </is>
      </c>
      <c r="I215" s="26" t="inlineStr">
        <is>
          <t>☐</t>
        </is>
      </c>
      <c r="J215" s="26" t="inlineStr">
        <is>
          <t>☐</t>
        </is>
      </c>
      <c r="K215" s="26" t="inlineStr">
        <is>
          <t>☐</t>
        </is>
      </c>
      <c r="L215" s="26" t="inlineStr">
        <is>
          <t>☐</t>
        </is>
      </c>
      <c r="M215" s="25" t="n"/>
      <c r="N215" s="27" t="n">
        <v>0</v>
      </c>
      <c r="O215" s="28" t="n"/>
      <c r="P215" s="23" t="n"/>
      <c r="Q215" s="29" t="n"/>
      <c r="R215" s="29" t="n"/>
      <c r="S215" s="23" t="n"/>
      <c r="T215" s="30" t="n"/>
      <c r="U215" s="34" t="inlineStr">
        <is>
          <t>中</t>
        </is>
      </c>
      <c r="V215" s="32" t="inlineStr">
        <is>
          <t>代表として掲載（0280-61-2031を載せるサイトもあり）</t>
        </is>
      </c>
      <c r="W215" s="33" t="inlineStr">
        <is>
          <t>開く</t>
        </is>
      </c>
    </row>
    <row r="216" ht="30" customHeight="1">
      <c r="A216" s="23" t="inlineStr">
        <is>
          <t>11埼玉県</t>
        </is>
      </c>
      <c r="B216" s="23" t="inlineStr">
        <is>
          <t>私立</t>
        </is>
      </c>
      <c r="C216" s="23" t="n"/>
      <c r="D216" s="23" t="inlineStr">
        <is>
          <t>春日部共栄高等学校</t>
        </is>
      </c>
      <c r="E216" s="24" t="inlineStr">
        <is>
          <t>048-737-7611</t>
        </is>
      </c>
      <c r="F216" s="23" t="n"/>
      <c r="G216" s="25" t="inlineStr">
        <is>
          <t>普通科</t>
        </is>
      </c>
      <c r="H216" s="26" t="inlineStr">
        <is>
          <t>☐</t>
        </is>
      </c>
      <c r="I216" s="26" t="inlineStr">
        <is>
          <t>☐</t>
        </is>
      </c>
      <c r="J216" s="26" t="inlineStr">
        <is>
          <t>☐</t>
        </is>
      </c>
      <c r="K216" s="26" t="inlineStr">
        <is>
          <t>☐</t>
        </is>
      </c>
      <c r="L216" s="26" t="inlineStr">
        <is>
          <t>☐</t>
        </is>
      </c>
      <c r="M216" s="25" t="n"/>
      <c r="N216" s="27" t="n">
        <v>0</v>
      </c>
      <c r="O216" s="28" t="n"/>
      <c r="P216" s="23" t="n"/>
      <c r="Q216" s="29" t="n"/>
      <c r="R216" s="29" t="n"/>
      <c r="S216" s="23" t="n"/>
      <c r="T216" s="30" t="n"/>
      <c r="U216" s="31" t="inlineStr">
        <is>
          <t>高</t>
        </is>
      </c>
      <c r="V216" s="32" t="inlineStr">
        <is>
          <t>中高共通</t>
        </is>
      </c>
      <c r="W216" s="33" t="inlineStr">
        <is>
          <t>開く</t>
        </is>
      </c>
    </row>
    <row r="217" ht="30" customHeight="1">
      <c r="A217" s="23" t="inlineStr">
        <is>
          <t>11埼玉県</t>
        </is>
      </c>
      <c r="B217" s="23" t="inlineStr">
        <is>
          <t>私立</t>
        </is>
      </c>
      <c r="C217" s="23" t="n"/>
      <c r="D217" s="23" t="inlineStr">
        <is>
          <t>霞ヶ関高等学校</t>
        </is>
      </c>
      <c r="E217" s="24" t="inlineStr">
        <is>
          <t>049-233-3636</t>
        </is>
      </c>
      <c r="F217" s="23" t="n"/>
      <c r="G217" s="25" t="inlineStr">
        <is>
          <t>普通科</t>
        </is>
      </c>
      <c r="H217" s="26" t="inlineStr">
        <is>
          <t>☐</t>
        </is>
      </c>
      <c r="I217" s="26" t="inlineStr">
        <is>
          <t>☐</t>
        </is>
      </c>
      <c r="J217" s="26" t="inlineStr">
        <is>
          <t>☐</t>
        </is>
      </c>
      <c r="K217" s="26" t="inlineStr">
        <is>
          <t>☐</t>
        </is>
      </c>
      <c r="L217" s="26" t="inlineStr">
        <is>
          <t>☐</t>
        </is>
      </c>
      <c r="M217" s="25" t="n"/>
      <c r="N217" s="27" t="n">
        <v>0</v>
      </c>
      <c r="O217" s="28" t="n"/>
      <c r="P217" s="23" t="n"/>
      <c r="Q217" s="29" t="n"/>
      <c r="R217" s="29" t="n"/>
      <c r="S217" s="23" t="n"/>
      <c r="T217" s="30" t="n"/>
      <c r="U217" s="34" t="inlineStr">
        <is>
          <t>中</t>
        </is>
      </c>
      <c r="V217" s="32" t="inlineStr">
        <is>
          <t>通信制。学校情報サイト1件のみで確認</t>
        </is>
      </c>
      <c r="W217" s="33" t="inlineStr">
        <is>
          <t>開く</t>
        </is>
      </c>
    </row>
    <row r="218" ht="30" customHeight="1">
      <c r="A218" s="23" t="inlineStr">
        <is>
          <t>11埼玉県</t>
        </is>
      </c>
      <c r="B218" s="23" t="inlineStr">
        <is>
          <t>私立</t>
        </is>
      </c>
      <c r="C218" s="23" t="n"/>
      <c r="D218" s="23" t="inlineStr">
        <is>
          <t>川越東高等学校</t>
        </is>
      </c>
      <c r="E218" s="24" t="inlineStr">
        <is>
          <t>049-235-4811</t>
        </is>
      </c>
      <c r="F218" s="23" t="n"/>
      <c r="G218" s="25" t="inlineStr">
        <is>
          <t>普通科</t>
        </is>
      </c>
      <c r="H218" s="26" t="inlineStr">
        <is>
          <t>☐</t>
        </is>
      </c>
      <c r="I218" s="26" t="inlineStr">
        <is>
          <t>☐</t>
        </is>
      </c>
      <c r="J218" s="26" t="inlineStr">
        <is>
          <t>☐</t>
        </is>
      </c>
      <c r="K218" s="26" t="inlineStr">
        <is>
          <t>☐</t>
        </is>
      </c>
      <c r="L218" s="26" t="inlineStr">
        <is>
          <t>☐</t>
        </is>
      </c>
      <c r="M218" s="25" t="n"/>
      <c r="N218" s="27" t="n">
        <v>0</v>
      </c>
      <c r="O218" s="28" t="n"/>
      <c r="P218" s="23" t="n"/>
      <c r="Q218" s="29" t="n"/>
      <c r="R218" s="29" t="n"/>
      <c r="S218" s="23" t="n"/>
      <c r="T218" s="30" t="n"/>
      <c r="U218" s="31" t="inlineStr">
        <is>
          <t>高</t>
        </is>
      </c>
      <c r="V218" s="32" t="inlineStr">
        <is>
          <t>2つの情報源で一致</t>
        </is>
      </c>
      <c r="W218" s="33" t="inlineStr">
        <is>
          <t>開く</t>
        </is>
      </c>
    </row>
    <row r="219" ht="30" customHeight="1">
      <c r="A219" s="23" t="inlineStr">
        <is>
          <t>11埼玉県</t>
        </is>
      </c>
      <c r="B219" s="23" t="inlineStr">
        <is>
          <t>私立</t>
        </is>
      </c>
      <c r="C219" s="23" t="n"/>
      <c r="D219" s="23" t="inlineStr">
        <is>
          <t>慶應義塾志木高等学校</t>
        </is>
      </c>
      <c r="E219" s="24" t="inlineStr">
        <is>
          <t>048-471-1361</t>
        </is>
      </c>
      <c r="F219" s="23" t="n"/>
      <c r="G219" s="25" t="inlineStr">
        <is>
          <t>普通科</t>
        </is>
      </c>
      <c r="H219" s="26" t="inlineStr">
        <is>
          <t>☐</t>
        </is>
      </c>
      <c r="I219" s="26" t="inlineStr">
        <is>
          <t>☐</t>
        </is>
      </c>
      <c r="J219" s="26" t="inlineStr">
        <is>
          <t>☐</t>
        </is>
      </c>
      <c r="K219" s="26" t="inlineStr">
        <is>
          <t>☐</t>
        </is>
      </c>
      <c r="L219" s="26" t="inlineStr">
        <is>
          <t>☐</t>
        </is>
      </c>
      <c r="M219" s="25" t="n"/>
      <c r="N219" s="27" t="n">
        <v>0</v>
      </c>
      <c r="O219" s="28" t="n"/>
      <c r="P219" s="23" t="n"/>
      <c r="Q219" s="29" t="n"/>
      <c r="R219" s="29" t="n"/>
      <c r="S219" s="23" t="n"/>
      <c r="T219" s="30" t="n"/>
      <c r="U219" s="31" t="inlineStr">
        <is>
          <t>高</t>
        </is>
      </c>
      <c r="V219" s="32" t="inlineStr">
        <is>
          <t>公式資料に「代表」と記載</t>
        </is>
      </c>
      <c r="W219" s="33" t="inlineStr">
        <is>
          <t>開く</t>
        </is>
      </c>
    </row>
    <row r="220" ht="30" customHeight="1">
      <c r="A220" s="23" t="inlineStr">
        <is>
          <t>11埼玉県</t>
        </is>
      </c>
      <c r="B220" s="23" t="inlineStr">
        <is>
          <t>私立</t>
        </is>
      </c>
      <c r="C220" s="23" t="n"/>
      <c r="D220" s="23" t="inlineStr">
        <is>
          <t>国際学院高等学校</t>
        </is>
      </c>
      <c r="E220" s="24" t="inlineStr">
        <is>
          <t>048-721-5931</t>
        </is>
      </c>
      <c r="F220" s="23" t="n"/>
      <c r="G220" s="25" t="inlineStr">
        <is>
          <t>普通科・総合学科</t>
        </is>
      </c>
      <c r="H220" s="26" t="inlineStr">
        <is>
          <t>☐</t>
        </is>
      </c>
      <c r="I220" s="26" t="inlineStr">
        <is>
          <t>☐</t>
        </is>
      </c>
      <c r="J220" s="26" t="inlineStr">
        <is>
          <t>☐</t>
        </is>
      </c>
      <c r="K220" s="26" t="inlineStr">
        <is>
          <t>☐</t>
        </is>
      </c>
      <c r="L220" s="26" t="inlineStr">
        <is>
          <t>☐</t>
        </is>
      </c>
      <c r="M220" s="25" t="n"/>
      <c r="N220" s="27" t="n">
        <v>0</v>
      </c>
      <c r="O220" s="28" t="n"/>
      <c r="P220" s="23" t="n"/>
      <c r="Q220" s="29" t="n"/>
      <c r="R220" s="29" t="n"/>
      <c r="S220" s="23" t="n"/>
      <c r="T220" s="30" t="n"/>
      <c r="U220" s="31" t="inlineStr">
        <is>
          <t>高</t>
        </is>
      </c>
      <c r="V220" s="32" t="inlineStr">
        <is>
          <t>中高共通。2つの情報源で一致</t>
        </is>
      </c>
      <c r="W220" s="33" t="inlineStr">
        <is>
          <t>開く</t>
        </is>
      </c>
    </row>
    <row r="221" ht="30" customHeight="1">
      <c r="A221" s="23" t="inlineStr">
        <is>
          <t>11埼玉県</t>
        </is>
      </c>
      <c r="B221" s="23" t="inlineStr">
        <is>
          <t>私立</t>
        </is>
      </c>
      <c r="C221" s="23" t="n"/>
      <c r="D221" s="23" t="inlineStr">
        <is>
          <t>埼玉栄高等学校</t>
        </is>
      </c>
      <c r="E221" s="24" t="inlineStr">
        <is>
          <t>048-624-6488</t>
        </is>
      </c>
      <c r="F221" s="23" t="n"/>
      <c r="G221" s="25" t="inlineStr">
        <is>
          <t>普通科・専門学科</t>
        </is>
      </c>
      <c r="H221" s="26" t="inlineStr">
        <is>
          <t>☐</t>
        </is>
      </c>
      <c r="I221" s="26" t="inlineStr">
        <is>
          <t>☐</t>
        </is>
      </c>
      <c r="J221" s="26" t="inlineStr">
        <is>
          <t>☐</t>
        </is>
      </c>
      <c r="K221" s="26" t="inlineStr">
        <is>
          <t>☐</t>
        </is>
      </c>
      <c r="L221" s="26" t="inlineStr">
        <is>
          <t>☐</t>
        </is>
      </c>
      <c r="M221" s="25" t="n"/>
      <c r="N221" s="27" t="n">
        <v>0</v>
      </c>
      <c r="O221" s="28" t="n"/>
      <c r="P221" s="23" t="n"/>
      <c r="Q221" s="29" t="n"/>
      <c r="R221" s="29" t="n"/>
      <c r="S221" s="23" t="n"/>
      <c r="T221" s="30" t="n"/>
      <c r="U221" s="31" t="inlineStr">
        <is>
          <t>高</t>
        </is>
      </c>
      <c r="V221" s="32" t="inlineStr">
        <is>
          <t>中学校は別番号（048-621-2121）</t>
        </is>
      </c>
      <c r="W221" s="33" t="inlineStr">
        <is>
          <t>開く</t>
        </is>
      </c>
    </row>
    <row r="222" ht="30" customHeight="1">
      <c r="A222" s="23" t="inlineStr">
        <is>
          <t>11埼玉県</t>
        </is>
      </c>
      <c r="B222" s="23" t="inlineStr">
        <is>
          <t>私立</t>
        </is>
      </c>
      <c r="C222" s="23" t="n"/>
      <c r="D222" s="23" t="inlineStr">
        <is>
          <t>埼玉平成高等学校</t>
        </is>
      </c>
      <c r="E222" s="24" t="inlineStr">
        <is>
          <t>049-294-8080</t>
        </is>
      </c>
      <c r="F222" s="23" t="n"/>
      <c r="G222" s="25" t="inlineStr">
        <is>
          <t>普通科</t>
        </is>
      </c>
      <c r="H222" s="26" t="inlineStr">
        <is>
          <t>☐</t>
        </is>
      </c>
      <c r="I222" s="26" t="inlineStr">
        <is>
          <t>☐</t>
        </is>
      </c>
      <c r="J222" s="26" t="inlineStr">
        <is>
          <t>☐</t>
        </is>
      </c>
      <c r="K222" s="26" t="inlineStr">
        <is>
          <t>☐</t>
        </is>
      </c>
      <c r="L222" s="26" t="inlineStr">
        <is>
          <t>☐</t>
        </is>
      </c>
      <c r="M222" s="25" t="n"/>
      <c r="N222" s="27" t="n">
        <v>0</v>
      </c>
      <c r="O222" s="28" t="n"/>
      <c r="P222" s="23" t="n"/>
      <c r="Q222" s="29" t="n"/>
      <c r="R222" s="29" t="n"/>
      <c r="S222" s="23" t="n"/>
      <c r="T222" s="30" t="n"/>
      <c r="U222" s="34" t="inlineStr">
        <is>
          <t>中</t>
        </is>
      </c>
      <c r="V222" s="32" t="inlineStr">
        <is>
          <t>中高共通。学校情報サイト1件のみで確認</t>
        </is>
      </c>
      <c r="W222" s="33" t="inlineStr">
        <is>
          <t>開く</t>
        </is>
      </c>
    </row>
    <row r="223" ht="30" customHeight="1">
      <c r="A223" s="23" t="inlineStr">
        <is>
          <t>11埼玉県</t>
        </is>
      </c>
      <c r="B223" s="23" t="inlineStr">
        <is>
          <t>私立</t>
        </is>
      </c>
      <c r="C223" s="23" t="n"/>
      <c r="D223" s="23" t="inlineStr">
        <is>
          <t>栄北高等学校</t>
        </is>
      </c>
      <c r="E223" s="24" t="inlineStr">
        <is>
          <t>048-723-7711</t>
        </is>
      </c>
      <c r="F223" s="23" t="n"/>
      <c r="G223" s="25" t="inlineStr">
        <is>
          <t>普通科</t>
        </is>
      </c>
      <c r="H223" s="26" t="inlineStr">
        <is>
          <t>☐</t>
        </is>
      </c>
      <c r="I223" s="26" t="inlineStr">
        <is>
          <t>☐</t>
        </is>
      </c>
      <c r="J223" s="26" t="inlineStr">
        <is>
          <t>☐</t>
        </is>
      </c>
      <c r="K223" s="26" t="inlineStr">
        <is>
          <t>☐</t>
        </is>
      </c>
      <c r="L223" s="26" t="inlineStr">
        <is>
          <t>☐</t>
        </is>
      </c>
      <c r="M223" s="25" t="n"/>
      <c r="N223" s="27" t="n">
        <v>0</v>
      </c>
      <c r="O223" s="28" t="n"/>
      <c r="P223" s="23" t="n"/>
      <c r="Q223" s="29" t="n"/>
      <c r="R223" s="29" t="n"/>
      <c r="S223" s="23" t="n"/>
      <c r="T223" s="30" t="n"/>
      <c r="U223" s="31" t="inlineStr">
        <is>
          <t>高</t>
        </is>
      </c>
      <c r="V223" s="32" t="inlineStr">
        <is>
          <t>通信制。2つのサイトで一致</t>
        </is>
      </c>
      <c r="W223" s="33" t="inlineStr">
        <is>
          <t>開く</t>
        </is>
      </c>
    </row>
    <row r="224" ht="30" customHeight="1">
      <c r="A224" s="23" t="inlineStr">
        <is>
          <t>11埼玉県</t>
        </is>
      </c>
      <c r="B224" s="23" t="inlineStr">
        <is>
          <t>私立</t>
        </is>
      </c>
      <c r="C224" s="23" t="n"/>
      <c r="D224" s="23" t="inlineStr">
        <is>
          <t>栄東高等学校</t>
        </is>
      </c>
      <c r="E224" s="24" t="inlineStr">
        <is>
          <t>048-651-4050</t>
        </is>
      </c>
      <c r="F224" s="23" t="n"/>
      <c r="G224" s="25" t="inlineStr">
        <is>
          <t>普通科</t>
        </is>
      </c>
      <c r="H224" s="26" t="inlineStr">
        <is>
          <t>☐</t>
        </is>
      </c>
      <c r="I224" s="26" t="inlineStr">
        <is>
          <t>☐</t>
        </is>
      </c>
      <c r="J224" s="26" t="inlineStr">
        <is>
          <t>☐</t>
        </is>
      </c>
      <c r="K224" s="26" t="inlineStr">
        <is>
          <t>☐</t>
        </is>
      </c>
      <c r="L224" s="26" t="inlineStr">
        <is>
          <t>☐</t>
        </is>
      </c>
      <c r="M224" s="25" t="n"/>
      <c r="N224" s="27" t="n">
        <v>0</v>
      </c>
      <c r="O224" s="28" t="n"/>
      <c r="P224" s="23" t="n"/>
      <c r="Q224" s="29" t="n"/>
      <c r="R224" s="29" t="n"/>
      <c r="S224" s="23" t="n"/>
      <c r="T224" s="30" t="n"/>
      <c r="U224" s="31" t="inlineStr">
        <is>
          <t>高</t>
        </is>
      </c>
      <c r="V224" s="32" t="inlineStr">
        <is>
          <t>公式資料に「代表」と記載。入試広報センターは048-666-9288</t>
        </is>
      </c>
      <c r="W224" s="33" t="inlineStr">
        <is>
          <t>開く</t>
        </is>
      </c>
    </row>
    <row r="225" ht="30" customHeight="1">
      <c r="A225" s="23" t="inlineStr">
        <is>
          <t>11埼玉県</t>
        </is>
      </c>
      <c r="B225" s="23" t="inlineStr">
        <is>
          <t>私立</t>
        </is>
      </c>
      <c r="C225" s="23" t="n"/>
      <c r="D225" s="23" t="inlineStr">
        <is>
          <t>狭山ヶ丘高等学校</t>
        </is>
      </c>
      <c r="E225" s="24" t="inlineStr">
        <is>
          <t>04-2962-3844</t>
        </is>
      </c>
      <c r="F225" s="23" t="n"/>
      <c r="G225" s="25" t="inlineStr">
        <is>
          <t>普通科</t>
        </is>
      </c>
      <c r="H225" s="26" t="inlineStr">
        <is>
          <t>☐</t>
        </is>
      </c>
      <c r="I225" s="26" t="inlineStr">
        <is>
          <t>☐</t>
        </is>
      </c>
      <c r="J225" s="26" t="inlineStr">
        <is>
          <t>☐</t>
        </is>
      </c>
      <c r="K225" s="26" t="inlineStr">
        <is>
          <t>☐</t>
        </is>
      </c>
      <c r="L225" s="26" t="inlineStr">
        <is>
          <t>☐</t>
        </is>
      </c>
      <c r="M225" s="25" t="n"/>
      <c r="N225" s="27" t="n">
        <v>0</v>
      </c>
      <c r="O225" s="28" t="n"/>
      <c r="P225" s="23" t="n"/>
      <c r="Q225" s="29" t="n"/>
      <c r="R225" s="29" t="n"/>
      <c r="S225" s="23" t="n"/>
      <c r="T225" s="30" t="n"/>
      <c r="U225" s="31" t="inlineStr">
        <is>
          <t>高</t>
        </is>
      </c>
      <c r="V225" s="32" t="inlineStr">
        <is>
          <t>付属中学校と共通</t>
        </is>
      </c>
      <c r="W225" s="33" t="inlineStr">
        <is>
          <t>開く</t>
        </is>
      </c>
    </row>
    <row r="226" ht="30" customHeight="1">
      <c r="A226" s="23" t="inlineStr">
        <is>
          <t>11埼玉県</t>
        </is>
      </c>
      <c r="B226" s="23" t="inlineStr">
        <is>
          <t>私立</t>
        </is>
      </c>
      <c r="C226" s="23" t="n"/>
      <c r="D226" s="23" t="inlineStr">
        <is>
          <t>志学会高等学校</t>
        </is>
      </c>
      <c r="E226" s="24" t="n"/>
      <c r="F226" s="23" t="n"/>
      <c r="G226" s="25" t="inlineStr">
        <is>
          <t>普通科</t>
        </is>
      </c>
      <c r="H226" s="26" t="inlineStr">
        <is>
          <t>☐</t>
        </is>
      </c>
      <c r="I226" s="26" t="inlineStr">
        <is>
          <t>☐</t>
        </is>
      </c>
      <c r="J226" s="26" t="inlineStr">
        <is>
          <t>☐</t>
        </is>
      </c>
      <c r="K226" s="26" t="inlineStr">
        <is>
          <t>☐</t>
        </is>
      </c>
      <c r="L226" s="26" t="inlineStr">
        <is>
          <t>☐</t>
        </is>
      </c>
      <c r="M226" s="25" t="n"/>
      <c r="N226" s="27" t="n">
        <v>0</v>
      </c>
      <c r="O226" s="28" t="n"/>
      <c r="P226" s="23" t="n"/>
      <c r="Q226" s="29" t="n"/>
      <c r="R226" s="29" t="n"/>
      <c r="S226" s="23" t="n"/>
      <c r="T226" s="30" t="n"/>
      <c r="U226" s="35" t="inlineStr">
        <is>
          <t>要調査</t>
        </is>
      </c>
      <c r="V226" s="32" t="inlineStr">
        <is>
          <t>通信制。電話番号が見つからず（杉戸町並塚。2025年8月に岩槻校舎開校）</t>
        </is>
      </c>
      <c r="W226" s="33" t="inlineStr">
        <is>
          <t>開く</t>
        </is>
      </c>
    </row>
    <row r="227" ht="30" customHeight="1">
      <c r="A227" s="23" t="inlineStr">
        <is>
          <t>11埼玉県</t>
        </is>
      </c>
      <c r="B227" s="23" t="inlineStr">
        <is>
          <t>私立</t>
        </is>
      </c>
      <c r="C227" s="23" t="n"/>
      <c r="D227" s="23" t="inlineStr">
        <is>
          <t>秀明英光高等学校</t>
        </is>
      </c>
      <c r="E227" s="24" t="inlineStr">
        <is>
          <t>048-781-8821</t>
        </is>
      </c>
      <c r="F227" s="23" t="n"/>
      <c r="G227" s="25" t="inlineStr">
        <is>
          <t>普通科</t>
        </is>
      </c>
      <c r="H227" s="26" t="inlineStr">
        <is>
          <t>☐</t>
        </is>
      </c>
      <c r="I227" s="26" t="inlineStr">
        <is>
          <t>☐</t>
        </is>
      </c>
      <c r="J227" s="26" t="inlineStr">
        <is>
          <t>☐</t>
        </is>
      </c>
      <c r="K227" s="26" t="inlineStr">
        <is>
          <t>☐</t>
        </is>
      </c>
      <c r="L227" s="26" t="inlineStr">
        <is>
          <t>☐</t>
        </is>
      </c>
      <c r="M227" s="25" t="n"/>
      <c r="N227" s="27" t="n">
        <v>0</v>
      </c>
      <c r="O227" s="28" t="n"/>
      <c r="P227" s="23" t="n"/>
      <c r="Q227" s="29" t="n"/>
      <c r="R227" s="29" t="n"/>
      <c r="S227" s="23" t="n"/>
      <c r="T227" s="30" t="n"/>
      <c r="U227" s="31" t="inlineStr">
        <is>
          <t>高</t>
        </is>
      </c>
      <c r="V227" s="32" t="inlineStr">
        <is>
          <t>公式パンフレットに「代表」と記載</t>
        </is>
      </c>
      <c r="W227" s="33" t="inlineStr">
        <is>
          <t>開く</t>
        </is>
      </c>
    </row>
    <row r="228" ht="30" customHeight="1">
      <c r="A228" s="23" t="inlineStr">
        <is>
          <t>11埼玉県</t>
        </is>
      </c>
      <c r="B228" s="23" t="inlineStr">
        <is>
          <t>私立</t>
        </is>
      </c>
      <c r="C228" s="23" t="n"/>
      <c r="D228" s="23" t="inlineStr">
        <is>
          <t>秀明高等学校</t>
        </is>
      </c>
      <c r="E228" s="24" t="inlineStr">
        <is>
          <t>049-232-6611</t>
        </is>
      </c>
      <c r="F228" s="23" t="n"/>
      <c r="G228" s="25" t="inlineStr">
        <is>
          <t>普通科</t>
        </is>
      </c>
      <c r="H228" s="26" t="inlineStr">
        <is>
          <t>☐</t>
        </is>
      </c>
      <c r="I228" s="26" t="inlineStr">
        <is>
          <t>☐</t>
        </is>
      </c>
      <c r="J228" s="26" t="inlineStr">
        <is>
          <t>☐</t>
        </is>
      </c>
      <c r="K228" s="26" t="inlineStr">
        <is>
          <t>☐</t>
        </is>
      </c>
      <c r="L228" s="26" t="inlineStr">
        <is>
          <t>☐</t>
        </is>
      </c>
      <c r="M228" s="25" t="n"/>
      <c r="N228" s="27" t="n">
        <v>0</v>
      </c>
      <c r="O228" s="28" t="n"/>
      <c r="P228" s="23" t="n"/>
      <c r="Q228" s="29" t="n"/>
      <c r="R228" s="29" t="n"/>
      <c r="S228" s="23" t="n"/>
      <c r="T228" s="30" t="n"/>
      <c r="U228" s="34" t="inlineStr">
        <is>
          <t>中</t>
        </is>
      </c>
      <c r="V228" s="32" t="inlineStr">
        <is>
          <t>中高共通。学校情報サイト1件のみで確認</t>
        </is>
      </c>
      <c r="W228" s="33" t="inlineStr">
        <is>
          <t>開く</t>
        </is>
      </c>
    </row>
    <row r="229" ht="30" customHeight="1">
      <c r="A229" s="23" t="inlineStr">
        <is>
          <t>11埼玉県</t>
        </is>
      </c>
      <c r="B229" s="23" t="inlineStr">
        <is>
          <t>私立</t>
        </is>
      </c>
      <c r="C229" s="23" t="n"/>
      <c r="D229" s="23" t="inlineStr">
        <is>
          <t>淑徳与野高等学校</t>
        </is>
      </c>
      <c r="E229" s="24" t="inlineStr">
        <is>
          <t>048-840-1035</t>
        </is>
      </c>
      <c r="F229" s="23" t="n"/>
      <c r="G229" s="25" t="inlineStr">
        <is>
          <t>普通科</t>
        </is>
      </c>
      <c r="H229" s="26" t="inlineStr">
        <is>
          <t>☐</t>
        </is>
      </c>
      <c r="I229" s="26" t="inlineStr">
        <is>
          <t>☐</t>
        </is>
      </c>
      <c r="J229" s="26" t="inlineStr">
        <is>
          <t>☐</t>
        </is>
      </c>
      <c r="K229" s="26" t="inlineStr">
        <is>
          <t>☐</t>
        </is>
      </c>
      <c r="L229" s="26" t="inlineStr">
        <is>
          <t>☐</t>
        </is>
      </c>
      <c r="M229" s="25" t="n"/>
      <c r="N229" s="27" t="n">
        <v>0</v>
      </c>
      <c r="O229" s="28" t="n"/>
      <c r="P229" s="23" t="n"/>
      <c r="Q229" s="29" t="n"/>
      <c r="R229" s="29" t="n"/>
      <c r="S229" s="23" t="n"/>
      <c r="T229" s="30" t="n"/>
      <c r="U229" s="31" t="inlineStr">
        <is>
          <t>高</t>
        </is>
      </c>
      <c r="V229" s="32" t="inlineStr">
        <is>
          <t>中高共通</t>
        </is>
      </c>
      <c r="W229" s="33" t="inlineStr">
        <is>
          <t>開く</t>
        </is>
      </c>
    </row>
    <row r="230" ht="30" customHeight="1">
      <c r="A230" s="23" t="inlineStr">
        <is>
          <t>11埼玉県</t>
        </is>
      </c>
      <c r="B230" s="23" t="inlineStr">
        <is>
          <t>私立</t>
        </is>
      </c>
      <c r="C230" s="23" t="n"/>
      <c r="D230" s="23" t="inlineStr">
        <is>
          <t>城西大学付属川越高等学校</t>
        </is>
      </c>
      <c r="E230" s="24" t="inlineStr">
        <is>
          <t>049-224-5665</t>
        </is>
      </c>
      <c r="F230" s="23" t="n"/>
      <c r="G230" s="25" t="inlineStr">
        <is>
          <t>普通科</t>
        </is>
      </c>
      <c r="H230" s="26" t="inlineStr">
        <is>
          <t>☐</t>
        </is>
      </c>
      <c r="I230" s="26" t="inlineStr">
        <is>
          <t>☐</t>
        </is>
      </c>
      <c r="J230" s="26" t="inlineStr">
        <is>
          <t>☐</t>
        </is>
      </c>
      <c r="K230" s="26" t="inlineStr">
        <is>
          <t>☐</t>
        </is>
      </c>
      <c r="L230" s="26" t="inlineStr">
        <is>
          <t>☐</t>
        </is>
      </c>
      <c r="M230" s="25" t="n"/>
      <c r="N230" s="27" t="n">
        <v>0</v>
      </c>
      <c r="O230" s="28" t="n"/>
      <c r="P230" s="23" t="n"/>
      <c r="Q230" s="29" t="n"/>
      <c r="R230" s="29" t="n"/>
      <c r="S230" s="23" t="n"/>
      <c r="T230" s="30" t="n"/>
      <c r="U230" s="31" t="inlineStr">
        <is>
          <t>高</t>
        </is>
      </c>
      <c r="V230" s="32" t="inlineStr">
        <is>
          <t>中高共通。2つの情報源で一致</t>
        </is>
      </c>
      <c r="W230" s="33" t="inlineStr">
        <is>
          <t>開く</t>
        </is>
      </c>
    </row>
    <row r="231" ht="30" customHeight="1">
      <c r="A231" s="23" t="inlineStr">
        <is>
          <t>11埼玉県</t>
        </is>
      </c>
      <c r="B231" s="23" t="inlineStr">
        <is>
          <t>私立</t>
        </is>
      </c>
      <c r="C231" s="23" t="n"/>
      <c r="D231" s="23" t="inlineStr">
        <is>
          <t>正智深谷高等学校</t>
        </is>
      </c>
      <c r="E231" s="24" t="inlineStr">
        <is>
          <t>048-571-6032</t>
        </is>
      </c>
      <c r="F231" s="23" t="n"/>
      <c r="G231" s="25" t="inlineStr">
        <is>
          <t>普通科</t>
        </is>
      </c>
      <c r="H231" s="26" t="inlineStr">
        <is>
          <t>☐</t>
        </is>
      </c>
      <c r="I231" s="26" t="inlineStr">
        <is>
          <t>☐</t>
        </is>
      </c>
      <c r="J231" s="26" t="inlineStr">
        <is>
          <t>☐</t>
        </is>
      </c>
      <c r="K231" s="26" t="inlineStr">
        <is>
          <t>☐</t>
        </is>
      </c>
      <c r="L231" s="26" t="inlineStr">
        <is>
          <t>☐</t>
        </is>
      </c>
      <c r="M231" s="25" t="n"/>
      <c r="N231" s="27" t="n">
        <v>0</v>
      </c>
      <c r="O231" s="28" t="n"/>
      <c r="P231" s="23" t="n"/>
      <c r="Q231" s="29" t="n"/>
      <c r="R231" s="29" t="n"/>
      <c r="S231" s="23" t="n"/>
      <c r="T231" s="30" t="n"/>
      <c r="U231" s="34" t="inlineStr">
        <is>
          <t>中</t>
        </is>
      </c>
      <c r="V231" s="32" t="inlineStr">
        <is>
          <t>学校情報サイト1件のみで確認</t>
        </is>
      </c>
      <c r="W231" s="33" t="inlineStr">
        <is>
          <t>開く</t>
        </is>
      </c>
    </row>
    <row r="232" ht="30" customHeight="1">
      <c r="A232" s="23" t="inlineStr">
        <is>
          <t>11埼玉県</t>
        </is>
      </c>
      <c r="B232" s="23" t="inlineStr">
        <is>
          <t>私立</t>
        </is>
      </c>
      <c r="C232" s="23" t="n"/>
      <c r="D232" s="23" t="inlineStr">
        <is>
          <t>昌平高等学校</t>
        </is>
      </c>
      <c r="E232" s="24" t="inlineStr">
        <is>
          <t>0480-34-3381</t>
        </is>
      </c>
      <c r="F232" s="23" t="n"/>
      <c r="G232" s="25" t="inlineStr">
        <is>
          <t>普通科</t>
        </is>
      </c>
      <c r="H232" s="26" t="inlineStr">
        <is>
          <t>☐</t>
        </is>
      </c>
      <c r="I232" s="26" t="inlineStr">
        <is>
          <t>☐</t>
        </is>
      </c>
      <c r="J232" s="26" t="inlineStr">
        <is>
          <t>☐</t>
        </is>
      </c>
      <c r="K232" s="26" t="inlineStr">
        <is>
          <t>☐</t>
        </is>
      </c>
      <c r="L232" s="26" t="inlineStr">
        <is>
          <t>☐</t>
        </is>
      </c>
      <c r="M232" s="25" t="n"/>
      <c r="N232" s="27" t="n">
        <v>0</v>
      </c>
      <c r="O232" s="28" t="n"/>
      <c r="P232" s="23" t="n"/>
      <c r="Q232" s="29" t="n"/>
      <c r="R232" s="29" t="n"/>
      <c r="S232" s="23" t="n"/>
      <c r="T232" s="30" t="n"/>
      <c r="U232" s="31" t="inlineStr">
        <is>
          <t>高</t>
        </is>
      </c>
      <c r="V232" s="32" t="inlineStr">
        <is>
          <t>2つのサイトで一致</t>
        </is>
      </c>
      <c r="W232" s="33" t="inlineStr">
        <is>
          <t>開く</t>
        </is>
      </c>
    </row>
    <row r="233" ht="30" customHeight="1">
      <c r="A233" s="23" t="inlineStr">
        <is>
          <t>11埼玉県</t>
        </is>
      </c>
      <c r="B233" s="23" t="inlineStr">
        <is>
          <t>私立</t>
        </is>
      </c>
      <c r="C233" s="23" t="n"/>
      <c r="D233" s="23" t="inlineStr">
        <is>
          <t>自由の森学園高等学校</t>
        </is>
      </c>
      <c r="E233" s="24" t="inlineStr">
        <is>
          <t>042-972-3131</t>
        </is>
      </c>
      <c r="F233" s="23" t="n"/>
      <c r="G233" s="25" t="inlineStr">
        <is>
          <t>普通科</t>
        </is>
      </c>
      <c r="H233" s="26" t="inlineStr">
        <is>
          <t>☐</t>
        </is>
      </c>
      <c r="I233" s="26" t="inlineStr">
        <is>
          <t>☐</t>
        </is>
      </c>
      <c r="J233" s="26" t="inlineStr">
        <is>
          <t>☐</t>
        </is>
      </c>
      <c r="K233" s="26" t="inlineStr">
        <is>
          <t>☐</t>
        </is>
      </c>
      <c r="L233" s="26" t="inlineStr">
        <is>
          <t>☐</t>
        </is>
      </c>
      <c r="M233" s="25" t="n"/>
      <c r="N233" s="27" t="n">
        <v>0</v>
      </c>
      <c r="O233" s="28" t="n"/>
      <c r="P233" s="23" t="n"/>
      <c r="Q233" s="29" t="n"/>
      <c r="R233" s="29" t="n"/>
      <c r="S233" s="23" t="n"/>
      <c r="T233" s="30" t="n"/>
      <c r="U233" s="31" t="inlineStr">
        <is>
          <t>高</t>
        </is>
      </c>
      <c r="V233" s="32" t="inlineStr">
        <is>
          <t>中高共通</t>
        </is>
      </c>
      <c r="W233" s="33" t="inlineStr">
        <is>
          <t>開く</t>
        </is>
      </c>
    </row>
    <row r="234" ht="30" customHeight="1">
      <c r="A234" s="23" t="inlineStr">
        <is>
          <t>11埼玉県</t>
        </is>
      </c>
      <c r="B234" s="23" t="inlineStr">
        <is>
          <t>私立</t>
        </is>
      </c>
      <c r="C234" s="23" t="n"/>
      <c r="D234" s="23" t="inlineStr">
        <is>
          <t>城北埼玉高等学校</t>
        </is>
      </c>
      <c r="E234" s="24" t="inlineStr">
        <is>
          <t>049-235-3222</t>
        </is>
      </c>
      <c r="F234" s="23" t="n"/>
      <c r="G234" s="25" t="inlineStr">
        <is>
          <t>普通科</t>
        </is>
      </c>
      <c r="H234" s="26" t="inlineStr">
        <is>
          <t>☐</t>
        </is>
      </c>
      <c r="I234" s="26" t="inlineStr">
        <is>
          <t>☐</t>
        </is>
      </c>
      <c r="J234" s="26" t="inlineStr">
        <is>
          <t>☐</t>
        </is>
      </c>
      <c r="K234" s="26" t="inlineStr">
        <is>
          <t>☐</t>
        </is>
      </c>
      <c r="L234" s="26" t="inlineStr">
        <is>
          <t>☐</t>
        </is>
      </c>
      <c r="M234" s="25" t="n"/>
      <c r="N234" s="27" t="n">
        <v>0</v>
      </c>
      <c r="O234" s="28" t="n"/>
      <c r="P234" s="23" t="n"/>
      <c r="Q234" s="29" t="n"/>
      <c r="R234" s="29" t="n"/>
      <c r="S234" s="23" t="n"/>
      <c r="T234" s="30" t="n"/>
      <c r="U234" s="34" t="inlineStr">
        <is>
          <t>中</t>
        </is>
      </c>
      <c r="V234" s="32" t="inlineStr">
        <is>
          <t>中高併設。学校情報サイト1件のみで確認</t>
        </is>
      </c>
      <c r="W234" s="33" t="inlineStr">
        <is>
          <t>開く</t>
        </is>
      </c>
    </row>
    <row r="235" ht="30" customHeight="1">
      <c r="A235" s="23" t="inlineStr">
        <is>
          <t>11埼玉県</t>
        </is>
      </c>
      <c r="B235" s="23" t="inlineStr">
        <is>
          <t>私立</t>
        </is>
      </c>
      <c r="C235" s="23" t="n"/>
      <c r="D235" s="23" t="inlineStr">
        <is>
          <t>西武学園文理高等学校</t>
        </is>
      </c>
      <c r="E235" s="24" t="inlineStr">
        <is>
          <t>04-2954-4080</t>
        </is>
      </c>
      <c r="F235" s="23" t="n"/>
      <c r="G235" s="25" t="inlineStr">
        <is>
          <t>普通科・専門学科</t>
        </is>
      </c>
      <c r="H235" s="26" t="inlineStr">
        <is>
          <t>☐</t>
        </is>
      </c>
      <c r="I235" s="26" t="inlineStr">
        <is>
          <t>☐</t>
        </is>
      </c>
      <c r="J235" s="26" t="inlineStr">
        <is>
          <t>☐</t>
        </is>
      </c>
      <c r="K235" s="26" t="inlineStr">
        <is>
          <t>☐</t>
        </is>
      </c>
      <c r="L235" s="26" t="inlineStr">
        <is>
          <t>☐</t>
        </is>
      </c>
      <c r="M235" s="25" t="n"/>
      <c r="N235" s="27" t="n">
        <v>0</v>
      </c>
      <c r="O235" s="28" t="n"/>
      <c r="P235" s="23" t="n"/>
      <c r="Q235" s="29" t="n"/>
      <c r="R235" s="29" t="n"/>
      <c r="S235" s="23" t="n"/>
      <c r="T235" s="30" t="n"/>
      <c r="U235" s="31" t="inlineStr">
        <is>
          <t>高</t>
        </is>
      </c>
      <c r="V235" s="32" t="inlineStr">
        <is>
          <t>公式資料に「代表」と記載。中高共通</t>
        </is>
      </c>
      <c r="W235" s="33" t="inlineStr">
        <is>
          <t>開く</t>
        </is>
      </c>
    </row>
    <row r="236" ht="30" customHeight="1">
      <c r="A236" s="23" t="inlineStr">
        <is>
          <t>11埼玉県</t>
        </is>
      </c>
      <c r="B236" s="23" t="inlineStr">
        <is>
          <t>私立</t>
        </is>
      </c>
      <c r="C236" s="23" t="n"/>
      <c r="D236" s="23" t="inlineStr">
        <is>
          <t>西武台高等学校</t>
        </is>
      </c>
      <c r="E236" s="24" t="inlineStr">
        <is>
          <t>048-481-1701</t>
        </is>
      </c>
      <c r="F236" s="23" t="n"/>
      <c r="G236" s="25" t="inlineStr">
        <is>
          <t>普通科</t>
        </is>
      </c>
      <c r="H236" s="26" t="inlineStr">
        <is>
          <t>☐</t>
        </is>
      </c>
      <c r="I236" s="26" t="inlineStr">
        <is>
          <t>☐</t>
        </is>
      </c>
      <c r="J236" s="26" t="inlineStr">
        <is>
          <t>☐</t>
        </is>
      </c>
      <c r="K236" s="26" t="inlineStr">
        <is>
          <t>☐</t>
        </is>
      </c>
      <c r="L236" s="26" t="inlineStr">
        <is>
          <t>☐</t>
        </is>
      </c>
      <c r="M236" s="25" t="n"/>
      <c r="N236" s="27" t="n">
        <v>0</v>
      </c>
      <c r="O236" s="28" t="n"/>
      <c r="P236" s="23" t="n"/>
      <c r="Q236" s="29" t="n"/>
      <c r="R236" s="29" t="n"/>
      <c r="S236" s="23" t="n"/>
      <c r="T236" s="30" t="n"/>
      <c r="U236" s="31" t="inlineStr">
        <is>
          <t>高</t>
        </is>
      </c>
      <c r="V236" s="32" t="inlineStr">
        <is>
          <t>西武台新座中学校と共通</t>
        </is>
      </c>
      <c r="W236" s="33" t="inlineStr">
        <is>
          <t>開く</t>
        </is>
      </c>
    </row>
    <row r="237" ht="30" customHeight="1">
      <c r="A237" s="23" t="inlineStr">
        <is>
          <t>11埼玉県</t>
        </is>
      </c>
      <c r="B237" s="23" t="inlineStr">
        <is>
          <t>私立</t>
        </is>
      </c>
      <c r="C237" s="23" t="n"/>
      <c r="D237" s="23" t="inlineStr">
        <is>
          <t>聖望学園高等学校</t>
        </is>
      </c>
      <c r="E237" s="24" t="inlineStr">
        <is>
          <t>042-973-1500</t>
        </is>
      </c>
      <c r="F237" s="23" t="n"/>
      <c r="G237" s="25" t="inlineStr">
        <is>
          <t>普通科</t>
        </is>
      </c>
      <c r="H237" s="26" t="inlineStr">
        <is>
          <t>☐</t>
        </is>
      </c>
      <c r="I237" s="26" t="inlineStr">
        <is>
          <t>☐</t>
        </is>
      </c>
      <c r="J237" s="26" t="inlineStr">
        <is>
          <t>☐</t>
        </is>
      </c>
      <c r="K237" s="26" t="inlineStr">
        <is>
          <t>☐</t>
        </is>
      </c>
      <c r="L237" s="26" t="inlineStr">
        <is>
          <t>☐</t>
        </is>
      </c>
      <c r="M237" s="25" t="n"/>
      <c r="N237" s="27" t="n">
        <v>0</v>
      </c>
      <c r="O237" s="28" t="n"/>
      <c r="P237" s="23" t="n"/>
      <c r="Q237" s="29" t="n"/>
      <c r="R237" s="29" t="n"/>
      <c r="S237" s="23" t="n"/>
      <c r="T237" s="30" t="n"/>
      <c r="U237" s="31" t="inlineStr">
        <is>
          <t>高</t>
        </is>
      </c>
      <c r="V237" s="32" t="inlineStr">
        <is>
          <t>中高共通</t>
        </is>
      </c>
      <c r="W237" s="33" t="inlineStr">
        <is>
          <t>開く</t>
        </is>
      </c>
    </row>
    <row r="238" ht="30" customHeight="1">
      <c r="A238" s="23" t="inlineStr">
        <is>
          <t>11埼玉県</t>
        </is>
      </c>
      <c r="B238" s="23" t="inlineStr">
        <is>
          <t>私立</t>
        </is>
      </c>
      <c r="C238" s="23" t="n"/>
      <c r="D238" s="23" t="inlineStr">
        <is>
          <t>清和学園高等学校</t>
        </is>
      </c>
      <c r="E238" s="24" t="inlineStr">
        <is>
          <t>049-292-2017</t>
        </is>
      </c>
      <c r="F238" s="23" t="n"/>
      <c r="G238" s="25" t="inlineStr">
        <is>
          <t>普通科・専門学科</t>
        </is>
      </c>
      <c r="H238" s="26" t="inlineStr">
        <is>
          <t>☐</t>
        </is>
      </c>
      <c r="I238" s="26" t="inlineStr">
        <is>
          <t>☐</t>
        </is>
      </c>
      <c r="J238" s="26" t="inlineStr">
        <is>
          <t>☐</t>
        </is>
      </c>
      <c r="K238" s="26" t="inlineStr">
        <is>
          <t>☐</t>
        </is>
      </c>
      <c r="L238" s="26" t="inlineStr">
        <is>
          <t>☐</t>
        </is>
      </c>
      <c r="M238" s="25" t="n"/>
      <c r="N238" s="27" t="n">
        <v>0</v>
      </c>
      <c r="O238" s="28" t="n"/>
      <c r="P238" s="23" t="n"/>
      <c r="Q238" s="29" t="n"/>
      <c r="R238" s="29" t="n"/>
      <c r="S238" s="23" t="n"/>
      <c r="T238" s="30" t="n"/>
      <c r="U238" s="34" t="inlineStr">
        <is>
          <t>中</t>
        </is>
      </c>
      <c r="V238" s="32" t="inlineStr">
        <is>
          <t>通信制。学校情報サイト1件のみで確認</t>
        </is>
      </c>
      <c r="W238" s="33" t="inlineStr">
        <is>
          <t>開く</t>
        </is>
      </c>
    </row>
    <row r="239" ht="30" customHeight="1">
      <c r="A239" s="23" t="inlineStr">
        <is>
          <t>11埼玉県</t>
        </is>
      </c>
      <c r="B239" s="23" t="inlineStr">
        <is>
          <t>私立</t>
        </is>
      </c>
      <c r="C239" s="23" t="n"/>
      <c r="D239" s="23" t="inlineStr">
        <is>
          <t>創学舎高等学校</t>
        </is>
      </c>
      <c r="E239" s="24" t="n"/>
      <c r="F239" s="23" t="n"/>
      <c r="G239" s="25" t="inlineStr">
        <is>
          <t>総合学科</t>
        </is>
      </c>
      <c r="H239" s="26" t="inlineStr">
        <is>
          <t>☐</t>
        </is>
      </c>
      <c r="I239" s="26" t="inlineStr">
        <is>
          <t>☐</t>
        </is>
      </c>
      <c r="J239" s="26" t="inlineStr">
        <is>
          <t>☐</t>
        </is>
      </c>
      <c r="K239" s="26" t="inlineStr">
        <is>
          <t>☐</t>
        </is>
      </c>
      <c r="L239" s="26" t="inlineStr">
        <is>
          <t>☐</t>
        </is>
      </c>
      <c r="M239" s="25" t="n"/>
      <c r="N239" s="27" t="n">
        <v>0</v>
      </c>
      <c r="O239" s="28" t="n"/>
      <c r="P239" s="23" t="n"/>
      <c r="Q239" s="29" t="n"/>
      <c r="R239" s="29" t="n"/>
      <c r="S239" s="23" t="n"/>
      <c r="T239" s="30" t="n"/>
      <c r="U239" s="35" t="inlineStr">
        <is>
          <t>要調査</t>
        </is>
      </c>
      <c r="V239" s="32" t="inlineStr">
        <is>
          <t>通信制（株式会社立）。電話番号が見つからず</t>
        </is>
      </c>
      <c r="W239" s="33" t="inlineStr">
        <is>
          <t>開く</t>
        </is>
      </c>
    </row>
    <row r="240" ht="30" customHeight="1">
      <c r="A240" s="23" t="inlineStr">
        <is>
          <t>11埼玉県</t>
        </is>
      </c>
      <c r="B240" s="23" t="inlineStr">
        <is>
          <t>私立</t>
        </is>
      </c>
      <c r="C240" s="23" t="n"/>
      <c r="D240" s="23" t="inlineStr">
        <is>
          <t>東京成徳大学深谷高等学校</t>
        </is>
      </c>
      <c r="E240" s="24" t="inlineStr">
        <is>
          <t>048-571-1303</t>
        </is>
      </c>
      <c r="F240" s="23" t="n"/>
      <c r="G240" s="25" t="inlineStr">
        <is>
          <t>普通科</t>
        </is>
      </c>
      <c r="H240" s="26" t="inlineStr">
        <is>
          <t>☐</t>
        </is>
      </c>
      <c r="I240" s="26" t="inlineStr">
        <is>
          <t>☐</t>
        </is>
      </c>
      <c r="J240" s="26" t="inlineStr">
        <is>
          <t>☐</t>
        </is>
      </c>
      <c r="K240" s="26" t="inlineStr">
        <is>
          <t>☐</t>
        </is>
      </c>
      <c r="L240" s="26" t="inlineStr">
        <is>
          <t>☐</t>
        </is>
      </c>
      <c r="M240" s="25" t="n"/>
      <c r="N240" s="27" t="n">
        <v>0</v>
      </c>
      <c r="O240" s="28" t="n"/>
      <c r="P240" s="23" t="n"/>
      <c r="Q240" s="29" t="n"/>
      <c r="R240" s="29" t="n"/>
      <c r="S240" s="23" t="n"/>
      <c r="T240" s="30" t="n"/>
      <c r="U240" s="34" t="inlineStr">
        <is>
          <t>中</t>
        </is>
      </c>
      <c r="V240" s="32" t="inlineStr">
        <is>
          <t>中高共通。学校情報サイト1件のみで確認</t>
        </is>
      </c>
      <c r="W240" s="33" t="inlineStr">
        <is>
          <t>開く</t>
        </is>
      </c>
    </row>
    <row r="241" ht="30" customHeight="1">
      <c r="A241" s="23" t="inlineStr">
        <is>
          <t>11埼玉県</t>
        </is>
      </c>
      <c r="B241" s="23" t="inlineStr">
        <is>
          <t>私立</t>
        </is>
      </c>
      <c r="C241" s="23" t="n"/>
      <c r="D241" s="23" t="inlineStr">
        <is>
          <t>東京農業大学第三高等学校</t>
        </is>
      </c>
      <c r="E241" s="24" t="inlineStr">
        <is>
          <t>0493-24-4611</t>
        </is>
      </c>
      <c r="F241" s="23" t="n"/>
      <c r="G241" s="25" t="inlineStr">
        <is>
          <t>普通科</t>
        </is>
      </c>
      <c r="H241" s="26" t="inlineStr">
        <is>
          <t>☐</t>
        </is>
      </c>
      <c r="I241" s="26" t="inlineStr">
        <is>
          <t>☐</t>
        </is>
      </c>
      <c r="J241" s="26" t="inlineStr">
        <is>
          <t>☐</t>
        </is>
      </c>
      <c r="K241" s="26" t="inlineStr">
        <is>
          <t>☐</t>
        </is>
      </c>
      <c r="L241" s="26" t="inlineStr">
        <is>
          <t>☐</t>
        </is>
      </c>
      <c r="M241" s="25" t="n"/>
      <c r="N241" s="27" t="n">
        <v>0</v>
      </c>
      <c r="O241" s="28" t="n"/>
      <c r="P241" s="23" t="n"/>
      <c r="Q241" s="29" t="n"/>
      <c r="R241" s="29" t="n"/>
      <c r="S241" s="23" t="n"/>
      <c r="T241" s="30" t="n"/>
      <c r="U241" s="34" t="inlineStr">
        <is>
          <t>中</t>
        </is>
      </c>
      <c r="V241" s="32" t="inlineStr">
        <is>
          <t>中高共通。学校情報サイト1件のみで確認</t>
        </is>
      </c>
      <c r="W241" s="33" t="inlineStr">
        <is>
          <t>開く</t>
        </is>
      </c>
    </row>
    <row r="242" ht="30" customHeight="1">
      <c r="A242" s="23" t="inlineStr">
        <is>
          <t>11埼玉県</t>
        </is>
      </c>
      <c r="B242" s="23" t="inlineStr">
        <is>
          <t>私立</t>
        </is>
      </c>
      <c r="C242" s="23" t="n"/>
      <c r="D242" s="23" t="inlineStr">
        <is>
          <t>東邦音楽大学附属東邦第二高等学校</t>
        </is>
      </c>
      <c r="E242" s="24" t="inlineStr">
        <is>
          <t>049-235-2401</t>
        </is>
      </c>
      <c r="F242" s="23" t="n"/>
      <c r="G242" s="25" t="inlineStr">
        <is>
          <t>専門学科</t>
        </is>
      </c>
      <c r="H242" s="26" t="inlineStr">
        <is>
          <t>☐</t>
        </is>
      </c>
      <c r="I242" s="26" t="inlineStr">
        <is>
          <t>☐</t>
        </is>
      </c>
      <c r="J242" s="26" t="inlineStr">
        <is>
          <t>☐</t>
        </is>
      </c>
      <c r="K242" s="26" t="inlineStr">
        <is>
          <t>☐</t>
        </is>
      </c>
      <c r="L242" s="26" t="inlineStr">
        <is>
          <t>☐</t>
        </is>
      </c>
      <c r="M242" s="25" t="n"/>
      <c r="N242" s="27" t="n">
        <v>0</v>
      </c>
      <c r="O242" s="28" t="n"/>
      <c r="P242" s="23" t="n"/>
      <c r="Q242" s="29" t="n"/>
      <c r="R242" s="29" t="n"/>
      <c r="S242" s="23" t="n"/>
      <c r="T242" s="30" t="n"/>
      <c r="U242" s="34" t="inlineStr">
        <is>
          <t>中</t>
        </is>
      </c>
      <c r="V242" s="32" t="inlineStr">
        <is>
          <t>学校情報サイト1件のみで確認</t>
        </is>
      </c>
      <c r="W242" s="33" t="inlineStr">
        <is>
          <t>開く</t>
        </is>
      </c>
    </row>
    <row r="243" ht="30" customHeight="1">
      <c r="A243" s="23" t="inlineStr">
        <is>
          <t>11埼玉県</t>
        </is>
      </c>
      <c r="B243" s="23" t="inlineStr">
        <is>
          <t>私立</t>
        </is>
      </c>
      <c r="C243" s="23" t="n"/>
      <c r="D243" s="23" t="inlineStr">
        <is>
          <t>獨協埼玉高等学校</t>
        </is>
      </c>
      <c r="E243" s="24" t="inlineStr">
        <is>
          <t>048-977-5441</t>
        </is>
      </c>
      <c r="F243" s="23" t="n"/>
      <c r="G243" s="25" t="inlineStr">
        <is>
          <t>普通科</t>
        </is>
      </c>
      <c r="H243" s="26" t="inlineStr">
        <is>
          <t>☐</t>
        </is>
      </c>
      <c r="I243" s="26" t="inlineStr">
        <is>
          <t>☐</t>
        </is>
      </c>
      <c r="J243" s="26" t="inlineStr">
        <is>
          <t>☐</t>
        </is>
      </c>
      <c r="K243" s="26" t="inlineStr">
        <is>
          <t>☐</t>
        </is>
      </c>
      <c r="L243" s="26" t="inlineStr">
        <is>
          <t>☐</t>
        </is>
      </c>
      <c r="M243" s="25" t="n"/>
      <c r="N243" s="27" t="n">
        <v>0</v>
      </c>
      <c r="O243" s="28" t="n"/>
      <c r="P243" s="23" t="n"/>
      <c r="Q243" s="29" t="n"/>
      <c r="R243" s="29" t="n"/>
      <c r="S243" s="23" t="n"/>
      <c r="T243" s="30" t="n"/>
      <c r="U243" s="34" t="inlineStr">
        <is>
          <t>中</t>
        </is>
      </c>
      <c r="V243" s="32" t="inlineStr">
        <is>
          <t>中高共通。学校情報サイト1件のみで確認</t>
        </is>
      </c>
      <c r="W243" s="33" t="inlineStr">
        <is>
          <t>開く</t>
        </is>
      </c>
    </row>
    <row r="244" ht="30" customHeight="1">
      <c r="A244" s="23" t="inlineStr">
        <is>
          <t>11埼玉県</t>
        </is>
      </c>
      <c r="B244" s="23" t="inlineStr">
        <is>
          <t>私立</t>
        </is>
      </c>
      <c r="C244" s="23" t="n"/>
      <c r="D244" s="23" t="inlineStr">
        <is>
          <t>花咲徳栄高等学校</t>
        </is>
      </c>
      <c r="E244" s="24" t="inlineStr">
        <is>
          <t>0480-65-7181</t>
        </is>
      </c>
      <c r="F244" s="23" t="n"/>
      <c r="G244" s="25" t="inlineStr">
        <is>
          <t>普通科・専門学科</t>
        </is>
      </c>
      <c r="H244" s="26" t="inlineStr">
        <is>
          <t>☐</t>
        </is>
      </c>
      <c r="I244" s="26" t="inlineStr">
        <is>
          <t>☐</t>
        </is>
      </c>
      <c r="J244" s="26" t="inlineStr">
        <is>
          <t>☐</t>
        </is>
      </c>
      <c r="K244" s="26" t="inlineStr">
        <is>
          <t>☐</t>
        </is>
      </c>
      <c r="L244" s="26" t="inlineStr">
        <is>
          <t>☐</t>
        </is>
      </c>
      <c r="M244" s="25" t="n"/>
      <c r="N244" s="27" t="n">
        <v>0</v>
      </c>
      <c r="O244" s="28" t="n"/>
      <c r="P244" s="23" t="n"/>
      <c r="Q244" s="29" t="n"/>
      <c r="R244" s="29" t="n"/>
      <c r="S244" s="23" t="n"/>
      <c r="T244" s="30" t="n"/>
      <c r="U244" s="34" t="inlineStr">
        <is>
          <t>中</t>
        </is>
      </c>
      <c r="V244" s="32" t="inlineStr">
        <is>
          <t>学校情報サイト1件のみで確認</t>
        </is>
      </c>
      <c r="W244" s="33" t="inlineStr">
        <is>
          <t>開く</t>
        </is>
      </c>
    </row>
    <row r="245" ht="30" customHeight="1">
      <c r="A245" s="23" t="inlineStr">
        <is>
          <t>11埼玉県</t>
        </is>
      </c>
      <c r="B245" s="23" t="inlineStr">
        <is>
          <t>私立</t>
        </is>
      </c>
      <c r="C245" s="23" t="n"/>
      <c r="D245" s="23" t="inlineStr">
        <is>
          <t>東野高等学校</t>
        </is>
      </c>
      <c r="E245" s="24" t="inlineStr">
        <is>
          <t>04-2934-5292</t>
        </is>
      </c>
      <c r="F245" s="23" t="n"/>
      <c r="G245" s="25" t="inlineStr">
        <is>
          <t>普通科</t>
        </is>
      </c>
      <c r="H245" s="26" t="inlineStr">
        <is>
          <t>☐</t>
        </is>
      </c>
      <c r="I245" s="26" t="inlineStr">
        <is>
          <t>☐</t>
        </is>
      </c>
      <c r="J245" s="26" t="inlineStr">
        <is>
          <t>☐</t>
        </is>
      </c>
      <c r="K245" s="26" t="inlineStr">
        <is>
          <t>☐</t>
        </is>
      </c>
      <c r="L245" s="26" t="inlineStr">
        <is>
          <t>☐</t>
        </is>
      </c>
      <c r="M245" s="25" t="n"/>
      <c r="N245" s="27" t="n">
        <v>0</v>
      </c>
      <c r="O245" s="28" t="n"/>
      <c r="P245" s="23" t="n"/>
      <c r="Q245" s="29" t="n"/>
      <c r="R245" s="29" t="n"/>
      <c r="S245" s="23" t="n"/>
      <c r="T245" s="30" t="n"/>
      <c r="U245" s="31" t="inlineStr">
        <is>
          <t>高</t>
        </is>
      </c>
      <c r="V245" s="32" t="inlineStr">
        <is>
          <t>正式名は盈進学園東野高校。2つのサイトで一致</t>
        </is>
      </c>
      <c r="W245" s="33" t="inlineStr">
        <is>
          <t>開く</t>
        </is>
      </c>
    </row>
    <row r="246" ht="30" customHeight="1">
      <c r="A246" s="23" t="inlineStr">
        <is>
          <t>11埼玉県</t>
        </is>
      </c>
      <c r="B246" s="23" t="inlineStr">
        <is>
          <t>私立</t>
        </is>
      </c>
      <c r="C246" s="23" t="n"/>
      <c r="D246" s="23" t="inlineStr">
        <is>
          <t>武南高等学校</t>
        </is>
      </c>
      <c r="E246" s="24" t="inlineStr">
        <is>
          <t>048-441-6948</t>
        </is>
      </c>
      <c r="F246" s="23" t="n"/>
      <c r="G246" s="25" t="inlineStr">
        <is>
          <t>普通科</t>
        </is>
      </c>
      <c r="H246" s="26" t="inlineStr">
        <is>
          <t>☐</t>
        </is>
      </c>
      <c r="I246" s="26" t="inlineStr">
        <is>
          <t>☐</t>
        </is>
      </c>
      <c r="J246" s="26" t="inlineStr">
        <is>
          <t>☐</t>
        </is>
      </c>
      <c r="K246" s="26" t="inlineStr">
        <is>
          <t>☐</t>
        </is>
      </c>
      <c r="L246" s="26" t="inlineStr">
        <is>
          <t>☐</t>
        </is>
      </c>
      <c r="M246" s="25" t="n"/>
      <c r="N246" s="27" t="n">
        <v>0</v>
      </c>
      <c r="O246" s="28" t="n"/>
      <c r="P246" s="23" t="n"/>
      <c r="Q246" s="29" t="n"/>
      <c r="R246" s="29" t="n"/>
      <c r="S246" s="23" t="n"/>
      <c r="T246" s="30" t="n"/>
      <c r="U246" s="31" t="inlineStr">
        <is>
          <t>高</t>
        </is>
      </c>
      <c r="V246" s="32" t="inlineStr">
        <is>
          <t>中高併設。2つのサイトで一致</t>
        </is>
      </c>
      <c r="W246" s="33" t="inlineStr">
        <is>
          <t>開く</t>
        </is>
      </c>
    </row>
    <row r="247" ht="30" customHeight="1">
      <c r="A247" s="23" t="inlineStr">
        <is>
          <t>11埼玉県</t>
        </is>
      </c>
      <c r="B247" s="23" t="inlineStr">
        <is>
          <t>私立</t>
        </is>
      </c>
      <c r="C247" s="23" t="n"/>
      <c r="D247" s="23" t="inlineStr">
        <is>
          <t>星野高等学校</t>
        </is>
      </c>
      <c r="E247" s="24" t="inlineStr">
        <is>
          <t>049-223-2888</t>
        </is>
      </c>
      <c r="F247" s="23" t="n"/>
      <c r="G247" s="25" t="inlineStr">
        <is>
          <t>普通科</t>
        </is>
      </c>
      <c r="H247" s="26" t="inlineStr">
        <is>
          <t>☐</t>
        </is>
      </c>
      <c r="I247" s="26" t="inlineStr">
        <is>
          <t>☐</t>
        </is>
      </c>
      <c r="J247" s="26" t="inlineStr">
        <is>
          <t>☐</t>
        </is>
      </c>
      <c r="K247" s="26" t="inlineStr">
        <is>
          <t>☐</t>
        </is>
      </c>
      <c r="L247" s="26" t="inlineStr">
        <is>
          <t>☐</t>
        </is>
      </c>
      <c r="M247" s="25" t="n"/>
      <c r="N247" s="27" t="n">
        <v>0</v>
      </c>
      <c r="O247" s="28" t="n"/>
      <c r="P247" s="23" t="n"/>
      <c r="Q247" s="29" t="n"/>
      <c r="R247" s="29" t="n"/>
      <c r="S247" s="23" t="n"/>
      <c r="T247" s="30" t="n"/>
      <c r="U247" s="34" t="inlineStr">
        <is>
          <t>中</t>
        </is>
      </c>
      <c r="V247" s="32" t="inlineStr">
        <is>
          <t>石原キャンパス（中高共通）の番号。女子部（末広キャンパス）は別番号の可能性</t>
        </is>
      </c>
      <c r="W247" s="33" t="inlineStr">
        <is>
          <t>開く</t>
        </is>
      </c>
    </row>
    <row r="248" ht="30" customHeight="1">
      <c r="A248" s="23" t="inlineStr">
        <is>
          <t>11埼玉県</t>
        </is>
      </c>
      <c r="B248" s="23" t="inlineStr">
        <is>
          <t>私立</t>
        </is>
      </c>
      <c r="C248" s="23" t="n"/>
      <c r="D248" s="23" t="inlineStr">
        <is>
          <t>細田学園高等学校</t>
        </is>
      </c>
      <c r="E248" s="24" t="inlineStr">
        <is>
          <t>048-471-3255</t>
        </is>
      </c>
      <c r="F248" s="23" t="n"/>
      <c r="G248" s="25" t="inlineStr">
        <is>
          <t>普通科</t>
        </is>
      </c>
      <c r="H248" s="26" t="inlineStr">
        <is>
          <t>☐</t>
        </is>
      </c>
      <c r="I248" s="26" t="inlineStr">
        <is>
          <t>☐</t>
        </is>
      </c>
      <c r="J248" s="26" t="inlineStr">
        <is>
          <t>☐</t>
        </is>
      </c>
      <c r="K248" s="26" t="inlineStr">
        <is>
          <t>☐</t>
        </is>
      </c>
      <c r="L248" s="26" t="inlineStr">
        <is>
          <t>☐</t>
        </is>
      </c>
      <c r="M248" s="25" t="n"/>
      <c r="N248" s="27" t="n">
        <v>0</v>
      </c>
      <c r="O248" s="28" t="n"/>
      <c r="P248" s="23" t="n"/>
      <c r="Q248" s="29" t="n"/>
      <c r="R248" s="29" t="n"/>
      <c r="S248" s="23" t="n"/>
      <c r="T248" s="30" t="n"/>
      <c r="U248" s="34" t="inlineStr">
        <is>
          <t>中</t>
        </is>
      </c>
      <c r="V248" s="32" t="inlineStr">
        <is>
          <t>学校情報サイト1件のみで確認</t>
        </is>
      </c>
      <c r="W248" s="33" t="inlineStr">
        <is>
          <t>開く</t>
        </is>
      </c>
    </row>
    <row r="249" ht="30" customHeight="1">
      <c r="A249" s="23" t="inlineStr">
        <is>
          <t>11埼玉県</t>
        </is>
      </c>
      <c r="B249" s="23" t="inlineStr">
        <is>
          <t>私立</t>
        </is>
      </c>
      <c r="C249" s="23" t="n"/>
      <c r="D249" s="23" t="inlineStr">
        <is>
          <t>本庄第一高等学校</t>
        </is>
      </c>
      <c r="E249" s="24" t="inlineStr">
        <is>
          <t>0495-24-1331</t>
        </is>
      </c>
      <c r="F249" s="23" t="n"/>
      <c r="G249" s="25" t="inlineStr">
        <is>
          <t>普通科</t>
        </is>
      </c>
      <c r="H249" s="26" t="inlineStr">
        <is>
          <t>☐</t>
        </is>
      </c>
      <c r="I249" s="26" t="inlineStr">
        <is>
          <t>☐</t>
        </is>
      </c>
      <c r="J249" s="26" t="inlineStr">
        <is>
          <t>☐</t>
        </is>
      </c>
      <c r="K249" s="26" t="inlineStr">
        <is>
          <t>☐</t>
        </is>
      </c>
      <c r="L249" s="26" t="inlineStr">
        <is>
          <t>☐</t>
        </is>
      </c>
      <c r="M249" s="25" t="n"/>
      <c r="N249" s="27" t="n">
        <v>0</v>
      </c>
      <c r="O249" s="28" t="n"/>
      <c r="P249" s="23" t="n"/>
      <c r="Q249" s="29" t="n"/>
      <c r="R249" s="29" t="n"/>
      <c r="S249" s="23" t="n"/>
      <c r="T249" s="30" t="n"/>
      <c r="U249" s="31" t="inlineStr">
        <is>
          <t>高</t>
        </is>
      </c>
      <c r="V249" s="32" t="inlineStr">
        <is>
          <t>公式資料と学校情報サイトで一致。0495-24-1332は中学校の番号</t>
        </is>
      </c>
      <c r="W249" s="33" t="inlineStr">
        <is>
          <t>開く</t>
        </is>
      </c>
    </row>
    <row r="250" ht="30" customHeight="1">
      <c r="A250" s="23" t="inlineStr">
        <is>
          <t>11埼玉県</t>
        </is>
      </c>
      <c r="B250" s="23" t="inlineStr">
        <is>
          <t>私立</t>
        </is>
      </c>
      <c r="C250" s="23" t="n"/>
      <c r="D250" s="23" t="inlineStr">
        <is>
          <t>本庄東高等学校</t>
        </is>
      </c>
      <c r="E250" s="24" t="inlineStr">
        <is>
          <t>0495-22-6351</t>
        </is>
      </c>
      <c r="F250" s="23" t="n"/>
      <c r="G250" s="25" t="inlineStr">
        <is>
          <t>普通科</t>
        </is>
      </c>
      <c r="H250" s="26" t="inlineStr">
        <is>
          <t>☐</t>
        </is>
      </c>
      <c r="I250" s="26" t="inlineStr">
        <is>
          <t>☐</t>
        </is>
      </c>
      <c r="J250" s="26" t="inlineStr">
        <is>
          <t>☐</t>
        </is>
      </c>
      <c r="K250" s="26" t="inlineStr">
        <is>
          <t>☐</t>
        </is>
      </c>
      <c r="L250" s="26" t="inlineStr">
        <is>
          <t>☐</t>
        </is>
      </c>
      <c r="M250" s="25" t="n"/>
      <c r="N250" s="27" t="n">
        <v>0</v>
      </c>
      <c r="O250" s="28" t="n"/>
      <c r="P250" s="23" t="n"/>
      <c r="Q250" s="29" t="n"/>
      <c r="R250" s="29" t="n"/>
      <c r="S250" s="23" t="n"/>
      <c r="T250" s="30" t="n"/>
      <c r="U250" s="31" t="inlineStr">
        <is>
          <t>高</t>
        </is>
      </c>
      <c r="V250" s="32" t="inlineStr">
        <is>
          <t>代表として掲載。附属中学校は別番号（0495-27-6711）</t>
        </is>
      </c>
      <c r="W250" s="33" t="inlineStr">
        <is>
          <t>開く</t>
        </is>
      </c>
    </row>
    <row r="251" ht="30" customHeight="1">
      <c r="A251" s="23" t="inlineStr">
        <is>
          <t>11埼玉県</t>
        </is>
      </c>
      <c r="B251" s="23" t="inlineStr">
        <is>
          <t>私立</t>
        </is>
      </c>
      <c r="C251" s="23" t="n"/>
      <c r="D251" s="23" t="inlineStr">
        <is>
          <t>松栄学園高等学校</t>
        </is>
      </c>
      <c r="E251" s="24" t="n"/>
      <c r="F251" s="23" t="n"/>
      <c r="G251" s="25" t="inlineStr">
        <is>
          <t>普通科</t>
        </is>
      </c>
      <c r="H251" s="26" t="inlineStr">
        <is>
          <t>☐</t>
        </is>
      </c>
      <c r="I251" s="26" t="inlineStr">
        <is>
          <t>☐</t>
        </is>
      </c>
      <c r="J251" s="26" t="inlineStr">
        <is>
          <t>☐</t>
        </is>
      </c>
      <c r="K251" s="26" t="inlineStr">
        <is>
          <t>☐</t>
        </is>
      </c>
      <c r="L251" s="26" t="inlineStr">
        <is>
          <t>☐</t>
        </is>
      </c>
      <c r="M251" s="25" t="n"/>
      <c r="N251" s="27" t="n">
        <v>0</v>
      </c>
      <c r="O251" s="28" t="n"/>
      <c r="P251" s="23" t="n"/>
      <c r="Q251" s="29" t="n"/>
      <c r="R251" s="29" t="n"/>
      <c r="S251" s="23" t="n"/>
      <c r="T251" s="30" t="n"/>
      <c r="U251" s="35" t="inlineStr">
        <is>
          <t>要調査</t>
        </is>
      </c>
      <c r="V251" s="32" t="inlineStr">
        <is>
          <t>通信制。春日部本校の番号を確定できず。候補：048-978-0828（越谷校の番号の可能性）</t>
        </is>
      </c>
      <c r="W251" s="33" t="inlineStr">
        <is>
          <t>開く</t>
        </is>
      </c>
    </row>
    <row r="252" ht="30" customHeight="1">
      <c r="A252" s="23" t="inlineStr">
        <is>
          <t>11埼玉県</t>
        </is>
      </c>
      <c r="B252" s="23" t="inlineStr">
        <is>
          <t>私立</t>
        </is>
      </c>
      <c r="C252" s="23" t="n"/>
      <c r="D252" s="23" t="inlineStr">
        <is>
          <t>武蔵越生高等学校</t>
        </is>
      </c>
      <c r="E252" s="24" t="inlineStr">
        <is>
          <t>049-292-3245</t>
        </is>
      </c>
      <c r="F252" s="23" t="n"/>
      <c r="G252" s="25" t="inlineStr">
        <is>
          <t>普通科</t>
        </is>
      </c>
      <c r="H252" s="26" t="inlineStr">
        <is>
          <t>☐</t>
        </is>
      </c>
      <c r="I252" s="26" t="inlineStr">
        <is>
          <t>☐</t>
        </is>
      </c>
      <c r="J252" s="26" t="inlineStr">
        <is>
          <t>☐</t>
        </is>
      </c>
      <c r="K252" s="26" t="inlineStr">
        <is>
          <t>☐</t>
        </is>
      </c>
      <c r="L252" s="26" t="inlineStr">
        <is>
          <t>☐</t>
        </is>
      </c>
      <c r="M252" s="25" t="n"/>
      <c r="N252" s="27" t="n">
        <v>0</v>
      </c>
      <c r="O252" s="28" t="n"/>
      <c r="P252" s="23" t="n"/>
      <c r="Q252" s="29" t="n"/>
      <c r="R252" s="29" t="n"/>
      <c r="S252" s="23" t="n"/>
      <c r="T252" s="30" t="n"/>
      <c r="U252" s="34" t="inlineStr">
        <is>
          <t>中</t>
        </is>
      </c>
      <c r="V252" s="32" t="inlineStr">
        <is>
          <t>学校情報サイト1件のみで確認</t>
        </is>
      </c>
      <c r="W252" s="33" t="inlineStr">
        <is>
          <t>開く</t>
        </is>
      </c>
    </row>
    <row r="253" ht="30" customHeight="1">
      <c r="A253" s="23" t="inlineStr">
        <is>
          <t>11埼玉県</t>
        </is>
      </c>
      <c r="B253" s="23" t="inlineStr">
        <is>
          <t>私立</t>
        </is>
      </c>
      <c r="C253" s="23" t="n"/>
      <c r="D253" s="23" t="inlineStr">
        <is>
          <t>武蔵野音楽大学附属高等学校</t>
        </is>
      </c>
      <c r="E253" s="24" t="inlineStr">
        <is>
          <t>04-2932-3063</t>
        </is>
      </c>
      <c r="F253" s="23" t="n"/>
      <c r="G253" s="25" t="inlineStr">
        <is>
          <t>専門学科</t>
        </is>
      </c>
      <c r="H253" s="26" t="inlineStr">
        <is>
          <t>☐</t>
        </is>
      </c>
      <c r="I253" s="26" t="inlineStr">
        <is>
          <t>☐</t>
        </is>
      </c>
      <c r="J253" s="26" t="inlineStr">
        <is>
          <t>☐</t>
        </is>
      </c>
      <c r="K253" s="26" t="inlineStr">
        <is>
          <t>☐</t>
        </is>
      </c>
      <c r="L253" s="26" t="inlineStr">
        <is>
          <t>☐</t>
        </is>
      </c>
      <c r="M253" s="25" t="n"/>
      <c r="N253" s="27" t="n">
        <v>0</v>
      </c>
      <c r="O253" s="28" t="n"/>
      <c r="P253" s="23" t="n"/>
      <c r="Q253" s="29" t="n"/>
      <c r="R253" s="29" t="n"/>
      <c r="S253" s="23" t="n"/>
      <c r="T253" s="30" t="n"/>
      <c r="U253" s="34" t="inlineStr">
        <is>
          <t>中</t>
        </is>
      </c>
      <c r="V253" s="32" t="inlineStr">
        <is>
          <t>直通として掲載。2027年4月に練馬区へ移転予定との情報あり</t>
        </is>
      </c>
      <c r="W253" s="33" t="inlineStr">
        <is>
          <t>開く</t>
        </is>
      </c>
    </row>
    <row r="254" ht="30" customHeight="1">
      <c r="A254" s="23" t="inlineStr">
        <is>
          <t>11埼玉県</t>
        </is>
      </c>
      <c r="B254" s="23" t="inlineStr">
        <is>
          <t>私立</t>
        </is>
      </c>
      <c r="C254" s="23" t="n"/>
      <c r="D254" s="23" t="inlineStr">
        <is>
          <t>武蔵野星城高等学校</t>
        </is>
      </c>
      <c r="E254" s="24" t="inlineStr">
        <is>
          <t>048-987-1094</t>
        </is>
      </c>
      <c r="F254" s="23" t="n"/>
      <c r="G254" s="25" t="inlineStr">
        <is>
          <t>普通科</t>
        </is>
      </c>
      <c r="H254" s="26" t="inlineStr">
        <is>
          <t>☐</t>
        </is>
      </c>
      <c r="I254" s="26" t="inlineStr">
        <is>
          <t>☐</t>
        </is>
      </c>
      <c r="J254" s="26" t="inlineStr">
        <is>
          <t>☐</t>
        </is>
      </c>
      <c r="K254" s="26" t="inlineStr">
        <is>
          <t>☐</t>
        </is>
      </c>
      <c r="L254" s="26" t="inlineStr">
        <is>
          <t>☐</t>
        </is>
      </c>
      <c r="M254" s="25" t="n"/>
      <c r="N254" s="27" t="n">
        <v>0</v>
      </c>
      <c r="O254" s="28" t="n"/>
      <c r="P254" s="23" t="n"/>
      <c r="Q254" s="29" t="n"/>
      <c r="R254" s="29" t="n"/>
      <c r="S254" s="23" t="n"/>
      <c r="T254" s="30" t="n"/>
      <c r="U254" s="34" t="inlineStr">
        <is>
          <t>中</t>
        </is>
      </c>
      <c r="V254" s="32" t="inlineStr">
        <is>
          <t>通信制。学校情報サイト2件で一致、公式未確認</t>
        </is>
      </c>
      <c r="W254" s="33" t="inlineStr">
        <is>
          <t>開く</t>
        </is>
      </c>
    </row>
    <row r="255" ht="30" customHeight="1">
      <c r="A255" s="23" t="inlineStr">
        <is>
          <t>11埼玉県</t>
        </is>
      </c>
      <c r="B255" s="23" t="inlineStr">
        <is>
          <t>私立</t>
        </is>
      </c>
      <c r="C255" s="23" t="n"/>
      <c r="D255" s="23" t="inlineStr">
        <is>
          <t>山村学園高等学校</t>
        </is>
      </c>
      <c r="E255" s="24" t="inlineStr">
        <is>
          <t>049-225-3565</t>
        </is>
      </c>
      <c r="F255" s="23" t="n"/>
      <c r="G255" s="25" t="inlineStr">
        <is>
          <t>普通科</t>
        </is>
      </c>
      <c r="H255" s="26" t="inlineStr">
        <is>
          <t>☐</t>
        </is>
      </c>
      <c r="I255" s="26" t="inlineStr">
        <is>
          <t>☐</t>
        </is>
      </c>
      <c r="J255" s="26" t="inlineStr">
        <is>
          <t>☐</t>
        </is>
      </c>
      <c r="K255" s="26" t="inlineStr">
        <is>
          <t>☐</t>
        </is>
      </c>
      <c r="L255" s="26" t="inlineStr">
        <is>
          <t>☐</t>
        </is>
      </c>
      <c r="M255" s="25" t="n"/>
      <c r="N255" s="27" t="n">
        <v>0</v>
      </c>
      <c r="O255" s="28" t="n"/>
      <c r="P255" s="23" t="n"/>
      <c r="Q255" s="29" t="n"/>
      <c r="R255" s="29" t="n"/>
      <c r="S255" s="23" t="n"/>
      <c r="T255" s="30" t="n"/>
      <c r="U255" s="34" t="inlineStr">
        <is>
          <t>中</t>
        </is>
      </c>
      <c r="V255" s="32" t="inlineStr">
        <is>
          <t>学校情報サイト1件のみで確認。山村国際高校（坂戸市）とは別の学校</t>
        </is>
      </c>
      <c r="W255" s="33" t="inlineStr">
        <is>
          <t>開く</t>
        </is>
      </c>
    </row>
    <row r="256" ht="30" customHeight="1">
      <c r="A256" s="23" t="inlineStr">
        <is>
          <t>11埼玉県</t>
        </is>
      </c>
      <c r="B256" s="23" t="inlineStr">
        <is>
          <t>私立</t>
        </is>
      </c>
      <c r="C256" s="23" t="n"/>
      <c r="D256" s="23" t="inlineStr">
        <is>
          <t>山村国際高等学校</t>
        </is>
      </c>
      <c r="E256" s="24" t="inlineStr">
        <is>
          <t>049-281-0221</t>
        </is>
      </c>
      <c r="F256" s="23" t="n"/>
      <c r="G256" s="25" t="inlineStr">
        <is>
          <t>普通科</t>
        </is>
      </c>
      <c r="H256" s="26" t="inlineStr">
        <is>
          <t>☐</t>
        </is>
      </c>
      <c r="I256" s="26" t="inlineStr">
        <is>
          <t>☐</t>
        </is>
      </c>
      <c r="J256" s="26" t="inlineStr">
        <is>
          <t>☐</t>
        </is>
      </c>
      <c r="K256" s="26" t="inlineStr">
        <is>
          <t>☐</t>
        </is>
      </c>
      <c r="L256" s="26" t="inlineStr">
        <is>
          <t>☐</t>
        </is>
      </c>
      <c r="M256" s="25" t="n"/>
      <c r="N256" s="27" t="n">
        <v>0</v>
      </c>
      <c r="O256" s="28" t="n"/>
      <c r="P256" s="23" t="n"/>
      <c r="Q256" s="29" t="n"/>
      <c r="R256" s="29" t="n"/>
      <c r="S256" s="23" t="n"/>
      <c r="T256" s="30" t="n"/>
      <c r="U256" s="31" t="inlineStr">
        <is>
          <t>高</t>
        </is>
      </c>
      <c r="V256" s="32" t="inlineStr">
        <is>
          <t>2つのサイトで一致。山村学園高校（川越市）とは別の学校</t>
        </is>
      </c>
      <c r="W256" s="33" t="inlineStr">
        <is>
          <t>開く</t>
        </is>
      </c>
    </row>
    <row r="257" ht="30" customHeight="1">
      <c r="A257" s="23" t="inlineStr">
        <is>
          <t>11埼玉県</t>
        </is>
      </c>
      <c r="B257" s="23" t="inlineStr">
        <is>
          <t>私立</t>
        </is>
      </c>
      <c r="C257" s="23" t="n"/>
      <c r="D257" s="23" t="inlineStr">
        <is>
          <t>立教新座高等学校</t>
        </is>
      </c>
      <c r="E257" s="24" t="inlineStr">
        <is>
          <t>048-471-2323</t>
        </is>
      </c>
      <c r="F257" s="23" t="n"/>
      <c r="G257" s="25" t="inlineStr">
        <is>
          <t>普通科</t>
        </is>
      </c>
      <c r="H257" s="26" t="inlineStr">
        <is>
          <t>☐</t>
        </is>
      </c>
      <c r="I257" s="26" t="inlineStr">
        <is>
          <t>☐</t>
        </is>
      </c>
      <c r="J257" s="26" t="inlineStr">
        <is>
          <t>☐</t>
        </is>
      </c>
      <c r="K257" s="26" t="inlineStr">
        <is>
          <t>☐</t>
        </is>
      </c>
      <c r="L257" s="26" t="inlineStr">
        <is>
          <t>☐</t>
        </is>
      </c>
      <c r="M257" s="25" t="n"/>
      <c r="N257" s="27" t="n">
        <v>0</v>
      </c>
      <c r="O257" s="28" t="n"/>
      <c r="P257" s="23" t="n"/>
      <c r="Q257" s="29" t="n"/>
      <c r="R257" s="29" t="n"/>
      <c r="S257" s="23" t="n"/>
      <c r="T257" s="30" t="n"/>
      <c r="U257" s="31" t="inlineStr">
        <is>
          <t>高</t>
        </is>
      </c>
      <c r="V257" s="32" t="inlineStr">
        <is>
          <t>中高共通</t>
        </is>
      </c>
      <c r="W257" s="33" t="inlineStr">
        <is>
          <t>開く</t>
        </is>
      </c>
    </row>
    <row r="258" ht="30" customHeight="1">
      <c r="A258" s="23" t="inlineStr">
        <is>
          <t>11埼玉県</t>
        </is>
      </c>
      <c r="B258" s="23" t="inlineStr">
        <is>
          <t>私立</t>
        </is>
      </c>
      <c r="C258" s="23" t="n"/>
      <c r="D258" s="23" t="inlineStr">
        <is>
          <t>早稲田大学本庄高等学院</t>
        </is>
      </c>
      <c r="E258" s="24" t="inlineStr">
        <is>
          <t>0495-21-2400</t>
        </is>
      </c>
      <c r="F258" s="23" t="n"/>
      <c r="G258" s="25" t="inlineStr">
        <is>
          <t>普通科</t>
        </is>
      </c>
      <c r="H258" s="26" t="inlineStr">
        <is>
          <t>☐</t>
        </is>
      </c>
      <c r="I258" s="26" t="inlineStr">
        <is>
          <t>☐</t>
        </is>
      </c>
      <c r="J258" s="26" t="inlineStr">
        <is>
          <t>☐</t>
        </is>
      </c>
      <c r="K258" s="26" t="inlineStr">
        <is>
          <t>☐</t>
        </is>
      </c>
      <c r="L258" s="26" t="inlineStr">
        <is>
          <t>☐</t>
        </is>
      </c>
      <c r="M258" s="25" t="n"/>
      <c r="N258" s="27" t="n">
        <v>0</v>
      </c>
      <c r="O258" s="28" t="n"/>
      <c r="P258" s="23" t="n"/>
      <c r="Q258" s="29" t="n"/>
      <c r="R258" s="29" t="n"/>
      <c r="S258" s="23" t="n"/>
      <c r="T258" s="30" t="n"/>
      <c r="U258" s="31" t="inlineStr">
        <is>
          <t>高</t>
        </is>
      </c>
      <c r="V258" s="32" t="inlineStr">
        <is>
          <t>公式サイトで確認</t>
        </is>
      </c>
      <c r="W258" s="33" t="inlineStr">
        <is>
          <t>開く</t>
        </is>
      </c>
    </row>
    <row r="259" ht="30" customHeight="1">
      <c r="A259" s="23" t="inlineStr">
        <is>
          <t>12千葉県</t>
        </is>
      </c>
      <c r="B259" s="23" t="inlineStr">
        <is>
          <t>私立</t>
        </is>
      </c>
      <c r="C259" s="23" t="n"/>
      <c r="D259" s="23" t="inlineStr">
        <is>
          <t>日出学園高等学校</t>
        </is>
      </c>
      <c r="E259" s="24" t="inlineStr">
        <is>
          <t>047-324-0071</t>
        </is>
      </c>
      <c r="F259" s="23" t="n"/>
      <c r="G259" s="25" t="inlineStr">
        <is>
          <t>普通科</t>
        </is>
      </c>
      <c r="H259" s="26" t="inlineStr">
        <is>
          <t>☐</t>
        </is>
      </c>
      <c r="I259" s="26" t="inlineStr">
        <is>
          <t>☐</t>
        </is>
      </c>
      <c r="J259" s="26" t="inlineStr">
        <is>
          <t>☐</t>
        </is>
      </c>
      <c r="K259" s="26" t="inlineStr">
        <is>
          <t>☐</t>
        </is>
      </c>
      <c r="L259" s="26" t="inlineStr">
        <is>
          <t>☐</t>
        </is>
      </c>
      <c r="M259" s="25" t="n"/>
      <c r="N259" s="27" t="n">
        <v>0</v>
      </c>
      <c r="O259" s="28" t="n"/>
      <c r="P259" s="23" t="n"/>
      <c r="Q259" s="29" t="n"/>
      <c r="R259" s="29" t="n"/>
      <c r="S259" s="23" t="n"/>
      <c r="T259" s="30" t="n"/>
      <c r="U259" s="34" t="inlineStr">
        <is>
          <t>中</t>
        </is>
      </c>
      <c r="V259" s="32" t="inlineStr">
        <is>
          <t>複数サイトで一致するが「学園業務部」の番号とする掲載あり。千葉県の古い一覧には047-322-3660の記載。代表か要確認</t>
        </is>
      </c>
      <c r="W259" s="33" t="inlineStr">
        <is>
          <t>開く</t>
        </is>
      </c>
    </row>
    <row r="260" ht="30" customHeight="1">
      <c r="A260" s="23" t="inlineStr">
        <is>
          <t>12千葉県</t>
        </is>
      </c>
      <c r="B260" s="23" t="inlineStr">
        <is>
          <t>私立</t>
        </is>
      </c>
      <c r="C260" s="23" t="n"/>
      <c r="D260" s="23" t="inlineStr">
        <is>
          <t>愛国学園大学附属四街道高等学校</t>
        </is>
      </c>
      <c r="E260" s="24" t="inlineStr">
        <is>
          <t>043-421-3533</t>
        </is>
      </c>
      <c r="F260" s="23" t="n"/>
      <c r="G260" s="25" t="inlineStr">
        <is>
          <t>普通科</t>
        </is>
      </c>
      <c r="H260" s="26" t="inlineStr">
        <is>
          <t>☐</t>
        </is>
      </c>
      <c r="I260" s="26" t="inlineStr">
        <is>
          <t>☐</t>
        </is>
      </c>
      <c r="J260" s="26" t="inlineStr">
        <is>
          <t>☐</t>
        </is>
      </c>
      <c r="K260" s="26" t="inlineStr">
        <is>
          <t>☐</t>
        </is>
      </c>
      <c r="L260" s="26" t="inlineStr">
        <is>
          <t>☐</t>
        </is>
      </c>
      <c r="M260" s="25" t="n"/>
      <c r="N260" s="27" t="n">
        <v>0</v>
      </c>
      <c r="O260" s="28" t="n"/>
      <c r="P260" s="23" t="n"/>
      <c r="Q260" s="29" t="n"/>
      <c r="R260" s="29" t="n"/>
      <c r="S260" s="23" t="n"/>
      <c r="T260" s="30" t="n"/>
      <c r="U260" s="31" t="inlineStr">
        <is>
          <t>高</t>
        </is>
      </c>
      <c r="V260" s="32" t="inlineStr">
        <is>
          <t>複数サイトで一致</t>
        </is>
      </c>
      <c r="W260" s="33" t="inlineStr">
        <is>
          <t>開く</t>
        </is>
      </c>
    </row>
    <row r="261" ht="30" customHeight="1">
      <c r="A261" s="23" t="inlineStr">
        <is>
          <t>12千葉県</t>
        </is>
      </c>
      <c r="B261" s="23" t="inlineStr">
        <is>
          <t>私立</t>
        </is>
      </c>
      <c r="C261" s="23" t="n"/>
      <c r="D261" s="23" t="inlineStr">
        <is>
          <t>あずさ第一高等学校</t>
        </is>
      </c>
      <c r="E261" s="24" t="n"/>
      <c r="F261" s="23" t="n"/>
      <c r="G261" s="25" t="inlineStr">
        <is>
          <t>普通科</t>
        </is>
      </c>
      <c r="H261" s="26" t="inlineStr">
        <is>
          <t>☐</t>
        </is>
      </c>
      <c r="I261" s="26" t="inlineStr">
        <is>
          <t>☐</t>
        </is>
      </c>
      <c r="J261" s="26" t="inlineStr">
        <is>
          <t>☐</t>
        </is>
      </c>
      <c r="K261" s="26" t="inlineStr">
        <is>
          <t>☐</t>
        </is>
      </c>
      <c r="L261" s="26" t="inlineStr">
        <is>
          <t>☐</t>
        </is>
      </c>
      <c r="M261" s="25" t="n"/>
      <c r="N261" s="27" t="n">
        <v>0</v>
      </c>
      <c r="O261" s="28" t="n"/>
      <c r="P261" s="23" t="n"/>
      <c r="Q261" s="29" t="n"/>
      <c r="R261" s="29" t="n"/>
      <c r="S261" s="23" t="n"/>
      <c r="T261" s="30" t="n"/>
      <c r="U261" s="35" t="inlineStr">
        <is>
          <t>要調査</t>
        </is>
      </c>
      <c r="V261" s="32" t="inlineStr">
        <is>
          <t>通信制。代表番号が見つからず。候補：04-7122-2400（求人の応募用番号）</t>
        </is>
      </c>
      <c r="W261" s="33" t="inlineStr">
        <is>
          <t>開く</t>
        </is>
      </c>
    </row>
    <row r="262" ht="30" customHeight="1">
      <c r="A262" s="23" t="inlineStr">
        <is>
          <t>12千葉県</t>
        </is>
      </c>
      <c r="B262" s="23" t="inlineStr">
        <is>
          <t>私立</t>
        </is>
      </c>
      <c r="C262" s="23" t="n"/>
      <c r="D262" s="23" t="inlineStr">
        <is>
          <t>我孫子二階堂高等学校</t>
        </is>
      </c>
      <c r="E262" s="24" t="inlineStr">
        <is>
          <t>04-7182-0101</t>
        </is>
      </c>
      <c r="F262" s="23" t="n"/>
      <c r="G262" s="25" t="inlineStr">
        <is>
          <t>普通科</t>
        </is>
      </c>
      <c r="H262" s="26" t="inlineStr">
        <is>
          <t>☐</t>
        </is>
      </c>
      <c r="I262" s="26" t="inlineStr">
        <is>
          <t>☐</t>
        </is>
      </c>
      <c r="J262" s="26" t="inlineStr">
        <is>
          <t>☐</t>
        </is>
      </c>
      <c r="K262" s="26" t="inlineStr">
        <is>
          <t>☐</t>
        </is>
      </c>
      <c r="L262" s="26" t="inlineStr">
        <is>
          <t>☐</t>
        </is>
      </c>
      <c r="M262" s="25" t="n"/>
      <c r="N262" s="27" t="n">
        <v>0</v>
      </c>
      <c r="O262" s="28" t="n"/>
      <c r="P262" s="23" t="n"/>
      <c r="Q262" s="29" t="n"/>
      <c r="R262" s="29" t="n"/>
      <c r="S262" s="23" t="n"/>
      <c r="T262" s="30" t="n"/>
      <c r="U262" s="31" t="inlineStr">
        <is>
          <t>高</t>
        </is>
      </c>
      <c r="V262" s="32" t="inlineStr">
        <is>
          <t>学校情報サイトの複数ページで一致</t>
        </is>
      </c>
      <c r="W262" s="33" t="inlineStr">
        <is>
          <t>開く</t>
        </is>
      </c>
    </row>
    <row r="263" ht="30" customHeight="1">
      <c r="A263" s="23" t="inlineStr">
        <is>
          <t>12千葉県</t>
        </is>
      </c>
      <c r="B263" s="23" t="inlineStr">
        <is>
          <t>私立</t>
        </is>
      </c>
      <c r="C263" s="23" t="n"/>
      <c r="D263" s="23" t="inlineStr">
        <is>
          <t>市川高等学校（千葉県）</t>
        </is>
      </c>
      <c r="E263" s="24" t="inlineStr">
        <is>
          <t>047-339-2681</t>
        </is>
      </c>
      <c r="F263" s="23" t="n"/>
      <c r="G263" s="25" t="inlineStr">
        <is>
          <t>普通科</t>
        </is>
      </c>
      <c r="H263" s="26" t="inlineStr">
        <is>
          <t>☐</t>
        </is>
      </c>
      <c r="I263" s="26" t="inlineStr">
        <is>
          <t>☐</t>
        </is>
      </c>
      <c r="J263" s="26" t="inlineStr">
        <is>
          <t>☐</t>
        </is>
      </c>
      <c r="K263" s="26" t="inlineStr">
        <is>
          <t>☐</t>
        </is>
      </c>
      <c r="L263" s="26" t="inlineStr">
        <is>
          <t>☐</t>
        </is>
      </c>
      <c r="M263" s="25" t="n"/>
      <c r="N263" s="27" t="n">
        <v>0</v>
      </c>
      <c r="O263" s="28" t="n"/>
      <c r="P263" s="23" t="n"/>
      <c r="Q263" s="29" t="n"/>
      <c r="R263" s="29" t="n"/>
      <c r="S263" s="23" t="n"/>
      <c r="T263" s="30" t="n"/>
      <c r="U263" s="31" t="inlineStr">
        <is>
          <t>高</t>
        </is>
      </c>
      <c r="V263" s="32" t="inlineStr">
        <is>
          <t>中高共通。「代表」として掲載</t>
        </is>
      </c>
      <c r="W263" s="33" t="inlineStr">
        <is>
          <t>開く</t>
        </is>
      </c>
    </row>
    <row r="264" ht="30" customHeight="1">
      <c r="A264" s="23" t="inlineStr">
        <is>
          <t>12千葉県</t>
        </is>
      </c>
      <c r="B264" s="23" t="inlineStr">
        <is>
          <t>私立</t>
        </is>
      </c>
      <c r="C264" s="23" t="n"/>
      <c r="D264" s="23" t="inlineStr">
        <is>
          <t>市原中央高等学校</t>
        </is>
      </c>
      <c r="E264" s="24" t="inlineStr">
        <is>
          <t>0436-36-7131</t>
        </is>
      </c>
      <c r="F264" s="23" t="n"/>
      <c r="G264" s="25" t="inlineStr">
        <is>
          <t>普通科</t>
        </is>
      </c>
      <c r="H264" s="26" t="inlineStr">
        <is>
          <t>☐</t>
        </is>
      </c>
      <c r="I264" s="26" t="inlineStr">
        <is>
          <t>☐</t>
        </is>
      </c>
      <c r="J264" s="26" t="inlineStr">
        <is>
          <t>☐</t>
        </is>
      </c>
      <c r="K264" s="26" t="inlineStr">
        <is>
          <t>☐</t>
        </is>
      </c>
      <c r="L264" s="26" t="inlineStr">
        <is>
          <t>☐</t>
        </is>
      </c>
      <c r="M264" s="25" t="n"/>
      <c r="N264" s="27" t="n">
        <v>0</v>
      </c>
      <c r="O264" s="28" t="n"/>
      <c r="P264" s="23" t="n"/>
      <c r="Q264" s="29" t="n"/>
      <c r="R264" s="29" t="n"/>
      <c r="S264" s="23" t="n"/>
      <c r="T264" s="30" t="n"/>
      <c r="U264" s="34" t="inlineStr">
        <is>
          <t>中</t>
        </is>
      </c>
      <c r="V264" s="32" t="inlineStr">
        <is>
          <t>学校情報サイト1件のみで確認</t>
        </is>
      </c>
      <c r="W264" s="33" t="inlineStr">
        <is>
          <t>開く</t>
        </is>
      </c>
    </row>
    <row r="265" ht="30" customHeight="1">
      <c r="A265" s="23" t="inlineStr">
        <is>
          <t>12千葉県</t>
        </is>
      </c>
      <c r="B265" s="23" t="inlineStr">
        <is>
          <t>私立</t>
        </is>
      </c>
      <c r="C265" s="23" t="n"/>
      <c r="D265" s="23" t="inlineStr">
        <is>
          <t>植草学園大学附属高等学校</t>
        </is>
      </c>
      <c r="E265" s="24" t="inlineStr">
        <is>
          <t>043-252-3551</t>
        </is>
      </c>
      <c r="F265" s="23" t="n"/>
      <c r="G265" s="25" t="inlineStr">
        <is>
          <t>普通科・専門学科</t>
        </is>
      </c>
      <c r="H265" s="26" t="inlineStr">
        <is>
          <t>☐</t>
        </is>
      </c>
      <c r="I265" s="26" t="inlineStr">
        <is>
          <t>☐</t>
        </is>
      </c>
      <c r="J265" s="26" t="inlineStr">
        <is>
          <t>☐</t>
        </is>
      </c>
      <c r="K265" s="26" t="inlineStr">
        <is>
          <t>☐</t>
        </is>
      </c>
      <c r="L265" s="26" t="inlineStr">
        <is>
          <t>☐</t>
        </is>
      </c>
      <c r="M265" s="25" t="n"/>
      <c r="N265" s="27" t="n">
        <v>0</v>
      </c>
      <c r="O265" s="28" t="n"/>
      <c r="P265" s="23" t="n"/>
      <c r="Q265" s="29" t="n"/>
      <c r="R265" s="29" t="n"/>
      <c r="S265" s="23" t="n"/>
      <c r="T265" s="30" t="n"/>
      <c r="U265" s="31" t="inlineStr">
        <is>
          <t>高</t>
        </is>
      </c>
      <c r="V265" s="32" t="inlineStr">
        <is>
          <t>2つの情報源で一致</t>
        </is>
      </c>
      <c r="W265" s="33" t="inlineStr">
        <is>
          <t>開く</t>
        </is>
      </c>
    </row>
    <row r="266" ht="30" customHeight="1">
      <c r="A266" s="23" t="inlineStr">
        <is>
          <t>12千葉県</t>
        </is>
      </c>
      <c r="B266" s="23" t="inlineStr">
        <is>
          <t>私立</t>
        </is>
      </c>
      <c r="C266" s="23" t="n"/>
      <c r="D266" s="23" t="inlineStr">
        <is>
          <t>桜林高等学校</t>
        </is>
      </c>
      <c r="E266" s="24" t="inlineStr">
        <is>
          <t>043-233-8081</t>
        </is>
      </c>
      <c r="F266" s="23" t="n"/>
      <c r="G266" s="25" t="inlineStr">
        <is>
          <t>普通科</t>
        </is>
      </c>
      <c r="H266" s="26" t="inlineStr">
        <is>
          <t>☐</t>
        </is>
      </c>
      <c r="I266" s="26" t="inlineStr">
        <is>
          <t>☐</t>
        </is>
      </c>
      <c r="J266" s="26" t="inlineStr">
        <is>
          <t>☐</t>
        </is>
      </c>
      <c r="K266" s="26" t="inlineStr">
        <is>
          <t>☐</t>
        </is>
      </c>
      <c r="L266" s="26" t="inlineStr">
        <is>
          <t>☐</t>
        </is>
      </c>
      <c r="M266" s="25" t="n"/>
      <c r="N266" s="27" t="n">
        <v>0</v>
      </c>
      <c r="O266" s="28" t="n"/>
      <c r="P266" s="23" t="n"/>
      <c r="Q266" s="29" t="n"/>
      <c r="R266" s="29" t="n"/>
      <c r="S266" s="23" t="n"/>
      <c r="T266" s="30" t="n"/>
      <c r="U266" s="31" t="inlineStr">
        <is>
          <t>高</t>
        </is>
      </c>
      <c r="V266" s="32" t="inlineStr">
        <is>
          <t>2つのサイトで一致</t>
        </is>
      </c>
      <c r="W266" s="33" t="inlineStr">
        <is>
          <t>開く</t>
        </is>
      </c>
    </row>
    <row r="267" ht="30" customHeight="1">
      <c r="A267" s="23" t="inlineStr">
        <is>
          <t>12千葉県</t>
        </is>
      </c>
      <c r="B267" s="23" t="inlineStr">
        <is>
          <t>私立</t>
        </is>
      </c>
      <c r="C267" s="23" t="n"/>
      <c r="D267" s="23" t="inlineStr">
        <is>
          <t>鴨川令徳高等学校</t>
        </is>
      </c>
      <c r="E267" s="24" t="inlineStr">
        <is>
          <t>04-7092-0267</t>
        </is>
      </c>
      <c r="F267" s="23" t="n"/>
      <c r="G267" s="25" t="inlineStr">
        <is>
          <t>普通科</t>
        </is>
      </c>
      <c r="H267" s="26" t="inlineStr">
        <is>
          <t>☐</t>
        </is>
      </c>
      <c r="I267" s="26" t="inlineStr">
        <is>
          <t>☐</t>
        </is>
      </c>
      <c r="J267" s="26" t="inlineStr">
        <is>
          <t>☐</t>
        </is>
      </c>
      <c r="K267" s="26" t="inlineStr">
        <is>
          <t>☐</t>
        </is>
      </c>
      <c r="L267" s="26" t="inlineStr">
        <is>
          <t>☐</t>
        </is>
      </c>
      <c r="M267" s="25" t="n"/>
      <c r="N267" s="27" t="n">
        <v>0</v>
      </c>
      <c r="O267" s="28" t="n"/>
      <c r="P267" s="23" t="n"/>
      <c r="Q267" s="29" t="n"/>
      <c r="R267" s="29" t="n"/>
      <c r="S267" s="23" t="n"/>
      <c r="T267" s="30" t="n"/>
      <c r="U267" s="31" t="inlineStr">
        <is>
          <t>高</t>
        </is>
      </c>
      <c r="V267" s="32" t="inlineStr">
        <is>
          <t>公式の募集要項で確認</t>
        </is>
      </c>
      <c r="W267" s="33" t="inlineStr">
        <is>
          <t>開く</t>
        </is>
      </c>
    </row>
    <row r="268" ht="30" customHeight="1">
      <c r="A268" s="23" t="inlineStr">
        <is>
          <t>12千葉県</t>
        </is>
      </c>
      <c r="B268" s="23" t="inlineStr">
        <is>
          <t>私立</t>
        </is>
      </c>
      <c r="C268" s="23" t="n"/>
      <c r="D268" s="23" t="inlineStr">
        <is>
          <t>木更津総合高等学校</t>
        </is>
      </c>
      <c r="E268" s="24" t="inlineStr">
        <is>
          <t>0438-30-5511</t>
        </is>
      </c>
      <c r="F268" s="23" t="n"/>
      <c r="G268" s="25" t="inlineStr">
        <is>
          <t>普通科</t>
        </is>
      </c>
      <c r="H268" s="26" t="inlineStr">
        <is>
          <t>☐</t>
        </is>
      </c>
      <c r="I268" s="26" t="inlineStr">
        <is>
          <t>☐</t>
        </is>
      </c>
      <c r="J268" s="26" t="inlineStr">
        <is>
          <t>☐</t>
        </is>
      </c>
      <c r="K268" s="26" t="inlineStr">
        <is>
          <t>☐</t>
        </is>
      </c>
      <c r="L268" s="26" t="inlineStr">
        <is>
          <t>☐</t>
        </is>
      </c>
      <c r="M268" s="25" t="n"/>
      <c r="N268" s="27" t="n">
        <v>0</v>
      </c>
      <c r="O268" s="28" t="n"/>
      <c r="P268" s="23" t="n"/>
      <c r="Q268" s="29" t="n"/>
      <c r="R268" s="29" t="n"/>
      <c r="S268" s="23" t="n"/>
      <c r="T268" s="30" t="n"/>
      <c r="U268" s="34" t="inlineStr">
        <is>
          <t>中</t>
        </is>
      </c>
      <c r="V268" s="32" t="inlineStr">
        <is>
          <t>学校情報サイト1件のみで確認</t>
        </is>
      </c>
      <c r="W268" s="33" t="inlineStr">
        <is>
          <t>開く</t>
        </is>
      </c>
    </row>
    <row r="269" ht="30" customHeight="1">
      <c r="A269" s="23" t="inlineStr">
        <is>
          <t>12千葉県</t>
        </is>
      </c>
      <c r="B269" s="23" t="inlineStr">
        <is>
          <t>私立</t>
        </is>
      </c>
      <c r="C269" s="23" t="n"/>
      <c r="D269" s="23" t="inlineStr">
        <is>
          <t>暁星国際高等学校</t>
        </is>
      </c>
      <c r="E269" s="24" t="inlineStr">
        <is>
          <t>0438-52-3291</t>
        </is>
      </c>
      <c r="F269" s="23" t="n"/>
      <c r="G269" s="25" t="inlineStr">
        <is>
          <t>普通科</t>
        </is>
      </c>
      <c r="H269" s="26" t="inlineStr">
        <is>
          <t>☐</t>
        </is>
      </c>
      <c r="I269" s="26" t="inlineStr">
        <is>
          <t>☐</t>
        </is>
      </c>
      <c r="J269" s="26" t="inlineStr">
        <is>
          <t>☐</t>
        </is>
      </c>
      <c r="K269" s="26" t="inlineStr">
        <is>
          <t>☐</t>
        </is>
      </c>
      <c r="L269" s="26" t="inlineStr">
        <is>
          <t>☐</t>
        </is>
      </c>
      <c r="M269" s="25" t="n"/>
      <c r="N269" s="27" t="n">
        <v>0</v>
      </c>
      <c r="O269" s="28" t="n"/>
      <c r="P269" s="23" t="n"/>
      <c r="Q269" s="29" t="n"/>
      <c r="R269" s="29" t="n"/>
      <c r="S269" s="23" t="n"/>
      <c r="T269" s="30" t="n"/>
      <c r="U269" s="31" t="inlineStr">
        <is>
          <t>高</t>
        </is>
      </c>
      <c r="V269" s="32" t="inlineStr">
        <is>
          <t>中高共通。東京の暁星とは別の学校</t>
        </is>
      </c>
      <c r="W269" s="33" t="inlineStr">
        <is>
          <t>開く</t>
        </is>
      </c>
    </row>
    <row r="270" ht="30" customHeight="1">
      <c r="A270" s="23" t="inlineStr">
        <is>
          <t>12千葉県</t>
        </is>
      </c>
      <c r="B270" s="23" t="inlineStr">
        <is>
          <t>私立</t>
        </is>
      </c>
      <c r="C270" s="23" t="n"/>
      <c r="D270" s="23" t="inlineStr">
        <is>
          <t>敬愛学園高等学校</t>
        </is>
      </c>
      <c r="E270" s="24" t="inlineStr">
        <is>
          <t>043-251-6361</t>
        </is>
      </c>
      <c r="F270" s="23" t="n"/>
      <c r="G270" s="25" t="inlineStr">
        <is>
          <t>普通科</t>
        </is>
      </c>
      <c r="H270" s="26" t="inlineStr">
        <is>
          <t>☐</t>
        </is>
      </c>
      <c r="I270" s="26" t="inlineStr">
        <is>
          <t>☐</t>
        </is>
      </c>
      <c r="J270" s="26" t="inlineStr">
        <is>
          <t>☐</t>
        </is>
      </c>
      <c r="K270" s="26" t="inlineStr">
        <is>
          <t>☐</t>
        </is>
      </c>
      <c r="L270" s="26" t="inlineStr">
        <is>
          <t>☐</t>
        </is>
      </c>
      <c r="M270" s="25" t="n"/>
      <c r="N270" s="27" t="n">
        <v>0</v>
      </c>
      <c r="O270" s="28" t="n"/>
      <c r="P270" s="23" t="n"/>
      <c r="Q270" s="29" t="n"/>
      <c r="R270" s="29" t="n"/>
      <c r="S270" s="23" t="n"/>
      <c r="T270" s="30" t="n"/>
      <c r="U270" s="31" t="inlineStr">
        <is>
          <t>高</t>
        </is>
      </c>
      <c r="V270" s="32" t="inlineStr">
        <is>
          <t>2つのサイトで一致。千葉敬愛・敬愛大学八日市場・横芝敬愛とは別の学校</t>
        </is>
      </c>
      <c r="W270" s="33" t="inlineStr">
        <is>
          <t>開く</t>
        </is>
      </c>
    </row>
    <row r="271" ht="30" customHeight="1">
      <c r="A271" s="23" t="inlineStr">
        <is>
          <t>12千葉県</t>
        </is>
      </c>
      <c r="B271" s="23" t="inlineStr">
        <is>
          <t>私立</t>
        </is>
      </c>
      <c r="C271" s="23" t="n"/>
      <c r="D271" s="23" t="inlineStr">
        <is>
          <t>敬愛大学八日市場高等学校</t>
        </is>
      </c>
      <c r="E271" s="24" t="inlineStr">
        <is>
          <t>0479-72-1588</t>
        </is>
      </c>
      <c r="F271" s="23" t="n"/>
      <c r="G271" s="25" t="inlineStr">
        <is>
          <t>普通科</t>
        </is>
      </c>
      <c r="H271" s="26" t="inlineStr">
        <is>
          <t>☐</t>
        </is>
      </c>
      <c r="I271" s="26" t="inlineStr">
        <is>
          <t>☐</t>
        </is>
      </c>
      <c r="J271" s="26" t="inlineStr">
        <is>
          <t>☐</t>
        </is>
      </c>
      <c r="K271" s="26" t="inlineStr">
        <is>
          <t>☐</t>
        </is>
      </c>
      <c r="L271" s="26" t="inlineStr">
        <is>
          <t>☐</t>
        </is>
      </c>
      <c r="M271" s="25" t="n"/>
      <c r="N271" s="27" t="n">
        <v>0</v>
      </c>
      <c r="O271" s="28" t="n"/>
      <c r="P271" s="23" t="n"/>
      <c r="Q271" s="29" t="n"/>
      <c r="R271" s="29" t="n"/>
      <c r="S271" s="23" t="n"/>
      <c r="T271" s="30" t="n"/>
      <c r="U271" s="31" t="inlineStr">
        <is>
          <t>高</t>
        </is>
      </c>
      <c r="V271" s="32" t="inlineStr">
        <is>
          <t>千葉県の私立高校名簿と一致。通信制の問い合わせは0479-79-6600とみられる</t>
        </is>
      </c>
      <c r="W271" s="33" t="inlineStr">
        <is>
          <t>開く</t>
        </is>
      </c>
    </row>
    <row r="272" ht="30" customHeight="1">
      <c r="A272" s="23" t="inlineStr">
        <is>
          <t>12千葉県</t>
        </is>
      </c>
      <c r="B272" s="23" t="inlineStr">
        <is>
          <t>私立</t>
        </is>
      </c>
      <c r="C272" s="23" t="n"/>
      <c r="D272" s="23" t="inlineStr">
        <is>
          <t>光英VERITAS高等学校</t>
        </is>
      </c>
      <c r="E272" s="24" t="inlineStr">
        <is>
          <t>047-392-8111</t>
        </is>
      </c>
      <c r="F272" s="23" t="n"/>
      <c r="G272" s="25" t="inlineStr">
        <is>
          <t>普通科・専門学科</t>
        </is>
      </c>
      <c r="H272" s="26" t="inlineStr">
        <is>
          <t>☐</t>
        </is>
      </c>
      <c r="I272" s="26" t="inlineStr">
        <is>
          <t>☐</t>
        </is>
      </c>
      <c r="J272" s="26" t="inlineStr">
        <is>
          <t>☐</t>
        </is>
      </c>
      <c r="K272" s="26" t="inlineStr">
        <is>
          <t>☐</t>
        </is>
      </c>
      <c r="L272" s="26" t="inlineStr">
        <is>
          <t>☐</t>
        </is>
      </c>
      <c r="M272" s="25" t="n"/>
      <c r="N272" s="27" t="n">
        <v>0</v>
      </c>
      <c r="O272" s="28" t="n"/>
      <c r="P272" s="23" t="n"/>
      <c r="Q272" s="29" t="n"/>
      <c r="R272" s="29" t="n"/>
      <c r="S272" s="23" t="n"/>
      <c r="T272" s="30" t="n"/>
      <c r="U272" s="34" t="inlineStr">
        <is>
          <t>中</t>
        </is>
      </c>
      <c r="V272" s="32" t="inlineStr">
        <is>
          <t>中高共通。旧 聖徳大学附属女子高校</t>
        </is>
      </c>
      <c r="W272" s="33" t="inlineStr">
        <is>
          <t>開く</t>
        </is>
      </c>
    </row>
    <row r="273" ht="30" customHeight="1">
      <c r="A273" s="23" t="inlineStr">
        <is>
          <t>12千葉県</t>
        </is>
      </c>
      <c r="B273" s="23" t="inlineStr">
        <is>
          <t>私立</t>
        </is>
      </c>
      <c r="C273" s="23" t="n"/>
      <c r="D273" s="23" t="inlineStr">
        <is>
          <t>国府台女子学院高等部</t>
        </is>
      </c>
      <c r="E273" s="24" t="inlineStr">
        <is>
          <t>047-326-8100</t>
        </is>
      </c>
      <c r="F273" s="23" t="n"/>
      <c r="G273" s="25" t="inlineStr">
        <is>
          <t>普通科・専門学科</t>
        </is>
      </c>
      <c r="H273" s="26" t="inlineStr">
        <is>
          <t>☐</t>
        </is>
      </c>
      <c r="I273" s="26" t="inlineStr">
        <is>
          <t>☐</t>
        </is>
      </c>
      <c r="J273" s="26" t="inlineStr">
        <is>
          <t>☐</t>
        </is>
      </c>
      <c r="K273" s="26" t="inlineStr">
        <is>
          <t>☐</t>
        </is>
      </c>
      <c r="L273" s="26" t="inlineStr">
        <is>
          <t>☐</t>
        </is>
      </c>
      <c r="M273" s="25" t="n"/>
      <c r="N273" s="27" t="n">
        <v>0</v>
      </c>
      <c r="O273" s="28" t="n"/>
      <c r="P273" s="23" t="n"/>
      <c r="Q273" s="29" t="n"/>
      <c r="R273" s="29" t="n"/>
      <c r="S273" s="23" t="n"/>
      <c r="T273" s="30" t="n"/>
      <c r="U273" s="34" t="inlineStr">
        <is>
          <t>中</t>
        </is>
      </c>
      <c r="V273" s="32" t="inlineStr">
        <is>
          <t>千葉県の教育便覧では高等部の番号。中高の番号として047-322-7770を載せる資料もあり、代表か不明。中学部は047-322-7777</t>
        </is>
      </c>
      <c r="W273" s="33" t="inlineStr">
        <is>
          <t>開く</t>
        </is>
      </c>
    </row>
    <row r="274" ht="30" customHeight="1">
      <c r="A274" s="23" t="inlineStr">
        <is>
          <t>12千葉県</t>
        </is>
      </c>
      <c r="B274" s="23" t="inlineStr">
        <is>
          <t>私立</t>
        </is>
      </c>
      <c r="C274" s="23" t="n"/>
      <c r="D274" s="23" t="inlineStr">
        <is>
          <t>志学館高等部</t>
        </is>
      </c>
      <c r="E274" s="24" t="inlineStr">
        <is>
          <t>0438-37-3131</t>
        </is>
      </c>
      <c r="F274" s="23" t="n"/>
      <c r="G274" s="25" t="inlineStr">
        <is>
          <t>普通科</t>
        </is>
      </c>
      <c r="H274" s="26" t="inlineStr">
        <is>
          <t>☐</t>
        </is>
      </c>
      <c r="I274" s="26" t="inlineStr">
        <is>
          <t>☐</t>
        </is>
      </c>
      <c r="J274" s="26" t="inlineStr">
        <is>
          <t>☐</t>
        </is>
      </c>
      <c r="K274" s="26" t="inlineStr">
        <is>
          <t>☐</t>
        </is>
      </c>
      <c r="L274" s="26" t="inlineStr">
        <is>
          <t>☐</t>
        </is>
      </c>
      <c r="M274" s="25" t="n"/>
      <c r="N274" s="27" t="n">
        <v>0</v>
      </c>
      <c r="O274" s="28" t="n"/>
      <c r="P274" s="23" t="n"/>
      <c r="Q274" s="29" t="n"/>
      <c r="R274" s="29" t="n"/>
      <c r="S274" s="23" t="n"/>
      <c r="T274" s="30" t="n"/>
      <c r="U274" s="31" t="inlineStr">
        <is>
          <t>高</t>
        </is>
      </c>
      <c r="V274" s="32" t="inlineStr">
        <is>
          <t>公式パンフレットに「代表」と記載</t>
        </is>
      </c>
      <c r="W274" s="33" t="inlineStr">
        <is>
          <t>開く</t>
        </is>
      </c>
    </row>
    <row r="275" ht="30" customHeight="1">
      <c r="A275" s="23" t="inlineStr">
        <is>
          <t>12千葉県</t>
        </is>
      </c>
      <c r="B275" s="23" t="inlineStr">
        <is>
          <t>私立</t>
        </is>
      </c>
      <c r="C275" s="23" t="n"/>
      <c r="D275" s="23" t="inlineStr">
        <is>
          <t>芝浦工業大学柏高等学校</t>
        </is>
      </c>
      <c r="E275" s="24" t="inlineStr">
        <is>
          <t>04-7174-3100</t>
        </is>
      </c>
      <c r="F275" s="23" t="n"/>
      <c r="G275" s="25" t="inlineStr">
        <is>
          <t>普通科</t>
        </is>
      </c>
      <c r="H275" s="26" t="inlineStr">
        <is>
          <t>☐</t>
        </is>
      </c>
      <c r="I275" s="26" t="inlineStr">
        <is>
          <t>☐</t>
        </is>
      </c>
      <c r="J275" s="26" t="inlineStr">
        <is>
          <t>☐</t>
        </is>
      </c>
      <c r="K275" s="26" t="inlineStr">
        <is>
          <t>☐</t>
        </is>
      </c>
      <c r="L275" s="26" t="inlineStr">
        <is>
          <t>☐</t>
        </is>
      </c>
      <c r="M275" s="25" t="n"/>
      <c r="N275" s="27" t="n">
        <v>0</v>
      </c>
      <c r="O275" s="28" t="n"/>
      <c r="P275" s="23" t="n"/>
      <c r="Q275" s="29" t="n"/>
      <c r="R275" s="29" t="n"/>
      <c r="S275" s="23" t="n"/>
      <c r="T275" s="30" t="n"/>
      <c r="U275" s="31" t="inlineStr">
        <is>
          <t>高</t>
        </is>
      </c>
      <c r="V275" s="32" t="inlineStr">
        <is>
          <t>公式資料で確認。中高共通</t>
        </is>
      </c>
      <c r="W275" s="33" t="inlineStr">
        <is>
          <t>開く</t>
        </is>
      </c>
    </row>
    <row r="276" ht="30" customHeight="1">
      <c r="A276" s="23" t="inlineStr">
        <is>
          <t>12千葉県</t>
        </is>
      </c>
      <c r="B276" s="23" t="inlineStr">
        <is>
          <t>私立</t>
        </is>
      </c>
      <c r="C276" s="23" t="n"/>
      <c r="D276" s="23" t="inlineStr">
        <is>
          <t>渋谷教育学園幕張高等学校</t>
        </is>
      </c>
      <c r="E276" s="24" t="inlineStr">
        <is>
          <t>043-271-1221</t>
        </is>
      </c>
      <c r="F276" s="23" t="n"/>
      <c r="G276" s="25" t="inlineStr">
        <is>
          <t>普通科</t>
        </is>
      </c>
      <c r="H276" s="26" t="inlineStr">
        <is>
          <t>☐</t>
        </is>
      </c>
      <c r="I276" s="26" t="inlineStr">
        <is>
          <t>☐</t>
        </is>
      </c>
      <c r="J276" s="26" t="inlineStr">
        <is>
          <t>☐</t>
        </is>
      </c>
      <c r="K276" s="26" t="inlineStr">
        <is>
          <t>☐</t>
        </is>
      </c>
      <c r="L276" s="26" t="inlineStr">
        <is>
          <t>☐</t>
        </is>
      </c>
      <c r="M276" s="25" t="n"/>
      <c r="N276" s="27" t="n">
        <v>0</v>
      </c>
      <c r="O276" s="28" t="n"/>
      <c r="P276" s="23" t="n"/>
      <c r="Q276" s="29" t="n"/>
      <c r="R276" s="29" t="n"/>
      <c r="S276" s="23" t="n"/>
      <c r="T276" s="30" t="n"/>
      <c r="U276" s="31" t="inlineStr">
        <is>
          <t>高</t>
        </is>
      </c>
      <c r="V276" s="32" t="inlineStr">
        <is>
          <t>公式資料で確認。中高共通</t>
        </is>
      </c>
      <c r="W276" s="33" t="inlineStr">
        <is>
          <t>開く</t>
        </is>
      </c>
    </row>
    <row r="277" ht="30" customHeight="1">
      <c r="A277" s="23" t="inlineStr">
        <is>
          <t>12千葉県</t>
        </is>
      </c>
      <c r="B277" s="23" t="inlineStr">
        <is>
          <t>私立</t>
        </is>
      </c>
      <c r="C277" s="23" t="n"/>
      <c r="D277" s="23" t="inlineStr">
        <is>
          <t>秀明大学学校教師学部附属秀明八千代高等学校</t>
        </is>
      </c>
      <c r="E277" s="24" t="inlineStr">
        <is>
          <t>047-450-7001</t>
        </is>
      </c>
      <c r="F277" s="23" t="n"/>
      <c r="G277" s="25" t="inlineStr">
        <is>
          <t>普通科</t>
        </is>
      </c>
      <c r="H277" s="26" t="inlineStr">
        <is>
          <t>☐</t>
        </is>
      </c>
      <c r="I277" s="26" t="inlineStr">
        <is>
          <t>☐</t>
        </is>
      </c>
      <c r="J277" s="26" t="inlineStr">
        <is>
          <t>☐</t>
        </is>
      </c>
      <c r="K277" s="26" t="inlineStr">
        <is>
          <t>☐</t>
        </is>
      </c>
      <c r="L277" s="26" t="inlineStr">
        <is>
          <t>☐</t>
        </is>
      </c>
      <c r="M277" s="25" t="n"/>
      <c r="N277" s="27" t="n">
        <v>0</v>
      </c>
      <c r="O277" s="28" t="n"/>
      <c r="P277" s="23" t="n"/>
      <c r="Q277" s="29" t="n"/>
      <c r="R277" s="29" t="n"/>
      <c r="S277" s="23" t="n"/>
      <c r="T277" s="30" t="n"/>
      <c r="U277" s="31" t="inlineStr">
        <is>
          <t>高</t>
        </is>
      </c>
      <c r="V277" s="32" t="inlineStr">
        <is>
          <t>2つのサイトで一致</t>
        </is>
      </c>
      <c r="W277" s="33" t="inlineStr">
        <is>
          <t>開く</t>
        </is>
      </c>
    </row>
    <row r="278" ht="30" customHeight="1">
      <c r="A278" s="23" t="inlineStr">
        <is>
          <t>12千葉県</t>
        </is>
      </c>
      <c r="B278" s="23" t="inlineStr">
        <is>
          <t>私立</t>
        </is>
      </c>
      <c r="C278" s="23" t="n"/>
      <c r="D278" s="23" t="inlineStr">
        <is>
          <t>翔凜高等学校</t>
        </is>
      </c>
      <c r="E278" s="24" t="inlineStr">
        <is>
          <t>0439-55-1200</t>
        </is>
      </c>
      <c r="F278" s="23" t="n"/>
      <c r="G278" s="25" t="inlineStr">
        <is>
          <t>専門学科</t>
        </is>
      </c>
      <c r="H278" s="26" t="inlineStr">
        <is>
          <t>☐</t>
        </is>
      </c>
      <c r="I278" s="26" t="inlineStr">
        <is>
          <t>☐</t>
        </is>
      </c>
      <c r="J278" s="26" t="inlineStr">
        <is>
          <t>☐</t>
        </is>
      </c>
      <c r="K278" s="26" t="inlineStr">
        <is>
          <t>☐</t>
        </is>
      </c>
      <c r="L278" s="26" t="inlineStr">
        <is>
          <t>☐</t>
        </is>
      </c>
      <c r="M278" s="25" t="n"/>
      <c r="N278" s="27" t="n">
        <v>0</v>
      </c>
      <c r="O278" s="28" t="n"/>
      <c r="P278" s="23" t="n"/>
      <c r="Q278" s="29" t="n"/>
      <c r="R278" s="29" t="n"/>
      <c r="S278" s="23" t="n"/>
      <c r="T278" s="30" t="n"/>
      <c r="U278" s="31" t="inlineStr">
        <is>
          <t>高</t>
        </is>
      </c>
      <c r="V278" s="32" t="inlineStr">
        <is>
          <t>中高共通</t>
        </is>
      </c>
      <c r="W278" s="33" t="inlineStr">
        <is>
          <t>開く</t>
        </is>
      </c>
    </row>
    <row r="279" ht="30" customHeight="1">
      <c r="A279" s="23" t="inlineStr">
        <is>
          <t>12千葉県</t>
        </is>
      </c>
      <c r="B279" s="23" t="inlineStr">
        <is>
          <t>私立</t>
        </is>
      </c>
      <c r="C279" s="23" t="n"/>
      <c r="D279" s="23" t="inlineStr">
        <is>
          <t>昭和学院高等学校</t>
        </is>
      </c>
      <c r="E279" s="24" t="inlineStr">
        <is>
          <t>047-323-4171</t>
        </is>
      </c>
      <c r="F279" s="23" t="n"/>
      <c r="G279" s="25" t="inlineStr">
        <is>
          <t>普通科</t>
        </is>
      </c>
      <c r="H279" s="26" t="inlineStr">
        <is>
          <t>☐</t>
        </is>
      </c>
      <c r="I279" s="26" t="inlineStr">
        <is>
          <t>☐</t>
        </is>
      </c>
      <c r="J279" s="26" t="inlineStr">
        <is>
          <t>☐</t>
        </is>
      </c>
      <c r="K279" s="26" t="inlineStr">
        <is>
          <t>☐</t>
        </is>
      </c>
      <c r="L279" s="26" t="inlineStr">
        <is>
          <t>☐</t>
        </is>
      </c>
      <c r="M279" s="25" t="n"/>
      <c r="N279" s="27" t="n">
        <v>0</v>
      </c>
      <c r="O279" s="28" t="n"/>
      <c r="P279" s="23" t="n"/>
      <c r="Q279" s="29" t="n"/>
      <c r="R279" s="29" t="n"/>
      <c r="S279" s="23" t="n"/>
      <c r="T279" s="30" t="n"/>
      <c r="U279" s="31" t="inlineStr">
        <is>
          <t>高</t>
        </is>
      </c>
      <c r="V279" s="32" t="inlineStr">
        <is>
          <t>中高共通。昭和学院秀英（千葉市）とは別の学校</t>
        </is>
      </c>
      <c r="W279" s="33" t="inlineStr">
        <is>
          <t>開く</t>
        </is>
      </c>
    </row>
    <row r="280" ht="30" customHeight="1">
      <c r="A280" s="23" t="inlineStr">
        <is>
          <t>12千葉県</t>
        </is>
      </c>
      <c r="B280" s="23" t="inlineStr">
        <is>
          <t>私立</t>
        </is>
      </c>
      <c r="C280" s="23" t="n"/>
      <c r="D280" s="23" t="inlineStr">
        <is>
          <t>昭和学院秀英高等学校</t>
        </is>
      </c>
      <c r="E280" s="24" t="inlineStr">
        <is>
          <t>043-272-2481</t>
        </is>
      </c>
      <c r="F280" s="23" t="n"/>
      <c r="G280" s="25" t="inlineStr">
        <is>
          <t>普通科</t>
        </is>
      </c>
      <c r="H280" s="26" t="inlineStr">
        <is>
          <t>☐</t>
        </is>
      </c>
      <c r="I280" s="26" t="inlineStr">
        <is>
          <t>☐</t>
        </is>
      </c>
      <c r="J280" s="26" t="inlineStr">
        <is>
          <t>☐</t>
        </is>
      </c>
      <c r="K280" s="26" t="inlineStr">
        <is>
          <t>☐</t>
        </is>
      </c>
      <c r="L280" s="26" t="inlineStr">
        <is>
          <t>☐</t>
        </is>
      </c>
      <c r="M280" s="25" t="n"/>
      <c r="N280" s="27" t="n">
        <v>0</v>
      </c>
      <c r="O280" s="28" t="n"/>
      <c r="P280" s="23" t="n"/>
      <c r="Q280" s="29" t="n"/>
      <c r="R280" s="29" t="n"/>
      <c r="S280" s="23" t="n"/>
      <c r="T280" s="30" t="n"/>
      <c r="U280" s="31" t="inlineStr">
        <is>
          <t>高</t>
        </is>
      </c>
      <c r="V280" s="32" t="inlineStr">
        <is>
          <t>中高共通。複数サイトで一致</t>
        </is>
      </c>
      <c r="W280" s="33" t="inlineStr">
        <is>
          <t>開く</t>
        </is>
      </c>
    </row>
    <row r="281" ht="30" customHeight="1">
      <c r="A281" s="23" t="inlineStr">
        <is>
          <t>12千葉県</t>
        </is>
      </c>
      <c r="B281" s="23" t="inlineStr">
        <is>
          <t>私立</t>
        </is>
      </c>
      <c r="C281" s="23" t="n"/>
      <c r="D281" s="23" t="inlineStr">
        <is>
          <t>西武台千葉高等学校</t>
        </is>
      </c>
      <c r="E281" s="24" t="inlineStr">
        <is>
          <t>04-7127-1111</t>
        </is>
      </c>
      <c r="F281" s="23" t="n"/>
      <c r="G281" s="25" t="inlineStr">
        <is>
          <t>普通科</t>
        </is>
      </c>
      <c r="H281" s="26" t="inlineStr">
        <is>
          <t>☐</t>
        </is>
      </c>
      <c r="I281" s="26" t="inlineStr">
        <is>
          <t>☐</t>
        </is>
      </c>
      <c r="J281" s="26" t="inlineStr">
        <is>
          <t>☐</t>
        </is>
      </c>
      <c r="K281" s="26" t="inlineStr">
        <is>
          <t>☐</t>
        </is>
      </c>
      <c r="L281" s="26" t="inlineStr">
        <is>
          <t>☐</t>
        </is>
      </c>
      <c r="M281" s="25" t="n"/>
      <c r="N281" s="27" t="n">
        <v>0</v>
      </c>
      <c r="O281" s="28" t="n"/>
      <c r="P281" s="23" t="n"/>
      <c r="Q281" s="29" t="n"/>
      <c r="R281" s="29" t="n"/>
      <c r="S281" s="23" t="n"/>
      <c r="T281" s="30" t="n"/>
      <c r="U281" s="31" t="inlineStr">
        <is>
          <t>高</t>
        </is>
      </c>
      <c r="V281" s="32" t="inlineStr">
        <is>
          <t>中高共通</t>
        </is>
      </c>
      <c r="W281" s="33" t="inlineStr">
        <is>
          <t>開く</t>
        </is>
      </c>
    </row>
    <row r="282" ht="30" customHeight="1">
      <c r="A282" s="23" t="inlineStr">
        <is>
          <t>12千葉県</t>
        </is>
      </c>
      <c r="B282" s="23" t="inlineStr">
        <is>
          <t>私立</t>
        </is>
      </c>
      <c r="C282" s="23" t="n"/>
      <c r="D282" s="23" t="inlineStr">
        <is>
          <t>専修大学松戸高等学校</t>
        </is>
      </c>
      <c r="E282" s="24" t="inlineStr">
        <is>
          <t>047-362-9101</t>
        </is>
      </c>
      <c r="F282" s="23" t="n"/>
      <c r="G282" s="25" t="inlineStr">
        <is>
          <t>普通科</t>
        </is>
      </c>
      <c r="H282" s="26" t="inlineStr">
        <is>
          <t>☐</t>
        </is>
      </c>
      <c r="I282" s="26" t="inlineStr">
        <is>
          <t>☐</t>
        </is>
      </c>
      <c r="J282" s="26" t="inlineStr">
        <is>
          <t>☐</t>
        </is>
      </c>
      <c r="K282" s="26" t="inlineStr">
        <is>
          <t>☐</t>
        </is>
      </c>
      <c r="L282" s="26" t="inlineStr">
        <is>
          <t>☐</t>
        </is>
      </c>
      <c r="M282" s="25" t="n"/>
      <c r="N282" s="27" t="n">
        <v>0</v>
      </c>
      <c r="O282" s="28" t="n"/>
      <c r="P282" s="23" t="n"/>
      <c r="Q282" s="29" t="n"/>
      <c r="R282" s="29" t="n"/>
      <c r="S282" s="23" t="n"/>
      <c r="T282" s="30" t="n"/>
      <c r="U282" s="34" t="inlineStr">
        <is>
          <t>中</t>
        </is>
      </c>
      <c r="V282" s="32" t="inlineStr">
        <is>
          <t>資料では高校9101・中学9102と併記。中高代表を047-362-9102とするサイトもあり食い違い</t>
        </is>
      </c>
      <c r="W282" s="33" t="inlineStr">
        <is>
          <t>開く</t>
        </is>
      </c>
    </row>
    <row r="283" ht="30" customHeight="1">
      <c r="A283" s="23" t="inlineStr">
        <is>
          <t>12千葉県</t>
        </is>
      </c>
      <c r="B283" s="23" t="inlineStr">
        <is>
          <t>私立</t>
        </is>
      </c>
      <c r="C283" s="23" t="n"/>
      <c r="D283" s="23" t="inlineStr">
        <is>
          <t>拓殖大学紅陵高等学校</t>
        </is>
      </c>
      <c r="E283" s="24" t="inlineStr">
        <is>
          <t>0438-37-2511</t>
        </is>
      </c>
      <c r="F283" s="23" t="n"/>
      <c r="G283" s="25" t="inlineStr">
        <is>
          <t>普通科</t>
        </is>
      </c>
      <c r="H283" s="26" t="inlineStr">
        <is>
          <t>☐</t>
        </is>
      </c>
      <c r="I283" s="26" t="inlineStr">
        <is>
          <t>☐</t>
        </is>
      </c>
      <c r="J283" s="26" t="inlineStr">
        <is>
          <t>☐</t>
        </is>
      </c>
      <c r="K283" s="26" t="inlineStr">
        <is>
          <t>☐</t>
        </is>
      </c>
      <c r="L283" s="26" t="inlineStr">
        <is>
          <t>☐</t>
        </is>
      </c>
      <c r="M283" s="25" t="n"/>
      <c r="N283" s="27" t="n">
        <v>0</v>
      </c>
      <c r="O283" s="28" t="n"/>
      <c r="P283" s="23" t="n"/>
      <c r="Q283" s="29" t="n"/>
      <c r="R283" s="29" t="n"/>
      <c r="S283" s="23" t="n"/>
      <c r="T283" s="30" t="n"/>
      <c r="U283" s="34" t="inlineStr">
        <is>
          <t>中</t>
        </is>
      </c>
      <c r="V283" s="32" t="inlineStr">
        <is>
          <t>学校情報サイト1件のみで確認</t>
        </is>
      </c>
      <c r="W283" s="33" t="inlineStr">
        <is>
          <t>開く</t>
        </is>
      </c>
    </row>
    <row r="284" ht="30" customHeight="1">
      <c r="A284" s="23" t="inlineStr">
        <is>
          <t>12千葉県</t>
        </is>
      </c>
      <c r="B284" s="23" t="inlineStr">
        <is>
          <t>私立</t>
        </is>
      </c>
      <c r="C284" s="23" t="n"/>
      <c r="D284" s="23" t="inlineStr">
        <is>
          <t>千葉英和高等学校</t>
        </is>
      </c>
      <c r="E284" s="24" t="inlineStr">
        <is>
          <t>047-484-5141</t>
        </is>
      </c>
      <c r="F284" s="23" t="n"/>
      <c r="G284" s="25" t="inlineStr">
        <is>
          <t>普通科・専門学科</t>
        </is>
      </c>
      <c r="H284" s="26" t="inlineStr">
        <is>
          <t>☐</t>
        </is>
      </c>
      <c r="I284" s="26" t="inlineStr">
        <is>
          <t>☐</t>
        </is>
      </c>
      <c r="J284" s="26" t="inlineStr">
        <is>
          <t>☐</t>
        </is>
      </c>
      <c r="K284" s="26" t="inlineStr">
        <is>
          <t>☐</t>
        </is>
      </c>
      <c r="L284" s="26" t="inlineStr">
        <is>
          <t>☐</t>
        </is>
      </c>
      <c r="M284" s="25" t="n"/>
      <c r="N284" s="27" t="n">
        <v>0</v>
      </c>
      <c r="O284" s="28" t="n"/>
      <c r="P284" s="23" t="n"/>
      <c r="Q284" s="29" t="n"/>
      <c r="R284" s="29" t="n"/>
      <c r="S284" s="23" t="n"/>
      <c r="T284" s="30" t="n"/>
      <c r="U284" s="31" t="inlineStr">
        <is>
          <t>高</t>
        </is>
      </c>
      <c r="V284" s="32" t="inlineStr">
        <is>
          <t>2つのサイトで一致</t>
        </is>
      </c>
      <c r="W284" s="33" t="inlineStr">
        <is>
          <t>開く</t>
        </is>
      </c>
    </row>
    <row r="285" ht="30" customHeight="1">
      <c r="A285" s="23" t="inlineStr">
        <is>
          <t>12千葉県</t>
        </is>
      </c>
      <c r="B285" s="23" t="inlineStr">
        <is>
          <t>私立</t>
        </is>
      </c>
      <c r="C285" s="23" t="n"/>
      <c r="D285" s="23" t="inlineStr">
        <is>
          <t>千葉学芸高等学校</t>
        </is>
      </c>
      <c r="E285" s="24" t="inlineStr">
        <is>
          <t>0475-52-1161</t>
        </is>
      </c>
      <c r="F285" s="23" t="n"/>
      <c r="G285" s="25" t="inlineStr">
        <is>
          <t>普通科</t>
        </is>
      </c>
      <c r="H285" s="26" t="inlineStr">
        <is>
          <t>☐</t>
        </is>
      </c>
      <c r="I285" s="26" t="inlineStr">
        <is>
          <t>☐</t>
        </is>
      </c>
      <c r="J285" s="26" t="inlineStr">
        <is>
          <t>☐</t>
        </is>
      </c>
      <c r="K285" s="26" t="inlineStr">
        <is>
          <t>☐</t>
        </is>
      </c>
      <c r="L285" s="26" t="inlineStr">
        <is>
          <t>☐</t>
        </is>
      </c>
      <c r="M285" s="25" t="n"/>
      <c r="N285" s="27" t="n">
        <v>0</v>
      </c>
      <c r="O285" s="28" t="n"/>
      <c r="P285" s="23" t="n"/>
      <c r="Q285" s="29" t="n"/>
      <c r="R285" s="29" t="n"/>
      <c r="S285" s="23" t="n"/>
      <c r="T285" s="30" t="n"/>
      <c r="U285" s="31" t="inlineStr">
        <is>
          <t>高</t>
        </is>
      </c>
      <c r="V285" s="32" t="inlineStr">
        <is>
          <t>公式資料で確認</t>
        </is>
      </c>
      <c r="W285" s="33" t="inlineStr">
        <is>
          <t>開く</t>
        </is>
      </c>
    </row>
    <row r="286" ht="30" customHeight="1">
      <c r="A286" s="23" t="inlineStr">
        <is>
          <t>12千葉県</t>
        </is>
      </c>
      <c r="B286" s="23" t="inlineStr">
        <is>
          <t>私立</t>
        </is>
      </c>
      <c r="C286" s="23" t="n"/>
      <c r="D286" s="23" t="inlineStr">
        <is>
          <t>千葉敬愛高等学校</t>
        </is>
      </c>
      <c r="E286" s="24" t="inlineStr">
        <is>
          <t>043-422-0131</t>
        </is>
      </c>
      <c r="F286" s="23" t="n"/>
      <c r="G286" s="25" t="inlineStr">
        <is>
          <t>普通科</t>
        </is>
      </c>
      <c r="H286" s="26" t="inlineStr">
        <is>
          <t>☐</t>
        </is>
      </c>
      <c r="I286" s="26" t="inlineStr">
        <is>
          <t>☐</t>
        </is>
      </c>
      <c r="J286" s="26" t="inlineStr">
        <is>
          <t>☐</t>
        </is>
      </c>
      <c r="K286" s="26" t="inlineStr">
        <is>
          <t>☐</t>
        </is>
      </c>
      <c r="L286" s="26" t="inlineStr">
        <is>
          <t>☐</t>
        </is>
      </c>
      <c r="M286" s="25" t="n"/>
      <c r="N286" s="27" t="n">
        <v>0</v>
      </c>
      <c r="O286" s="28" t="n"/>
      <c r="P286" s="23" t="n"/>
      <c r="Q286" s="29" t="n"/>
      <c r="R286" s="29" t="n"/>
      <c r="S286" s="23" t="n"/>
      <c r="T286" s="30" t="n"/>
      <c r="U286" s="31" t="inlineStr">
        <is>
          <t>高</t>
        </is>
      </c>
      <c r="V286" s="32" t="inlineStr">
        <is>
          <t>千葉県の私立高校名簿（R8）で確認</t>
        </is>
      </c>
      <c r="W286" s="33" t="inlineStr">
        <is>
          <t>開く</t>
        </is>
      </c>
    </row>
    <row r="287" ht="30" customHeight="1">
      <c r="A287" s="23" t="inlineStr">
        <is>
          <t>12千葉県</t>
        </is>
      </c>
      <c r="B287" s="23" t="inlineStr">
        <is>
          <t>私立</t>
        </is>
      </c>
      <c r="C287" s="23" t="n"/>
      <c r="D287" s="23" t="inlineStr">
        <is>
          <t>千葉経済大学附属高等学校</t>
        </is>
      </c>
      <c r="E287" s="24" t="inlineStr">
        <is>
          <t>043-251-7221</t>
        </is>
      </c>
      <c r="F287" s="23" t="n"/>
      <c r="G287" s="25" t="inlineStr">
        <is>
          <t>普通科・専門学科</t>
        </is>
      </c>
      <c r="H287" s="26" t="inlineStr">
        <is>
          <t>☐</t>
        </is>
      </c>
      <c r="I287" s="26" t="inlineStr">
        <is>
          <t>☐</t>
        </is>
      </c>
      <c r="J287" s="26" t="inlineStr">
        <is>
          <t>☐</t>
        </is>
      </c>
      <c r="K287" s="26" t="inlineStr">
        <is>
          <t>☐</t>
        </is>
      </c>
      <c r="L287" s="26" t="inlineStr">
        <is>
          <t>☐</t>
        </is>
      </c>
      <c r="M287" s="25" t="n"/>
      <c r="N287" s="27" t="n">
        <v>0</v>
      </c>
      <c r="O287" s="28" t="n"/>
      <c r="P287" s="23" t="n"/>
      <c r="Q287" s="29" t="n"/>
      <c r="R287" s="29" t="n"/>
      <c r="S287" s="23" t="n"/>
      <c r="T287" s="30" t="n"/>
      <c r="U287" s="31" t="inlineStr">
        <is>
          <t>高</t>
        </is>
      </c>
      <c r="V287" s="32" t="inlineStr">
        <is>
          <t>千葉県の私立高校名簿で確認</t>
        </is>
      </c>
      <c r="W287" s="33" t="inlineStr">
        <is>
          <t>開く</t>
        </is>
      </c>
    </row>
    <row r="288" ht="30" customHeight="1">
      <c r="A288" s="23" t="inlineStr">
        <is>
          <t>12千葉県</t>
        </is>
      </c>
      <c r="B288" s="23" t="inlineStr">
        <is>
          <t>私立</t>
        </is>
      </c>
      <c r="C288" s="23" t="n"/>
      <c r="D288" s="23" t="inlineStr">
        <is>
          <t>千葉県安房西高等学校</t>
        </is>
      </c>
      <c r="E288" s="24" t="inlineStr">
        <is>
          <t>0470-22-0545</t>
        </is>
      </c>
      <c r="F288" s="23" t="n"/>
      <c r="G288" s="25" t="inlineStr">
        <is>
          <t>普通科</t>
        </is>
      </c>
      <c r="H288" s="26" t="inlineStr">
        <is>
          <t>☐</t>
        </is>
      </c>
      <c r="I288" s="26" t="inlineStr">
        <is>
          <t>☐</t>
        </is>
      </c>
      <c r="J288" s="26" t="inlineStr">
        <is>
          <t>☐</t>
        </is>
      </c>
      <c r="K288" s="26" t="inlineStr">
        <is>
          <t>☐</t>
        </is>
      </c>
      <c r="L288" s="26" t="inlineStr">
        <is>
          <t>☐</t>
        </is>
      </c>
      <c r="M288" s="25" t="n"/>
      <c r="N288" s="27" t="n">
        <v>0</v>
      </c>
      <c r="O288" s="28" t="n"/>
      <c r="P288" s="23" t="n"/>
      <c r="Q288" s="29" t="n"/>
      <c r="R288" s="29" t="n"/>
      <c r="S288" s="23" t="n"/>
      <c r="T288" s="30" t="n"/>
      <c r="U288" s="34" t="inlineStr">
        <is>
          <t>中</t>
        </is>
      </c>
      <c r="V288" s="32" t="inlineStr">
        <is>
          <t>私立。学校情報サイト1件のみで確認。県立安房高校（0470-22-0130）とは別の学校</t>
        </is>
      </c>
      <c r="W288" s="33" t="inlineStr">
        <is>
          <t>開く</t>
        </is>
      </c>
    </row>
    <row r="289" ht="30" customHeight="1">
      <c r="A289" s="23" t="inlineStr">
        <is>
          <t>12千葉県</t>
        </is>
      </c>
      <c r="B289" s="23" t="inlineStr">
        <is>
          <t>私立</t>
        </is>
      </c>
      <c r="C289" s="23" t="n"/>
      <c r="D289" s="23" t="inlineStr">
        <is>
          <t>千葉商科大学付属高等学校</t>
        </is>
      </c>
      <c r="E289" s="24" t="inlineStr">
        <is>
          <t>047-373-2111</t>
        </is>
      </c>
      <c r="F289" s="23" t="n"/>
      <c r="G289" s="25" t="inlineStr">
        <is>
          <t>普通科・専門学科</t>
        </is>
      </c>
      <c r="H289" s="26" t="inlineStr">
        <is>
          <t>☐</t>
        </is>
      </c>
      <c r="I289" s="26" t="inlineStr">
        <is>
          <t>☐</t>
        </is>
      </c>
      <c r="J289" s="26" t="inlineStr">
        <is>
          <t>☐</t>
        </is>
      </c>
      <c r="K289" s="26" t="inlineStr">
        <is>
          <t>☐</t>
        </is>
      </c>
      <c r="L289" s="26" t="inlineStr">
        <is>
          <t>☐</t>
        </is>
      </c>
      <c r="M289" s="25" t="n"/>
      <c r="N289" s="27" t="n">
        <v>0</v>
      </c>
      <c r="O289" s="28" t="n"/>
      <c r="P289" s="23" t="n"/>
      <c r="Q289" s="29" t="n"/>
      <c r="R289" s="29" t="n"/>
      <c r="S289" s="23" t="n"/>
      <c r="T289" s="30" t="n"/>
      <c r="U289" s="31" t="inlineStr">
        <is>
          <t>高</t>
        </is>
      </c>
      <c r="V289" s="32" t="inlineStr">
        <is>
          <t>2つの情報源で一致</t>
        </is>
      </c>
      <c r="W289" s="33" t="inlineStr">
        <is>
          <t>開く</t>
        </is>
      </c>
    </row>
    <row r="290" ht="30" customHeight="1">
      <c r="A290" s="23" t="inlineStr">
        <is>
          <t>12千葉県</t>
        </is>
      </c>
      <c r="B290" s="23" t="inlineStr">
        <is>
          <t>私立</t>
        </is>
      </c>
      <c r="C290" s="23" t="n"/>
      <c r="D290" s="23" t="inlineStr">
        <is>
          <t>千葉聖心高等学校</t>
        </is>
      </c>
      <c r="E290" s="24" t="inlineStr">
        <is>
          <t>043-225-4151</t>
        </is>
      </c>
      <c r="F290" s="23" t="n"/>
      <c r="G290" s="25" t="inlineStr">
        <is>
          <t>普通科</t>
        </is>
      </c>
      <c r="H290" s="26" t="inlineStr">
        <is>
          <t>☐</t>
        </is>
      </c>
      <c r="I290" s="26" t="inlineStr">
        <is>
          <t>☐</t>
        </is>
      </c>
      <c r="J290" s="26" t="inlineStr">
        <is>
          <t>☐</t>
        </is>
      </c>
      <c r="K290" s="26" t="inlineStr">
        <is>
          <t>☐</t>
        </is>
      </c>
      <c r="L290" s="26" t="inlineStr">
        <is>
          <t>☐</t>
        </is>
      </c>
      <c r="M290" s="25" t="n"/>
      <c r="N290" s="27" t="n">
        <v>0</v>
      </c>
      <c r="O290" s="28" t="n"/>
      <c r="P290" s="23" t="n"/>
      <c r="Q290" s="29" t="n"/>
      <c r="R290" s="29" t="n"/>
      <c r="S290" s="23" t="n"/>
      <c r="T290" s="30" t="n"/>
      <c r="U290" s="34" t="inlineStr">
        <is>
          <t>中</t>
        </is>
      </c>
      <c r="V290" s="32" t="inlineStr">
        <is>
          <t>学校情報サイト1件のみで確認</t>
        </is>
      </c>
      <c r="W290" s="33" t="inlineStr">
        <is>
          <t>開く</t>
        </is>
      </c>
    </row>
    <row r="291" ht="30" customHeight="1">
      <c r="A291" s="23" t="inlineStr">
        <is>
          <t>12千葉県</t>
        </is>
      </c>
      <c r="B291" s="23" t="inlineStr">
        <is>
          <t>私立</t>
        </is>
      </c>
      <c r="C291" s="23" t="n"/>
      <c r="D291" s="23" t="inlineStr">
        <is>
          <t>千葉日本大学第一高等学校</t>
        </is>
      </c>
      <c r="E291" s="24" t="inlineStr">
        <is>
          <t>047-466-5155</t>
        </is>
      </c>
      <c r="F291" s="23" t="n"/>
      <c r="G291" s="25" t="inlineStr">
        <is>
          <t>普通科</t>
        </is>
      </c>
      <c r="H291" s="26" t="inlineStr">
        <is>
          <t>☐</t>
        </is>
      </c>
      <c r="I291" s="26" t="inlineStr">
        <is>
          <t>☐</t>
        </is>
      </c>
      <c r="J291" s="26" t="inlineStr">
        <is>
          <t>☐</t>
        </is>
      </c>
      <c r="K291" s="26" t="inlineStr">
        <is>
          <t>☐</t>
        </is>
      </c>
      <c r="L291" s="26" t="inlineStr">
        <is>
          <t>☐</t>
        </is>
      </c>
      <c r="M291" s="25" t="n"/>
      <c r="N291" s="27" t="n">
        <v>0</v>
      </c>
      <c r="O291" s="28" t="n"/>
      <c r="P291" s="23" t="n"/>
      <c r="Q291" s="29" t="n"/>
      <c r="R291" s="29" t="n"/>
      <c r="S291" s="23" t="n"/>
      <c r="T291" s="30" t="n"/>
      <c r="U291" s="34" t="inlineStr">
        <is>
          <t>中</t>
        </is>
      </c>
      <c r="V291" s="32" t="inlineStr">
        <is>
          <t>中高共通。学校情報サイト1件のみで確認</t>
        </is>
      </c>
      <c r="W291" s="33" t="inlineStr">
        <is>
          <t>開く</t>
        </is>
      </c>
    </row>
    <row r="292" ht="30" customHeight="1">
      <c r="A292" s="23" t="inlineStr">
        <is>
          <t>12千葉県</t>
        </is>
      </c>
      <c r="B292" s="23" t="inlineStr">
        <is>
          <t>私立</t>
        </is>
      </c>
      <c r="C292" s="23" t="n"/>
      <c r="D292" s="23" t="inlineStr">
        <is>
          <t>千葉萌陽高等学校</t>
        </is>
      </c>
      <c r="E292" s="24" t="inlineStr">
        <is>
          <t>0478-52-2959</t>
        </is>
      </c>
      <c r="F292" s="23" t="n"/>
      <c r="G292" s="25" t="inlineStr">
        <is>
          <t>普通科</t>
        </is>
      </c>
      <c r="H292" s="26" t="inlineStr">
        <is>
          <t>☐</t>
        </is>
      </c>
      <c r="I292" s="26" t="inlineStr">
        <is>
          <t>☐</t>
        </is>
      </c>
      <c r="J292" s="26" t="inlineStr">
        <is>
          <t>☐</t>
        </is>
      </c>
      <c r="K292" s="26" t="inlineStr">
        <is>
          <t>☐</t>
        </is>
      </c>
      <c r="L292" s="26" t="inlineStr">
        <is>
          <t>☐</t>
        </is>
      </c>
      <c r="M292" s="25" t="n"/>
      <c r="N292" s="27" t="n">
        <v>0</v>
      </c>
      <c r="O292" s="28" t="n"/>
      <c r="P292" s="23" t="n"/>
      <c r="Q292" s="29" t="n"/>
      <c r="R292" s="29" t="n"/>
      <c r="S292" s="23" t="n"/>
      <c r="T292" s="30" t="n"/>
      <c r="U292" s="34" t="inlineStr">
        <is>
          <t>中</t>
        </is>
      </c>
      <c r="V292" s="32" t="inlineStr">
        <is>
          <t>学校情報サイト1件のみで確認</t>
        </is>
      </c>
      <c r="W292" s="33" t="inlineStr">
        <is>
          <t>開く</t>
        </is>
      </c>
    </row>
    <row r="293" ht="30" customHeight="1">
      <c r="A293" s="23" t="inlineStr">
        <is>
          <t>12千葉県</t>
        </is>
      </c>
      <c r="B293" s="23" t="inlineStr">
        <is>
          <t>私立</t>
        </is>
      </c>
      <c r="C293" s="23" t="n"/>
      <c r="D293" s="23" t="inlineStr">
        <is>
          <t>千葉明徳高等学校</t>
        </is>
      </c>
      <c r="E293" s="24" t="inlineStr">
        <is>
          <t>043-265-1612</t>
        </is>
      </c>
      <c r="F293" s="23" t="n"/>
      <c r="G293" s="25" t="inlineStr">
        <is>
          <t>普通科</t>
        </is>
      </c>
      <c r="H293" s="26" t="inlineStr">
        <is>
          <t>☐</t>
        </is>
      </c>
      <c r="I293" s="26" t="inlineStr">
        <is>
          <t>☐</t>
        </is>
      </c>
      <c r="J293" s="26" t="inlineStr">
        <is>
          <t>☐</t>
        </is>
      </c>
      <c r="K293" s="26" t="inlineStr">
        <is>
          <t>☐</t>
        </is>
      </c>
      <c r="L293" s="26" t="inlineStr">
        <is>
          <t>☐</t>
        </is>
      </c>
      <c r="M293" s="25" t="n"/>
      <c r="N293" s="27" t="n">
        <v>0</v>
      </c>
      <c r="O293" s="28" t="n"/>
      <c r="P293" s="23" t="n"/>
      <c r="Q293" s="29" t="n"/>
      <c r="R293" s="29" t="n"/>
      <c r="S293" s="23" t="n"/>
      <c r="T293" s="30" t="n"/>
      <c r="U293" s="31" t="inlineStr">
        <is>
          <t>高</t>
        </is>
      </c>
      <c r="V293" s="32" t="inlineStr">
        <is>
          <t>中高共通（公式資料で確認）。043-265-1611は法人事務所</t>
        </is>
      </c>
      <c r="W293" s="33" t="inlineStr">
        <is>
          <t>開く</t>
        </is>
      </c>
    </row>
    <row r="294" ht="30" customHeight="1">
      <c r="A294" s="23" t="inlineStr">
        <is>
          <t>12千葉県</t>
        </is>
      </c>
      <c r="B294" s="23" t="inlineStr">
        <is>
          <t>私立</t>
        </is>
      </c>
      <c r="C294" s="23" t="n"/>
      <c r="D294" s="23" t="inlineStr">
        <is>
          <t>千葉黎明高等学校</t>
        </is>
      </c>
      <c r="E294" s="24" t="inlineStr">
        <is>
          <t>043-443-3221</t>
        </is>
      </c>
      <c r="F294" s="23" t="n"/>
      <c r="G294" s="25" t="inlineStr">
        <is>
          <t>普通科・専門学科</t>
        </is>
      </c>
      <c r="H294" s="26" t="inlineStr">
        <is>
          <t>☐</t>
        </is>
      </c>
      <c r="I294" s="26" t="inlineStr">
        <is>
          <t>☐</t>
        </is>
      </c>
      <c r="J294" s="26" t="inlineStr">
        <is>
          <t>☐</t>
        </is>
      </c>
      <c r="K294" s="26" t="inlineStr">
        <is>
          <t>☐</t>
        </is>
      </c>
      <c r="L294" s="26" t="inlineStr">
        <is>
          <t>☐</t>
        </is>
      </c>
      <c r="M294" s="25" t="n"/>
      <c r="N294" s="27" t="n">
        <v>0</v>
      </c>
      <c r="O294" s="28" t="n"/>
      <c r="P294" s="23" t="n"/>
      <c r="Q294" s="29" t="n"/>
      <c r="R294" s="29" t="n"/>
      <c r="S294" s="23" t="n"/>
      <c r="T294" s="30" t="n"/>
      <c r="U294" s="31" t="inlineStr">
        <is>
          <t>高</t>
        </is>
      </c>
      <c r="V294" s="32" t="inlineStr">
        <is>
          <t>2つの情報源で一致</t>
        </is>
      </c>
      <c r="W294" s="33" t="inlineStr">
        <is>
          <t>開く</t>
        </is>
      </c>
    </row>
    <row r="295" ht="30" customHeight="1">
      <c r="A295" s="23" t="inlineStr">
        <is>
          <t>12千葉県</t>
        </is>
      </c>
      <c r="B295" s="23" t="inlineStr">
        <is>
          <t>私立</t>
        </is>
      </c>
      <c r="C295" s="23" t="n"/>
      <c r="D295" s="23" t="inlineStr">
        <is>
          <t>中央学院高等学校</t>
        </is>
      </c>
      <c r="E295" s="24" t="inlineStr">
        <is>
          <t>04-7188-1101</t>
        </is>
      </c>
      <c r="F295" s="23" t="n"/>
      <c r="G295" s="25" t="inlineStr">
        <is>
          <t>普通科</t>
        </is>
      </c>
      <c r="H295" s="26" t="inlineStr">
        <is>
          <t>☐</t>
        </is>
      </c>
      <c r="I295" s="26" t="inlineStr">
        <is>
          <t>☐</t>
        </is>
      </c>
      <c r="J295" s="26" t="inlineStr">
        <is>
          <t>☐</t>
        </is>
      </c>
      <c r="K295" s="26" t="inlineStr">
        <is>
          <t>☐</t>
        </is>
      </c>
      <c r="L295" s="26" t="inlineStr">
        <is>
          <t>☐</t>
        </is>
      </c>
      <c r="M295" s="25" t="n"/>
      <c r="N295" s="27" t="n">
        <v>0</v>
      </c>
      <c r="O295" s="28" t="n"/>
      <c r="P295" s="23" t="n"/>
      <c r="Q295" s="29" t="n"/>
      <c r="R295" s="29" t="n"/>
      <c r="S295" s="23" t="n"/>
      <c r="T295" s="30" t="n"/>
      <c r="U295" s="31" t="inlineStr">
        <is>
          <t>高</t>
        </is>
      </c>
      <c r="V295" s="32" t="inlineStr">
        <is>
          <t>公式資料で確認</t>
        </is>
      </c>
      <c r="W295" s="33" t="inlineStr">
        <is>
          <t>開く</t>
        </is>
      </c>
    </row>
    <row r="296" ht="30" customHeight="1">
      <c r="A296" s="23" t="inlineStr">
        <is>
          <t>12千葉県</t>
        </is>
      </c>
      <c r="B296" s="23" t="inlineStr">
        <is>
          <t>私立</t>
        </is>
      </c>
      <c r="C296" s="23" t="n"/>
      <c r="D296" s="23" t="inlineStr">
        <is>
          <t>東海大学付属市原望洋高等学校</t>
        </is>
      </c>
      <c r="E296" s="24" t="inlineStr">
        <is>
          <t>0436-74-4721</t>
        </is>
      </c>
      <c r="F296" s="23" t="n"/>
      <c r="G296" s="25" t="inlineStr">
        <is>
          <t>普通科</t>
        </is>
      </c>
      <c r="H296" s="26" t="inlineStr">
        <is>
          <t>☐</t>
        </is>
      </c>
      <c r="I296" s="26" t="inlineStr">
        <is>
          <t>☐</t>
        </is>
      </c>
      <c r="J296" s="26" t="inlineStr">
        <is>
          <t>☐</t>
        </is>
      </c>
      <c r="K296" s="26" t="inlineStr">
        <is>
          <t>☐</t>
        </is>
      </c>
      <c r="L296" s="26" t="inlineStr">
        <is>
          <t>☐</t>
        </is>
      </c>
      <c r="M296" s="25" t="n"/>
      <c r="N296" s="27" t="n">
        <v>0</v>
      </c>
      <c r="O296" s="28" t="n"/>
      <c r="P296" s="23" t="n"/>
      <c r="Q296" s="29" t="n"/>
      <c r="R296" s="29" t="n"/>
      <c r="S296" s="23" t="n"/>
      <c r="T296" s="30" t="n"/>
      <c r="U296" s="34" t="inlineStr">
        <is>
          <t>中</t>
        </is>
      </c>
      <c r="V296" s="32" t="inlineStr">
        <is>
          <t>学校情報サイト1件のみで確認</t>
        </is>
      </c>
      <c r="W296" s="33" t="inlineStr">
        <is>
          <t>開く</t>
        </is>
      </c>
    </row>
    <row r="297" ht="30" customHeight="1">
      <c r="A297" s="23" t="inlineStr">
        <is>
          <t>12千葉県</t>
        </is>
      </c>
      <c r="B297" s="23" t="inlineStr">
        <is>
          <t>私立</t>
        </is>
      </c>
      <c r="C297" s="23" t="n"/>
      <c r="D297" s="23" t="inlineStr">
        <is>
          <t>東海大学付属浦安高等学校</t>
        </is>
      </c>
      <c r="E297" s="24" t="inlineStr">
        <is>
          <t>047-351-2371</t>
        </is>
      </c>
      <c r="F297" s="23" t="n"/>
      <c r="G297" s="25" t="inlineStr">
        <is>
          <t>普通科</t>
        </is>
      </c>
      <c r="H297" s="26" t="inlineStr">
        <is>
          <t>☐</t>
        </is>
      </c>
      <c r="I297" s="26" t="inlineStr">
        <is>
          <t>☐</t>
        </is>
      </c>
      <c r="J297" s="26" t="inlineStr">
        <is>
          <t>☐</t>
        </is>
      </c>
      <c r="K297" s="26" t="inlineStr">
        <is>
          <t>☐</t>
        </is>
      </c>
      <c r="L297" s="26" t="inlineStr">
        <is>
          <t>☐</t>
        </is>
      </c>
      <c r="M297" s="25" t="n"/>
      <c r="N297" s="27" t="n">
        <v>0</v>
      </c>
      <c r="O297" s="28" t="n"/>
      <c r="P297" s="23" t="n"/>
      <c r="Q297" s="29" t="n"/>
      <c r="R297" s="29" t="n"/>
      <c r="S297" s="23" t="n"/>
      <c r="T297" s="30" t="n"/>
      <c r="U297" s="31" t="inlineStr">
        <is>
          <t>高</t>
        </is>
      </c>
      <c r="V297" s="32" t="inlineStr">
        <is>
          <t>高校・中等部共通。複数サイトで一致</t>
        </is>
      </c>
      <c r="W297" s="33" t="inlineStr">
        <is>
          <t>開く</t>
        </is>
      </c>
    </row>
    <row r="298" ht="30" customHeight="1">
      <c r="A298" s="23" t="inlineStr">
        <is>
          <t>12千葉県</t>
        </is>
      </c>
      <c r="B298" s="23" t="inlineStr">
        <is>
          <t>私立</t>
        </is>
      </c>
      <c r="C298" s="23" t="n"/>
      <c r="D298" s="23" t="inlineStr">
        <is>
          <t>東京学館浦安高等学校</t>
        </is>
      </c>
      <c r="E298" s="24" t="inlineStr">
        <is>
          <t>047-353-8821</t>
        </is>
      </c>
      <c r="F298" s="23" t="n"/>
      <c r="G298" s="25" t="inlineStr">
        <is>
          <t>普通科</t>
        </is>
      </c>
      <c r="H298" s="26" t="inlineStr">
        <is>
          <t>☐</t>
        </is>
      </c>
      <c r="I298" s="26" t="inlineStr">
        <is>
          <t>☐</t>
        </is>
      </c>
      <c r="J298" s="26" t="inlineStr">
        <is>
          <t>☐</t>
        </is>
      </c>
      <c r="K298" s="26" t="inlineStr">
        <is>
          <t>☐</t>
        </is>
      </c>
      <c r="L298" s="26" t="inlineStr">
        <is>
          <t>☐</t>
        </is>
      </c>
      <c r="M298" s="25" t="n"/>
      <c r="N298" s="27" t="n">
        <v>0</v>
      </c>
      <c r="O298" s="28" t="n"/>
      <c r="P298" s="23" t="n"/>
      <c r="Q298" s="29" t="n"/>
      <c r="R298" s="29" t="n"/>
      <c r="S298" s="23" t="n"/>
      <c r="T298" s="30" t="n"/>
      <c r="U298" s="31" t="inlineStr">
        <is>
          <t>高</t>
        </is>
      </c>
      <c r="V298" s="32" t="inlineStr">
        <is>
          <t>2つのサイトで一致</t>
        </is>
      </c>
      <c r="W298" s="33" t="inlineStr">
        <is>
          <t>開く</t>
        </is>
      </c>
    </row>
    <row r="299" ht="30" customHeight="1">
      <c r="A299" s="23" t="inlineStr">
        <is>
          <t>12千葉県</t>
        </is>
      </c>
      <c r="B299" s="23" t="inlineStr">
        <is>
          <t>私立</t>
        </is>
      </c>
      <c r="C299" s="23" t="n"/>
      <c r="D299" s="23" t="inlineStr">
        <is>
          <t>東京学館高等学校</t>
        </is>
      </c>
      <c r="E299" s="24" t="inlineStr">
        <is>
          <t>043-496-3881</t>
        </is>
      </c>
      <c r="F299" s="23" t="n"/>
      <c r="G299" s="25" t="inlineStr">
        <is>
          <t>普通科</t>
        </is>
      </c>
      <c r="H299" s="26" t="inlineStr">
        <is>
          <t>☐</t>
        </is>
      </c>
      <c r="I299" s="26" t="inlineStr">
        <is>
          <t>☐</t>
        </is>
      </c>
      <c r="J299" s="26" t="inlineStr">
        <is>
          <t>☐</t>
        </is>
      </c>
      <c r="K299" s="26" t="inlineStr">
        <is>
          <t>☐</t>
        </is>
      </c>
      <c r="L299" s="26" t="inlineStr">
        <is>
          <t>☐</t>
        </is>
      </c>
      <c r="M299" s="25" t="n"/>
      <c r="N299" s="27" t="n">
        <v>0</v>
      </c>
      <c r="O299" s="28" t="n"/>
      <c r="P299" s="23" t="n"/>
      <c r="Q299" s="29" t="n"/>
      <c r="R299" s="29" t="n"/>
      <c r="S299" s="23" t="n"/>
      <c r="T299" s="30" t="n"/>
      <c r="U299" s="34" t="inlineStr">
        <is>
          <t>中</t>
        </is>
      </c>
      <c r="V299" s="32" t="inlineStr">
        <is>
          <t>学校情報サイト1件のみで確認。東京学館浦安・東京学館船橋とは別の学校</t>
        </is>
      </c>
      <c r="W299" s="33" t="inlineStr">
        <is>
          <t>開く</t>
        </is>
      </c>
    </row>
    <row r="300" ht="30" customHeight="1">
      <c r="A300" s="23" t="inlineStr">
        <is>
          <t>12千葉県</t>
        </is>
      </c>
      <c r="B300" s="23" t="inlineStr">
        <is>
          <t>私立</t>
        </is>
      </c>
      <c r="C300" s="23" t="n"/>
      <c r="D300" s="23" t="inlineStr">
        <is>
          <t>東京学館船橋高等学校</t>
        </is>
      </c>
      <c r="E300" s="24" t="inlineStr">
        <is>
          <t>047-457-4611</t>
        </is>
      </c>
      <c r="F300" s="23" t="n"/>
      <c r="G300" s="25" t="inlineStr">
        <is>
          <t>普通科・専門学科</t>
        </is>
      </c>
      <c r="H300" s="26" t="inlineStr">
        <is>
          <t>☐</t>
        </is>
      </c>
      <c r="I300" s="26" t="inlineStr">
        <is>
          <t>☐</t>
        </is>
      </c>
      <c r="J300" s="26" t="inlineStr">
        <is>
          <t>☐</t>
        </is>
      </c>
      <c r="K300" s="26" t="inlineStr">
        <is>
          <t>☐</t>
        </is>
      </c>
      <c r="L300" s="26" t="inlineStr">
        <is>
          <t>☐</t>
        </is>
      </c>
      <c r="M300" s="25" t="n"/>
      <c r="N300" s="27" t="n">
        <v>0</v>
      </c>
      <c r="O300" s="28" t="n"/>
      <c r="P300" s="23" t="n"/>
      <c r="Q300" s="29" t="n"/>
      <c r="R300" s="29" t="n"/>
      <c r="S300" s="23" t="n"/>
      <c r="T300" s="30" t="n"/>
      <c r="U300" s="34" t="inlineStr">
        <is>
          <t>中</t>
        </is>
      </c>
      <c r="V300" s="32" t="inlineStr">
        <is>
          <t>代表として掲載。学校情報サイト1件のみで確認</t>
        </is>
      </c>
      <c r="W300" s="33" t="inlineStr">
        <is>
          <t>開く</t>
        </is>
      </c>
    </row>
    <row r="301" ht="30" customHeight="1">
      <c r="A301" s="23" t="inlineStr">
        <is>
          <t>12千葉県</t>
        </is>
      </c>
      <c r="B301" s="23" t="inlineStr">
        <is>
          <t>私立</t>
        </is>
      </c>
      <c r="C301" s="23" t="n"/>
      <c r="D301" s="23" t="inlineStr">
        <is>
          <t>東邦大学付属東邦高等学校</t>
        </is>
      </c>
      <c r="E301" s="24" t="inlineStr">
        <is>
          <t>047-472-8191</t>
        </is>
      </c>
      <c r="F301" s="23" t="n"/>
      <c r="G301" s="25" t="inlineStr">
        <is>
          <t>普通科</t>
        </is>
      </c>
      <c r="H301" s="26" t="inlineStr">
        <is>
          <t>☐</t>
        </is>
      </c>
      <c r="I301" s="26" t="inlineStr">
        <is>
          <t>☐</t>
        </is>
      </c>
      <c r="J301" s="26" t="inlineStr">
        <is>
          <t>☐</t>
        </is>
      </c>
      <c r="K301" s="26" t="inlineStr">
        <is>
          <t>☐</t>
        </is>
      </c>
      <c r="L301" s="26" t="inlineStr">
        <is>
          <t>☐</t>
        </is>
      </c>
      <c r="M301" s="25" t="n"/>
      <c r="N301" s="27" t="n">
        <v>0</v>
      </c>
      <c r="O301" s="28" t="n"/>
      <c r="P301" s="23" t="n"/>
      <c r="Q301" s="29" t="n"/>
      <c r="R301" s="29" t="n"/>
      <c r="S301" s="23" t="n"/>
      <c r="T301" s="30" t="n"/>
      <c r="U301" s="34" t="inlineStr">
        <is>
          <t>中</t>
        </is>
      </c>
      <c r="V301" s="32" t="inlineStr">
        <is>
          <t>中高共通。高校募集なし（完全中高一貫）との情報あり</t>
        </is>
      </c>
      <c r="W301" s="33" t="inlineStr">
        <is>
          <t>開く</t>
        </is>
      </c>
    </row>
    <row r="302" ht="30" customHeight="1">
      <c r="A302" s="23" t="inlineStr">
        <is>
          <t>12千葉県</t>
        </is>
      </c>
      <c r="B302" s="23" t="inlineStr">
        <is>
          <t>私立</t>
        </is>
      </c>
      <c r="C302" s="23" t="n"/>
      <c r="D302" s="23" t="inlineStr">
        <is>
          <t>東葉高等学校</t>
        </is>
      </c>
      <c r="E302" s="24" t="inlineStr">
        <is>
          <t>047-463-2111</t>
        </is>
      </c>
      <c r="F302" s="23" t="n"/>
      <c r="G302" s="25" t="inlineStr">
        <is>
          <t>普通科</t>
        </is>
      </c>
      <c r="H302" s="26" t="inlineStr">
        <is>
          <t>☐</t>
        </is>
      </c>
      <c r="I302" s="26" t="inlineStr">
        <is>
          <t>☐</t>
        </is>
      </c>
      <c r="J302" s="26" t="inlineStr">
        <is>
          <t>☐</t>
        </is>
      </c>
      <c r="K302" s="26" t="inlineStr">
        <is>
          <t>☐</t>
        </is>
      </c>
      <c r="L302" s="26" t="inlineStr">
        <is>
          <t>☐</t>
        </is>
      </c>
      <c r="M302" s="25" t="n"/>
      <c r="N302" s="27" t="n">
        <v>0</v>
      </c>
      <c r="O302" s="28" t="n"/>
      <c r="P302" s="23" t="n"/>
      <c r="Q302" s="29" t="n"/>
      <c r="R302" s="29" t="n"/>
      <c r="S302" s="23" t="n"/>
      <c r="T302" s="30" t="n"/>
      <c r="U302" s="34" t="inlineStr">
        <is>
          <t>中</t>
        </is>
      </c>
      <c r="V302" s="32" t="inlineStr">
        <is>
          <t>学校情報サイト1件のみで確認</t>
        </is>
      </c>
      <c r="W302" s="33" t="inlineStr">
        <is>
          <t>開く</t>
        </is>
      </c>
    </row>
    <row r="303" ht="30" customHeight="1">
      <c r="A303" s="23" t="inlineStr">
        <is>
          <t>12千葉県</t>
        </is>
      </c>
      <c r="B303" s="23" t="inlineStr">
        <is>
          <t>私立</t>
        </is>
      </c>
      <c r="C303" s="23" t="n"/>
      <c r="D303" s="23" t="inlineStr">
        <is>
          <t>中山学園高等学校</t>
        </is>
      </c>
      <c r="E303" s="24" t="inlineStr">
        <is>
          <t>047-422-4380</t>
        </is>
      </c>
      <c r="F303" s="23" t="n"/>
      <c r="G303" s="25" t="inlineStr">
        <is>
          <t>普通科</t>
        </is>
      </c>
      <c r="H303" s="26" t="inlineStr">
        <is>
          <t>☐</t>
        </is>
      </c>
      <c r="I303" s="26" t="inlineStr">
        <is>
          <t>☐</t>
        </is>
      </c>
      <c r="J303" s="26" t="inlineStr">
        <is>
          <t>☐</t>
        </is>
      </c>
      <c r="K303" s="26" t="inlineStr">
        <is>
          <t>☐</t>
        </is>
      </c>
      <c r="L303" s="26" t="inlineStr">
        <is>
          <t>☐</t>
        </is>
      </c>
      <c r="M303" s="25" t="n"/>
      <c r="N303" s="27" t="n">
        <v>0</v>
      </c>
      <c r="O303" s="28" t="n"/>
      <c r="P303" s="23" t="n"/>
      <c r="Q303" s="29" t="n"/>
      <c r="R303" s="29" t="n"/>
      <c r="S303" s="23" t="n"/>
      <c r="T303" s="30" t="n"/>
      <c r="U303" s="34" t="inlineStr">
        <is>
          <t>中</t>
        </is>
      </c>
      <c r="V303" s="32" t="inlineStr">
        <is>
          <t>通信制。学校情報サイト1件のみで確認</t>
        </is>
      </c>
      <c r="W303" s="33" t="inlineStr">
        <is>
          <t>開く</t>
        </is>
      </c>
    </row>
    <row r="304" ht="30" customHeight="1">
      <c r="A304" s="23" t="inlineStr">
        <is>
          <t>12千葉県</t>
        </is>
      </c>
      <c r="B304" s="23" t="inlineStr">
        <is>
          <t>私立</t>
        </is>
      </c>
      <c r="C304" s="23" t="n"/>
      <c r="D304" s="23" t="inlineStr">
        <is>
          <t>成田高等学校</t>
        </is>
      </c>
      <c r="E304" s="24" t="inlineStr">
        <is>
          <t>0476-22-2131</t>
        </is>
      </c>
      <c r="F304" s="23" t="n"/>
      <c r="G304" s="25" t="inlineStr">
        <is>
          <t>普通科</t>
        </is>
      </c>
      <c r="H304" s="26" t="inlineStr">
        <is>
          <t>☐</t>
        </is>
      </c>
      <c r="I304" s="26" t="inlineStr">
        <is>
          <t>☐</t>
        </is>
      </c>
      <c r="J304" s="26" t="inlineStr">
        <is>
          <t>☐</t>
        </is>
      </c>
      <c r="K304" s="26" t="inlineStr">
        <is>
          <t>☐</t>
        </is>
      </c>
      <c r="L304" s="26" t="inlineStr">
        <is>
          <t>☐</t>
        </is>
      </c>
      <c r="M304" s="25" t="n"/>
      <c r="N304" s="27" t="n">
        <v>0</v>
      </c>
      <c r="O304" s="28" t="n"/>
      <c r="P304" s="23" t="n"/>
      <c r="Q304" s="29" t="n"/>
      <c r="R304" s="29" t="n"/>
      <c r="S304" s="23" t="n"/>
      <c r="T304" s="30" t="n"/>
      <c r="U304" s="31" t="inlineStr">
        <is>
          <t>高</t>
        </is>
      </c>
      <c r="V304" s="32" t="inlineStr">
        <is>
          <t>中高共通。2つのサイトで一致</t>
        </is>
      </c>
      <c r="W304" s="33" t="inlineStr">
        <is>
          <t>開く</t>
        </is>
      </c>
    </row>
    <row r="305" ht="30" customHeight="1">
      <c r="A305" s="23" t="inlineStr">
        <is>
          <t>12千葉県</t>
        </is>
      </c>
      <c r="B305" s="23" t="inlineStr">
        <is>
          <t>私立</t>
        </is>
      </c>
      <c r="C305" s="23" t="n"/>
      <c r="D305" s="23" t="inlineStr">
        <is>
          <t>二松学舎大学附属柏高等学校</t>
        </is>
      </c>
      <c r="E305" s="24" t="inlineStr">
        <is>
          <t>04-7191-5242</t>
        </is>
      </c>
      <c r="F305" s="23" t="n"/>
      <c r="G305" s="25" t="inlineStr">
        <is>
          <t>普通科</t>
        </is>
      </c>
      <c r="H305" s="26" t="inlineStr">
        <is>
          <t>☐</t>
        </is>
      </c>
      <c r="I305" s="26" t="inlineStr">
        <is>
          <t>☐</t>
        </is>
      </c>
      <c r="J305" s="26" t="inlineStr">
        <is>
          <t>☐</t>
        </is>
      </c>
      <c r="K305" s="26" t="inlineStr">
        <is>
          <t>☐</t>
        </is>
      </c>
      <c r="L305" s="26" t="inlineStr">
        <is>
          <t>☐</t>
        </is>
      </c>
      <c r="M305" s="25" t="n"/>
      <c r="N305" s="27" t="n">
        <v>0</v>
      </c>
      <c r="O305" s="28" t="n"/>
      <c r="P305" s="23" t="n"/>
      <c r="Q305" s="29" t="n"/>
      <c r="R305" s="29" t="n"/>
      <c r="S305" s="23" t="n"/>
      <c r="T305" s="30" t="n"/>
      <c r="U305" s="34" t="inlineStr">
        <is>
          <t>中</t>
        </is>
      </c>
      <c r="V305" s="32" t="inlineStr">
        <is>
          <t>04-7191-3179を載せるサイトもあり食い違い</t>
        </is>
      </c>
      <c r="W305" s="33" t="inlineStr">
        <is>
          <t>開く</t>
        </is>
      </c>
    </row>
    <row r="306" ht="30" customHeight="1">
      <c r="A306" s="23" t="inlineStr">
        <is>
          <t>12千葉県</t>
        </is>
      </c>
      <c r="B306" s="23" t="inlineStr">
        <is>
          <t>私立</t>
        </is>
      </c>
      <c r="C306" s="23" t="n"/>
      <c r="D306" s="23" t="inlineStr">
        <is>
          <t>日本体育大学柏高等学校</t>
        </is>
      </c>
      <c r="E306" s="24" t="inlineStr">
        <is>
          <t>04-7167-1301</t>
        </is>
      </c>
      <c r="F306" s="23" t="n"/>
      <c r="G306" s="25" t="inlineStr">
        <is>
          <t>普通科</t>
        </is>
      </c>
      <c r="H306" s="26" t="inlineStr">
        <is>
          <t>☐</t>
        </is>
      </c>
      <c r="I306" s="26" t="inlineStr">
        <is>
          <t>☐</t>
        </is>
      </c>
      <c r="J306" s="26" t="inlineStr">
        <is>
          <t>☐</t>
        </is>
      </c>
      <c r="K306" s="26" t="inlineStr">
        <is>
          <t>☐</t>
        </is>
      </c>
      <c r="L306" s="26" t="inlineStr">
        <is>
          <t>☐</t>
        </is>
      </c>
      <c r="M306" s="25" t="n"/>
      <c r="N306" s="27" t="n">
        <v>0</v>
      </c>
      <c r="O306" s="28" t="n"/>
      <c r="P306" s="23" t="n"/>
      <c r="Q306" s="29" t="n"/>
      <c r="R306" s="29" t="n"/>
      <c r="S306" s="23" t="n"/>
      <c r="T306" s="30" t="n"/>
      <c r="U306" s="34" t="inlineStr">
        <is>
          <t>中</t>
        </is>
      </c>
      <c r="V306" s="32" t="inlineStr">
        <is>
          <t>学校情報サイト1件のみで確認</t>
        </is>
      </c>
      <c r="W306" s="33" t="inlineStr">
        <is>
          <t>開く</t>
        </is>
      </c>
    </row>
    <row r="307" ht="30" customHeight="1">
      <c r="A307" s="23" t="inlineStr">
        <is>
          <t>12千葉県</t>
        </is>
      </c>
      <c r="B307" s="23" t="inlineStr">
        <is>
          <t>私立</t>
        </is>
      </c>
      <c r="C307" s="23" t="n"/>
      <c r="D307" s="23" t="inlineStr">
        <is>
          <t>日本大学習志野高等学校</t>
        </is>
      </c>
      <c r="E307" s="24" t="inlineStr">
        <is>
          <t>047-469-5555</t>
        </is>
      </c>
      <c r="F307" s="23" t="n"/>
      <c r="G307" s="25" t="inlineStr">
        <is>
          <t>普通科</t>
        </is>
      </c>
      <c r="H307" s="26" t="inlineStr">
        <is>
          <t>☐</t>
        </is>
      </c>
      <c r="I307" s="26" t="inlineStr">
        <is>
          <t>☐</t>
        </is>
      </c>
      <c r="J307" s="26" t="inlineStr">
        <is>
          <t>☐</t>
        </is>
      </c>
      <c r="K307" s="26" t="inlineStr">
        <is>
          <t>☐</t>
        </is>
      </c>
      <c r="L307" s="26" t="inlineStr">
        <is>
          <t>☐</t>
        </is>
      </c>
      <c r="M307" s="25" t="n"/>
      <c r="N307" s="27" t="n">
        <v>0</v>
      </c>
      <c r="O307" s="28" t="n"/>
      <c r="P307" s="23" t="n"/>
      <c r="Q307" s="29" t="n"/>
      <c r="R307" s="29" t="n"/>
      <c r="S307" s="23" t="n"/>
      <c r="T307" s="30" t="n"/>
      <c r="U307" s="31" t="inlineStr">
        <is>
          <t>高</t>
        </is>
      </c>
      <c r="V307" s="32" t="inlineStr">
        <is>
          <t>公式資料に「代表」と記載</t>
        </is>
      </c>
      <c r="W307" s="33" t="inlineStr">
        <is>
          <t>開く</t>
        </is>
      </c>
    </row>
    <row r="308" ht="30" customHeight="1">
      <c r="A308" s="23" t="inlineStr">
        <is>
          <t>12千葉県</t>
        </is>
      </c>
      <c r="B308" s="23" t="inlineStr">
        <is>
          <t>私立</t>
        </is>
      </c>
      <c r="C308" s="23" t="n"/>
      <c r="D308" s="23" t="inlineStr">
        <is>
          <t>不二女子高等学校</t>
        </is>
      </c>
      <c r="E308" s="24" t="inlineStr">
        <is>
          <t>047-333-6345</t>
        </is>
      </c>
      <c r="F308" s="23" t="n"/>
      <c r="G308" s="25" t="inlineStr">
        <is>
          <t>普通科</t>
        </is>
      </c>
      <c r="H308" s="26" t="inlineStr">
        <is>
          <t>☐</t>
        </is>
      </c>
      <c r="I308" s="26" t="inlineStr">
        <is>
          <t>☐</t>
        </is>
      </c>
      <c r="J308" s="26" t="inlineStr">
        <is>
          <t>☐</t>
        </is>
      </c>
      <c r="K308" s="26" t="inlineStr">
        <is>
          <t>☐</t>
        </is>
      </c>
      <c r="L308" s="26" t="inlineStr">
        <is>
          <t>☐</t>
        </is>
      </c>
      <c r="M308" s="25" t="n"/>
      <c r="N308" s="27" t="n">
        <v>0</v>
      </c>
      <c r="O308" s="28" t="n"/>
      <c r="P308" s="23" t="n"/>
      <c r="Q308" s="29" t="n"/>
      <c r="R308" s="29" t="n"/>
      <c r="S308" s="23" t="n"/>
      <c r="T308" s="30" t="n"/>
      <c r="U308" s="31" t="inlineStr">
        <is>
          <t>高</t>
        </is>
      </c>
      <c r="V308" s="32" t="inlineStr">
        <is>
          <t>2つのサイトで一致</t>
        </is>
      </c>
      <c r="W308" s="33" t="inlineStr">
        <is>
          <t>開く</t>
        </is>
      </c>
    </row>
    <row r="309" ht="30" customHeight="1">
      <c r="A309" s="23" t="inlineStr">
        <is>
          <t>12千葉県</t>
        </is>
      </c>
      <c r="B309" s="23" t="inlineStr">
        <is>
          <t>私立</t>
        </is>
      </c>
      <c r="C309" s="23" t="n"/>
      <c r="D309" s="23" t="inlineStr">
        <is>
          <t>明聖高等学校</t>
        </is>
      </c>
      <c r="E309" s="24" t="n"/>
      <c r="F309" s="23" t="n"/>
      <c r="G309" s="25" t="inlineStr">
        <is>
          <t>普通科</t>
        </is>
      </c>
      <c r="H309" s="26" t="inlineStr">
        <is>
          <t>☐</t>
        </is>
      </c>
      <c r="I309" s="26" t="inlineStr">
        <is>
          <t>☐</t>
        </is>
      </c>
      <c r="J309" s="26" t="inlineStr">
        <is>
          <t>☐</t>
        </is>
      </c>
      <c r="K309" s="26" t="inlineStr">
        <is>
          <t>☐</t>
        </is>
      </c>
      <c r="L309" s="26" t="inlineStr">
        <is>
          <t>☐</t>
        </is>
      </c>
      <c r="M309" s="25" t="n"/>
      <c r="N309" s="27" t="n">
        <v>0</v>
      </c>
      <c r="O309" s="28" t="n"/>
      <c r="P309" s="23" t="n"/>
      <c r="Q309" s="29" t="n"/>
      <c r="R309" s="29" t="n"/>
      <c r="S309" s="23" t="n"/>
      <c r="T309" s="30" t="n"/>
      <c r="U309" s="35" t="inlineStr">
        <is>
          <t>要調査</t>
        </is>
      </c>
      <c r="V309" s="32" t="inlineStr">
        <is>
          <t>通信制。【移転】2026年9月に千葉本校が中央区中央港へ移転。移転前の番号は043-225-5622で、移転後の番号は確認できず</t>
        </is>
      </c>
      <c r="W309" s="33" t="inlineStr">
        <is>
          <t>開く</t>
        </is>
      </c>
    </row>
    <row r="310" ht="30" customHeight="1">
      <c r="A310" s="23" t="inlineStr">
        <is>
          <t>12千葉県</t>
        </is>
      </c>
      <c r="B310" s="23" t="inlineStr">
        <is>
          <t>私立</t>
        </is>
      </c>
      <c r="C310" s="23" t="n"/>
      <c r="D310" s="23" t="inlineStr">
        <is>
          <t>茂原北陵高等学校</t>
        </is>
      </c>
      <c r="E310" s="24" t="inlineStr">
        <is>
          <t>0475-34-3211</t>
        </is>
      </c>
      <c r="F310" s="23" t="n"/>
      <c r="G310" s="25" t="inlineStr">
        <is>
          <t>普通科・専門学科</t>
        </is>
      </c>
      <c r="H310" s="26" t="inlineStr">
        <is>
          <t>☐</t>
        </is>
      </c>
      <c r="I310" s="26" t="inlineStr">
        <is>
          <t>☐</t>
        </is>
      </c>
      <c r="J310" s="26" t="inlineStr">
        <is>
          <t>☐</t>
        </is>
      </c>
      <c r="K310" s="26" t="inlineStr">
        <is>
          <t>☐</t>
        </is>
      </c>
      <c r="L310" s="26" t="inlineStr">
        <is>
          <t>☐</t>
        </is>
      </c>
      <c r="M310" s="25" t="n"/>
      <c r="N310" s="27" t="n">
        <v>0</v>
      </c>
      <c r="O310" s="28" t="n"/>
      <c r="P310" s="23" t="n"/>
      <c r="Q310" s="29" t="n"/>
      <c r="R310" s="29" t="n"/>
      <c r="S310" s="23" t="n"/>
      <c r="T310" s="30" t="n"/>
      <c r="U310" s="34" t="inlineStr">
        <is>
          <t>中</t>
        </is>
      </c>
      <c r="V310" s="32" t="inlineStr">
        <is>
          <t>学校情報サイト1件のみで確認</t>
        </is>
      </c>
      <c r="W310" s="33" t="inlineStr">
        <is>
          <t>開く</t>
        </is>
      </c>
    </row>
    <row r="311" ht="30" customHeight="1">
      <c r="A311" s="23" t="inlineStr">
        <is>
          <t>12千葉県</t>
        </is>
      </c>
      <c r="B311" s="23" t="inlineStr">
        <is>
          <t>私立</t>
        </is>
      </c>
      <c r="C311" s="23" t="n"/>
      <c r="D311" s="23" t="inlineStr">
        <is>
          <t>八千代松陰高等学校</t>
        </is>
      </c>
      <c r="E311" s="24" t="inlineStr">
        <is>
          <t>047-482-1234</t>
        </is>
      </c>
      <c r="F311" s="23" t="n"/>
      <c r="G311" s="25" t="inlineStr">
        <is>
          <t>普通科</t>
        </is>
      </c>
      <c r="H311" s="26" t="inlineStr">
        <is>
          <t>☐</t>
        </is>
      </c>
      <c r="I311" s="26" t="inlineStr">
        <is>
          <t>☐</t>
        </is>
      </c>
      <c r="J311" s="26" t="inlineStr">
        <is>
          <t>☐</t>
        </is>
      </c>
      <c r="K311" s="26" t="inlineStr">
        <is>
          <t>☐</t>
        </is>
      </c>
      <c r="L311" s="26" t="inlineStr">
        <is>
          <t>☐</t>
        </is>
      </c>
      <c r="M311" s="25" t="n"/>
      <c r="N311" s="27" t="n">
        <v>0</v>
      </c>
      <c r="O311" s="28" t="n"/>
      <c r="P311" s="23" t="n"/>
      <c r="Q311" s="29" t="n"/>
      <c r="R311" s="29" t="n"/>
      <c r="S311" s="23" t="n"/>
      <c r="T311" s="30" t="n"/>
      <c r="U311" s="31" t="inlineStr">
        <is>
          <t>高</t>
        </is>
      </c>
      <c r="V311" s="32" t="inlineStr">
        <is>
          <t>公式サイトで確認。中高共通</t>
        </is>
      </c>
      <c r="W311" s="33" t="inlineStr">
        <is>
          <t>開く</t>
        </is>
      </c>
    </row>
    <row r="312" ht="30" customHeight="1">
      <c r="A312" s="23" t="inlineStr">
        <is>
          <t>12千葉県</t>
        </is>
      </c>
      <c r="B312" s="23" t="inlineStr">
        <is>
          <t>私立</t>
        </is>
      </c>
      <c r="C312" s="23" t="n"/>
      <c r="D312" s="23" t="inlineStr">
        <is>
          <t>横芝敬愛高等学校</t>
        </is>
      </c>
      <c r="E312" s="24" t="inlineStr">
        <is>
          <t>0479-82-1239</t>
        </is>
      </c>
      <c r="F312" s="23" t="n"/>
      <c r="G312" s="25" t="inlineStr">
        <is>
          <t>普通科</t>
        </is>
      </c>
      <c r="H312" s="26" t="inlineStr">
        <is>
          <t>☐</t>
        </is>
      </c>
      <c r="I312" s="26" t="inlineStr">
        <is>
          <t>☐</t>
        </is>
      </c>
      <c r="J312" s="26" t="inlineStr">
        <is>
          <t>☐</t>
        </is>
      </c>
      <c r="K312" s="26" t="inlineStr">
        <is>
          <t>☐</t>
        </is>
      </c>
      <c r="L312" s="26" t="inlineStr">
        <is>
          <t>☐</t>
        </is>
      </c>
      <c r="M312" s="25" t="n"/>
      <c r="N312" s="27" t="n">
        <v>0</v>
      </c>
      <c r="O312" s="28" t="n"/>
      <c r="P312" s="23" t="n"/>
      <c r="Q312" s="29" t="n"/>
      <c r="R312" s="29" t="n"/>
      <c r="S312" s="23" t="n"/>
      <c r="T312" s="30" t="n"/>
      <c r="U312" s="34" t="inlineStr">
        <is>
          <t>中</t>
        </is>
      </c>
      <c r="V312" s="32" t="inlineStr">
        <is>
          <t>学校情報サイト1件のみで確認</t>
        </is>
      </c>
      <c r="W312" s="33" t="inlineStr">
        <is>
          <t>開く</t>
        </is>
      </c>
    </row>
    <row r="313" ht="30" customHeight="1">
      <c r="A313" s="23" t="inlineStr">
        <is>
          <t>12千葉県</t>
        </is>
      </c>
      <c r="B313" s="23" t="inlineStr">
        <is>
          <t>私立</t>
        </is>
      </c>
      <c r="C313" s="23" t="n"/>
      <c r="D313" s="23" t="inlineStr">
        <is>
          <t>流通経済大学付属柏高等学校</t>
        </is>
      </c>
      <c r="E313" s="24" t="inlineStr">
        <is>
          <t>04-7131-5611</t>
        </is>
      </c>
      <c r="F313" s="23" t="n"/>
      <c r="G313" s="25" t="inlineStr">
        <is>
          <t>普通科</t>
        </is>
      </c>
      <c r="H313" s="26" t="inlineStr">
        <is>
          <t>☐</t>
        </is>
      </c>
      <c r="I313" s="26" t="inlineStr">
        <is>
          <t>☐</t>
        </is>
      </c>
      <c r="J313" s="26" t="inlineStr">
        <is>
          <t>☐</t>
        </is>
      </c>
      <c r="K313" s="26" t="inlineStr">
        <is>
          <t>☐</t>
        </is>
      </c>
      <c r="L313" s="26" t="inlineStr">
        <is>
          <t>☐</t>
        </is>
      </c>
      <c r="M313" s="25" t="n"/>
      <c r="N313" s="27" t="n">
        <v>0</v>
      </c>
      <c r="O313" s="28" t="n"/>
      <c r="P313" s="23" t="n"/>
      <c r="Q313" s="29" t="n"/>
      <c r="R313" s="29" t="n"/>
      <c r="S313" s="23" t="n"/>
      <c r="T313" s="30" t="n"/>
      <c r="U313" s="31" t="inlineStr">
        <is>
          <t>高</t>
        </is>
      </c>
      <c r="V313" s="32" t="inlineStr">
        <is>
          <t>2つのサイトで一致</t>
        </is>
      </c>
      <c r="W313" s="33" t="inlineStr">
        <is>
          <t>開く</t>
        </is>
      </c>
    </row>
    <row r="314" ht="30" customHeight="1">
      <c r="A314" s="23" t="inlineStr">
        <is>
          <t>12千葉県</t>
        </is>
      </c>
      <c r="B314" s="23" t="inlineStr">
        <is>
          <t>私立</t>
        </is>
      </c>
      <c r="C314" s="23" t="n"/>
      <c r="D314" s="23" t="inlineStr">
        <is>
          <t>麗澤高等学校</t>
        </is>
      </c>
      <c r="E314" s="24" t="inlineStr">
        <is>
          <t>04-7173-3700</t>
        </is>
      </c>
      <c r="F314" s="23" t="n"/>
      <c r="G314" s="25" t="inlineStr">
        <is>
          <t>普通科</t>
        </is>
      </c>
      <c r="H314" s="26" t="inlineStr">
        <is>
          <t>☐</t>
        </is>
      </c>
      <c r="I314" s="26" t="inlineStr">
        <is>
          <t>☐</t>
        </is>
      </c>
      <c r="J314" s="26" t="inlineStr">
        <is>
          <t>☐</t>
        </is>
      </c>
      <c r="K314" s="26" t="inlineStr">
        <is>
          <t>☐</t>
        </is>
      </c>
      <c r="L314" s="26" t="inlineStr">
        <is>
          <t>☐</t>
        </is>
      </c>
      <c r="M314" s="25" t="n"/>
      <c r="N314" s="27" t="n">
        <v>0</v>
      </c>
      <c r="O314" s="28" t="n"/>
      <c r="P314" s="23" t="n"/>
      <c r="Q314" s="29" t="n"/>
      <c r="R314" s="29" t="n"/>
      <c r="S314" s="23" t="n"/>
      <c r="T314" s="30" t="n"/>
      <c r="U314" s="31" t="inlineStr">
        <is>
          <t>高</t>
        </is>
      </c>
      <c r="V314" s="32" t="inlineStr">
        <is>
          <t>中高共通</t>
        </is>
      </c>
      <c r="W314" s="33" t="inlineStr">
        <is>
          <t>開く</t>
        </is>
      </c>
    </row>
    <row r="315" ht="30" customHeight="1">
      <c r="A315" s="23" t="inlineStr">
        <is>
          <t>12千葉県</t>
        </is>
      </c>
      <c r="B315" s="23" t="inlineStr">
        <is>
          <t>私立</t>
        </is>
      </c>
      <c r="C315" s="23" t="n"/>
      <c r="D315" s="23" t="inlineStr">
        <is>
          <t>わせがく高等学校</t>
        </is>
      </c>
      <c r="E315" s="24" t="inlineStr">
        <is>
          <t>0479-70-7622</t>
        </is>
      </c>
      <c r="F315" s="23" t="n"/>
      <c r="G315" s="25" t="inlineStr">
        <is>
          <t>普通科</t>
        </is>
      </c>
      <c r="H315" s="26" t="inlineStr">
        <is>
          <t>☐</t>
        </is>
      </c>
      <c r="I315" s="26" t="inlineStr">
        <is>
          <t>☐</t>
        </is>
      </c>
      <c r="J315" s="26" t="inlineStr">
        <is>
          <t>☐</t>
        </is>
      </c>
      <c r="K315" s="26" t="inlineStr">
        <is>
          <t>☐</t>
        </is>
      </c>
      <c r="L315" s="26" t="inlineStr">
        <is>
          <t>☐</t>
        </is>
      </c>
      <c r="M315" s="25" t="n"/>
      <c r="N315" s="27" t="n">
        <v>0</v>
      </c>
      <c r="O315" s="28" t="n"/>
      <c r="P315" s="23" t="n"/>
      <c r="Q315" s="29" t="n"/>
      <c r="R315" s="29" t="n"/>
      <c r="S315" s="23" t="n"/>
      <c r="T315" s="30" t="n"/>
      <c r="U315" s="31" t="inlineStr">
        <is>
          <t>高</t>
        </is>
      </c>
      <c r="V315" s="32" t="inlineStr">
        <is>
          <t>通信制。公式の学校要覧で多古町の本校の番号として確認</t>
        </is>
      </c>
      <c r="W315" s="33" t="inlineStr">
        <is>
          <t>開く</t>
        </is>
      </c>
    </row>
    <row r="316" ht="30" customHeight="1">
      <c r="A316" s="23" t="inlineStr">
        <is>
          <t>12千葉県</t>
        </is>
      </c>
      <c r="B316" s="23" t="inlineStr">
        <is>
          <t>私立</t>
        </is>
      </c>
      <c r="C316" s="23" t="n"/>
      <c r="D316" s="23" t="inlineStr">
        <is>
          <t>和洋国府台女子高等学校</t>
        </is>
      </c>
      <c r="E316" s="24" t="inlineStr">
        <is>
          <t>047-371-1120</t>
        </is>
      </c>
      <c r="F316" s="23" t="n"/>
      <c r="G316" s="25" t="inlineStr">
        <is>
          <t>普通科</t>
        </is>
      </c>
      <c r="H316" s="26" t="inlineStr">
        <is>
          <t>☐</t>
        </is>
      </c>
      <c r="I316" s="26" t="inlineStr">
        <is>
          <t>☐</t>
        </is>
      </c>
      <c r="J316" s="26" t="inlineStr">
        <is>
          <t>☐</t>
        </is>
      </c>
      <c r="K316" s="26" t="inlineStr">
        <is>
          <t>☐</t>
        </is>
      </c>
      <c r="L316" s="26" t="inlineStr">
        <is>
          <t>☐</t>
        </is>
      </c>
      <c r="M316" s="25" t="n"/>
      <c r="N316" s="27" t="n">
        <v>0</v>
      </c>
      <c r="O316" s="28" t="n"/>
      <c r="P316" s="23" t="n"/>
      <c r="Q316" s="29" t="n"/>
      <c r="R316" s="29" t="n"/>
      <c r="S316" s="23" t="n"/>
      <c r="T316" s="30" t="n"/>
      <c r="U316" s="31" t="inlineStr">
        <is>
          <t>高</t>
        </is>
      </c>
      <c r="V316" s="32" t="inlineStr">
        <is>
          <t>2つのサイトで一致</t>
        </is>
      </c>
      <c r="W316" s="33" t="inlineStr">
        <is>
          <t>開く</t>
        </is>
      </c>
    </row>
    <row r="317" ht="30" customHeight="1">
      <c r="A317" s="23" t="inlineStr">
        <is>
          <t>13東京都</t>
        </is>
      </c>
      <c r="B317" s="23" t="inlineStr">
        <is>
          <t>私立</t>
        </is>
      </c>
      <c r="C317" s="23" t="n"/>
      <c r="D317" s="23" t="inlineStr">
        <is>
          <t>愛国高等学校</t>
        </is>
      </c>
      <c r="E317" s="24" t="inlineStr">
        <is>
          <t>03-3658-4111</t>
        </is>
      </c>
      <c r="F317" s="23" t="n"/>
      <c r="G317" s="25" t="inlineStr">
        <is>
          <t>普通科・専門学科</t>
        </is>
      </c>
      <c r="H317" s="26" t="inlineStr">
        <is>
          <t>☐</t>
        </is>
      </c>
      <c r="I317" s="26" t="inlineStr">
        <is>
          <t>☐</t>
        </is>
      </c>
      <c r="J317" s="26" t="inlineStr">
        <is>
          <t>☐</t>
        </is>
      </c>
      <c r="K317" s="26" t="inlineStr">
        <is>
          <t>☐</t>
        </is>
      </c>
      <c r="L317" s="26" t="inlineStr">
        <is>
          <t>☐</t>
        </is>
      </c>
      <c r="M317" s="25" t="n"/>
      <c r="N317" s="27" t="n">
        <v>0</v>
      </c>
      <c r="O317" s="28" t="n"/>
      <c r="P317" s="23" t="n"/>
      <c r="Q317" s="29" t="n"/>
      <c r="R317" s="29" t="n"/>
      <c r="S317" s="23" t="n"/>
      <c r="T317" s="30" t="n"/>
      <c r="U317" s="31" t="inlineStr">
        <is>
          <t>高</t>
        </is>
      </c>
      <c r="V317" s="32" t="inlineStr">
        <is>
          <t>東京都の私立高校一覧ほかで一致。中高共通</t>
        </is>
      </c>
      <c r="W317" s="33" t="inlineStr">
        <is>
          <t>開く</t>
        </is>
      </c>
    </row>
    <row r="318" ht="30" customHeight="1">
      <c r="A318" s="23" t="inlineStr">
        <is>
          <t>13東京都</t>
        </is>
      </c>
      <c r="B318" s="23" t="inlineStr">
        <is>
          <t>私立</t>
        </is>
      </c>
      <c r="C318" s="23" t="n"/>
      <c r="D318" s="23" t="inlineStr">
        <is>
          <t>青山学院高等部</t>
        </is>
      </c>
      <c r="E318" s="24" t="inlineStr">
        <is>
          <t>03-3409-3880</t>
        </is>
      </c>
      <c r="F318" s="23" t="n"/>
      <c r="G318" s="25" t="inlineStr">
        <is>
          <t>普通科</t>
        </is>
      </c>
      <c r="H318" s="26" t="inlineStr">
        <is>
          <t>☐</t>
        </is>
      </c>
      <c r="I318" s="26" t="inlineStr">
        <is>
          <t>☐</t>
        </is>
      </c>
      <c r="J318" s="26" t="inlineStr">
        <is>
          <t>☐</t>
        </is>
      </c>
      <c r="K318" s="26" t="inlineStr">
        <is>
          <t>☐</t>
        </is>
      </c>
      <c r="L318" s="26" t="inlineStr">
        <is>
          <t>☐</t>
        </is>
      </c>
      <c r="M318" s="25" t="n"/>
      <c r="N318" s="27" t="n">
        <v>0</v>
      </c>
      <c r="O318" s="28" t="n"/>
      <c r="P318" s="23" t="n"/>
      <c r="Q318" s="29" t="n"/>
      <c r="R318" s="29" t="n"/>
      <c r="S318" s="23" t="n"/>
      <c r="T318" s="30" t="n"/>
      <c r="U318" s="34" t="inlineStr">
        <is>
          <t>中</t>
        </is>
      </c>
      <c r="V318" s="32" t="inlineStr">
        <is>
          <t>東京都の私立高校一覧の番号。03-3407-7463（中等部の番号の可能性）を載せるサイトもあり。公式未確認</t>
        </is>
      </c>
      <c r="W318" s="33" t="inlineStr">
        <is>
          <t>開く</t>
        </is>
      </c>
    </row>
    <row r="319" ht="30" customHeight="1">
      <c r="A319" s="23" t="inlineStr">
        <is>
          <t>13東京都</t>
        </is>
      </c>
      <c r="B319" s="23" t="inlineStr">
        <is>
          <t>私立</t>
        </is>
      </c>
      <c r="C319" s="23" t="n"/>
      <c r="D319" s="23" t="inlineStr">
        <is>
          <t>麻布高等学校</t>
        </is>
      </c>
      <c r="E319" s="24" t="inlineStr">
        <is>
          <t>03-3446-6541</t>
        </is>
      </c>
      <c r="F319" s="23" t="n"/>
      <c r="G319" s="25" t="inlineStr">
        <is>
          <t>普通科</t>
        </is>
      </c>
      <c r="H319" s="26" t="inlineStr">
        <is>
          <t>☐</t>
        </is>
      </c>
      <c r="I319" s="26" t="inlineStr">
        <is>
          <t>☐</t>
        </is>
      </c>
      <c r="J319" s="26" t="inlineStr">
        <is>
          <t>☐</t>
        </is>
      </c>
      <c r="K319" s="26" t="inlineStr">
        <is>
          <t>☐</t>
        </is>
      </c>
      <c r="L319" s="26" t="inlineStr">
        <is>
          <t>☐</t>
        </is>
      </c>
      <c r="M319" s="25" t="n"/>
      <c r="N319" s="27" t="n">
        <v>0</v>
      </c>
      <c r="O319" s="28" t="n"/>
      <c r="P319" s="23" t="n"/>
      <c r="Q319" s="29" t="n"/>
      <c r="R319" s="29" t="n"/>
      <c r="S319" s="23" t="n"/>
      <c r="T319" s="30" t="n"/>
      <c r="U319" s="31" t="inlineStr">
        <is>
          <t>高</t>
        </is>
      </c>
      <c r="V319" s="32" t="inlineStr">
        <is>
          <t>中高共通</t>
        </is>
      </c>
      <c r="W319" s="33" t="inlineStr">
        <is>
          <t>開く</t>
        </is>
      </c>
    </row>
    <row r="320" ht="30" customHeight="1">
      <c r="A320" s="23" t="inlineStr">
        <is>
          <t>13東京都</t>
        </is>
      </c>
      <c r="B320" s="23" t="inlineStr">
        <is>
          <t>私立</t>
        </is>
      </c>
      <c r="C320" s="23" t="n"/>
      <c r="D320" s="23" t="inlineStr">
        <is>
          <t>足立学園高等学校</t>
        </is>
      </c>
      <c r="E320" s="24" t="inlineStr">
        <is>
          <t>03-3888-5331</t>
        </is>
      </c>
      <c r="F320" s="23" t="n"/>
      <c r="G320" s="25" t="inlineStr">
        <is>
          <t>普通科</t>
        </is>
      </c>
      <c r="H320" s="26" t="inlineStr">
        <is>
          <t>☐</t>
        </is>
      </c>
      <c r="I320" s="26" t="inlineStr">
        <is>
          <t>☐</t>
        </is>
      </c>
      <c r="J320" s="26" t="inlineStr">
        <is>
          <t>☐</t>
        </is>
      </c>
      <c r="K320" s="26" t="inlineStr">
        <is>
          <t>☐</t>
        </is>
      </c>
      <c r="L320" s="26" t="inlineStr">
        <is>
          <t>☐</t>
        </is>
      </c>
      <c r="M320" s="25" t="n"/>
      <c r="N320" s="27" t="n">
        <v>0</v>
      </c>
      <c r="O320" s="28" t="n"/>
      <c r="P320" s="23" t="n"/>
      <c r="Q320" s="29" t="n"/>
      <c r="R320" s="29" t="n"/>
      <c r="S320" s="23" t="n"/>
      <c r="T320" s="30" t="n"/>
      <c r="U320" s="31" t="inlineStr">
        <is>
          <t>高</t>
        </is>
      </c>
      <c r="V320" s="32" t="inlineStr">
        <is>
          <t>東京都の私立高校一覧ほかで一致。中高共通</t>
        </is>
      </c>
      <c r="W320" s="33" t="inlineStr">
        <is>
          <t>開く</t>
        </is>
      </c>
    </row>
    <row r="321" ht="30" customHeight="1">
      <c r="A321" s="23" t="inlineStr">
        <is>
          <t>13東京都</t>
        </is>
      </c>
      <c r="B321" s="23" t="inlineStr">
        <is>
          <t>私立</t>
        </is>
      </c>
      <c r="C321" s="23" t="n"/>
      <c r="D321" s="23" t="inlineStr">
        <is>
          <t>跡見学園高等学校</t>
        </is>
      </c>
      <c r="E321" s="24" t="inlineStr">
        <is>
          <t>03-3941-8167</t>
        </is>
      </c>
      <c r="F321" s="23" t="n"/>
      <c r="G321" s="25" t="inlineStr">
        <is>
          <t>普通科</t>
        </is>
      </c>
      <c r="H321" s="26" t="inlineStr">
        <is>
          <t>☐</t>
        </is>
      </c>
      <c r="I321" s="26" t="inlineStr">
        <is>
          <t>☐</t>
        </is>
      </c>
      <c r="J321" s="26" t="inlineStr">
        <is>
          <t>☐</t>
        </is>
      </c>
      <c r="K321" s="26" t="inlineStr">
        <is>
          <t>☐</t>
        </is>
      </c>
      <c r="L321" s="26" t="inlineStr">
        <is>
          <t>☐</t>
        </is>
      </c>
      <c r="M321" s="25" t="n"/>
      <c r="N321" s="27" t="n">
        <v>0</v>
      </c>
      <c r="O321" s="28" t="n"/>
      <c r="P321" s="23" t="n"/>
      <c r="Q321" s="29" t="n"/>
      <c r="R321" s="29" t="n"/>
      <c r="S321" s="23" t="n"/>
      <c r="T321" s="30" t="n"/>
      <c r="U321" s="31" t="inlineStr">
        <is>
          <t>高</t>
        </is>
      </c>
      <c r="V321" s="32" t="inlineStr">
        <is>
          <t>中高共通。高校からの生徒募集なし（完全中高一貫）</t>
        </is>
      </c>
      <c r="W321" s="33" t="inlineStr">
        <is>
          <t>開く</t>
        </is>
      </c>
    </row>
    <row r="322" ht="30" customHeight="1">
      <c r="A322" s="23" t="inlineStr">
        <is>
          <t>13東京都</t>
        </is>
      </c>
      <c r="B322" s="23" t="inlineStr">
        <is>
          <t>私立</t>
        </is>
      </c>
      <c r="C322" s="23" t="n"/>
      <c r="D322" s="23" t="inlineStr">
        <is>
          <t>安部学院高等学校</t>
        </is>
      </c>
      <c r="E322" s="24" t="inlineStr">
        <is>
          <t>03-3913-2323</t>
        </is>
      </c>
      <c r="F322" s="23" t="n"/>
      <c r="G322" s="25" t="inlineStr">
        <is>
          <t>専門学科</t>
        </is>
      </c>
      <c r="H322" s="26" t="inlineStr">
        <is>
          <t>☐</t>
        </is>
      </c>
      <c r="I322" s="26" t="inlineStr">
        <is>
          <t>☐</t>
        </is>
      </c>
      <c r="J322" s="26" t="inlineStr">
        <is>
          <t>☐</t>
        </is>
      </c>
      <c r="K322" s="26" t="inlineStr">
        <is>
          <t>☐</t>
        </is>
      </c>
      <c r="L322" s="26" t="inlineStr">
        <is>
          <t>☐</t>
        </is>
      </c>
      <c r="M322" s="25" t="n"/>
      <c r="N322" s="27" t="n">
        <v>0</v>
      </c>
      <c r="O322" s="28" t="n"/>
      <c r="P322" s="23" t="n"/>
      <c r="Q322" s="29" t="n"/>
      <c r="R322" s="29" t="n"/>
      <c r="S322" s="23" t="n"/>
      <c r="T322" s="30" t="n"/>
      <c r="U322" s="31" t="inlineStr">
        <is>
          <t>高</t>
        </is>
      </c>
      <c r="V322" s="32" t="inlineStr">
        <is>
          <t>東京都の私立高校一覧ほかで一致</t>
        </is>
      </c>
      <c r="W322" s="33" t="inlineStr">
        <is>
          <t>開く</t>
        </is>
      </c>
    </row>
    <row r="323" ht="30" customHeight="1">
      <c r="A323" s="23" t="inlineStr">
        <is>
          <t>13東京都</t>
        </is>
      </c>
      <c r="B323" s="23" t="inlineStr">
        <is>
          <t>私立</t>
        </is>
      </c>
      <c r="C323" s="23" t="n"/>
      <c r="D323" s="23" t="inlineStr">
        <is>
          <t>郁文館グローバル高等学校</t>
        </is>
      </c>
      <c r="E323" s="24" t="inlineStr">
        <is>
          <t>03-3828-2206</t>
        </is>
      </c>
      <c r="F323" s="23" t="n"/>
      <c r="G323" s="25" t="inlineStr">
        <is>
          <t>専門学科</t>
        </is>
      </c>
      <c r="H323" s="26" t="inlineStr">
        <is>
          <t>☐</t>
        </is>
      </c>
      <c r="I323" s="26" t="inlineStr">
        <is>
          <t>☐</t>
        </is>
      </c>
      <c r="J323" s="26" t="inlineStr">
        <is>
          <t>☐</t>
        </is>
      </c>
      <c r="K323" s="26" t="inlineStr">
        <is>
          <t>☐</t>
        </is>
      </c>
      <c r="L323" s="26" t="inlineStr">
        <is>
          <t>☐</t>
        </is>
      </c>
      <c r="M323" s="25" t="n"/>
      <c r="N323" s="27" t="n">
        <v>0</v>
      </c>
      <c r="O323" s="28" t="n"/>
      <c r="P323" s="23" t="n"/>
      <c r="Q323" s="29" t="n"/>
      <c r="R323" s="29" t="n"/>
      <c r="S323" s="23" t="n"/>
      <c r="T323" s="30" t="n"/>
      <c r="U323" s="31" t="inlineStr">
        <is>
          <t>高</t>
        </is>
      </c>
      <c r="V323" s="32" t="inlineStr">
        <is>
          <t>郁文館中学・高校と共通の代表番号</t>
        </is>
      </c>
      <c r="W323" s="33" t="inlineStr">
        <is>
          <t>開く</t>
        </is>
      </c>
    </row>
    <row r="324" ht="30" customHeight="1">
      <c r="A324" s="23" t="inlineStr">
        <is>
          <t>13東京都</t>
        </is>
      </c>
      <c r="B324" s="23" t="inlineStr">
        <is>
          <t>私立</t>
        </is>
      </c>
      <c r="C324" s="23" t="n"/>
      <c r="D324" s="23" t="inlineStr">
        <is>
          <t>郁文館高等学校</t>
        </is>
      </c>
      <c r="E324" s="24" t="inlineStr">
        <is>
          <t>03-3828-2206</t>
        </is>
      </c>
      <c r="F324" s="23" t="n"/>
      <c r="G324" s="25" t="inlineStr">
        <is>
          <t>普通科</t>
        </is>
      </c>
      <c r="H324" s="26" t="inlineStr">
        <is>
          <t>☐</t>
        </is>
      </c>
      <c r="I324" s="26" t="inlineStr">
        <is>
          <t>☐</t>
        </is>
      </c>
      <c r="J324" s="26" t="inlineStr">
        <is>
          <t>☐</t>
        </is>
      </c>
      <c r="K324" s="26" t="inlineStr">
        <is>
          <t>☐</t>
        </is>
      </c>
      <c r="L324" s="26" t="inlineStr">
        <is>
          <t>☐</t>
        </is>
      </c>
      <c r="M324" s="25" t="n"/>
      <c r="N324" s="27" t="n">
        <v>0</v>
      </c>
      <c r="O324" s="28" t="n"/>
      <c r="P324" s="23" t="n"/>
      <c r="Q324" s="29" t="n"/>
      <c r="R324" s="29" t="n"/>
      <c r="S324" s="23" t="n"/>
      <c r="T324" s="30" t="n"/>
      <c r="U324" s="31" t="inlineStr">
        <is>
          <t>高</t>
        </is>
      </c>
      <c r="V324" s="32" t="inlineStr">
        <is>
          <t>中学・郁文館グローバル高校と共通の代表番号</t>
        </is>
      </c>
      <c r="W324" s="33" t="inlineStr">
        <is>
          <t>開く</t>
        </is>
      </c>
    </row>
    <row r="325" ht="30" customHeight="1">
      <c r="A325" s="23" t="inlineStr">
        <is>
          <t>13東京都</t>
        </is>
      </c>
      <c r="B325" s="23" t="inlineStr">
        <is>
          <t>私立</t>
        </is>
      </c>
      <c r="C325" s="23" t="n"/>
      <c r="D325" s="23" t="inlineStr">
        <is>
          <t>岩倉高等学校</t>
        </is>
      </c>
      <c r="E325" s="24" t="inlineStr">
        <is>
          <t>03-3841-3086</t>
        </is>
      </c>
      <c r="F325" s="23" t="n"/>
      <c r="G325" s="25" t="inlineStr">
        <is>
          <t>普通科・専門学科</t>
        </is>
      </c>
      <c r="H325" s="26" t="inlineStr">
        <is>
          <t>☐</t>
        </is>
      </c>
      <c r="I325" s="26" t="inlineStr">
        <is>
          <t>☐</t>
        </is>
      </c>
      <c r="J325" s="26" t="inlineStr">
        <is>
          <t>☐</t>
        </is>
      </c>
      <c r="K325" s="26" t="inlineStr">
        <is>
          <t>☐</t>
        </is>
      </c>
      <c r="L325" s="26" t="inlineStr">
        <is>
          <t>☐</t>
        </is>
      </c>
      <c r="M325" s="25" t="n"/>
      <c r="N325" s="27" t="n">
        <v>0</v>
      </c>
      <c r="O325" s="28" t="n"/>
      <c r="P325" s="23" t="n"/>
      <c r="Q325" s="29" t="n"/>
      <c r="R325" s="29" t="n"/>
      <c r="S325" s="23" t="n"/>
      <c r="T325" s="30" t="n"/>
      <c r="U325" s="31" t="inlineStr">
        <is>
          <t>高</t>
        </is>
      </c>
      <c r="V325" s="32" t="inlineStr">
        <is>
          <t>公式サイトに「代表」と記載。入試相談室は03-3841-3009</t>
        </is>
      </c>
      <c r="W325" s="33" t="inlineStr">
        <is>
          <t>開く</t>
        </is>
      </c>
    </row>
    <row r="326" ht="30" customHeight="1">
      <c r="A326" s="23" t="inlineStr">
        <is>
          <t>13東京都</t>
        </is>
      </c>
      <c r="B326" s="23" t="inlineStr">
        <is>
          <t>私立</t>
        </is>
      </c>
      <c r="C326" s="23" t="n"/>
      <c r="D326" s="23" t="inlineStr">
        <is>
          <t>上野学園高等学校</t>
        </is>
      </c>
      <c r="E326" s="24" t="inlineStr">
        <is>
          <t>03-3847-2201</t>
        </is>
      </c>
      <c r="F326" s="23" t="n"/>
      <c r="G326" s="25" t="inlineStr">
        <is>
          <t>普通科・専門学科</t>
        </is>
      </c>
      <c r="H326" s="26" t="inlineStr">
        <is>
          <t>☐</t>
        </is>
      </c>
      <c r="I326" s="26" t="inlineStr">
        <is>
          <t>☐</t>
        </is>
      </c>
      <c r="J326" s="26" t="inlineStr">
        <is>
          <t>☐</t>
        </is>
      </c>
      <c r="K326" s="26" t="inlineStr">
        <is>
          <t>☐</t>
        </is>
      </c>
      <c r="L326" s="26" t="inlineStr">
        <is>
          <t>☐</t>
        </is>
      </c>
      <c r="M326" s="25" t="n"/>
      <c r="N326" s="27" t="n">
        <v>0</v>
      </c>
      <c r="O326" s="28" t="n"/>
      <c r="P326" s="23" t="n"/>
      <c r="Q326" s="29" t="n"/>
      <c r="R326" s="29" t="n"/>
      <c r="S326" s="23" t="n"/>
      <c r="T326" s="30" t="n"/>
      <c r="U326" s="31" t="inlineStr">
        <is>
          <t>高</t>
        </is>
      </c>
      <c r="V326" s="32" t="inlineStr">
        <is>
          <t>中高共通</t>
        </is>
      </c>
      <c r="W326" s="33" t="inlineStr">
        <is>
          <t>開く</t>
        </is>
      </c>
    </row>
    <row r="327" ht="30" customHeight="1">
      <c r="A327" s="23" t="inlineStr">
        <is>
          <t>13東京都</t>
        </is>
      </c>
      <c r="B327" s="23" t="inlineStr">
        <is>
          <t>私立</t>
        </is>
      </c>
      <c r="C327" s="23" t="n"/>
      <c r="D327" s="23" t="inlineStr">
        <is>
          <t>穎明館高等学校</t>
        </is>
      </c>
      <c r="E327" s="24" t="inlineStr">
        <is>
          <t>042-664-6000</t>
        </is>
      </c>
      <c r="F327" s="23" t="n"/>
      <c r="G327" s="25" t="inlineStr">
        <is>
          <t>普通科</t>
        </is>
      </c>
      <c r="H327" s="26" t="inlineStr">
        <is>
          <t>☐</t>
        </is>
      </c>
      <c r="I327" s="26" t="inlineStr">
        <is>
          <t>☐</t>
        </is>
      </c>
      <c r="J327" s="26" t="inlineStr">
        <is>
          <t>☐</t>
        </is>
      </c>
      <c r="K327" s="26" t="inlineStr">
        <is>
          <t>☐</t>
        </is>
      </c>
      <c r="L327" s="26" t="inlineStr">
        <is>
          <t>☐</t>
        </is>
      </c>
      <c r="M327" s="25" t="n"/>
      <c r="N327" s="27" t="n">
        <v>0</v>
      </c>
      <c r="O327" s="28" t="n"/>
      <c r="P327" s="23" t="n"/>
      <c r="Q327" s="29" t="n"/>
      <c r="R327" s="29" t="n"/>
      <c r="S327" s="23" t="n"/>
      <c r="T327" s="30" t="n"/>
      <c r="U327" s="31" t="inlineStr">
        <is>
          <t>高</t>
        </is>
      </c>
      <c r="V327" s="32" t="inlineStr">
        <is>
          <t>中高共通</t>
        </is>
      </c>
      <c r="W327" s="33" t="inlineStr">
        <is>
          <t>開く</t>
        </is>
      </c>
    </row>
    <row r="328" ht="30" customHeight="1">
      <c r="A328" s="23" t="inlineStr">
        <is>
          <t>13東京都</t>
        </is>
      </c>
      <c r="B328" s="23" t="inlineStr">
        <is>
          <t>私立</t>
        </is>
      </c>
      <c r="C328" s="23" t="n"/>
      <c r="D328" s="23" t="inlineStr">
        <is>
          <t>英明フロンティア高等学校</t>
        </is>
      </c>
      <c r="E328" s="24" t="inlineStr">
        <is>
          <t>03-3920-5151</t>
        </is>
      </c>
      <c r="F328" s="23" t="n"/>
      <c r="G328" s="25" t="inlineStr">
        <is>
          <t>普通科</t>
        </is>
      </c>
      <c r="H328" s="26" t="inlineStr">
        <is>
          <t>☐</t>
        </is>
      </c>
      <c r="I328" s="26" t="inlineStr">
        <is>
          <t>☐</t>
        </is>
      </c>
      <c r="J328" s="26" t="inlineStr">
        <is>
          <t>☐</t>
        </is>
      </c>
      <c r="K328" s="26" t="inlineStr">
        <is>
          <t>☐</t>
        </is>
      </c>
      <c r="L328" s="26" t="inlineStr">
        <is>
          <t>☐</t>
        </is>
      </c>
      <c r="M328" s="25" t="n"/>
      <c r="N328" s="27" t="n">
        <v>0</v>
      </c>
      <c r="O328" s="28" t="n"/>
      <c r="P328" s="23" t="n"/>
      <c r="Q328" s="29" t="n"/>
      <c r="R328" s="29" t="n"/>
      <c r="S328" s="23" t="n"/>
      <c r="T328" s="30" t="n"/>
      <c r="U328" s="31" t="inlineStr">
        <is>
          <t>高</t>
        </is>
      </c>
      <c r="V328" s="32" t="inlineStr">
        <is>
          <t>【校名変更】2025年4月に東京女子学院から改称・共学化。公式サイトで確認。中高共通</t>
        </is>
      </c>
      <c r="W328" s="33" t="inlineStr">
        <is>
          <t>開く</t>
        </is>
      </c>
    </row>
    <row r="329" ht="30" customHeight="1">
      <c r="A329" s="23" t="inlineStr">
        <is>
          <t>13東京都</t>
        </is>
      </c>
      <c r="B329" s="23" t="inlineStr">
        <is>
          <t>私立</t>
        </is>
      </c>
      <c r="C329" s="23" t="n"/>
      <c r="D329" s="23" t="inlineStr">
        <is>
          <t>江戸川女子高等学校</t>
        </is>
      </c>
      <c r="E329" s="24" t="inlineStr">
        <is>
          <t>03-3659-1241</t>
        </is>
      </c>
      <c r="F329" s="23" t="n"/>
      <c r="G329" s="25" t="inlineStr">
        <is>
          <t>普通科・専門学科</t>
        </is>
      </c>
      <c r="H329" s="26" t="inlineStr">
        <is>
          <t>☐</t>
        </is>
      </c>
      <c r="I329" s="26" t="inlineStr">
        <is>
          <t>☐</t>
        </is>
      </c>
      <c r="J329" s="26" t="inlineStr">
        <is>
          <t>☐</t>
        </is>
      </c>
      <c r="K329" s="26" t="inlineStr">
        <is>
          <t>☐</t>
        </is>
      </c>
      <c r="L329" s="26" t="inlineStr">
        <is>
          <t>☐</t>
        </is>
      </c>
      <c r="M329" s="25" t="n"/>
      <c r="N329" s="27" t="n">
        <v>0</v>
      </c>
      <c r="O329" s="28" t="n"/>
      <c r="P329" s="23" t="n"/>
      <c r="Q329" s="29" t="n"/>
      <c r="R329" s="29" t="n"/>
      <c r="S329" s="23" t="n"/>
      <c r="T329" s="30" t="n"/>
      <c r="U329" s="31" t="inlineStr">
        <is>
          <t>高</t>
        </is>
      </c>
      <c r="V329" s="32" t="inlineStr">
        <is>
          <t>江戸川区の一覧ほかで一致。中高共通</t>
        </is>
      </c>
      <c r="W329" s="33" t="inlineStr">
        <is>
          <t>開く</t>
        </is>
      </c>
    </row>
    <row r="330" ht="30" customHeight="1">
      <c r="A330" s="23" t="inlineStr">
        <is>
          <t>13東京都</t>
        </is>
      </c>
      <c r="B330" s="23" t="inlineStr">
        <is>
          <t>私立</t>
        </is>
      </c>
      <c r="C330" s="23" t="n"/>
      <c r="D330" s="23" t="inlineStr">
        <is>
          <t>NHK学園高等学校</t>
        </is>
      </c>
      <c r="E330" s="24" t="inlineStr">
        <is>
          <t>042-572-3151</t>
        </is>
      </c>
      <c r="F330" s="23" t="n"/>
      <c r="G330" s="25" t="inlineStr">
        <is>
          <t>普通科</t>
        </is>
      </c>
      <c r="H330" s="26" t="inlineStr">
        <is>
          <t>☐</t>
        </is>
      </c>
      <c r="I330" s="26" t="inlineStr">
        <is>
          <t>☐</t>
        </is>
      </c>
      <c r="J330" s="26" t="inlineStr">
        <is>
          <t>☐</t>
        </is>
      </c>
      <c r="K330" s="26" t="inlineStr">
        <is>
          <t>☐</t>
        </is>
      </c>
      <c r="L330" s="26" t="inlineStr">
        <is>
          <t>☐</t>
        </is>
      </c>
      <c r="M330" s="25" t="n"/>
      <c r="N330" s="27" t="n">
        <v>0</v>
      </c>
      <c r="O330" s="28" t="n"/>
      <c r="P330" s="23" t="n"/>
      <c r="Q330" s="29" t="n"/>
      <c r="R330" s="29" t="n"/>
      <c r="S330" s="23" t="n"/>
      <c r="T330" s="30" t="n"/>
      <c r="U330" s="34" t="inlineStr">
        <is>
          <t>中</t>
        </is>
      </c>
      <c r="V330" s="32" t="inlineStr">
        <is>
          <t>通信制。東京都の通信制一覧の番号。042-572-3155は法人の代表、042-573-8111は旧番号の可能性</t>
        </is>
      </c>
      <c r="W330" s="33" t="inlineStr">
        <is>
          <t>開く</t>
        </is>
      </c>
    </row>
    <row r="331" ht="30" customHeight="1">
      <c r="A331" s="23" t="inlineStr">
        <is>
          <t>13東京都</t>
        </is>
      </c>
      <c r="B331" s="23" t="inlineStr">
        <is>
          <t>私立</t>
        </is>
      </c>
      <c r="C331" s="23" t="n"/>
      <c r="D331" s="23" t="inlineStr">
        <is>
          <t>桜蔭高等学校</t>
        </is>
      </c>
      <c r="E331" s="24" t="inlineStr">
        <is>
          <t>03-3811-0147</t>
        </is>
      </c>
      <c r="F331" s="23" t="n"/>
      <c r="G331" s="25" t="inlineStr">
        <is>
          <t>普通科</t>
        </is>
      </c>
      <c r="H331" s="26" t="inlineStr">
        <is>
          <t>☐</t>
        </is>
      </c>
      <c r="I331" s="26" t="inlineStr">
        <is>
          <t>☐</t>
        </is>
      </c>
      <c r="J331" s="26" t="inlineStr">
        <is>
          <t>☐</t>
        </is>
      </c>
      <c r="K331" s="26" t="inlineStr">
        <is>
          <t>☐</t>
        </is>
      </c>
      <c r="L331" s="26" t="inlineStr">
        <is>
          <t>☐</t>
        </is>
      </c>
      <c r="M331" s="25" t="n"/>
      <c r="N331" s="27" t="n">
        <v>0</v>
      </c>
      <c r="O331" s="28" t="n"/>
      <c r="P331" s="23" t="n"/>
      <c r="Q331" s="29" t="n"/>
      <c r="R331" s="29" t="n"/>
      <c r="S331" s="23" t="n"/>
      <c r="T331" s="30" t="n"/>
      <c r="U331" s="31" t="inlineStr">
        <is>
          <t>高</t>
        </is>
      </c>
      <c r="V331" s="32" t="inlineStr">
        <is>
          <t>東京都の私立高校一覧ほかで一致</t>
        </is>
      </c>
      <c r="W331" s="33" t="inlineStr">
        <is>
          <t>開く</t>
        </is>
      </c>
    </row>
    <row r="332" ht="30" customHeight="1">
      <c r="A332" s="23" t="inlineStr">
        <is>
          <t>13東京都</t>
        </is>
      </c>
      <c r="B332" s="23" t="inlineStr">
        <is>
          <t>私立</t>
        </is>
      </c>
      <c r="C332" s="23" t="n"/>
      <c r="D332" s="23" t="inlineStr">
        <is>
          <t>桜美林高等学校</t>
        </is>
      </c>
      <c r="E332" s="24" t="inlineStr">
        <is>
          <t>042-797-2668</t>
        </is>
      </c>
      <c r="F332" s="23" t="n"/>
      <c r="G332" s="25" t="inlineStr">
        <is>
          <t>普通科</t>
        </is>
      </c>
      <c r="H332" s="26" t="inlineStr">
        <is>
          <t>☐</t>
        </is>
      </c>
      <c r="I332" s="26" t="inlineStr">
        <is>
          <t>☐</t>
        </is>
      </c>
      <c r="J332" s="26" t="inlineStr">
        <is>
          <t>☐</t>
        </is>
      </c>
      <c r="K332" s="26" t="inlineStr">
        <is>
          <t>☐</t>
        </is>
      </c>
      <c r="L332" s="26" t="inlineStr">
        <is>
          <t>☐</t>
        </is>
      </c>
      <c r="M332" s="25" t="n"/>
      <c r="N332" s="27" t="n">
        <v>0</v>
      </c>
      <c r="O332" s="28" t="n"/>
      <c r="P332" s="23" t="n"/>
      <c r="Q332" s="29" t="n"/>
      <c r="R332" s="29" t="n"/>
      <c r="S332" s="23" t="n"/>
      <c r="T332" s="30" t="n"/>
      <c r="U332" s="34" t="inlineStr">
        <is>
          <t>中</t>
        </is>
      </c>
      <c r="V332" s="32" t="inlineStr">
        <is>
          <t>東京都の私立高校一覧には042-797-2667とあり食い違い。要確認</t>
        </is>
      </c>
      <c r="W332" s="33" t="inlineStr">
        <is>
          <t>開く</t>
        </is>
      </c>
    </row>
    <row r="333" ht="30" customHeight="1">
      <c r="A333" s="23" t="inlineStr">
        <is>
          <t>13東京都</t>
        </is>
      </c>
      <c r="B333" s="23" t="inlineStr">
        <is>
          <t>私立</t>
        </is>
      </c>
      <c r="C333" s="23" t="n"/>
      <c r="D333" s="23" t="inlineStr">
        <is>
          <t>鷗友学園女子高等学校</t>
        </is>
      </c>
      <c r="E333" s="24" t="inlineStr">
        <is>
          <t>03-3420-0136</t>
        </is>
      </c>
      <c r="F333" s="23" t="n"/>
      <c r="G333" s="25" t="inlineStr">
        <is>
          <t>普通科</t>
        </is>
      </c>
      <c r="H333" s="26" t="inlineStr">
        <is>
          <t>☐</t>
        </is>
      </c>
      <c r="I333" s="26" t="inlineStr">
        <is>
          <t>☐</t>
        </is>
      </c>
      <c r="J333" s="26" t="inlineStr">
        <is>
          <t>☐</t>
        </is>
      </c>
      <c r="K333" s="26" t="inlineStr">
        <is>
          <t>☐</t>
        </is>
      </c>
      <c r="L333" s="26" t="inlineStr">
        <is>
          <t>☐</t>
        </is>
      </c>
      <c r="M333" s="25" t="n"/>
      <c r="N333" s="27" t="n">
        <v>0</v>
      </c>
      <c r="O333" s="28" t="n"/>
      <c r="P333" s="23" t="n"/>
      <c r="Q333" s="29" t="n"/>
      <c r="R333" s="29" t="n"/>
      <c r="S333" s="23" t="n"/>
      <c r="T333" s="30" t="n"/>
      <c r="U333" s="34" t="inlineStr">
        <is>
          <t>中</t>
        </is>
      </c>
      <c r="V333" s="32" t="inlineStr">
        <is>
          <t>東京都の私立高校一覧のみで確認</t>
        </is>
      </c>
      <c r="W333" s="33" t="inlineStr">
        <is>
          <t>開く</t>
        </is>
      </c>
    </row>
    <row r="334" ht="30" customHeight="1">
      <c r="A334" s="23" t="inlineStr">
        <is>
          <t>13東京都</t>
        </is>
      </c>
      <c r="B334" s="23" t="inlineStr">
        <is>
          <t>私立</t>
        </is>
      </c>
      <c r="C334" s="23" t="n"/>
      <c r="D334" s="23" t="inlineStr">
        <is>
          <t>大妻高等学校</t>
        </is>
      </c>
      <c r="E334" s="24" t="inlineStr">
        <is>
          <t>03-5275-6002</t>
        </is>
      </c>
      <c r="F334" s="23" t="n"/>
      <c r="G334" s="25" t="inlineStr">
        <is>
          <t>普通科</t>
        </is>
      </c>
      <c r="H334" s="26" t="inlineStr">
        <is>
          <t>☐</t>
        </is>
      </c>
      <c r="I334" s="26" t="inlineStr">
        <is>
          <t>☐</t>
        </is>
      </c>
      <c r="J334" s="26" t="inlineStr">
        <is>
          <t>☐</t>
        </is>
      </c>
      <c r="K334" s="26" t="inlineStr">
        <is>
          <t>☐</t>
        </is>
      </c>
      <c r="L334" s="26" t="inlineStr">
        <is>
          <t>☐</t>
        </is>
      </c>
      <c r="M334" s="25" t="n"/>
      <c r="N334" s="27" t="n">
        <v>0</v>
      </c>
      <c r="O334" s="28" t="n"/>
      <c r="P334" s="23" t="n"/>
      <c r="Q334" s="29" t="n"/>
      <c r="R334" s="29" t="n"/>
      <c r="S334" s="23" t="n"/>
      <c r="T334" s="30" t="n"/>
      <c r="U334" s="31" t="inlineStr">
        <is>
          <t>高</t>
        </is>
      </c>
      <c r="V334" s="32" t="inlineStr">
        <is>
          <t>中高共通</t>
        </is>
      </c>
      <c r="W334" s="33" t="inlineStr">
        <is>
          <t>開く</t>
        </is>
      </c>
    </row>
    <row r="335" ht="30" customHeight="1">
      <c r="A335" s="23" t="inlineStr">
        <is>
          <t>13東京都</t>
        </is>
      </c>
      <c r="B335" s="23" t="inlineStr">
        <is>
          <t>私立</t>
        </is>
      </c>
      <c r="C335" s="23" t="n"/>
      <c r="D335" s="23" t="inlineStr">
        <is>
          <t>大妻多摩高等学校</t>
        </is>
      </c>
      <c r="E335" s="24" t="inlineStr">
        <is>
          <t>042-372-9113</t>
        </is>
      </c>
      <c r="F335" s="23" t="n"/>
      <c r="G335" s="25" t="inlineStr">
        <is>
          <t>普通科</t>
        </is>
      </c>
      <c r="H335" s="26" t="inlineStr">
        <is>
          <t>☐</t>
        </is>
      </c>
      <c r="I335" s="26" t="inlineStr">
        <is>
          <t>☐</t>
        </is>
      </c>
      <c r="J335" s="26" t="inlineStr">
        <is>
          <t>☐</t>
        </is>
      </c>
      <c r="K335" s="26" t="inlineStr">
        <is>
          <t>☐</t>
        </is>
      </c>
      <c r="L335" s="26" t="inlineStr">
        <is>
          <t>☐</t>
        </is>
      </c>
      <c r="M335" s="25" t="n"/>
      <c r="N335" s="27" t="n">
        <v>0</v>
      </c>
      <c r="O335" s="28" t="n"/>
      <c r="P335" s="23" t="n"/>
      <c r="Q335" s="29" t="n"/>
      <c r="R335" s="29" t="n"/>
      <c r="S335" s="23" t="n"/>
      <c r="T335" s="30" t="n"/>
      <c r="U335" s="31" t="inlineStr">
        <is>
          <t>高</t>
        </is>
      </c>
      <c r="V335" s="32" t="inlineStr">
        <is>
          <t>東京都の私立高校一覧ほかで一致</t>
        </is>
      </c>
      <c r="W335" s="33" t="inlineStr">
        <is>
          <t>開く</t>
        </is>
      </c>
    </row>
    <row r="336" ht="30" customHeight="1">
      <c r="A336" s="23" t="inlineStr">
        <is>
          <t>13東京都</t>
        </is>
      </c>
      <c r="B336" s="23" t="inlineStr">
        <is>
          <t>私立</t>
        </is>
      </c>
      <c r="C336" s="23" t="n"/>
      <c r="D336" s="23" t="inlineStr">
        <is>
          <t>大妻中野高等学校</t>
        </is>
      </c>
      <c r="E336" s="24" t="inlineStr">
        <is>
          <t>03-3389-7211</t>
        </is>
      </c>
      <c r="F336" s="23" t="n"/>
      <c r="G336" s="25" t="inlineStr">
        <is>
          <t>普通科</t>
        </is>
      </c>
      <c r="H336" s="26" t="inlineStr">
        <is>
          <t>☐</t>
        </is>
      </c>
      <c r="I336" s="26" t="inlineStr">
        <is>
          <t>☐</t>
        </is>
      </c>
      <c r="J336" s="26" t="inlineStr">
        <is>
          <t>☐</t>
        </is>
      </c>
      <c r="K336" s="26" t="inlineStr">
        <is>
          <t>☐</t>
        </is>
      </c>
      <c r="L336" s="26" t="inlineStr">
        <is>
          <t>☐</t>
        </is>
      </c>
      <c r="M336" s="25" t="n"/>
      <c r="N336" s="27" t="n">
        <v>0</v>
      </c>
      <c r="O336" s="28" t="n"/>
      <c r="P336" s="23" t="n"/>
      <c r="Q336" s="29" t="n"/>
      <c r="R336" s="29" t="n"/>
      <c r="S336" s="23" t="n"/>
      <c r="T336" s="30" t="n"/>
      <c r="U336" s="31" t="inlineStr">
        <is>
          <t>高</t>
        </is>
      </c>
      <c r="V336" s="32" t="inlineStr">
        <is>
          <t>中高共通</t>
        </is>
      </c>
      <c r="W336" s="33" t="inlineStr">
        <is>
          <t>開く</t>
        </is>
      </c>
    </row>
    <row r="337" ht="30" customHeight="1">
      <c r="A337" s="23" t="inlineStr">
        <is>
          <t>13東京都</t>
        </is>
      </c>
      <c r="B337" s="23" t="inlineStr">
        <is>
          <t>私立</t>
        </is>
      </c>
      <c r="C337" s="23" t="n"/>
      <c r="D337" s="23" t="inlineStr">
        <is>
          <t>大原学園美空高等学校</t>
        </is>
      </c>
      <c r="E337" s="24" t="inlineStr">
        <is>
          <t>03-3237-3141</t>
        </is>
      </c>
      <c r="F337" s="23" t="n"/>
      <c r="G337" s="25" t="inlineStr">
        <is>
          <t>普通科</t>
        </is>
      </c>
      <c r="H337" s="26" t="inlineStr">
        <is>
          <t>☐</t>
        </is>
      </c>
      <c r="I337" s="26" t="inlineStr">
        <is>
          <t>☐</t>
        </is>
      </c>
      <c r="J337" s="26" t="inlineStr">
        <is>
          <t>☐</t>
        </is>
      </c>
      <c r="K337" s="26" t="inlineStr">
        <is>
          <t>☐</t>
        </is>
      </c>
      <c r="L337" s="26" t="inlineStr">
        <is>
          <t>☐</t>
        </is>
      </c>
      <c r="M337" s="25" t="n"/>
      <c r="N337" s="27" t="n">
        <v>0</v>
      </c>
      <c r="O337" s="28" t="n"/>
      <c r="P337" s="23" t="n"/>
      <c r="Q337" s="29" t="n"/>
      <c r="R337" s="29" t="n"/>
      <c r="S337" s="23" t="n"/>
      <c r="T337" s="30" t="n"/>
      <c r="U337" s="31" t="inlineStr">
        <is>
          <t>高</t>
        </is>
      </c>
      <c r="V337" s="32" t="inlineStr">
        <is>
          <t>通信制。東京都の通信制一覧とYahoo!マップで一致。町田キャンパスは別番号の可能性</t>
        </is>
      </c>
      <c r="W337" s="33" t="inlineStr">
        <is>
          <t>開く</t>
        </is>
      </c>
    </row>
    <row r="338" ht="30" customHeight="1">
      <c r="A338" s="23" t="inlineStr">
        <is>
          <t>13東京都</t>
        </is>
      </c>
      <c r="B338" s="23" t="inlineStr">
        <is>
          <t>私立</t>
        </is>
      </c>
      <c r="C338" s="23" t="n"/>
      <c r="D338" s="23" t="inlineStr">
        <is>
          <t>大森学園高等学校</t>
        </is>
      </c>
      <c r="E338" s="24" t="inlineStr">
        <is>
          <t>03-3762-7336</t>
        </is>
      </c>
      <c r="F338" s="23" t="n"/>
      <c r="G338" s="25" t="inlineStr">
        <is>
          <t>普通科・専門学科</t>
        </is>
      </c>
      <c r="H338" s="26" t="inlineStr">
        <is>
          <t>☐</t>
        </is>
      </c>
      <c r="I338" s="26" t="inlineStr">
        <is>
          <t>☐</t>
        </is>
      </c>
      <c r="J338" s="26" t="inlineStr">
        <is>
          <t>☐</t>
        </is>
      </c>
      <c r="K338" s="26" t="inlineStr">
        <is>
          <t>☐</t>
        </is>
      </c>
      <c r="L338" s="26" t="inlineStr">
        <is>
          <t>☐</t>
        </is>
      </c>
      <c r="M338" s="25" t="n"/>
      <c r="N338" s="27" t="n">
        <v>0</v>
      </c>
      <c r="O338" s="28" t="n"/>
      <c r="P338" s="23" t="n"/>
      <c r="Q338" s="29" t="n"/>
      <c r="R338" s="29" t="n"/>
      <c r="S338" s="23" t="n"/>
      <c r="T338" s="30" t="n"/>
      <c r="U338" s="34" t="inlineStr">
        <is>
          <t>中</t>
        </is>
      </c>
      <c r="V338" s="32" t="inlineStr">
        <is>
          <t>学校情報サイト1件のみで確認</t>
        </is>
      </c>
      <c r="W338" s="33" t="inlineStr">
        <is>
          <t>開く</t>
        </is>
      </c>
    </row>
    <row r="339" ht="30" customHeight="1">
      <c r="A339" s="23" t="inlineStr">
        <is>
          <t>13東京都</t>
        </is>
      </c>
      <c r="B339" s="23" t="inlineStr">
        <is>
          <t>私立</t>
        </is>
      </c>
      <c r="C339" s="23" t="n"/>
      <c r="D339" s="23" t="inlineStr">
        <is>
          <t>海城高等学校</t>
        </is>
      </c>
      <c r="E339" s="24" t="inlineStr">
        <is>
          <t>03-3209-5880</t>
        </is>
      </c>
      <c r="F339" s="23" t="n"/>
      <c r="G339" s="25" t="inlineStr">
        <is>
          <t>普通科</t>
        </is>
      </c>
      <c r="H339" s="26" t="inlineStr">
        <is>
          <t>☐</t>
        </is>
      </c>
      <c r="I339" s="26" t="inlineStr">
        <is>
          <t>☐</t>
        </is>
      </c>
      <c r="J339" s="26" t="inlineStr">
        <is>
          <t>☐</t>
        </is>
      </c>
      <c r="K339" s="26" t="inlineStr">
        <is>
          <t>☐</t>
        </is>
      </c>
      <c r="L339" s="26" t="inlineStr">
        <is>
          <t>☐</t>
        </is>
      </c>
      <c r="M339" s="25" t="n"/>
      <c r="N339" s="27" t="n">
        <v>0</v>
      </c>
      <c r="O339" s="28" t="n"/>
      <c r="P339" s="23" t="n"/>
      <c r="Q339" s="29" t="n"/>
      <c r="R339" s="29" t="n"/>
      <c r="S339" s="23" t="n"/>
      <c r="T339" s="30" t="n"/>
      <c r="U339" s="31" t="inlineStr">
        <is>
          <t>高</t>
        </is>
      </c>
      <c r="V339" s="32" t="inlineStr">
        <is>
          <t>中高共通</t>
        </is>
      </c>
      <c r="W339" s="33" t="inlineStr">
        <is>
          <t>開く</t>
        </is>
      </c>
    </row>
    <row r="340" ht="30" customHeight="1">
      <c r="A340" s="23" t="inlineStr">
        <is>
          <t>13東京都</t>
        </is>
      </c>
      <c r="B340" s="23" t="inlineStr">
        <is>
          <t>私立</t>
        </is>
      </c>
      <c r="C340" s="23" t="n"/>
      <c r="D340" s="23" t="inlineStr">
        <is>
          <t>開成高等学校</t>
        </is>
      </c>
      <c r="E340" s="24" t="inlineStr">
        <is>
          <t>03-3822-0741</t>
        </is>
      </c>
      <c r="F340" s="23" t="n"/>
      <c r="G340" s="25" t="inlineStr">
        <is>
          <t>普通科</t>
        </is>
      </c>
      <c r="H340" s="26" t="inlineStr">
        <is>
          <t>☐</t>
        </is>
      </c>
      <c r="I340" s="26" t="inlineStr">
        <is>
          <t>☐</t>
        </is>
      </c>
      <c r="J340" s="26" t="inlineStr">
        <is>
          <t>☐</t>
        </is>
      </c>
      <c r="K340" s="26" t="inlineStr">
        <is>
          <t>☐</t>
        </is>
      </c>
      <c r="L340" s="26" t="inlineStr">
        <is>
          <t>☐</t>
        </is>
      </c>
      <c r="M340" s="25" t="n"/>
      <c r="N340" s="27" t="n">
        <v>0</v>
      </c>
      <c r="O340" s="28" t="n"/>
      <c r="P340" s="23" t="n"/>
      <c r="Q340" s="29" t="n"/>
      <c r="R340" s="29" t="n"/>
      <c r="S340" s="23" t="n"/>
      <c r="T340" s="30" t="n"/>
      <c r="U340" s="34" t="inlineStr">
        <is>
          <t>中</t>
        </is>
      </c>
      <c r="V340" s="32" t="inlineStr">
        <is>
          <t>中高共通とみられる。公式の教員募集資料には高校の問い合わせ先として03-3822-0743の記載あり</t>
        </is>
      </c>
      <c r="W340" s="33" t="inlineStr">
        <is>
          <t>開く</t>
        </is>
      </c>
    </row>
    <row r="341" ht="30" customHeight="1">
      <c r="A341" s="23" t="inlineStr">
        <is>
          <t>13東京都</t>
        </is>
      </c>
      <c r="B341" s="23" t="inlineStr">
        <is>
          <t>私立</t>
        </is>
      </c>
      <c r="C341" s="23" t="n"/>
      <c r="D341" s="23" t="inlineStr">
        <is>
          <t>開智日本橋学園高等学校</t>
        </is>
      </c>
      <c r="E341" s="24" t="inlineStr">
        <is>
          <t>03-3662-2507</t>
        </is>
      </c>
      <c r="F341" s="23" t="n"/>
      <c r="G341" s="25" t="inlineStr">
        <is>
          <t>普通科</t>
        </is>
      </c>
      <c r="H341" s="26" t="inlineStr">
        <is>
          <t>☐</t>
        </is>
      </c>
      <c r="I341" s="26" t="inlineStr">
        <is>
          <t>☐</t>
        </is>
      </c>
      <c r="J341" s="26" t="inlineStr">
        <is>
          <t>☐</t>
        </is>
      </c>
      <c r="K341" s="26" t="inlineStr">
        <is>
          <t>☐</t>
        </is>
      </c>
      <c r="L341" s="26" t="inlineStr">
        <is>
          <t>☐</t>
        </is>
      </c>
      <c r="M341" s="25" t="n"/>
      <c r="N341" s="27" t="n">
        <v>0</v>
      </c>
      <c r="O341" s="28" t="n"/>
      <c r="P341" s="23" t="n"/>
      <c r="Q341" s="29" t="n"/>
      <c r="R341" s="29" t="n"/>
      <c r="S341" s="23" t="n"/>
      <c r="T341" s="30" t="n"/>
      <c r="U341" s="31" t="inlineStr">
        <is>
          <t>高</t>
        </is>
      </c>
      <c r="V341" s="32" t="inlineStr">
        <is>
          <t>中高共通。高校募集なし（完全中高一貫）との情報あり</t>
        </is>
      </c>
      <c r="W341" s="33" t="inlineStr">
        <is>
          <t>開く</t>
        </is>
      </c>
    </row>
    <row r="342" ht="30" customHeight="1">
      <c r="A342" s="23" t="inlineStr">
        <is>
          <t>13東京都</t>
        </is>
      </c>
      <c r="B342" s="23" t="inlineStr">
        <is>
          <t>私立</t>
        </is>
      </c>
      <c r="C342" s="23" t="n"/>
      <c r="D342" s="23" t="inlineStr">
        <is>
          <t>かえつ有明高等学校</t>
        </is>
      </c>
      <c r="E342" s="24" t="inlineStr">
        <is>
          <t>03-5564-2161</t>
        </is>
      </c>
      <c r="F342" s="23" t="n"/>
      <c r="G342" s="25" t="inlineStr">
        <is>
          <t>普通科</t>
        </is>
      </c>
      <c r="H342" s="26" t="inlineStr">
        <is>
          <t>☐</t>
        </is>
      </c>
      <c r="I342" s="26" t="inlineStr">
        <is>
          <t>☐</t>
        </is>
      </c>
      <c r="J342" s="26" t="inlineStr">
        <is>
          <t>☐</t>
        </is>
      </c>
      <c r="K342" s="26" t="inlineStr">
        <is>
          <t>☐</t>
        </is>
      </c>
      <c r="L342" s="26" t="inlineStr">
        <is>
          <t>☐</t>
        </is>
      </c>
      <c r="M342" s="25" t="n"/>
      <c r="N342" s="27" t="n">
        <v>0</v>
      </c>
      <c r="O342" s="28" t="n"/>
      <c r="P342" s="23" t="n"/>
      <c r="Q342" s="29" t="n"/>
      <c r="R342" s="29" t="n"/>
      <c r="S342" s="23" t="n"/>
      <c r="T342" s="30" t="n"/>
      <c r="U342" s="34" t="inlineStr">
        <is>
          <t>中</t>
        </is>
      </c>
      <c r="V342" s="32" t="inlineStr">
        <is>
          <t>中高共通。「広報室」と表記するサイトもあり、代表か不明</t>
        </is>
      </c>
      <c r="W342" s="33" t="inlineStr">
        <is>
          <t>開く</t>
        </is>
      </c>
    </row>
    <row r="343" ht="30" customHeight="1">
      <c r="A343" s="23" t="inlineStr">
        <is>
          <t>13東京都</t>
        </is>
      </c>
      <c r="B343" s="23" t="inlineStr">
        <is>
          <t>私立</t>
        </is>
      </c>
      <c r="C343" s="23" t="n"/>
      <c r="D343" s="23" t="inlineStr">
        <is>
          <t>科学技術学園高等学校</t>
        </is>
      </c>
      <c r="E343" s="24" t="inlineStr">
        <is>
          <t>03-5494-7711</t>
        </is>
      </c>
      <c r="F343" s="23" t="n"/>
      <c r="G343" s="25" t="inlineStr">
        <is>
          <t>普通科</t>
        </is>
      </c>
      <c r="H343" s="26" t="inlineStr">
        <is>
          <t>☐</t>
        </is>
      </c>
      <c r="I343" s="26" t="inlineStr">
        <is>
          <t>☐</t>
        </is>
      </c>
      <c r="J343" s="26" t="inlineStr">
        <is>
          <t>☐</t>
        </is>
      </c>
      <c r="K343" s="26" t="inlineStr">
        <is>
          <t>☐</t>
        </is>
      </c>
      <c r="L343" s="26" t="inlineStr">
        <is>
          <t>☐</t>
        </is>
      </c>
      <c r="M343" s="25" t="n"/>
      <c r="N343" s="27" t="n">
        <v>0</v>
      </c>
      <c r="O343" s="28" t="n"/>
      <c r="P343" s="23" t="n"/>
      <c r="Q343" s="29" t="n"/>
      <c r="R343" s="29" t="n"/>
      <c r="S343" s="23" t="n"/>
      <c r="T343" s="30" t="n"/>
      <c r="U343" s="31" t="inlineStr">
        <is>
          <t>高</t>
        </is>
      </c>
      <c r="V343" s="32" t="inlineStr">
        <is>
          <t>全日制・通信制の東京都一覧で一致。定時制あり</t>
        </is>
      </c>
      <c r="W343" s="33" t="inlineStr">
        <is>
          <t>開く</t>
        </is>
      </c>
    </row>
    <row r="344" ht="30" customHeight="1">
      <c r="A344" s="23" t="inlineStr">
        <is>
          <t>13東京都</t>
        </is>
      </c>
      <c r="B344" s="23" t="inlineStr">
        <is>
          <t>私立</t>
        </is>
      </c>
      <c r="C344" s="23" t="n"/>
      <c r="D344" s="23" t="inlineStr">
        <is>
          <t>川村高等学校</t>
        </is>
      </c>
      <c r="E344" s="24" t="inlineStr">
        <is>
          <t>03-3984-8321</t>
        </is>
      </c>
      <c r="F344" s="23" t="n"/>
      <c r="G344" s="25" t="inlineStr">
        <is>
          <t>普通科</t>
        </is>
      </c>
      <c r="H344" s="26" t="inlineStr">
        <is>
          <t>☐</t>
        </is>
      </c>
      <c r="I344" s="26" t="inlineStr">
        <is>
          <t>☐</t>
        </is>
      </c>
      <c r="J344" s="26" t="inlineStr">
        <is>
          <t>☐</t>
        </is>
      </c>
      <c r="K344" s="26" t="inlineStr">
        <is>
          <t>☐</t>
        </is>
      </c>
      <c r="L344" s="26" t="inlineStr">
        <is>
          <t>☐</t>
        </is>
      </c>
      <c r="M344" s="25" t="n"/>
      <c r="N344" s="27" t="n">
        <v>0</v>
      </c>
      <c r="O344" s="28" t="n"/>
      <c r="P344" s="23" t="n"/>
      <c r="Q344" s="29" t="n"/>
      <c r="R344" s="29" t="n"/>
      <c r="S344" s="23" t="n"/>
      <c r="T344" s="30" t="n"/>
      <c r="U344" s="31" t="inlineStr">
        <is>
          <t>高</t>
        </is>
      </c>
      <c r="V344" s="32" t="inlineStr">
        <is>
          <t>学校資料に「代表」と記載。中高共通</t>
        </is>
      </c>
      <c r="W344" s="33" t="inlineStr">
        <is>
          <t>開く</t>
        </is>
      </c>
    </row>
    <row r="345" ht="30" customHeight="1">
      <c r="A345" s="23" t="inlineStr">
        <is>
          <t>13東京都</t>
        </is>
      </c>
      <c r="B345" s="23" t="inlineStr">
        <is>
          <t>私立</t>
        </is>
      </c>
      <c r="C345" s="23" t="n"/>
      <c r="D345" s="23" t="inlineStr">
        <is>
          <t>神田女学園高等学校</t>
        </is>
      </c>
      <c r="E345" s="24" t="inlineStr">
        <is>
          <t>03-6383-3751</t>
        </is>
      </c>
      <c r="F345" s="23" t="n"/>
      <c r="G345" s="25" t="inlineStr">
        <is>
          <t>普通科</t>
        </is>
      </c>
      <c r="H345" s="26" t="inlineStr">
        <is>
          <t>☐</t>
        </is>
      </c>
      <c r="I345" s="26" t="inlineStr">
        <is>
          <t>☐</t>
        </is>
      </c>
      <c r="J345" s="26" t="inlineStr">
        <is>
          <t>☐</t>
        </is>
      </c>
      <c r="K345" s="26" t="inlineStr">
        <is>
          <t>☐</t>
        </is>
      </c>
      <c r="L345" s="26" t="inlineStr">
        <is>
          <t>☐</t>
        </is>
      </c>
      <c r="M345" s="25" t="n"/>
      <c r="N345" s="27" t="n">
        <v>0</v>
      </c>
      <c r="O345" s="28" t="n"/>
      <c r="P345" s="23" t="n"/>
      <c r="Q345" s="29" t="n"/>
      <c r="R345" s="29" t="n"/>
      <c r="S345" s="23" t="n"/>
      <c r="T345" s="30" t="n"/>
      <c r="U345" s="31" t="inlineStr">
        <is>
          <t>高</t>
        </is>
      </c>
      <c r="V345" s="32" t="inlineStr">
        <is>
          <t>中高共通。複数の情報源で一致</t>
        </is>
      </c>
      <c r="W345" s="33" t="inlineStr">
        <is>
          <t>開く</t>
        </is>
      </c>
    </row>
    <row r="346" ht="30" customHeight="1">
      <c r="A346" s="23" t="inlineStr">
        <is>
          <t>13東京都</t>
        </is>
      </c>
      <c r="B346" s="23" t="inlineStr">
        <is>
          <t>私立</t>
        </is>
      </c>
      <c r="C346" s="23" t="n"/>
      <c r="D346" s="23" t="inlineStr">
        <is>
          <t>関東国際高等学校</t>
        </is>
      </c>
      <c r="E346" s="24" t="inlineStr">
        <is>
          <t>03-3376-2244</t>
        </is>
      </c>
      <c r="F346" s="23" t="n"/>
      <c r="G346" s="25" t="inlineStr">
        <is>
          <t>普通科・専門学科</t>
        </is>
      </c>
      <c r="H346" s="26" t="inlineStr">
        <is>
          <t>☐</t>
        </is>
      </c>
      <c r="I346" s="26" t="inlineStr">
        <is>
          <t>☐</t>
        </is>
      </c>
      <c r="J346" s="26" t="inlineStr">
        <is>
          <t>☐</t>
        </is>
      </c>
      <c r="K346" s="26" t="inlineStr">
        <is>
          <t>☐</t>
        </is>
      </c>
      <c r="L346" s="26" t="inlineStr">
        <is>
          <t>☐</t>
        </is>
      </c>
      <c r="M346" s="25" t="n"/>
      <c r="N346" s="27" t="n">
        <v>0</v>
      </c>
      <c r="O346" s="28" t="n"/>
      <c r="P346" s="23" t="n"/>
      <c r="Q346" s="29" t="n"/>
      <c r="R346" s="29" t="n"/>
      <c r="S346" s="23" t="n"/>
      <c r="T346" s="30" t="n"/>
      <c r="U346" s="31" t="inlineStr">
        <is>
          <t>高</t>
        </is>
      </c>
      <c r="V346" s="32" t="inlineStr">
        <is>
          <t>東京都の私立高校一覧と一致</t>
        </is>
      </c>
      <c r="W346" s="33" t="inlineStr">
        <is>
          <t>開く</t>
        </is>
      </c>
    </row>
    <row r="347" ht="30" customHeight="1">
      <c r="A347" s="23" t="inlineStr">
        <is>
          <t>13東京都</t>
        </is>
      </c>
      <c r="B347" s="23" t="inlineStr">
        <is>
          <t>私立</t>
        </is>
      </c>
      <c r="C347" s="23" t="n"/>
      <c r="D347" s="23" t="inlineStr">
        <is>
          <t>関東第一高等学校</t>
        </is>
      </c>
      <c r="E347" s="24" t="inlineStr">
        <is>
          <t>03-3653-1541</t>
        </is>
      </c>
      <c r="F347" s="23" t="n"/>
      <c r="G347" s="25" t="inlineStr">
        <is>
          <t>普通科</t>
        </is>
      </c>
      <c r="H347" s="26" t="inlineStr">
        <is>
          <t>☐</t>
        </is>
      </c>
      <c r="I347" s="26" t="inlineStr">
        <is>
          <t>☐</t>
        </is>
      </c>
      <c r="J347" s="26" t="inlineStr">
        <is>
          <t>☐</t>
        </is>
      </c>
      <c r="K347" s="26" t="inlineStr">
        <is>
          <t>☐</t>
        </is>
      </c>
      <c r="L347" s="26" t="inlineStr">
        <is>
          <t>☐</t>
        </is>
      </c>
      <c r="M347" s="25" t="n"/>
      <c r="N347" s="27" t="n">
        <v>0</v>
      </c>
      <c r="O347" s="28" t="n"/>
      <c r="P347" s="23" t="n"/>
      <c r="Q347" s="29" t="n"/>
      <c r="R347" s="29" t="n"/>
      <c r="S347" s="23" t="n"/>
      <c r="T347" s="30" t="n"/>
      <c r="U347" s="31" t="inlineStr">
        <is>
          <t>高</t>
        </is>
      </c>
      <c r="V347" s="32" t="inlineStr">
        <is>
          <t>公式資料に学校代表として記載。広報直通は03-3653-1680</t>
        </is>
      </c>
      <c r="W347" s="33" t="inlineStr">
        <is>
          <t>開く</t>
        </is>
      </c>
    </row>
    <row r="348" ht="30" customHeight="1">
      <c r="A348" s="23" t="inlineStr">
        <is>
          <t>13東京都</t>
        </is>
      </c>
      <c r="B348" s="23" t="inlineStr">
        <is>
          <t>私立</t>
        </is>
      </c>
      <c r="C348" s="23" t="n"/>
      <c r="D348" s="23" t="inlineStr">
        <is>
          <t>学習院高等科</t>
        </is>
      </c>
      <c r="E348" s="24" t="inlineStr">
        <is>
          <t>03-5992-1032</t>
        </is>
      </c>
      <c r="F348" s="23" t="n"/>
      <c r="G348" s="25" t="inlineStr">
        <is>
          <t>普通科</t>
        </is>
      </c>
      <c r="H348" s="26" t="inlineStr">
        <is>
          <t>☐</t>
        </is>
      </c>
      <c r="I348" s="26" t="inlineStr">
        <is>
          <t>☐</t>
        </is>
      </c>
      <c r="J348" s="26" t="inlineStr">
        <is>
          <t>☐</t>
        </is>
      </c>
      <c r="K348" s="26" t="inlineStr">
        <is>
          <t>☐</t>
        </is>
      </c>
      <c r="L348" s="26" t="inlineStr">
        <is>
          <t>☐</t>
        </is>
      </c>
      <c r="M348" s="25" t="n"/>
      <c r="N348" s="27" t="n">
        <v>0</v>
      </c>
      <c r="O348" s="28" t="n"/>
      <c r="P348" s="23" t="n"/>
      <c r="Q348" s="29" t="n"/>
      <c r="R348" s="29" t="n"/>
      <c r="S348" s="23" t="n"/>
      <c r="T348" s="30" t="n"/>
      <c r="U348" s="31" t="inlineStr">
        <is>
          <t>高</t>
        </is>
      </c>
      <c r="V348" s="32" t="inlineStr">
        <is>
          <t>公式の学校案内と東京都の一覧で一致。一部サイトの03-3986-0221は旧番号の可能性</t>
        </is>
      </c>
      <c r="W348" s="33" t="inlineStr">
        <is>
          <t>開く</t>
        </is>
      </c>
    </row>
    <row r="349" ht="30" customHeight="1">
      <c r="A349" s="23" t="inlineStr">
        <is>
          <t>13東京都</t>
        </is>
      </c>
      <c r="B349" s="23" t="inlineStr">
        <is>
          <t>私立</t>
        </is>
      </c>
      <c r="C349" s="23" t="n"/>
      <c r="D349" s="23" t="inlineStr">
        <is>
          <t>学習院女子高等科</t>
        </is>
      </c>
      <c r="E349" s="24" t="inlineStr">
        <is>
          <t>03-3203-1901</t>
        </is>
      </c>
      <c r="F349" s="23" t="n"/>
      <c r="G349" s="25" t="inlineStr">
        <is>
          <t>普通科</t>
        </is>
      </c>
      <c r="H349" s="26" t="inlineStr">
        <is>
          <t>☐</t>
        </is>
      </c>
      <c r="I349" s="26" t="inlineStr">
        <is>
          <t>☐</t>
        </is>
      </c>
      <c r="J349" s="26" t="inlineStr">
        <is>
          <t>☐</t>
        </is>
      </c>
      <c r="K349" s="26" t="inlineStr">
        <is>
          <t>☐</t>
        </is>
      </c>
      <c r="L349" s="26" t="inlineStr">
        <is>
          <t>☐</t>
        </is>
      </c>
      <c r="M349" s="25" t="n"/>
      <c r="N349" s="27" t="n">
        <v>0</v>
      </c>
      <c r="O349" s="28" t="n"/>
      <c r="P349" s="23" t="n"/>
      <c r="Q349" s="29" t="n"/>
      <c r="R349" s="29" t="n"/>
      <c r="S349" s="23" t="n"/>
      <c r="T349" s="30" t="n"/>
      <c r="U349" s="34" t="inlineStr">
        <is>
          <t>中</t>
        </is>
      </c>
      <c r="V349" s="32" t="inlineStr">
        <is>
          <t>学校情報サイトのみで確認。03-3203-1906は学習院女子大学の番号なので注意</t>
        </is>
      </c>
      <c r="W349" s="33" t="inlineStr">
        <is>
          <t>開く</t>
        </is>
      </c>
    </row>
    <row r="350" ht="30" customHeight="1">
      <c r="A350" s="23" t="inlineStr">
        <is>
          <t>13東京都</t>
        </is>
      </c>
      <c r="B350" s="23" t="inlineStr">
        <is>
          <t>私立</t>
        </is>
      </c>
      <c r="C350" s="23" t="n"/>
      <c r="D350" s="23" t="inlineStr">
        <is>
          <t>北里大学附属順天高等学校</t>
        </is>
      </c>
      <c r="E350" s="24" t="inlineStr">
        <is>
          <t>03-3908-2966</t>
        </is>
      </c>
      <c r="F350" s="23" t="n"/>
      <c r="G350" s="25" t="inlineStr">
        <is>
          <t>普通科</t>
        </is>
      </c>
      <c r="H350" s="26" t="inlineStr">
        <is>
          <t>☐</t>
        </is>
      </c>
      <c r="I350" s="26" t="inlineStr">
        <is>
          <t>☐</t>
        </is>
      </c>
      <c r="J350" s="26" t="inlineStr">
        <is>
          <t>☐</t>
        </is>
      </c>
      <c r="K350" s="26" t="inlineStr">
        <is>
          <t>☐</t>
        </is>
      </c>
      <c r="L350" s="26" t="inlineStr">
        <is>
          <t>☐</t>
        </is>
      </c>
      <c r="M350" s="25" t="n"/>
      <c r="N350" s="27" t="n">
        <v>0</v>
      </c>
      <c r="O350" s="28" t="n"/>
      <c r="P350" s="23" t="n"/>
      <c r="Q350" s="29" t="n"/>
      <c r="R350" s="29" t="n"/>
      <c r="S350" s="23" t="n"/>
      <c r="T350" s="30" t="n"/>
      <c r="U350" s="31" t="inlineStr">
        <is>
          <t>高</t>
        </is>
      </c>
      <c r="V350" s="32" t="inlineStr">
        <is>
          <t>旧 順天高校。2つのサイトで一致</t>
        </is>
      </c>
      <c r="W350" s="33" t="inlineStr">
        <is>
          <t>開く</t>
        </is>
      </c>
    </row>
    <row r="351" ht="30" customHeight="1">
      <c r="A351" s="23" t="inlineStr">
        <is>
          <t>13東京都</t>
        </is>
      </c>
      <c r="B351" s="23" t="inlineStr">
        <is>
          <t>私立</t>
        </is>
      </c>
      <c r="C351" s="23" t="n"/>
      <c r="D351" s="23" t="inlineStr">
        <is>
          <t>北豊島高等学校</t>
        </is>
      </c>
      <c r="E351" s="24" t="inlineStr">
        <is>
          <t>03-3895-4490</t>
        </is>
      </c>
      <c r="F351" s="23" t="n"/>
      <c r="G351" s="25" t="inlineStr">
        <is>
          <t>普通科</t>
        </is>
      </c>
      <c r="H351" s="26" t="inlineStr">
        <is>
          <t>☐</t>
        </is>
      </c>
      <c r="I351" s="26" t="inlineStr">
        <is>
          <t>☐</t>
        </is>
      </c>
      <c r="J351" s="26" t="inlineStr">
        <is>
          <t>☐</t>
        </is>
      </c>
      <c r="K351" s="26" t="inlineStr">
        <is>
          <t>☐</t>
        </is>
      </c>
      <c r="L351" s="26" t="inlineStr">
        <is>
          <t>☐</t>
        </is>
      </c>
      <c r="M351" s="25" t="n"/>
      <c r="N351" s="27" t="n">
        <v>0</v>
      </c>
      <c r="O351" s="28" t="n"/>
      <c r="P351" s="23" t="n"/>
      <c r="Q351" s="29" t="n"/>
      <c r="R351" s="29" t="n"/>
      <c r="S351" s="23" t="n"/>
      <c r="T351" s="30" t="n"/>
      <c r="U351" s="34" t="inlineStr">
        <is>
          <t>中</t>
        </is>
      </c>
      <c r="V351" s="32" t="inlineStr">
        <is>
          <t>全日制の番号（学校情報サイト）。通信制課程は03-3895-3051</t>
        </is>
      </c>
      <c r="W351" s="33" t="inlineStr">
        <is>
          <t>開く</t>
        </is>
      </c>
    </row>
    <row r="352" ht="30" customHeight="1">
      <c r="A352" s="23" t="inlineStr">
        <is>
          <t>13東京都</t>
        </is>
      </c>
      <c r="B352" s="23" t="inlineStr">
        <is>
          <t>私立</t>
        </is>
      </c>
      <c r="C352" s="23" t="n"/>
      <c r="D352" s="23" t="inlineStr">
        <is>
          <t>吉祥寺湧水高等学校</t>
        </is>
      </c>
      <c r="E352" s="24" t="inlineStr">
        <is>
          <t>0422-22-1266</t>
        </is>
      </c>
      <c r="F352" s="23" t="n"/>
      <c r="G352" s="25" t="inlineStr">
        <is>
          <t>普通科</t>
        </is>
      </c>
      <c r="H352" s="26" t="inlineStr">
        <is>
          <t>☐</t>
        </is>
      </c>
      <c r="I352" s="26" t="inlineStr">
        <is>
          <t>☐</t>
        </is>
      </c>
      <c r="J352" s="26" t="inlineStr">
        <is>
          <t>☐</t>
        </is>
      </c>
      <c r="K352" s="26" t="inlineStr">
        <is>
          <t>☐</t>
        </is>
      </c>
      <c r="L352" s="26" t="inlineStr">
        <is>
          <t>☐</t>
        </is>
      </c>
      <c r="M352" s="25" t="n"/>
      <c r="N352" s="27" t="n">
        <v>0</v>
      </c>
      <c r="O352" s="28" t="n"/>
      <c r="P352" s="23" t="n"/>
      <c r="Q352" s="29" t="n"/>
      <c r="R352" s="29" t="n"/>
      <c r="S352" s="23" t="n"/>
      <c r="T352" s="30" t="n"/>
      <c r="U352" s="34" t="inlineStr">
        <is>
          <t>中</t>
        </is>
      </c>
      <c r="V352" s="32" t="inlineStr">
        <is>
          <t>【校名変更予定】現在は藤村女子高校（2027年4月に改称予定）。学校情報サイトのみで確認</t>
        </is>
      </c>
      <c r="W352" s="33" t="inlineStr">
        <is>
          <t>開く</t>
        </is>
      </c>
    </row>
    <row r="353" ht="30" customHeight="1">
      <c r="A353" s="23" t="inlineStr">
        <is>
          <t>13東京都</t>
        </is>
      </c>
      <c r="B353" s="23" t="inlineStr">
        <is>
          <t>私立</t>
        </is>
      </c>
      <c r="C353" s="23" t="n"/>
      <c r="D353" s="23" t="inlineStr">
        <is>
          <t>吉祥女子高等学校</t>
        </is>
      </c>
      <c r="E353" s="24" t="inlineStr">
        <is>
          <t>0422-22-8117</t>
        </is>
      </c>
      <c r="F353" s="23" t="n"/>
      <c r="G353" s="25" t="inlineStr">
        <is>
          <t>普通科</t>
        </is>
      </c>
      <c r="H353" s="26" t="inlineStr">
        <is>
          <t>☐</t>
        </is>
      </c>
      <c r="I353" s="26" t="inlineStr">
        <is>
          <t>☐</t>
        </is>
      </c>
      <c r="J353" s="26" t="inlineStr">
        <is>
          <t>☐</t>
        </is>
      </c>
      <c r="K353" s="26" t="inlineStr">
        <is>
          <t>☐</t>
        </is>
      </c>
      <c r="L353" s="26" t="inlineStr">
        <is>
          <t>☐</t>
        </is>
      </c>
      <c r="M353" s="25" t="n"/>
      <c r="N353" s="27" t="n">
        <v>0</v>
      </c>
      <c r="O353" s="28" t="n"/>
      <c r="P353" s="23" t="n"/>
      <c r="Q353" s="29" t="n"/>
      <c r="R353" s="29" t="n"/>
      <c r="S353" s="23" t="n"/>
      <c r="T353" s="30" t="n"/>
      <c r="U353" s="34" t="inlineStr">
        <is>
          <t>中</t>
        </is>
      </c>
      <c r="V353" s="32" t="inlineStr">
        <is>
          <t>学校情報サイト1件のみで確認</t>
        </is>
      </c>
      <c r="W353" s="33" t="inlineStr">
        <is>
          <t>開く</t>
        </is>
      </c>
    </row>
    <row r="354" ht="30" customHeight="1">
      <c r="A354" s="23" t="inlineStr">
        <is>
          <t>13東京都</t>
        </is>
      </c>
      <c r="B354" s="23" t="inlineStr">
        <is>
          <t>私立</t>
        </is>
      </c>
      <c r="C354" s="23" t="n"/>
      <c r="D354" s="23" t="inlineStr">
        <is>
          <t>共栄学園高等学校</t>
        </is>
      </c>
      <c r="E354" s="24" t="inlineStr">
        <is>
          <t>03-3601-7136</t>
        </is>
      </c>
      <c r="F354" s="23" t="n"/>
      <c r="G354" s="25" t="inlineStr">
        <is>
          <t>普通科</t>
        </is>
      </c>
      <c r="H354" s="26" t="inlineStr">
        <is>
          <t>☐</t>
        </is>
      </c>
      <c r="I354" s="26" t="inlineStr">
        <is>
          <t>☐</t>
        </is>
      </c>
      <c r="J354" s="26" t="inlineStr">
        <is>
          <t>☐</t>
        </is>
      </c>
      <c r="K354" s="26" t="inlineStr">
        <is>
          <t>☐</t>
        </is>
      </c>
      <c r="L354" s="26" t="inlineStr">
        <is>
          <t>☐</t>
        </is>
      </c>
      <c r="M354" s="25" t="n"/>
      <c r="N354" s="27" t="n">
        <v>0</v>
      </c>
      <c r="O354" s="28" t="n"/>
      <c r="P354" s="23" t="n"/>
      <c r="Q354" s="29" t="n"/>
      <c r="R354" s="29" t="n"/>
      <c r="S354" s="23" t="n"/>
      <c r="T354" s="30" t="n"/>
      <c r="U354" s="31" t="inlineStr">
        <is>
          <t>高</t>
        </is>
      </c>
      <c r="V354" s="32" t="inlineStr">
        <is>
          <t>2つの情報源で一致</t>
        </is>
      </c>
      <c r="W354" s="33" t="inlineStr">
        <is>
          <t>開く</t>
        </is>
      </c>
    </row>
    <row r="355" ht="30" customHeight="1">
      <c r="A355" s="23" t="inlineStr">
        <is>
          <t>13東京都</t>
        </is>
      </c>
      <c r="B355" s="23" t="inlineStr">
        <is>
          <t>私立</t>
        </is>
      </c>
      <c r="C355" s="23" t="n"/>
      <c r="D355" s="23" t="inlineStr">
        <is>
          <t>共立女子高等学校</t>
        </is>
      </c>
      <c r="E355" s="24" t="inlineStr">
        <is>
          <t>03-3237-2744</t>
        </is>
      </c>
      <c r="F355" s="23" t="n"/>
      <c r="G355" s="25" t="inlineStr">
        <is>
          <t>普通科</t>
        </is>
      </c>
      <c r="H355" s="26" t="inlineStr">
        <is>
          <t>☐</t>
        </is>
      </c>
      <c r="I355" s="26" t="inlineStr">
        <is>
          <t>☐</t>
        </is>
      </c>
      <c r="J355" s="26" t="inlineStr">
        <is>
          <t>☐</t>
        </is>
      </c>
      <c r="K355" s="26" t="inlineStr">
        <is>
          <t>☐</t>
        </is>
      </c>
      <c r="L355" s="26" t="inlineStr">
        <is>
          <t>☐</t>
        </is>
      </c>
      <c r="M355" s="25" t="n"/>
      <c r="N355" s="27" t="n">
        <v>0</v>
      </c>
      <c r="O355" s="28" t="n"/>
      <c r="P355" s="23" t="n"/>
      <c r="Q355" s="29" t="n"/>
      <c r="R355" s="29" t="n"/>
      <c r="S355" s="23" t="n"/>
      <c r="T355" s="30" t="n"/>
      <c r="U355" s="31" t="inlineStr">
        <is>
          <t>高</t>
        </is>
      </c>
      <c r="V355" s="32" t="inlineStr">
        <is>
          <t>東京都の私立高校一覧ほかで一致</t>
        </is>
      </c>
      <c r="W355" s="33" t="inlineStr">
        <is>
          <t>開く</t>
        </is>
      </c>
    </row>
    <row r="356" ht="30" customHeight="1">
      <c r="A356" s="23" t="inlineStr">
        <is>
          <t>13東京都</t>
        </is>
      </c>
      <c r="B356" s="23" t="inlineStr">
        <is>
          <t>私立</t>
        </is>
      </c>
      <c r="C356" s="23" t="n"/>
      <c r="D356" s="23" t="inlineStr">
        <is>
          <t>共立女子第二高等学校</t>
        </is>
      </c>
      <c r="E356" s="24" t="inlineStr">
        <is>
          <t>042-661-9952</t>
        </is>
      </c>
      <c r="F356" s="23" t="n"/>
      <c r="G356" s="25" t="inlineStr">
        <is>
          <t>普通科</t>
        </is>
      </c>
      <c r="H356" s="26" t="inlineStr">
        <is>
          <t>☐</t>
        </is>
      </c>
      <c r="I356" s="26" t="inlineStr">
        <is>
          <t>☐</t>
        </is>
      </c>
      <c r="J356" s="26" t="inlineStr">
        <is>
          <t>☐</t>
        </is>
      </c>
      <c r="K356" s="26" t="inlineStr">
        <is>
          <t>☐</t>
        </is>
      </c>
      <c r="L356" s="26" t="inlineStr">
        <is>
          <t>☐</t>
        </is>
      </c>
      <c r="M356" s="25" t="n"/>
      <c r="N356" s="27" t="n">
        <v>0</v>
      </c>
      <c r="O356" s="28" t="n"/>
      <c r="P356" s="23" t="n"/>
      <c r="Q356" s="29" t="n"/>
      <c r="R356" s="29" t="n"/>
      <c r="S356" s="23" t="n"/>
      <c r="T356" s="30" t="n"/>
      <c r="U356" s="34" t="inlineStr">
        <is>
          <t>中</t>
        </is>
      </c>
      <c r="V356" s="32" t="inlineStr">
        <is>
          <t>学校情報サイトのみで確認</t>
        </is>
      </c>
      <c r="W356" s="33" t="inlineStr">
        <is>
          <t>開く</t>
        </is>
      </c>
    </row>
    <row r="357" ht="30" customHeight="1">
      <c r="A357" s="23" t="inlineStr">
        <is>
          <t>13東京都</t>
        </is>
      </c>
      <c r="B357" s="23" t="inlineStr">
        <is>
          <t>私立</t>
        </is>
      </c>
      <c r="C357" s="23" t="n"/>
      <c r="D357" s="23" t="inlineStr">
        <is>
          <t>錦城学園高等学校</t>
        </is>
      </c>
      <c r="E357" s="24" t="inlineStr">
        <is>
          <t>03-3291-3211</t>
        </is>
      </c>
      <c r="F357" s="23" t="n"/>
      <c r="G357" s="25" t="inlineStr">
        <is>
          <t>普通科</t>
        </is>
      </c>
      <c r="H357" s="26" t="inlineStr">
        <is>
          <t>☐</t>
        </is>
      </c>
      <c r="I357" s="26" t="inlineStr">
        <is>
          <t>☐</t>
        </is>
      </c>
      <c r="J357" s="26" t="inlineStr">
        <is>
          <t>☐</t>
        </is>
      </c>
      <c r="K357" s="26" t="inlineStr">
        <is>
          <t>☐</t>
        </is>
      </c>
      <c r="L357" s="26" t="inlineStr">
        <is>
          <t>☐</t>
        </is>
      </c>
      <c r="M357" s="25" t="n"/>
      <c r="N357" s="27" t="n">
        <v>0</v>
      </c>
      <c r="O357" s="28" t="n"/>
      <c r="P357" s="23" t="n"/>
      <c r="Q357" s="29" t="n"/>
      <c r="R357" s="29" t="n"/>
      <c r="S357" s="23" t="n"/>
      <c r="T357" s="30" t="n"/>
      <c r="U357" s="34" t="inlineStr">
        <is>
          <t>中</t>
        </is>
      </c>
      <c r="V357" s="32" t="inlineStr">
        <is>
          <t>学校情報サイトのみで確認。錦城高校（小平市）とは別の学校</t>
        </is>
      </c>
      <c r="W357" s="33" t="inlineStr">
        <is>
          <t>開く</t>
        </is>
      </c>
    </row>
    <row r="358" ht="30" customHeight="1">
      <c r="A358" s="23" t="inlineStr">
        <is>
          <t>13東京都</t>
        </is>
      </c>
      <c r="B358" s="23" t="inlineStr">
        <is>
          <t>私立</t>
        </is>
      </c>
      <c r="C358" s="23" t="n"/>
      <c r="D358" s="23" t="inlineStr">
        <is>
          <t>錦城高等学校</t>
        </is>
      </c>
      <c r="E358" s="24" t="inlineStr">
        <is>
          <t>042-341-0741</t>
        </is>
      </c>
      <c r="F358" s="23" t="n"/>
      <c r="G358" s="25" t="inlineStr">
        <is>
          <t>普通科</t>
        </is>
      </c>
      <c r="H358" s="26" t="inlineStr">
        <is>
          <t>☐</t>
        </is>
      </c>
      <c r="I358" s="26" t="inlineStr">
        <is>
          <t>☐</t>
        </is>
      </c>
      <c r="J358" s="26" t="inlineStr">
        <is>
          <t>☐</t>
        </is>
      </c>
      <c r="K358" s="26" t="inlineStr">
        <is>
          <t>☐</t>
        </is>
      </c>
      <c r="L358" s="26" t="inlineStr">
        <is>
          <t>☐</t>
        </is>
      </c>
      <c r="M358" s="25" t="n"/>
      <c r="N358" s="27" t="n">
        <v>0</v>
      </c>
      <c r="O358" s="28" t="n"/>
      <c r="P358" s="23" t="n"/>
      <c r="Q358" s="29" t="n"/>
      <c r="R358" s="29" t="n"/>
      <c r="S358" s="23" t="n"/>
      <c r="T358" s="30" t="n"/>
      <c r="U358" s="31" t="inlineStr">
        <is>
          <t>高</t>
        </is>
      </c>
      <c r="V358" s="32" t="inlineStr">
        <is>
          <t>複数の資料で一致。錦城学園（千代田区）とは別の学校</t>
        </is>
      </c>
      <c r="W358" s="33" t="inlineStr">
        <is>
          <t>開く</t>
        </is>
      </c>
    </row>
    <row r="359" ht="30" customHeight="1">
      <c r="A359" s="23" t="inlineStr">
        <is>
          <t>13東京都</t>
        </is>
      </c>
      <c r="B359" s="23" t="inlineStr">
        <is>
          <t>私立</t>
        </is>
      </c>
      <c r="C359" s="23" t="n"/>
      <c r="D359" s="23" t="inlineStr">
        <is>
          <t>暁星高等学校</t>
        </is>
      </c>
      <c r="E359" s="24" t="inlineStr">
        <is>
          <t>03-3262-3291</t>
        </is>
      </c>
      <c r="F359" s="23" t="n"/>
      <c r="G359" s="25" t="inlineStr">
        <is>
          <t>普通科</t>
        </is>
      </c>
      <c r="H359" s="26" t="inlineStr">
        <is>
          <t>☐</t>
        </is>
      </c>
      <c r="I359" s="26" t="inlineStr">
        <is>
          <t>☐</t>
        </is>
      </c>
      <c r="J359" s="26" t="inlineStr">
        <is>
          <t>☐</t>
        </is>
      </c>
      <c r="K359" s="26" t="inlineStr">
        <is>
          <t>☐</t>
        </is>
      </c>
      <c r="L359" s="26" t="inlineStr">
        <is>
          <t>☐</t>
        </is>
      </c>
      <c r="M359" s="25" t="n"/>
      <c r="N359" s="27" t="n">
        <v>0</v>
      </c>
      <c r="O359" s="28" t="n"/>
      <c r="P359" s="23" t="n"/>
      <c r="Q359" s="29" t="n"/>
      <c r="R359" s="29" t="n"/>
      <c r="S359" s="23" t="n"/>
      <c r="T359" s="30" t="n"/>
      <c r="U359" s="31" t="inlineStr">
        <is>
          <t>高</t>
        </is>
      </c>
      <c r="V359" s="32" t="inlineStr">
        <is>
          <t>中高共通。東京都の私立高校一覧と一致</t>
        </is>
      </c>
      <c r="W359" s="33" t="inlineStr">
        <is>
          <t>開く</t>
        </is>
      </c>
    </row>
    <row r="360" ht="30" customHeight="1">
      <c r="A360" s="23" t="inlineStr">
        <is>
          <t>13東京都</t>
        </is>
      </c>
      <c r="B360" s="23" t="inlineStr">
        <is>
          <t>私立</t>
        </is>
      </c>
      <c r="C360" s="23" t="n"/>
      <c r="D360" s="23" t="inlineStr">
        <is>
          <t>国立音楽大学附属高等学校</t>
        </is>
      </c>
      <c r="E360" s="24" t="inlineStr">
        <is>
          <t>042-572-4111</t>
        </is>
      </c>
      <c r="F360" s="23" t="n"/>
      <c r="G360" s="25" t="inlineStr">
        <is>
          <t>普通科・専門学科</t>
        </is>
      </c>
      <c r="H360" s="26" t="inlineStr">
        <is>
          <t>☐</t>
        </is>
      </c>
      <c r="I360" s="26" t="inlineStr">
        <is>
          <t>☐</t>
        </is>
      </c>
      <c r="J360" s="26" t="inlineStr">
        <is>
          <t>☐</t>
        </is>
      </c>
      <c r="K360" s="26" t="inlineStr">
        <is>
          <t>☐</t>
        </is>
      </c>
      <c r="L360" s="26" t="inlineStr">
        <is>
          <t>☐</t>
        </is>
      </c>
      <c r="M360" s="25" t="n"/>
      <c r="N360" s="27" t="n">
        <v>0</v>
      </c>
      <c r="O360" s="28" t="n"/>
      <c r="P360" s="23" t="n"/>
      <c r="Q360" s="29" t="n"/>
      <c r="R360" s="29" t="n"/>
      <c r="S360" s="23" t="n"/>
      <c r="T360" s="30" t="n"/>
      <c r="U360" s="31" t="inlineStr">
        <is>
          <t>高</t>
        </is>
      </c>
      <c r="V360" s="32" t="inlineStr">
        <is>
          <t>中高共通。複数の情報源で一致</t>
        </is>
      </c>
      <c r="W360" s="33" t="inlineStr">
        <is>
          <t>開く</t>
        </is>
      </c>
    </row>
    <row r="361" ht="30" customHeight="1">
      <c r="A361" s="23" t="inlineStr">
        <is>
          <t>13東京都</t>
        </is>
      </c>
      <c r="B361" s="23" t="inlineStr">
        <is>
          <t>私立</t>
        </is>
      </c>
      <c r="C361" s="23" t="n"/>
      <c r="D361" s="23" t="inlineStr">
        <is>
          <t>国本女子高等学校</t>
        </is>
      </c>
      <c r="E361" s="24" t="inlineStr">
        <is>
          <t>03-3416-4722</t>
        </is>
      </c>
      <c r="F361" s="23" t="n"/>
      <c r="G361" s="25" t="inlineStr">
        <is>
          <t>普通科</t>
        </is>
      </c>
      <c r="H361" s="26" t="inlineStr">
        <is>
          <t>☐</t>
        </is>
      </c>
      <c r="I361" s="26" t="inlineStr">
        <is>
          <t>☐</t>
        </is>
      </c>
      <c r="J361" s="26" t="inlineStr">
        <is>
          <t>☐</t>
        </is>
      </c>
      <c r="K361" s="26" t="inlineStr">
        <is>
          <t>☐</t>
        </is>
      </c>
      <c r="L361" s="26" t="inlineStr">
        <is>
          <t>☐</t>
        </is>
      </c>
      <c r="M361" s="25" t="n"/>
      <c r="N361" s="27" t="n">
        <v>0</v>
      </c>
      <c r="O361" s="28" t="n"/>
      <c r="P361" s="23" t="n"/>
      <c r="Q361" s="29" t="n"/>
      <c r="R361" s="29" t="n"/>
      <c r="S361" s="23" t="n"/>
      <c r="T361" s="30" t="n"/>
      <c r="U361" s="31" t="inlineStr">
        <is>
          <t>高</t>
        </is>
      </c>
      <c r="V361" s="32" t="inlineStr">
        <is>
          <t>中高共通。複数の情報源で一致</t>
        </is>
      </c>
      <c r="W361" s="33" t="inlineStr">
        <is>
          <t>開く</t>
        </is>
      </c>
    </row>
    <row r="362" ht="30" customHeight="1">
      <c r="A362" s="23" t="inlineStr">
        <is>
          <t>13東京都</t>
        </is>
      </c>
      <c r="B362" s="23" t="inlineStr">
        <is>
          <t>私立</t>
        </is>
      </c>
      <c r="C362" s="23" t="n"/>
      <c r="D362" s="23" t="inlineStr">
        <is>
          <t>慶應義塾女子高等学校</t>
        </is>
      </c>
      <c r="E362" s="24" t="inlineStr">
        <is>
          <t>03-5427-1674</t>
        </is>
      </c>
      <c r="F362" s="23" t="n"/>
      <c r="G362" s="25" t="inlineStr">
        <is>
          <t>普通科</t>
        </is>
      </c>
      <c r="H362" s="26" t="inlineStr">
        <is>
          <t>☐</t>
        </is>
      </c>
      <c r="I362" s="26" t="inlineStr">
        <is>
          <t>☐</t>
        </is>
      </c>
      <c r="J362" s="26" t="inlineStr">
        <is>
          <t>☐</t>
        </is>
      </c>
      <c r="K362" s="26" t="inlineStr">
        <is>
          <t>☐</t>
        </is>
      </c>
      <c r="L362" s="26" t="inlineStr">
        <is>
          <t>☐</t>
        </is>
      </c>
      <c r="M362" s="25" t="n"/>
      <c r="N362" s="27" t="n">
        <v>0</v>
      </c>
      <c r="O362" s="28" t="n"/>
      <c r="P362" s="23" t="n"/>
      <c r="Q362" s="29" t="n"/>
      <c r="R362" s="29" t="n"/>
      <c r="S362" s="23" t="n"/>
      <c r="T362" s="30" t="n"/>
      <c r="U362" s="31" t="inlineStr">
        <is>
          <t>高</t>
        </is>
      </c>
      <c r="V362" s="32" t="inlineStr">
        <is>
          <t>公式の入試要項に「代表」と記載</t>
        </is>
      </c>
      <c r="W362" s="33" t="inlineStr">
        <is>
          <t>開く</t>
        </is>
      </c>
    </row>
    <row r="363" ht="30" customHeight="1">
      <c r="A363" s="23" t="inlineStr">
        <is>
          <t>13東京都</t>
        </is>
      </c>
      <c r="B363" s="23" t="inlineStr">
        <is>
          <t>私立</t>
        </is>
      </c>
      <c r="C363" s="23" t="n"/>
      <c r="D363" s="23" t="inlineStr">
        <is>
          <t>京華高等学校</t>
        </is>
      </c>
      <c r="E363" s="24" t="inlineStr">
        <is>
          <t>03-3946-4451</t>
        </is>
      </c>
      <c r="F363" s="23" t="n"/>
      <c r="G363" s="25" t="inlineStr">
        <is>
          <t>普通科</t>
        </is>
      </c>
      <c r="H363" s="26" t="inlineStr">
        <is>
          <t>☐</t>
        </is>
      </c>
      <c r="I363" s="26" t="inlineStr">
        <is>
          <t>☐</t>
        </is>
      </c>
      <c r="J363" s="26" t="inlineStr">
        <is>
          <t>☐</t>
        </is>
      </c>
      <c r="K363" s="26" t="inlineStr">
        <is>
          <t>☐</t>
        </is>
      </c>
      <c r="L363" s="26" t="inlineStr">
        <is>
          <t>☐</t>
        </is>
      </c>
      <c r="M363" s="25" t="n"/>
      <c r="N363" s="27" t="n">
        <v>0</v>
      </c>
      <c r="O363" s="28" t="n"/>
      <c r="P363" s="23" t="n"/>
      <c r="Q363" s="29" t="n"/>
      <c r="R363" s="29" t="n"/>
      <c r="S363" s="23" t="n"/>
      <c r="T363" s="30" t="n"/>
      <c r="U363" s="31" t="inlineStr">
        <is>
          <t>高</t>
        </is>
      </c>
      <c r="V363" s="32" t="inlineStr">
        <is>
          <t>中高共通。京華商業・京華女子とは別番号</t>
        </is>
      </c>
      <c r="W363" s="33" t="inlineStr">
        <is>
          <t>開く</t>
        </is>
      </c>
    </row>
    <row r="364" ht="30" customHeight="1">
      <c r="A364" s="23" t="inlineStr">
        <is>
          <t>13東京都</t>
        </is>
      </c>
      <c r="B364" s="23" t="inlineStr">
        <is>
          <t>私立</t>
        </is>
      </c>
      <c r="C364" s="23" t="n"/>
      <c r="D364" s="23" t="inlineStr">
        <is>
          <t>京華商業高等学校</t>
        </is>
      </c>
      <c r="E364" s="24" t="inlineStr">
        <is>
          <t>03-3946-4491</t>
        </is>
      </c>
      <c r="F364" s="23" t="n"/>
      <c r="G364" s="25" t="inlineStr">
        <is>
          <t>専門学科</t>
        </is>
      </c>
      <c r="H364" s="26" t="inlineStr">
        <is>
          <t>☐</t>
        </is>
      </c>
      <c r="I364" s="26" t="inlineStr">
        <is>
          <t>☐</t>
        </is>
      </c>
      <c r="J364" s="26" t="inlineStr">
        <is>
          <t>☐</t>
        </is>
      </c>
      <c r="K364" s="26" t="inlineStr">
        <is>
          <t>☐</t>
        </is>
      </c>
      <c r="L364" s="26" t="inlineStr">
        <is>
          <t>☐</t>
        </is>
      </c>
      <c r="M364" s="25" t="n"/>
      <c r="N364" s="27" t="n">
        <v>0</v>
      </c>
      <c r="O364" s="28" t="n"/>
      <c r="P364" s="23" t="n"/>
      <c r="Q364" s="29" t="n"/>
      <c r="R364" s="29" t="n"/>
      <c r="S364" s="23" t="n"/>
      <c r="T364" s="30" t="n"/>
      <c r="U364" s="31" t="inlineStr">
        <is>
          <t>高</t>
        </is>
      </c>
      <c r="V364" s="32" t="inlineStr">
        <is>
          <t>京華・京華女子とは別番号</t>
        </is>
      </c>
      <c r="W364" s="33" t="inlineStr">
        <is>
          <t>開く</t>
        </is>
      </c>
    </row>
    <row r="365" ht="30" customHeight="1">
      <c r="A365" s="23" t="inlineStr">
        <is>
          <t>13東京都</t>
        </is>
      </c>
      <c r="B365" s="23" t="inlineStr">
        <is>
          <t>私立</t>
        </is>
      </c>
      <c r="C365" s="23" t="n"/>
      <c r="D365" s="23" t="inlineStr">
        <is>
          <t>京華女子高等学校</t>
        </is>
      </c>
      <c r="E365" s="24" t="inlineStr">
        <is>
          <t>03-3946-4434</t>
        </is>
      </c>
      <c r="F365" s="23" t="n"/>
      <c r="G365" s="25" t="inlineStr">
        <is>
          <t>普通科</t>
        </is>
      </c>
      <c r="H365" s="26" t="inlineStr">
        <is>
          <t>☐</t>
        </is>
      </c>
      <c r="I365" s="26" t="inlineStr">
        <is>
          <t>☐</t>
        </is>
      </c>
      <c r="J365" s="26" t="inlineStr">
        <is>
          <t>☐</t>
        </is>
      </c>
      <c r="K365" s="26" t="inlineStr">
        <is>
          <t>☐</t>
        </is>
      </c>
      <c r="L365" s="26" t="inlineStr">
        <is>
          <t>☐</t>
        </is>
      </c>
      <c r="M365" s="25" t="n"/>
      <c r="N365" s="27" t="n">
        <v>0</v>
      </c>
      <c r="O365" s="28" t="n"/>
      <c r="P365" s="23" t="n"/>
      <c r="Q365" s="29" t="n"/>
      <c r="R365" s="29" t="n"/>
      <c r="S365" s="23" t="n"/>
      <c r="T365" s="30" t="n"/>
      <c r="U365" s="31" t="inlineStr">
        <is>
          <t>高</t>
        </is>
      </c>
      <c r="V365" s="32" t="inlineStr">
        <is>
          <t>中高共通。京華・京華商業とは別番号</t>
        </is>
      </c>
      <c r="W365" s="33" t="inlineStr">
        <is>
          <t>開く</t>
        </is>
      </c>
    </row>
    <row r="366" ht="30" customHeight="1">
      <c r="A366" s="23" t="inlineStr">
        <is>
          <t>13東京都</t>
        </is>
      </c>
      <c r="B366" s="23" t="inlineStr">
        <is>
          <t>私立</t>
        </is>
      </c>
      <c r="C366" s="23" t="n"/>
      <c r="D366" s="23" t="inlineStr">
        <is>
          <t>恵泉女学園高等学校</t>
        </is>
      </c>
      <c r="E366" s="24" t="inlineStr">
        <is>
          <t>03-3303-2115</t>
        </is>
      </c>
      <c r="F366" s="23" t="n"/>
      <c r="G366" s="25" t="inlineStr">
        <is>
          <t>普通科</t>
        </is>
      </c>
      <c r="H366" s="26" t="inlineStr">
        <is>
          <t>☐</t>
        </is>
      </c>
      <c r="I366" s="26" t="inlineStr">
        <is>
          <t>☐</t>
        </is>
      </c>
      <c r="J366" s="26" t="inlineStr">
        <is>
          <t>☐</t>
        </is>
      </c>
      <c r="K366" s="26" t="inlineStr">
        <is>
          <t>☐</t>
        </is>
      </c>
      <c r="L366" s="26" t="inlineStr">
        <is>
          <t>☐</t>
        </is>
      </c>
      <c r="M366" s="25" t="n"/>
      <c r="N366" s="27" t="n">
        <v>0</v>
      </c>
      <c r="O366" s="28" t="n"/>
      <c r="P366" s="23" t="n"/>
      <c r="Q366" s="29" t="n"/>
      <c r="R366" s="29" t="n"/>
      <c r="S366" s="23" t="n"/>
      <c r="T366" s="30" t="n"/>
      <c r="U366" s="31" t="inlineStr">
        <is>
          <t>高</t>
        </is>
      </c>
      <c r="V366" s="32" t="inlineStr">
        <is>
          <t>中高共通。高校からの生徒募集なし（完全中高一貫）</t>
        </is>
      </c>
      <c r="W366" s="33" t="inlineStr">
        <is>
          <t>開く</t>
        </is>
      </c>
    </row>
    <row r="367" ht="30" customHeight="1">
      <c r="A367" s="23" t="inlineStr">
        <is>
          <t>13東京都</t>
        </is>
      </c>
      <c r="B367" s="23" t="inlineStr">
        <is>
          <t>私立</t>
        </is>
      </c>
      <c r="C367" s="23" t="n"/>
      <c r="D367" s="23" t="inlineStr">
        <is>
          <t>啓明学園高等学校</t>
        </is>
      </c>
      <c r="E367" s="24" t="inlineStr">
        <is>
          <t>042-541-1003</t>
        </is>
      </c>
      <c r="F367" s="23" t="n"/>
      <c r="G367" s="25" t="inlineStr">
        <is>
          <t>普通科</t>
        </is>
      </c>
      <c r="H367" s="26" t="inlineStr">
        <is>
          <t>☐</t>
        </is>
      </c>
      <c r="I367" s="26" t="inlineStr">
        <is>
          <t>☐</t>
        </is>
      </c>
      <c r="J367" s="26" t="inlineStr">
        <is>
          <t>☐</t>
        </is>
      </c>
      <c r="K367" s="26" t="inlineStr">
        <is>
          <t>☐</t>
        </is>
      </c>
      <c r="L367" s="26" t="inlineStr">
        <is>
          <t>☐</t>
        </is>
      </c>
      <c r="M367" s="25" t="n"/>
      <c r="N367" s="27" t="n">
        <v>0</v>
      </c>
      <c r="O367" s="28" t="n"/>
      <c r="P367" s="23" t="n"/>
      <c r="Q367" s="29" t="n"/>
      <c r="R367" s="29" t="n"/>
      <c r="S367" s="23" t="n"/>
      <c r="T367" s="30" t="n"/>
      <c r="U367" s="34" t="inlineStr">
        <is>
          <t>中</t>
        </is>
      </c>
      <c r="V367" s="32" t="inlineStr">
        <is>
          <t>中高共通。学校情報サイトのみで確認</t>
        </is>
      </c>
      <c r="W367" s="33" t="inlineStr">
        <is>
          <t>開く</t>
        </is>
      </c>
    </row>
    <row r="368" ht="30" customHeight="1">
      <c r="A368" s="23" t="inlineStr">
        <is>
          <t>13東京都</t>
        </is>
      </c>
      <c r="B368" s="23" t="inlineStr">
        <is>
          <t>私立</t>
        </is>
      </c>
      <c r="C368" s="23" t="n"/>
      <c r="D368" s="23" t="inlineStr">
        <is>
          <t>小石川淑徳学園高等学校</t>
        </is>
      </c>
      <c r="E368" s="24" t="inlineStr">
        <is>
          <t>03-3811-0237</t>
        </is>
      </c>
      <c r="F368" s="23" t="n"/>
      <c r="G368" s="25" t="inlineStr">
        <is>
          <t>普通科</t>
        </is>
      </c>
      <c r="H368" s="26" t="inlineStr">
        <is>
          <t>☐</t>
        </is>
      </c>
      <c r="I368" s="26" t="inlineStr">
        <is>
          <t>☐</t>
        </is>
      </c>
      <c r="J368" s="26" t="inlineStr">
        <is>
          <t>☐</t>
        </is>
      </c>
      <c r="K368" s="26" t="inlineStr">
        <is>
          <t>☐</t>
        </is>
      </c>
      <c r="L368" s="26" t="inlineStr">
        <is>
          <t>☐</t>
        </is>
      </c>
      <c r="M368" s="25" t="n"/>
      <c r="N368" s="27" t="n">
        <v>0</v>
      </c>
      <c r="O368" s="28" t="n"/>
      <c r="P368" s="23" t="n"/>
      <c r="Q368" s="29" t="n"/>
      <c r="R368" s="29" t="n"/>
      <c r="S368" s="23" t="n"/>
      <c r="T368" s="30" t="n"/>
      <c r="U368" s="31" t="inlineStr">
        <is>
          <t>高</t>
        </is>
      </c>
      <c r="V368" s="32" t="inlineStr">
        <is>
          <t>中高共通。広尾学園小石川とは別の学校</t>
        </is>
      </c>
      <c r="W368" s="33" t="inlineStr">
        <is>
          <t>開く</t>
        </is>
      </c>
    </row>
    <row r="369" ht="30" customHeight="1">
      <c r="A369" s="23" t="inlineStr">
        <is>
          <t>13東京都</t>
        </is>
      </c>
      <c r="B369" s="23" t="inlineStr">
        <is>
          <t>私立</t>
        </is>
      </c>
      <c r="C369" s="23" t="n"/>
      <c r="D369" s="23" t="inlineStr">
        <is>
          <t>光塩女子学院高等科</t>
        </is>
      </c>
      <c r="E369" s="24" t="inlineStr">
        <is>
          <t>03-3315-1911</t>
        </is>
      </c>
      <c r="F369" s="23" t="n"/>
      <c r="G369" s="25" t="inlineStr">
        <is>
          <t>普通科</t>
        </is>
      </c>
      <c r="H369" s="26" t="inlineStr">
        <is>
          <t>☐</t>
        </is>
      </c>
      <c r="I369" s="26" t="inlineStr">
        <is>
          <t>☐</t>
        </is>
      </c>
      <c r="J369" s="26" t="inlineStr">
        <is>
          <t>☐</t>
        </is>
      </c>
      <c r="K369" s="26" t="inlineStr">
        <is>
          <t>☐</t>
        </is>
      </c>
      <c r="L369" s="26" t="inlineStr">
        <is>
          <t>☐</t>
        </is>
      </c>
      <c r="M369" s="25" t="n"/>
      <c r="N369" s="27" t="n">
        <v>0</v>
      </c>
      <c r="O369" s="28" t="n"/>
      <c r="P369" s="23" t="n"/>
      <c r="Q369" s="29" t="n"/>
      <c r="R369" s="29" t="n"/>
      <c r="S369" s="23" t="n"/>
      <c r="T369" s="30" t="n"/>
      <c r="U369" s="31" t="inlineStr">
        <is>
          <t>高</t>
        </is>
      </c>
      <c r="V369" s="32" t="inlineStr">
        <is>
          <t>中高共通。杉並区の一覧と一致</t>
        </is>
      </c>
      <c r="W369" s="33" t="inlineStr">
        <is>
          <t>開く</t>
        </is>
      </c>
    </row>
    <row r="370" ht="30" customHeight="1">
      <c r="A370" s="23" t="inlineStr">
        <is>
          <t>13東京都</t>
        </is>
      </c>
      <c r="B370" s="23" t="inlineStr">
        <is>
          <t>私立</t>
        </is>
      </c>
      <c r="C370" s="23" t="n"/>
      <c r="D370" s="23" t="inlineStr">
        <is>
          <t>晃華学園高等学校</t>
        </is>
      </c>
      <c r="E370" s="24" t="inlineStr">
        <is>
          <t>042-482-8952</t>
        </is>
      </c>
      <c r="F370" s="23" t="n"/>
      <c r="G370" s="25" t="inlineStr">
        <is>
          <t>普通科</t>
        </is>
      </c>
      <c r="H370" s="26" t="inlineStr">
        <is>
          <t>☐</t>
        </is>
      </c>
      <c r="I370" s="26" t="inlineStr">
        <is>
          <t>☐</t>
        </is>
      </c>
      <c r="J370" s="26" t="inlineStr">
        <is>
          <t>☐</t>
        </is>
      </c>
      <c r="K370" s="26" t="inlineStr">
        <is>
          <t>☐</t>
        </is>
      </c>
      <c r="L370" s="26" t="inlineStr">
        <is>
          <t>☐</t>
        </is>
      </c>
      <c r="M370" s="25" t="n"/>
      <c r="N370" s="27" t="n">
        <v>0</v>
      </c>
      <c r="O370" s="28" t="n"/>
      <c r="P370" s="23" t="n"/>
      <c r="Q370" s="29" t="n"/>
      <c r="R370" s="29" t="n"/>
      <c r="S370" s="23" t="n"/>
      <c r="T370" s="30" t="n"/>
      <c r="U370" s="31" t="inlineStr">
        <is>
          <t>高</t>
        </is>
      </c>
      <c r="V370" s="32" t="inlineStr">
        <is>
          <t>中高共通</t>
        </is>
      </c>
      <c r="W370" s="33" t="inlineStr">
        <is>
          <t>開く</t>
        </is>
      </c>
    </row>
    <row r="371" ht="30" customHeight="1">
      <c r="A371" s="23" t="inlineStr">
        <is>
          <t>13東京都</t>
        </is>
      </c>
      <c r="B371" s="23" t="inlineStr">
        <is>
          <t>私立</t>
        </is>
      </c>
      <c r="C371" s="23" t="n"/>
      <c r="D371" s="23" t="inlineStr">
        <is>
          <t>工学院大学附属高等学校</t>
        </is>
      </c>
      <c r="E371" s="24" t="inlineStr">
        <is>
          <t>042-628-4912</t>
        </is>
      </c>
      <c r="F371" s="23" t="n"/>
      <c r="G371" s="25" t="inlineStr">
        <is>
          <t>普通科</t>
        </is>
      </c>
      <c r="H371" s="26" t="inlineStr">
        <is>
          <t>☐</t>
        </is>
      </c>
      <c r="I371" s="26" t="inlineStr">
        <is>
          <t>☐</t>
        </is>
      </c>
      <c r="J371" s="26" t="inlineStr">
        <is>
          <t>☐</t>
        </is>
      </c>
      <c r="K371" s="26" t="inlineStr">
        <is>
          <t>☐</t>
        </is>
      </c>
      <c r="L371" s="26" t="inlineStr">
        <is>
          <t>☐</t>
        </is>
      </c>
      <c r="M371" s="25" t="n"/>
      <c r="N371" s="27" t="n">
        <v>0</v>
      </c>
      <c r="O371" s="28" t="n"/>
      <c r="P371" s="23" t="n"/>
      <c r="Q371" s="29" t="n"/>
      <c r="R371" s="29" t="n"/>
      <c r="S371" s="23" t="n"/>
      <c r="T371" s="30" t="n"/>
      <c r="U371" s="31" t="inlineStr">
        <is>
          <t>高</t>
        </is>
      </c>
      <c r="V371" s="32" t="inlineStr">
        <is>
          <t>公式サイトに「代表」と記載。中高共通。入試広報部は042-628-4914</t>
        </is>
      </c>
      <c r="W371" s="33" t="inlineStr">
        <is>
          <t>開く</t>
        </is>
      </c>
    </row>
    <row r="372" ht="30" customHeight="1">
      <c r="A372" s="23" t="inlineStr">
        <is>
          <t>13東京都</t>
        </is>
      </c>
      <c r="B372" s="23" t="inlineStr">
        <is>
          <t>私立</t>
        </is>
      </c>
      <c r="C372" s="23" t="n"/>
      <c r="D372" s="23" t="inlineStr">
        <is>
          <t>攻玉社高等学校</t>
        </is>
      </c>
      <c r="E372" s="24" t="inlineStr">
        <is>
          <t>03-3493-0331</t>
        </is>
      </c>
      <c r="F372" s="23" t="n"/>
      <c r="G372" s="25" t="inlineStr">
        <is>
          <t>普通科</t>
        </is>
      </c>
      <c r="H372" s="26" t="inlineStr">
        <is>
          <t>☐</t>
        </is>
      </c>
      <c r="I372" s="26" t="inlineStr">
        <is>
          <t>☐</t>
        </is>
      </c>
      <c r="J372" s="26" t="inlineStr">
        <is>
          <t>☐</t>
        </is>
      </c>
      <c r="K372" s="26" t="inlineStr">
        <is>
          <t>☐</t>
        </is>
      </c>
      <c r="L372" s="26" t="inlineStr">
        <is>
          <t>☐</t>
        </is>
      </c>
      <c r="M372" s="25" t="n"/>
      <c r="N372" s="27" t="n">
        <v>0</v>
      </c>
      <c r="O372" s="28" t="n"/>
      <c r="P372" s="23" t="n"/>
      <c r="Q372" s="29" t="n"/>
      <c r="R372" s="29" t="n"/>
      <c r="S372" s="23" t="n"/>
      <c r="T372" s="30" t="n"/>
      <c r="U372" s="31" t="inlineStr">
        <is>
          <t>高</t>
        </is>
      </c>
      <c r="V372" s="32" t="inlineStr">
        <is>
          <t>中高共通</t>
        </is>
      </c>
      <c r="W372" s="33" t="inlineStr">
        <is>
          <t>開く</t>
        </is>
      </c>
    </row>
    <row r="373" ht="30" customHeight="1">
      <c r="A373" s="23" t="inlineStr">
        <is>
          <t>13東京都</t>
        </is>
      </c>
      <c r="B373" s="23" t="inlineStr">
        <is>
          <t>私立</t>
        </is>
      </c>
      <c r="C373" s="23" t="n"/>
      <c r="D373" s="23" t="inlineStr">
        <is>
          <t>麹町学園女子高等学校</t>
        </is>
      </c>
      <c r="E373" s="24" t="inlineStr">
        <is>
          <t>03-3263-3011</t>
        </is>
      </c>
      <c r="F373" s="23" t="n"/>
      <c r="G373" s="25" t="inlineStr">
        <is>
          <t>普通科</t>
        </is>
      </c>
      <c r="H373" s="26" t="inlineStr">
        <is>
          <t>☐</t>
        </is>
      </c>
      <c r="I373" s="26" t="inlineStr">
        <is>
          <t>☐</t>
        </is>
      </c>
      <c r="J373" s="26" t="inlineStr">
        <is>
          <t>☐</t>
        </is>
      </c>
      <c r="K373" s="26" t="inlineStr">
        <is>
          <t>☐</t>
        </is>
      </c>
      <c r="L373" s="26" t="inlineStr">
        <is>
          <t>☐</t>
        </is>
      </c>
      <c r="M373" s="25" t="n"/>
      <c r="N373" s="27" t="n">
        <v>0</v>
      </c>
      <c r="O373" s="28" t="n"/>
      <c r="P373" s="23" t="n"/>
      <c r="Q373" s="29" t="n"/>
      <c r="R373" s="29" t="n"/>
      <c r="S373" s="23" t="n"/>
      <c r="T373" s="30" t="n"/>
      <c r="U373" s="34" t="inlineStr">
        <is>
          <t>中</t>
        </is>
      </c>
      <c r="V373" s="32" t="inlineStr">
        <is>
          <t>中高共通。学校情報サイトのみで確認</t>
        </is>
      </c>
      <c r="W373" s="33" t="inlineStr">
        <is>
          <t>開く</t>
        </is>
      </c>
    </row>
    <row r="374" ht="30" customHeight="1">
      <c r="A374" s="23" t="inlineStr">
        <is>
          <t>13東京都</t>
        </is>
      </c>
      <c r="B374" s="23" t="inlineStr">
        <is>
          <t>私立</t>
        </is>
      </c>
      <c r="C374" s="23" t="n"/>
      <c r="D374" s="23" t="inlineStr">
        <is>
          <t>佼成学園高等学校</t>
        </is>
      </c>
      <c r="E374" s="24" t="inlineStr">
        <is>
          <t>03-3381-7227</t>
        </is>
      </c>
      <c r="F374" s="23" t="n"/>
      <c r="G374" s="25" t="inlineStr">
        <is>
          <t>普通科</t>
        </is>
      </c>
      <c r="H374" s="26" t="inlineStr">
        <is>
          <t>☐</t>
        </is>
      </c>
      <c r="I374" s="26" t="inlineStr">
        <is>
          <t>☐</t>
        </is>
      </c>
      <c r="J374" s="26" t="inlineStr">
        <is>
          <t>☐</t>
        </is>
      </c>
      <c r="K374" s="26" t="inlineStr">
        <is>
          <t>☐</t>
        </is>
      </c>
      <c r="L374" s="26" t="inlineStr">
        <is>
          <t>☐</t>
        </is>
      </c>
      <c r="M374" s="25" t="n"/>
      <c r="N374" s="27" t="n">
        <v>0</v>
      </c>
      <c r="O374" s="28" t="n"/>
      <c r="P374" s="23" t="n"/>
      <c r="Q374" s="29" t="n"/>
      <c r="R374" s="29" t="n"/>
      <c r="S374" s="23" t="n"/>
      <c r="T374" s="30" t="n"/>
      <c r="U374" s="31" t="inlineStr">
        <is>
          <t>高</t>
        </is>
      </c>
      <c r="V374" s="32" t="inlineStr">
        <is>
          <t>中高共通。杉並区の一覧と公式資料で一致</t>
        </is>
      </c>
      <c r="W374" s="33" t="inlineStr">
        <is>
          <t>開く</t>
        </is>
      </c>
    </row>
    <row r="375" ht="30" customHeight="1">
      <c r="A375" s="23" t="inlineStr">
        <is>
          <t>13東京都</t>
        </is>
      </c>
      <c r="B375" s="23" t="inlineStr">
        <is>
          <t>私立</t>
        </is>
      </c>
      <c r="C375" s="23" t="n"/>
      <c r="D375" s="23" t="inlineStr">
        <is>
          <t>佼成学園女子高等学校</t>
        </is>
      </c>
      <c r="E375" s="24" t="inlineStr">
        <is>
          <t>03-3300-2351</t>
        </is>
      </c>
      <c r="F375" s="23" t="n"/>
      <c r="G375" s="25" t="inlineStr">
        <is>
          <t>普通科</t>
        </is>
      </c>
      <c r="H375" s="26" t="inlineStr">
        <is>
          <t>☐</t>
        </is>
      </c>
      <c r="I375" s="26" t="inlineStr">
        <is>
          <t>☐</t>
        </is>
      </c>
      <c r="J375" s="26" t="inlineStr">
        <is>
          <t>☐</t>
        </is>
      </c>
      <c r="K375" s="26" t="inlineStr">
        <is>
          <t>☐</t>
        </is>
      </c>
      <c r="L375" s="26" t="inlineStr">
        <is>
          <t>☐</t>
        </is>
      </c>
      <c r="M375" s="25" t="n"/>
      <c r="N375" s="27" t="n">
        <v>0</v>
      </c>
      <c r="O375" s="28" t="n"/>
      <c r="P375" s="23" t="n"/>
      <c r="Q375" s="29" t="n"/>
      <c r="R375" s="29" t="n"/>
      <c r="S375" s="23" t="n"/>
      <c r="T375" s="30" t="n"/>
      <c r="U375" s="31" t="inlineStr">
        <is>
          <t>高</t>
        </is>
      </c>
      <c r="V375" s="32" t="inlineStr">
        <is>
          <t>中高共通</t>
        </is>
      </c>
      <c r="W375" s="33" t="inlineStr">
        <is>
          <t>開く</t>
        </is>
      </c>
    </row>
    <row r="376" ht="30" customHeight="1">
      <c r="A376" s="23" t="inlineStr">
        <is>
          <t>13東京都</t>
        </is>
      </c>
      <c r="B376" s="23" t="inlineStr">
        <is>
          <t>私立</t>
        </is>
      </c>
      <c r="C376" s="23" t="n"/>
      <c r="D376" s="23" t="inlineStr">
        <is>
          <t>香蘭女学校高等科</t>
        </is>
      </c>
      <c r="E376" s="24" t="inlineStr">
        <is>
          <t>03-3786-1136</t>
        </is>
      </c>
      <c r="F376" s="23" t="n"/>
      <c r="G376" s="25" t="inlineStr">
        <is>
          <t>普通科</t>
        </is>
      </c>
      <c r="H376" s="26" t="inlineStr">
        <is>
          <t>☐</t>
        </is>
      </c>
      <c r="I376" s="26" t="inlineStr">
        <is>
          <t>☐</t>
        </is>
      </c>
      <c r="J376" s="26" t="inlineStr">
        <is>
          <t>☐</t>
        </is>
      </c>
      <c r="K376" s="26" t="inlineStr">
        <is>
          <t>☐</t>
        </is>
      </c>
      <c r="L376" s="26" t="inlineStr">
        <is>
          <t>☐</t>
        </is>
      </c>
      <c r="M376" s="25" t="n"/>
      <c r="N376" s="27" t="n">
        <v>0</v>
      </c>
      <c r="O376" s="28" t="n"/>
      <c r="P376" s="23" t="n"/>
      <c r="Q376" s="29" t="n"/>
      <c r="R376" s="29" t="n"/>
      <c r="S376" s="23" t="n"/>
      <c r="T376" s="30" t="n"/>
      <c r="U376" s="31" t="inlineStr">
        <is>
          <t>高</t>
        </is>
      </c>
      <c r="V376" s="32" t="inlineStr">
        <is>
          <t>中高共通</t>
        </is>
      </c>
      <c r="W376" s="33" t="inlineStr">
        <is>
          <t>開く</t>
        </is>
      </c>
    </row>
    <row r="377" ht="30" customHeight="1">
      <c r="A377" s="23" t="inlineStr">
        <is>
          <t>13東京都</t>
        </is>
      </c>
      <c r="B377" s="23" t="inlineStr">
        <is>
          <t>私立</t>
        </is>
      </c>
      <c r="C377" s="23" t="n"/>
      <c r="D377" s="23" t="inlineStr">
        <is>
          <t>國學院高等学校</t>
        </is>
      </c>
      <c r="E377" s="24" t="inlineStr">
        <is>
          <t>03-3403-2331</t>
        </is>
      </c>
      <c r="F377" s="23" t="n"/>
      <c r="G377" s="25" t="inlineStr">
        <is>
          <t>普通科</t>
        </is>
      </c>
      <c r="H377" s="26" t="inlineStr">
        <is>
          <t>☐</t>
        </is>
      </c>
      <c r="I377" s="26" t="inlineStr">
        <is>
          <t>☐</t>
        </is>
      </c>
      <c r="J377" s="26" t="inlineStr">
        <is>
          <t>☐</t>
        </is>
      </c>
      <c r="K377" s="26" t="inlineStr">
        <is>
          <t>☐</t>
        </is>
      </c>
      <c r="L377" s="26" t="inlineStr">
        <is>
          <t>☐</t>
        </is>
      </c>
      <c r="M377" s="25" t="n"/>
      <c r="N377" s="27" t="n">
        <v>0</v>
      </c>
      <c r="O377" s="28" t="n"/>
      <c r="P377" s="23" t="n"/>
      <c r="Q377" s="29" t="n"/>
      <c r="R377" s="29" t="n"/>
      <c r="S377" s="23" t="n"/>
      <c r="T377" s="30" t="n"/>
      <c r="U377" s="34" t="inlineStr">
        <is>
          <t>中</t>
        </is>
      </c>
      <c r="V377" s="32" t="inlineStr">
        <is>
          <t>学校情報サイト1件のみで確認</t>
        </is>
      </c>
      <c r="W377" s="33" t="inlineStr">
        <is>
          <t>開く</t>
        </is>
      </c>
    </row>
    <row r="378" ht="30" customHeight="1">
      <c r="A378" s="23" t="inlineStr">
        <is>
          <t>13東京都</t>
        </is>
      </c>
      <c r="B378" s="23" t="inlineStr">
        <is>
          <t>私立</t>
        </is>
      </c>
      <c r="C378" s="23" t="n"/>
      <c r="D378" s="23" t="inlineStr">
        <is>
          <t>國學院大學久我山高等学校</t>
        </is>
      </c>
      <c r="E378" s="24" t="inlineStr">
        <is>
          <t>03-3334-1151</t>
        </is>
      </c>
      <c r="F378" s="23" t="n"/>
      <c r="G378" s="25" t="inlineStr">
        <is>
          <t>普通科</t>
        </is>
      </c>
      <c r="H378" s="26" t="inlineStr">
        <is>
          <t>☐</t>
        </is>
      </c>
      <c r="I378" s="26" t="inlineStr">
        <is>
          <t>☐</t>
        </is>
      </c>
      <c r="J378" s="26" t="inlineStr">
        <is>
          <t>☐</t>
        </is>
      </c>
      <c r="K378" s="26" t="inlineStr">
        <is>
          <t>☐</t>
        </is>
      </c>
      <c r="L378" s="26" t="inlineStr">
        <is>
          <t>☐</t>
        </is>
      </c>
      <c r="M378" s="25" t="n"/>
      <c r="N378" s="27" t="n">
        <v>0</v>
      </c>
      <c r="O378" s="28" t="n"/>
      <c r="P378" s="23" t="n"/>
      <c r="Q378" s="29" t="n"/>
      <c r="R378" s="29" t="n"/>
      <c r="S378" s="23" t="n"/>
      <c r="T378" s="30" t="n"/>
      <c r="U378" s="31" t="inlineStr">
        <is>
          <t>高</t>
        </is>
      </c>
      <c r="V378" s="32" t="inlineStr">
        <is>
          <t>中高共通。2つのサイトで一致</t>
        </is>
      </c>
      <c r="W378" s="33" t="inlineStr">
        <is>
          <t>開く</t>
        </is>
      </c>
    </row>
    <row r="379" ht="30" customHeight="1">
      <c r="A379" s="23" t="inlineStr">
        <is>
          <t>13東京都</t>
        </is>
      </c>
      <c r="B379" s="23" t="inlineStr">
        <is>
          <t>私立</t>
        </is>
      </c>
      <c r="C379" s="23" t="n"/>
      <c r="D379" s="23" t="inlineStr">
        <is>
          <t>国際基督教大学高等学校</t>
        </is>
      </c>
      <c r="E379" s="24" t="inlineStr">
        <is>
          <t>0422-33-3401</t>
        </is>
      </c>
      <c r="F379" s="23" t="n"/>
      <c r="G379" s="25" t="inlineStr">
        <is>
          <t>普通科</t>
        </is>
      </c>
      <c r="H379" s="26" t="inlineStr">
        <is>
          <t>☐</t>
        </is>
      </c>
      <c r="I379" s="26" t="inlineStr">
        <is>
          <t>☐</t>
        </is>
      </c>
      <c r="J379" s="26" t="inlineStr">
        <is>
          <t>☐</t>
        </is>
      </c>
      <c r="K379" s="26" t="inlineStr">
        <is>
          <t>☐</t>
        </is>
      </c>
      <c r="L379" s="26" t="inlineStr">
        <is>
          <t>☐</t>
        </is>
      </c>
      <c r="M379" s="25" t="n"/>
      <c r="N379" s="27" t="n">
        <v>0</v>
      </c>
      <c r="O379" s="28" t="n"/>
      <c r="P379" s="23" t="n"/>
      <c r="Q379" s="29" t="n"/>
      <c r="R379" s="29" t="n"/>
      <c r="S379" s="23" t="n"/>
      <c r="T379" s="30" t="n"/>
      <c r="U379" s="31" t="inlineStr">
        <is>
          <t>高</t>
        </is>
      </c>
      <c r="V379" s="32" t="inlineStr">
        <is>
          <t>公式資料に「学校代表」と記載</t>
        </is>
      </c>
      <c r="W379" s="33" t="inlineStr">
        <is>
          <t>開く</t>
        </is>
      </c>
    </row>
    <row r="380" ht="30" customHeight="1">
      <c r="A380" s="23" t="inlineStr">
        <is>
          <t>13東京都</t>
        </is>
      </c>
      <c r="B380" s="23" t="inlineStr">
        <is>
          <t>私立</t>
        </is>
      </c>
      <c r="C380" s="23" t="n"/>
      <c r="D380" s="23" t="inlineStr">
        <is>
          <t>国士舘高等学校</t>
        </is>
      </c>
      <c r="E380" s="24" t="inlineStr">
        <is>
          <t>03-5481-3131</t>
        </is>
      </c>
      <c r="F380" s="23" t="n"/>
      <c r="G380" s="25" t="inlineStr">
        <is>
          <t>普通科</t>
        </is>
      </c>
      <c r="H380" s="26" t="inlineStr">
        <is>
          <t>☐</t>
        </is>
      </c>
      <c r="I380" s="26" t="inlineStr">
        <is>
          <t>☐</t>
        </is>
      </c>
      <c r="J380" s="26" t="inlineStr">
        <is>
          <t>☐</t>
        </is>
      </c>
      <c r="K380" s="26" t="inlineStr">
        <is>
          <t>☐</t>
        </is>
      </c>
      <c r="L380" s="26" t="inlineStr">
        <is>
          <t>☐</t>
        </is>
      </c>
      <c r="M380" s="25" t="n"/>
      <c r="N380" s="27" t="n">
        <v>0</v>
      </c>
      <c r="O380" s="28" t="n"/>
      <c r="P380" s="23" t="n"/>
      <c r="Q380" s="29" t="n"/>
      <c r="R380" s="29" t="n"/>
      <c r="S380" s="23" t="n"/>
      <c r="T380" s="30" t="n"/>
      <c r="U380" s="31" t="inlineStr">
        <is>
          <t>高</t>
        </is>
      </c>
      <c r="V380" s="32" t="inlineStr">
        <is>
          <t>公式の学校案内に全日制・定時制の代表として記載。入試担当は03-5481-3135</t>
        </is>
      </c>
      <c r="W380" s="33" t="inlineStr">
        <is>
          <t>開く</t>
        </is>
      </c>
    </row>
    <row r="381" ht="30" customHeight="1">
      <c r="A381" s="23" t="inlineStr">
        <is>
          <t>13東京都</t>
        </is>
      </c>
      <c r="B381" s="23" t="inlineStr">
        <is>
          <t>私立</t>
        </is>
      </c>
      <c r="C381" s="23" t="n"/>
      <c r="D381" s="23" t="inlineStr">
        <is>
          <t>駒込高等学校</t>
        </is>
      </c>
      <c r="E381" s="24" t="inlineStr">
        <is>
          <t>03-3828-4141</t>
        </is>
      </c>
      <c r="F381" s="23" t="n"/>
      <c r="G381" s="25" t="inlineStr">
        <is>
          <t>普通科</t>
        </is>
      </c>
      <c r="H381" s="26" t="inlineStr">
        <is>
          <t>☐</t>
        </is>
      </c>
      <c r="I381" s="26" t="inlineStr">
        <is>
          <t>☐</t>
        </is>
      </c>
      <c r="J381" s="26" t="inlineStr">
        <is>
          <t>☐</t>
        </is>
      </c>
      <c r="K381" s="26" t="inlineStr">
        <is>
          <t>☐</t>
        </is>
      </c>
      <c r="L381" s="26" t="inlineStr">
        <is>
          <t>☐</t>
        </is>
      </c>
      <c r="M381" s="25" t="n"/>
      <c r="N381" s="27" t="n">
        <v>0</v>
      </c>
      <c r="O381" s="28" t="n"/>
      <c r="P381" s="23" t="n"/>
      <c r="Q381" s="29" t="n"/>
      <c r="R381" s="29" t="n"/>
      <c r="S381" s="23" t="n"/>
      <c r="T381" s="30" t="n"/>
      <c r="U381" s="31" t="inlineStr">
        <is>
          <t>高</t>
        </is>
      </c>
      <c r="V381" s="32" t="inlineStr">
        <is>
          <t>中高共通。文京区の資料と一致</t>
        </is>
      </c>
      <c r="W381" s="33" t="inlineStr">
        <is>
          <t>開く</t>
        </is>
      </c>
    </row>
    <row r="382" ht="30" customHeight="1">
      <c r="A382" s="23" t="inlineStr">
        <is>
          <t>13東京都</t>
        </is>
      </c>
      <c r="B382" s="23" t="inlineStr">
        <is>
          <t>私立</t>
        </is>
      </c>
      <c r="C382" s="23" t="n"/>
      <c r="D382" s="23" t="inlineStr">
        <is>
          <t>駒沢学園女子高等学校</t>
        </is>
      </c>
      <c r="E382" s="24" t="inlineStr">
        <is>
          <t>042-350-7123</t>
        </is>
      </c>
      <c r="F382" s="23" t="n"/>
      <c r="G382" s="25" t="inlineStr">
        <is>
          <t>普通科</t>
        </is>
      </c>
      <c r="H382" s="26" t="inlineStr">
        <is>
          <t>☐</t>
        </is>
      </c>
      <c r="I382" s="26" t="inlineStr">
        <is>
          <t>☐</t>
        </is>
      </c>
      <c r="J382" s="26" t="inlineStr">
        <is>
          <t>☐</t>
        </is>
      </c>
      <c r="K382" s="26" t="inlineStr">
        <is>
          <t>☐</t>
        </is>
      </c>
      <c r="L382" s="26" t="inlineStr">
        <is>
          <t>☐</t>
        </is>
      </c>
      <c r="M382" s="25" t="n"/>
      <c r="N382" s="27" t="n">
        <v>0</v>
      </c>
      <c r="O382" s="28" t="n"/>
      <c r="P382" s="23" t="n"/>
      <c r="Q382" s="29" t="n"/>
      <c r="R382" s="29" t="n"/>
      <c r="S382" s="23" t="n"/>
      <c r="T382" s="30" t="n"/>
      <c r="U382" s="31" t="inlineStr">
        <is>
          <t>高</t>
        </is>
      </c>
      <c r="V382" s="32" t="inlineStr">
        <is>
          <t>東京都の私立高校一覧と一致</t>
        </is>
      </c>
      <c r="W382" s="33" t="inlineStr">
        <is>
          <t>開く</t>
        </is>
      </c>
    </row>
    <row r="383" ht="30" customHeight="1">
      <c r="A383" s="23" t="inlineStr">
        <is>
          <t>13東京都</t>
        </is>
      </c>
      <c r="B383" s="23" t="inlineStr">
        <is>
          <t>私立</t>
        </is>
      </c>
      <c r="C383" s="23" t="n"/>
      <c r="D383" s="23" t="inlineStr">
        <is>
          <t>駒澤大学高等学校</t>
        </is>
      </c>
      <c r="E383" s="24" t="inlineStr">
        <is>
          <t>03-3700-6131</t>
        </is>
      </c>
      <c r="F383" s="23" t="n"/>
      <c r="G383" s="25" t="inlineStr">
        <is>
          <t>普通科</t>
        </is>
      </c>
      <c r="H383" s="26" t="inlineStr">
        <is>
          <t>☐</t>
        </is>
      </c>
      <c r="I383" s="26" t="inlineStr">
        <is>
          <t>☐</t>
        </is>
      </c>
      <c r="J383" s="26" t="inlineStr">
        <is>
          <t>☐</t>
        </is>
      </c>
      <c r="K383" s="26" t="inlineStr">
        <is>
          <t>☐</t>
        </is>
      </c>
      <c r="L383" s="26" t="inlineStr">
        <is>
          <t>☐</t>
        </is>
      </c>
      <c r="M383" s="25" t="n"/>
      <c r="N383" s="27" t="n">
        <v>0</v>
      </c>
      <c r="O383" s="28" t="n"/>
      <c r="P383" s="23" t="n"/>
      <c r="Q383" s="29" t="n"/>
      <c r="R383" s="29" t="n"/>
      <c r="S383" s="23" t="n"/>
      <c r="T383" s="30" t="n"/>
      <c r="U383" s="34" t="inlineStr">
        <is>
          <t>中</t>
        </is>
      </c>
      <c r="V383" s="32" t="inlineStr">
        <is>
          <t>学校情報サイト1件のみで確認。大学の番号とは別</t>
        </is>
      </c>
      <c r="W383" s="33" t="inlineStr">
        <is>
          <t>開く</t>
        </is>
      </c>
    </row>
    <row r="384" ht="30" customHeight="1">
      <c r="A384" s="23" t="inlineStr">
        <is>
          <t>13東京都</t>
        </is>
      </c>
      <c r="B384" s="23" t="inlineStr">
        <is>
          <t>私立</t>
        </is>
      </c>
      <c r="C384" s="23" t="n"/>
      <c r="D384" s="23" t="inlineStr">
        <is>
          <t>駒場学園高等学校</t>
        </is>
      </c>
      <c r="E384" s="24" t="inlineStr">
        <is>
          <t>03-3413-5561</t>
        </is>
      </c>
      <c r="F384" s="23" t="n"/>
      <c r="G384" s="25" t="inlineStr">
        <is>
          <t>普通科・専門学科</t>
        </is>
      </c>
      <c r="H384" s="26" t="inlineStr">
        <is>
          <t>☐</t>
        </is>
      </c>
      <c r="I384" s="26" t="inlineStr">
        <is>
          <t>☐</t>
        </is>
      </c>
      <c r="J384" s="26" t="inlineStr">
        <is>
          <t>☐</t>
        </is>
      </c>
      <c r="K384" s="26" t="inlineStr">
        <is>
          <t>☐</t>
        </is>
      </c>
      <c r="L384" s="26" t="inlineStr">
        <is>
          <t>☐</t>
        </is>
      </c>
      <c r="M384" s="25" t="n"/>
      <c r="N384" s="27" t="n">
        <v>0</v>
      </c>
      <c r="O384" s="28" t="n"/>
      <c r="P384" s="23" t="n"/>
      <c r="Q384" s="29" t="n"/>
      <c r="R384" s="29" t="n"/>
      <c r="S384" s="23" t="n"/>
      <c r="T384" s="30" t="n"/>
      <c r="U384" s="34" t="inlineStr">
        <is>
          <t>中</t>
        </is>
      </c>
      <c r="V384" s="32" t="inlineStr">
        <is>
          <t>学校情報サイト1件のみで確認</t>
        </is>
      </c>
      <c r="W384" s="33" t="inlineStr">
        <is>
          <t>開く</t>
        </is>
      </c>
    </row>
    <row r="385" ht="30" customHeight="1">
      <c r="A385" s="23" t="inlineStr">
        <is>
          <t>13東京都</t>
        </is>
      </c>
      <c r="B385" s="23" t="inlineStr">
        <is>
          <t>私立</t>
        </is>
      </c>
      <c r="C385" s="23" t="n"/>
      <c r="D385" s="23" t="inlineStr">
        <is>
          <t>駒場東邦高等学校</t>
        </is>
      </c>
      <c r="E385" s="24" t="inlineStr">
        <is>
          <t>03-3466-8221</t>
        </is>
      </c>
      <c r="F385" s="23" t="n"/>
      <c r="G385" s="25" t="inlineStr">
        <is>
          <t>普通科</t>
        </is>
      </c>
      <c r="H385" s="26" t="inlineStr">
        <is>
          <t>☐</t>
        </is>
      </c>
      <c r="I385" s="26" t="inlineStr">
        <is>
          <t>☐</t>
        </is>
      </c>
      <c r="J385" s="26" t="inlineStr">
        <is>
          <t>☐</t>
        </is>
      </c>
      <c r="K385" s="26" t="inlineStr">
        <is>
          <t>☐</t>
        </is>
      </c>
      <c r="L385" s="26" t="inlineStr">
        <is>
          <t>☐</t>
        </is>
      </c>
      <c r="M385" s="25" t="n"/>
      <c r="N385" s="27" t="n">
        <v>0</v>
      </c>
      <c r="O385" s="28" t="n"/>
      <c r="P385" s="23" t="n"/>
      <c r="Q385" s="29" t="n"/>
      <c r="R385" s="29" t="n"/>
      <c r="S385" s="23" t="n"/>
      <c r="T385" s="30" t="n"/>
      <c r="U385" s="34" t="inlineStr">
        <is>
          <t>中</t>
        </is>
      </c>
      <c r="V385" s="32" t="inlineStr">
        <is>
          <t>中高共通。学校情報サイト1件のみで確認</t>
        </is>
      </c>
      <c r="W385" s="33" t="inlineStr">
        <is>
          <t>開く</t>
        </is>
      </c>
    </row>
    <row r="386" ht="30" customHeight="1">
      <c r="A386" s="23" t="inlineStr">
        <is>
          <t>13東京都</t>
        </is>
      </c>
      <c r="B386" s="23" t="inlineStr">
        <is>
          <t>私立</t>
        </is>
      </c>
      <c r="C386" s="23" t="n"/>
      <c r="D386" s="23" t="inlineStr">
        <is>
          <t>桜丘高等学校（東京都）</t>
        </is>
      </c>
      <c r="E386" s="24" t="inlineStr">
        <is>
          <t>03-3910-6161</t>
        </is>
      </c>
      <c r="F386" s="23" t="n"/>
      <c r="G386" s="25" t="inlineStr">
        <is>
          <t>普通科</t>
        </is>
      </c>
      <c r="H386" s="26" t="inlineStr">
        <is>
          <t>☐</t>
        </is>
      </c>
      <c r="I386" s="26" t="inlineStr">
        <is>
          <t>☐</t>
        </is>
      </c>
      <c r="J386" s="26" t="inlineStr">
        <is>
          <t>☐</t>
        </is>
      </c>
      <c r="K386" s="26" t="inlineStr">
        <is>
          <t>☐</t>
        </is>
      </c>
      <c r="L386" s="26" t="inlineStr">
        <is>
          <t>☐</t>
        </is>
      </c>
      <c r="M386" s="25" t="n"/>
      <c r="N386" s="27" t="n">
        <v>0</v>
      </c>
      <c r="O386" s="28" t="n"/>
      <c r="P386" s="23" t="n"/>
      <c r="Q386" s="29" t="n"/>
      <c r="R386" s="29" t="n"/>
      <c r="S386" s="23" t="n"/>
      <c r="T386" s="30" t="n"/>
      <c r="U386" s="31" t="inlineStr">
        <is>
          <t>高</t>
        </is>
      </c>
      <c r="V386" s="32" t="inlineStr">
        <is>
          <t>2つのサイトで一致</t>
        </is>
      </c>
      <c r="W386" s="33" t="inlineStr">
        <is>
          <t>開く</t>
        </is>
      </c>
    </row>
    <row r="387" ht="30" customHeight="1">
      <c r="A387" s="23" t="inlineStr">
        <is>
          <t>13東京都</t>
        </is>
      </c>
      <c r="B387" s="23" t="inlineStr">
        <is>
          <t>私立</t>
        </is>
      </c>
      <c r="C387" s="23" t="n"/>
      <c r="D387" s="23" t="inlineStr">
        <is>
          <t>サレジアン国際学園高等学校</t>
        </is>
      </c>
      <c r="E387" s="24" t="inlineStr">
        <is>
          <t>03-3906-0054</t>
        </is>
      </c>
      <c r="F387" s="23" t="n"/>
      <c r="G387" s="25" t="inlineStr">
        <is>
          <t>普通科</t>
        </is>
      </c>
      <c r="H387" s="26" t="inlineStr">
        <is>
          <t>☐</t>
        </is>
      </c>
      <c r="I387" s="26" t="inlineStr">
        <is>
          <t>☐</t>
        </is>
      </c>
      <c r="J387" s="26" t="inlineStr">
        <is>
          <t>☐</t>
        </is>
      </c>
      <c r="K387" s="26" t="inlineStr">
        <is>
          <t>☐</t>
        </is>
      </c>
      <c r="L387" s="26" t="inlineStr">
        <is>
          <t>☐</t>
        </is>
      </c>
      <c r="M387" s="25" t="n"/>
      <c r="N387" s="27" t="n">
        <v>0</v>
      </c>
      <c r="O387" s="28" t="n"/>
      <c r="P387" s="23" t="n"/>
      <c r="Q387" s="29" t="n"/>
      <c r="R387" s="29" t="n"/>
      <c r="S387" s="23" t="n"/>
      <c r="T387" s="30" t="n"/>
      <c r="U387" s="31" t="inlineStr">
        <is>
          <t>高</t>
        </is>
      </c>
      <c r="V387" s="32" t="inlineStr">
        <is>
          <t>東京都の私立高校一覧とYahoo!マップで一致。中高共通</t>
        </is>
      </c>
      <c r="W387" s="33" t="inlineStr">
        <is>
          <t>開く</t>
        </is>
      </c>
    </row>
    <row r="388" ht="30" customHeight="1">
      <c r="A388" s="23" t="inlineStr">
        <is>
          <t>13東京都</t>
        </is>
      </c>
      <c r="B388" s="23" t="inlineStr">
        <is>
          <t>私立</t>
        </is>
      </c>
      <c r="C388" s="23" t="n"/>
      <c r="D388" s="23" t="inlineStr">
        <is>
          <t>サレジアン国際学園世田谷高等学校</t>
        </is>
      </c>
      <c r="E388" s="24" t="inlineStr">
        <is>
          <t>03-3416-1150</t>
        </is>
      </c>
      <c r="F388" s="23" t="n"/>
      <c r="G388" s="25" t="inlineStr">
        <is>
          <t>普通科</t>
        </is>
      </c>
      <c r="H388" s="26" t="inlineStr">
        <is>
          <t>☐</t>
        </is>
      </c>
      <c r="I388" s="26" t="inlineStr">
        <is>
          <t>☐</t>
        </is>
      </c>
      <c r="J388" s="26" t="inlineStr">
        <is>
          <t>☐</t>
        </is>
      </c>
      <c r="K388" s="26" t="inlineStr">
        <is>
          <t>☐</t>
        </is>
      </c>
      <c r="L388" s="26" t="inlineStr">
        <is>
          <t>☐</t>
        </is>
      </c>
      <c r="M388" s="25" t="n"/>
      <c r="N388" s="27" t="n">
        <v>0</v>
      </c>
      <c r="O388" s="28" t="n"/>
      <c r="P388" s="23" t="n"/>
      <c r="Q388" s="29" t="n"/>
      <c r="R388" s="29" t="n"/>
      <c r="S388" s="23" t="n"/>
      <c r="T388" s="30" t="n"/>
      <c r="U388" s="31" t="inlineStr">
        <is>
          <t>高</t>
        </is>
      </c>
      <c r="V388" s="32" t="inlineStr">
        <is>
          <t>中高共通。高校からの募集はないとの情報あり（要確認）</t>
        </is>
      </c>
      <c r="W388" s="33" t="inlineStr">
        <is>
          <t>開く</t>
        </is>
      </c>
    </row>
    <row r="389" ht="30" customHeight="1">
      <c r="A389" s="23" t="inlineStr">
        <is>
          <t>13東京都</t>
        </is>
      </c>
      <c r="B389" s="23" t="inlineStr">
        <is>
          <t>私立</t>
        </is>
      </c>
      <c r="C389" s="23" t="n"/>
      <c r="D389" s="23" t="inlineStr">
        <is>
          <t>品川エトワール女子高等学校</t>
        </is>
      </c>
      <c r="E389" s="24" t="inlineStr">
        <is>
          <t>03-3474-2231</t>
        </is>
      </c>
      <c r="F389" s="23" t="n"/>
      <c r="G389" s="25" t="inlineStr">
        <is>
          <t>普通科</t>
        </is>
      </c>
      <c r="H389" s="26" t="inlineStr">
        <is>
          <t>☐</t>
        </is>
      </c>
      <c r="I389" s="26" t="inlineStr">
        <is>
          <t>☐</t>
        </is>
      </c>
      <c r="J389" s="26" t="inlineStr">
        <is>
          <t>☐</t>
        </is>
      </c>
      <c r="K389" s="26" t="inlineStr">
        <is>
          <t>☐</t>
        </is>
      </c>
      <c r="L389" s="26" t="inlineStr">
        <is>
          <t>☐</t>
        </is>
      </c>
      <c r="M389" s="25" t="n"/>
      <c r="N389" s="27" t="n">
        <v>0</v>
      </c>
      <c r="O389" s="28" t="n"/>
      <c r="P389" s="23" t="n"/>
      <c r="Q389" s="29" t="n"/>
      <c r="R389" s="29" t="n"/>
      <c r="S389" s="23" t="n"/>
      <c r="T389" s="30" t="n"/>
      <c r="U389" s="31" t="inlineStr">
        <is>
          <t>高</t>
        </is>
      </c>
      <c r="V389" s="32" t="inlineStr">
        <is>
          <t>公式Xと複数のサイトで一致</t>
        </is>
      </c>
      <c r="W389" s="33" t="inlineStr">
        <is>
          <t>開く</t>
        </is>
      </c>
    </row>
    <row r="390" ht="30" customHeight="1">
      <c r="A390" s="23" t="inlineStr">
        <is>
          <t>13東京都</t>
        </is>
      </c>
      <c r="B390" s="23" t="inlineStr">
        <is>
          <t>私立</t>
        </is>
      </c>
      <c r="C390" s="23" t="n"/>
      <c r="D390" s="23" t="inlineStr">
        <is>
          <t>品川学藝高等学校</t>
        </is>
      </c>
      <c r="E390" s="24" t="inlineStr">
        <is>
          <t>03-3786-1711</t>
        </is>
      </c>
      <c r="F390" s="23" t="n"/>
      <c r="G390" s="25" t="inlineStr">
        <is>
          <t>普通科・専門学科</t>
        </is>
      </c>
      <c r="H390" s="26" t="inlineStr">
        <is>
          <t>☐</t>
        </is>
      </c>
      <c r="I390" s="26" t="inlineStr">
        <is>
          <t>☐</t>
        </is>
      </c>
      <c r="J390" s="26" t="inlineStr">
        <is>
          <t>☐</t>
        </is>
      </c>
      <c r="K390" s="26" t="inlineStr">
        <is>
          <t>☐</t>
        </is>
      </c>
      <c r="L390" s="26" t="inlineStr">
        <is>
          <t>☐</t>
        </is>
      </c>
      <c r="M390" s="25" t="n"/>
      <c r="N390" s="27" t="n">
        <v>0</v>
      </c>
      <c r="O390" s="28" t="n"/>
      <c r="P390" s="23" t="n"/>
      <c r="Q390" s="29" t="n"/>
      <c r="R390" s="29" t="n"/>
      <c r="S390" s="23" t="n"/>
      <c r="T390" s="30" t="n"/>
      <c r="U390" s="34" t="inlineStr">
        <is>
          <t>中</t>
        </is>
      </c>
      <c r="V390" s="32" t="inlineStr">
        <is>
          <t>学校情報サイト1件のみで確認</t>
        </is>
      </c>
      <c r="W390" s="33" t="inlineStr">
        <is>
          <t>開く</t>
        </is>
      </c>
    </row>
    <row r="391" ht="30" customHeight="1">
      <c r="A391" s="23" t="inlineStr">
        <is>
          <t>13東京都</t>
        </is>
      </c>
      <c r="B391" s="23" t="inlineStr">
        <is>
          <t>私立</t>
        </is>
      </c>
      <c r="C391" s="23" t="n"/>
      <c r="D391" s="23" t="inlineStr">
        <is>
          <t>品川翔英高等学校</t>
        </is>
      </c>
      <c r="E391" s="24" t="inlineStr">
        <is>
          <t>03-3774-1151</t>
        </is>
      </c>
      <c r="F391" s="23" t="n"/>
      <c r="G391" s="25" t="inlineStr">
        <is>
          <t>普通科</t>
        </is>
      </c>
      <c r="H391" s="26" t="inlineStr">
        <is>
          <t>☐</t>
        </is>
      </c>
      <c r="I391" s="26" t="inlineStr">
        <is>
          <t>☐</t>
        </is>
      </c>
      <c r="J391" s="26" t="inlineStr">
        <is>
          <t>☐</t>
        </is>
      </c>
      <c r="K391" s="26" t="inlineStr">
        <is>
          <t>☐</t>
        </is>
      </c>
      <c r="L391" s="26" t="inlineStr">
        <is>
          <t>☐</t>
        </is>
      </c>
      <c r="M391" s="25" t="n"/>
      <c r="N391" s="27" t="n">
        <v>0</v>
      </c>
      <c r="O391" s="28" t="n"/>
      <c r="P391" s="23" t="n"/>
      <c r="Q391" s="29" t="n"/>
      <c r="R391" s="29" t="n"/>
      <c r="S391" s="23" t="n"/>
      <c r="T391" s="30" t="n"/>
      <c r="U391" s="34" t="inlineStr">
        <is>
          <t>中</t>
        </is>
      </c>
      <c r="V391" s="32" t="inlineStr">
        <is>
          <t>学校情報サイト1件のみで確認</t>
        </is>
      </c>
      <c r="W391" s="33" t="inlineStr">
        <is>
          <t>開く</t>
        </is>
      </c>
    </row>
    <row r="392" ht="30" customHeight="1">
      <c r="A392" s="23" t="inlineStr">
        <is>
          <t>13東京都</t>
        </is>
      </c>
      <c r="B392" s="23" t="inlineStr">
        <is>
          <t>私立</t>
        </is>
      </c>
      <c r="C392" s="23" t="n"/>
      <c r="D392" s="23" t="inlineStr">
        <is>
          <t>品川女子学院高等部</t>
        </is>
      </c>
      <c r="E392" s="24" t="inlineStr">
        <is>
          <t>03-3474-4048</t>
        </is>
      </c>
      <c r="F392" s="23" t="n"/>
      <c r="G392" s="25" t="inlineStr">
        <is>
          <t>普通科</t>
        </is>
      </c>
      <c r="H392" s="26" t="inlineStr">
        <is>
          <t>☐</t>
        </is>
      </c>
      <c r="I392" s="26" t="inlineStr">
        <is>
          <t>☐</t>
        </is>
      </c>
      <c r="J392" s="26" t="inlineStr">
        <is>
          <t>☐</t>
        </is>
      </c>
      <c r="K392" s="26" t="inlineStr">
        <is>
          <t>☐</t>
        </is>
      </c>
      <c r="L392" s="26" t="inlineStr">
        <is>
          <t>☐</t>
        </is>
      </c>
      <c r="M392" s="25" t="n"/>
      <c r="N392" s="27" t="n">
        <v>0</v>
      </c>
      <c r="O392" s="28" t="n"/>
      <c r="P392" s="23" t="n"/>
      <c r="Q392" s="29" t="n"/>
      <c r="R392" s="29" t="n"/>
      <c r="S392" s="23" t="n"/>
      <c r="T392" s="30" t="n"/>
      <c r="U392" s="31" t="inlineStr">
        <is>
          <t>高</t>
        </is>
      </c>
      <c r="V392" s="32" t="inlineStr">
        <is>
          <t>2つのサイトで一致</t>
        </is>
      </c>
      <c r="W392" s="33" t="inlineStr">
        <is>
          <t>開く</t>
        </is>
      </c>
    </row>
    <row r="393" ht="30" customHeight="1">
      <c r="A393" s="23" t="inlineStr">
        <is>
          <t>13東京都</t>
        </is>
      </c>
      <c r="B393" s="23" t="inlineStr">
        <is>
          <t>私立</t>
        </is>
      </c>
      <c r="C393" s="23" t="n"/>
      <c r="D393" s="23" t="inlineStr">
        <is>
          <t>芝浦工業大学附属高等学校</t>
        </is>
      </c>
      <c r="E393" s="24" t="inlineStr">
        <is>
          <t>03-3520-8501</t>
        </is>
      </c>
      <c r="F393" s="23" t="n"/>
      <c r="G393" s="25" t="inlineStr">
        <is>
          <t>普通科</t>
        </is>
      </c>
      <c r="H393" s="26" t="inlineStr">
        <is>
          <t>☐</t>
        </is>
      </c>
      <c r="I393" s="26" t="inlineStr">
        <is>
          <t>☐</t>
        </is>
      </c>
      <c r="J393" s="26" t="inlineStr">
        <is>
          <t>☐</t>
        </is>
      </c>
      <c r="K393" s="26" t="inlineStr">
        <is>
          <t>☐</t>
        </is>
      </c>
      <c r="L393" s="26" t="inlineStr">
        <is>
          <t>☐</t>
        </is>
      </c>
      <c r="M393" s="25" t="n"/>
      <c r="N393" s="27" t="n">
        <v>0</v>
      </c>
      <c r="O393" s="28" t="n"/>
      <c r="P393" s="23" t="n"/>
      <c r="Q393" s="29" t="n"/>
      <c r="R393" s="29" t="n"/>
      <c r="S393" s="23" t="n"/>
      <c r="T393" s="30" t="n"/>
      <c r="U393" s="34" t="inlineStr">
        <is>
          <t>中</t>
        </is>
      </c>
      <c r="V393" s="32" t="inlineStr">
        <is>
          <t>代表として掲載。学校情報サイトのみで確認</t>
        </is>
      </c>
      <c r="W393" s="33" t="inlineStr">
        <is>
          <t>開く</t>
        </is>
      </c>
    </row>
    <row r="394" ht="30" customHeight="1">
      <c r="A394" s="23" t="inlineStr">
        <is>
          <t>13東京都</t>
        </is>
      </c>
      <c r="B394" s="23" t="inlineStr">
        <is>
          <t>私立</t>
        </is>
      </c>
      <c r="C394" s="23" t="n"/>
      <c r="D394" s="23" t="inlineStr">
        <is>
          <t>芝高等学校</t>
        </is>
      </c>
      <c r="E394" s="24" t="inlineStr">
        <is>
          <t>03-3431-2629</t>
        </is>
      </c>
      <c r="F394" s="23" t="n"/>
      <c r="G394" s="25" t="inlineStr">
        <is>
          <t>普通科</t>
        </is>
      </c>
      <c r="H394" s="26" t="inlineStr">
        <is>
          <t>☐</t>
        </is>
      </c>
      <c r="I394" s="26" t="inlineStr">
        <is>
          <t>☐</t>
        </is>
      </c>
      <c r="J394" s="26" t="inlineStr">
        <is>
          <t>☐</t>
        </is>
      </c>
      <c r="K394" s="26" t="inlineStr">
        <is>
          <t>☐</t>
        </is>
      </c>
      <c r="L394" s="26" t="inlineStr">
        <is>
          <t>☐</t>
        </is>
      </c>
      <c r="M394" s="25" t="n"/>
      <c r="N394" s="27" t="n">
        <v>0</v>
      </c>
      <c r="O394" s="28" t="n"/>
      <c r="P394" s="23" t="n"/>
      <c r="Q394" s="29" t="n"/>
      <c r="R394" s="29" t="n"/>
      <c r="S394" s="23" t="n"/>
      <c r="T394" s="30" t="n"/>
      <c r="U394" s="31" t="inlineStr">
        <is>
          <t>高</t>
        </is>
      </c>
      <c r="V394" s="32" t="inlineStr">
        <is>
          <t>2つのサイトで一致</t>
        </is>
      </c>
      <c r="W394" s="33" t="inlineStr">
        <is>
          <t>開く</t>
        </is>
      </c>
    </row>
    <row r="395" ht="30" customHeight="1">
      <c r="A395" s="23" t="inlineStr">
        <is>
          <t>13東京都</t>
        </is>
      </c>
      <c r="B395" s="23" t="inlineStr">
        <is>
          <t>私立</t>
        </is>
      </c>
      <c r="C395" s="23" t="n"/>
      <c r="D395" s="23" t="inlineStr">
        <is>
          <t>芝国際高等学校</t>
        </is>
      </c>
      <c r="E395" s="24" t="inlineStr">
        <is>
          <t>03-5427-0666</t>
        </is>
      </c>
      <c r="F395" s="23" t="n"/>
      <c r="G395" s="25" t="inlineStr">
        <is>
          <t>普通科</t>
        </is>
      </c>
      <c r="H395" s="26" t="inlineStr">
        <is>
          <t>☐</t>
        </is>
      </c>
      <c r="I395" s="26" t="inlineStr">
        <is>
          <t>☐</t>
        </is>
      </c>
      <c r="J395" s="26" t="inlineStr">
        <is>
          <t>☐</t>
        </is>
      </c>
      <c r="K395" s="26" t="inlineStr">
        <is>
          <t>☐</t>
        </is>
      </c>
      <c r="L395" s="26" t="inlineStr">
        <is>
          <t>☐</t>
        </is>
      </c>
      <c r="M395" s="25" t="n"/>
      <c r="N395" s="27" t="n">
        <v>0</v>
      </c>
      <c r="O395" s="28" t="n"/>
      <c r="P395" s="23" t="n"/>
      <c r="Q395" s="29" t="n"/>
      <c r="R395" s="29" t="n"/>
      <c r="S395" s="23" t="n"/>
      <c r="T395" s="30" t="n"/>
      <c r="U395" s="31" t="inlineStr">
        <is>
          <t>高</t>
        </is>
      </c>
      <c r="V395" s="32" t="inlineStr">
        <is>
          <t>中高共通。学校情報サイトで一致</t>
        </is>
      </c>
      <c r="W395" s="33" t="inlineStr">
        <is>
          <t>開く</t>
        </is>
      </c>
    </row>
    <row r="396" ht="30" customHeight="1">
      <c r="A396" s="23" t="inlineStr">
        <is>
          <t>13東京都</t>
        </is>
      </c>
      <c r="B396" s="23" t="inlineStr">
        <is>
          <t>私立</t>
        </is>
      </c>
      <c r="C396" s="23" t="n"/>
      <c r="D396" s="23" t="inlineStr">
        <is>
          <t>渋谷教育学園渋谷高等学校</t>
        </is>
      </c>
      <c r="E396" s="24" t="inlineStr">
        <is>
          <t>03-3400-6363</t>
        </is>
      </c>
      <c r="F396" s="23" t="n"/>
      <c r="G396" s="25" t="inlineStr">
        <is>
          <t>普通科</t>
        </is>
      </c>
      <c r="H396" s="26" t="inlineStr">
        <is>
          <t>☐</t>
        </is>
      </c>
      <c r="I396" s="26" t="inlineStr">
        <is>
          <t>☐</t>
        </is>
      </c>
      <c r="J396" s="26" t="inlineStr">
        <is>
          <t>☐</t>
        </is>
      </c>
      <c r="K396" s="26" t="inlineStr">
        <is>
          <t>☐</t>
        </is>
      </c>
      <c r="L396" s="26" t="inlineStr">
        <is>
          <t>☐</t>
        </is>
      </c>
      <c r="M396" s="25" t="n"/>
      <c r="N396" s="27" t="n">
        <v>0</v>
      </c>
      <c r="O396" s="28" t="n"/>
      <c r="P396" s="23" t="n"/>
      <c r="Q396" s="29" t="n"/>
      <c r="R396" s="29" t="n"/>
      <c r="S396" s="23" t="n"/>
      <c r="T396" s="30" t="n"/>
      <c r="U396" s="31" t="inlineStr">
        <is>
          <t>高</t>
        </is>
      </c>
      <c r="V396" s="32" t="inlineStr">
        <is>
          <t>中高共通。複数サイトで一致</t>
        </is>
      </c>
      <c r="W396" s="33" t="inlineStr">
        <is>
          <t>開く</t>
        </is>
      </c>
    </row>
    <row r="397" ht="30" customHeight="1">
      <c r="A397" s="23" t="inlineStr">
        <is>
          <t>13東京都</t>
        </is>
      </c>
      <c r="B397" s="23" t="inlineStr">
        <is>
          <t>私立</t>
        </is>
      </c>
      <c r="C397" s="23" t="n"/>
      <c r="D397" s="23" t="inlineStr">
        <is>
          <t>下北沢成徳高等学校</t>
        </is>
      </c>
      <c r="E397" s="24" t="inlineStr">
        <is>
          <t>03-3468-1551</t>
        </is>
      </c>
      <c r="F397" s="23" t="n"/>
      <c r="G397" s="25" t="inlineStr">
        <is>
          <t>普通科</t>
        </is>
      </c>
      <c r="H397" s="26" t="inlineStr">
        <is>
          <t>☐</t>
        </is>
      </c>
      <c r="I397" s="26" t="inlineStr">
        <is>
          <t>☐</t>
        </is>
      </c>
      <c r="J397" s="26" t="inlineStr">
        <is>
          <t>☐</t>
        </is>
      </c>
      <c r="K397" s="26" t="inlineStr">
        <is>
          <t>☐</t>
        </is>
      </c>
      <c r="L397" s="26" t="inlineStr">
        <is>
          <t>☐</t>
        </is>
      </c>
      <c r="M397" s="25" t="n"/>
      <c r="N397" s="27" t="n">
        <v>0</v>
      </c>
      <c r="O397" s="28" t="n"/>
      <c r="P397" s="23" t="n"/>
      <c r="Q397" s="29" t="n"/>
      <c r="R397" s="29" t="n"/>
      <c r="S397" s="23" t="n"/>
      <c r="T397" s="30" t="n"/>
      <c r="U397" s="31" t="inlineStr">
        <is>
          <t>高</t>
        </is>
      </c>
      <c r="V397" s="32" t="inlineStr">
        <is>
          <t>学校情報サイト3件で一致</t>
        </is>
      </c>
      <c r="W397" s="33" t="inlineStr">
        <is>
          <t>開く</t>
        </is>
      </c>
    </row>
    <row r="398" ht="30" customHeight="1">
      <c r="A398" s="23" t="inlineStr">
        <is>
          <t>13東京都</t>
        </is>
      </c>
      <c r="B398" s="23" t="inlineStr">
        <is>
          <t>私立</t>
        </is>
      </c>
      <c r="C398" s="23" t="n"/>
      <c r="D398" s="23" t="inlineStr">
        <is>
          <t>修徳高等学校</t>
        </is>
      </c>
      <c r="E398" s="24" t="inlineStr">
        <is>
          <t>03-3601-0116</t>
        </is>
      </c>
      <c r="F398" s="23" t="n"/>
      <c r="G398" s="25" t="inlineStr">
        <is>
          <t>普通科</t>
        </is>
      </c>
      <c r="H398" s="26" t="inlineStr">
        <is>
          <t>☐</t>
        </is>
      </c>
      <c r="I398" s="26" t="inlineStr">
        <is>
          <t>☐</t>
        </is>
      </c>
      <c r="J398" s="26" t="inlineStr">
        <is>
          <t>☐</t>
        </is>
      </c>
      <c r="K398" s="26" t="inlineStr">
        <is>
          <t>☐</t>
        </is>
      </c>
      <c r="L398" s="26" t="inlineStr">
        <is>
          <t>☐</t>
        </is>
      </c>
      <c r="M398" s="25" t="n"/>
      <c r="N398" s="27" t="n">
        <v>0</v>
      </c>
      <c r="O398" s="28" t="n"/>
      <c r="P398" s="23" t="n"/>
      <c r="Q398" s="29" t="n"/>
      <c r="R398" s="29" t="n"/>
      <c r="S398" s="23" t="n"/>
      <c r="T398" s="30" t="n"/>
      <c r="U398" s="31" t="inlineStr">
        <is>
          <t>高</t>
        </is>
      </c>
      <c r="V398" s="32" t="inlineStr">
        <is>
          <t>中高共通</t>
        </is>
      </c>
      <c r="W398" s="33" t="inlineStr">
        <is>
          <t>開く</t>
        </is>
      </c>
    </row>
    <row r="399" ht="30" customHeight="1">
      <c r="A399" s="23" t="inlineStr">
        <is>
          <t>13東京都</t>
        </is>
      </c>
      <c r="B399" s="23" t="inlineStr">
        <is>
          <t>私立</t>
        </is>
      </c>
      <c r="C399" s="23" t="n"/>
      <c r="D399" s="23" t="inlineStr">
        <is>
          <t>淑徳高等学校</t>
        </is>
      </c>
      <c r="E399" s="24" t="inlineStr">
        <is>
          <t>03-3969-7411</t>
        </is>
      </c>
      <c r="F399" s="23" t="n"/>
      <c r="G399" s="25" t="inlineStr">
        <is>
          <t>普通科</t>
        </is>
      </c>
      <c r="H399" s="26" t="inlineStr">
        <is>
          <t>☐</t>
        </is>
      </c>
      <c r="I399" s="26" t="inlineStr">
        <is>
          <t>☐</t>
        </is>
      </c>
      <c r="J399" s="26" t="inlineStr">
        <is>
          <t>☐</t>
        </is>
      </c>
      <c r="K399" s="26" t="inlineStr">
        <is>
          <t>☐</t>
        </is>
      </c>
      <c r="L399" s="26" t="inlineStr">
        <is>
          <t>☐</t>
        </is>
      </c>
      <c r="M399" s="25" t="n"/>
      <c r="N399" s="27" t="n">
        <v>0</v>
      </c>
      <c r="O399" s="28" t="n"/>
      <c r="P399" s="23" t="n"/>
      <c r="Q399" s="29" t="n"/>
      <c r="R399" s="29" t="n"/>
      <c r="S399" s="23" t="n"/>
      <c r="T399" s="30" t="n"/>
      <c r="U399" s="34" t="inlineStr">
        <is>
          <t>中</t>
        </is>
      </c>
      <c r="V399" s="32" t="inlineStr">
        <is>
          <t>中高共通。学校情報サイトのみで確認</t>
        </is>
      </c>
      <c r="W399" s="33" t="inlineStr">
        <is>
          <t>開く</t>
        </is>
      </c>
    </row>
    <row r="400" ht="30" customHeight="1">
      <c r="A400" s="23" t="inlineStr">
        <is>
          <t>13東京都</t>
        </is>
      </c>
      <c r="B400" s="23" t="inlineStr">
        <is>
          <t>私立</t>
        </is>
      </c>
      <c r="C400" s="23" t="n"/>
      <c r="D400" s="23" t="inlineStr">
        <is>
          <t>淑徳巣鴨高等学校</t>
        </is>
      </c>
      <c r="E400" s="24" t="inlineStr">
        <is>
          <t>03-3918-6451</t>
        </is>
      </c>
      <c r="F400" s="23" t="n"/>
      <c r="G400" s="25" t="inlineStr">
        <is>
          <t>普通科</t>
        </is>
      </c>
      <c r="H400" s="26" t="inlineStr">
        <is>
          <t>☐</t>
        </is>
      </c>
      <c r="I400" s="26" t="inlineStr">
        <is>
          <t>☐</t>
        </is>
      </c>
      <c r="J400" s="26" t="inlineStr">
        <is>
          <t>☐</t>
        </is>
      </c>
      <c r="K400" s="26" t="inlineStr">
        <is>
          <t>☐</t>
        </is>
      </c>
      <c r="L400" s="26" t="inlineStr">
        <is>
          <t>☐</t>
        </is>
      </c>
      <c r="M400" s="25" t="n"/>
      <c r="N400" s="27" t="n">
        <v>0</v>
      </c>
      <c r="O400" s="28" t="n"/>
      <c r="P400" s="23" t="n"/>
      <c r="Q400" s="29" t="n"/>
      <c r="R400" s="29" t="n"/>
      <c r="S400" s="23" t="n"/>
      <c r="T400" s="30" t="n"/>
      <c r="U400" s="34" t="inlineStr">
        <is>
          <t>中</t>
        </is>
      </c>
      <c r="V400" s="32" t="inlineStr">
        <is>
          <t>中高共通。学校情報サイトのみで確認</t>
        </is>
      </c>
      <c r="W400" s="33" t="inlineStr">
        <is>
          <t>開く</t>
        </is>
      </c>
    </row>
    <row r="401" ht="30" customHeight="1">
      <c r="A401" s="23" t="inlineStr">
        <is>
          <t>13東京都</t>
        </is>
      </c>
      <c r="B401" s="23" t="inlineStr">
        <is>
          <t>私立</t>
        </is>
      </c>
      <c r="C401" s="23" t="n"/>
      <c r="D401" s="23" t="inlineStr">
        <is>
          <t>松蔭大学附属松蔭高等学校（東京都）</t>
        </is>
      </c>
      <c r="E401" s="24" t="inlineStr">
        <is>
          <t>03-3467-1511</t>
        </is>
      </c>
      <c r="F401" s="23" t="n"/>
      <c r="G401" s="25" t="inlineStr">
        <is>
          <t>普通科</t>
        </is>
      </c>
      <c r="H401" s="26" t="inlineStr">
        <is>
          <t>☐</t>
        </is>
      </c>
      <c r="I401" s="26" t="inlineStr">
        <is>
          <t>☐</t>
        </is>
      </c>
      <c r="J401" s="26" t="inlineStr">
        <is>
          <t>☐</t>
        </is>
      </c>
      <c r="K401" s="26" t="inlineStr">
        <is>
          <t>☐</t>
        </is>
      </c>
      <c r="L401" s="26" t="inlineStr">
        <is>
          <t>☐</t>
        </is>
      </c>
      <c r="M401" s="25" t="n"/>
      <c r="N401" s="27" t="n">
        <v>0</v>
      </c>
      <c r="O401" s="28" t="n"/>
      <c r="P401" s="23" t="n"/>
      <c r="Q401" s="29" t="n"/>
      <c r="R401" s="29" t="n"/>
      <c r="S401" s="23" t="n"/>
      <c r="T401" s="30" t="n"/>
      <c r="U401" s="31" t="inlineStr">
        <is>
          <t>高</t>
        </is>
      </c>
      <c r="V401" s="32" t="inlineStr">
        <is>
          <t>中高共通</t>
        </is>
      </c>
      <c r="W401" s="33" t="inlineStr">
        <is>
          <t>開く</t>
        </is>
      </c>
    </row>
    <row r="402" ht="30" customHeight="1">
      <c r="A402" s="23" t="inlineStr">
        <is>
          <t>13東京都</t>
        </is>
      </c>
      <c r="B402" s="23" t="inlineStr">
        <is>
          <t>私立</t>
        </is>
      </c>
      <c r="C402" s="23" t="n"/>
      <c r="D402" s="23" t="inlineStr">
        <is>
          <t>頌栄女子学院高等学校</t>
        </is>
      </c>
      <c r="E402" s="24" t="inlineStr">
        <is>
          <t>03-3441-2005</t>
        </is>
      </c>
      <c r="F402" s="23" t="n"/>
      <c r="G402" s="25" t="inlineStr">
        <is>
          <t>普通科</t>
        </is>
      </c>
      <c r="H402" s="26" t="inlineStr">
        <is>
          <t>☐</t>
        </is>
      </c>
      <c r="I402" s="26" t="inlineStr">
        <is>
          <t>☐</t>
        </is>
      </c>
      <c r="J402" s="26" t="inlineStr">
        <is>
          <t>☐</t>
        </is>
      </c>
      <c r="K402" s="26" t="inlineStr">
        <is>
          <t>☐</t>
        </is>
      </c>
      <c r="L402" s="26" t="inlineStr">
        <is>
          <t>☐</t>
        </is>
      </c>
      <c r="M402" s="25" t="n"/>
      <c r="N402" s="27" t="n">
        <v>0</v>
      </c>
      <c r="O402" s="28" t="n"/>
      <c r="P402" s="23" t="n"/>
      <c r="Q402" s="29" t="n"/>
      <c r="R402" s="29" t="n"/>
      <c r="S402" s="23" t="n"/>
      <c r="T402" s="30" t="n"/>
      <c r="U402" s="34" t="inlineStr">
        <is>
          <t>中</t>
        </is>
      </c>
      <c r="V402" s="32" t="inlineStr">
        <is>
          <t>中高共通。学校情報サイト1件のみで確認</t>
        </is>
      </c>
      <c r="W402" s="33" t="inlineStr">
        <is>
          <t>開く</t>
        </is>
      </c>
    </row>
    <row r="403" ht="30" customHeight="1">
      <c r="A403" s="23" t="inlineStr">
        <is>
          <t>13東京都</t>
        </is>
      </c>
      <c r="B403" s="23" t="inlineStr">
        <is>
          <t>私立</t>
        </is>
      </c>
      <c r="C403" s="23" t="n"/>
      <c r="D403" s="23" t="inlineStr">
        <is>
          <t>聖徳学園高等学校</t>
        </is>
      </c>
      <c r="E403" s="24" t="inlineStr">
        <is>
          <t>0422-31-5121</t>
        </is>
      </c>
      <c r="F403" s="23" t="n"/>
      <c r="G403" s="25" t="inlineStr">
        <is>
          <t>普通科</t>
        </is>
      </c>
      <c r="H403" s="26" t="inlineStr">
        <is>
          <t>☐</t>
        </is>
      </c>
      <c r="I403" s="26" t="inlineStr">
        <is>
          <t>☐</t>
        </is>
      </c>
      <c r="J403" s="26" t="inlineStr">
        <is>
          <t>☐</t>
        </is>
      </c>
      <c r="K403" s="26" t="inlineStr">
        <is>
          <t>☐</t>
        </is>
      </c>
      <c r="L403" s="26" t="inlineStr">
        <is>
          <t>☐</t>
        </is>
      </c>
      <c r="M403" s="25" t="n"/>
      <c r="N403" s="27" t="n">
        <v>0</v>
      </c>
      <c r="O403" s="28" t="n"/>
      <c r="P403" s="23" t="n"/>
      <c r="Q403" s="29" t="n"/>
      <c r="R403" s="29" t="n"/>
      <c r="S403" s="23" t="n"/>
      <c r="T403" s="30" t="n"/>
      <c r="U403" s="31" t="inlineStr">
        <is>
          <t>高</t>
        </is>
      </c>
      <c r="V403" s="32" t="inlineStr">
        <is>
          <t>中高共通</t>
        </is>
      </c>
      <c r="W403" s="33" t="inlineStr">
        <is>
          <t>開く</t>
        </is>
      </c>
    </row>
    <row r="404" ht="30" customHeight="1">
      <c r="A404" s="23" t="inlineStr">
        <is>
          <t>13東京都</t>
        </is>
      </c>
      <c r="B404" s="23" t="inlineStr">
        <is>
          <t>私立</t>
        </is>
      </c>
      <c r="C404" s="23" t="n"/>
      <c r="D404" s="23" t="inlineStr">
        <is>
          <t>昭和女子大学附属昭和高等学校</t>
        </is>
      </c>
      <c r="E404" s="24" t="inlineStr">
        <is>
          <t>03-3411-5115</t>
        </is>
      </c>
      <c r="F404" s="23" t="n"/>
      <c r="G404" s="25" t="inlineStr">
        <is>
          <t>普通科</t>
        </is>
      </c>
      <c r="H404" s="26" t="inlineStr">
        <is>
          <t>☐</t>
        </is>
      </c>
      <c r="I404" s="26" t="inlineStr">
        <is>
          <t>☐</t>
        </is>
      </c>
      <c r="J404" s="26" t="inlineStr">
        <is>
          <t>☐</t>
        </is>
      </c>
      <c r="K404" s="26" t="inlineStr">
        <is>
          <t>☐</t>
        </is>
      </c>
      <c r="L404" s="26" t="inlineStr">
        <is>
          <t>☐</t>
        </is>
      </c>
      <c r="M404" s="25" t="n"/>
      <c r="N404" s="27" t="n">
        <v>0</v>
      </c>
      <c r="O404" s="28" t="n"/>
      <c r="P404" s="23" t="n"/>
      <c r="Q404" s="29" t="n"/>
      <c r="R404" s="29" t="n"/>
      <c r="S404" s="23" t="n"/>
      <c r="T404" s="30" t="n"/>
      <c r="U404" s="31" t="inlineStr">
        <is>
          <t>高</t>
        </is>
      </c>
      <c r="V404" s="32" t="inlineStr">
        <is>
          <t>中高共通。東京都の私立高校一覧と一致</t>
        </is>
      </c>
      <c r="W404" s="33" t="inlineStr">
        <is>
          <t>開く</t>
        </is>
      </c>
    </row>
    <row r="405" ht="30" customHeight="1">
      <c r="A405" s="23" t="inlineStr">
        <is>
          <t>13東京都</t>
        </is>
      </c>
      <c r="B405" s="23" t="inlineStr">
        <is>
          <t>私立</t>
        </is>
      </c>
      <c r="C405" s="23" t="n"/>
      <c r="D405" s="23" t="inlineStr">
        <is>
          <t>昭和第一学園高等学校</t>
        </is>
      </c>
      <c r="E405" s="24" t="inlineStr">
        <is>
          <t>042-536-1611</t>
        </is>
      </c>
      <c r="F405" s="23" t="n"/>
      <c r="G405" s="25" t="inlineStr">
        <is>
          <t>普通科・専門学科</t>
        </is>
      </c>
      <c r="H405" s="26" t="inlineStr">
        <is>
          <t>☐</t>
        </is>
      </c>
      <c r="I405" s="26" t="inlineStr">
        <is>
          <t>☐</t>
        </is>
      </c>
      <c r="J405" s="26" t="inlineStr">
        <is>
          <t>☐</t>
        </is>
      </c>
      <c r="K405" s="26" t="inlineStr">
        <is>
          <t>☐</t>
        </is>
      </c>
      <c r="L405" s="26" t="inlineStr">
        <is>
          <t>☐</t>
        </is>
      </c>
      <c r="M405" s="25" t="n"/>
      <c r="N405" s="27" t="n">
        <v>0</v>
      </c>
      <c r="O405" s="28" t="n"/>
      <c r="P405" s="23" t="n"/>
      <c r="Q405" s="29" t="n"/>
      <c r="R405" s="29" t="n"/>
      <c r="S405" s="23" t="n"/>
      <c r="T405" s="30" t="n"/>
      <c r="U405" s="31" t="inlineStr">
        <is>
          <t>高</t>
        </is>
      </c>
      <c r="V405" s="32" t="inlineStr">
        <is>
          <t>立川市の学校。昭和第一高校（文京区）とは別の学校</t>
        </is>
      </c>
      <c r="W405" s="33" t="inlineStr">
        <is>
          <t>開く</t>
        </is>
      </c>
    </row>
    <row r="406" ht="30" customHeight="1">
      <c r="A406" s="23" t="inlineStr">
        <is>
          <t>13東京都</t>
        </is>
      </c>
      <c r="B406" s="23" t="inlineStr">
        <is>
          <t>私立</t>
        </is>
      </c>
      <c r="C406" s="23" t="n"/>
      <c r="D406" s="23" t="inlineStr">
        <is>
          <t>昭和第一高等学校</t>
        </is>
      </c>
      <c r="E406" s="24" t="inlineStr">
        <is>
          <t>03-3811-0636</t>
        </is>
      </c>
      <c r="F406" s="23" t="n"/>
      <c r="G406" s="25" t="inlineStr">
        <is>
          <t>普通科</t>
        </is>
      </c>
      <c r="H406" s="26" t="inlineStr">
        <is>
          <t>☐</t>
        </is>
      </c>
      <c r="I406" s="26" t="inlineStr">
        <is>
          <t>☐</t>
        </is>
      </c>
      <c r="J406" s="26" t="inlineStr">
        <is>
          <t>☐</t>
        </is>
      </c>
      <c r="K406" s="26" t="inlineStr">
        <is>
          <t>☐</t>
        </is>
      </c>
      <c r="L406" s="26" t="inlineStr">
        <is>
          <t>☐</t>
        </is>
      </c>
      <c r="M406" s="25" t="n"/>
      <c r="N406" s="27" t="n">
        <v>0</v>
      </c>
      <c r="O406" s="28" t="n"/>
      <c r="P406" s="23" t="n"/>
      <c r="Q406" s="29" t="n"/>
      <c r="R406" s="29" t="n"/>
      <c r="S406" s="23" t="n"/>
      <c r="T406" s="30" t="n"/>
      <c r="U406" s="31" t="inlineStr">
        <is>
          <t>高</t>
        </is>
      </c>
      <c r="V406" s="32" t="inlineStr">
        <is>
          <t>文京区の学校。昭和第一学園（立川市）とは別の学校</t>
        </is>
      </c>
      <c r="W406" s="33" t="inlineStr">
        <is>
          <t>開く</t>
        </is>
      </c>
    </row>
    <row r="407" ht="30" customHeight="1">
      <c r="A407" s="23" t="inlineStr">
        <is>
          <t>13東京都</t>
        </is>
      </c>
      <c r="B407" s="23" t="inlineStr">
        <is>
          <t>私立</t>
        </is>
      </c>
      <c r="C407" s="23" t="n"/>
      <c r="D407" s="23" t="inlineStr">
        <is>
          <t>昭和鉄道高等学校</t>
        </is>
      </c>
      <c r="E407" s="24" t="inlineStr">
        <is>
          <t>03-3988-5511</t>
        </is>
      </c>
      <c r="F407" s="23" t="n"/>
      <c r="G407" s="25" t="inlineStr">
        <is>
          <t>専門学科</t>
        </is>
      </c>
      <c r="H407" s="26" t="inlineStr">
        <is>
          <t>☐</t>
        </is>
      </c>
      <c r="I407" s="26" t="inlineStr">
        <is>
          <t>☐</t>
        </is>
      </c>
      <c r="J407" s="26" t="inlineStr">
        <is>
          <t>☐</t>
        </is>
      </c>
      <c r="K407" s="26" t="inlineStr">
        <is>
          <t>☐</t>
        </is>
      </c>
      <c r="L407" s="26" t="inlineStr">
        <is>
          <t>☐</t>
        </is>
      </c>
      <c r="M407" s="25" t="n"/>
      <c r="N407" s="27" t="n">
        <v>0</v>
      </c>
      <c r="O407" s="28" t="n"/>
      <c r="P407" s="23" t="n"/>
      <c r="Q407" s="29" t="n"/>
      <c r="R407" s="29" t="n"/>
      <c r="S407" s="23" t="n"/>
      <c r="T407" s="30" t="n"/>
      <c r="U407" s="34" t="inlineStr">
        <is>
          <t>中</t>
        </is>
      </c>
      <c r="V407" s="32" t="inlineStr">
        <is>
          <t>東京都の私立高校一覧で確認。豊島学院高校と同じ番号（同じ学校法人・同じ敷地のため）</t>
        </is>
      </c>
      <c r="W407" s="33" t="inlineStr">
        <is>
          <t>開く</t>
        </is>
      </c>
    </row>
    <row r="408" ht="30" customHeight="1">
      <c r="A408" s="23" t="inlineStr">
        <is>
          <t>13東京都</t>
        </is>
      </c>
      <c r="B408" s="23" t="inlineStr">
        <is>
          <t>私立</t>
        </is>
      </c>
      <c r="C408" s="23" t="n"/>
      <c r="D408" s="23" t="inlineStr">
        <is>
          <t>女子聖学院高等学校</t>
        </is>
      </c>
      <c r="E408" s="24" t="inlineStr">
        <is>
          <t>03-3917-2277</t>
        </is>
      </c>
      <c r="F408" s="23" t="n"/>
      <c r="G408" s="25" t="inlineStr">
        <is>
          <t>普通科</t>
        </is>
      </c>
      <c r="H408" s="26" t="inlineStr">
        <is>
          <t>☐</t>
        </is>
      </c>
      <c r="I408" s="26" t="inlineStr">
        <is>
          <t>☐</t>
        </is>
      </c>
      <c r="J408" s="26" t="inlineStr">
        <is>
          <t>☐</t>
        </is>
      </c>
      <c r="K408" s="26" t="inlineStr">
        <is>
          <t>☐</t>
        </is>
      </c>
      <c r="L408" s="26" t="inlineStr">
        <is>
          <t>☐</t>
        </is>
      </c>
      <c r="M408" s="25" t="n"/>
      <c r="N408" s="27" t="n">
        <v>0</v>
      </c>
      <c r="O408" s="28" t="n"/>
      <c r="P408" s="23" t="n"/>
      <c r="Q408" s="29" t="n"/>
      <c r="R408" s="29" t="n"/>
      <c r="S408" s="23" t="n"/>
      <c r="T408" s="30" t="n"/>
      <c r="U408" s="34" t="inlineStr">
        <is>
          <t>中</t>
        </is>
      </c>
      <c r="V408" s="32" t="inlineStr">
        <is>
          <t>中高共通。高校募集なし（完全中高一貫）との情報あり</t>
        </is>
      </c>
      <c r="W408" s="33" t="inlineStr">
        <is>
          <t>開く</t>
        </is>
      </c>
    </row>
    <row r="409" ht="30" customHeight="1">
      <c r="A409" s="23" t="inlineStr">
        <is>
          <t>13東京都</t>
        </is>
      </c>
      <c r="B409" s="23" t="inlineStr">
        <is>
          <t>私立</t>
        </is>
      </c>
      <c r="C409" s="23" t="n"/>
      <c r="D409" s="23" t="inlineStr">
        <is>
          <t>白梅学園高等学校</t>
        </is>
      </c>
      <c r="E409" s="24" t="inlineStr">
        <is>
          <t>042-346-5691</t>
        </is>
      </c>
      <c r="F409" s="23" t="n"/>
      <c r="G409" s="25" t="inlineStr">
        <is>
          <t>普通科</t>
        </is>
      </c>
      <c r="H409" s="26" t="inlineStr">
        <is>
          <t>☐</t>
        </is>
      </c>
      <c r="I409" s="26" t="inlineStr">
        <is>
          <t>☐</t>
        </is>
      </c>
      <c r="J409" s="26" t="inlineStr">
        <is>
          <t>☐</t>
        </is>
      </c>
      <c r="K409" s="26" t="inlineStr">
        <is>
          <t>☐</t>
        </is>
      </c>
      <c r="L409" s="26" t="inlineStr">
        <is>
          <t>☐</t>
        </is>
      </c>
      <c r="M409" s="25" t="n"/>
      <c r="N409" s="27" t="n">
        <v>0</v>
      </c>
      <c r="O409" s="28" t="n"/>
      <c r="P409" s="23" t="n"/>
      <c r="Q409" s="29" t="n"/>
      <c r="R409" s="29" t="n"/>
      <c r="S409" s="23" t="n"/>
      <c r="T409" s="30" t="n"/>
      <c r="U409" s="34" t="inlineStr">
        <is>
          <t>中</t>
        </is>
      </c>
      <c r="V409" s="32" t="inlineStr">
        <is>
          <t>学校情報サイトのみで確認。清修中高一貫部・大学は別番号</t>
        </is>
      </c>
      <c r="W409" s="33" t="inlineStr">
        <is>
          <t>開く</t>
        </is>
      </c>
    </row>
    <row r="410" ht="30" customHeight="1">
      <c r="A410" s="23" t="inlineStr">
        <is>
          <t>13東京都</t>
        </is>
      </c>
      <c r="B410" s="23" t="inlineStr">
        <is>
          <t>私立</t>
        </is>
      </c>
      <c r="C410" s="23" t="n"/>
      <c r="D410" s="23" t="inlineStr">
        <is>
          <t>白百合学園高等学校</t>
        </is>
      </c>
      <c r="E410" s="24" t="inlineStr">
        <is>
          <t>03-3234-6661</t>
        </is>
      </c>
      <c r="F410" s="23" t="n"/>
      <c r="G410" s="25" t="inlineStr">
        <is>
          <t>普通科</t>
        </is>
      </c>
      <c r="H410" s="26" t="inlineStr">
        <is>
          <t>☐</t>
        </is>
      </c>
      <c r="I410" s="26" t="inlineStr">
        <is>
          <t>☐</t>
        </is>
      </c>
      <c r="J410" s="26" t="inlineStr">
        <is>
          <t>☐</t>
        </is>
      </c>
      <c r="K410" s="26" t="inlineStr">
        <is>
          <t>☐</t>
        </is>
      </c>
      <c r="L410" s="26" t="inlineStr">
        <is>
          <t>☐</t>
        </is>
      </c>
      <c r="M410" s="25" t="n"/>
      <c r="N410" s="27" t="n">
        <v>0</v>
      </c>
      <c r="O410" s="28" t="n"/>
      <c r="P410" s="23" t="n"/>
      <c r="Q410" s="29" t="n"/>
      <c r="R410" s="29" t="n"/>
      <c r="S410" s="23" t="n"/>
      <c r="T410" s="30" t="n"/>
      <c r="U410" s="31" t="inlineStr">
        <is>
          <t>高</t>
        </is>
      </c>
      <c r="V410" s="32" t="inlineStr">
        <is>
          <t>中高共通の代表番号。高校募集なし</t>
        </is>
      </c>
      <c r="W410" s="33" t="inlineStr">
        <is>
          <t>開く</t>
        </is>
      </c>
    </row>
    <row r="411" ht="30" customHeight="1">
      <c r="A411" s="23" t="inlineStr">
        <is>
          <t>13東京都</t>
        </is>
      </c>
      <c r="B411" s="23" t="inlineStr">
        <is>
          <t>私立</t>
        </is>
      </c>
      <c r="C411" s="23" t="n"/>
      <c r="D411" s="23" t="inlineStr">
        <is>
          <t>実践学園高等学校</t>
        </is>
      </c>
      <c r="E411" s="24" t="inlineStr">
        <is>
          <t>03-3371-5268</t>
        </is>
      </c>
      <c r="F411" s="23" t="n"/>
      <c r="G411" s="25" t="inlineStr">
        <is>
          <t>普通科</t>
        </is>
      </c>
      <c r="H411" s="26" t="inlineStr">
        <is>
          <t>☐</t>
        </is>
      </c>
      <c r="I411" s="26" t="inlineStr">
        <is>
          <t>☐</t>
        </is>
      </c>
      <c r="J411" s="26" t="inlineStr">
        <is>
          <t>☐</t>
        </is>
      </c>
      <c r="K411" s="26" t="inlineStr">
        <is>
          <t>☐</t>
        </is>
      </c>
      <c r="L411" s="26" t="inlineStr">
        <is>
          <t>☐</t>
        </is>
      </c>
      <c r="M411" s="25" t="n"/>
      <c r="N411" s="27" t="n">
        <v>0</v>
      </c>
      <c r="O411" s="28" t="n"/>
      <c r="P411" s="23" t="n"/>
      <c r="Q411" s="29" t="n"/>
      <c r="R411" s="29" t="n"/>
      <c r="S411" s="23" t="n"/>
      <c r="T411" s="30" t="n"/>
      <c r="U411" s="34" t="inlineStr">
        <is>
          <t>中</t>
        </is>
      </c>
      <c r="V411" s="32" t="inlineStr">
        <is>
          <t>中高共通とみられる。学校情報サイトのみで確認</t>
        </is>
      </c>
      <c r="W411" s="33" t="inlineStr">
        <is>
          <t>開く</t>
        </is>
      </c>
    </row>
    <row r="412" ht="30" customHeight="1">
      <c r="A412" s="23" t="inlineStr">
        <is>
          <t>13東京都</t>
        </is>
      </c>
      <c r="B412" s="23" t="inlineStr">
        <is>
          <t>私立</t>
        </is>
      </c>
      <c r="C412" s="23" t="n"/>
      <c r="D412" s="23" t="inlineStr">
        <is>
          <t>実践女子学園高等学校</t>
        </is>
      </c>
      <c r="E412" s="24" t="inlineStr">
        <is>
          <t>03-3409-1771</t>
        </is>
      </c>
      <c r="F412" s="23" t="n"/>
      <c r="G412" s="25" t="inlineStr">
        <is>
          <t>普通科</t>
        </is>
      </c>
      <c r="H412" s="26" t="inlineStr">
        <is>
          <t>☐</t>
        </is>
      </c>
      <c r="I412" s="26" t="inlineStr">
        <is>
          <t>☐</t>
        </is>
      </c>
      <c r="J412" s="26" t="inlineStr">
        <is>
          <t>☐</t>
        </is>
      </c>
      <c r="K412" s="26" t="inlineStr">
        <is>
          <t>☐</t>
        </is>
      </c>
      <c r="L412" s="26" t="inlineStr">
        <is>
          <t>☐</t>
        </is>
      </c>
      <c r="M412" s="25" t="n"/>
      <c r="N412" s="27" t="n">
        <v>0</v>
      </c>
      <c r="O412" s="28" t="n"/>
      <c r="P412" s="23" t="n"/>
      <c r="Q412" s="29" t="n"/>
      <c r="R412" s="29" t="n"/>
      <c r="S412" s="23" t="n"/>
      <c r="T412" s="30" t="n"/>
      <c r="U412" s="31" t="inlineStr">
        <is>
          <t>高</t>
        </is>
      </c>
      <c r="V412" s="32" t="inlineStr">
        <is>
          <t>中高共通</t>
        </is>
      </c>
      <c r="W412" s="33" t="inlineStr">
        <is>
          <t>開く</t>
        </is>
      </c>
    </row>
    <row r="413" ht="30" customHeight="1">
      <c r="A413" s="23" t="inlineStr">
        <is>
          <t>13東京都</t>
        </is>
      </c>
      <c r="B413" s="23" t="inlineStr">
        <is>
          <t>私立</t>
        </is>
      </c>
      <c r="C413" s="23" t="n"/>
      <c r="D413" s="23" t="inlineStr">
        <is>
          <t>十文字高等学校</t>
        </is>
      </c>
      <c r="E413" s="24" t="inlineStr">
        <is>
          <t>03-3918-0511</t>
        </is>
      </c>
      <c r="F413" s="23" t="n"/>
      <c r="G413" s="25" t="inlineStr">
        <is>
          <t>普通科</t>
        </is>
      </c>
      <c r="H413" s="26" t="inlineStr">
        <is>
          <t>☐</t>
        </is>
      </c>
      <c r="I413" s="26" t="inlineStr">
        <is>
          <t>☐</t>
        </is>
      </c>
      <c r="J413" s="26" t="inlineStr">
        <is>
          <t>☐</t>
        </is>
      </c>
      <c r="K413" s="26" t="inlineStr">
        <is>
          <t>☐</t>
        </is>
      </c>
      <c r="L413" s="26" t="inlineStr">
        <is>
          <t>☐</t>
        </is>
      </c>
      <c r="M413" s="25" t="n"/>
      <c r="N413" s="27" t="n">
        <v>0</v>
      </c>
      <c r="O413" s="28" t="n"/>
      <c r="P413" s="23" t="n"/>
      <c r="Q413" s="29" t="n"/>
      <c r="R413" s="29" t="n"/>
      <c r="S413" s="23" t="n"/>
      <c r="T413" s="30" t="n"/>
      <c r="U413" s="31" t="inlineStr">
        <is>
          <t>高</t>
        </is>
      </c>
      <c r="V413" s="32" t="inlineStr">
        <is>
          <t>中高共通</t>
        </is>
      </c>
      <c r="W413" s="33" t="inlineStr">
        <is>
          <t>開く</t>
        </is>
      </c>
    </row>
    <row r="414" ht="30" customHeight="1">
      <c r="A414" s="23" t="inlineStr">
        <is>
          <t>13東京都</t>
        </is>
      </c>
      <c r="B414" s="23" t="inlineStr">
        <is>
          <t>私立</t>
        </is>
      </c>
      <c r="C414" s="23" t="n"/>
      <c r="D414" s="23" t="inlineStr">
        <is>
          <t>潤徳女子高等学校</t>
        </is>
      </c>
      <c r="E414" s="24" t="inlineStr">
        <is>
          <t>03-3881-7161</t>
        </is>
      </c>
      <c r="F414" s="23" t="n"/>
      <c r="G414" s="25" t="inlineStr">
        <is>
          <t>普通科</t>
        </is>
      </c>
      <c r="H414" s="26" t="inlineStr">
        <is>
          <t>☐</t>
        </is>
      </c>
      <c r="I414" s="26" t="inlineStr">
        <is>
          <t>☐</t>
        </is>
      </c>
      <c r="J414" s="26" t="inlineStr">
        <is>
          <t>☐</t>
        </is>
      </c>
      <c r="K414" s="26" t="inlineStr">
        <is>
          <t>☐</t>
        </is>
      </c>
      <c r="L414" s="26" t="inlineStr">
        <is>
          <t>☐</t>
        </is>
      </c>
      <c r="M414" s="25" t="n"/>
      <c r="N414" s="27" t="n">
        <v>0</v>
      </c>
      <c r="O414" s="28" t="n"/>
      <c r="P414" s="23" t="n"/>
      <c r="Q414" s="29" t="n"/>
      <c r="R414" s="29" t="n"/>
      <c r="S414" s="23" t="n"/>
      <c r="T414" s="30" t="n"/>
      <c r="U414" s="31" t="inlineStr">
        <is>
          <t>高</t>
        </is>
      </c>
      <c r="V414" s="32" t="inlineStr">
        <is>
          <t>2つの情報源で一致</t>
        </is>
      </c>
      <c r="W414" s="33" t="inlineStr">
        <is>
          <t>開く</t>
        </is>
      </c>
    </row>
    <row r="415" ht="30" customHeight="1">
      <c r="A415" s="23" t="inlineStr">
        <is>
          <t>13東京都</t>
        </is>
      </c>
      <c r="B415" s="23" t="inlineStr">
        <is>
          <t>私立</t>
        </is>
      </c>
      <c r="C415" s="23" t="n"/>
      <c r="D415" s="23" t="inlineStr">
        <is>
          <t>自由ヶ丘学園高等学校</t>
        </is>
      </c>
      <c r="E415" s="24" t="n"/>
      <c r="F415" s="23" t="n"/>
      <c r="G415" s="25" t="inlineStr">
        <is>
          <t>普通科</t>
        </is>
      </c>
      <c r="H415" s="26" t="inlineStr">
        <is>
          <t>☐</t>
        </is>
      </c>
      <c r="I415" s="26" t="inlineStr">
        <is>
          <t>☐</t>
        </is>
      </c>
      <c r="J415" s="26" t="inlineStr">
        <is>
          <t>☐</t>
        </is>
      </c>
      <c r="K415" s="26" t="inlineStr">
        <is>
          <t>☐</t>
        </is>
      </c>
      <c r="L415" s="26" t="inlineStr">
        <is>
          <t>☐</t>
        </is>
      </c>
      <c r="M415" s="25" t="n"/>
      <c r="N415" s="27" t="n">
        <v>0</v>
      </c>
      <c r="O415" s="28" t="n"/>
      <c r="P415" s="23" t="n"/>
      <c r="Q415" s="29" t="n"/>
      <c r="R415" s="29" t="n"/>
      <c r="S415" s="23" t="n"/>
      <c r="T415" s="30" t="n"/>
      <c r="U415" s="35" t="inlineStr">
        <is>
          <t>要調査</t>
        </is>
      </c>
      <c r="V415" s="32" t="inlineStr">
        <is>
          <t>代表番号を確定できず。候補：03-3717-0388（学校情報サイト）／03-4330-2530（公式チラシの広報部）</t>
        </is>
      </c>
      <c r="W415" s="33" t="inlineStr">
        <is>
          <t>開く</t>
        </is>
      </c>
    </row>
    <row r="416" ht="30" customHeight="1">
      <c r="A416" s="23" t="inlineStr">
        <is>
          <t>13東京都</t>
        </is>
      </c>
      <c r="B416" s="23" t="inlineStr">
        <is>
          <t>私立</t>
        </is>
      </c>
      <c r="C416" s="23" t="n"/>
      <c r="D416" s="23" t="inlineStr">
        <is>
          <t>自由学園高等科</t>
        </is>
      </c>
      <c r="E416" s="24" t="inlineStr">
        <is>
          <t>042-422-3111</t>
        </is>
      </c>
      <c r="F416" s="23" t="n"/>
      <c r="G416" s="25" t="inlineStr">
        <is>
          <t>普通科</t>
        </is>
      </c>
      <c r="H416" s="26" t="inlineStr">
        <is>
          <t>☐</t>
        </is>
      </c>
      <c r="I416" s="26" t="inlineStr">
        <is>
          <t>☐</t>
        </is>
      </c>
      <c r="J416" s="26" t="inlineStr">
        <is>
          <t>☐</t>
        </is>
      </c>
      <c r="K416" s="26" t="inlineStr">
        <is>
          <t>☐</t>
        </is>
      </c>
      <c r="L416" s="26" t="inlineStr">
        <is>
          <t>☐</t>
        </is>
      </c>
      <c r="M416" s="25" t="n"/>
      <c r="N416" s="27" t="n">
        <v>0</v>
      </c>
      <c r="O416" s="28" t="n"/>
      <c r="P416" s="23" t="n"/>
      <c r="Q416" s="29" t="n"/>
      <c r="R416" s="29" t="n"/>
      <c r="S416" s="23" t="n"/>
      <c r="T416" s="30" t="n"/>
      <c r="U416" s="34" t="inlineStr">
        <is>
          <t>中</t>
        </is>
      </c>
      <c r="V416" s="32" t="inlineStr">
        <is>
          <t>学園全体の代表番号の可能性。高等部職員室の直通は042-422-1079</t>
        </is>
      </c>
      <c r="W416" s="33" t="inlineStr">
        <is>
          <t>開く</t>
        </is>
      </c>
    </row>
    <row r="417" ht="30" customHeight="1">
      <c r="A417" s="23" t="inlineStr">
        <is>
          <t>13東京都</t>
        </is>
      </c>
      <c r="B417" s="23" t="inlineStr">
        <is>
          <t>私立</t>
        </is>
      </c>
      <c r="C417" s="23" t="n"/>
      <c r="D417" s="23" t="inlineStr">
        <is>
          <t>城西大学附属城西高等学校</t>
        </is>
      </c>
      <c r="E417" s="24" t="inlineStr">
        <is>
          <t>03-3973-6331</t>
        </is>
      </c>
      <c r="F417" s="23" t="n"/>
      <c r="G417" s="25" t="inlineStr">
        <is>
          <t>普通科</t>
        </is>
      </c>
      <c r="H417" s="26" t="inlineStr">
        <is>
          <t>☐</t>
        </is>
      </c>
      <c r="I417" s="26" t="inlineStr">
        <is>
          <t>☐</t>
        </is>
      </c>
      <c r="J417" s="26" t="inlineStr">
        <is>
          <t>☐</t>
        </is>
      </c>
      <c r="K417" s="26" t="inlineStr">
        <is>
          <t>☐</t>
        </is>
      </c>
      <c r="L417" s="26" t="inlineStr">
        <is>
          <t>☐</t>
        </is>
      </c>
      <c r="M417" s="25" t="n"/>
      <c r="N417" s="27" t="n">
        <v>0</v>
      </c>
      <c r="O417" s="28" t="n"/>
      <c r="P417" s="23" t="n"/>
      <c r="Q417" s="29" t="n"/>
      <c r="R417" s="29" t="n"/>
      <c r="S417" s="23" t="n"/>
      <c r="T417" s="30" t="n"/>
      <c r="U417" s="31" t="inlineStr">
        <is>
          <t>高</t>
        </is>
      </c>
      <c r="V417" s="32" t="inlineStr">
        <is>
          <t>中高共通</t>
        </is>
      </c>
      <c r="W417" s="33" t="inlineStr">
        <is>
          <t>開く</t>
        </is>
      </c>
    </row>
    <row r="418" ht="30" customHeight="1">
      <c r="A418" s="23" t="inlineStr">
        <is>
          <t>13東京都</t>
        </is>
      </c>
      <c r="B418" s="23" t="inlineStr">
        <is>
          <t>私立</t>
        </is>
      </c>
      <c r="C418" s="23" t="n"/>
      <c r="D418" s="23" t="inlineStr">
        <is>
          <t>城北高等学校（東京都）</t>
        </is>
      </c>
      <c r="E418" s="24" t="inlineStr">
        <is>
          <t>03-3956-3157</t>
        </is>
      </c>
      <c r="F418" s="23" t="n"/>
      <c r="G418" s="25" t="inlineStr">
        <is>
          <t>普通科</t>
        </is>
      </c>
      <c r="H418" s="26" t="inlineStr">
        <is>
          <t>☐</t>
        </is>
      </c>
      <c r="I418" s="26" t="inlineStr">
        <is>
          <t>☐</t>
        </is>
      </c>
      <c r="J418" s="26" t="inlineStr">
        <is>
          <t>☐</t>
        </is>
      </c>
      <c r="K418" s="26" t="inlineStr">
        <is>
          <t>☐</t>
        </is>
      </c>
      <c r="L418" s="26" t="inlineStr">
        <is>
          <t>☐</t>
        </is>
      </c>
      <c r="M418" s="25" t="n"/>
      <c r="N418" s="27" t="n">
        <v>0</v>
      </c>
      <c r="O418" s="28" t="n"/>
      <c r="P418" s="23" t="n"/>
      <c r="Q418" s="29" t="n"/>
      <c r="R418" s="29" t="n"/>
      <c r="S418" s="23" t="n"/>
      <c r="T418" s="30" t="n"/>
      <c r="U418" s="31" t="inlineStr">
        <is>
          <t>高</t>
        </is>
      </c>
      <c r="V418" s="32" t="inlineStr">
        <is>
          <t>学校の募集要項に「代表」と記載。中高共通</t>
        </is>
      </c>
      <c r="W418" s="33" t="inlineStr">
        <is>
          <t>開く</t>
        </is>
      </c>
    </row>
    <row r="419" ht="30" customHeight="1">
      <c r="A419" s="23" t="inlineStr">
        <is>
          <t>13東京都</t>
        </is>
      </c>
      <c r="B419" s="23" t="inlineStr">
        <is>
          <t>私立</t>
        </is>
      </c>
      <c r="C419" s="23" t="n"/>
      <c r="D419" s="23" t="inlineStr">
        <is>
          <t>女子学院高等学校</t>
        </is>
      </c>
      <c r="E419" s="24" t="inlineStr">
        <is>
          <t>03-3263-1711</t>
        </is>
      </c>
      <c r="F419" s="23" t="n"/>
      <c r="G419" s="25" t="inlineStr">
        <is>
          <t>普通科</t>
        </is>
      </c>
      <c r="H419" s="26" t="inlineStr">
        <is>
          <t>☐</t>
        </is>
      </c>
      <c r="I419" s="26" t="inlineStr">
        <is>
          <t>☐</t>
        </is>
      </c>
      <c r="J419" s="26" t="inlineStr">
        <is>
          <t>☐</t>
        </is>
      </c>
      <c r="K419" s="26" t="inlineStr">
        <is>
          <t>☐</t>
        </is>
      </c>
      <c r="L419" s="26" t="inlineStr">
        <is>
          <t>☐</t>
        </is>
      </c>
      <c r="M419" s="25" t="n"/>
      <c r="N419" s="27" t="n">
        <v>0</v>
      </c>
      <c r="O419" s="28" t="n"/>
      <c r="P419" s="23" t="n"/>
      <c r="Q419" s="29" t="n"/>
      <c r="R419" s="29" t="n"/>
      <c r="S419" s="23" t="n"/>
      <c r="T419" s="30" t="n"/>
      <c r="U419" s="31" t="inlineStr">
        <is>
          <t>高</t>
        </is>
      </c>
      <c r="V419" s="32" t="inlineStr">
        <is>
          <t>中高共通。高校募集なし（完全中高一貫）</t>
        </is>
      </c>
      <c r="W419" s="33" t="inlineStr">
        <is>
          <t>開く</t>
        </is>
      </c>
    </row>
    <row r="420" ht="30" customHeight="1">
      <c r="A420" s="23" t="inlineStr">
        <is>
          <t>13東京都</t>
        </is>
      </c>
      <c r="B420" s="23" t="inlineStr">
        <is>
          <t>私立</t>
        </is>
      </c>
      <c r="C420" s="23" t="n"/>
      <c r="D420" s="23" t="inlineStr">
        <is>
          <t>女子美術大学付属高等学校</t>
        </is>
      </c>
      <c r="E420" s="24" t="inlineStr">
        <is>
          <t>03-5340-4541</t>
        </is>
      </c>
      <c r="F420" s="23" t="n"/>
      <c r="G420" s="25" t="inlineStr">
        <is>
          <t>普通科</t>
        </is>
      </c>
      <c r="H420" s="26" t="inlineStr">
        <is>
          <t>☐</t>
        </is>
      </c>
      <c r="I420" s="26" t="inlineStr">
        <is>
          <t>☐</t>
        </is>
      </c>
      <c r="J420" s="26" t="inlineStr">
        <is>
          <t>☐</t>
        </is>
      </c>
      <c r="K420" s="26" t="inlineStr">
        <is>
          <t>☐</t>
        </is>
      </c>
      <c r="L420" s="26" t="inlineStr">
        <is>
          <t>☐</t>
        </is>
      </c>
      <c r="M420" s="25" t="n"/>
      <c r="N420" s="27" t="n">
        <v>0</v>
      </c>
      <c r="O420" s="28" t="n"/>
      <c r="P420" s="23" t="n"/>
      <c r="Q420" s="29" t="n"/>
      <c r="R420" s="29" t="n"/>
      <c r="S420" s="23" t="n"/>
      <c r="T420" s="30" t="n"/>
      <c r="U420" s="31" t="inlineStr">
        <is>
          <t>高</t>
        </is>
      </c>
      <c r="V420" s="32" t="inlineStr">
        <is>
          <t>中高共通</t>
        </is>
      </c>
      <c r="W420" s="33" t="inlineStr">
        <is>
          <t>開く</t>
        </is>
      </c>
    </row>
    <row r="421" ht="30" customHeight="1">
      <c r="A421" s="23" t="inlineStr">
        <is>
          <t>13東京都</t>
        </is>
      </c>
      <c r="B421" s="23" t="inlineStr">
        <is>
          <t>私立</t>
        </is>
      </c>
      <c r="C421" s="23" t="n"/>
      <c r="D421" s="23" t="inlineStr">
        <is>
          <t>巣鴨高等学校</t>
        </is>
      </c>
      <c r="E421" s="24" t="inlineStr">
        <is>
          <t>03-3918-5311</t>
        </is>
      </c>
      <c r="F421" s="23" t="n"/>
      <c r="G421" s="25" t="inlineStr">
        <is>
          <t>普通科</t>
        </is>
      </c>
      <c r="H421" s="26" t="inlineStr">
        <is>
          <t>☐</t>
        </is>
      </c>
      <c r="I421" s="26" t="inlineStr">
        <is>
          <t>☐</t>
        </is>
      </c>
      <c r="J421" s="26" t="inlineStr">
        <is>
          <t>☐</t>
        </is>
      </c>
      <c r="K421" s="26" t="inlineStr">
        <is>
          <t>☐</t>
        </is>
      </c>
      <c r="L421" s="26" t="inlineStr">
        <is>
          <t>☐</t>
        </is>
      </c>
      <c r="M421" s="25" t="n"/>
      <c r="N421" s="27" t="n">
        <v>0</v>
      </c>
      <c r="O421" s="28" t="n"/>
      <c r="P421" s="23" t="n"/>
      <c r="Q421" s="29" t="n"/>
      <c r="R421" s="29" t="n"/>
      <c r="S421" s="23" t="n"/>
      <c r="T421" s="30" t="n"/>
      <c r="U421" s="31" t="inlineStr">
        <is>
          <t>高</t>
        </is>
      </c>
      <c r="V421" s="32" t="inlineStr">
        <is>
          <t>中高共通。複数サイトで一致</t>
        </is>
      </c>
      <c r="W421" s="33" t="inlineStr">
        <is>
          <t>開く</t>
        </is>
      </c>
    </row>
    <row r="422" ht="30" customHeight="1">
      <c r="A422" s="23" t="inlineStr">
        <is>
          <t>13東京都</t>
        </is>
      </c>
      <c r="B422" s="23" t="inlineStr">
        <is>
          <t>私立</t>
        </is>
      </c>
      <c r="C422" s="23" t="n"/>
      <c r="D422" s="23" t="inlineStr">
        <is>
          <t>杉並学院高等学校</t>
        </is>
      </c>
      <c r="E422" s="24" t="inlineStr">
        <is>
          <t>03-3316-3311</t>
        </is>
      </c>
      <c r="F422" s="23" t="n"/>
      <c r="G422" s="25" t="inlineStr">
        <is>
          <t>普通科</t>
        </is>
      </c>
      <c r="H422" s="26" t="inlineStr">
        <is>
          <t>☐</t>
        </is>
      </c>
      <c r="I422" s="26" t="inlineStr">
        <is>
          <t>☐</t>
        </is>
      </c>
      <c r="J422" s="26" t="inlineStr">
        <is>
          <t>☐</t>
        </is>
      </c>
      <c r="K422" s="26" t="inlineStr">
        <is>
          <t>☐</t>
        </is>
      </c>
      <c r="L422" s="26" t="inlineStr">
        <is>
          <t>☐</t>
        </is>
      </c>
      <c r="M422" s="25" t="n"/>
      <c r="N422" s="27" t="n">
        <v>0</v>
      </c>
      <c r="O422" s="28" t="n"/>
      <c r="P422" s="23" t="n"/>
      <c r="Q422" s="29" t="n"/>
      <c r="R422" s="29" t="n"/>
      <c r="S422" s="23" t="n"/>
      <c r="T422" s="30" t="n"/>
      <c r="U422" s="31" t="inlineStr">
        <is>
          <t>高</t>
        </is>
      </c>
      <c r="V422" s="32" t="inlineStr">
        <is>
          <t>杉並区の一覧ほかで一致</t>
        </is>
      </c>
      <c r="W422" s="33" t="inlineStr">
        <is>
          <t>開く</t>
        </is>
      </c>
    </row>
    <row r="423" ht="30" customHeight="1">
      <c r="A423" s="23" t="inlineStr">
        <is>
          <t>13東京都</t>
        </is>
      </c>
      <c r="B423" s="23" t="inlineStr">
        <is>
          <t>私立</t>
        </is>
      </c>
      <c r="C423" s="23" t="n"/>
      <c r="D423" s="23" t="inlineStr">
        <is>
          <t>駿台学園高等学校</t>
        </is>
      </c>
      <c r="E423" s="24" t="inlineStr">
        <is>
          <t>03-3913-5735</t>
        </is>
      </c>
      <c r="F423" s="23" t="n"/>
      <c r="G423" s="25" t="inlineStr">
        <is>
          <t>普通科</t>
        </is>
      </c>
      <c r="H423" s="26" t="inlineStr">
        <is>
          <t>☐</t>
        </is>
      </c>
      <c r="I423" s="26" t="inlineStr">
        <is>
          <t>☐</t>
        </is>
      </c>
      <c r="J423" s="26" t="inlineStr">
        <is>
          <t>☐</t>
        </is>
      </c>
      <c r="K423" s="26" t="inlineStr">
        <is>
          <t>☐</t>
        </is>
      </c>
      <c r="L423" s="26" t="inlineStr">
        <is>
          <t>☐</t>
        </is>
      </c>
      <c r="M423" s="25" t="n"/>
      <c r="N423" s="27" t="n">
        <v>0</v>
      </c>
      <c r="O423" s="28" t="n"/>
      <c r="P423" s="23" t="n"/>
      <c r="Q423" s="29" t="n"/>
      <c r="R423" s="29" t="n"/>
      <c r="S423" s="23" t="n"/>
      <c r="T423" s="30" t="n"/>
      <c r="U423" s="31" t="inlineStr">
        <is>
          <t>高</t>
        </is>
      </c>
      <c r="V423" s="32" t="inlineStr">
        <is>
          <t>全日制の代表。定時制は03-3914-5849</t>
        </is>
      </c>
      <c r="W423" s="33" t="inlineStr">
        <is>
          <t>開く</t>
        </is>
      </c>
    </row>
    <row r="424" ht="30" customHeight="1">
      <c r="A424" s="23" t="inlineStr">
        <is>
          <t>13東京都</t>
        </is>
      </c>
      <c r="B424" s="23" t="inlineStr">
        <is>
          <t>私立</t>
        </is>
      </c>
      <c r="C424" s="23" t="n"/>
      <c r="D424" s="23" t="inlineStr">
        <is>
          <t>聖学院高等学校</t>
        </is>
      </c>
      <c r="E424" s="24" t="inlineStr">
        <is>
          <t>03-3917-1121</t>
        </is>
      </c>
      <c r="F424" s="23" t="n"/>
      <c r="G424" s="25" t="inlineStr">
        <is>
          <t>普通科</t>
        </is>
      </c>
      <c r="H424" s="26" t="inlineStr">
        <is>
          <t>☐</t>
        </is>
      </c>
      <c r="I424" s="26" t="inlineStr">
        <is>
          <t>☐</t>
        </is>
      </c>
      <c r="J424" s="26" t="inlineStr">
        <is>
          <t>☐</t>
        </is>
      </c>
      <c r="K424" s="26" t="inlineStr">
        <is>
          <t>☐</t>
        </is>
      </c>
      <c r="L424" s="26" t="inlineStr">
        <is>
          <t>☐</t>
        </is>
      </c>
      <c r="M424" s="25" t="n"/>
      <c r="N424" s="27" t="n">
        <v>0</v>
      </c>
      <c r="O424" s="28" t="n"/>
      <c r="P424" s="23" t="n"/>
      <c r="Q424" s="29" t="n"/>
      <c r="R424" s="29" t="n"/>
      <c r="S424" s="23" t="n"/>
      <c r="T424" s="30" t="n"/>
      <c r="U424" s="31" t="inlineStr">
        <is>
          <t>高</t>
        </is>
      </c>
      <c r="V424" s="32" t="inlineStr">
        <is>
          <t>中高共通。複数サイトで一致</t>
        </is>
      </c>
      <c r="W424" s="33" t="inlineStr">
        <is>
          <t>開く</t>
        </is>
      </c>
    </row>
    <row r="425" ht="30" customHeight="1">
      <c r="A425" s="23" t="inlineStr">
        <is>
          <t>13東京都</t>
        </is>
      </c>
      <c r="B425" s="23" t="inlineStr">
        <is>
          <t>私立</t>
        </is>
      </c>
      <c r="C425" s="23" t="n"/>
      <c r="D425" s="23" t="inlineStr">
        <is>
          <t>成蹊高等学校</t>
        </is>
      </c>
      <c r="E425" s="24" t="inlineStr">
        <is>
          <t>0422-37-3818</t>
        </is>
      </c>
      <c r="F425" s="23" t="n"/>
      <c r="G425" s="25" t="inlineStr">
        <is>
          <t>普通科</t>
        </is>
      </c>
      <c r="H425" s="26" t="inlineStr">
        <is>
          <t>☐</t>
        </is>
      </c>
      <c r="I425" s="26" t="inlineStr">
        <is>
          <t>☐</t>
        </is>
      </c>
      <c r="J425" s="26" t="inlineStr">
        <is>
          <t>☐</t>
        </is>
      </c>
      <c r="K425" s="26" t="inlineStr">
        <is>
          <t>☐</t>
        </is>
      </c>
      <c r="L425" s="26" t="inlineStr">
        <is>
          <t>☐</t>
        </is>
      </c>
      <c r="M425" s="25" t="n"/>
      <c r="N425" s="27" t="n">
        <v>0</v>
      </c>
      <c r="O425" s="28" t="n"/>
      <c r="P425" s="23" t="n"/>
      <c r="Q425" s="29" t="n"/>
      <c r="R425" s="29" t="n"/>
      <c r="S425" s="23" t="n"/>
      <c r="T425" s="30" t="n"/>
      <c r="U425" s="31" t="inlineStr">
        <is>
          <t>高</t>
        </is>
      </c>
      <c r="V425" s="32" t="inlineStr">
        <is>
          <t>中高共通</t>
        </is>
      </c>
      <c r="W425" s="33" t="inlineStr">
        <is>
          <t>開く</t>
        </is>
      </c>
    </row>
    <row r="426" ht="30" customHeight="1">
      <c r="A426" s="23" t="inlineStr">
        <is>
          <t>13東京都</t>
        </is>
      </c>
      <c r="B426" s="23" t="inlineStr">
        <is>
          <t>私立</t>
        </is>
      </c>
      <c r="C426" s="23" t="n"/>
      <c r="D426" s="23" t="inlineStr">
        <is>
          <t>聖心女子学院高等科</t>
        </is>
      </c>
      <c r="E426" s="24" t="inlineStr">
        <is>
          <t>03-3444-7671</t>
        </is>
      </c>
      <c r="F426" s="23" t="n"/>
      <c r="G426" s="25" t="inlineStr">
        <is>
          <t>普通科</t>
        </is>
      </c>
      <c r="H426" s="26" t="inlineStr">
        <is>
          <t>☐</t>
        </is>
      </c>
      <c r="I426" s="26" t="inlineStr">
        <is>
          <t>☐</t>
        </is>
      </c>
      <c r="J426" s="26" t="inlineStr">
        <is>
          <t>☐</t>
        </is>
      </c>
      <c r="K426" s="26" t="inlineStr">
        <is>
          <t>☐</t>
        </is>
      </c>
      <c r="L426" s="26" t="inlineStr">
        <is>
          <t>☐</t>
        </is>
      </c>
      <c r="M426" s="25" t="n"/>
      <c r="N426" s="27" t="n">
        <v>0</v>
      </c>
      <c r="O426" s="28" t="n"/>
      <c r="P426" s="23" t="n"/>
      <c r="Q426" s="29" t="n"/>
      <c r="R426" s="29" t="n"/>
      <c r="S426" s="23" t="n"/>
      <c r="T426" s="30" t="n"/>
      <c r="U426" s="31" t="inlineStr">
        <is>
          <t>高</t>
        </is>
      </c>
      <c r="V426" s="32" t="inlineStr">
        <is>
          <t>初等科〜高等科共通の代表番号。高校募集なし</t>
        </is>
      </c>
      <c r="W426" s="33" t="inlineStr">
        <is>
          <t>開く</t>
        </is>
      </c>
    </row>
    <row r="427" ht="30" customHeight="1">
      <c r="A427" s="23" t="inlineStr">
        <is>
          <t>13東京都</t>
        </is>
      </c>
      <c r="B427" s="23" t="inlineStr">
        <is>
          <t>私立</t>
        </is>
      </c>
      <c r="C427" s="23" t="n"/>
      <c r="D427" s="23" t="inlineStr">
        <is>
          <t>成城学園高等学校</t>
        </is>
      </c>
      <c r="E427" s="24" t="inlineStr">
        <is>
          <t>03-3482-2104</t>
        </is>
      </c>
      <c r="F427" s="23" t="n"/>
      <c r="G427" s="25" t="inlineStr">
        <is>
          <t>普通科</t>
        </is>
      </c>
      <c r="H427" s="26" t="inlineStr">
        <is>
          <t>☐</t>
        </is>
      </c>
      <c r="I427" s="26" t="inlineStr">
        <is>
          <t>☐</t>
        </is>
      </c>
      <c r="J427" s="26" t="inlineStr">
        <is>
          <t>☐</t>
        </is>
      </c>
      <c r="K427" s="26" t="inlineStr">
        <is>
          <t>☐</t>
        </is>
      </c>
      <c r="L427" s="26" t="inlineStr">
        <is>
          <t>☐</t>
        </is>
      </c>
      <c r="M427" s="25" t="n"/>
      <c r="N427" s="27" t="n">
        <v>0</v>
      </c>
      <c r="O427" s="28" t="n"/>
      <c r="P427" s="23" t="n"/>
      <c r="Q427" s="29" t="n"/>
      <c r="R427" s="29" t="n"/>
      <c r="S427" s="23" t="n"/>
      <c r="T427" s="30" t="n"/>
      <c r="U427" s="34" t="inlineStr">
        <is>
          <t>中</t>
        </is>
      </c>
      <c r="V427" s="32" t="inlineStr">
        <is>
          <t>公式の中学校高等学校事務室の番号（検索要約による）。03-3482-2105を載せるサイトもあり。成城高校（新宿区）とは別の学校</t>
        </is>
      </c>
      <c r="W427" s="33" t="inlineStr">
        <is>
          <t>開く</t>
        </is>
      </c>
    </row>
    <row r="428" ht="30" customHeight="1">
      <c r="A428" s="23" t="inlineStr">
        <is>
          <t>13東京都</t>
        </is>
      </c>
      <c r="B428" s="23" t="inlineStr">
        <is>
          <t>私立</t>
        </is>
      </c>
      <c r="C428" s="23" t="n"/>
      <c r="D428" s="23" t="inlineStr">
        <is>
          <t>成城高等学校</t>
        </is>
      </c>
      <c r="E428" s="24" t="inlineStr">
        <is>
          <t>03-3341-6141</t>
        </is>
      </c>
      <c r="F428" s="23" t="n"/>
      <c r="G428" s="25" t="inlineStr">
        <is>
          <t>普通科</t>
        </is>
      </c>
      <c r="H428" s="26" t="inlineStr">
        <is>
          <t>☐</t>
        </is>
      </c>
      <c r="I428" s="26" t="inlineStr">
        <is>
          <t>☐</t>
        </is>
      </c>
      <c r="J428" s="26" t="inlineStr">
        <is>
          <t>☐</t>
        </is>
      </c>
      <c r="K428" s="26" t="inlineStr">
        <is>
          <t>☐</t>
        </is>
      </c>
      <c r="L428" s="26" t="inlineStr">
        <is>
          <t>☐</t>
        </is>
      </c>
      <c r="M428" s="25" t="n"/>
      <c r="N428" s="27" t="n">
        <v>0</v>
      </c>
      <c r="O428" s="28" t="n"/>
      <c r="P428" s="23" t="n"/>
      <c r="Q428" s="29" t="n"/>
      <c r="R428" s="29" t="n"/>
      <c r="S428" s="23" t="n"/>
      <c r="T428" s="30" t="n"/>
      <c r="U428" s="31" t="inlineStr">
        <is>
          <t>高</t>
        </is>
      </c>
      <c r="V428" s="32" t="inlineStr">
        <is>
          <t>中高共通。成城学園とは別の学校。高校募集停止（完全中高一貫）との情報あり</t>
        </is>
      </c>
      <c r="W428" s="33" t="inlineStr">
        <is>
          <t>開く</t>
        </is>
      </c>
    </row>
    <row r="429" ht="30" customHeight="1">
      <c r="A429" s="23" t="inlineStr">
        <is>
          <t>13東京都</t>
        </is>
      </c>
      <c r="B429" s="23" t="inlineStr">
        <is>
          <t>私立</t>
        </is>
      </c>
      <c r="C429" s="23" t="n"/>
      <c r="D429" s="23" t="inlineStr">
        <is>
          <t>成女高等学校</t>
        </is>
      </c>
      <c r="E429" s="24" t="inlineStr">
        <is>
          <t>03-3351-2330</t>
        </is>
      </c>
      <c r="F429" s="23" t="n"/>
      <c r="G429" s="25" t="inlineStr">
        <is>
          <t>普通科</t>
        </is>
      </c>
      <c r="H429" s="26" t="inlineStr">
        <is>
          <t>☐</t>
        </is>
      </c>
      <c r="I429" s="26" t="inlineStr">
        <is>
          <t>☐</t>
        </is>
      </c>
      <c r="J429" s="26" t="inlineStr">
        <is>
          <t>☐</t>
        </is>
      </c>
      <c r="K429" s="26" t="inlineStr">
        <is>
          <t>☐</t>
        </is>
      </c>
      <c r="L429" s="26" t="inlineStr">
        <is>
          <t>☐</t>
        </is>
      </c>
      <c r="M429" s="25" t="n"/>
      <c r="N429" s="27" t="n">
        <v>0</v>
      </c>
      <c r="O429" s="28" t="n"/>
      <c r="P429" s="23" t="n"/>
      <c r="Q429" s="29" t="n"/>
      <c r="R429" s="29" t="n"/>
      <c r="S429" s="23" t="n"/>
      <c r="T429" s="30" t="n"/>
      <c r="U429" s="31" t="inlineStr">
        <is>
          <t>高</t>
        </is>
      </c>
      <c r="V429" s="32" t="inlineStr">
        <is>
          <t>東京都の私立高校一覧ほかで一致</t>
        </is>
      </c>
      <c r="W429" s="33" t="inlineStr">
        <is>
          <t>開く</t>
        </is>
      </c>
    </row>
    <row r="430" ht="30" customHeight="1">
      <c r="A430" s="23" t="inlineStr">
        <is>
          <t>13東京都</t>
        </is>
      </c>
      <c r="B430" s="23" t="inlineStr">
        <is>
          <t>私立</t>
        </is>
      </c>
      <c r="C430" s="23" t="n"/>
      <c r="D430" s="23" t="inlineStr">
        <is>
          <t>正則学園高等学校</t>
        </is>
      </c>
      <c r="E430" s="24" t="inlineStr">
        <is>
          <t>03-3295-3011</t>
        </is>
      </c>
      <c r="F430" s="23" t="n"/>
      <c r="G430" s="25" t="inlineStr">
        <is>
          <t>普通科</t>
        </is>
      </c>
      <c r="H430" s="26" t="inlineStr">
        <is>
          <t>☐</t>
        </is>
      </c>
      <c r="I430" s="26" t="inlineStr">
        <is>
          <t>☐</t>
        </is>
      </c>
      <c r="J430" s="26" t="inlineStr">
        <is>
          <t>☐</t>
        </is>
      </c>
      <c r="K430" s="26" t="inlineStr">
        <is>
          <t>☐</t>
        </is>
      </c>
      <c r="L430" s="26" t="inlineStr">
        <is>
          <t>☐</t>
        </is>
      </c>
      <c r="M430" s="25" t="n"/>
      <c r="N430" s="27" t="n">
        <v>0</v>
      </c>
      <c r="O430" s="28" t="n"/>
      <c r="P430" s="23" t="n"/>
      <c r="Q430" s="29" t="n"/>
      <c r="R430" s="29" t="n"/>
      <c r="S430" s="23" t="n"/>
      <c r="T430" s="30" t="n"/>
      <c r="U430" s="31" t="inlineStr">
        <is>
          <t>高</t>
        </is>
      </c>
      <c r="V430" s="32" t="inlineStr">
        <is>
          <t>千代田区の学校。正則高校（港区）とは別の学校</t>
        </is>
      </c>
      <c r="W430" s="33" t="inlineStr">
        <is>
          <t>開く</t>
        </is>
      </c>
    </row>
    <row r="431" ht="30" customHeight="1">
      <c r="A431" s="23" t="inlineStr">
        <is>
          <t>13東京都</t>
        </is>
      </c>
      <c r="B431" s="23" t="inlineStr">
        <is>
          <t>私立</t>
        </is>
      </c>
      <c r="C431" s="23" t="n"/>
      <c r="D431" s="23" t="inlineStr">
        <is>
          <t>正則高等学校</t>
        </is>
      </c>
      <c r="E431" s="24" t="inlineStr">
        <is>
          <t>03-3431-0913</t>
        </is>
      </c>
      <c r="F431" s="23" t="n"/>
      <c r="G431" s="25" t="inlineStr">
        <is>
          <t>普通科</t>
        </is>
      </c>
      <c r="H431" s="26" t="inlineStr">
        <is>
          <t>☐</t>
        </is>
      </c>
      <c r="I431" s="26" t="inlineStr">
        <is>
          <t>☐</t>
        </is>
      </c>
      <c r="J431" s="26" t="inlineStr">
        <is>
          <t>☐</t>
        </is>
      </c>
      <c r="K431" s="26" t="inlineStr">
        <is>
          <t>☐</t>
        </is>
      </c>
      <c r="L431" s="26" t="inlineStr">
        <is>
          <t>☐</t>
        </is>
      </c>
      <c r="M431" s="25" t="n"/>
      <c r="N431" s="27" t="n">
        <v>0</v>
      </c>
      <c r="O431" s="28" t="n"/>
      <c r="P431" s="23" t="n"/>
      <c r="Q431" s="29" t="n"/>
      <c r="R431" s="29" t="n"/>
      <c r="S431" s="23" t="n"/>
      <c r="T431" s="30" t="n"/>
      <c r="U431" s="31" t="inlineStr">
        <is>
          <t>高</t>
        </is>
      </c>
      <c r="V431" s="32" t="inlineStr">
        <is>
          <t>港区の学校。正則学園（千代田区）とは別の学校</t>
        </is>
      </c>
      <c r="W431" s="33" t="inlineStr">
        <is>
          <t>開く</t>
        </is>
      </c>
    </row>
    <row r="432" ht="30" customHeight="1">
      <c r="A432" s="23" t="inlineStr">
        <is>
          <t>13東京都</t>
        </is>
      </c>
      <c r="B432" s="23" t="inlineStr">
        <is>
          <t>私立</t>
        </is>
      </c>
      <c r="C432" s="23" t="n"/>
      <c r="D432" s="23" t="inlineStr">
        <is>
          <t>聖ドミニコ学園高等学校</t>
        </is>
      </c>
      <c r="E432" s="24" t="inlineStr">
        <is>
          <t>03-3700-0017</t>
        </is>
      </c>
      <c r="F432" s="23" t="n"/>
      <c r="G432" s="25" t="inlineStr">
        <is>
          <t>普通科</t>
        </is>
      </c>
      <c r="H432" s="26" t="inlineStr">
        <is>
          <t>☐</t>
        </is>
      </c>
      <c r="I432" s="26" t="inlineStr">
        <is>
          <t>☐</t>
        </is>
      </c>
      <c r="J432" s="26" t="inlineStr">
        <is>
          <t>☐</t>
        </is>
      </c>
      <c r="K432" s="26" t="inlineStr">
        <is>
          <t>☐</t>
        </is>
      </c>
      <c r="L432" s="26" t="inlineStr">
        <is>
          <t>☐</t>
        </is>
      </c>
      <c r="M432" s="25" t="n"/>
      <c r="N432" s="27" t="n">
        <v>0</v>
      </c>
      <c r="O432" s="28" t="n"/>
      <c r="P432" s="23" t="n"/>
      <c r="Q432" s="29" t="n"/>
      <c r="R432" s="29" t="n"/>
      <c r="S432" s="23" t="n"/>
      <c r="T432" s="30" t="n"/>
      <c r="U432" s="31" t="inlineStr">
        <is>
          <t>高</t>
        </is>
      </c>
      <c r="V432" s="32" t="inlineStr">
        <is>
          <t>学園事務局の番号（学園共通の代表とみられる）</t>
        </is>
      </c>
      <c r="W432" s="33" t="inlineStr">
        <is>
          <t>開く</t>
        </is>
      </c>
    </row>
    <row r="433" ht="30" customHeight="1">
      <c r="A433" s="23" t="inlineStr">
        <is>
          <t>13東京都</t>
        </is>
      </c>
      <c r="B433" s="23" t="inlineStr">
        <is>
          <t>私立</t>
        </is>
      </c>
      <c r="C433" s="23" t="n"/>
      <c r="D433" s="23" t="inlineStr">
        <is>
          <t>聖パウロ学園高等学校</t>
        </is>
      </c>
      <c r="E433" s="24" t="inlineStr">
        <is>
          <t>042-651-3893</t>
        </is>
      </c>
      <c r="F433" s="23" t="n"/>
      <c r="G433" s="25" t="inlineStr">
        <is>
          <t>普通科</t>
        </is>
      </c>
      <c r="H433" s="26" t="inlineStr">
        <is>
          <t>☐</t>
        </is>
      </c>
      <c r="I433" s="26" t="inlineStr">
        <is>
          <t>☐</t>
        </is>
      </c>
      <c r="J433" s="26" t="inlineStr">
        <is>
          <t>☐</t>
        </is>
      </c>
      <c r="K433" s="26" t="inlineStr">
        <is>
          <t>☐</t>
        </is>
      </c>
      <c r="L433" s="26" t="inlineStr">
        <is>
          <t>☐</t>
        </is>
      </c>
      <c r="M433" s="25" t="n"/>
      <c r="N433" s="27" t="n">
        <v>0</v>
      </c>
      <c r="O433" s="28" t="n"/>
      <c r="P433" s="23" t="n"/>
      <c r="Q433" s="29" t="n"/>
      <c r="R433" s="29" t="n"/>
      <c r="S433" s="23" t="n"/>
      <c r="T433" s="30" t="n"/>
      <c r="U433" s="31" t="inlineStr">
        <is>
          <t>高</t>
        </is>
      </c>
      <c r="V433" s="32" t="inlineStr">
        <is>
          <t>全日制の番号。通信制は042-651-3882を案内する資料あり</t>
        </is>
      </c>
      <c r="W433" s="33" t="inlineStr">
        <is>
          <t>開く</t>
        </is>
      </c>
    </row>
    <row r="434" ht="30" customHeight="1">
      <c r="A434" s="23" t="inlineStr">
        <is>
          <t>13東京都</t>
        </is>
      </c>
      <c r="B434" s="23" t="inlineStr">
        <is>
          <t>私立</t>
        </is>
      </c>
      <c r="C434" s="23" t="n"/>
      <c r="D434" s="23" t="inlineStr">
        <is>
          <t>成立学園高等学校</t>
        </is>
      </c>
      <c r="E434" s="24" t="inlineStr">
        <is>
          <t>03-3902-5494</t>
        </is>
      </c>
      <c r="F434" s="23" t="n"/>
      <c r="G434" s="25" t="inlineStr">
        <is>
          <t>普通科</t>
        </is>
      </c>
      <c r="H434" s="26" t="inlineStr">
        <is>
          <t>☐</t>
        </is>
      </c>
      <c r="I434" s="26" t="inlineStr">
        <is>
          <t>☐</t>
        </is>
      </c>
      <c r="J434" s="26" t="inlineStr">
        <is>
          <t>☐</t>
        </is>
      </c>
      <c r="K434" s="26" t="inlineStr">
        <is>
          <t>☐</t>
        </is>
      </c>
      <c r="L434" s="26" t="inlineStr">
        <is>
          <t>☐</t>
        </is>
      </c>
      <c r="M434" s="25" t="n"/>
      <c r="N434" s="27" t="n">
        <v>0</v>
      </c>
      <c r="O434" s="28" t="n"/>
      <c r="P434" s="23" t="n"/>
      <c r="Q434" s="29" t="n"/>
      <c r="R434" s="29" t="n"/>
      <c r="S434" s="23" t="n"/>
      <c r="T434" s="30" t="n"/>
      <c r="U434" s="31" t="inlineStr">
        <is>
          <t>高</t>
        </is>
      </c>
      <c r="V434" s="32" t="inlineStr">
        <is>
          <t>学校の公式資料に代表として記載。中高共通</t>
        </is>
      </c>
      <c r="W434" s="33" t="inlineStr">
        <is>
          <t>開く</t>
        </is>
      </c>
    </row>
    <row r="435" ht="30" customHeight="1">
      <c r="A435" s="23" t="inlineStr">
        <is>
          <t>13東京都</t>
        </is>
      </c>
      <c r="B435" s="23" t="inlineStr">
        <is>
          <t>私立</t>
        </is>
      </c>
      <c r="C435" s="23" t="n"/>
      <c r="D435" s="23" t="inlineStr">
        <is>
          <t>青稜高等学校</t>
        </is>
      </c>
      <c r="E435" s="24" t="inlineStr">
        <is>
          <t>03-3782-1502</t>
        </is>
      </c>
      <c r="F435" s="23" t="n"/>
      <c r="G435" s="25" t="inlineStr">
        <is>
          <t>普通科</t>
        </is>
      </c>
      <c r="H435" s="26" t="inlineStr">
        <is>
          <t>☐</t>
        </is>
      </c>
      <c r="I435" s="26" t="inlineStr">
        <is>
          <t>☐</t>
        </is>
      </c>
      <c r="J435" s="26" t="inlineStr">
        <is>
          <t>☐</t>
        </is>
      </c>
      <c r="K435" s="26" t="inlineStr">
        <is>
          <t>☐</t>
        </is>
      </c>
      <c r="L435" s="26" t="inlineStr">
        <is>
          <t>☐</t>
        </is>
      </c>
      <c r="M435" s="25" t="n"/>
      <c r="N435" s="27" t="n">
        <v>0</v>
      </c>
      <c r="O435" s="28" t="n"/>
      <c r="P435" s="23" t="n"/>
      <c r="Q435" s="29" t="n"/>
      <c r="R435" s="29" t="n"/>
      <c r="S435" s="23" t="n"/>
      <c r="T435" s="30" t="n"/>
      <c r="U435" s="31" t="inlineStr">
        <is>
          <t>高</t>
        </is>
      </c>
      <c r="V435" s="32" t="inlineStr">
        <is>
          <t>中高共通</t>
        </is>
      </c>
      <c r="W435" s="33" t="inlineStr">
        <is>
          <t>開く</t>
        </is>
      </c>
    </row>
    <row r="436" ht="30" customHeight="1">
      <c r="A436" s="23" t="inlineStr">
        <is>
          <t>13東京都</t>
        </is>
      </c>
      <c r="B436" s="23" t="inlineStr">
        <is>
          <t>私立</t>
        </is>
      </c>
      <c r="C436" s="23" t="n"/>
      <c r="D436" s="23" t="inlineStr">
        <is>
          <t>世田谷学園高等学校</t>
        </is>
      </c>
      <c r="E436" s="24" t="inlineStr">
        <is>
          <t>03-3411-8661</t>
        </is>
      </c>
      <c r="F436" s="23" t="n"/>
      <c r="G436" s="25" t="inlineStr">
        <is>
          <t>普通科</t>
        </is>
      </c>
      <c r="H436" s="26" t="inlineStr">
        <is>
          <t>☐</t>
        </is>
      </c>
      <c r="I436" s="26" t="inlineStr">
        <is>
          <t>☐</t>
        </is>
      </c>
      <c r="J436" s="26" t="inlineStr">
        <is>
          <t>☐</t>
        </is>
      </c>
      <c r="K436" s="26" t="inlineStr">
        <is>
          <t>☐</t>
        </is>
      </c>
      <c r="L436" s="26" t="inlineStr">
        <is>
          <t>☐</t>
        </is>
      </c>
      <c r="M436" s="25" t="n"/>
      <c r="N436" s="27" t="n">
        <v>0</v>
      </c>
      <c r="O436" s="28" t="n"/>
      <c r="P436" s="23" t="n"/>
      <c r="Q436" s="29" t="n"/>
      <c r="R436" s="29" t="n"/>
      <c r="S436" s="23" t="n"/>
      <c r="T436" s="30" t="n"/>
      <c r="U436" s="31" t="inlineStr">
        <is>
          <t>高</t>
        </is>
      </c>
      <c r="V436" s="32" t="inlineStr">
        <is>
          <t>中高共通</t>
        </is>
      </c>
      <c r="W436" s="33" t="inlineStr">
        <is>
          <t>開く</t>
        </is>
      </c>
    </row>
    <row r="437" ht="30" customHeight="1">
      <c r="A437" s="23" t="inlineStr">
        <is>
          <t>13東京都</t>
        </is>
      </c>
      <c r="B437" s="23" t="inlineStr">
        <is>
          <t>私立</t>
        </is>
      </c>
      <c r="C437" s="23" t="n"/>
      <c r="D437" s="23" t="inlineStr">
        <is>
          <t>専修大学附属高等学校</t>
        </is>
      </c>
      <c r="E437" s="24" t="inlineStr">
        <is>
          <t>03-3322-7171</t>
        </is>
      </c>
      <c r="F437" s="23" t="n"/>
      <c r="G437" s="25" t="inlineStr">
        <is>
          <t>普通科</t>
        </is>
      </c>
      <c r="H437" s="26" t="inlineStr">
        <is>
          <t>☐</t>
        </is>
      </c>
      <c r="I437" s="26" t="inlineStr">
        <is>
          <t>☐</t>
        </is>
      </c>
      <c r="J437" s="26" t="inlineStr">
        <is>
          <t>☐</t>
        </is>
      </c>
      <c r="K437" s="26" t="inlineStr">
        <is>
          <t>☐</t>
        </is>
      </c>
      <c r="L437" s="26" t="inlineStr">
        <is>
          <t>☐</t>
        </is>
      </c>
      <c r="M437" s="25" t="n"/>
      <c r="N437" s="27" t="n">
        <v>0</v>
      </c>
      <c r="O437" s="28" t="n"/>
      <c r="P437" s="23" t="n"/>
      <c r="Q437" s="29" t="n"/>
      <c r="R437" s="29" t="n"/>
      <c r="S437" s="23" t="n"/>
      <c r="T437" s="30" t="n"/>
      <c r="U437" s="34" t="inlineStr">
        <is>
          <t>中</t>
        </is>
      </c>
      <c r="V437" s="32" t="inlineStr">
        <is>
          <t>学校情報サイトのみで確認</t>
        </is>
      </c>
      <c r="W437" s="33" t="inlineStr">
        <is>
          <t>開く</t>
        </is>
      </c>
    </row>
    <row r="438" ht="30" customHeight="1">
      <c r="A438" s="23" t="inlineStr">
        <is>
          <t>13東京都</t>
        </is>
      </c>
      <c r="B438" s="23" t="inlineStr">
        <is>
          <t>私立</t>
        </is>
      </c>
      <c r="C438" s="23" t="n"/>
      <c r="D438" s="23" t="inlineStr">
        <is>
          <t>創価高等学校</t>
        </is>
      </c>
      <c r="E438" s="24" t="inlineStr">
        <is>
          <t>042-342-2611</t>
        </is>
      </c>
      <c r="F438" s="23" t="n"/>
      <c r="G438" s="25" t="inlineStr">
        <is>
          <t>普通科</t>
        </is>
      </c>
      <c r="H438" s="26" t="inlineStr">
        <is>
          <t>☐</t>
        </is>
      </c>
      <c r="I438" s="26" t="inlineStr">
        <is>
          <t>☐</t>
        </is>
      </c>
      <c r="J438" s="26" t="inlineStr">
        <is>
          <t>☐</t>
        </is>
      </c>
      <c r="K438" s="26" t="inlineStr">
        <is>
          <t>☐</t>
        </is>
      </c>
      <c r="L438" s="26" t="inlineStr">
        <is>
          <t>☐</t>
        </is>
      </c>
      <c r="M438" s="25" t="n"/>
      <c r="N438" s="27" t="n">
        <v>0</v>
      </c>
      <c r="O438" s="28" t="n"/>
      <c r="P438" s="23" t="n"/>
      <c r="Q438" s="29" t="n"/>
      <c r="R438" s="29" t="n"/>
      <c r="S438" s="23" t="n"/>
      <c r="T438" s="30" t="n"/>
      <c r="U438" s="31" t="inlineStr">
        <is>
          <t>高</t>
        </is>
      </c>
      <c r="V438" s="32" t="inlineStr">
        <is>
          <t>2つの情報源で一致。042-341-2611は中学校の番号なので注意</t>
        </is>
      </c>
      <c r="W438" s="33" t="inlineStr">
        <is>
          <t>開く</t>
        </is>
      </c>
    </row>
    <row r="439" ht="30" customHeight="1">
      <c r="A439" s="23" t="inlineStr">
        <is>
          <t>13東京都</t>
        </is>
      </c>
      <c r="B439" s="23" t="inlineStr">
        <is>
          <t>私立</t>
        </is>
      </c>
      <c r="C439" s="23" t="n"/>
      <c r="D439" s="23" t="inlineStr">
        <is>
          <t>大成高等学校（東京都）</t>
        </is>
      </c>
      <c r="E439" s="24" t="inlineStr">
        <is>
          <t>0422-43-3196</t>
        </is>
      </c>
      <c r="F439" s="23" t="n"/>
      <c r="G439" s="25" t="inlineStr">
        <is>
          <t>普通科</t>
        </is>
      </c>
      <c r="H439" s="26" t="inlineStr">
        <is>
          <t>☐</t>
        </is>
      </c>
      <c r="I439" s="26" t="inlineStr">
        <is>
          <t>☐</t>
        </is>
      </c>
      <c r="J439" s="26" t="inlineStr">
        <is>
          <t>☐</t>
        </is>
      </c>
      <c r="K439" s="26" t="inlineStr">
        <is>
          <t>☐</t>
        </is>
      </c>
      <c r="L439" s="26" t="inlineStr">
        <is>
          <t>☐</t>
        </is>
      </c>
      <c r="M439" s="25" t="n"/>
      <c r="N439" s="27" t="n">
        <v>0</v>
      </c>
      <c r="O439" s="28" t="n"/>
      <c r="P439" s="23" t="n"/>
      <c r="Q439" s="29" t="n"/>
      <c r="R439" s="29" t="n"/>
      <c r="S439" s="23" t="n"/>
      <c r="T439" s="30" t="n"/>
      <c r="U439" s="34" t="inlineStr">
        <is>
          <t>中</t>
        </is>
      </c>
      <c r="V439" s="32" t="inlineStr">
        <is>
          <t>学校情報サイト1件のみで確認</t>
        </is>
      </c>
      <c r="W439" s="33" t="inlineStr">
        <is>
          <t>開く</t>
        </is>
      </c>
    </row>
    <row r="440" ht="30" customHeight="1">
      <c r="A440" s="23" t="inlineStr">
        <is>
          <t>13東京都</t>
        </is>
      </c>
      <c r="B440" s="23" t="inlineStr">
        <is>
          <t>私立</t>
        </is>
      </c>
      <c r="C440" s="23" t="n"/>
      <c r="D440" s="23" t="inlineStr">
        <is>
          <t>高輪高等学校</t>
        </is>
      </c>
      <c r="E440" s="24" t="inlineStr">
        <is>
          <t>03-3441-7201</t>
        </is>
      </c>
      <c r="F440" s="23" t="n"/>
      <c r="G440" s="25" t="inlineStr">
        <is>
          <t>普通科</t>
        </is>
      </c>
      <c r="H440" s="26" t="inlineStr">
        <is>
          <t>☐</t>
        </is>
      </c>
      <c r="I440" s="26" t="inlineStr">
        <is>
          <t>☐</t>
        </is>
      </c>
      <c r="J440" s="26" t="inlineStr">
        <is>
          <t>☐</t>
        </is>
      </c>
      <c r="K440" s="26" t="inlineStr">
        <is>
          <t>☐</t>
        </is>
      </c>
      <c r="L440" s="26" t="inlineStr">
        <is>
          <t>☐</t>
        </is>
      </c>
      <c r="M440" s="25" t="n"/>
      <c r="N440" s="27" t="n">
        <v>0</v>
      </c>
      <c r="O440" s="28" t="n"/>
      <c r="P440" s="23" t="n"/>
      <c r="Q440" s="29" t="n"/>
      <c r="R440" s="29" t="n"/>
      <c r="S440" s="23" t="n"/>
      <c r="T440" s="30" t="n"/>
      <c r="U440" s="31" t="inlineStr">
        <is>
          <t>高</t>
        </is>
      </c>
      <c r="V440" s="32" t="inlineStr">
        <is>
          <t>中高共通。高校募集なし（完全中高一貫）</t>
        </is>
      </c>
      <c r="W440" s="33" t="inlineStr">
        <is>
          <t>開く</t>
        </is>
      </c>
    </row>
    <row r="441" ht="30" customHeight="1">
      <c r="A441" s="23" t="inlineStr">
        <is>
          <t>13東京都</t>
        </is>
      </c>
      <c r="B441" s="23" t="inlineStr">
        <is>
          <t>私立</t>
        </is>
      </c>
      <c r="C441" s="23" t="n"/>
      <c r="D441" s="23" t="inlineStr">
        <is>
          <t>瀧野川女子学園高等学校</t>
        </is>
      </c>
      <c r="E441" s="24" t="inlineStr">
        <is>
          <t>03-3910-6315</t>
        </is>
      </c>
      <c r="F441" s="23" t="n"/>
      <c r="G441" s="25" t="inlineStr">
        <is>
          <t>普通科</t>
        </is>
      </c>
      <c r="H441" s="26" t="inlineStr">
        <is>
          <t>☐</t>
        </is>
      </c>
      <c r="I441" s="26" t="inlineStr">
        <is>
          <t>☐</t>
        </is>
      </c>
      <c r="J441" s="26" t="inlineStr">
        <is>
          <t>☐</t>
        </is>
      </c>
      <c r="K441" s="26" t="inlineStr">
        <is>
          <t>☐</t>
        </is>
      </c>
      <c r="L441" s="26" t="inlineStr">
        <is>
          <t>☐</t>
        </is>
      </c>
      <c r="M441" s="25" t="n"/>
      <c r="N441" s="27" t="n">
        <v>0</v>
      </c>
      <c r="O441" s="28" t="n"/>
      <c r="P441" s="23" t="n"/>
      <c r="Q441" s="29" t="n"/>
      <c r="R441" s="29" t="n"/>
      <c r="S441" s="23" t="n"/>
      <c r="T441" s="30" t="n"/>
      <c r="U441" s="34" t="inlineStr">
        <is>
          <t>中</t>
        </is>
      </c>
      <c r="V441" s="32" t="inlineStr">
        <is>
          <t>学校情報サイト1件のみで確認</t>
        </is>
      </c>
      <c r="W441" s="33" t="inlineStr">
        <is>
          <t>開く</t>
        </is>
      </c>
    </row>
    <row r="442" ht="30" customHeight="1">
      <c r="A442" s="23" t="inlineStr">
        <is>
          <t>13東京都</t>
        </is>
      </c>
      <c r="B442" s="23" t="inlineStr">
        <is>
          <t>私立</t>
        </is>
      </c>
      <c r="C442" s="23" t="n"/>
      <c r="D442" s="23" t="inlineStr">
        <is>
          <t>拓殖大学第一高等学校</t>
        </is>
      </c>
      <c r="E442" s="24" t="inlineStr">
        <is>
          <t>042-590-3311</t>
        </is>
      </c>
      <c r="F442" s="23" t="n"/>
      <c r="G442" s="25" t="inlineStr">
        <is>
          <t>普通科</t>
        </is>
      </c>
      <c r="H442" s="26" t="inlineStr">
        <is>
          <t>☐</t>
        </is>
      </c>
      <c r="I442" s="26" t="inlineStr">
        <is>
          <t>☐</t>
        </is>
      </c>
      <c r="J442" s="26" t="inlineStr">
        <is>
          <t>☐</t>
        </is>
      </c>
      <c r="K442" s="26" t="inlineStr">
        <is>
          <t>☐</t>
        </is>
      </c>
      <c r="L442" s="26" t="inlineStr">
        <is>
          <t>☐</t>
        </is>
      </c>
      <c r="M442" s="25" t="n"/>
      <c r="N442" s="27" t="n">
        <v>0</v>
      </c>
      <c r="O442" s="28" t="n"/>
      <c r="P442" s="23" t="n"/>
      <c r="Q442" s="29" t="n"/>
      <c r="R442" s="29" t="n"/>
      <c r="S442" s="23" t="n"/>
      <c r="T442" s="30" t="n"/>
      <c r="U442" s="34" t="inlineStr">
        <is>
          <t>中</t>
        </is>
      </c>
      <c r="V442" s="32" t="inlineStr">
        <is>
          <t>学校情報サイト1件のみで確認</t>
        </is>
      </c>
      <c r="W442" s="33" t="inlineStr">
        <is>
          <t>開く</t>
        </is>
      </c>
    </row>
    <row r="443" ht="30" customHeight="1">
      <c r="A443" s="23" t="inlineStr">
        <is>
          <t>13東京都</t>
        </is>
      </c>
      <c r="B443" s="23" t="inlineStr">
        <is>
          <t>私立</t>
        </is>
      </c>
      <c r="C443" s="23" t="n"/>
      <c r="D443" s="23" t="inlineStr">
        <is>
          <t>立川女子高等学校</t>
        </is>
      </c>
      <c r="E443" s="24" t="inlineStr">
        <is>
          <t>042-524-5188</t>
        </is>
      </c>
      <c r="F443" s="23" t="n"/>
      <c r="G443" s="25" t="inlineStr">
        <is>
          <t>普通科</t>
        </is>
      </c>
      <c r="H443" s="26" t="inlineStr">
        <is>
          <t>☐</t>
        </is>
      </c>
      <c r="I443" s="26" t="inlineStr">
        <is>
          <t>☐</t>
        </is>
      </c>
      <c r="J443" s="26" t="inlineStr">
        <is>
          <t>☐</t>
        </is>
      </c>
      <c r="K443" s="26" t="inlineStr">
        <is>
          <t>☐</t>
        </is>
      </c>
      <c r="L443" s="26" t="inlineStr">
        <is>
          <t>☐</t>
        </is>
      </c>
      <c r="M443" s="25" t="n"/>
      <c r="N443" s="27" t="n">
        <v>0</v>
      </c>
      <c r="O443" s="28" t="n"/>
      <c r="P443" s="23" t="n"/>
      <c r="Q443" s="29" t="n"/>
      <c r="R443" s="29" t="n"/>
      <c r="S443" s="23" t="n"/>
      <c r="T443" s="30" t="n"/>
      <c r="U443" s="31" t="inlineStr">
        <is>
          <t>高</t>
        </is>
      </c>
      <c r="V443" s="32" t="inlineStr">
        <is>
          <t>2つの情報源で一致。042-524-5288を載せるサイトは誤記とみられる</t>
        </is>
      </c>
      <c r="W443" s="33" t="inlineStr">
        <is>
          <t>開く</t>
        </is>
      </c>
    </row>
    <row r="444" ht="30" customHeight="1">
      <c r="A444" s="23" t="inlineStr">
        <is>
          <t>13東京都</t>
        </is>
      </c>
      <c r="B444" s="23" t="inlineStr">
        <is>
          <t>私立</t>
        </is>
      </c>
      <c r="C444" s="23" t="n"/>
      <c r="D444" s="23" t="inlineStr">
        <is>
          <t>玉川学園高等部</t>
        </is>
      </c>
      <c r="E444" s="24" t="inlineStr">
        <is>
          <t>042-739-8931</t>
        </is>
      </c>
      <c r="F444" s="23" t="n"/>
      <c r="G444" s="25" t="inlineStr">
        <is>
          <t>普通科</t>
        </is>
      </c>
      <c r="H444" s="26" t="inlineStr">
        <is>
          <t>☐</t>
        </is>
      </c>
      <c r="I444" s="26" t="inlineStr">
        <is>
          <t>☐</t>
        </is>
      </c>
      <c r="J444" s="26" t="inlineStr">
        <is>
          <t>☐</t>
        </is>
      </c>
      <c r="K444" s="26" t="inlineStr">
        <is>
          <t>☐</t>
        </is>
      </c>
      <c r="L444" s="26" t="inlineStr">
        <is>
          <t>☐</t>
        </is>
      </c>
      <c r="M444" s="25" t="n"/>
      <c r="N444" s="27" t="n">
        <v>0</v>
      </c>
      <c r="O444" s="28" t="n"/>
      <c r="P444" s="23" t="n"/>
      <c r="Q444" s="29" t="n"/>
      <c r="R444" s="29" t="n"/>
      <c r="S444" s="23" t="n"/>
      <c r="T444" s="30" t="n"/>
      <c r="U444" s="31" t="inlineStr">
        <is>
          <t>高</t>
        </is>
      </c>
      <c r="V444" s="32" t="inlineStr">
        <is>
          <t>学園（K-12）共通の代表番号とみられる</t>
        </is>
      </c>
      <c r="W444" s="33" t="inlineStr">
        <is>
          <t>開く</t>
        </is>
      </c>
    </row>
    <row r="445" ht="30" customHeight="1">
      <c r="A445" s="23" t="inlineStr">
        <is>
          <t>13東京都</t>
        </is>
      </c>
      <c r="B445" s="23" t="inlineStr">
        <is>
          <t>私立</t>
        </is>
      </c>
      <c r="C445" s="23" t="n"/>
      <c r="D445" s="23" t="inlineStr">
        <is>
          <t>玉川聖学院高等部</t>
        </is>
      </c>
      <c r="E445" s="24" t="inlineStr">
        <is>
          <t>03-3702-4141</t>
        </is>
      </c>
      <c r="F445" s="23" t="n"/>
      <c r="G445" s="25" t="inlineStr">
        <is>
          <t>普通科</t>
        </is>
      </c>
      <c r="H445" s="26" t="inlineStr">
        <is>
          <t>☐</t>
        </is>
      </c>
      <c r="I445" s="26" t="inlineStr">
        <is>
          <t>☐</t>
        </is>
      </c>
      <c r="J445" s="26" t="inlineStr">
        <is>
          <t>☐</t>
        </is>
      </c>
      <c r="K445" s="26" t="inlineStr">
        <is>
          <t>☐</t>
        </is>
      </c>
      <c r="L445" s="26" t="inlineStr">
        <is>
          <t>☐</t>
        </is>
      </c>
      <c r="M445" s="25" t="n"/>
      <c r="N445" s="27" t="n">
        <v>0</v>
      </c>
      <c r="O445" s="28" t="n"/>
      <c r="P445" s="23" t="n"/>
      <c r="Q445" s="29" t="n"/>
      <c r="R445" s="29" t="n"/>
      <c r="S445" s="23" t="n"/>
      <c r="T445" s="30" t="n"/>
      <c r="U445" s="31" t="inlineStr">
        <is>
          <t>高</t>
        </is>
      </c>
      <c r="V445" s="32" t="inlineStr">
        <is>
          <t>中高共通。複数サイトで一致</t>
        </is>
      </c>
      <c r="W445" s="33" t="inlineStr">
        <is>
          <t>開く</t>
        </is>
      </c>
    </row>
    <row r="446" ht="30" customHeight="1">
      <c r="A446" s="23" t="inlineStr">
        <is>
          <t>13東京都</t>
        </is>
      </c>
      <c r="B446" s="23" t="inlineStr">
        <is>
          <t>私立</t>
        </is>
      </c>
      <c r="C446" s="23" t="n"/>
      <c r="D446" s="23" t="inlineStr">
        <is>
          <t>多摩大学附属聖ヶ丘高等学校</t>
        </is>
      </c>
      <c r="E446" s="24" t="inlineStr">
        <is>
          <t>042-372-9393</t>
        </is>
      </c>
      <c r="F446" s="23" t="n"/>
      <c r="G446" s="25" t="inlineStr">
        <is>
          <t>普通科</t>
        </is>
      </c>
      <c r="H446" s="26" t="inlineStr">
        <is>
          <t>☐</t>
        </is>
      </c>
      <c r="I446" s="26" t="inlineStr">
        <is>
          <t>☐</t>
        </is>
      </c>
      <c r="J446" s="26" t="inlineStr">
        <is>
          <t>☐</t>
        </is>
      </c>
      <c r="K446" s="26" t="inlineStr">
        <is>
          <t>☐</t>
        </is>
      </c>
      <c r="L446" s="26" t="inlineStr">
        <is>
          <t>☐</t>
        </is>
      </c>
      <c r="M446" s="25" t="n"/>
      <c r="N446" s="27" t="n">
        <v>0</v>
      </c>
      <c r="O446" s="28" t="n"/>
      <c r="P446" s="23" t="n"/>
      <c r="Q446" s="29" t="n"/>
      <c r="R446" s="29" t="n"/>
      <c r="S446" s="23" t="n"/>
      <c r="T446" s="30" t="n"/>
      <c r="U446" s="34" t="inlineStr">
        <is>
          <t>中</t>
        </is>
      </c>
      <c r="V446" s="32" t="inlineStr">
        <is>
          <t>中高共通。学校情報サイトのみで確認</t>
        </is>
      </c>
      <c r="W446" s="33" t="inlineStr">
        <is>
          <t>開く</t>
        </is>
      </c>
    </row>
    <row r="447" ht="30" customHeight="1">
      <c r="A447" s="23" t="inlineStr">
        <is>
          <t>13東京都</t>
        </is>
      </c>
      <c r="B447" s="23" t="inlineStr">
        <is>
          <t>私立</t>
        </is>
      </c>
      <c r="C447" s="23" t="n"/>
      <c r="D447" s="23" t="inlineStr">
        <is>
          <t>多摩大学目黒高等学校</t>
        </is>
      </c>
      <c r="E447" s="24" t="inlineStr">
        <is>
          <t>03-3714-2661</t>
        </is>
      </c>
      <c r="F447" s="23" t="n"/>
      <c r="G447" s="25" t="inlineStr">
        <is>
          <t>普通科</t>
        </is>
      </c>
      <c r="H447" s="26" t="inlineStr">
        <is>
          <t>☐</t>
        </is>
      </c>
      <c r="I447" s="26" t="inlineStr">
        <is>
          <t>☐</t>
        </is>
      </c>
      <c r="J447" s="26" t="inlineStr">
        <is>
          <t>☐</t>
        </is>
      </c>
      <c r="K447" s="26" t="inlineStr">
        <is>
          <t>☐</t>
        </is>
      </c>
      <c r="L447" s="26" t="inlineStr">
        <is>
          <t>☐</t>
        </is>
      </c>
      <c r="M447" s="25" t="n"/>
      <c r="N447" s="27" t="n">
        <v>0</v>
      </c>
      <c r="O447" s="28" t="n"/>
      <c r="P447" s="23" t="n"/>
      <c r="Q447" s="29" t="n"/>
      <c r="R447" s="29" t="n"/>
      <c r="S447" s="23" t="n"/>
      <c r="T447" s="30" t="n"/>
      <c r="U447" s="31" t="inlineStr">
        <is>
          <t>高</t>
        </is>
      </c>
      <c r="V447" s="32" t="inlineStr">
        <is>
          <t>中高共通</t>
        </is>
      </c>
      <c r="W447" s="33" t="inlineStr">
        <is>
          <t>開く</t>
        </is>
      </c>
    </row>
    <row r="448" ht="30" customHeight="1">
      <c r="A448" s="23" t="inlineStr">
        <is>
          <t>13東京都</t>
        </is>
      </c>
      <c r="B448" s="23" t="inlineStr">
        <is>
          <t>私立</t>
        </is>
      </c>
      <c r="C448" s="23" t="n"/>
      <c r="D448" s="23" t="inlineStr">
        <is>
          <t>大智学園高等学校</t>
        </is>
      </c>
      <c r="E448" s="24" t="inlineStr">
        <is>
          <t>03-5925-2773</t>
        </is>
      </c>
      <c r="F448" s="23" t="n"/>
      <c r="G448" s="25" t="inlineStr">
        <is>
          <t>普通科</t>
        </is>
      </c>
      <c r="H448" s="26" t="inlineStr">
        <is>
          <t>☐</t>
        </is>
      </c>
      <c r="I448" s="26" t="inlineStr">
        <is>
          <t>☐</t>
        </is>
      </c>
      <c r="J448" s="26" t="inlineStr">
        <is>
          <t>☐</t>
        </is>
      </c>
      <c r="K448" s="26" t="inlineStr">
        <is>
          <t>☐</t>
        </is>
      </c>
      <c r="L448" s="26" t="inlineStr">
        <is>
          <t>☐</t>
        </is>
      </c>
      <c r="M448" s="25" t="n"/>
      <c r="N448" s="27" t="n">
        <v>0</v>
      </c>
      <c r="O448" s="28" t="n"/>
      <c r="P448" s="23" t="n"/>
      <c r="Q448" s="29" t="n"/>
      <c r="R448" s="29" t="n"/>
      <c r="S448" s="23" t="n"/>
      <c r="T448" s="30" t="n"/>
      <c r="U448" s="34" t="inlineStr">
        <is>
          <t>中</t>
        </is>
      </c>
      <c r="V448" s="32" t="inlineStr">
        <is>
          <t>広域通信制。新宿校舎の番号（本校は福島県川内村）。学校の公式LINEで確認</t>
        </is>
      </c>
      <c r="W448" s="33" t="inlineStr">
        <is>
          <t>開く</t>
        </is>
      </c>
    </row>
    <row r="449" ht="30" customHeight="1">
      <c r="A449" s="23" t="inlineStr">
        <is>
          <t>13東京都</t>
        </is>
      </c>
      <c r="B449" s="23" t="inlineStr">
        <is>
          <t>私立</t>
        </is>
      </c>
      <c r="C449" s="23" t="n"/>
      <c r="D449" s="23" t="inlineStr">
        <is>
          <t>大東学園高等学校</t>
        </is>
      </c>
      <c r="E449" s="24" t="inlineStr">
        <is>
          <t>03-3483-1901</t>
        </is>
      </c>
      <c r="F449" s="23" t="n"/>
      <c r="G449" s="25" t="inlineStr">
        <is>
          <t>普通科</t>
        </is>
      </c>
      <c r="H449" s="26" t="inlineStr">
        <is>
          <t>☐</t>
        </is>
      </c>
      <c r="I449" s="26" t="inlineStr">
        <is>
          <t>☐</t>
        </is>
      </c>
      <c r="J449" s="26" t="inlineStr">
        <is>
          <t>☐</t>
        </is>
      </c>
      <c r="K449" s="26" t="inlineStr">
        <is>
          <t>☐</t>
        </is>
      </c>
      <c r="L449" s="26" t="inlineStr">
        <is>
          <t>☐</t>
        </is>
      </c>
      <c r="M449" s="25" t="n"/>
      <c r="N449" s="27" t="n">
        <v>0</v>
      </c>
      <c r="O449" s="28" t="n"/>
      <c r="P449" s="23" t="n"/>
      <c r="Q449" s="29" t="n"/>
      <c r="R449" s="29" t="n"/>
      <c r="S449" s="23" t="n"/>
      <c r="T449" s="30" t="n"/>
      <c r="U449" s="31" t="inlineStr">
        <is>
          <t>高</t>
        </is>
      </c>
      <c r="V449" s="32" t="inlineStr">
        <is>
          <t>複数サイトで一致</t>
        </is>
      </c>
      <c r="W449" s="33" t="inlineStr">
        <is>
          <t>開く</t>
        </is>
      </c>
    </row>
    <row r="450" ht="30" customHeight="1">
      <c r="A450" s="23" t="inlineStr">
        <is>
          <t>13東京都</t>
        </is>
      </c>
      <c r="B450" s="23" t="inlineStr">
        <is>
          <t>私立</t>
        </is>
      </c>
      <c r="C450" s="23" t="n"/>
      <c r="D450" s="23" t="inlineStr">
        <is>
          <t>大東文化大学第一高等学校</t>
        </is>
      </c>
      <c r="E450" s="24" t="inlineStr">
        <is>
          <t>03-3935-1115</t>
        </is>
      </c>
      <c r="F450" s="23" t="n"/>
      <c r="G450" s="25" t="inlineStr">
        <is>
          <t>普通科</t>
        </is>
      </c>
      <c r="H450" s="26" t="inlineStr">
        <is>
          <t>☐</t>
        </is>
      </c>
      <c r="I450" s="26" t="inlineStr">
        <is>
          <t>☐</t>
        </is>
      </c>
      <c r="J450" s="26" t="inlineStr">
        <is>
          <t>☐</t>
        </is>
      </c>
      <c r="K450" s="26" t="inlineStr">
        <is>
          <t>☐</t>
        </is>
      </c>
      <c r="L450" s="26" t="inlineStr">
        <is>
          <t>☐</t>
        </is>
      </c>
      <c r="M450" s="25" t="n"/>
      <c r="N450" s="27" t="n">
        <v>0</v>
      </c>
      <c r="O450" s="28" t="n"/>
      <c r="P450" s="23" t="n"/>
      <c r="Q450" s="29" t="n"/>
      <c r="R450" s="29" t="n"/>
      <c r="S450" s="23" t="n"/>
      <c r="T450" s="30" t="n"/>
      <c r="U450" s="34" t="inlineStr">
        <is>
          <t>中</t>
        </is>
      </c>
      <c r="V450" s="32" t="inlineStr">
        <is>
          <t>学校情報サイト1件のみで確認</t>
        </is>
      </c>
      <c r="W450" s="33" t="inlineStr">
        <is>
          <t>開く</t>
        </is>
      </c>
    </row>
    <row r="451" ht="30" customHeight="1">
      <c r="A451" s="23" t="inlineStr">
        <is>
          <t>13東京都</t>
        </is>
      </c>
      <c r="B451" s="23" t="inlineStr">
        <is>
          <t>私立</t>
        </is>
      </c>
      <c r="C451" s="23" t="n"/>
      <c r="D451" s="23" t="inlineStr">
        <is>
          <t>中央学院大学中央高等学校</t>
        </is>
      </c>
      <c r="E451" s="24" t="inlineStr">
        <is>
          <t>03-5836-7020</t>
        </is>
      </c>
      <c r="F451" s="23" t="n"/>
      <c r="G451" s="25" t="inlineStr">
        <is>
          <t>普通科・専門学科</t>
        </is>
      </c>
      <c r="H451" s="26" t="inlineStr">
        <is>
          <t>☐</t>
        </is>
      </c>
      <c r="I451" s="26" t="inlineStr">
        <is>
          <t>☐</t>
        </is>
      </c>
      <c r="J451" s="26" t="inlineStr">
        <is>
          <t>☐</t>
        </is>
      </c>
      <c r="K451" s="26" t="inlineStr">
        <is>
          <t>☐</t>
        </is>
      </c>
      <c r="L451" s="26" t="inlineStr">
        <is>
          <t>☐</t>
        </is>
      </c>
      <c r="M451" s="25" t="n"/>
      <c r="N451" s="27" t="n">
        <v>0</v>
      </c>
      <c r="O451" s="28" t="n"/>
      <c r="P451" s="23" t="n"/>
      <c r="Q451" s="29" t="n"/>
      <c r="R451" s="29" t="n"/>
      <c r="S451" s="23" t="n"/>
      <c r="T451" s="30" t="n"/>
      <c r="U451" s="31" t="inlineStr">
        <is>
          <t>高</t>
        </is>
      </c>
      <c r="V451" s="32" t="inlineStr">
        <is>
          <t>代表として掲載</t>
        </is>
      </c>
      <c r="W451" s="33" t="inlineStr">
        <is>
          <t>開く</t>
        </is>
      </c>
    </row>
    <row r="452" ht="30" customHeight="1">
      <c r="A452" s="23" t="inlineStr">
        <is>
          <t>13東京都</t>
        </is>
      </c>
      <c r="B452" s="23" t="inlineStr">
        <is>
          <t>私立</t>
        </is>
      </c>
      <c r="C452" s="23" t="n"/>
      <c r="D452" s="23" t="inlineStr">
        <is>
          <t>中央大学高等学校</t>
        </is>
      </c>
      <c r="E452" s="24" t="inlineStr">
        <is>
          <t>03-3814-5275</t>
        </is>
      </c>
      <c r="F452" s="23" t="n"/>
      <c r="G452" s="25" t="inlineStr">
        <is>
          <t>普通科</t>
        </is>
      </c>
      <c r="H452" s="26" t="inlineStr">
        <is>
          <t>☐</t>
        </is>
      </c>
      <c r="I452" s="26" t="inlineStr">
        <is>
          <t>☐</t>
        </is>
      </c>
      <c r="J452" s="26" t="inlineStr">
        <is>
          <t>☐</t>
        </is>
      </c>
      <c r="K452" s="26" t="inlineStr">
        <is>
          <t>☐</t>
        </is>
      </c>
      <c r="L452" s="26" t="inlineStr">
        <is>
          <t>☐</t>
        </is>
      </c>
      <c r="M452" s="25" t="n"/>
      <c r="N452" s="27" t="n">
        <v>0</v>
      </c>
      <c r="O452" s="28" t="n"/>
      <c r="P452" s="23" t="n"/>
      <c r="Q452" s="29" t="n"/>
      <c r="R452" s="29" t="n"/>
      <c r="S452" s="23" t="n"/>
      <c r="T452" s="30" t="n"/>
      <c r="U452" s="31" t="inlineStr">
        <is>
          <t>高</t>
        </is>
      </c>
      <c r="V452" s="32" t="inlineStr">
        <is>
          <t>昼間定時制。東京都の定時制一覧と一致</t>
        </is>
      </c>
      <c r="W452" s="33" t="inlineStr">
        <is>
          <t>開く</t>
        </is>
      </c>
    </row>
    <row r="453" ht="30" customHeight="1">
      <c r="A453" s="23" t="inlineStr">
        <is>
          <t>13東京都</t>
        </is>
      </c>
      <c r="B453" s="23" t="inlineStr">
        <is>
          <t>私立</t>
        </is>
      </c>
      <c r="C453" s="23" t="n"/>
      <c r="D453" s="23" t="inlineStr">
        <is>
          <t>中央大学杉並高等学校</t>
        </is>
      </c>
      <c r="E453" s="24" t="inlineStr">
        <is>
          <t>03-3390-3175</t>
        </is>
      </c>
      <c r="F453" s="23" t="n"/>
      <c r="G453" s="25" t="inlineStr">
        <is>
          <t>普通科</t>
        </is>
      </c>
      <c r="H453" s="26" t="inlineStr">
        <is>
          <t>☐</t>
        </is>
      </c>
      <c r="I453" s="26" t="inlineStr">
        <is>
          <t>☐</t>
        </is>
      </c>
      <c r="J453" s="26" t="inlineStr">
        <is>
          <t>☐</t>
        </is>
      </c>
      <c r="K453" s="26" t="inlineStr">
        <is>
          <t>☐</t>
        </is>
      </c>
      <c r="L453" s="26" t="inlineStr">
        <is>
          <t>☐</t>
        </is>
      </c>
      <c r="M453" s="25" t="n"/>
      <c r="N453" s="27" t="n">
        <v>0</v>
      </c>
      <c r="O453" s="28" t="n"/>
      <c r="P453" s="23" t="n"/>
      <c r="Q453" s="29" t="n"/>
      <c r="R453" s="29" t="n"/>
      <c r="S453" s="23" t="n"/>
      <c r="T453" s="30" t="n"/>
      <c r="U453" s="34" t="inlineStr">
        <is>
          <t>中</t>
        </is>
      </c>
      <c r="V453" s="32" t="inlineStr">
        <is>
          <t>学校情報サイト1件のみで確認</t>
        </is>
      </c>
      <c r="W453" s="33" t="inlineStr">
        <is>
          <t>開く</t>
        </is>
      </c>
    </row>
    <row r="454" ht="30" customHeight="1">
      <c r="A454" s="23" t="inlineStr">
        <is>
          <t>13東京都</t>
        </is>
      </c>
      <c r="B454" s="23" t="inlineStr">
        <is>
          <t>私立</t>
        </is>
      </c>
      <c r="C454" s="23" t="n"/>
      <c r="D454" s="23" t="inlineStr">
        <is>
          <t>中央大学附属高等学校</t>
        </is>
      </c>
      <c r="E454" s="24" t="inlineStr">
        <is>
          <t>042-381-5413</t>
        </is>
      </c>
      <c r="F454" s="23" t="n"/>
      <c r="G454" s="25" t="inlineStr">
        <is>
          <t>普通科</t>
        </is>
      </c>
      <c r="H454" s="26" t="inlineStr">
        <is>
          <t>☐</t>
        </is>
      </c>
      <c r="I454" s="26" t="inlineStr">
        <is>
          <t>☐</t>
        </is>
      </c>
      <c r="J454" s="26" t="inlineStr">
        <is>
          <t>☐</t>
        </is>
      </c>
      <c r="K454" s="26" t="inlineStr">
        <is>
          <t>☐</t>
        </is>
      </c>
      <c r="L454" s="26" t="inlineStr">
        <is>
          <t>☐</t>
        </is>
      </c>
      <c r="M454" s="25" t="n"/>
      <c r="N454" s="27" t="n">
        <v>0</v>
      </c>
      <c r="O454" s="28" t="n"/>
      <c r="P454" s="23" t="n"/>
      <c r="Q454" s="29" t="n"/>
      <c r="R454" s="29" t="n"/>
      <c r="S454" s="23" t="n"/>
      <c r="T454" s="30" t="n"/>
      <c r="U454" s="31" t="inlineStr">
        <is>
          <t>高</t>
        </is>
      </c>
      <c r="V454" s="32" t="inlineStr">
        <is>
          <t>大学の公式資料と学校情報サイトで一致</t>
        </is>
      </c>
      <c r="W454" s="33" t="inlineStr">
        <is>
          <t>開く</t>
        </is>
      </c>
    </row>
    <row r="455" ht="30" customHeight="1">
      <c r="A455" s="23" t="inlineStr">
        <is>
          <t>13東京都</t>
        </is>
      </c>
      <c r="B455" s="23" t="inlineStr">
        <is>
          <t>私立</t>
        </is>
      </c>
      <c r="C455" s="23" t="n"/>
      <c r="D455" s="23" t="inlineStr">
        <is>
          <t>千代田高等学校</t>
        </is>
      </c>
      <c r="E455" s="24" t="inlineStr">
        <is>
          <t>03-3263-6551</t>
        </is>
      </c>
      <c r="F455" s="23" t="n"/>
      <c r="G455" s="25" t="inlineStr">
        <is>
          <t>普通科</t>
        </is>
      </c>
      <c r="H455" s="26" t="inlineStr">
        <is>
          <t>☐</t>
        </is>
      </c>
      <c r="I455" s="26" t="inlineStr">
        <is>
          <t>☐</t>
        </is>
      </c>
      <c r="J455" s="26" t="inlineStr">
        <is>
          <t>☐</t>
        </is>
      </c>
      <c r="K455" s="26" t="inlineStr">
        <is>
          <t>☐</t>
        </is>
      </c>
      <c r="L455" s="26" t="inlineStr">
        <is>
          <t>☐</t>
        </is>
      </c>
      <c r="M455" s="25" t="n"/>
      <c r="N455" s="27" t="n">
        <v>0</v>
      </c>
      <c r="O455" s="28" t="n"/>
      <c r="P455" s="23" t="n"/>
      <c r="Q455" s="29" t="n"/>
      <c r="R455" s="29" t="n"/>
      <c r="S455" s="23" t="n"/>
      <c r="T455" s="30" t="n"/>
      <c r="U455" s="31" t="inlineStr">
        <is>
          <t>高</t>
        </is>
      </c>
      <c r="V455" s="32" t="inlineStr">
        <is>
          <t>旧 千代田女学園。中高共通</t>
        </is>
      </c>
      <c r="W455" s="33" t="inlineStr">
        <is>
          <t>開く</t>
        </is>
      </c>
    </row>
    <row r="456" ht="30" customHeight="1">
      <c r="A456" s="23" t="inlineStr">
        <is>
          <t>13東京都</t>
        </is>
      </c>
      <c r="B456" s="23" t="inlineStr">
        <is>
          <t>私立</t>
        </is>
      </c>
      <c r="C456" s="23" t="n"/>
      <c r="D456" s="23" t="inlineStr">
        <is>
          <t>帝京高等学校</t>
        </is>
      </c>
      <c r="E456" s="24" t="inlineStr">
        <is>
          <t>03-3963-4711</t>
        </is>
      </c>
      <c r="F456" s="23" t="n"/>
      <c r="G456" s="25" t="inlineStr">
        <is>
          <t>普通科</t>
        </is>
      </c>
      <c r="H456" s="26" t="inlineStr">
        <is>
          <t>☐</t>
        </is>
      </c>
      <c r="I456" s="26" t="inlineStr">
        <is>
          <t>☐</t>
        </is>
      </c>
      <c r="J456" s="26" t="inlineStr">
        <is>
          <t>☐</t>
        </is>
      </c>
      <c r="K456" s="26" t="inlineStr">
        <is>
          <t>☐</t>
        </is>
      </c>
      <c r="L456" s="26" t="inlineStr">
        <is>
          <t>☐</t>
        </is>
      </c>
      <c r="M456" s="25" t="n"/>
      <c r="N456" s="27" t="n">
        <v>0</v>
      </c>
      <c r="O456" s="28" t="n"/>
      <c r="P456" s="23" t="n"/>
      <c r="Q456" s="29" t="n"/>
      <c r="R456" s="29" t="n"/>
      <c r="S456" s="23" t="n"/>
      <c r="T456" s="30" t="n"/>
      <c r="U456" s="31" t="inlineStr">
        <is>
          <t>高</t>
        </is>
      </c>
      <c r="V456" s="32" t="inlineStr">
        <is>
          <t>代表として掲載。03-3963-6383を載せるサイトもあり（別の窓口か）</t>
        </is>
      </c>
      <c r="W456" s="33" t="inlineStr">
        <is>
          <t>開く</t>
        </is>
      </c>
    </row>
    <row r="457" ht="30" customHeight="1">
      <c r="A457" s="23" t="inlineStr">
        <is>
          <t>13東京都</t>
        </is>
      </c>
      <c r="B457" s="23" t="inlineStr">
        <is>
          <t>私立</t>
        </is>
      </c>
      <c r="C457" s="23" t="n"/>
      <c r="D457" s="23" t="inlineStr">
        <is>
          <t>帝京大学高等学校</t>
        </is>
      </c>
      <c r="E457" s="24" t="inlineStr">
        <is>
          <t>042-676-9511</t>
        </is>
      </c>
      <c r="F457" s="23" t="n"/>
      <c r="G457" s="25" t="inlineStr">
        <is>
          <t>普通科</t>
        </is>
      </c>
      <c r="H457" s="26" t="inlineStr">
        <is>
          <t>☐</t>
        </is>
      </c>
      <c r="I457" s="26" t="inlineStr">
        <is>
          <t>☐</t>
        </is>
      </c>
      <c r="J457" s="26" t="inlineStr">
        <is>
          <t>☐</t>
        </is>
      </c>
      <c r="K457" s="26" t="inlineStr">
        <is>
          <t>☐</t>
        </is>
      </c>
      <c r="L457" s="26" t="inlineStr">
        <is>
          <t>☐</t>
        </is>
      </c>
      <c r="M457" s="25" t="n"/>
      <c r="N457" s="27" t="n">
        <v>0</v>
      </c>
      <c r="O457" s="28" t="n"/>
      <c r="P457" s="23" t="n"/>
      <c r="Q457" s="29" t="n"/>
      <c r="R457" s="29" t="n"/>
      <c r="S457" s="23" t="n"/>
      <c r="T457" s="30" t="n"/>
      <c r="U457" s="34" t="inlineStr">
        <is>
          <t>中</t>
        </is>
      </c>
      <c r="V457" s="32" t="inlineStr">
        <is>
          <t>学校情報サイトのみで確認、公式未確認。中高共通の可能性</t>
        </is>
      </c>
      <c r="W457" s="33" t="inlineStr">
        <is>
          <t>開く</t>
        </is>
      </c>
    </row>
    <row r="458" ht="30" customHeight="1">
      <c r="A458" s="23" t="inlineStr">
        <is>
          <t>13東京都</t>
        </is>
      </c>
      <c r="B458" s="23" t="inlineStr">
        <is>
          <t>私立</t>
        </is>
      </c>
      <c r="C458" s="23" t="n"/>
      <c r="D458" s="23" t="inlineStr">
        <is>
          <t>帝京八王子高等学校</t>
        </is>
      </c>
      <c r="E458" s="24" t="inlineStr">
        <is>
          <t>042-654-6141</t>
        </is>
      </c>
      <c r="F458" s="23" t="n"/>
      <c r="G458" s="25" t="inlineStr">
        <is>
          <t>普通科</t>
        </is>
      </c>
      <c r="H458" s="26" t="inlineStr">
        <is>
          <t>☐</t>
        </is>
      </c>
      <c r="I458" s="26" t="inlineStr">
        <is>
          <t>☐</t>
        </is>
      </c>
      <c r="J458" s="26" t="inlineStr">
        <is>
          <t>☐</t>
        </is>
      </c>
      <c r="K458" s="26" t="inlineStr">
        <is>
          <t>☐</t>
        </is>
      </c>
      <c r="L458" s="26" t="inlineStr">
        <is>
          <t>☐</t>
        </is>
      </c>
      <c r="M458" s="25" t="n"/>
      <c r="N458" s="27" t="n">
        <v>0</v>
      </c>
      <c r="O458" s="28" t="n"/>
      <c r="P458" s="23" t="n"/>
      <c r="Q458" s="29" t="n"/>
      <c r="R458" s="29" t="n"/>
      <c r="S458" s="23" t="n"/>
      <c r="T458" s="30" t="n"/>
      <c r="U458" s="31" t="inlineStr">
        <is>
          <t>高</t>
        </is>
      </c>
      <c r="V458" s="32" t="inlineStr">
        <is>
          <t>複数サイトに「代表」と記載</t>
        </is>
      </c>
      <c r="W458" s="33" t="inlineStr">
        <is>
          <t>開く</t>
        </is>
      </c>
    </row>
    <row r="459" ht="30" customHeight="1">
      <c r="A459" s="23" t="inlineStr">
        <is>
          <t>13東京都</t>
        </is>
      </c>
      <c r="B459" s="23" t="inlineStr">
        <is>
          <t>私立</t>
        </is>
      </c>
      <c r="C459" s="23" t="n"/>
      <c r="D459" s="23" t="inlineStr">
        <is>
          <t>貞静学園高等学校</t>
        </is>
      </c>
      <c r="E459" s="24" t="inlineStr">
        <is>
          <t>03-3943-3711</t>
        </is>
      </c>
      <c r="F459" s="23" t="n"/>
      <c r="G459" s="25" t="inlineStr">
        <is>
          <t>普通科</t>
        </is>
      </c>
      <c r="H459" s="26" t="inlineStr">
        <is>
          <t>☐</t>
        </is>
      </c>
      <c r="I459" s="26" t="inlineStr">
        <is>
          <t>☐</t>
        </is>
      </c>
      <c r="J459" s="26" t="inlineStr">
        <is>
          <t>☐</t>
        </is>
      </c>
      <c r="K459" s="26" t="inlineStr">
        <is>
          <t>☐</t>
        </is>
      </c>
      <c r="L459" s="26" t="inlineStr">
        <is>
          <t>☐</t>
        </is>
      </c>
      <c r="M459" s="25" t="n"/>
      <c r="N459" s="27" t="n">
        <v>0</v>
      </c>
      <c r="O459" s="28" t="n"/>
      <c r="P459" s="23" t="n"/>
      <c r="Q459" s="29" t="n"/>
      <c r="R459" s="29" t="n"/>
      <c r="S459" s="23" t="n"/>
      <c r="T459" s="30" t="n"/>
      <c r="U459" s="31" t="inlineStr">
        <is>
          <t>高</t>
        </is>
      </c>
      <c r="V459" s="32" t="inlineStr">
        <is>
          <t>中高共通。複数サイトで一致</t>
        </is>
      </c>
      <c r="W459" s="33" t="inlineStr">
        <is>
          <t>開く</t>
        </is>
      </c>
    </row>
    <row r="460" ht="30" customHeight="1">
      <c r="A460" s="23" t="inlineStr">
        <is>
          <t>13東京都</t>
        </is>
      </c>
      <c r="B460" s="23" t="inlineStr">
        <is>
          <t>私立</t>
        </is>
      </c>
      <c r="C460" s="23" t="n"/>
      <c r="D460" s="23" t="inlineStr">
        <is>
          <t>田園調布学園高等部</t>
        </is>
      </c>
      <c r="E460" s="24" t="inlineStr">
        <is>
          <t>03-3727-6121</t>
        </is>
      </c>
      <c r="F460" s="23" t="n"/>
      <c r="G460" s="25" t="inlineStr">
        <is>
          <t>普通科</t>
        </is>
      </c>
      <c r="H460" s="26" t="inlineStr">
        <is>
          <t>☐</t>
        </is>
      </c>
      <c r="I460" s="26" t="inlineStr">
        <is>
          <t>☐</t>
        </is>
      </c>
      <c r="J460" s="26" t="inlineStr">
        <is>
          <t>☐</t>
        </is>
      </c>
      <c r="K460" s="26" t="inlineStr">
        <is>
          <t>☐</t>
        </is>
      </c>
      <c r="L460" s="26" t="inlineStr">
        <is>
          <t>☐</t>
        </is>
      </c>
      <c r="M460" s="25" t="n"/>
      <c r="N460" s="27" t="n">
        <v>0</v>
      </c>
      <c r="O460" s="28" t="n"/>
      <c r="P460" s="23" t="n"/>
      <c r="Q460" s="29" t="n"/>
      <c r="R460" s="29" t="n"/>
      <c r="S460" s="23" t="n"/>
      <c r="T460" s="30" t="n"/>
      <c r="U460" s="31" t="inlineStr">
        <is>
          <t>高</t>
        </is>
      </c>
      <c r="V460" s="32" t="inlineStr">
        <is>
          <t>中高共通。複数サイトで一致</t>
        </is>
      </c>
      <c r="W460" s="33" t="inlineStr">
        <is>
          <t>開く</t>
        </is>
      </c>
    </row>
    <row r="461" ht="30" customHeight="1">
      <c r="A461" s="23" t="inlineStr">
        <is>
          <t>13東京都</t>
        </is>
      </c>
      <c r="B461" s="23" t="inlineStr">
        <is>
          <t>私立</t>
        </is>
      </c>
      <c r="C461" s="23" t="n"/>
      <c r="D461" s="23" t="inlineStr">
        <is>
          <t>田園調布雙葉高等学校</t>
        </is>
      </c>
      <c r="E461" s="24" t="inlineStr">
        <is>
          <t>03-3721-1772</t>
        </is>
      </c>
      <c r="F461" s="23" t="n"/>
      <c r="G461" s="25" t="inlineStr">
        <is>
          <t>普通科</t>
        </is>
      </c>
      <c r="H461" s="26" t="inlineStr">
        <is>
          <t>☐</t>
        </is>
      </c>
      <c r="I461" s="26" t="inlineStr">
        <is>
          <t>☐</t>
        </is>
      </c>
      <c r="J461" s="26" t="inlineStr">
        <is>
          <t>☐</t>
        </is>
      </c>
      <c r="K461" s="26" t="inlineStr">
        <is>
          <t>☐</t>
        </is>
      </c>
      <c r="L461" s="26" t="inlineStr">
        <is>
          <t>☐</t>
        </is>
      </c>
      <c r="M461" s="25" t="n"/>
      <c r="N461" s="27" t="n">
        <v>0</v>
      </c>
      <c r="O461" s="28" t="n"/>
      <c r="P461" s="23" t="n"/>
      <c r="Q461" s="29" t="n"/>
      <c r="R461" s="29" t="n"/>
      <c r="S461" s="23" t="n"/>
      <c r="T461" s="30" t="n"/>
      <c r="U461" s="31" t="inlineStr">
        <is>
          <t>高</t>
        </is>
      </c>
      <c r="V461" s="32" t="inlineStr">
        <is>
          <t>公式サイトで確認（高校の番号）。中学校03-3721-5087、事務局03-3721-5484は別番号</t>
        </is>
      </c>
      <c r="W461" s="33" t="inlineStr">
        <is>
          <t>開く</t>
        </is>
      </c>
    </row>
    <row r="462" ht="30" customHeight="1">
      <c r="A462" s="23" t="inlineStr">
        <is>
          <t>13東京都</t>
        </is>
      </c>
      <c r="B462" s="23" t="inlineStr">
        <is>
          <t>私立</t>
        </is>
      </c>
      <c r="C462" s="23" t="n"/>
      <c r="D462" s="23" t="inlineStr">
        <is>
          <t>東亜学園高等学校</t>
        </is>
      </c>
      <c r="E462" s="24" t="inlineStr">
        <is>
          <t>03-3387-6331</t>
        </is>
      </c>
      <c r="F462" s="23" t="n"/>
      <c r="G462" s="25" t="inlineStr">
        <is>
          <t>普通科</t>
        </is>
      </c>
      <c r="H462" s="26" t="inlineStr">
        <is>
          <t>☐</t>
        </is>
      </c>
      <c r="I462" s="26" t="inlineStr">
        <is>
          <t>☐</t>
        </is>
      </c>
      <c r="J462" s="26" t="inlineStr">
        <is>
          <t>☐</t>
        </is>
      </c>
      <c r="K462" s="26" t="inlineStr">
        <is>
          <t>☐</t>
        </is>
      </c>
      <c r="L462" s="26" t="inlineStr">
        <is>
          <t>☐</t>
        </is>
      </c>
      <c r="M462" s="25" t="n"/>
      <c r="N462" s="27" t="n">
        <v>0</v>
      </c>
      <c r="O462" s="28" t="n"/>
      <c r="P462" s="23" t="n"/>
      <c r="Q462" s="29" t="n"/>
      <c r="R462" s="29" t="n"/>
      <c r="S462" s="23" t="n"/>
      <c r="T462" s="30" t="n"/>
      <c r="U462" s="34" t="inlineStr">
        <is>
          <t>中</t>
        </is>
      </c>
      <c r="V462" s="32" t="inlineStr">
        <is>
          <t>学校情報サイト1件のみで確認</t>
        </is>
      </c>
      <c r="W462" s="33" t="inlineStr">
        <is>
          <t>開く</t>
        </is>
      </c>
    </row>
    <row r="463" ht="30" customHeight="1">
      <c r="A463" s="23" t="inlineStr">
        <is>
          <t>13東京都</t>
        </is>
      </c>
      <c r="B463" s="23" t="inlineStr">
        <is>
          <t>私立</t>
        </is>
      </c>
      <c r="C463" s="23" t="n"/>
      <c r="D463" s="23" t="inlineStr">
        <is>
          <t>東海大学菅生高等学校</t>
        </is>
      </c>
      <c r="E463" s="24" t="inlineStr">
        <is>
          <t>042-559-2200</t>
        </is>
      </c>
      <c r="F463" s="23" t="n"/>
      <c r="G463" s="25" t="inlineStr">
        <is>
          <t>普通科</t>
        </is>
      </c>
      <c r="H463" s="26" t="inlineStr">
        <is>
          <t>☐</t>
        </is>
      </c>
      <c r="I463" s="26" t="inlineStr">
        <is>
          <t>☐</t>
        </is>
      </c>
      <c r="J463" s="26" t="inlineStr">
        <is>
          <t>☐</t>
        </is>
      </c>
      <c r="K463" s="26" t="inlineStr">
        <is>
          <t>☐</t>
        </is>
      </c>
      <c r="L463" s="26" t="inlineStr">
        <is>
          <t>☐</t>
        </is>
      </c>
      <c r="M463" s="25" t="n"/>
      <c r="N463" s="27" t="n">
        <v>0</v>
      </c>
      <c r="O463" s="28" t="n"/>
      <c r="P463" s="23" t="n"/>
      <c r="Q463" s="29" t="n"/>
      <c r="R463" s="29" t="n"/>
      <c r="S463" s="23" t="n"/>
      <c r="T463" s="30" t="n"/>
      <c r="U463" s="34" t="inlineStr">
        <is>
          <t>中</t>
        </is>
      </c>
      <c r="V463" s="32" t="inlineStr">
        <is>
          <t>学校情報サイト1件のみで確認。中等部は別番号（042-559-2411）</t>
        </is>
      </c>
      <c r="W463" s="33" t="inlineStr">
        <is>
          <t>開く</t>
        </is>
      </c>
    </row>
    <row r="464" ht="30" customHeight="1">
      <c r="A464" s="23" t="inlineStr">
        <is>
          <t>13東京都</t>
        </is>
      </c>
      <c r="B464" s="23" t="inlineStr">
        <is>
          <t>私立</t>
        </is>
      </c>
      <c r="C464" s="23" t="n"/>
      <c r="D464" s="23" t="inlineStr">
        <is>
          <t>東海大学付属高輪台高等学校</t>
        </is>
      </c>
      <c r="E464" s="24" t="inlineStr">
        <is>
          <t>03-3448-4011</t>
        </is>
      </c>
      <c r="F464" s="23" t="n"/>
      <c r="G464" s="25" t="inlineStr">
        <is>
          <t>普通科</t>
        </is>
      </c>
      <c r="H464" s="26" t="inlineStr">
        <is>
          <t>☐</t>
        </is>
      </c>
      <c r="I464" s="26" t="inlineStr">
        <is>
          <t>☐</t>
        </is>
      </c>
      <c r="J464" s="26" t="inlineStr">
        <is>
          <t>☐</t>
        </is>
      </c>
      <c r="K464" s="26" t="inlineStr">
        <is>
          <t>☐</t>
        </is>
      </c>
      <c r="L464" s="26" t="inlineStr">
        <is>
          <t>☐</t>
        </is>
      </c>
      <c r="M464" s="25" t="n"/>
      <c r="N464" s="27" t="n">
        <v>0</v>
      </c>
      <c r="O464" s="28" t="n"/>
      <c r="P464" s="23" t="n"/>
      <c r="Q464" s="29" t="n"/>
      <c r="R464" s="29" t="n"/>
      <c r="S464" s="23" t="n"/>
      <c r="T464" s="30" t="n"/>
      <c r="U464" s="31" t="inlineStr">
        <is>
          <t>高</t>
        </is>
      </c>
      <c r="V464" s="32" t="inlineStr">
        <is>
          <t>複数の情報源で一致</t>
        </is>
      </c>
      <c r="W464" s="33" t="inlineStr">
        <is>
          <t>開く</t>
        </is>
      </c>
    </row>
    <row r="465" ht="30" customHeight="1">
      <c r="A465" s="23" t="inlineStr">
        <is>
          <t>13東京都</t>
        </is>
      </c>
      <c r="B465" s="23" t="inlineStr">
        <is>
          <t>私立</t>
        </is>
      </c>
      <c r="C465" s="23" t="n"/>
      <c r="D465" s="23" t="inlineStr">
        <is>
          <t>東海大学付属望星高等学校</t>
        </is>
      </c>
      <c r="E465" s="24" t="inlineStr">
        <is>
          <t>03-3467-8111</t>
        </is>
      </c>
      <c r="F465" s="23" t="n"/>
      <c r="G465" s="25" t="inlineStr">
        <is>
          <t>普通科</t>
        </is>
      </c>
      <c r="H465" s="26" t="inlineStr">
        <is>
          <t>☐</t>
        </is>
      </c>
      <c r="I465" s="26" t="inlineStr">
        <is>
          <t>☐</t>
        </is>
      </c>
      <c r="J465" s="26" t="inlineStr">
        <is>
          <t>☐</t>
        </is>
      </c>
      <c r="K465" s="26" t="inlineStr">
        <is>
          <t>☐</t>
        </is>
      </c>
      <c r="L465" s="26" t="inlineStr">
        <is>
          <t>☐</t>
        </is>
      </c>
      <c r="M465" s="25" t="n"/>
      <c r="N465" s="27" t="n">
        <v>0</v>
      </c>
      <c r="O465" s="28" t="n"/>
      <c r="P465" s="23" t="n"/>
      <c r="Q465" s="29" t="n"/>
      <c r="R465" s="29" t="n"/>
      <c r="S465" s="23" t="n"/>
      <c r="T465" s="30" t="n"/>
      <c r="U465" s="31" t="inlineStr">
        <is>
          <t>高</t>
        </is>
      </c>
      <c r="V465" s="32" t="inlineStr">
        <is>
          <t>東京都の通信制高校一覧で確認（通信制）</t>
        </is>
      </c>
      <c r="W465" s="33" t="inlineStr">
        <is>
          <t>開く</t>
        </is>
      </c>
    </row>
    <row r="466" ht="30" customHeight="1">
      <c r="A466" s="23" t="inlineStr">
        <is>
          <t>13東京都</t>
        </is>
      </c>
      <c r="B466" s="23" t="inlineStr">
        <is>
          <t>私立</t>
        </is>
      </c>
      <c r="C466" s="23" t="n"/>
      <c r="D466" s="23" t="inlineStr">
        <is>
          <t>東京音楽大学付属高等学校</t>
        </is>
      </c>
      <c r="E466" s="24" t="inlineStr">
        <is>
          <t>03-3988-6214</t>
        </is>
      </c>
      <c r="F466" s="23" t="n"/>
      <c r="G466" s="25" t="inlineStr">
        <is>
          <t>専門学科</t>
        </is>
      </c>
      <c r="H466" s="26" t="inlineStr">
        <is>
          <t>☐</t>
        </is>
      </c>
      <c r="I466" s="26" t="inlineStr">
        <is>
          <t>☐</t>
        </is>
      </c>
      <c r="J466" s="26" t="inlineStr">
        <is>
          <t>☐</t>
        </is>
      </c>
      <c r="K466" s="26" t="inlineStr">
        <is>
          <t>☐</t>
        </is>
      </c>
      <c r="L466" s="26" t="inlineStr">
        <is>
          <t>☐</t>
        </is>
      </c>
      <c r="M466" s="25" t="n"/>
      <c r="N466" s="27" t="n">
        <v>0</v>
      </c>
      <c r="O466" s="28" t="n"/>
      <c r="P466" s="23" t="n"/>
      <c r="Q466" s="29" t="n"/>
      <c r="R466" s="29" t="n"/>
      <c r="S466" s="23" t="n"/>
      <c r="T466" s="30" t="n"/>
      <c r="U466" s="31" t="inlineStr">
        <is>
          <t>高</t>
        </is>
      </c>
      <c r="V466" s="32" t="inlineStr">
        <is>
          <t>公式サイトで確認。【移転】現在は豊島区南池袋。旧番号03-3945-6214は使わない</t>
        </is>
      </c>
      <c r="W466" s="33" t="inlineStr">
        <is>
          <t>開く</t>
        </is>
      </c>
    </row>
    <row r="467" ht="30" customHeight="1">
      <c r="A467" s="23" t="inlineStr">
        <is>
          <t>13東京都</t>
        </is>
      </c>
      <c r="B467" s="23" t="inlineStr">
        <is>
          <t>私立</t>
        </is>
      </c>
      <c r="C467" s="23" t="n"/>
      <c r="D467" s="23" t="inlineStr">
        <is>
          <t>東京家政学院高等学校</t>
        </is>
      </c>
      <c r="E467" s="24" t="inlineStr">
        <is>
          <t>03-3262-2559</t>
        </is>
      </c>
      <c r="F467" s="23" t="n"/>
      <c r="G467" s="25" t="inlineStr">
        <is>
          <t>普通科</t>
        </is>
      </c>
      <c r="H467" s="26" t="inlineStr">
        <is>
          <t>☐</t>
        </is>
      </c>
      <c r="I467" s="26" t="inlineStr">
        <is>
          <t>☐</t>
        </is>
      </c>
      <c r="J467" s="26" t="inlineStr">
        <is>
          <t>☐</t>
        </is>
      </c>
      <c r="K467" s="26" t="inlineStr">
        <is>
          <t>☐</t>
        </is>
      </c>
      <c r="L467" s="26" t="inlineStr">
        <is>
          <t>☐</t>
        </is>
      </c>
      <c r="M467" s="25" t="n"/>
      <c r="N467" s="27" t="n">
        <v>0</v>
      </c>
      <c r="O467" s="28" t="n"/>
      <c r="P467" s="23" t="n"/>
      <c r="Q467" s="29" t="n"/>
      <c r="R467" s="29" t="n"/>
      <c r="S467" s="23" t="n"/>
      <c r="T467" s="30" t="n"/>
      <c r="U467" s="34" t="inlineStr">
        <is>
          <t>中</t>
        </is>
      </c>
      <c r="V467" s="32" t="inlineStr">
        <is>
          <t>学校情報サイトのみで確認。中高共通</t>
        </is>
      </c>
      <c r="W467" s="33" t="inlineStr">
        <is>
          <t>開く</t>
        </is>
      </c>
    </row>
    <row r="468" ht="30" customHeight="1">
      <c r="A468" s="23" t="inlineStr">
        <is>
          <t>13東京都</t>
        </is>
      </c>
      <c r="B468" s="23" t="inlineStr">
        <is>
          <t>私立</t>
        </is>
      </c>
      <c r="C468" s="23" t="n"/>
      <c r="D468" s="23" t="inlineStr">
        <is>
          <t>東京家政大学附属女子高等学校</t>
        </is>
      </c>
      <c r="E468" s="24" t="inlineStr">
        <is>
          <t>03-3961-2447</t>
        </is>
      </c>
      <c r="F468" s="23" t="n"/>
      <c r="G468" s="25" t="inlineStr">
        <is>
          <t>普通科</t>
        </is>
      </c>
      <c r="H468" s="26" t="inlineStr">
        <is>
          <t>☐</t>
        </is>
      </c>
      <c r="I468" s="26" t="inlineStr">
        <is>
          <t>☐</t>
        </is>
      </c>
      <c r="J468" s="26" t="inlineStr">
        <is>
          <t>☐</t>
        </is>
      </c>
      <c r="K468" s="26" t="inlineStr">
        <is>
          <t>☐</t>
        </is>
      </c>
      <c r="L468" s="26" t="inlineStr">
        <is>
          <t>☐</t>
        </is>
      </c>
      <c r="M468" s="25" t="n"/>
      <c r="N468" s="27" t="n">
        <v>0</v>
      </c>
      <c r="O468" s="28" t="n"/>
      <c r="P468" s="23" t="n"/>
      <c r="Q468" s="29" t="n"/>
      <c r="R468" s="29" t="n"/>
      <c r="S468" s="23" t="n"/>
      <c r="T468" s="30" t="n"/>
      <c r="U468" s="34" t="inlineStr">
        <is>
          <t>中</t>
        </is>
      </c>
      <c r="V468" s="32" t="inlineStr">
        <is>
          <t>複数サイトに掲載。入試広報部は03-3961-0748。代表か未確定</t>
        </is>
      </c>
      <c r="W468" s="33" t="inlineStr">
        <is>
          <t>開く</t>
        </is>
      </c>
    </row>
    <row r="469" ht="30" customHeight="1">
      <c r="A469" s="23" t="inlineStr">
        <is>
          <t>13東京都</t>
        </is>
      </c>
      <c r="B469" s="23" t="inlineStr">
        <is>
          <t>私立</t>
        </is>
      </c>
      <c r="C469" s="23" t="n"/>
      <c r="D469" s="23" t="inlineStr">
        <is>
          <t>東京高等学校</t>
        </is>
      </c>
      <c r="E469" s="24" t="inlineStr">
        <is>
          <t>03-3750-2635</t>
        </is>
      </c>
      <c r="F469" s="23" t="n"/>
      <c r="G469" s="25" t="inlineStr">
        <is>
          <t>普通科</t>
        </is>
      </c>
      <c r="H469" s="26" t="inlineStr">
        <is>
          <t>☐</t>
        </is>
      </c>
      <c r="I469" s="26" t="inlineStr">
        <is>
          <t>☐</t>
        </is>
      </c>
      <c r="J469" s="26" t="inlineStr">
        <is>
          <t>☐</t>
        </is>
      </c>
      <c r="K469" s="26" t="inlineStr">
        <is>
          <t>☐</t>
        </is>
      </c>
      <c r="L469" s="26" t="inlineStr">
        <is>
          <t>☐</t>
        </is>
      </c>
      <c r="M469" s="25" t="n"/>
      <c r="N469" s="27" t="n">
        <v>0</v>
      </c>
      <c r="O469" s="28" t="n"/>
      <c r="P469" s="23" t="n"/>
      <c r="Q469" s="29" t="n"/>
      <c r="R469" s="29" t="n"/>
      <c r="S469" s="23" t="n"/>
      <c r="T469" s="30" t="n"/>
      <c r="U469" s="31" t="inlineStr">
        <is>
          <t>高</t>
        </is>
      </c>
      <c r="V469" s="32" t="inlineStr">
        <is>
          <t>複数の情報源で一致</t>
        </is>
      </c>
      <c r="W469" s="33" t="inlineStr">
        <is>
          <t>開く</t>
        </is>
      </c>
    </row>
    <row r="470" ht="30" customHeight="1">
      <c r="A470" s="23" t="inlineStr">
        <is>
          <t>13東京都</t>
        </is>
      </c>
      <c r="B470" s="23" t="inlineStr">
        <is>
          <t>私立</t>
        </is>
      </c>
      <c r="C470" s="23" t="n"/>
      <c r="D470" s="23" t="inlineStr">
        <is>
          <t>東京実業高等学校</t>
        </is>
      </c>
      <c r="E470" s="24" t="inlineStr">
        <is>
          <t>03-3732-4481</t>
        </is>
      </c>
      <c r="F470" s="23" t="n"/>
      <c r="G470" s="25" t="inlineStr">
        <is>
          <t>普通科・専門学科</t>
        </is>
      </c>
      <c r="H470" s="26" t="inlineStr">
        <is>
          <t>☐</t>
        </is>
      </c>
      <c r="I470" s="26" t="inlineStr">
        <is>
          <t>☐</t>
        </is>
      </c>
      <c r="J470" s="26" t="inlineStr">
        <is>
          <t>☐</t>
        </is>
      </c>
      <c r="K470" s="26" t="inlineStr">
        <is>
          <t>☐</t>
        </is>
      </c>
      <c r="L470" s="26" t="inlineStr">
        <is>
          <t>☐</t>
        </is>
      </c>
      <c r="M470" s="25" t="n"/>
      <c r="N470" s="27" t="n">
        <v>0</v>
      </c>
      <c r="O470" s="28" t="n"/>
      <c r="P470" s="23" t="n"/>
      <c r="Q470" s="29" t="n"/>
      <c r="R470" s="29" t="n"/>
      <c r="S470" s="23" t="n"/>
      <c r="T470" s="30" t="n"/>
      <c r="U470" s="34" t="inlineStr">
        <is>
          <t>中</t>
        </is>
      </c>
      <c r="V470" s="32" t="inlineStr">
        <is>
          <t>学校情報サイト1件のみで確認</t>
        </is>
      </c>
      <c r="W470" s="33" t="inlineStr">
        <is>
          <t>開く</t>
        </is>
      </c>
    </row>
    <row r="471" ht="30" customHeight="1">
      <c r="A471" s="23" t="inlineStr">
        <is>
          <t>13東京都</t>
        </is>
      </c>
      <c r="B471" s="23" t="inlineStr">
        <is>
          <t>私立</t>
        </is>
      </c>
      <c r="C471" s="23" t="n"/>
      <c r="D471" s="23" t="inlineStr">
        <is>
          <t>東京純心女子高等学校</t>
        </is>
      </c>
      <c r="E471" s="24" t="inlineStr">
        <is>
          <t>042-691-1345</t>
        </is>
      </c>
      <c r="F471" s="23" t="n"/>
      <c r="G471" s="25" t="inlineStr">
        <is>
          <t>普通科</t>
        </is>
      </c>
      <c r="H471" s="26" t="inlineStr">
        <is>
          <t>☐</t>
        </is>
      </c>
      <c r="I471" s="26" t="inlineStr">
        <is>
          <t>☐</t>
        </is>
      </c>
      <c r="J471" s="26" t="inlineStr">
        <is>
          <t>☐</t>
        </is>
      </c>
      <c r="K471" s="26" t="inlineStr">
        <is>
          <t>☐</t>
        </is>
      </c>
      <c r="L471" s="26" t="inlineStr">
        <is>
          <t>☐</t>
        </is>
      </c>
      <c r="M471" s="25" t="n"/>
      <c r="N471" s="27" t="n">
        <v>0</v>
      </c>
      <c r="O471" s="28" t="n"/>
      <c r="P471" s="23" t="n"/>
      <c r="Q471" s="29" t="n"/>
      <c r="R471" s="29" t="n"/>
      <c r="S471" s="23" t="n"/>
      <c r="T471" s="30" t="n"/>
      <c r="U471" s="31" t="inlineStr">
        <is>
          <t>高</t>
        </is>
      </c>
      <c r="V471" s="32" t="inlineStr">
        <is>
          <t>中高共通。複数サイトで一致</t>
        </is>
      </c>
      <c r="W471" s="33" t="inlineStr">
        <is>
          <t>開く</t>
        </is>
      </c>
    </row>
    <row r="472" ht="30" customHeight="1">
      <c r="A472" s="23" t="inlineStr">
        <is>
          <t>13東京都</t>
        </is>
      </c>
      <c r="B472" s="23" t="inlineStr">
        <is>
          <t>私立</t>
        </is>
      </c>
      <c r="C472" s="23" t="n"/>
      <c r="D472" s="23" t="inlineStr">
        <is>
          <t>東京女学館高等学校</t>
        </is>
      </c>
      <c r="E472" s="24" t="inlineStr">
        <is>
          <t>03-3400-0867</t>
        </is>
      </c>
      <c r="F472" s="23" t="n"/>
      <c r="G472" s="25" t="inlineStr">
        <is>
          <t>普通科</t>
        </is>
      </c>
      <c r="H472" s="26" t="inlineStr">
        <is>
          <t>☐</t>
        </is>
      </c>
      <c r="I472" s="26" t="inlineStr">
        <is>
          <t>☐</t>
        </is>
      </c>
      <c r="J472" s="26" t="inlineStr">
        <is>
          <t>☐</t>
        </is>
      </c>
      <c r="K472" s="26" t="inlineStr">
        <is>
          <t>☐</t>
        </is>
      </c>
      <c r="L472" s="26" t="inlineStr">
        <is>
          <t>☐</t>
        </is>
      </c>
      <c r="M472" s="25" t="n"/>
      <c r="N472" s="27" t="n">
        <v>0</v>
      </c>
      <c r="O472" s="28" t="n"/>
      <c r="P472" s="23" t="n"/>
      <c r="Q472" s="29" t="n"/>
      <c r="R472" s="29" t="n"/>
      <c r="S472" s="23" t="n"/>
      <c r="T472" s="30" t="n"/>
      <c r="U472" s="34" t="inlineStr">
        <is>
          <t>中</t>
        </is>
      </c>
      <c r="V472" s="32" t="inlineStr">
        <is>
          <t>中高共通。学校情報サイト1件のみで確認</t>
        </is>
      </c>
      <c r="W472" s="33" t="inlineStr">
        <is>
          <t>開く</t>
        </is>
      </c>
    </row>
    <row r="473" ht="30" customHeight="1">
      <c r="A473" s="23" t="inlineStr">
        <is>
          <t>13東京都</t>
        </is>
      </c>
      <c r="B473" s="23" t="inlineStr">
        <is>
          <t>私立</t>
        </is>
      </c>
      <c r="C473" s="23" t="n"/>
      <c r="D473" s="23" t="inlineStr">
        <is>
          <t>東京成徳大学高等学校</t>
        </is>
      </c>
      <c r="E473" s="24" t="inlineStr">
        <is>
          <t>03-3911-5196</t>
        </is>
      </c>
      <c r="F473" s="23" t="n"/>
      <c r="G473" s="25" t="inlineStr">
        <is>
          <t>普通科</t>
        </is>
      </c>
      <c r="H473" s="26" t="inlineStr">
        <is>
          <t>☐</t>
        </is>
      </c>
      <c r="I473" s="26" t="inlineStr">
        <is>
          <t>☐</t>
        </is>
      </c>
      <c r="J473" s="26" t="inlineStr">
        <is>
          <t>☐</t>
        </is>
      </c>
      <c r="K473" s="26" t="inlineStr">
        <is>
          <t>☐</t>
        </is>
      </c>
      <c r="L473" s="26" t="inlineStr">
        <is>
          <t>☐</t>
        </is>
      </c>
      <c r="M473" s="25" t="n"/>
      <c r="N473" s="27" t="n">
        <v>0</v>
      </c>
      <c r="O473" s="28" t="n"/>
      <c r="P473" s="23" t="n"/>
      <c r="Q473" s="29" t="n"/>
      <c r="R473" s="29" t="n"/>
      <c r="S473" s="23" t="n"/>
      <c r="T473" s="30" t="n"/>
      <c r="U473" s="31" t="inlineStr">
        <is>
          <t>高</t>
        </is>
      </c>
      <c r="V473" s="32" t="inlineStr">
        <is>
          <t>高等部（王子）の番号（公式の学校案内）。中高一貫部（豊島）は03-3911-7109</t>
        </is>
      </c>
      <c r="W473" s="33" t="inlineStr">
        <is>
          <t>開く</t>
        </is>
      </c>
    </row>
    <row r="474" ht="30" customHeight="1">
      <c r="A474" s="23" t="inlineStr">
        <is>
          <t>13東京都</t>
        </is>
      </c>
      <c r="B474" s="23" t="inlineStr">
        <is>
          <t>私立</t>
        </is>
      </c>
      <c r="C474" s="23" t="n"/>
      <c r="D474" s="23" t="inlineStr">
        <is>
          <t>東京電機大学高等学校</t>
        </is>
      </c>
      <c r="E474" s="24" t="inlineStr">
        <is>
          <t>0422-37-6441</t>
        </is>
      </c>
      <c r="F474" s="23" t="n"/>
      <c r="G474" s="25" t="inlineStr">
        <is>
          <t>普通科</t>
        </is>
      </c>
      <c r="H474" s="26" t="inlineStr">
        <is>
          <t>☐</t>
        </is>
      </c>
      <c r="I474" s="26" t="inlineStr">
        <is>
          <t>☐</t>
        </is>
      </c>
      <c r="J474" s="26" t="inlineStr">
        <is>
          <t>☐</t>
        </is>
      </c>
      <c r="K474" s="26" t="inlineStr">
        <is>
          <t>☐</t>
        </is>
      </c>
      <c r="L474" s="26" t="inlineStr">
        <is>
          <t>☐</t>
        </is>
      </c>
      <c r="M474" s="25" t="n"/>
      <c r="N474" s="27" t="n">
        <v>0</v>
      </c>
      <c r="O474" s="28" t="n"/>
      <c r="P474" s="23" t="n"/>
      <c r="Q474" s="29" t="n"/>
      <c r="R474" s="29" t="n"/>
      <c r="S474" s="23" t="n"/>
      <c r="T474" s="30" t="n"/>
      <c r="U474" s="31" t="inlineStr">
        <is>
          <t>高</t>
        </is>
      </c>
      <c r="V474" s="32" t="inlineStr">
        <is>
          <t>事務室の番号。中高共通</t>
        </is>
      </c>
      <c r="W474" s="33" t="inlineStr">
        <is>
          <t>開く</t>
        </is>
      </c>
    </row>
    <row r="475" ht="30" customHeight="1">
      <c r="A475" s="23" t="inlineStr">
        <is>
          <t>13東京都</t>
        </is>
      </c>
      <c r="B475" s="23" t="inlineStr">
        <is>
          <t>私立</t>
        </is>
      </c>
      <c r="C475" s="23" t="n"/>
      <c r="D475" s="23" t="inlineStr">
        <is>
          <t>東京都市大学等々力高等学校</t>
        </is>
      </c>
      <c r="E475" s="24" t="inlineStr">
        <is>
          <t>03-5962-0104</t>
        </is>
      </c>
      <c r="F475" s="23" t="n"/>
      <c r="G475" s="25" t="inlineStr">
        <is>
          <t>普通科</t>
        </is>
      </c>
      <c r="H475" s="26" t="inlineStr">
        <is>
          <t>☐</t>
        </is>
      </c>
      <c r="I475" s="26" t="inlineStr">
        <is>
          <t>☐</t>
        </is>
      </c>
      <c r="J475" s="26" t="inlineStr">
        <is>
          <t>☐</t>
        </is>
      </c>
      <c r="K475" s="26" t="inlineStr">
        <is>
          <t>☐</t>
        </is>
      </c>
      <c r="L475" s="26" t="inlineStr">
        <is>
          <t>☐</t>
        </is>
      </c>
      <c r="M475" s="25" t="n"/>
      <c r="N475" s="27" t="n">
        <v>0</v>
      </c>
      <c r="O475" s="28" t="n"/>
      <c r="P475" s="23" t="n"/>
      <c r="Q475" s="29" t="n"/>
      <c r="R475" s="29" t="n"/>
      <c r="S475" s="23" t="n"/>
      <c r="T475" s="30" t="n"/>
      <c r="U475" s="34" t="inlineStr">
        <is>
          <t>中</t>
        </is>
      </c>
      <c r="V475" s="32" t="inlineStr">
        <is>
          <t>学校情報サイトのみで確認</t>
        </is>
      </c>
      <c r="W475" s="33" t="inlineStr">
        <is>
          <t>開く</t>
        </is>
      </c>
    </row>
    <row r="476" ht="30" customHeight="1">
      <c r="A476" s="23" t="inlineStr">
        <is>
          <t>13東京都</t>
        </is>
      </c>
      <c r="B476" s="23" t="inlineStr">
        <is>
          <t>私立</t>
        </is>
      </c>
      <c r="C476" s="23" t="n"/>
      <c r="D476" s="23" t="inlineStr">
        <is>
          <t>東京都市大学付属高等学校</t>
        </is>
      </c>
      <c r="E476" s="24" t="inlineStr">
        <is>
          <t>03-3415-0104</t>
        </is>
      </c>
      <c r="F476" s="23" t="n"/>
      <c r="G476" s="25" t="inlineStr">
        <is>
          <t>普通科</t>
        </is>
      </c>
      <c r="H476" s="26" t="inlineStr">
        <is>
          <t>☐</t>
        </is>
      </c>
      <c r="I476" s="26" t="inlineStr">
        <is>
          <t>☐</t>
        </is>
      </c>
      <c r="J476" s="26" t="inlineStr">
        <is>
          <t>☐</t>
        </is>
      </c>
      <c r="K476" s="26" t="inlineStr">
        <is>
          <t>☐</t>
        </is>
      </c>
      <c r="L476" s="26" t="inlineStr">
        <is>
          <t>☐</t>
        </is>
      </c>
      <c r="M476" s="25" t="n"/>
      <c r="N476" s="27" t="n">
        <v>0</v>
      </c>
      <c r="O476" s="28" t="n"/>
      <c r="P476" s="23" t="n"/>
      <c r="Q476" s="29" t="n"/>
      <c r="R476" s="29" t="n"/>
      <c r="S476" s="23" t="n"/>
      <c r="T476" s="30" t="n"/>
      <c r="U476" s="34" t="inlineStr">
        <is>
          <t>中</t>
        </is>
      </c>
      <c r="V476" s="32" t="inlineStr">
        <is>
          <t>中高共通。学校情報サイトで一致、公式未確認</t>
        </is>
      </c>
      <c r="W476" s="33" t="inlineStr">
        <is>
          <t>開く</t>
        </is>
      </c>
    </row>
    <row r="477" ht="30" customHeight="1">
      <c r="A477" s="23" t="inlineStr">
        <is>
          <t>13東京都</t>
        </is>
      </c>
      <c r="B477" s="23" t="inlineStr">
        <is>
          <t>私立</t>
        </is>
      </c>
      <c r="C477" s="23" t="n"/>
      <c r="D477" s="23" t="inlineStr">
        <is>
          <t>東京農業大学第一高等学校</t>
        </is>
      </c>
      <c r="E477" s="24" t="inlineStr">
        <is>
          <t>03-3425-4481</t>
        </is>
      </c>
      <c r="F477" s="23" t="n"/>
      <c r="G477" s="25" t="inlineStr">
        <is>
          <t>普通科</t>
        </is>
      </c>
      <c r="H477" s="26" t="inlineStr">
        <is>
          <t>☐</t>
        </is>
      </c>
      <c r="I477" s="26" t="inlineStr">
        <is>
          <t>☐</t>
        </is>
      </c>
      <c r="J477" s="26" t="inlineStr">
        <is>
          <t>☐</t>
        </is>
      </c>
      <c r="K477" s="26" t="inlineStr">
        <is>
          <t>☐</t>
        </is>
      </c>
      <c r="L477" s="26" t="inlineStr">
        <is>
          <t>☐</t>
        </is>
      </c>
      <c r="M477" s="25" t="n"/>
      <c r="N477" s="27" t="n">
        <v>0</v>
      </c>
      <c r="O477" s="28" t="n"/>
      <c r="P477" s="23" t="n"/>
      <c r="Q477" s="29" t="n"/>
      <c r="R477" s="29" t="n"/>
      <c r="S477" s="23" t="n"/>
      <c r="T477" s="30" t="n"/>
      <c r="U477" s="31" t="inlineStr">
        <is>
          <t>高</t>
        </is>
      </c>
      <c r="V477" s="32" t="inlineStr">
        <is>
          <t>中高共通。2025年度から高校募集を停止（完全中高一貫）との情報あり</t>
        </is>
      </c>
      <c r="W477" s="33" t="inlineStr">
        <is>
          <t>開く</t>
        </is>
      </c>
    </row>
    <row r="478" ht="30" customHeight="1">
      <c r="A478" s="23" t="inlineStr">
        <is>
          <t>13東京都</t>
        </is>
      </c>
      <c r="B478" s="23" t="inlineStr">
        <is>
          <t>私立</t>
        </is>
      </c>
      <c r="C478" s="23" t="n"/>
      <c r="D478" s="23" t="inlineStr">
        <is>
          <t>東京文華高等学校</t>
        </is>
      </c>
      <c r="E478" s="24" t="inlineStr">
        <is>
          <t>042-463-2903</t>
        </is>
      </c>
      <c r="F478" s="23" t="n"/>
      <c r="G478" s="25" t="inlineStr">
        <is>
          <t>普通科</t>
        </is>
      </c>
      <c r="H478" s="26" t="inlineStr">
        <is>
          <t>☐</t>
        </is>
      </c>
      <c r="I478" s="26" t="inlineStr">
        <is>
          <t>☐</t>
        </is>
      </c>
      <c r="J478" s="26" t="inlineStr">
        <is>
          <t>☐</t>
        </is>
      </c>
      <c r="K478" s="26" t="inlineStr">
        <is>
          <t>☐</t>
        </is>
      </c>
      <c r="L478" s="26" t="inlineStr">
        <is>
          <t>☐</t>
        </is>
      </c>
      <c r="M478" s="25" t="n"/>
      <c r="N478" s="27" t="n">
        <v>0</v>
      </c>
      <c r="O478" s="28" t="n"/>
      <c r="P478" s="23" t="n"/>
      <c r="Q478" s="29" t="n"/>
      <c r="R478" s="29" t="n"/>
      <c r="S478" s="23" t="n"/>
      <c r="T478" s="30" t="n"/>
      <c r="U478" s="31" t="inlineStr">
        <is>
          <t>高</t>
        </is>
      </c>
      <c r="V478" s="32" t="inlineStr">
        <is>
          <t>【校名変更】2026年4月に文華女子高校から改称・共学化。番号は変更なし</t>
        </is>
      </c>
      <c r="W478" s="33" t="inlineStr">
        <is>
          <t>開く</t>
        </is>
      </c>
    </row>
    <row r="479" ht="30" customHeight="1">
      <c r="A479" s="23" t="inlineStr">
        <is>
          <t>13東京都</t>
        </is>
      </c>
      <c r="B479" s="23" t="inlineStr">
        <is>
          <t>私立</t>
        </is>
      </c>
      <c r="C479" s="23" t="n"/>
      <c r="D479" s="23" t="inlineStr">
        <is>
          <t>東京立正高等学校</t>
        </is>
      </c>
      <c r="E479" s="24" t="inlineStr">
        <is>
          <t>03-3312-1111</t>
        </is>
      </c>
      <c r="F479" s="23" t="n"/>
      <c r="G479" s="25" t="inlineStr">
        <is>
          <t>普通科</t>
        </is>
      </c>
      <c r="H479" s="26" t="inlineStr">
        <is>
          <t>☐</t>
        </is>
      </c>
      <c r="I479" s="26" t="inlineStr">
        <is>
          <t>☐</t>
        </is>
      </c>
      <c r="J479" s="26" t="inlineStr">
        <is>
          <t>☐</t>
        </is>
      </c>
      <c r="K479" s="26" t="inlineStr">
        <is>
          <t>☐</t>
        </is>
      </c>
      <c r="L479" s="26" t="inlineStr">
        <is>
          <t>☐</t>
        </is>
      </c>
      <c r="M479" s="25" t="n"/>
      <c r="N479" s="27" t="n">
        <v>0</v>
      </c>
      <c r="O479" s="28" t="n"/>
      <c r="P479" s="23" t="n"/>
      <c r="Q479" s="29" t="n"/>
      <c r="R479" s="29" t="n"/>
      <c r="S479" s="23" t="n"/>
      <c r="T479" s="30" t="n"/>
      <c r="U479" s="31" t="inlineStr">
        <is>
          <t>高</t>
        </is>
      </c>
      <c r="V479" s="32" t="inlineStr">
        <is>
          <t>公式パンフレットに「代表」と記載</t>
        </is>
      </c>
      <c r="W479" s="33" t="inlineStr">
        <is>
          <t>開く</t>
        </is>
      </c>
    </row>
    <row r="480" ht="30" customHeight="1">
      <c r="A480" s="23" t="inlineStr">
        <is>
          <t>13東京都</t>
        </is>
      </c>
      <c r="B480" s="23" t="inlineStr">
        <is>
          <t>私立</t>
        </is>
      </c>
      <c r="C480" s="23" t="n"/>
      <c r="D480" s="23" t="inlineStr">
        <is>
          <t>東星学園高等学校</t>
        </is>
      </c>
      <c r="E480" s="24" t="inlineStr">
        <is>
          <t>042-493-3201</t>
        </is>
      </c>
      <c r="F480" s="23" t="n"/>
      <c r="G480" s="25" t="inlineStr">
        <is>
          <t>普通科</t>
        </is>
      </c>
      <c r="H480" s="26" t="inlineStr">
        <is>
          <t>☐</t>
        </is>
      </c>
      <c r="I480" s="26" t="inlineStr">
        <is>
          <t>☐</t>
        </is>
      </c>
      <c r="J480" s="26" t="inlineStr">
        <is>
          <t>☐</t>
        </is>
      </c>
      <c r="K480" s="26" t="inlineStr">
        <is>
          <t>☐</t>
        </is>
      </c>
      <c r="L480" s="26" t="inlineStr">
        <is>
          <t>☐</t>
        </is>
      </c>
      <c r="M480" s="25" t="n"/>
      <c r="N480" s="27" t="n">
        <v>0</v>
      </c>
      <c r="O480" s="28" t="n"/>
      <c r="P480" s="23" t="n"/>
      <c r="Q480" s="29" t="n"/>
      <c r="R480" s="29" t="n"/>
      <c r="S480" s="23" t="n"/>
      <c r="T480" s="30" t="n"/>
      <c r="U480" s="31" t="inlineStr">
        <is>
          <t>高</t>
        </is>
      </c>
      <c r="V480" s="32" t="inlineStr">
        <is>
          <t>代表として掲載。中高共通</t>
        </is>
      </c>
      <c r="W480" s="33" t="inlineStr">
        <is>
          <t>開く</t>
        </is>
      </c>
    </row>
    <row r="481" ht="30" customHeight="1">
      <c r="A481" s="23" t="inlineStr">
        <is>
          <t>13東京都</t>
        </is>
      </c>
      <c r="B481" s="23" t="inlineStr">
        <is>
          <t>私立</t>
        </is>
      </c>
      <c r="C481" s="23" t="n"/>
      <c r="D481" s="23" t="inlineStr">
        <is>
          <t>桐朋高等学校</t>
        </is>
      </c>
      <c r="E481" s="24" t="inlineStr">
        <is>
          <t>042-577-2171</t>
        </is>
      </c>
      <c r="F481" s="23" t="n"/>
      <c r="G481" s="25" t="inlineStr">
        <is>
          <t>普通科</t>
        </is>
      </c>
      <c r="H481" s="26" t="inlineStr">
        <is>
          <t>☐</t>
        </is>
      </c>
      <c r="I481" s="26" t="inlineStr">
        <is>
          <t>☐</t>
        </is>
      </c>
      <c r="J481" s="26" t="inlineStr">
        <is>
          <t>☐</t>
        </is>
      </c>
      <c r="K481" s="26" t="inlineStr">
        <is>
          <t>☐</t>
        </is>
      </c>
      <c r="L481" s="26" t="inlineStr">
        <is>
          <t>☐</t>
        </is>
      </c>
      <c r="M481" s="25" t="n"/>
      <c r="N481" s="27" t="n">
        <v>0</v>
      </c>
      <c r="O481" s="28" t="n"/>
      <c r="P481" s="23" t="n"/>
      <c r="Q481" s="29" t="n"/>
      <c r="R481" s="29" t="n"/>
      <c r="S481" s="23" t="n"/>
      <c r="T481" s="30" t="n"/>
      <c r="U481" s="31" t="inlineStr">
        <is>
          <t>高</t>
        </is>
      </c>
      <c r="V481" s="32" t="inlineStr">
        <is>
          <t>中高共通。複数サイトで一致。桐朋女子（調布市）とは別の学校</t>
        </is>
      </c>
      <c r="W481" s="33" t="inlineStr">
        <is>
          <t>開く</t>
        </is>
      </c>
    </row>
    <row r="482" ht="30" customHeight="1">
      <c r="A482" s="23" t="inlineStr">
        <is>
          <t>13東京都</t>
        </is>
      </c>
      <c r="B482" s="23" t="inlineStr">
        <is>
          <t>私立</t>
        </is>
      </c>
      <c r="C482" s="23" t="n"/>
      <c r="D482" s="23" t="inlineStr">
        <is>
          <t>桐朋女子高等学校</t>
        </is>
      </c>
      <c r="E482" s="24" t="inlineStr">
        <is>
          <t>03-3300-2111</t>
        </is>
      </c>
      <c r="F482" s="23" t="n"/>
      <c r="G482" s="25" t="inlineStr">
        <is>
          <t>普通科・専門学科</t>
        </is>
      </c>
      <c r="H482" s="26" t="inlineStr">
        <is>
          <t>☐</t>
        </is>
      </c>
      <c r="I482" s="26" t="inlineStr">
        <is>
          <t>☐</t>
        </is>
      </c>
      <c r="J482" s="26" t="inlineStr">
        <is>
          <t>☐</t>
        </is>
      </c>
      <c r="K482" s="26" t="inlineStr">
        <is>
          <t>☐</t>
        </is>
      </c>
      <c r="L482" s="26" t="inlineStr">
        <is>
          <t>☐</t>
        </is>
      </c>
      <c r="M482" s="25" t="n"/>
      <c r="N482" s="27" t="n">
        <v>0</v>
      </c>
      <c r="O482" s="28" t="n"/>
      <c r="P482" s="23" t="n"/>
      <c r="Q482" s="29" t="n"/>
      <c r="R482" s="29" t="n"/>
      <c r="S482" s="23" t="n"/>
      <c r="T482" s="30" t="n"/>
      <c r="U482" s="31" t="inlineStr">
        <is>
          <t>高</t>
        </is>
      </c>
      <c r="V482" s="32" t="inlineStr">
        <is>
          <t>公式の募集要項に「代表」と記載。入試事務局は03-3300-2116</t>
        </is>
      </c>
      <c r="W482" s="33" t="inlineStr">
        <is>
          <t>開く</t>
        </is>
      </c>
    </row>
    <row r="483" ht="30" customHeight="1">
      <c r="A483" s="23" t="inlineStr">
        <is>
          <t>13東京都</t>
        </is>
      </c>
      <c r="B483" s="23" t="inlineStr">
        <is>
          <t>私立</t>
        </is>
      </c>
      <c r="C483" s="23" t="n"/>
      <c r="D483" s="23" t="inlineStr">
        <is>
          <t>東洋英和女学院高等部</t>
        </is>
      </c>
      <c r="E483" s="24" t="inlineStr">
        <is>
          <t>03-3583-0696</t>
        </is>
      </c>
      <c r="F483" s="23" t="n"/>
      <c r="G483" s="25" t="inlineStr">
        <is>
          <t>普通科</t>
        </is>
      </c>
      <c r="H483" s="26" t="inlineStr">
        <is>
          <t>☐</t>
        </is>
      </c>
      <c r="I483" s="26" t="inlineStr">
        <is>
          <t>☐</t>
        </is>
      </c>
      <c r="J483" s="26" t="inlineStr">
        <is>
          <t>☐</t>
        </is>
      </c>
      <c r="K483" s="26" t="inlineStr">
        <is>
          <t>☐</t>
        </is>
      </c>
      <c r="L483" s="26" t="inlineStr">
        <is>
          <t>☐</t>
        </is>
      </c>
      <c r="M483" s="25" t="n"/>
      <c r="N483" s="27" t="n">
        <v>0</v>
      </c>
      <c r="O483" s="28" t="n"/>
      <c r="P483" s="23" t="n"/>
      <c r="Q483" s="29" t="n"/>
      <c r="R483" s="29" t="n"/>
      <c r="S483" s="23" t="n"/>
      <c r="T483" s="30" t="n"/>
      <c r="U483" s="31" t="inlineStr">
        <is>
          <t>高</t>
        </is>
      </c>
      <c r="V483" s="32" t="inlineStr">
        <is>
          <t>中高共通。高校募集なし（完全中高一貫）</t>
        </is>
      </c>
      <c r="W483" s="33" t="inlineStr">
        <is>
          <t>開く</t>
        </is>
      </c>
    </row>
    <row r="484" ht="30" customHeight="1">
      <c r="A484" s="23" t="inlineStr">
        <is>
          <t>13東京都</t>
        </is>
      </c>
      <c r="B484" s="23" t="inlineStr">
        <is>
          <t>私立</t>
        </is>
      </c>
      <c r="C484" s="23" t="n"/>
      <c r="D484" s="23" t="inlineStr">
        <is>
          <t>東洋高等学校</t>
        </is>
      </c>
      <c r="E484" s="24" t="inlineStr">
        <is>
          <t>03-3291-3824</t>
        </is>
      </c>
      <c r="F484" s="23" t="n"/>
      <c r="G484" s="25" t="inlineStr">
        <is>
          <t>普通科</t>
        </is>
      </c>
      <c r="H484" s="26" t="inlineStr">
        <is>
          <t>☐</t>
        </is>
      </c>
      <c r="I484" s="26" t="inlineStr">
        <is>
          <t>☐</t>
        </is>
      </c>
      <c r="J484" s="26" t="inlineStr">
        <is>
          <t>☐</t>
        </is>
      </c>
      <c r="K484" s="26" t="inlineStr">
        <is>
          <t>☐</t>
        </is>
      </c>
      <c r="L484" s="26" t="inlineStr">
        <is>
          <t>☐</t>
        </is>
      </c>
      <c r="M484" s="25" t="n"/>
      <c r="N484" s="27" t="n">
        <v>0</v>
      </c>
      <c r="O484" s="28" t="n"/>
      <c r="P484" s="23" t="n"/>
      <c r="Q484" s="29" t="n"/>
      <c r="R484" s="29" t="n"/>
      <c r="S484" s="23" t="n"/>
      <c r="T484" s="30" t="n"/>
      <c r="U484" s="31" t="inlineStr">
        <is>
          <t>高</t>
        </is>
      </c>
      <c r="V484" s="32" t="inlineStr">
        <is>
          <t>公式資料で確認</t>
        </is>
      </c>
      <c r="W484" s="33" t="inlineStr">
        <is>
          <t>開く</t>
        </is>
      </c>
    </row>
    <row r="485" ht="30" customHeight="1">
      <c r="A485" s="23" t="inlineStr">
        <is>
          <t>13東京都</t>
        </is>
      </c>
      <c r="B485" s="23" t="inlineStr">
        <is>
          <t>私立</t>
        </is>
      </c>
      <c r="C485" s="23" t="n"/>
      <c r="D485" s="23" t="inlineStr">
        <is>
          <t>東洋女子高等学校</t>
        </is>
      </c>
      <c r="E485" s="24" t="inlineStr">
        <is>
          <t>03-3941-2680</t>
        </is>
      </c>
      <c r="F485" s="23" t="n"/>
      <c r="G485" s="25" t="inlineStr">
        <is>
          <t>普通科</t>
        </is>
      </c>
      <c r="H485" s="26" t="inlineStr">
        <is>
          <t>☐</t>
        </is>
      </c>
      <c r="I485" s="26" t="inlineStr">
        <is>
          <t>☐</t>
        </is>
      </c>
      <c r="J485" s="26" t="inlineStr">
        <is>
          <t>☐</t>
        </is>
      </c>
      <c r="K485" s="26" t="inlineStr">
        <is>
          <t>☐</t>
        </is>
      </c>
      <c r="L485" s="26" t="inlineStr">
        <is>
          <t>☐</t>
        </is>
      </c>
      <c r="M485" s="25" t="n"/>
      <c r="N485" s="27" t="n">
        <v>0</v>
      </c>
      <c r="O485" s="28" t="n"/>
      <c r="P485" s="23" t="n"/>
      <c r="Q485" s="29" t="n"/>
      <c r="R485" s="29" t="n"/>
      <c r="S485" s="23" t="n"/>
      <c r="T485" s="30" t="n"/>
      <c r="U485" s="31" t="inlineStr">
        <is>
          <t>高</t>
        </is>
      </c>
      <c r="V485" s="32" t="inlineStr">
        <is>
          <t>文京区の一覧ほかで一致</t>
        </is>
      </c>
      <c r="W485" s="33" t="inlineStr">
        <is>
          <t>開く</t>
        </is>
      </c>
    </row>
    <row r="486" ht="30" customHeight="1">
      <c r="A486" s="23" t="inlineStr">
        <is>
          <t>13東京都</t>
        </is>
      </c>
      <c r="B486" s="23" t="inlineStr">
        <is>
          <t>私立</t>
        </is>
      </c>
      <c r="C486" s="23" t="n"/>
      <c r="D486" s="23" t="inlineStr">
        <is>
          <t>東洋大学京北高等学校</t>
        </is>
      </c>
      <c r="E486" s="24" t="inlineStr">
        <is>
          <t>03-3816-6211</t>
        </is>
      </c>
      <c r="F486" s="23" t="n"/>
      <c r="G486" s="25" t="inlineStr">
        <is>
          <t>普通科</t>
        </is>
      </c>
      <c r="H486" s="26" t="inlineStr">
        <is>
          <t>☐</t>
        </is>
      </c>
      <c r="I486" s="26" t="inlineStr">
        <is>
          <t>☐</t>
        </is>
      </c>
      <c r="J486" s="26" t="inlineStr">
        <is>
          <t>☐</t>
        </is>
      </c>
      <c r="K486" s="26" t="inlineStr">
        <is>
          <t>☐</t>
        </is>
      </c>
      <c r="L486" s="26" t="inlineStr">
        <is>
          <t>☐</t>
        </is>
      </c>
      <c r="M486" s="25" t="n"/>
      <c r="N486" s="27" t="n">
        <v>0</v>
      </c>
      <c r="O486" s="28" t="n"/>
      <c r="P486" s="23" t="n"/>
      <c r="Q486" s="29" t="n"/>
      <c r="R486" s="29" t="n"/>
      <c r="S486" s="23" t="n"/>
      <c r="T486" s="30" t="n"/>
      <c r="U486" s="31" t="inlineStr">
        <is>
          <t>高</t>
        </is>
      </c>
      <c r="V486" s="32" t="inlineStr">
        <is>
          <t>中高共通</t>
        </is>
      </c>
      <c r="W486" s="33" t="inlineStr">
        <is>
          <t>開く</t>
        </is>
      </c>
    </row>
    <row r="487" ht="30" customHeight="1">
      <c r="A487" s="23" t="inlineStr">
        <is>
          <t>13東京都</t>
        </is>
      </c>
      <c r="B487" s="23" t="inlineStr">
        <is>
          <t>私立</t>
        </is>
      </c>
      <c r="C487" s="23" t="n"/>
      <c r="D487" s="23" t="inlineStr">
        <is>
          <t>トキワ松学園高等学校</t>
        </is>
      </c>
      <c r="E487" s="24" t="inlineStr">
        <is>
          <t>03-3713-8161</t>
        </is>
      </c>
      <c r="F487" s="23" t="n"/>
      <c r="G487" s="25" t="inlineStr">
        <is>
          <t>普通科</t>
        </is>
      </c>
      <c r="H487" s="26" t="inlineStr">
        <is>
          <t>☐</t>
        </is>
      </c>
      <c r="I487" s="26" t="inlineStr">
        <is>
          <t>☐</t>
        </is>
      </c>
      <c r="J487" s="26" t="inlineStr">
        <is>
          <t>☐</t>
        </is>
      </c>
      <c r="K487" s="26" t="inlineStr">
        <is>
          <t>☐</t>
        </is>
      </c>
      <c r="L487" s="26" t="inlineStr">
        <is>
          <t>☐</t>
        </is>
      </c>
      <c r="M487" s="25" t="n"/>
      <c r="N487" s="27" t="n">
        <v>0</v>
      </c>
      <c r="O487" s="28" t="n"/>
      <c r="P487" s="23" t="n"/>
      <c r="Q487" s="29" t="n"/>
      <c r="R487" s="29" t="n"/>
      <c r="S487" s="23" t="n"/>
      <c r="T487" s="30" t="n"/>
      <c r="U487" s="31" t="inlineStr">
        <is>
          <t>高</t>
        </is>
      </c>
      <c r="V487" s="32" t="inlineStr">
        <is>
          <t>代表として掲載。中高共通</t>
        </is>
      </c>
      <c r="W487" s="33" t="inlineStr">
        <is>
          <t>開く</t>
        </is>
      </c>
    </row>
    <row r="488" ht="30" customHeight="1">
      <c r="A488" s="23" t="inlineStr">
        <is>
          <t>13東京都</t>
        </is>
      </c>
      <c r="B488" s="23" t="inlineStr">
        <is>
          <t>私立</t>
        </is>
      </c>
      <c r="C488" s="23" t="n"/>
      <c r="D488" s="23" t="inlineStr">
        <is>
          <t>豊島岡女子学園高等学校</t>
        </is>
      </c>
      <c r="E488" s="24" t="inlineStr">
        <is>
          <t>03-3983-8261</t>
        </is>
      </c>
      <c r="F488" s="23" t="n"/>
      <c r="G488" s="25" t="inlineStr">
        <is>
          <t>普通科</t>
        </is>
      </c>
      <c r="H488" s="26" t="inlineStr">
        <is>
          <t>☐</t>
        </is>
      </c>
      <c r="I488" s="26" t="inlineStr">
        <is>
          <t>☐</t>
        </is>
      </c>
      <c r="J488" s="26" t="inlineStr">
        <is>
          <t>☐</t>
        </is>
      </c>
      <c r="K488" s="26" t="inlineStr">
        <is>
          <t>☐</t>
        </is>
      </c>
      <c r="L488" s="26" t="inlineStr">
        <is>
          <t>☐</t>
        </is>
      </c>
      <c r="M488" s="25" t="n"/>
      <c r="N488" s="27" t="n">
        <v>0</v>
      </c>
      <c r="O488" s="28" t="n"/>
      <c r="P488" s="23" t="n"/>
      <c r="Q488" s="29" t="n"/>
      <c r="R488" s="29" t="n"/>
      <c r="S488" s="23" t="n"/>
      <c r="T488" s="30" t="n"/>
      <c r="U488" s="34" t="inlineStr">
        <is>
          <t>中</t>
        </is>
      </c>
      <c r="V488" s="32" t="inlineStr">
        <is>
          <t>中高共通。学校情報サイトのみで確認</t>
        </is>
      </c>
      <c r="W488" s="33" t="inlineStr">
        <is>
          <t>開く</t>
        </is>
      </c>
    </row>
    <row r="489" ht="30" customHeight="1">
      <c r="A489" s="23" t="inlineStr">
        <is>
          <t>13東京都</t>
        </is>
      </c>
      <c r="B489" s="23" t="inlineStr">
        <is>
          <t>私立</t>
        </is>
      </c>
      <c r="C489" s="23" t="n"/>
      <c r="D489" s="23" t="inlineStr">
        <is>
          <t>豊島学院高等学校</t>
        </is>
      </c>
      <c r="E489" s="24" t="inlineStr">
        <is>
          <t>03-3988-5511</t>
        </is>
      </c>
      <c r="F489" s="23" t="n"/>
      <c r="G489" s="25" t="inlineStr">
        <is>
          <t>普通科</t>
        </is>
      </c>
      <c r="H489" s="26" t="inlineStr">
        <is>
          <t>☐</t>
        </is>
      </c>
      <c r="I489" s="26" t="inlineStr">
        <is>
          <t>☐</t>
        </is>
      </c>
      <c r="J489" s="26" t="inlineStr">
        <is>
          <t>☐</t>
        </is>
      </c>
      <c r="K489" s="26" t="inlineStr">
        <is>
          <t>☐</t>
        </is>
      </c>
      <c r="L489" s="26" t="inlineStr">
        <is>
          <t>☐</t>
        </is>
      </c>
      <c r="M489" s="25" t="n"/>
      <c r="N489" s="27" t="n">
        <v>0</v>
      </c>
      <c r="O489" s="28" t="n"/>
      <c r="P489" s="23" t="n"/>
      <c r="Q489" s="29" t="n"/>
      <c r="R489" s="29" t="n"/>
      <c r="S489" s="23" t="n"/>
      <c r="T489" s="30" t="n"/>
      <c r="U489" s="31" t="inlineStr">
        <is>
          <t>高</t>
        </is>
      </c>
      <c r="V489" s="32" t="inlineStr">
        <is>
          <t>3つの情報源で一致。昭和鉄道高校と同じ番号（同じ学校法人・同じ敷地）</t>
        </is>
      </c>
      <c r="W489" s="33" t="inlineStr">
        <is>
          <t>開く</t>
        </is>
      </c>
    </row>
    <row r="490" ht="30" customHeight="1">
      <c r="A490" s="23" t="inlineStr">
        <is>
          <t>13東京都</t>
        </is>
      </c>
      <c r="B490" s="23" t="inlineStr">
        <is>
          <t>私立</t>
        </is>
      </c>
      <c r="C490" s="23" t="n"/>
      <c r="D490" s="23" t="inlineStr">
        <is>
          <t>獨協高等学校</t>
        </is>
      </c>
      <c r="E490" s="24" t="inlineStr">
        <is>
          <t>03-3943-3651</t>
        </is>
      </c>
      <c r="F490" s="23" t="n"/>
      <c r="G490" s="25" t="inlineStr">
        <is>
          <t>普通科</t>
        </is>
      </c>
      <c r="H490" s="26" t="inlineStr">
        <is>
          <t>☐</t>
        </is>
      </c>
      <c r="I490" s="26" t="inlineStr">
        <is>
          <t>☐</t>
        </is>
      </c>
      <c r="J490" s="26" t="inlineStr">
        <is>
          <t>☐</t>
        </is>
      </c>
      <c r="K490" s="26" t="inlineStr">
        <is>
          <t>☐</t>
        </is>
      </c>
      <c r="L490" s="26" t="inlineStr">
        <is>
          <t>☐</t>
        </is>
      </c>
      <c r="M490" s="25" t="n"/>
      <c r="N490" s="27" t="n">
        <v>0</v>
      </c>
      <c r="O490" s="28" t="n"/>
      <c r="P490" s="23" t="n"/>
      <c r="Q490" s="29" t="n"/>
      <c r="R490" s="29" t="n"/>
      <c r="S490" s="23" t="n"/>
      <c r="T490" s="30" t="n"/>
      <c r="U490" s="31" t="inlineStr">
        <is>
          <t>高</t>
        </is>
      </c>
      <c r="V490" s="32" t="inlineStr">
        <is>
          <t>代表として掲載。中高共通</t>
        </is>
      </c>
      <c r="W490" s="33" t="inlineStr">
        <is>
          <t>開く</t>
        </is>
      </c>
    </row>
    <row r="491" ht="30" customHeight="1">
      <c r="A491" s="23" t="inlineStr">
        <is>
          <t>13東京都</t>
        </is>
      </c>
      <c r="B491" s="23" t="inlineStr">
        <is>
          <t>私立</t>
        </is>
      </c>
      <c r="C491" s="23" t="n"/>
      <c r="D491" s="23" t="inlineStr">
        <is>
          <t>ドルトン東京学園高等部</t>
        </is>
      </c>
      <c r="E491" s="24" t="inlineStr">
        <is>
          <t>03-5787-7945</t>
        </is>
      </c>
      <c r="F491" s="23" t="n"/>
      <c r="G491" s="25" t="inlineStr">
        <is>
          <t>普通科</t>
        </is>
      </c>
      <c r="H491" s="26" t="inlineStr">
        <is>
          <t>☐</t>
        </is>
      </c>
      <c r="I491" s="26" t="inlineStr">
        <is>
          <t>☐</t>
        </is>
      </c>
      <c r="J491" s="26" t="inlineStr">
        <is>
          <t>☐</t>
        </is>
      </c>
      <c r="K491" s="26" t="inlineStr">
        <is>
          <t>☐</t>
        </is>
      </c>
      <c r="L491" s="26" t="inlineStr">
        <is>
          <t>☐</t>
        </is>
      </c>
      <c r="M491" s="25" t="n"/>
      <c r="N491" s="27" t="n">
        <v>0</v>
      </c>
      <c r="O491" s="28" t="n"/>
      <c r="P491" s="23" t="n"/>
      <c r="Q491" s="29" t="n"/>
      <c r="R491" s="29" t="n"/>
      <c r="S491" s="23" t="n"/>
      <c r="T491" s="30" t="n"/>
      <c r="U491" s="31" t="inlineStr">
        <is>
          <t>高</t>
        </is>
      </c>
      <c r="V491" s="32" t="inlineStr">
        <is>
          <t>中高共通</t>
        </is>
      </c>
      <c r="W491" s="33" t="inlineStr">
        <is>
          <t>開く</t>
        </is>
      </c>
    </row>
    <row r="492" ht="30" customHeight="1">
      <c r="A492" s="23" t="inlineStr">
        <is>
          <t>13東京都</t>
        </is>
      </c>
      <c r="B492" s="23" t="inlineStr">
        <is>
          <t>私立</t>
        </is>
      </c>
      <c r="C492" s="23" t="n"/>
      <c r="D492" s="23" t="inlineStr">
        <is>
          <t>中村高等学校</t>
        </is>
      </c>
      <c r="E492" s="24" t="inlineStr">
        <is>
          <t>03-3642-8041</t>
        </is>
      </c>
      <c r="F492" s="23" t="n"/>
      <c r="G492" s="25" t="inlineStr">
        <is>
          <t>普通科・専門学科</t>
        </is>
      </c>
      <c r="H492" s="26" t="inlineStr">
        <is>
          <t>☐</t>
        </is>
      </c>
      <c r="I492" s="26" t="inlineStr">
        <is>
          <t>☐</t>
        </is>
      </c>
      <c r="J492" s="26" t="inlineStr">
        <is>
          <t>☐</t>
        </is>
      </c>
      <c r="K492" s="26" t="inlineStr">
        <is>
          <t>☐</t>
        </is>
      </c>
      <c r="L492" s="26" t="inlineStr">
        <is>
          <t>☐</t>
        </is>
      </c>
      <c r="M492" s="25" t="n"/>
      <c r="N492" s="27" t="n">
        <v>0</v>
      </c>
      <c r="O492" s="28" t="n"/>
      <c r="P492" s="23" t="n"/>
      <c r="Q492" s="29" t="n"/>
      <c r="R492" s="29" t="n"/>
      <c r="S492" s="23" t="n"/>
      <c r="T492" s="30" t="n"/>
      <c r="U492" s="31" t="inlineStr">
        <is>
          <t>高</t>
        </is>
      </c>
      <c r="V492" s="32" t="inlineStr">
        <is>
          <t>中高共通</t>
        </is>
      </c>
      <c r="W492" s="33" t="inlineStr">
        <is>
          <t>開く</t>
        </is>
      </c>
    </row>
    <row r="493" ht="30" customHeight="1">
      <c r="A493" s="23" t="inlineStr">
        <is>
          <t>13東京都</t>
        </is>
      </c>
      <c r="B493" s="23" t="inlineStr">
        <is>
          <t>私立</t>
        </is>
      </c>
      <c r="C493" s="23" t="n"/>
      <c r="D493" s="23" t="inlineStr">
        <is>
          <t>二松学舎大学附属高等学校</t>
        </is>
      </c>
      <c r="E493" s="24" t="inlineStr">
        <is>
          <t>03-3261-9288</t>
        </is>
      </c>
      <c r="F493" s="23" t="n"/>
      <c r="G493" s="25" t="inlineStr">
        <is>
          <t>普通科</t>
        </is>
      </c>
      <c r="H493" s="26" t="inlineStr">
        <is>
          <t>☐</t>
        </is>
      </c>
      <c r="I493" s="26" t="inlineStr">
        <is>
          <t>☐</t>
        </is>
      </c>
      <c r="J493" s="26" t="inlineStr">
        <is>
          <t>☐</t>
        </is>
      </c>
      <c r="K493" s="26" t="inlineStr">
        <is>
          <t>☐</t>
        </is>
      </c>
      <c r="L493" s="26" t="inlineStr">
        <is>
          <t>☐</t>
        </is>
      </c>
      <c r="M493" s="25" t="n"/>
      <c r="N493" s="27" t="n">
        <v>0</v>
      </c>
      <c r="O493" s="28" t="n"/>
      <c r="P493" s="23" t="n"/>
      <c r="Q493" s="29" t="n"/>
      <c r="R493" s="29" t="n"/>
      <c r="S493" s="23" t="n"/>
      <c r="T493" s="30" t="n"/>
      <c r="U493" s="34" t="inlineStr">
        <is>
          <t>中</t>
        </is>
      </c>
      <c r="V493" s="32" t="inlineStr">
        <is>
          <t>学校情報サイト1件のみで確認。柏校とは別の学校</t>
        </is>
      </c>
      <c r="W493" s="33" t="inlineStr">
        <is>
          <t>開く</t>
        </is>
      </c>
    </row>
    <row r="494" ht="30" customHeight="1">
      <c r="A494" s="23" t="inlineStr">
        <is>
          <t>13東京都</t>
        </is>
      </c>
      <c r="B494" s="23" t="inlineStr">
        <is>
          <t>私立</t>
        </is>
      </c>
      <c r="C494" s="23" t="n"/>
      <c r="D494" s="23" t="inlineStr">
        <is>
          <t>新渡戸文化高等学校</t>
        </is>
      </c>
      <c r="E494" s="24" t="inlineStr">
        <is>
          <t>03-3381-0408</t>
        </is>
      </c>
      <c r="F494" s="23" t="n"/>
      <c r="G494" s="25" t="inlineStr">
        <is>
          <t>普通科</t>
        </is>
      </c>
      <c r="H494" s="26" t="inlineStr">
        <is>
          <t>☐</t>
        </is>
      </c>
      <c r="I494" s="26" t="inlineStr">
        <is>
          <t>☐</t>
        </is>
      </c>
      <c r="J494" s="26" t="inlineStr">
        <is>
          <t>☐</t>
        </is>
      </c>
      <c r="K494" s="26" t="inlineStr">
        <is>
          <t>☐</t>
        </is>
      </c>
      <c r="L494" s="26" t="inlineStr">
        <is>
          <t>☐</t>
        </is>
      </c>
      <c r="M494" s="25" t="n"/>
      <c r="N494" s="27" t="n">
        <v>0</v>
      </c>
      <c r="O494" s="28" t="n"/>
      <c r="P494" s="23" t="n"/>
      <c r="Q494" s="29" t="n"/>
      <c r="R494" s="29" t="n"/>
      <c r="S494" s="23" t="n"/>
      <c r="T494" s="30" t="n"/>
      <c r="U494" s="34" t="inlineStr">
        <is>
          <t>中</t>
        </is>
      </c>
      <c r="V494" s="32" t="inlineStr">
        <is>
          <t>中高共通。学校情報サイトのみで確認</t>
        </is>
      </c>
      <c r="W494" s="33" t="inlineStr">
        <is>
          <t>開く</t>
        </is>
      </c>
    </row>
    <row r="495" ht="30" customHeight="1">
      <c r="A495" s="23" t="inlineStr">
        <is>
          <t>13東京都</t>
        </is>
      </c>
      <c r="B495" s="23" t="inlineStr">
        <is>
          <t>私立</t>
        </is>
      </c>
      <c r="C495" s="23" t="n"/>
      <c r="D495" s="23" t="inlineStr">
        <is>
          <t>日本工業大学駒場高等学校</t>
        </is>
      </c>
      <c r="E495" s="24" t="inlineStr">
        <is>
          <t>03-3467-2130</t>
        </is>
      </c>
      <c r="F495" s="23" t="n"/>
      <c r="G495" s="25" t="inlineStr">
        <is>
          <t>普通科</t>
        </is>
      </c>
      <c r="H495" s="26" t="inlineStr">
        <is>
          <t>☐</t>
        </is>
      </c>
      <c r="I495" s="26" t="inlineStr">
        <is>
          <t>☐</t>
        </is>
      </c>
      <c r="J495" s="26" t="inlineStr">
        <is>
          <t>☐</t>
        </is>
      </c>
      <c r="K495" s="26" t="inlineStr">
        <is>
          <t>☐</t>
        </is>
      </c>
      <c r="L495" s="26" t="inlineStr">
        <is>
          <t>☐</t>
        </is>
      </c>
      <c r="M495" s="25" t="n"/>
      <c r="N495" s="27" t="n">
        <v>0</v>
      </c>
      <c r="O495" s="28" t="n"/>
      <c r="P495" s="23" t="n"/>
      <c r="Q495" s="29" t="n"/>
      <c r="R495" s="29" t="n"/>
      <c r="S495" s="23" t="n"/>
      <c r="T495" s="30" t="n"/>
      <c r="U495" s="34" t="inlineStr">
        <is>
          <t>中</t>
        </is>
      </c>
      <c r="V495" s="32" t="inlineStr">
        <is>
          <t>中高共通。学校情報サイトのみで確認</t>
        </is>
      </c>
      <c r="W495" s="33" t="inlineStr">
        <is>
          <t>開く</t>
        </is>
      </c>
    </row>
    <row r="496" ht="30" customHeight="1">
      <c r="A496" s="23" t="inlineStr">
        <is>
          <t>13東京都</t>
        </is>
      </c>
      <c r="B496" s="23" t="inlineStr">
        <is>
          <t>私立</t>
        </is>
      </c>
      <c r="C496" s="23" t="n"/>
      <c r="D496" s="23" t="inlineStr">
        <is>
          <t>日本女子体育大学附属二階堂高等学校</t>
        </is>
      </c>
      <c r="E496" s="24" t="inlineStr">
        <is>
          <t>03-3322-9159</t>
        </is>
      </c>
      <c r="F496" s="23" t="n"/>
      <c r="G496" s="25" t="inlineStr">
        <is>
          <t>普通科</t>
        </is>
      </c>
      <c r="H496" s="26" t="inlineStr">
        <is>
          <t>☐</t>
        </is>
      </c>
      <c r="I496" s="26" t="inlineStr">
        <is>
          <t>☐</t>
        </is>
      </c>
      <c r="J496" s="26" t="inlineStr">
        <is>
          <t>☐</t>
        </is>
      </c>
      <c r="K496" s="26" t="inlineStr">
        <is>
          <t>☐</t>
        </is>
      </c>
      <c r="L496" s="26" t="inlineStr">
        <is>
          <t>☐</t>
        </is>
      </c>
      <c r="M496" s="25" t="n"/>
      <c r="N496" s="27" t="n">
        <v>0</v>
      </c>
      <c r="O496" s="28" t="n"/>
      <c r="P496" s="23" t="n"/>
      <c r="Q496" s="29" t="n"/>
      <c r="R496" s="29" t="n"/>
      <c r="S496" s="23" t="n"/>
      <c r="T496" s="30" t="n"/>
      <c r="U496" s="34" t="inlineStr">
        <is>
          <t>中</t>
        </is>
      </c>
      <c r="V496" s="32" t="inlineStr">
        <is>
          <t>学校情報サイト1件のみで確認</t>
        </is>
      </c>
      <c r="W496" s="33" t="inlineStr">
        <is>
          <t>開く</t>
        </is>
      </c>
    </row>
    <row r="497" ht="30" customHeight="1">
      <c r="A497" s="23" t="inlineStr">
        <is>
          <t>13東京都</t>
        </is>
      </c>
      <c r="B497" s="23" t="inlineStr">
        <is>
          <t>私立</t>
        </is>
      </c>
      <c r="C497" s="23" t="n"/>
      <c r="D497" s="23" t="inlineStr">
        <is>
          <t>日本体育大学荏原高等学校</t>
        </is>
      </c>
      <c r="E497" s="24" t="inlineStr">
        <is>
          <t>03-3759-3291</t>
        </is>
      </c>
      <c r="F497" s="23" t="n"/>
      <c r="G497" s="25" t="inlineStr">
        <is>
          <t>普通科</t>
        </is>
      </c>
      <c r="H497" s="26" t="inlineStr">
        <is>
          <t>☐</t>
        </is>
      </c>
      <c r="I497" s="26" t="inlineStr">
        <is>
          <t>☐</t>
        </is>
      </c>
      <c r="J497" s="26" t="inlineStr">
        <is>
          <t>☐</t>
        </is>
      </c>
      <c r="K497" s="26" t="inlineStr">
        <is>
          <t>☐</t>
        </is>
      </c>
      <c r="L497" s="26" t="inlineStr">
        <is>
          <t>☐</t>
        </is>
      </c>
      <c r="M497" s="25" t="n"/>
      <c r="N497" s="27" t="n">
        <v>0</v>
      </c>
      <c r="O497" s="28" t="n"/>
      <c r="P497" s="23" t="n"/>
      <c r="Q497" s="29" t="n"/>
      <c r="R497" s="29" t="n"/>
      <c r="S497" s="23" t="n"/>
      <c r="T497" s="30" t="n"/>
      <c r="U497" s="31" t="inlineStr">
        <is>
          <t>高</t>
        </is>
      </c>
      <c r="V497" s="32" t="inlineStr">
        <is>
          <t>2つのサイトで一致</t>
        </is>
      </c>
      <c r="W497" s="33" t="inlineStr">
        <is>
          <t>開く</t>
        </is>
      </c>
    </row>
    <row r="498" ht="30" customHeight="1">
      <c r="A498" s="23" t="inlineStr">
        <is>
          <t>13東京都</t>
        </is>
      </c>
      <c r="B498" s="23" t="inlineStr">
        <is>
          <t>私立</t>
        </is>
      </c>
      <c r="C498" s="23" t="n"/>
      <c r="D498" s="23" t="inlineStr">
        <is>
          <t>日本体育大学桜華高等学校</t>
        </is>
      </c>
      <c r="E498" s="24" t="inlineStr">
        <is>
          <t>042-391-4133</t>
        </is>
      </c>
      <c r="F498" s="23" t="n"/>
      <c r="G498" s="25" t="inlineStr">
        <is>
          <t>普通科</t>
        </is>
      </c>
      <c r="H498" s="26" t="inlineStr">
        <is>
          <t>☐</t>
        </is>
      </c>
      <c r="I498" s="26" t="inlineStr">
        <is>
          <t>☐</t>
        </is>
      </c>
      <c r="J498" s="26" t="inlineStr">
        <is>
          <t>☐</t>
        </is>
      </c>
      <c r="K498" s="26" t="inlineStr">
        <is>
          <t>☐</t>
        </is>
      </c>
      <c r="L498" s="26" t="inlineStr">
        <is>
          <t>☐</t>
        </is>
      </c>
      <c r="M498" s="25" t="n"/>
      <c r="N498" s="27" t="n">
        <v>0</v>
      </c>
      <c r="O498" s="28" t="n"/>
      <c r="P498" s="23" t="n"/>
      <c r="Q498" s="29" t="n"/>
      <c r="R498" s="29" t="n"/>
      <c r="S498" s="23" t="n"/>
      <c r="T498" s="30" t="n"/>
      <c r="U498" s="31" t="inlineStr">
        <is>
          <t>高</t>
        </is>
      </c>
      <c r="V498" s="32" t="inlineStr">
        <is>
          <t>中高共通</t>
        </is>
      </c>
      <c r="W498" s="33" t="inlineStr">
        <is>
          <t>開く</t>
        </is>
      </c>
    </row>
    <row r="499" ht="30" customHeight="1">
      <c r="A499" s="23" t="inlineStr">
        <is>
          <t>13東京都</t>
        </is>
      </c>
      <c r="B499" s="23" t="inlineStr">
        <is>
          <t>私立</t>
        </is>
      </c>
      <c r="C499" s="23" t="n"/>
      <c r="D499" s="23" t="inlineStr">
        <is>
          <t>日本大学櫻丘高等学校</t>
        </is>
      </c>
      <c r="E499" s="24" t="inlineStr">
        <is>
          <t>03-5317-9300</t>
        </is>
      </c>
      <c r="F499" s="23" t="n"/>
      <c r="G499" s="25" t="inlineStr">
        <is>
          <t>普通科</t>
        </is>
      </c>
      <c r="H499" s="26" t="inlineStr">
        <is>
          <t>☐</t>
        </is>
      </c>
      <c r="I499" s="26" t="inlineStr">
        <is>
          <t>☐</t>
        </is>
      </c>
      <c r="J499" s="26" t="inlineStr">
        <is>
          <t>☐</t>
        </is>
      </c>
      <c r="K499" s="26" t="inlineStr">
        <is>
          <t>☐</t>
        </is>
      </c>
      <c r="L499" s="26" t="inlineStr">
        <is>
          <t>☐</t>
        </is>
      </c>
      <c r="M499" s="25" t="n"/>
      <c r="N499" s="27" t="n">
        <v>0</v>
      </c>
      <c r="O499" s="28" t="n"/>
      <c r="P499" s="23" t="n"/>
      <c r="Q499" s="29" t="n"/>
      <c r="R499" s="29" t="n"/>
      <c r="S499" s="23" t="n"/>
      <c r="T499" s="30" t="n"/>
      <c r="U499" s="34" t="inlineStr">
        <is>
          <t>中</t>
        </is>
      </c>
      <c r="V499" s="32" t="inlineStr">
        <is>
          <t>学校情報サイト1件のみで確認</t>
        </is>
      </c>
      <c r="W499" s="33" t="inlineStr">
        <is>
          <t>開く</t>
        </is>
      </c>
    </row>
    <row r="500" ht="30" customHeight="1">
      <c r="A500" s="23" t="inlineStr">
        <is>
          <t>13東京都</t>
        </is>
      </c>
      <c r="B500" s="23" t="inlineStr">
        <is>
          <t>私立</t>
        </is>
      </c>
      <c r="C500" s="23" t="n"/>
      <c r="D500" s="23" t="inlineStr">
        <is>
          <t>日本大学第一高等学校</t>
        </is>
      </c>
      <c r="E500" s="24" t="inlineStr">
        <is>
          <t>03-3625-0026</t>
        </is>
      </c>
      <c r="F500" s="23" t="n"/>
      <c r="G500" s="25" t="inlineStr">
        <is>
          <t>普通科</t>
        </is>
      </c>
      <c r="H500" s="26" t="inlineStr">
        <is>
          <t>☐</t>
        </is>
      </c>
      <c r="I500" s="26" t="inlineStr">
        <is>
          <t>☐</t>
        </is>
      </c>
      <c r="J500" s="26" t="inlineStr">
        <is>
          <t>☐</t>
        </is>
      </c>
      <c r="K500" s="26" t="inlineStr">
        <is>
          <t>☐</t>
        </is>
      </c>
      <c r="L500" s="26" t="inlineStr">
        <is>
          <t>☐</t>
        </is>
      </c>
      <c r="M500" s="25" t="n"/>
      <c r="N500" s="27" t="n">
        <v>0</v>
      </c>
      <c r="O500" s="28" t="n"/>
      <c r="P500" s="23" t="n"/>
      <c r="Q500" s="29" t="n"/>
      <c r="R500" s="29" t="n"/>
      <c r="S500" s="23" t="n"/>
      <c r="T500" s="30" t="n"/>
      <c r="U500" s="34" t="inlineStr">
        <is>
          <t>中</t>
        </is>
      </c>
      <c r="V500" s="32" t="inlineStr">
        <is>
          <t>中高共通。学校情報サイトのみで確認</t>
        </is>
      </c>
      <c r="W500" s="33" t="inlineStr">
        <is>
          <t>開く</t>
        </is>
      </c>
    </row>
    <row r="501" ht="30" customHeight="1">
      <c r="A501" s="23" t="inlineStr">
        <is>
          <t>13東京都</t>
        </is>
      </c>
      <c r="B501" s="23" t="inlineStr">
        <is>
          <t>私立</t>
        </is>
      </c>
      <c r="C501" s="23" t="n"/>
      <c r="D501" s="23" t="inlineStr">
        <is>
          <t>日本大学第三高等学校</t>
        </is>
      </c>
      <c r="E501" s="24" t="inlineStr">
        <is>
          <t>042-789-5535</t>
        </is>
      </c>
      <c r="F501" s="23" t="n"/>
      <c r="G501" s="25" t="inlineStr">
        <is>
          <t>普通科</t>
        </is>
      </c>
      <c r="H501" s="26" t="inlineStr">
        <is>
          <t>☐</t>
        </is>
      </c>
      <c r="I501" s="26" t="inlineStr">
        <is>
          <t>☐</t>
        </is>
      </c>
      <c r="J501" s="26" t="inlineStr">
        <is>
          <t>☐</t>
        </is>
      </c>
      <c r="K501" s="26" t="inlineStr">
        <is>
          <t>☐</t>
        </is>
      </c>
      <c r="L501" s="26" t="inlineStr">
        <is>
          <t>☐</t>
        </is>
      </c>
      <c r="M501" s="25" t="n"/>
      <c r="N501" s="27" t="n">
        <v>0</v>
      </c>
      <c r="O501" s="28" t="n"/>
      <c r="P501" s="23" t="n"/>
      <c r="Q501" s="29" t="n"/>
      <c r="R501" s="29" t="n"/>
      <c r="S501" s="23" t="n"/>
      <c r="T501" s="30" t="n"/>
      <c r="U501" s="34" t="inlineStr">
        <is>
          <t>中</t>
        </is>
      </c>
      <c r="V501" s="32" t="inlineStr">
        <is>
          <t>学校情報サイトのみで確認。中学校は042-793-2131の可能性</t>
        </is>
      </c>
      <c r="W501" s="33" t="inlineStr">
        <is>
          <t>開く</t>
        </is>
      </c>
    </row>
    <row r="502" ht="30" customHeight="1">
      <c r="A502" s="23" t="inlineStr">
        <is>
          <t>13東京都</t>
        </is>
      </c>
      <c r="B502" s="23" t="inlineStr">
        <is>
          <t>私立</t>
        </is>
      </c>
      <c r="C502" s="23" t="n"/>
      <c r="D502" s="23" t="inlineStr">
        <is>
          <t>日本大学第二高等学校</t>
        </is>
      </c>
      <c r="E502" s="24" t="inlineStr">
        <is>
          <t>03-3391-0223</t>
        </is>
      </c>
      <c r="F502" s="23" t="n"/>
      <c r="G502" s="25" t="inlineStr">
        <is>
          <t>普通科</t>
        </is>
      </c>
      <c r="H502" s="26" t="inlineStr">
        <is>
          <t>☐</t>
        </is>
      </c>
      <c r="I502" s="26" t="inlineStr">
        <is>
          <t>☐</t>
        </is>
      </c>
      <c r="J502" s="26" t="inlineStr">
        <is>
          <t>☐</t>
        </is>
      </c>
      <c r="K502" s="26" t="inlineStr">
        <is>
          <t>☐</t>
        </is>
      </c>
      <c r="L502" s="26" t="inlineStr">
        <is>
          <t>☐</t>
        </is>
      </c>
      <c r="M502" s="25" t="n"/>
      <c r="N502" s="27" t="n">
        <v>0</v>
      </c>
      <c r="O502" s="28" t="n"/>
      <c r="P502" s="23" t="n"/>
      <c r="Q502" s="29" t="n"/>
      <c r="R502" s="29" t="n"/>
      <c r="S502" s="23" t="n"/>
      <c r="T502" s="30" t="n"/>
      <c r="U502" s="31" t="inlineStr">
        <is>
          <t>高</t>
        </is>
      </c>
      <c r="V502" s="32" t="inlineStr">
        <is>
          <t>公式サイトで確認。中高共通</t>
        </is>
      </c>
      <c r="W502" s="33" t="inlineStr">
        <is>
          <t>開く</t>
        </is>
      </c>
    </row>
    <row r="503" ht="30" customHeight="1">
      <c r="A503" s="23" t="inlineStr">
        <is>
          <t>13東京都</t>
        </is>
      </c>
      <c r="B503" s="23" t="inlineStr">
        <is>
          <t>私立</t>
        </is>
      </c>
      <c r="C503" s="23" t="n"/>
      <c r="D503" s="23" t="inlineStr">
        <is>
          <t>日本大学鶴ヶ丘高等学校</t>
        </is>
      </c>
      <c r="E503" s="24" t="inlineStr">
        <is>
          <t>03-3322-7521</t>
        </is>
      </c>
      <c r="F503" s="23" t="n"/>
      <c r="G503" s="25" t="inlineStr">
        <is>
          <t>普通科</t>
        </is>
      </c>
      <c r="H503" s="26" t="inlineStr">
        <is>
          <t>☐</t>
        </is>
      </c>
      <c r="I503" s="26" t="inlineStr">
        <is>
          <t>☐</t>
        </is>
      </c>
      <c r="J503" s="26" t="inlineStr">
        <is>
          <t>☐</t>
        </is>
      </c>
      <c r="K503" s="26" t="inlineStr">
        <is>
          <t>☐</t>
        </is>
      </c>
      <c r="L503" s="26" t="inlineStr">
        <is>
          <t>☐</t>
        </is>
      </c>
      <c r="M503" s="25" t="n"/>
      <c r="N503" s="27" t="n">
        <v>0</v>
      </c>
      <c r="O503" s="28" t="n"/>
      <c r="P503" s="23" t="n"/>
      <c r="Q503" s="29" t="n"/>
      <c r="R503" s="29" t="n"/>
      <c r="S503" s="23" t="n"/>
      <c r="T503" s="30" t="n"/>
      <c r="U503" s="34" t="inlineStr">
        <is>
          <t>中</t>
        </is>
      </c>
      <c r="V503" s="32" t="inlineStr">
        <is>
          <t>学校情報サイト1件のみで確認</t>
        </is>
      </c>
      <c r="W503" s="33" t="inlineStr">
        <is>
          <t>開く</t>
        </is>
      </c>
    </row>
    <row r="504" ht="30" customHeight="1">
      <c r="A504" s="23" t="inlineStr">
        <is>
          <t>13東京都</t>
        </is>
      </c>
      <c r="B504" s="23" t="inlineStr">
        <is>
          <t>私立</t>
        </is>
      </c>
      <c r="C504" s="23" t="n"/>
      <c r="D504" s="23" t="inlineStr">
        <is>
          <t>日本大学豊山高等学校</t>
        </is>
      </c>
      <c r="E504" s="24" t="inlineStr">
        <is>
          <t>03-3943-2161</t>
        </is>
      </c>
      <c r="F504" s="23" t="n"/>
      <c r="G504" s="25" t="inlineStr">
        <is>
          <t>普通科</t>
        </is>
      </c>
      <c r="H504" s="26" t="inlineStr">
        <is>
          <t>☐</t>
        </is>
      </c>
      <c r="I504" s="26" t="inlineStr">
        <is>
          <t>☐</t>
        </is>
      </c>
      <c r="J504" s="26" t="inlineStr">
        <is>
          <t>☐</t>
        </is>
      </c>
      <c r="K504" s="26" t="inlineStr">
        <is>
          <t>☐</t>
        </is>
      </c>
      <c r="L504" s="26" t="inlineStr">
        <is>
          <t>☐</t>
        </is>
      </c>
      <c r="M504" s="25" t="n"/>
      <c r="N504" s="27" t="n">
        <v>0</v>
      </c>
      <c r="O504" s="28" t="n"/>
      <c r="P504" s="23" t="n"/>
      <c r="Q504" s="29" t="n"/>
      <c r="R504" s="29" t="n"/>
      <c r="S504" s="23" t="n"/>
      <c r="T504" s="30" t="n"/>
      <c r="U504" s="31" t="inlineStr">
        <is>
          <t>高</t>
        </is>
      </c>
      <c r="V504" s="32" t="inlineStr">
        <is>
          <t>公式資料に「代表」と記載。中高共通</t>
        </is>
      </c>
      <c r="W504" s="33" t="inlineStr">
        <is>
          <t>開く</t>
        </is>
      </c>
    </row>
    <row r="505" ht="30" customHeight="1">
      <c r="A505" s="23" t="inlineStr">
        <is>
          <t>13東京都</t>
        </is>
      </c>
      <c r="B505" s="23" t="inlineStr">
        <is>
          <t>私立</t>
        </is>
      </c>
      <c r="C505" s="23" t="n"/>
      <c r="D505" s="23" t="inlineStr">
        <is>
          <t>日本大学豊山女子高等学校</t>
        </is>
      </c>
      <c r="E505" s="24" t="inlineStr">
        <is>
          <t>03-3934-2341</t>
        </is>
      </c>
      <c r="F505" s="23" t="n"/>
      <c r="G505" s="25" t="inlineStr">
        <is>
          <t>普通科・専門学科</t>
        </is>
      </c>
      <c r="H505" s="26" t="inlineStr">
        <is>
          <t>☐</t>
        </is>
      </c>
      <c r="I505" s="26" t="inlineStr">
        <is>
          <t>☐</t>
        </is>
      </c>
      <c r="J505" s="26" t="inlineStr">
        <is>
          <t>☐</t>
        </is>
      </c>
      <c r="K505" s="26" t="inlineStr">
        <is>
          <t>☐</t>
        </is>
      </c>
      <c r="L505" s="26" t="inlineStr">
        <is>
          <t>☐</t>
        </is>
      </c>
      <c r="M505" s="25" t="n"/>
      <c r="N505" s="27" t="n">
        <v>0</v>
      </c>
      <c r="O505" s="28" t="n"/>
      <c r="P505" s="23" t="n"/>
      <c r="Q505" s="29" t="n"/>
      <c r="R505" s="29" t="n"/>
      <c r="S505" s="23" t="n"/>
      <c r="T505" s="30" t="n"/>
      <c r="U505" s="31" t="inlineStr">
        <is>
          <t>高</t>
        </is>
      </c>
      <c r="V505" s="32" t="inlineStr">
        <is>
          <t>中高共通。2つのサイトで一致</t>
        </is>
      </c>
      <c r="W505" s="33" t="inlineStr">
        <is>
          <t>開く</t>
        </is>
      </c>
    </row>
    <row r="506" ht="30" customHeight="1">
      <c r="A506" s="23" t="inlineStr">
        <is>
          <t>13東京都</t>
        </is>
      </c>
      <c r="B506" s="23" t="inlineStr">
        <is>
          <t>私立</t>
        </is>
      </c>
      <c r="C506" s="23" t="n"/>
      <c r="D506" s="23" t="inlineStr">
        <is>
          <t>八王子学園八王子高等学校</t>
        </is>
      </c>
      <c r="E506" s="24" t="inlineStr">
        <is>
          <t>042-623-3461</t>
        </is>
      </c>
      <c r="F506" s="23" t="n"/>
      <c r="G506" s="25" t="inlineStr">
        <is>
          <t>普通科</t>
        </is>
      </c>
      <c r="H506" s="26" t="inlineStr">
        <is>
          <t>☐</t>
        </is>
      </c>
      <c r="I506" s="26" t="inlineStr">
        <is>
          <t>☐</t>
        </is>
      </c>
      <c r="J506" s="26" t="inlineStr">
        <is>
          <t>☐</t>
        </is>
      </c>
      <c r="K506" s="26" t="inlineStr">
        <is>
          <t>☐</t>
        </is>
      </c>
      <c r="L506" s="26" t="inlineStr">
        <is>
          <t>☐</t>
        </is>
      </c>
      <c r="M506" s="25" t="n"/>
      <c r="N506" s="27" t="n">
        <v>0</v>
      </c>
      <c r="O506" s="28" t="n"/>
      <c r="P506" s="23" t="n"/>
      <c r="Q506" s="29" t="n"/>
      <c r="R506" s="29" t="n"/>
      <c r="S506" s="23" t="n"/>
      <c r="T506" s="30" t="n"/>
      <c r="U506" s="34" t="inlineStr">
        <is>
          <t>中</t>
        </is>
      </c>
      <c r="V506" s="32" t="inlineStr">
        <is>
          <t>中高共通。学校情報サイトのみで確認</t>
        </is>
      </c>
      <c r="W506" s="33" t="inlineStr">
        <is>
          <t>開く</t>
        </is>
      </c>
    </row>
    <row r="507" ht="30" customHeight="1">
      <c r="A507" s="23" t="inlineStr">
        <is>
          <t>13東京都</t>
        </is>
      </c>
      <c r="B507" s="23" t="inlineStr">
        <is>
          <t>私立</t>
        </is>
      </c>
      <c r="C507" s="23" t="n"/>
      <c r="D507" s="23" t="inlineStr">
        <is>
          <t>八王子実践高等学校</t>
        </is>
      </c>
      <c r="E507" s="24" t="inlineStr">
        <is>
          <t>042-622-0654</t>
        </is>
      </c>
      <c r="F507" s="23" t="n"/>
      <c r="G507" s="25" t="inlineStr">
        <is>
          <t>普通科</t>
        </is>
      </c>
      <c r="H507" s="26" t="inlineStr">
        <is>
          <t>☐</t>
        </is>
      </c>
      <c r="I507" s="26" t="inlineStr">
        <is>
          <t>☐</t>
        </is>
      </c>
      <c r="J507" s="26" t="inlineStr">
        <is>
          <t>☐</t>
        </is>
      </c>
      <c r="K507" s="26" t="inlineStr">
        <is>
          <t>☐</t>
        </is>
      </c>
      <c r="L507" s="26" t="inlineStr">
        <is>
          <t>☐</t>
        </is>
      </c>
      <c r="M507" s="25" t="n"/>
      <c r="N507" s="27" t="n">
        <v>0</v>
      </c>
      <c r="O507" s="28" t="n"/>
      <c r="P507" s="23" t="n"/>
      <c r="Q507" s="29" t="n"/>
      <c r="R507" s="29" t="n"/>
      <c r="S507" s="23" t="n"/>
      <c r="T507" s="30" t="n"/>
      <c r="U507" s="34" t="inlineStr">
        <is>
          <t>中</t>
        </is>
      </c>
      <c r="V507" s="32" t="inlineStr">
        <is>
          <t>中高共通。学校情報サイトのみで確認</t>
        </is>
      </c>
      <c r="W507" s="33" t="inlineStr">
        <is>
          <t>開く</t>
        </is>
      </c>
    </row>
    <row r="508" ht="30" customHeight="1">
      <c r="A508" s="23" t="inlineStr">
        <is>
          <t>13東京都</t>
        </is>
      </c>
      <c r="B508" s="23" t="inlineStr">
        <is>
          <t>私立</t>
        </is>
      </c>
      <c r="C508" s="23" t="n"/>
      <c r="D508" s="23" t="inlineStr">
        <is>
          <t>羽田国際高等学校</t>
        </is>
      </c>
      <c r="E508" s="24" t="inlineStr">
        <is>
          <t>03-3742-1511</t>
        </is>
      </c>
      <c r="F508" s="23" t="n"/>
      <c r="G508" s="25" t="inlineStr">
        <is>
          <t>普通科</t>
        </is>
      </c>
      <c r="H508" s="26" t="inlineStr">
        <is>
          <t>☐</t>
        </is>
      </c>
      <c r="I508" s="26" t="inlineStr">
        <is>
          <t>☐</t>
        </is>
      </c>
      <c r="J508" s="26" t="inlineStr">
        <is>
          <t>☐</t>
        </is>
      </c>
      <c r="K508" s="26" t="inlineStr">
        <is>
          <t>☐</t>
        </is>
      </c>
      <c r="L508" s="26" t="inlineStr">
        <is>
          <t>☐</t>
        </is>
      </c>
      <c r="M508" s="25" t="n"/>
      <c r="N508" s="27" t="n">
        <v>0</v>
      </c>
      <c r="O508" s="28" t="n"/>
      <c r="P508" s="23" t="n"/>
      <c r="Q508" s="29" t="n"/>
      <c r="R508" s="29" t="n"/>
      <c r="S508" s="23" t="n"/>
      <c r="T508" s="30" t="n"/>
      <c r="U508" s="31" t="inlineStr">
        <is>
          <t>高</t>
        </is>
      </c>
      <c r="V508" s="32" t="inlineStr">
        <is>
          <t>法人の広報資料と学校情報サイトで一致。中高共通</t>
        </is>
      </c>
      <c r="W508" s="33" t="inlineStr">
        <is>
          <t>開く</t>
        </is>
      </c>
    </row>
    <row r="509" ht="30" customHeight="1">
      <c r="A509" s="23" t="inlineStr">
        <is>
          <t>13東京都</t>
        </is>
      </c>
      <c r="B509" s="23" t="inlineStr">
        <is>
          <t>私立</t>
        </is>
      </c>
      <c r="C509" s="23" t="n"/>
      <c r="D509" s="23" t="inlineStr">
        <is>
          <t>広尾学園小石川高等学校</t>
        </is>
      </c>
      <c r="E509" s="24" t="inlineStr">
        <is>
          <t>03-5940-4455</t>
        </is>
      </c>
      <c r="F509" s="23" t="n"/>
      <c r="G509" s="25" t="inlineStr">
        <is>
          <t>普通科</t>
        </is>
      </c>
      <c r="H509" s="26" t="inlineStr">
        <is>
          <t>☐</t>
        </is>
      </c>
      <c r="I509" s="26" t="inlineStr">
        <is>
          <t>☐</t>
        </is>
      </c>
      <c r="J509" s="26" t="inlineStr">
        <is>
          <t>☐</t>
        </is>
      </c>
      <c r="K509" s="26" t="inlineStr">
        <is>
          <t>☐</t>
        </is>
      </c>
      <c r="L509" s="26" t="inlineStr">
        <is>
          <t>☐</t>
        </is>
      </c>
      <c r="M509" s="25" t="n"/>
      <c r="N509" s="27" t="n">
        <v>0</v>
      </c>
      <c r="O509" s="28" t="n"/>
      <c r="P509" s="23" t="n"/>
      <c r="Q509" s="29" t="n"/>
      <c r="R509" s="29" t="n"/>
      <c r="S509" s="23" t="n"/>
      <c r="T509" s="30" t="n"/>
      <c r="U509" s="31" t="inlineStr">
        <is>
          <t>高</t>
        </is>
      </c>
      <c r="V509" s="32" t="inlineStr">
        <is>
          <t>公式サイトで確認。中高共通。入試専用は03-5940-4187</t>
        </is>
      </c>
      <c r="W509" s="33" t="inlineStr">
        <is>
          <t>開く</t>
        </is>
      </c>
    </row>
    <row r="510" ht="30" customHeight="1">
      <c r="A510" s="23" t="inlineStr">
        <is>
          <t>13東京都</t>
        </is>
      </c>
      <c r="B510" s="23" t="inlineStr">
        <is>
          <t>私立</t>
        </is>
      </c>
      <c r="C510" s="23" t="n"/>
      <c r="D510" s="23" t="inlineStr">
        <is>
          <t>広尾学園高等学校</t>
        </is>
      </c>
      <c r="E510" s="24" t="inlineStr">
        <is>
          <t>03-3444-7272</t>
        </is>
      </c>
      <c r="F510" s="23" t="n"/>
      <c r="G510" s="25" t="inlineStr">
        <is>
          <t>普通科</t>
        </is>
      </c>
      <c r="H510" s="26" t="inlineStr">
        <is>
          <t>☐</t>
        </is>
      </c>
      <c r="I510" s="26" t="inlineStr">
        <is>
          <t>☐</t>
        </is>
      </c>
      <c r="J510" s="26" t="inlineStr">
        <is>
          <t>☐</t>
        </is>
      </c>
      <c r="K510" s="26" t="inlineStr">
        <is>
          <t>☐</t>
        </is>
      </c>
      <c r="L510" s="26" t="inlineStr">
        <is>
          <t>☐</t>
        </is>
      </c>
      <c r="M510" s="25" t="n"/>
      <c r="N510" s="27" t="n">
        <v>0</v>
      </c>
      <c r="O510" s="28" t="n"/>
      <c r="P510" s="23" t="n"/>
      <c r="Q510" s="29" t="n"/>
      <c r="R510" s="29" t="n"/>
      <c r="S510" s="23" t="n"/>
      <c r="T510" s="30" t="n"/>
      <c r="U510" s="31" t="inlineStr">
        <is>
          <t>高</t>
        </is>
      </c>
      <c r="V510" s="32" t="inlineStr">
        <is>
          <t>公式資料（広報室）と学校情報サイトで一致。中高共通</t>
        </is>
      </c>
      <c r="W510" s="33" t="inlineStr">
        <is>
          <t>開く</t>
        </is>
      </c>
    </row>
    <row r="511" ht="30" customHeight="1">
      <c r="A511" s="23" t="inlineStr">
        <is>
          <t>13東京都</t>
        </is>
      </c>
      <c r="B511" s="23" t="inlineStr">
        <is>
          <t>私立</t>
        </is>
      </c>
      <c r="C511" s="23" t="n"/>
      <c r="D511" s="23" t="inlineStr">
        <is>
          <t>フェリシア高等学校</t>
        </is>
      </c>
      <c r="E511" s="24" t="inlineStr">
        <is>
          <t>044-988-1126</t>
        </is>
      </c>
      <c r="F511" s="23" t="n"/>
      <c r="G511" s="25" t="inlineStr">
        <is>
          <t>普通科</t>
        </is>
      </c>
      <c r="H511" s="26" t="inlineStr">
        <is>
          <t>☐</t>
        </is>
      </c>
      <c r="I511" s="26" t="inlineStr">
        <is>
          <t>☐</t>
        </is>
      </c>
      <c r="J511" s="26" t="inlineStr">
        <is>
          <t>☐</t>
        </is>
      </c>
      <c r="K511" s="26" t="inlineStr">
        <is>
          <t>☐</t>
        </is>
      </c>
      <c r="L511" s="26" t="inlineStr">
        <is>
          <t>☐</t>
        </is>
      </c>
      <c r="M511" s="25" t="n"/>
      <c r="N511" s="27" t="n">
        <v>0</v>
      </c>
      <c r="O511" s="28" t="n"/>
      <c r="P511" s="23" t="n"/>
      <c r="Q511" s="29" t="n"/>
      <c r="R511" s="29" t="n"/>
      <c r="S511" s="23" t="n"/>
      <c r="T511" s="30" t="n"/>
      <c r="U511" s="34" t="inlineStr">
        <is>
          <t>中</t>
        </is>
      </c>
      <c r="V511" s="32" t="inlineStr">
        <is>
          <t>学校情報サイト1件のみで確認（所在地は町田市、市外局番044）</t>
        </is>
      </c>
      <c r="W511" s="33" t="inlineStr">
        <is>
          <t>開く</t>
        </is>
      </c>
    </row>
    <row r="512" ht="30" customHeight="1">
      <c r="A512" s="23" t="inlineStr">
        <is>
          <t>13東京都</t>
        </is>
      </c>
      <c r="B512" s="23" t="inlineStr">
        <is>
          <t>私立</t>
        </is>
      </c>
      <c r="C512" s="23" t="n"/>
      <c r="D512" s="23" t="inlineStr">
        <is>
          <t>富士見丘高等学校</t>
        </is>
      </c>
      <c r="E512" s="24" t="inlineStr">
        <is>
          <t>03-3376-1481</t>
        </is>
      </c>
      <c r="F512" s="23" t="n"/>
      <c r="G512" s="25" t="inlineStr">
        <is>
          <t>普通科</t>
        </is>
      </c>
      <c r="H512" s="26" t="inlineStr">
        <is>
          <t>☐</t>
        </is>
      </c>
      <c r="I512" s="26" t="inlineStr">
        <is>
          <t>☐</t>
        </is>
      </c>
      <c r="J512" s="26" t="inlineStr">
        <is>
          <t>☐</t>
        </is>
      </c>
      <c r="K512" s="26" t="inlineStr">
        <is>
          <t>☐</t>
        </is>
      </c>
      <c r="L512" s="26" t="inlineStr">
        <is>
          <t>☐</t>
        </is>
      </c>
      <c r="M512" s="25" t="n"/>
      <c r="N512" s="27" t="n">
        <v>0</v>
      </c>
      <c r="O512" s="28" t="n"/>
      <c r="P512" s="23" t="n"/>
      <c r="Q512" s="29" t="n"/>
      <c r="R512" s="29" t="n"/>
      <c r="S512" s="23" t="n"/>
      <c r="T512" s="30" t="n"/>
      <c r="U512" s="31" t="inlineStr">
        <is>
          <t>高</t>
        </is>
      </c>
      <c r="V512" s="32" t="inlineStr">
        <is>
          <t>中高共通。富士見高校（練馬区）とは別の学校</t>
        </is>
      </c>
      <c r="W512" s="33" t="inlineStr">
        <is>
          <t>開く</t>
        </is>
      </c>
    </row>
    <row r="513" ht="30" customHeight="1">
      <c r="A513" s="23" t="inlineStr">
        <is>
          <t>13東京都</t>
        </is>
      </c>
      <c r="B513" s="23" t="inlineStr">
        <is>
          <t>私立</t>
        </is>
      </c>
      <c r="C513" s="23" t="n"/>
      <c r="D513" s="23" t="inlineStr">
        <is>
          <t>富士見高等学校</t>
        </is>
      </c>
      <c r="E513" s="24" t="inlineStr">
        <is>
          <t>03-3999-2136</t>
        </is>
      </c>
      <c r="F513" s="23" t="n"/>
      <c r="G513" s="25" t="inlineStr">
        <is>
          <t>普通科</t>
        </is>
      </c>
      <c r="H513" s="26" t="inlineStr">
        <is>
          <t>☐</t>
        </is>
      </c>
      <c r="I513" s="26" t="inlineStr">
        <is>
          <t>☐</t>
        </is>
      </c>
      <c r="J513" s="26" t="inlineStr">
        <is>
          <t>☐</t>
        </is>
      </c>
      <c r="K513" s="26" t="inlineStr">
        <is>
          <t>☐</t>
        </is>
      </c>
      <c r="L513" s="26" t="inlineStr">
        <is>
          <t>☐</t>
        </is>
      </c>
      <c r="M513" s="25" t="n"/>
      <c r="N513" s="27" t="n">
        <v>0</v>
      </c>
      <c r="O513" s="28" t="n"/>
      <c r="P513" s="23" t="n"/>
      <c r="Q513" s="29" t="n"/>
      <c r="R513" s="29" t="n"/>
      <c r="S513" s="23" t="n"/>
      <c r="T513" s="30" t="n"/>
      <c r="U513" s="31" t="inlineStr">
        <is>
          <t>高</t>
        </is>
      </c>
      <c r="V513" s="32" t="inlineStr">
        <is>
          <t>練馬区の一覧と一致。富士見丘高校（渋谷区）とは別の学校</t>
        </is>
      </c>
      <c r="W513" s="33" t="inlineStr">
        <is>
          <t>開く</t>
        </is>
      </c>
    </row>
    <row r="514" ht="30" customHeight="1">
      <c r="A514" s="23" t="inlineStr">
        <is>
          <t>13東京都</t>
        </is>
      </c>
      <c r="B514" s="23" t="inlineStr">
        <is>
          <t>私立</t>
        </is>
      </c>
      <c r="C514" s="23" t="n"/>
      <c r="D514" s="23" t="inlineStr">
        <is>
          <t>雙葉高等学校</t>
        </is>
      </c>
      <c r="E514" s="24" t="inlineStr">
        <is>
          <t>03-3261-0821</t>
        </is>
      </c>
      <c r="F514" s="23" t="n"/>
      <c r="G514" s="25" t="inlineStr">
        <is>
          <t>普通科</t>
        </is>
      </c>
      <c r="H514" s="26" t="inlineStr">
        <is>
          <t>☐</t>
        </is>
      </c>
      <c r="I514" s="26" t="inlineStr">
        <is>
          <t>☐</t>
        </is>
      </c>
      <c r="J514" s="26" t="inlineStr">
        <is>
          <t>☐</t>
        </is>
      </c>
      <c r="K514" s="26" t="inlineStr">
        <is>
          <t>☐</t>
        </is>
      </c>
      <c r="L514" s="26" t="inlineStr">
        <is>
          <t>☐</t>
        </is>
      </c>
      <c r="M514" s="25" t="n"/>
      <c r="N514" s="27" t="n">
        <v>0</v>
      </c>
      <c r="O514" s="28" t="n"/>
      <c r="P514" s="23" t="n"/>
      <c r="Q514" s="29" t="n"/>
      <c r="R514" s="29" t="n"/>
      <c r="S514" s="23" t="n"/>
      <c r="T514" s="30" t="n"/>
      <c r="U514" s="31" t="inlineStr">
        <is>
          <t>高</t>
        </is>
      </c>
      <c r="V514" s="32" t="inlineStr">
        <is>
          <t>中高共通</t>
        </is>
      </c>
      <c r="W514" s="33" t="inlineStr">
        <is>
          <t>開く</t>
        </is>
      </c>
    </row>
    <row r="515" ht="30" customHeight="1">
      <c r="A515" s="23" t="inlineStr">
        <is>
          <t>13東京都</t>
        </is>
      </c>
      <c r="B515" s="23" t="inlineStr">
        <is>
          <t>私立</t>
        </is>
      </c>
      <c r="C515" s="23" t="n"/>
      <c r="D515" s="23" t="inlineStr">
        <is>
          <t>普連土学園高等学校</t>
        </is>
      </c>
      <c r="E515" s="24" t="inlineStr">
        <is>
          <t>03-3451-4616</t>
        </is>
      </c>
      <c r="F515" s="23" t="n"/>
      <c r="G515" s="25" t="inlineStr">
        <is>
          <t>普通科</t>
        </is>
      </c>
      <c r="H515" s="26" t="inlineStr">
        <is>
          <t>☐</t>
        </is>
      </c>
      <c r="I515" s="26" t="inlineStr">
        <is>
          <t>☐</t>
        </is>
      </c>
      <c r="J515" s="26" t="inlineStr">
        <is>
          <t>☐</t>
        </is>
      </c>
      <c r="K515" s="26" t="inlineStr">
        <is>
          <t>☐</t>
        </is>
      </c>
      <c r="L515" s="26" t="inlineStr">
        <is>
          <t>☐</t>
        </is>
      </c>
      <c r="M515" s="25" t="n"/>
      <c r="N515" s="27" t="n">
        <v>0</v>
      </c>
      <c r="O515" s="28" t="n"/>
      <c r="P515" s="23" t="n"/>
      <c r="Q515" s="29" t="n"/>
      <c r="R515" s="29" t="n"/>
      <c r="S515" s="23" t="n"/>
      <c r="T515" s="30" t="n"/>
      <c r="U515" s="31" t="inlineStr">
        <is>
          <t>高</t>
        </is>
      </c>
      <c r="V515" s="32" t="inlineStr">
        <is>
          <t>中高共通</t>
        </is>
      </c>
      <c r="W515" s="33" t="inlineStr">
        <is>
          <t>開く</t>
        </is>
      </c>
    </row>
    <row r="516" ht="30" customHeight="1">
      <c r="A516" s="23" t="inlineStr">
        <is>
          <t>13東京都</t>
        </is>
      </c>
      <c r="B516" s="23" t="inlineStr">
        <is>
          <t>私立</t>
        </is>
      </c>
      <c r="C516" s="23" t="n"/>
      <c r="D516" s="23" t="inlineStr">
        <is>
          <t>文化学園大学杉並高等学校</t>
        </is>
      </c>
      <c r="E516" s="24" t="inlineStr">
        <is>
          <t>03-3392-6636</t>
        </is>
      </c>
      <c r="F516" s="23" t="n"/>
      <c r="G516" s="25" t="inlineStr">
        <is>
          <t>普通科</t>
        </is>
      </c>
      <c r="H516" s="26" t="inlineStr">
        <is>
          <t>☐</t>
        </is>
      </c>
      <c r="I516" s="26" t="inlineStr">
        <is>
          <t>☐</t>
        </is>
      </c>
      <c r="J516" s="26" t="inlineStr">
        <is>
          <t>☐</t>
        </is>
      </c>
      <c r="K516" s="26" t="inlineStr">
        <is>
          <t>☐</t>
        </is>
      </c>
      <c r="L516" s="26" t="inlineStr">
        <is>
          <t>☐</t>
        </is>
      </c>
      <c r="M516" s="25" t="n"/>
      <c r="N516" s="27" t="n">
        <v>0</v>
      </c>
      <c r="O516" s="28" t="n"/>
      <c r="P516" s="23" t="n"/>
      <c r="Q516" s="29" t="n"/>
      <c r="R516" s="29" t="n"/>
      <c r="S516" s="23" t="n"/>
      <c r="T516" s="30" t="n"/>
      <c r="U516" s="31" t="inlineStr">
        <is>
          <t>高</t>
        </is>
      </c>
      <c r="V516" s="32" t="inlineStr">
        <is>
          <t>杉並区の一覧と一致</t>
        </is>
      </c>
      <c r="W516" s="33" t="inlineStr">
        <is>
          <t>開く</t>
        </is>
      </c>
    </row>
    <row r="517" ht="30" customHeight="1">
      <c r="A517" s="23" t="inlineStr">
        <is>
          <t>13東京都</t>
        </is>
      </c>
      <c r="B517" s="23" t="inlineStr">
        <is>
          <t>私立</t>
        </is>
      </c>
      <c r="C517" s="23" t="n"/>
      <c r="D517" s="23" t="inlineStr">
        <is>
          <t>文京学院大学女子高等学校</t>
        </is>
      </c>
      <c r="E517" s="24" t="inlineStr">
        <is>
          <t>03-3946-5301</t>
        </is>
      </c>
      <c r="F517" s="23" t="n"/>
      <c r="G517" s="25" t="inlineStr">
        <is>
          <t>普通科</t>
        </is>
      </c>
      <c r="H517" s="26" t="inlineStr">
        <is>
          <t>☐</t>
        </is>
      </c>
      <c r="I517" s="26" t="inlineStr">
        <is>
          <t>☐</t>
        </is>
      </c>
      <c r="J517" s="26" t="inlineStr">
        <is>
          <t>☐</t>
        </is>
      </c>
      <c r="K517" s="26" t="inlineStr">
        <is>
          <t>☐</t>
        </is>
      </c>
      <c r="L517" s="26" t="inlineStr">
        <is>
          <t>☐</t>
        </is>
      </c>
      <c r="M517" s="25" t="n"/>
      <c r="N517" s="27" t="n">
        <v>0</v>
      </c>
      <c r="O517" s="28" t="n"/>
      <c r="P517" s="23" t="n"/>
      <c r="Q517" s="29" t="n"/>
      <c r="R517" s="29" t="n"/>
      <c r="S517" s="23" t="n"/>
      <c r="T517" s="30" t="n"/>
      <c r="U517" s="31" t="inlineStr">
        <is>
          <t>高</t>
        </is>
      </c>
      <c r="V517" s="32" t="inlineStr">
        <is>
          <t>中高共通</t>
        </is>
      </c>
      <c r="W517" s="33" t="inlineStr">
        <is>
          <t>開く</t>
        </is>
      </c>
    </row>
    <row r="518" ht="30" customHeight="1">
      <c r="A518" s="23" t="inlineStr">
        <is>
          <t>13東京都</t>
        </is>
      </c>
      <c r="B518" s="23" t="inlineStr">
        <is>
          <t>私立</t>
        </is>
      </c>
      <c r="C518" s="23" t="n"/>
      <c r="D518" s="23" t="inlineStr">
        <is>
          <t>文教大学付属高等学校</t>
        </is>
      </c>
      <c r="E518" s="24" t="inlineStr">
        <is>
          <t>03-3783-5511</t>
        </is>
      </c>
      <c r="F518" s="23" t="n"/>
      <c r="G518" s="25" t="inlineStr">
        <is>
          <t>普通科</t>
        </is>
      </c>
      <c r="H518" s="26" t="inlineStr">
        <is>
          <t>☐</t>
        </is>
      </c>
      <c r="I518" s="26" t="inlineStr">
        <is>
          <t>☐</t>
        </is>
      </c>
      <c r="J518" s="26" t="inlineStr">
        <is>
          <t>☐</t>
        </is>
      </c>
      <c r="K518" s="26" t="inlineStr">
        <is>
          <t>☐</t>
        </is>
      </c>
      <c r="L518" s="26" t="inlineStr">
        <is>
          <t>☐</t>
        </is>
      </c>
      <c r="M518" s="25" t="n"/>
      <c r="N518" s="27" t="n">
        <v>0</v>
      </c>
      <c r="O518" s="28" t="n"/>
      <c r="P518" s="23" t="n"/>
      <c r="Q518" s="29" t="n"/>
      <c r="R518" s="29" t="n"/>
      <c r="S518" s="23" t="n"/>
      <c r="T518" s="30" t="n"/>
      <c r="U518" s="31" t="inlineStr">
        <is>
          <t>高</t>
        </is>
      </c>
      <c r="V518" s="32" t="inlineStr">
        <is>
          <t>公式資料に「代表」と記載</t>
        </is>
      </c>
      <c r="W518" s="33" t="inlineStr">
        <is>
          <t>開く</t>
        </is>
      </c>
    </row>
    <row r="519" ht="30" customHeight="1">
      <c r="A519" s="23" t="inlineStr">
        <is>
          <t>13東京都</t>
        </is>
      </c>
      <c r="B519" s="23" t="inlineStr">
        <is>
          <t>私立</t>
        </is>
      </c>
      <c r="C519" s="23" t="n"/>
      <c r="D519" s="23" t="inlineStr">
        <is>
          <t>法政大学高等学校</t>
        </is>
      </c>
      <c r="E519" s="24" t="inlineStr">
        <is>
          <t>0422-79-6230</t>
        </is>
      </c>
      <c r="F519" s="23" t="n"/>
      <c r="G519" s="25" t="inlineStr">
        <is>
          <t>普通科</t>
        </is>
      </c>
      <c r="H519" s="26" t="inlineStr">
        <is>
          <t>☐</t>
        </is>
      </c>
      <c r="I519" s="26" t="inlineStr">
        <is>
          <t>☐</t>
        </is>
      </c>
      <c r="J519" s="26" t="inlineStr">
        <is>
          <t>☐</t>
        </is>
      </c>
      <c r="K519" s="26" t="inlineStr">
        <is>
          <t>☐</t>
        </is>
      </c>
      <c r="L519" s="26" t="inlineStr">
        <is>
          <t>☐</t>
        </is>
      </c>
      <c r="M519" s="25" t="n"/>
      <c r="N519" s="27" t="n">
        <v>0</v>
      </c>
      <c r="O519" s="28" t="n"/>
      <c r="P519" s="23" t="n"/>
      <c r="Q519" s="29" t="n"/>
      <c r="R519" s="29" t="n"/>
      <c r="S519" s="23" t="n"/>
      <c r="T519" s="30" t="n"/>
      <c r="U519" s="31" t="inlineStr">
        <is>
          <t>高</t>
        </is>
      </c>
      <c r="V519" s="32" t="inlineStr">
        <is>
          <t>中高共通</t>
        </is>
      </c>
      <c r="W519" s="33" t="inlineStr">
        <is>
          <t>開く</t>
        </is>
      </c>
    </row>
    <row r="520" ht="30" customHeight="1">
      <c r="A520" s="23" t="inlineStr">
        <is>
          <t>13東京都</t>
        </is>
      </c>
      <c r="B520" s="23" t="inlineStr">
        <is>
          <t>私立</t>
        </is>
      </c>
      <c r="C520" s="23" t="n"/>
      <c r="D520" s="23" t="inlineStr">
        <is>
          <t>宝仙学園高等学校女子部</t>
        </is>
      </c>
      <c r="E520" s="24" t="inlineStr">
        <is>
          <t>03-3371-7103</t>
        </is>
      </c>
      <c r="F520" s="23" t="n"/>
      <c r="G520" s="25" t="inlineStr">
        <is>
          <t>普通科</t>
        </is>
      </c>
      <c r="H520" s="26" t="inlineStr">
        <is>
          <t>☐</t>
        </is>
      </c>
      <c r="I520" s="26" t="inlineStr">
        <is>
          <t>☐</t>
        </is>
      </c>
      <c r="J520" s="26" t="inlineStr">
        <is>
          <t>☐</t>
        </is>
      </c>
      <c r="K520" s="26" t="inlineStr">
        <is>
          <t>☐</t>
        </is>
      </c>
      <c r="L520" s="26" t="inlineStr">
        <is>
          <t>☐</t>
        </is>
      </c>
      <c r="M520" s="25" t="n"/>
      <c r="N520" s="27" t="n">
        <v>0</v>
      </c>
      <c r="O520" s="28" t="n"/>
      <c r="P520" s="23" t="n"/>
      <c r="Q520" s="29" t="n"/>
      <c r="R520" s="29" t="n"/>
      <c r="S520" s="23" t="n"/>
      <c r="T520" s="30" t="n"/>
      <c r="U520" s="34" t="inlineStr">
        <is>
          <t>中</t>
        </is>
      </c>
      <c r="V520" s="32" t="inlineStr">
        <is>
          <t>学校ネットの一覧に区名がなく、所在地は中野区（中央2-28-3）として調査。理数インターと同じ番号（同じ敷地）</t>
        </is>
      </c>
      <c r="W520" s="33" t="inlineStr">
        <is>
          <t>開く</t>
        </is>
      </c>
    </row>
    <row r="521" ht="30" customHeight="1">
      <c r="A521" s="23" t="inlineStr">
        <is>
          <t>13東京都</t>
        </is>
      </c>
      <c r="B521" s="23" t="inlineStr">
        <is>
          <t>私立</t>
        </is>
      </c>
      <c r="C521" s="23" t="n"/>
      <c r="D521" s="23" t="inlineStr">
        <is>
          <t>宝仙学園 順天堂大学系属理数インター高等学校</t>
        </is>
      </c>
      <c r="E521" s="24" t="inlineStr">
        <is>
          <t>03-3371-7103</t>
        </is>
      </c>
      <c r="F521" s="23" t="n"/>
      <c r="G521" s="25" t="inlineStr">
        <is>
          <t>普通科</t>
        </is>
      </c>
      <c r="H521" s="26" t="inlineStr">
        <is>
          <t>☐</t>
        </is>
      </c>
      <c r="I521" s="26" t="inlineStr">
        <is>
          <t>☐</t>
        </is>
      </c>
      <c r="J521" s="26" t="inlineStr">
        <is>
          <t>☐</t>
        </is>
      </c>
      <c r="K521" s="26" t="inlineStr">
        <is>
          <t>☐</t>
        </is>
      </c>
      <c r="L521" s="26" t="inlineStr">
        <is>
          <t>☐</t>
        </is>
      </c>
      <c r="M521" s="25" t="n"/>
      <c r="N521" s="27" t="n">
        <v>0</v>
      </c>
      <c r="O521" s="28" t="n"/>
      <c r="P521" s="23" t="n"/>
      <c r="Q521" s="29" t="n"/>
      <c r="R521" s="29" t="n"/>
      <c r="S521" s="23" t="n"/>
      <c r="T521" s="30" t="n"/>
      <c r="U521" s="34" t="inlineStr">
        <is>
          <t>中</t>
        </is>
      </c>
      <c r="V521" s="32" t="inlineStr">
        <is>
          <t>中高共通。宝仙学園女子部と同じ番号</t>
        </is>
      </c>
      <c r="W521" s="33" t="inlineStr">
        <is>
          <t>開く</t>
        </is>
      </c>
    </row>
    <row r="522" ht="30" customHeight="1">
      <c r="A522" s="23" t="inlineStr">
        <is>
          <t>13東京都</t>
        </is>
      </c>
      <c r="B522" s="23" t="inlineStr">
        <is>
          <t>私立</t>
        </is>
      </c>
      <c r="C522" s="23" t="n"/>
      <c r="D522" s="23" t="inlineStr">
        <is>
          <t>豊南高等学校</t>
        </is>
      </c>
      <c r="E522" s="24" t="inlineStr">
        <is>
          <t>03-3959-5511</t>
        </is>
      </c>
      <c r="F522" s="23" t="n"/>
      <c r="G522" s="25" t="inlineStr">
        <is>
          <t>普通科</t>
        </is>
      </c>
      <c r="H522" s="26" t="inlineStr">
        <is>
          <t>☐</t>
        </is>
      </c>
      <c r="I522" s="26" t="inlineStr">
        <is>
          <t>☐</t>
        </is>
      </c>
      <c r="J522" s="26" t="inlineStr">
        <is>
          <t>☐</t>
        </is>
      </c>
      <c r="K522" s="26" t="inlineStr">
        <is>
          <t>☐</t>
        </is>
      </c>
      <c r="L522" s="26" t="inlineStr">
        <is>
          <t>☐</t>
        </is>
      </c>
      <c r="M522" s="25" t="n"/>
      <c r="N522" s="27" t="n">
        <v>0</v>
      </c>
      <c r="O522" s="28" t="n"/>
      <c r="P522" s="23" t="n"/>
      <c r="Q522" s="29" t="n"/>
      <c r="R522" s="29" t="n"/>
      <c r="S522" s="23" t="n"/>
      <c r="T522" s="30" t="n"/>
      <c r="U522" s="34" t="inlineStr">
        <is>
          <t>中</t>
        </is>
      </c>
      <c r="V522" s="32" t="inlineStr">
        <is>
          <t>学校情報サイト1件のみで確認</t>
        </is>
      </c>
      <c r="W522" s="33" t="inlineStr">
        <is>
          <t>開く</t>
        </is>
      </c>
    </row>
    <row r="523" ht="30" customHeight="1">
      <c r="A523" s="23" t="inlineStr">
        <is>
          <t>13東京都</t>
        </is>
      </c>
      <c r="B523" s="23" t="inlineStr">
        <is>
          <t>私立</t>
        </is>
      </c>
      <c r="C523" s="23" t="n"/>
      <c r="D523" s="23" t="inlineStr">
        <is>
          <t>朋優学院高等学校</t>
        </is>
      </c>
      <c r="E523" s="24" t="inlineStr">
        <is>
          <t>03-3784-2131</t>
        </is>
      </c>
      <c r="F523" s="23" t="n"/>
      <c r="G523" s="25" t="inlineStr">
        <is>
          <t>普通科</t>
        </is>
      </c>
      <c r="H523" s="26" t="inlineStr">
        <is>
          <t>☐</t>
        </is>
      </c>
      <c r="I523" s="26" t="inlineStr">
        <is>
          <t>☐</t>
        </is>
      </c>
      <c r="J523" s="26" t="inlineStr">
        <is>
          <t>☐</t>
        </is>
      </c>
      <c r="K523" s="26" t="inlineStr">
        <is>
          <t>☐</t>
        </is>
      </c>
      <c r="L523" s="26" t="inlineStr">
        <is>
          <t>☐</t>
        </is>
      </c>
      <c r="M523" s="25" t="n"/>
      <c r="N523" s="27" t="n">
        <v>0</v>
      </c>
      <c r="O523" s="28" t="n"/>
      <c r="P523" s="23" t="n"/>
      <c r="Q523" s="29" t="n"/>
      <c r="R523" s="29" t="n"/>
      <c r="S523" s="23" t="n"/>
      <c r="T523" s="30" t="n"/>
      <c r="U523" s="31" t="inlineStr">
        <is>
          <t>高</t>
        </is>
      </c>
      <c r="V523" s="32" t="inlineStr">
        <is>
          <t>2つの情報源で一致</t>
        </is>
      </c>
      <c r="W523" s="33" t="inlineStr">
        <is>
          <t>開く</t>
        </is>
      </c>
    </row>
    <row r="524" ht="30" customHeight="1">
      <c r="A524" s="23" t="inlineStr">
        <is>
          <t>13東京都</t>
        </is>
      </c>
      <c r="B524" s="23" t="inlineStr">
        <is>
          <t>私立</t>
        </is>
      </c>
      <c r="C524" s="23" t="n"/>
      <c r="D524" s="23" t="inlineStr">
        <is>
          <t>保善高等学校</t>
        </is>
      </c>
      <c r="E524" s="24" t="inlineStr">
        <is>
          <t>03-3209-8756</t>
        </is>
      </c>
      <c r="F524" s="23" t="n"/>
      <c r="G524" s="25" t="inlineStr">
        <is>
          <t>普通科</t>
        </is>
      </c>
      <c r="H524" s="26" t="inlineStr">
        <is>
          <t>☐</t>
        </is>
      </c>
      <c r="I524" s="26" t="inlineStr">
        <is>
          <t>☐</t>
        </is>
      </c>
      <c r="J524" s="26" t="inlineStr">
        <is>
          <t>☐</t>
        </is>
      </c>
      <c r="K524" s="26" t="inlineStr">
        <is>
          <t>☐</t>
        </is>
      </c>
      <c r="L524" s="26" t="inlineStr">
        <is>
          <t>☐</t>
        </is>
      </c>
      <c r="M524" s="25" t="n"/>
      <c r="N524" s="27" t="n">
        <v>0</v>
      </c>
      <c r="O524" s="28" t="n"/>
      <c r="P524" s="23" t="n"/>
      <c r="Q524" s="29" t="n"/>
      <c r="R524" s="29" t="n"/>
      <c r="S524" s="23" t="n"/>
      <c r="T524" s="30" t="n"/>
      <c r="U524" s="34" t="inlineStr">
        <is>
          <t>中</t>
        </is>
      </c>
      <c r="V524" s="32" t="inlineStr">
        <is>
          <t>学校情報サイト1件のみで確認</t>
        </is>
      </c>
      <c r="W524" s="33" t="inlineStr">
        <is>
          <t>開く</t>
        </is>
      </c>
    </row>
    <row r="525" ht="30" customHeight="1">
      <c r="A525" s="23" t="inlineStr">
        <is>
          <t>13東京都</t>
        </is>
      </c>
      <c r="B525" s="23" t="inlineStr">
        <is>
          <t>私立</t>
        </is>
      </c>
      <c r="C525" s="23" t="n"/>
      <c r="D525" s="23" t="inlineStr">
        <is>
          <t>堀越高等学校</t>
        </is>
      </c>
      <c r="E525" s="24" t="inlineStr">
        <is>
          <t>03-3363-7661</t>
        </is>
      </c>
      <c r="F525" s="23" t="n"/>
      <c r="G525" s="25" t="inlineStr">
        <is>
          <t>普通科</t>
        </is>
      </c>
      <c r="H525" s="26" t="inlineStr">
        <is>
          <t>☐</t>
        </is>
      </c>
      <c r="I525" s="26" t="inlineStr">
        <is>
          <t>☐</t>
        </is>
      </c>
      <c r="J525" s="26" t="inlineStr">
        <is>
          <t>☐</t>
        </is>
      </c>
      <c r="K525" s="26" t="inlineStr">
        <is>
          <t>☐</t>
        </is>
      </c>
      <c r="L525" s="26" t="inlineStr">
        <is>
          <t>☐</t>
        </is>
      </c>
      <c r="M525" s="25" t="n"/>
      <c r="N525" s="27" t="n">
        <v>0</v>
      </c>
      <c r="O525" s="28" t="n"/>
      <c r="P525" s="23" t="n"/>
      <c r="Q525" s="29" t="n"/>
      <c r="R525" s="29" t="n"/>
      <c r="S525" s="23" t="n"/>
      <c r="T525" s="30" t="n"/>
      <c r="U525" s="31" t="inlineStr">
        <is>
          <t>高</t>
        </is>
      </c>
      <c r="V525" s="32" t="inlineStr">
        <is>
          <t>代表として掲載</t>
        </is>
      </c>
      <c r="W525" s="33" t="inlineStr">
        <is>
          <t>開く</t>
        </is>
      </c>
    </row>
    <row r="526" ht="30" customHeight="1">
      <c r="A526" s="23" t="inlineStr">
        <is>
          <t>13東京都</t>
        </is>
      </c>
      <c r="B526" s="23" t="inlineStr">
        <is>
          <t>私立</t>
        </is>
      </c>
      <c r="C526" s="23" t="n"/>
      <c r="D526" s="23" t="inlineStr">
        <is>
          <t>本郷高等学校</t>
        </is>
      </c>
      <c r="E526" s="24" t="inlineStr">
        <is>
          <t>03-3917-1456</t>
        </is>
      </c>
      <c r="F526" s="23" t="n"/>
      <c r="G526" s="25" t="inlineStr">
        <is>
          <t>普通科</t>
        </is>
      </c>
      <c r="H526" s="26" t="inlineStr">
        <is>
          <t>☐</t>
        </is>
      </c>
      <c r="I526" s="26" t="inlineStr">
        <is>
          <t>☐</t>
        </is>
      </c>
      <c r="J526" s="26" t="inlineStr">
        <is>
          <t>☐</t>
        </is>
      </c>
      <c r="K526" s="26" t="inlineStr">
        <is>
          <t>☐</t>
        </is>
      </c>
      <c r="L526" s="26" t="inlineStr">
        <is>
          <t>☐</t>
        </is>
      </c>
      <c r="M526" s="25" t="n"/>
      <c r="N526" s="27" t="n">
        <v>0</v>
      </c>
      <c r="O526" s="28" t="n"/>
      <c r="P526" s="23" t="n"/>
      <c r="Q526" s="29" t="n"/>
      <c r="R526" s="29" t="n"/>
      <c r="S526" s="23" t="n"/>
      <c r="T526" s="30" t="n"/>
      <c r="U526" s="31" t="inlineStr">
        <is>
          <t>高</t>
        </is>
      </c>
      <c r="V526" s="32" t="inlineStr">
        <is>
          <t>中高共通</t>
        </is>
      </c>
      <c r="W526" s="33" t="inlineStr">
        <is>
          <t>開く</t>
        </is>
      </c>
    </row>
    <row r="527" ht="30" customHeight="1">
      <c r="A527" s="23" t="inlineStr">
        <is>
          <t>13東京都</t>
        </is>
      </c>
      <c r="B527" s="23" t="inlineStr">
        <is>
          <t>私立</t>
        </is>
      </c>
      <c r="C527" s="23" t="n"/>
      <c r="D527" s="23" t="inlineStr">
        <is>
          <t>三田国際科学学園高等学校</t>
        </is>
      </c>
      <c r="E527" s="24" t="inlineStr">
        <is>
          <t>03-3707-5676</t>
        </is>
      </c>
      <c r="F527" s="23" t="n"/>
      <c r="G527" s="25" t="inlineStr">
        <is>
          <t>普通科</t>
        </is>
      </c>
      <c r="H527" s="26" t="inlineStr">
        <is>
          <t>☐</t>
        </is>
      </c>
      <c r="I527" s="26" t="inlineStr">
        <is>
          <t>☐</t>
        </is>
      </c>
      <c r="J527" s="26" t="inlineStr">
        <is>
          <t>☐</t>
        </is>
      </c>
      <c r="K527" s="26" t="inlineStr">
        <is>
          <t>☐</t>
        </is>
      </c>
      <c r="L527" s="26" t="inlineStr">
        <is>
          <t>☐</t>
        </is>
      </c>
      <c r="M527" s="25" t="n"/>
      <c r="N527" s="27" t="n">
        <v>0</v>
      </c>
      <c r="O527" s="28" t="n"/>
      <c r="P527" s="23" t="n"/>
      <c r="Q527" s="29" t="n"/>
      <c r="R527" s="29" t="n"/>
      <c r="S527" s="23" t="n"/>
      <c r="T527" s="30" t="n"/>
      <c r="U527" s="34" t="inlineStr">
        <is>
          <t>中</t>
        </is>
      </c>
      <c r="V527" s="32" t="inlineStr">
        <is>
          <t>【校名変更】2025年4月に三田国際学園から改称。中高共通</t>
        </is>
      </c>
      <c r="W527" s="33" t="inlineStr">
        <is>
          <t>開く</t>
        </is>
      </c>
    </row>
    <row r="528" ht="30" customHeight="1">
      <c r="A528" s="23" t="inlineStr">
        <is>
          <t>13東京都</t>
        </is>
      </c>
      <c r="B528" s="23" t="inlineStr">
        <is>
          <t>私立</t>
        </is>
      </c>
      <c r="C528" s="23" t="n"/>
      <c r="D528" s="23" t="inlineStr">
        <is>
          <t>明星学園高等学校</t>
        </is>
      </c>
      <c r="E528" s="24" t="n"/>
      <c r="F528" s="23" t="n"/>
      <c r="G528" s="25" t="inlineStr">
        <is>
          <t>普通科</t>
        </is>
      </c>
      <c r="H528" s="26" t="inlineStr">
        <is>
          <t>☐</t>
        </is>
      </c>
      <c r="I528" s="26" t="inlineStr">
        <is>
          <t>☐</t>
        </is>
      </c>
      <c r="J528" s="26" t="inlineStr">
        <is>
          <t>☐</t>
        </is>
      </c>
      <c r="K528" s="26" t="inlineStr">
        <is>
          <t>☐</t>
        </is>
      </c>
      <c r="L528" s="26" t="inlineStr">
        <is>
          <t>☐</t>
        </is>
      </c>
      <c r="M528" s="25" t="n"/>
      <c r="N528" s="27" t="n">
        <v>0</v>
      </c>
      <c r="O528" s="28" t="n"/>
      <c r="P528" s="23" t="n"/>
      <c r="Q528" s="29" t="n"/>
      <c r="R528" s="29" t="n"/>
      <c r="S528" s="23" t="n"/>
      <c r="T528" s="30" t="n"/>
      <c r="U528" s="35" t="inlineStr">
        <is>
          <t>要調査</t>
        </is>
      </c>
      <c r="V528" s="32" t="inlineStr">
        <is>
          <t>情報源で番号が食い違い。候補：0422-43-2196（中高共通として複数サイト）／0422-48-6221。明星高校（府中市）とは別の学校</t>
        </is>
      </c>
      <c r="W528" s="33" t="inlineStr">
        <is>
          <t>開く</t>
        </is>
      </c>
    </row>
    <row r="529" ht="30" customHeight="1">
      <c r="A529" s="23" t="inlineStr">
        <is>
          <t>13東京都</t>
        </is>
      </c>
      <c r="B529" s="23" t="inlineStr">
        <is>
          <t>私立</t>
        </is>
      </c>
      <c r="C529" s="23" t="n"/>
      <c r="D529" s="23" t="inlineStr">
        <is>
          <t>三輪田学園高等学校</t>
        </is>
      </c>
      <c r="E529" s="24" t="inlineStr">
        <is>
          <t>03-3263-7801</t>
        </is>
      </c>
      <c r="F529" s="23" t="n"/>
      <c r="G529" s="25" t="inlineStr">
        <is>
          <t>普通科</t>
        </is>
      </c>
      <c r="H529" s="26" t="inlineStr">
        <is>
          <t>☐</t>
        </is>
      </c>
      <c r="I529" s="26" t="inlineStr">
        <is>
          <t>☐</t>
        </is>
      </c>
      <c r="J529" s="26" t="inlineStr">
        <is>
          <t>☐</t>
        </is>
      </c>
      <c r="K529" s="26" t="inlineStr">
        <is>
          <t>☐</t>
        </is>
      </c>
      <c r="L529" s="26" t="inlineStr">
        <is>
          <t>☐</t>
        </is>
      </c>
      <c r="M529" s="25" t="n"/>
      <c r="N529" s="27" t="n">
        <v>0</v>
      </c>
      <c r="O529" s="28" t="n"/>
      <c r="P529" s="23" t="n"/>
      <c r="Q529" s="29" t="n"/>
      <c r="R529" s="29" t="n"/>
      <c r="S529" s="23" t="n"/>
      <c r="T529" s="30" t="n"/>
      <c r="U529" s="31" t="inlineStr">
        <is>
          <t>高</t>
        </is>
      </c>
      <c r="V529" s="32" t="inlineStr">
        <is>
          <t>中高共通</t>
        </is>
      </c>
      <c r="W529" s="33" t="inlineStr">
        <is>
          <t>開く</t>
        </is>
      </c>
    </row>
    <row r="530" ht="30" customHeight="1">
      <c r="A530" s="23" t="inlineStr">
        <is>
          <t>13東京都</t>
        </is>
      </c>
      <c r="B530" s="23" t="inlineStr">
        <is>
          <t>私立</t>
        </is>
      </c>
      <c r="C530" s="23" t="n"/>
      <c r="D530" s="23" t="inlineStr">
        <is>
          <t>武蔵高等学校</t>
        </is>
      </c>
      <c r="E530" s="24" t="inlineStr">
        <is>
          <t>03-5984-3741</t>
        </is>
      </c>
      <c r="F530" s="23" t="n"/>
      <c r="G530" s="25" t="inlineStr">
        <is>
          <t>普通科</t>
        </is>
      </c>
      <c r="H530" s="26" t="inlineStr">
        <is>
          <t>☐</t>
        </is>
      </c>
      <c r="I530" s="26" t="inlineStr">
        <is>
          <t>☐</t>
        </is>
      </c>
      <c r="J530" s="26" t="inlineStr">
        <is>
          <t>☐</t>
        </is>
      </c>
      <c r="K530" s="26" t="inlineStr">
        <is>
          <t>☐</t>
        </is>
      </c>
      <c r="L530" s="26" t="inlineStr">
        <is>
          <t>☐</t>
        </is>
      </c>
      <c r="M530" s="25" t="n"/>
      <c r="N530" s="27" t="n">
        <v>0</v>
      </c>
      <c r="O530" s="28" t="n"/>
      <c r="P530" s="23" t="n"/>
      <c r="Q530" s="29" t="n"/>
      <c r="R530" s="29" t="n"/>
      <c r="S530" s="23" t="n"/>
      <c r="T530" s="30" t="n"/>
      <c r="U530" s="31" t="inlineStr">
        <is>
          <t>高</t>
        </is>
      </c>
      <c r="V530" s="32" t="inlineStr">
        <is>
          <t>中高共通。高校募集なし（完全中高一貫）。武蔵野高校とは別の学校</t>
        </is>
      </c>
      <c r="W530" s="33" t="inlineStr">
        <is>
          <t>開く</t>
        </is>
      </c>
    </row>
    <row r="531" ht="30" customHeight="1">
      <c r="A531" s="23" t="inlineStr">
        <is>
          <t>13東京都</t>
        </is>
      </c>
      <c r="B531" s="23" t="inlineStr">
        <is>
          <t>私立</t>
        </is>
      </c>
      <c r="C531" s="23" t="n"/>
      <c r="D531" s="23" t="inlineStr">
        <is>
          <t>武蔵野高等学校</t>
        </is>
      </c>
      <c r="E531" s="24" t="inlineStr">
        <is>
          <t>03-3910-0151</t>
        </is>
      </c>
      <c r="F531" s="23" t="n"/>
      <c r="G531" s="25" t="inlineStr">
        <is>
          <t>普通科</t>
        </is>
      </c>
      <c r="H531" s="26" t="inlineStr">
        <is>
          <t>☐</t>
        </is>
      </c>
      <c r="I531" s="26" t="inlineStr">
        <is>
          <t>☐</t>
        </is>
      </c>
      <c r="J531" s="26" t="inlineStr">
        <is>
          <t>☐</t>
        </is>
      </c>
      <c r="K531" s="26" t="inlineStr">
        <is>
          <t>☐</t>
        </is>
      </c>
      <c r="L531" s="26" t="inlineStr">
        <is>
          <t>☐</t>
        </is>
      </c>
      <c r="M531" s="25" t="n"/>
      <c r="N531" s="27" t="n">
        <v>0</v>
      </c>
      <c r="O531" s="28" t="n"/>
      <c r="P531" s="23" t="n"/>
      <c r="Q531" s="29" t="n"/>
      <c r="R531" s="29" t="n"/>
      <c r="S531" s="23" t="n"/>
      <c r="T531" s="30" t="n"/>
      <c r="U531" s="31" t="inlineStr">
        <is>
          <t>高</t>
        </is>
      </c>
      <c r="V531" s="32" t="inlineStr">
        <is>
          <t>北区の学校。武蔵高校・武蔵野大学高校とは別の学校</t>
        </is>
      </c>
      <c r="W531" s="33" t="inlineStr">
        <is>
          <t>開く</t>
        </is>
      </c>
    </row>
    <row r="532" ht="30" customHeight="1">
      <c r="A532" s="23" t="inlineStr">
        <is>
          <t>13東京都</t>
        </is>
      </c>
      <c r="B532" s="23" t="inlineStr">
        <is>
          <t>私立</t>
        </is>
      </c>
      <c r="C532" s="23" t="n"/>
      <c r="D532" s="23" t="inlineStr">
        <is>
          <t>武蔵野大学高等学校</t>
        </is>
      </c>
      <c r="E532" s="24" t="inlineStr">
        <is>
          <t>042-468-3256</t>
        </is>
      </c>
      <c r="F532" s="23" t="n"/>
      <c r="G532" s="25" t="inlineStr">
        <is>
          <t>普通科</t>
        </is>
      </c>
      <c r="H532" s="26" t="inlineStr">
        <is>
          <t>☐</t>
        </is>
      </c>
      <c r="I532" s="26" t="inlineStr">
        <is>
          <t>☐</t>
        </is>
      </c>
      <c r="J532" s="26" t="inlineStr">
        <is>
          <t>☐</t>
        </is>
      </c>
      <c r="K532" s="26" t="inlineStr">
        <is>
          <t>☐</t>
        </is>
      </c>
      <c r="L532" s="26" t="inlineStr">
        <is>
          <t>☐</t>
        </is>
      </c>
      <c r="M532" s="25" t="n"/>
      <c r="N532" s="27" t="n">
        <v>0</v>
      </c>
      <c r="O532" s="28" t="n"/>
      <c r="P532" s="23" t="n"/>
      <c r="Q532" s="29" t="n"/>
      <c r="R532" s="29" t="n"/>
      <c r="S532" s="23" t="n"/>
      <c r="T532" s="30" t="n"/>
      <c r="U532" s="31" t="inlineStr">
        <is>
          <t>高</t>
        </is>
      </c>
      <c r="V532" s="32" t="inlineStr">
        <is>
          <t>中高共通</t>
        </is>
      </c>
      <c r="W532" s="33" t="inlineStr">
        <is>
          <t>開く</t>
        </is>
      </c>
    </row>
    <row r="533" ht="30" customHeight="1">
      <c r="A533" s="23" t="inlineStr">
        <is>
          <t>13東京都</t>
        </is>
      </c>
      <c r="B533" s="23" t="inlineStr">
        <is>
          <t>私立</t>
        </is>
      </c>
      <c r="C533" s="23" t="n"/>
      <c r="D533" s="23" t="inlineStr">
        <is>
          <t>明治学院高等学校</t>
        </is>
      </c>
      <c r="E533" s="24" t="inlineStr">
        <is>
          <t>03-5421-5011</t>
        </is>
      </c>
      <c r="F533" s="23" t="n"/>
      <c r="G533" s="25" t="inlineStr">
        <is>
          <t>普通科</t>
        </is>
      </c>
      <c r="H533" s="26" t="inlineStr">
        <is>
          <t>☐</t>
        </is>
      </c>
      <c r="I533" s="26" t="inlineStr">
        <is>
          <t>☐</t>
        </is>
      </c>
      <c r="J533" s="26" t="inlineStr">
        <is>
          <t>☐</t>
        </is>
      </c>
      <c r="K533" s="26" t="inlineStr">
        <is>
          <t>☐</t>
        </is>
      </c>
      <c r="L533" s="26" t="inlineStr">
        <is>
          <t>☐</t>
        </is>
      </c>
      <c r="M533" s="25" t="n"/>
      <c r="N533" s="27" t="n">
        <v>0</v>
      </c>
      <c r="O533" s="28" t="n"/>
      <c r="P533" s="23" t="n"/>
      <c r="Q533" s="29" t="n"/>
      <c r="R533" s="29" t="n"/>
      <c r="S533" s="23" t="n"/>
      <c r="T533" s="30" t="n"/>
      <c r="U533" s="31" t="inlineStr">
        <is>
          <t>高</t>
        </is>
      </c>
      <c r="V533" s="32" t="inlineStr">
        <is>
          <t>代表として掲載</t>
        </is>
      </c>
      <c r="W533" s="33" t="inlineStr">
        <is>
          <t>開く</t>
        </is>
      </c>
    </row>
    <row r="534" ht="30" customHeight="1">
      <c r="A534" s="23" t="inlineStr">
        <is>
          <t>13東京都</t>
        </is>
      </c>
      <c r="B534" s="23" t="inlineStr">
        <is>
          <t>私立</t>
        </is>
      </c>
      <c r="C534" s="23" t="n"/>
      <c r="D534" s="23" t="inlineStr">
        <is>
          <t>明治学院東村山高等学校</t>
        </is>
      </c>
      <c r="E534" s="24" t="inlineStr">
        <is>
          <t>042-391-2142</t>
        </is>
      </c>
      <c r="F534" s="23" t="n"/>
      <c r="G534" s="25" t="inlineStr">
        <is>
          <t>普通科</t>
        </is>
      </c>
      <c r="H534" s="26" t="inlineStr">
        <is>
          <t>☐</t>
        </is>
      </c>
      <c r="I534" s="26" t="inlineStr">
        <is>
          <t>☐</t>
        </is>
      </c>
      <c r="J534" s="26" t="inlineStr">
        <is>
          <t>☐</t>
        </is>
      </c>
      <c r="K534" s="26" t="inlineStr">
        <is>
          <t>☐</t>
        </is>
      </c>
      <c r="L534" s="26" t="inlineStr">
        <is>
          <t>☐</t>
        </is>
      </c>
      <c r="M534" s="25" t="n"/>
      <c r="N534" s="27" t="n">
        <v>0</v>
      </c>
      <c r="O534" s="28" t="n"/>
      <c r="P534" s="23" t="n"/>
      <c r="Q534" s="29" t="n"/>
      <c r="R534" s="29" t="n"/>
      <c r="S534" s="23" t="n"/>
      <c r="T534" s="30" t="n"/>
      <c r="U534" s="31" t="inlineStr">
        <is>
          <t>高</t>
        </is>
      </c>
      <c r="V534" s="32" t="inlineStr">
        <is>
          <t>明治学院中学校と共通</t>
        </is>
      </c>
      <c r="W534" s="33" t="inlineStr">
        <is>
          <t>開く</t>
        </is>
      </c>
    </row>
    <row r="535" ht="30" customHeight="1">
      <c r="A535" s="23" t="inlineStr">
        <is>
          <t>13東京都</t>
        </is>
      </c>
      <c r="B535" s="23" t="inlineStr">
        <is>
          <t>私立</t>
        </is>
      </c>
      <c r="C535" s="23" t="n"/>
      <c r="D535" s="23" t="inlineStr">
        <is>
          <t>明治大学付属世田谷高等学校</t>
        </is>
      </c>
      <c r="E535" s="24" t="inlineStr">
        <is>
          <t>03-3322-6331</t>
        </is>
      </c>
      <c r="F535" s="23" t="n"/>
      <c r="G535" s="25" t="inlineStr">
        <is>
          <t>普通科</t>
        </is>
      </c>
      <c r="H535" s="26" t="inlineStr">
        <is>
          <t>☐</t>
        </is>
      </c>
      <c r="I535" s="26" t="inlineStr">
        <is>
          <t>☐</t>
        </is>
      </c>
      <c r="J535" s="26" t="inlineStr">
        <is>
          <t>☐</t>
        </is>
      </c>
      <c r="K535" s="26" t="inlineStr">
        <is>
          <t>☐</t>
        </is>
      </c>
      <c r="L535" s="26" t="inlineStr">
        <is>
          <t>☐</t>
        </is>
      </c>
      <c r="M535" s="25" t="n"/>
      <c r="N535" s="27" t="n">
        <v>0</v>
      </c>
      <c r="O535" s="28" t="n"/>
      <c r="P535" s="23" t="n"/>
      <c r="Q535" s="29" t="n"/>
      <c r="R535" s="29" t="n"/>
      <c r="S535" s="23" t="n"/>
      <c r="T535" s="30" t="n"/>
      <c r="U535" s="31" t="inlineStr">
        <is>
          <t>高</t>
        </is>
      </c>
      <c r="V535" s="32" t="inlineStr">
        <is>
          <t>【校名変更】旧 日本学園高校（2026年4月に改称）</t>
        </is>
      </c>
      <c r="W535" s="33" t="inlineStr">
        <is>
          <t>開く</t>
        </is>
      </c>
    </row>
    <row r="536" ht="30" customHeight="1">
      <c r="A536" s="23" t="inlineStr">
        <is>
          <t>13東京都</t>
        </is>
      </c>
      <c r="B536" s="23" t="inlineStr">
        <is>
          <t>私立</t>
        </is>
      </c>
      <c r="C536" s="23" t="n"/>
      <c r="D536" s="23" t="inlineStr">
        <is>
          <t>明治大学付属中野高等学校</t>
        </is>
      </c>
      <c r="E536" s="24" t="inlineStr">
        <is>
          <t>03-3362-8704</t>
        </is>
      </c>
      <c r="F536" s="23" t="n"/>
      <c r="G536" s="25" t="inlineStr">
        <is>
          <t>普通科</t>
        </is>
      </c>
      <c r="H536" s="26" t="inlineStr">
        <is>
          <t>☐</t>
        </is>
      </c>
      <c r="I536" s="26" t="inlineStr">
        <is>
          <t>☐</t>
        </is>
      </c>
      <c r="J536" s="26" t="inlineStr">
        <is>
          <t>☐</t>
        </is>
      </c>
      <c r="K536" s="26" t="inlineStr">
        <is>
          <t>☐</t>
        </is>
      </c>
      <c r="L536" s="26" t="inlineStr">
        <is>
          <t>☐</t>
        </is>
      </c>
      <c r="M536" s="25" t="n"/>
      <c r="N536" s="27" t="n">
        <v>0</v>
      </c>
      <c r="O536" s="28" t="n"/>
      <c r="P536" s="23" t="n"/>
      <c r="Q536" s="29" t="n"/>
      <c r="R536" s="29" t="n"/>
      <c r="S536" s="23" t="n"/>
      <c r="T536" s="30" t="n"/>
      <c r="U536" s="31" t="inlineStr">
        <is>
          <t>高</t>
        </is>
      </c>
      <c r="V536" s="32" t="inlineStr">
        <is>
          <t>中高共通</t>
        </is>
      </c>
      <c r="W536" s="33" t="inlineStr">
        <is>
          <t>開く</t>
        </is>
      </c>
    </row>
    <row r="537" ht="30" customHeight="1">
      <c r="A537" s="23" t="inlineStr">
        <is>
          <t>13東京都</t>
        </is>
      </c>
      <c r="B537" s="23" t="inlineStr">
        <is>
          <t>私立</t>
        </is>
      </c>
      <c r="C537" s="23" t="n"/>
      <c r="D537" s="23" t="inlineStr">
        <is>
          <t>明治大学付属八王子高等学校</t>
        </is>
      </c>
      <c r="E537" s="24" t="inlineStr">
        <is>
          <t>042-691-0321</t>
        </is>
      </c>
      <c r="F537" s="23" t="n"/>
      <c r="G537" s="25" t="inlineStr">
        <is>
          <t>普通科</t>
        </is>
      </c>
      <c r="H537" s="26" t="inlineStr">
        <is>
          <t>☐</t>
        </is>
      </c>
      <c r="I537" s="26" t="inlineStr">
        <is>
          <t>☐</t>
        </is>
      </c>
      <c r="J537" s="26" t="inlineStr">
        <is>
          <t>☐</t>
        </is>
      </c>
      <c r="K537" s="26" t="inlineStr">
        <is>
          <t>☐</t>
        </is>
      </c>
      <c r="L537" s="26" t="inlineStr">
        <is>
          <t>☐</t>
        </is>
      </c>
      <c r="M537" s="25" t="n"/>
      <c r="N537" s="27" t="n">
        <v>0</v>
      </c>
      <c r="O537" s="28" t="n"/>
      <c r="P537" s="23" t="n"/>
      <c r="Q537" s="29" t="n"/>
      <c r="R537" s="29" t="n"/>
      <c r="S537" s="23" t="n"/>
      <c r="T537" s="30" t="n"/>
      <c r="U537" s="31" t="inlineStr">
        <is>
          <t>高</t>
        </is>
      </c>
      <c r="V537" s="32" t="inlineStr">
        <is>
          <t>2024年に「明治大学付属中野八王子」から改称。複数サイトで一致</t>
        </is>
      </c>
      <c r="W537" s="33" t="inlineStr">
        <is>
          <t>開く</t>
        </is>
      </c>
    </row>
    <row r="538" ht="30" customHeight="1">
      <c r="A538" s="23" t="inlineStr">
        <is>
          <t>13東京都</t>
        </is>
      </c>
      <c r="B538" s="23" t="inlineStr">
        <is>
          <t>私立</t>
        </is>
      </c>
      <c r="C538" s="23" t="n"/>
      <c r="D538" s="23" t="inlineStr">
        <is>
          <t>明治大学付属明治高等学校</t>
        </is>
      </c>
      <c r="E538" s="24" t="inlineStr">
        <is>
          <t>042-444-9100</t>
        </is>
      </c>
      <c r="F538" s="23" t="n"/>
      <c r="G538" s="25" t="inlineStr">
        <is>
          <t>普通科</t>
        </is>
      </c>
      <c r="H538" s="26" t="inlineStr">
        <is>
          <t>☐</t>
        </is>
      </c>
      <c r="I538" s="26" t="inlineStr">
        <is>
          <t>☐</t>
        </is>
      </c>
      <c r="J538" s="26" t="inlineStr">
        <is>
          <t>☐</t>
        </is>
      </c>
      <c r="K538" s="26" t="inlineStr">
        <is>
          <t>☐</t>
        </is>
      </c>
      <c r="L538" s="26" t="inlineStr">
        <is>
          <t>☐</t>
        </is>
      </c>
      <c r="M538" s="25" t="n"/>
      <c r="N538" s="27" t="n">
        <v>0</v>
      </c>
      <c r="O538" s="28" t="n"/>
      <c r="P538" s="23" t="n"/>
      <c r="Q538" s="29" t="n"/>
      <c r="R538" s="29" t="n"/>
      <c r="S538" s="23" t="n"/>
      <c r="T538" s="30" t="n"/>
      <c r="U538" s="31" t="inlineStr">
        <is>
          <t>高</t>
        </is>
      </c>
      <c r="V538" s="32" t="inlineStr">
        <is>
          <t>中高共通。公式資料の事務室の番号（新しい公式資料には042-444-9101の記載もあり）</t>
        </is>
      </c>
      <c r="W538" s="33" t="inlineStr">
        <is>
          <t>開く</t>
        </is>
      </c>
    </row>
    <row r="539" ht="30" customHeight="1">
      <c r="A539" s="23" t="inlineStr">
        <is>
          <t>13東京都</t>
        </is>
      </c>
      <c r="B539" s="23" t="inlineStr">
        <is>
          <t>私立</t>
        </is>
      </c>
      <c r="C539" s="23" t="n"/>
      <c r="D539" s="23" t="inlineStr">
        <is>
          <t>明星高等学校（東京都）</t>
        </is>
      </c>
      <c r="E539" s="24" t="inlineStr">
        <is>
          <t>042-368-5201</t>
        </is>
      </c>
      <c r="F539" s="23" t="n"/>
      <c r="G539" s="25" t="inlineStr">
        <is>
          <t>普通科</t>
        </is>
      </c>
      <c r="H539" s="26" t="inlineStr">
        <is>
          <t>☐</t>
        </is>
      </c>
      <c r="I539" s="26" t="inlineStr">
        <is>
          <t>☐</t>
        </is>
      </c>
      <c r="J539" s="26" t="inlineStr">
        <is>
          <t>☐</t>
        </is>
      </c>
      <c r="K539" s="26" t="inlineStr">
        <is>
          <t>☐</t>
        </is>
      </c>
      <c r="L539" s="26" t="inlineStr">
        <is>
          <t>☐</t>
        </is>
      </c>
      <c r="M539" s="25" t="n"/>
      <c r="N539" s="27" t="n">
        <v>0</v>
      </c>
      <c r="O539" s="28" t="n"/>
      <c r="P539" s="23" t="n"/>
      <c r="Q539" s="29" t="n"/>
      <c r="R539" s="29" t="n"/>
      <c r="S539" s="23" t="n"/>
      <c r="T539" s="30" t="n"/>
      <c r="U539" s="31" t="inlineStr">
        <is>
          <t>高</t>
        </is>
      </c>
      <c r="V539" s="32" t="inlineStr">
        <is>
          <t>中高共通。府中市の学校で、明星学園（三鷹市）とは別の学校</t>
        </is>
      </c>
      <c r="W539" s="33" t="inlineStr">
        <is>
          <t>開く</t>
        </is>
      </c>
    </row>
    <row r="540" ht="30" customHeight="1">
      <c r="A540" s="23" t="inlineStr">
        <is>
          <t>13東京都</t>
        </is>
      </c>
      <c r="B540" s="23" t="inlineStr">
        <is>
          <t>私立</t>
        </is>
      </c>
      <c r="C540" s="23" t="n"/>
      <c r="D540" s="23" t="inlineStr">
        <is>
          <t>明法高等学校</t>
        </is>
      </c>
      <c r="E540" s="24" t="inlineStr">
        <is>
          <t>042-393-5611</t>
        </is>
      </c>
      <c r="F540" s="23" t="n"/>
      <c r="G540" s="25" t="inlineStr">
        <is>
          <t>普通科</t>
        </is>
      </c>
      <c r="H540" s="26" t="inlineStr">
        <is>
          <t>☐</t>
        </is>
      </c>
      <c r="I540" s="26" t="inlineStr">
        <is>
          <t>☐</t>
        </is>
      </c>
      <c r="J540" s="26" t="inlineStr">
        <is>
          <t>☐</t>
        </is>
      </c>
      <c r="K540" s="26" t="inlineStr">
        <is>
          <t>☐</t>
        </is>
      </c>
      <c r="L540" s="26" t="inlineStr">
        <is>
          <t>☐</t>
        </is>
      </c>
      <c r="M540" s="25" t="n"/>
      <c r="N540" s="27" t="n">
        <v>0</v>
      </c>
      <c r="O540" s="28" t="n"/>
      <c r="P540" s="23" t="n"/>
      <c r="Q540" s="29" t="n"/>
      <c r="R540" s="29" t="n"/>
      <c r="S540" s="23" t="n"/>
      <c r="T540" s="30" t="n"/>
      <c r="U540" s="31" t="inlineStr">
        <is>
          <t>高</t>
        </is>
      </c>
      <c r="V540" s="32" t="inlineStr">
        <is>
          <t>中高共通。複数ページで一致</t>
        </is>
      </c>
      <c r="W540" s="33" t="inlineStr">
        <is>
          <t>開く</t>
        </is>
      </c>
    </row>
    <row r="541" ht="30" customHeight="1">
      <c r="A541" s="23" t="inlineStr">
        <is>
          <t>13東京都</t>
        </is>
      </c>
      <c r="B541" s="23" t="inlineStr">
        <is>
          <t>私立</t>
        </is>
      </c>
      <c r="C541" s="23" t="n"/>
      <c r="D541" s="23" t="inlineStr">
        <is>
          <t>目黒学院高等学校</t>
        </is>
      </c>
      <c r="E541" s="24" t="inlineStr">
        <is>
          <t>03-3711-6556</t>
        </is>
      </c>
      <c r="F541" s="23" t="n"/>
      <c r="G541" s="25" t="inlineStr">
        <is>
          <t>普通科</t>
        </is>
      </c>
      <c r="H541" s="26" t="inlineStr">
        <is>
          <t>☐</t>
        </is>
      </c>
      <c r="I541" s="26" t="inlineStr">
        <is>
          <t>☐</t>
        </is>
      </c>
      <c r="J541" s="26" t="inlineStr">
        <is>
          <t>☐</t>
        </is>
      </c>
      <c r="K541" s="26" t="inlineStr">
        <is>
          <t>☐</t>
        </is>
      </c>
      <c r="L541" s="26" t="inlineStr">
        <is>
          <t>☐</t>
        </is>
      </c>
      <c r="M541" s="25" t="n"/>
      <c r="N541" s="27" t="n">
        <v>0</v>
      </c>
      <c r="O541" s="28" t="n"/>
      <c r="P541" s="23" t="n"/>
      <c r="Q541" s="29" t="n"/>
      <c r="R541" s="29" t="n"/>
      <c r="S541" s="23" t="n"/>
      <c r="T541" s="30" t="n"/>
      <c r="U541" s="31" t="inlineStr">
        <is>
          <t>高</t>
        </is>
      </c>
      <c r="V541" s="32" t="inlineStr">
        <is>
          <t>複数サイトで一致</t>
        </is>
      </c>
      <c r="W541" s="33" t="inlineStr">
        <is>
          <t>開く</t>
        </is>
      </c>
    </row>
    <row r="542" ht="30" customHeight="1">
      <c r="A542" s="23" t="inlineStr">
        <is>
          <t>13東京都</t>
        </is>
      </c>
      <c r="B542" s="23" t="inlineStr">
        <is>
          <t>私立</t>
        </is>
      </c>
      <c r="C542" s="23" t="n"/>
      <c r="D542" s="23" t="inlineStr">
        <is>
          <t>目黒日本大学高等学校</t>
        </is>
      </c>
      <c r="E542" s="24" t="inlineStr">
        <is>
          <t>03-3492-3388</t>
        </is>
      </c>
      <c r="F542" s="23" t="n"/>
      <c r="G542" s="25" t="inlineStr">
        <is>
          <t>普通科</t>
        </is>
      </c>
      <c r="H542" s="26" t="inlineStr">
        <is>
          <t>☐</t>
        </is>
      </c>
      <c r="I542" s="26" t="inlineStr">
        <is>
          <t>☐</t>
        </is>
      </c>
      <c r="J542" s="26" t="inlineStr">
        <is>
          <t>☐</t>
        </is>
      </c>
      <c r="K542" s="26" t="inlineStr">
        <is>
          <t>☐</t>
        </is>
      </c>
      <c r="L542" s="26" t="inlineStr">
        <is>
          <t>☐</t>
        </is>
      </c>
      <c r="M542" s="25" t="n"/>
      <c r="N542" s="27" t="n">
        <v>0</v>
      </c>
      <c r="O542" s="28" t="n"/>
      <c r="P542" s="23" t="n"/>
      <c r="Q542" s="29" t="n"/>
      <c r="R542" s="29" t="n"/>
      <c r="S542" s="23" t="n"/>
      <c r="T542" s="30" t="n"/>
      <c r="U542" s="31" t="inlineStr">
        <is>
          <t>高</t>
        </is>
      </c>
      <c r="V542" s="32" t="inlineStr">
        <is>
          <t>全日制の番号。通信制課程は03-3492-6674。2019年に日出高校から改称</t>
        </is>
      </c>
      <c r="W542" s="33" t="inlineStr">
        <is>
          <t>開く</t>
        </is>
      </c>
    </row>
    <row r="543" ht="30" customHeight="1">
      <c r="A543" s="23" t="inlineStr">
        <is>
          <t>13東京都</t>
        </is>
      </c>
      <c r="B543" s="23" t="inlineStr">
        <is>
          <t>私立</t>
        </is>
      </c>
      <c r="C543" s="23" t="n"/>
      <c r="D543" s="23" t="inlineStr">
        <is>
          <t>目白研心高等学校</t>
        </is>
      </c>
      <c r="E543" s="24" t="inlineStr">
        <is>
          <t>03-5996-3133</t>
        </is>
      </c>
      <c r="F543" s="23" t="n"/>
      <c r="G543" s="25" t="inlineStr">
        <is>
          <t>普通科</t>
        </is>
      </c>
      <c r="H543" s="26" t="inlineStr">
        <is>
          <t>☐</t>
        </is>
      </c>
      <c r="I543" s="26" t="inlineStr">
        <is>
          <t>☐</t>
        </is>
      </c>
      <c r="J543" s="26" t="inlineStr">
        <is>
          <t>☐</t>
        </is>
      </c>
      <c r="K543" s="26" t="inlineStr">
        <is>
          <t>☐</t>
        </is>
      </c>
      <c r="L543" s="26" t="inlineStr">
        <is>
          <t>☐</t>
        </is>
      </c>
      <c r="M543" s="25" t="n"/>
      <c r="N543" s="27" t="n">
        <v>0</v>
      </c>
      <c r="O543" s="28" t="n"/>
      <c r="P543" s="23" t="n"/>
      <c r="Q543" s="29" t="n"/>
      <c r="R543" s="29" t="n"/>
      <c r="S543" s="23" t="n"/>
      <c r="T543" s="30" t="n"/>
      <c r="U543" s="34" t="inlineStr">
        <is>
          <t>中</t>
        </is>
      </c>
      <c r="V543" s="32" t="inlineStr">
        <is>
          <t>広報部の番号とするサイトあり。代表は03-5996-3131の可能性</t>
        </is>
      </c>
      <c r="W543" s="33" t="inlineStr">
        <is>
          <t>開く</t>
        </is>
      </c>
    </row>
    <row r="544" ht="30" customHeight="1">
      <c r="A544" s="23" t="inlineStr">
        <is>
          <t>13東京都</t>
        </is>
      </c>
      <c r="B544" s="23" t="inlineStr">
        <is>
          <t>私立</t>
        </is>
      </c>
      <c r="C544" s="23" t="n"/>
      <c r="D544" s="23" t="inlineStr">
        <is>
          <t>八雲学園高等学校</t>
        </is>
      </c>
      <c r="E544" s="24" t="inlineStr">
        <is>
          <t>03-3717-1196</t>
        </is>
      </c>
      <c r="F544" s="23" t="n"/>
      <c r="G544" s="25" t="inlineStr">
        <is>
          <t>普通科</t>
        </is>
      </c>
      <c r="H544" s="26" t="inlineStr">
        <is>
          <t>☐</t>
        </is>
      </c>
      <c r="I544" s="26" t="inlineStr">
        <is>
          <t>☐</t>
        </is>
      </c>
      <c r="J544" s="26" t="inlineStr">
        <is>
          <t>☐</t>
        </is>
      </c>
      <c r="K544" s="26" t="inlineStr">
        <is>
          <t>☐</t>
        </is>
      </c>
      <c r="L544" s="26" t="inlineStr">
        <is>
          <t>☐</t>
        </is>
      </c>
      <c r="M544" s="25" t="n"/>
      <c r="N544" s="27" t="n">
        <v>0</v>
      </c>
      <c r="O544" s="28" t="n"/>
      <c r="P544" s="23" t="n"/>
      <c r="Q544" s="29" t="n"/>
      <c r="R544" s="29" t="n"/>
      <c r="S544" s="23" t="n"/>
      <c r="T544" s="30" t="n"/>
      <c r="U544" s="31" t="inlineStr">
        <is>
          <t>高</t>
        </is>
      </c>
      <c r="V544" s="32" t="inlineStr">
        <is>
          <t>中高共通</t>
        </is>
      </c>
      <c r="W544" s="33" t="inlineStr">
        <is>
          <t>開く</t>
        </is>
      </c>
    </row>
    <row r="545" ht="30" customHeight="1">
      <c r="A545" s="23" t="inlineStr">
        <is>
          <t>13東京都</t>
        </is>
      </c>
      <c r="B545" s="23" t="inlineStr">
        <is>
          <t>私立</t>
        </is>
      </c>
      <c r="C545" s="23" t="n"/>
      <c r="D545" s="23" t="inlineStr">
        <is>
          <t>安田学園高等学校</t>
        </is>
      </c>
      <c r="E545" s="24" t="inlineStr">
        <is>
          <t>03-3624-2666</t>
        </is>
      </c>
      <c r="F545" s="23" t="n"/>
      <c r="G545" s="25" t="inlineStr">
        <is>
          <t>普通科</t>
        </is>
      </c>
      <c r="H545" s="26" t="inlineStr">
        <is>
          <t>☐</t>
        </is>
      </c>
      <c r="I545" s="26" t="inlineStr">
        <is>
          <t>☐</t>
        </is>
      </c>
      <c r="J545" s="26" t="inlineStr">
        <is>
          <t>☐</t>
        </is>
      </c>
      <c r="K545" s="26" t="inlineStr">
        <is>
          <t>☐</t>
        </is>
      </c>
      <c r="L545" s="26" t="inlineStr">
        <is>
          <t>☐</t>
        </is>
      </c>
      <c r="M545" s="25" t="n"/>
      <c r="N545" s="27" t="n">
        <v>0</v>
      </c>
      <c r="O545" s="28" t="n"/>
      <c r="P545" s="23" t="n"/>
      <c r="Q545" s="29" t="n"/>
      <c r="R545" s="29" t="n"/>
      <c r="S545" s="23" t="n"/>
      <c r="T545" s="30" t="n"/>
      <c r="U545" s="31" t="inlineStr">
        <is>
          <t>高</t>
        </is>
      </c>
      <c r="V545" s="32" t="inlineStr">
        <is>
          <t>公式資料に「代表」と記載</t>
        </is>
      </c>
      <c r="W545" s="33" t="inlineStr">
        <is>
          <t>開く</t>
        </is>
      </c>
    </row>
    <row r="546" ht="30" customHeight="1">
      <c r="A546" s="23" t="inlineStr">
        <is>
          <t>13東京都</t>
        </is>
      </c>
      <c r="B546" s="23" t="inlineStr">
        <is>
          <t>私立</t>
        </is>
      </c>
      <c r="C546" s="23" t="n"/>
      <c r="D546" s="23" t="inlineStr">
        <is>
          <t>山脇学園高等学校</t>
        </is>
      </c>
      <c r="E546" s="24" t="inlineStr">
        <is>
          <t>03-3585-3911</t>
        </is>
      </c>
      <c r="F546" s="23" t="n"/>
      <c r="G546" s="25" t="inlineStr">
        <is>
          <t>普通科</t>
        </is>
      </c>
      <c r="H546" s="26" t="inlineStr">
        <is>
          <t>☐</t>
        </is>
      </c>
      <c r="I546" s="26" t="inlineStr">
        <is>
          <t>☐</t>
        </is>
      </c>
      <c r="J546" s="26" t="inlineStr">
        <is>
          <t>☐</t>
        </is>
      </c>
      <c r="K546" s="26" t="inlineStr">
        <is>
          <t>☐</t>
        </is>
      </c>
      <c r="L546" s="26" t="inlineStr">
        <is>
          <t>☐</t>
        </is>
      </c>
      <c r="M546" s="25" t="n"/>
      <c r="N546" s="27" t="n">
        <v>0</v>
      </c>
      <c r="O546" s="28" t="n"/>
      <c r="P546" s="23" t="n"/>
      <c r="Q546" s="29" t="n"/>
      <c r="R546" s="29" t="n"/>
      <c r="S546" s="23" t="n"/>
      <c r="T546" s="30" t="n"/>
      <c r="U546" s="31" t="inlineStr">
        <is>
          <t>高</t>
        </is>
      </c>
      <c r="V546" s="32" t="inlineStr">
        <is>
          <t>中高共通。公式資料で確認</t>
        </is>
      </c>
      <c r="W546" s="33" t="inlineStr">
        <is>
          <t>開く</t>
        </is>
      </c>
    </row>
    <row r="547" ht="30" customHeight="1">
      <c r="A547" s="23" t="inlineStr">
        <is>
          <t>13東京都</t>
        </is>
      </c>
      <c r="B547" s="23" t="inlineStr">
        <is>
          <t>私立</t>
        </is>
      </c>
      <c r="C547" s="23" t="n"/>
      <c r="D547" s="23" t="inlineStr">
        <is>
          <t>立教池袋高等学校</t>
        </is>
      </c>
      <c r="E547" s="24" t="inlineStr">
        <is>
          <t>03-3985-2707</t>
        </is>
      </c>
      <c r="F547" s="23" t="n"/>
      <c r="G547" s="25" t="inlineStr">
        <is>
          <t>普通科</t>
        </is>
      </c>
      <c r="H547" s="26" t="inlineStr">
        <is>
          <t>☐</t>
        </is>
      </c>
      <c r="I547" s="26" t="inlineStr">
        <is>
          <t>☐</t>
        </is>
      </c>
      <c r="J547" s="26" t="inlineStr">
        <is>
          <t>☐</t>
        </is>
      </c>
      <c r="K547" s="26" t="inlineStr">
        <is>
          <t>☐</t>
        </is>
      </c>
      <c r="L547" s="26" t="inlineStr">
        <is>
          <t>☐</t>
        </is>
      </c>
      <c r="M547" s="25" t="n"/>
      <c r="N547" s="27" t="n">
        <v>0</v>
      </c>
      <c r="O547" s="28" t="n"/>
      <c r="P547" s="23" t="n"/>
      <c r="Q547" s="29" t="n"/>
      <c r="R547" s="29" t="n"/>
      <c r="S547" s="23" t="n"/>
      <c r="T547" s="30" t="n"/>
      <c r="U547" s="31" t="inlineStr">
        <is>
          <t>高</t>
        </is>
      </c>
      <c r="V547" s="32" t="inlineStr">
        <is>
          <t>中高共通</t>
        </is>
      </c>
      <c r="W547" s="33" t="inlineStr">
        <is>
          <t>開く</t>
        </is>
      </c>
    </row>
    <row r="548" ht="30" customHeight="1">
      <c r="A548" s="23" t="inlineStr">
        <is>
          <t>13東京都</t>
        </is>
      </c>
      <c r="B548" s="23" t="inlineStr">
        <is>
          <t>私立</t>
        </is>
      </c>
      <c r="C548" s="23" t="n"/>
      <c r="D548" s="23" t="inlineStr">
        <is>
          <t>立教英国学院高等部</t>
        </is>
      </c>
      <c r="E548" s="24" t="n"/>
      <c r="F548" s="23" t="n"/>
      <c r="G548" s="25" t="inlineStr">
        <is>
          <t>普通科</t>
        </is>
      </c>
      <c r="H548" s="26" t="inlineStr">
        <is>
          <t>☐</t>
        </is>
      </c>
      <c r="I548" s="26" t="inlineStr">
        <is>
          <t>☐</t>
        </is>
      </c>
      <c r="J548" s="26" t="inlineStr">
        <is>
          <t>☐</t>
        </is>
      </c>
      <c r="K548" s="26" t="inlineStr">
        <is>
          <t>☐</t>
        </is>
      </c>
      <c r="L548" s="26" t="inlineStr">
        <is>
          <t>☐</t>
        </is>
      </c>
      <c r="M548" s="25" t="n"/>
      <c r="N548" s="27" t="n">
        <v>0</v>
      </c>
      <c r="O548" s="28" t="n"/>
      <c r="P548" s="23" t="n"/>
      <c r="Q548" s="29" t="n"/>
      <c r="R548" s="29" t="n"/>
      <c r="S548" s="23" t="n"/>
      <c r="T548" s="30" t="n"/>
      <c r="U548" s="35" t="inlineStr">
        <is>
          <t>要調査</t>
        </is>
      </c>
      <c r="V548" s="32" t="inlineStr">
        <is>
          <t>学校本体は英国。東京事務所（立教学院内）の番号として03-3985-2785が1サイトに掲載。公式の問い合わせ先は英国の番号</t>
        </is>
      </c>
      <c r="W548" s="33" t="inlineStr">
        <is>
          <t>開く</t>
        </is>
      </c>
    </row>
    <row r="549" ht="30" customHeight="1">
      <c r="A549" s="23" t="inlineStr">
        <is>
          <t>13東京都</t>
        </is>
      </c>
      <c r="B549" s="23" t="inlineStr">
        <is>
          <t>私立</t>
        </is>
      </c>
      <c r="C549" s="23" t="n"/>
      <c r="D549" s="23" t="inlineStr">
        <is>
          <t>立教女学院高等学校</t>
        </is>
      </c>
      <c r="E549" s="24" t="inlineStr">
        <is>
          <t>03-3334-5103</t>
        </is>
      </c>
      <c r="F549" s="23" t="n"/>
      <c r="G549" s="25" t="inlineStr">
        <is>
          <t>普通科</t>
        </is>
      </c>
      <c r="H549" s="26" t="inlineStr">
        <is>
          <t>☐</t>
        </is>
      </c>
      <c r="I549" s="26" t="inlineStr">
        <is>
          <t>☐</t>
        </is>
      </c>
      <c r="J549" s="26" t="inlineStr">
        <is>
          <t>☐</t>
        </is>
      </c>
      <c r="K549" s="26" t="inlineStr">
        <is>
          <t>☐</t>
        </is>
      </c>
      <c r="L549" s="26" t="inlineStr">
        <is>
          <t>☐</t>
        </is>
      </c>
      <c r="M549" s="25" t="n"/>
      <c r="N549" s="27" t="n">
        <v>0</v>
      </c>
      <c r="O549" s="28" t="n"/>
      <c r="P549" s="23" t="n"/>
      <c r="Q549" s="29" t="n"/>
      <c r="R549" s="29" t="n"/>
      <c r="S549" s="23" t="n"/>
      <c r="T549" s="30" t="n"/>
      <c r="U549" s="31" t="inlineStr">
        <is>
          <t>高</t>
        </is>
      </c>
      <c r="V549" s="32" t="inlineStr">
        <is>
          <t>中高共通。杉並区の一覧で確認</t>
        </is>
      </c>
      <c r="W549" s="33" t="inlineStr">
        <is>
          <t>開く</t>
        </is>
      </c>
    </row>
    <row r="550" ht="30" customHeight="1">
      <c r="A550" s="23" t="inlineStr">
        <is>
          <t>13東京都</t>
        </is>
      </c>
      <c r="B550" s="23" t="inlineStr">
        <is>
          <t>私立</t>
        </is>
      </c>
      <c r="C550" s="23" t="n"/>
      <c r="D550" s="23" t="inlineStr">
        <is>
          <t>立志舎高等学校</t>
        </is>
      </c>
      <c r="E550" s="24" t="inlineStr">
        <is>
          <t>03-5608-1033</t>
        </is>
      </c>
      <c r="F550" s="23" t="n"/>
      <c r="G550" s="25" t="inlineStr">
        <is>
          <t>普通科</t>
        </is>
      </c>
      <c r="H550" s="26" t="inlineStr">
        <is>
          <t>☐</t>
        </is>
      </c>
      <c r="I550" s="26" t="inlineStr">
        <is>
          <t>☐</t>
        </is>
      </c>
      <c r="J550" s="26" t="inlineStr">
        <is>
          <t>☐</t>
        </is>
      </c>
      <c r="K550" s="26" t="inlineStr">
        <is>
          <t>☐</t>
        </is>
      </c>
      <c r="L550" s="26" t="inlineStr">
        <is>
          <t>☐</t>
        </is>
      </c>
      <c r="M550" s="25" t="n"/>
      <c r="N550" s="27" t="n">
        <v>0</v>
      </c>
      <c r="O550" s="28" t="n"/>
      <c r="P550" s="23" t="n"/>
      <c r="Q550" s="29" t="n"/>
      <c r="R550" s="29" t="n"/>
      <c r="S550" s="23" t="n"/>
      <c r="T550" s="30" t="n"/>
      <c r="U550" s="34" t="inlineStr">
        <is>
          <t>中</t>
        </is>
      </c>
      <c r="V550" s="32" t="inlineStr">
        <is>
          <t>通信制。東京都の通信制一覧のみで確認</t>
        </is>
      </c>
      <c r="W550" s="33" t="inlineStr">
        <is>
          <t>開く</t>
        </is>
      </c>
    </row>
    <row r="551" ht="30" customHeight="1">
      <c r="A551" s="23" t="inlineStr">
        <is>
          <t>13東京都</t>
        </is>
      </c>
      <c r="B551" s="23" t="inlineStr">
        <is>
          <t>私立</t>
        </is>
      </c>
      <c r="C551" s="23" t="n"/>
      <c r="D551" s="23" t="inlineStr">
        <is>
          <t>立正大学付属立正高等学校</t>
        </is>
      </c>
      <c r="E551" s="24" t="inlineStr">
        <is>
          <t>03-6303-7683</t>
        </is>
      </c>
      <c r="F551" s="23" t="n"/>
      <c r="G551" s="25" t="inlineStr">
        <is>
          <t>普通科</t>
        </is>
      </c>
      <c r="H551" s="26" t="inlineStr">
        <is>
          <t>☐</t>
        </is>
      </c>
      <c r="I551" s="26" t="inlineStr">
        <is>
          <t>☐</t>
        </is>
      </c>
      <c r="J551" s="26" t="inlineStr">
        <is>
          <t>☐</t>
        </is>
      </c>
      <c r="K551" s="26" t="inlineStr">
        <is>
          <t>☐</t>
        </is>
      </c>
      <c r="L551" s="26" t="inlineStr">
        <is>
          <t>☐</t>
        </is>
      </c>
      <c r="M551" s="25" t="n"/>
      <c r="N551" s="27" t="n">
        <v>0</v>
      </c>
      <c r="O551" s="28" t="n"/>
      <c r="P551" s="23" t="n"/>
      <c r="Q551" s="29" t="n"/>
      <c r="R551" s="29" t="n"/>
      <c r="S551" s="23" t="n"/>
      <c r="T551" s="30" t="n"/>
      <c r="U551" s="31" t="inlineStr">
        <is>
          <t>高</t>
        </is>
      </c>
      <c r="V551" s="32" t="inlineStr">
        <is>
          <t>中高共通。公式の学校案内で確認</t>
        </is>
      </c>
      <c r="W551" s="33" t="inlineStr">
        <is>
          <t>開く</t>
        </is>
      </c>
    </row>
    <row r="552" ht="30" customHeight="1">
      <c r="A552" s="23" t="inlineStr">
        <is>
          <t>13東京都</t>
        </is>
      </c>
      <c r="B552" s="23" t="inlineStr">
        <is>
          <t>私立</t>
        </is>
      </c>
      <c r="C552" s="23" t="n"/>
      <c r="D552" s="23" t="inlineStr">
        <is>
          <t>和光高等学校</t>
        </is>
      </c>
      <c r="E552" s="24" t="n"/>
      <c r="F552" s="23" t="n"/>
      <c r="G552" s="25" t="inlineStr">
        <is>
          <t>普通科</t>
        </is>
      </c>
      <c r="H552" s="26" t="inlineStr">
        <is>
          <t>☐</t>
        </is>
      </c>
      <c r="I552" s="26" t="inlineStr">
        <is>
          <t>☐</t>
        </is>
      </c>
      <c r="J552" s="26" t="inlineStr">
        <is>
          <t>☐</t>
        </is>
      </c>
      <c r="K552" s="26" t="inlineStr">
        <is>
          <t>☐</t>
        </is>
      </c>
      <c r="L552" s="26" t="inlineStr">
        <is>
          <t>☐</t>
        </is>
      </c>
      <c r="M552" s="25" t="n"/>
      <c r="N552" s="27" t="n">
        <v>0</v>
      </c>
      <c r="O552" s="28" t="n"/>
      <c r="P552" s="23" t="n"/>
      <c r="Q552" s="29" t="n"/>
      <c r="R552" s="29" t="n"/>
      <c r="S552" s="23" t="n"/>
      <c r="T552" s="30" t="n"/>
      <c r="U552" s="35" t="inlineStr">
        <is>
          <t>要調査</t>
        </is>
      </c>
      <c r="V552" s="32" t="inlineStr">
        <is>
          <t>情報源で番号が食い違い。候補：042-734-3401（代表とする情報あり）／042-734-3402／042-734-3403</t>
        </is>
      </c>
      <c r="W552" s="33" t="inlineStr">
        <is>
          <t>開く</t>
        </is>
      </c>
    </row>
    <row r="553" ht="30" customHeight="1">
      <c r="A553" s="23" t="inlineStr">
        <is>
          <t>13東京都</t>
        </is>
      </c>
      <c r="B553" s="23" t="inlineStr">
        <is>
          <t>私立</t>
        </is>
      </c>
      <c r="C553" s="23" t="n"/>
      <c r="D553" s="23" t="inlineStr">
        <is>
          <t>早稲田高等学校</t>
        </is>
      </c>
      <c r="E553" s="24" t="inlineStr">
        <is>
          <t>03-3202-7674</t>
        </is>
      </c>
      <c r="F553" s="23" t="n"/>
      <c r="G553" s="25" t="inlineStr">
        <is>
          <t>普通科</t>
        </is>
      </c>
      <c r="H553" s="26" t="inlineStr">
        <is>
          <t>☐</t>
        </is>
      </c>
      <c r="I553" s="26" t="inlineStr">
        <is>
          <t>☐</t>
        </is>
      </c>
      <c r="J553" s="26" t="inlineStr">
        <is>
          <t>☐</t>
        </is>
      </c>
      <c r="K553" s="26" t="inlineStr">
        <is>
          <t>☐</t>
        </is>
      </c>
      <c r="L553" s="26" t="inlineStr">
        <is>
          <t>☐</t>
        </is>
      </c>
      <c r="M553" s="25" t="n"/>
      <c r="N553" s="27" t="n">
        <v>0</v>
      </c>
      <c r="O553" s="28" t="n"/>
      <c r="P553" s="23" t="n"/>
      <c r="Q553" s="29" t="n"/>
      <c r="R553" s="29" t="n"/>
      <c r="S553" s="23" t="n"/>
      <c r="T553" s="30" t="n"/>
      <c r="U553" s="31" t="inlineStr">
        <is>
          <t>高</t>
        </is>
      </c>
      <c r="V553" s="32" t="inlineStr">
        <is>
          <t>中高共通</t>
        </is>
      </c>
      <c r="W553" s="33" t="inlineStr">
        <is>
          <t>開く</t>
        </is>
      </c>
    </row>
    <row r="554" ht="30" customHeight="1">
      <c r="A554" s="23" t="inlineStr">
        <is>
          <t>13東京都</t>
        </is>
      </c>
      <c r="B554" s="23" t="inlineStr">
        <is>
          <t>私立</t>
        </is>
      </c>
      <c r="C554" s="23" t="n"/>
      <c r="D554" s="23" t="inlineStr">
        <is>
          <t>早稲田実業学校高等部</t>
        </is>
      </c>
      <c r="E554" s="24" t="inlineStr">
        <is>
          <t>042-300-2121</t>
        </is>
      </c>
      <c r="F554" s="23" t="n"/>
      <c r="G554" s="25" t="inlineStr">
        <is>
          <t>普通科</t>
        </is>
      </c>
      <c r="H554" s="26" t="inlineStr">
        <is>
          <t>☐</t>
        </is>
      </c>
      <c r="I554" s="26" t="inlineStr">
        <is>
          <t>☐</t>
        </is>
      </c>
      <c r="J554" s="26" t="inlineStr">
        <is>
          <t>☐</t>
        </is>
      </c>
      <c r="K554" s="26" t="inlineStr">
        <is>
          <t>☐</t>
        </is>
      </c>
      <c r="L554" s="26" t="inlineStr">
        <is>
          <t>☐</t>
        </is>
      </c>
      <c r="M554" s="25" t="n"/>
      <c r="N554" s="27" t="n">
        <v>0</v>
      </c>
      <c r="O554" s="28" t="n"/>
      <c r="P554" s="23" t="n"/>
      <c r="Q554" s="29" t="n"/>
      <c r="R554" s="29" t="n"/>
      <c r="S554" s="23" t="n"/>
      <c r="T554" s="30" t="n"/>
      <c r="U554" s="34" t="inlineStr">
        <is>
          <t>中</t>
        </is>
      </c>
      <c r="V554" s="32" t="inlineStr">
        <is>
          <t>中等部・高等部共通。学校情報サイトのみで確認</t>
        </is>
      </c>
      <c r="W554" s="33" t="inlineStr">
        <is>
          <t>開く</t>
        </is>
      </c>
    </row>
    <row r="555" ht="30" customHeight="1">
      <c r="A555" s="23" t="inlineStr">
        <is>
          <t>13東京都</t>
        </is>
      </c>
      <c r="B555" s="23" t="inlineStr">
        <is>
          <t>私立</t>
        </is>
      </c>
      <c r="C555" s="23" t="n"/>
      <c r="D555" s="23" t="inlineStr">
        <is>
          <t>早稲田大学高等学院</t>
        </is>
      </c>
      <c r="E555" s="24" t="inlineStr">
        <is>
          <t>03-5991-4156</t>
        </is>
      </c>
      <c r="F555" s="23" t="n"/>
      <c r="G555" s="25" t="inlineStr">
        <is>
          <t>普通科</t>
        </is>
      </c>
      <c r="H555" s="26" t="inlineStr">
        <is>
          <t>☐</t>
        </is>
      </c>
      <c r="I555" s="26" t="inlineStr">
        <is>
          <t>☐</t>
        </is>
      </c>
      <c r="J555" s="26" t="inlineStr">
        <is>
          <t>☐</t>
        </is>
      </c>
      <c r="K555" s="26" t="inlineStr">
        <is>
          <t>☐</t>
        </is>
      </c>
      <c r="L555" s="26" t="inlineStr">
        <is>
          <t>☐</t>
        </is>
      </c>
      <c r="M555" s="25" t="n"/>
      <c r="N555" s="27" t="n">
        <v>0</v>
      </c>
      <c r="O555" s="28" t="n"/>
      <c r="P555" s="23" t="n"/>
      <c r="Q555" s="29" t="n"/>
      <c r="R555" s="29" t="n"/>
      <c r="S555" s="23" t="n"/>
      <c r="T555" s="30" t="n"/>
      <c r="U555" s="34" t="inlineStr">
        <is>
          <t>中</t>
        </is>
      </c>
      <c r="V555" s="32" t="inlineStr">
        <is>
          <t>公式サイトの事務所の番号（「代表」の表記なし）。入試専用は03-5991-4210</t>
        </is>
      </c>
      <c r="W555" s="33" t="inlineStr">
        <is>
          <t>開く</t>
        </is>
      </c>
    </row>
    <row r="556" ht="30" customHeight="1">
      <c r="A556" s="23" t="inlineStr">
        <is>
          <t>13東京都</t>
        </is>
      </c>
      <c r="B556" s="23" t="inlineStr">
        <is>
          <t>私立</t>
        </is>
      </c>
      <c r="C556" s="23" t="n"/>
      <c r="D556" s="23" t="inlineStr">
        <is>
          <t>和洋九段女子高等学校</t>
        </is>
      </c>
      <c r="E556" s="24" t="inlineStr">
        <is>
          <t>03-3262-4161</t>
        </is>
      </c>
      <c r="F556" s="23" t="n"/>
      <c r="G556" s="25" t="inlineStr">
        <is>
          <t>普通科</t>
        </is>
      </c>
      <c r="H556" s="26" t="inlineStr">
        <is>
          <t>☐</t>
        </is>
      </c>
      <c r="I556" s="26" t="inlineStr">
        <is>
          <t>☐</t>
        </is>
      </c>
      <c r="J556" s="26" t="inlineStr">
        <is>
          <t>☐</t>
        </is>
      </c>
      <c r="K556" s="26" t="inlineStr">
        <is>
          <t>☐</t>
        </is>
      </c>
      <c r="L556" s="26" t="inlineStr">
        <is>
          <t>☐</t>
        </is>
      </c>
      <c r="M556" s="25" t="n"/>
      <c r="N556" s="27" t="n">
        <v>0</v>
      </c>
      <c r="O556" s="28" t="n"/>
      <c r="P556" s="23" t="n"/>
      <c r="Q556" s="29" t="n"/>
      <c r="R556" s="29" t="n"/>
      <c r="S556" s="23" t="n"/>
      <c r="T556" s="30" t="n"/>
      <c r="U556" s="31" t="inlineStr">
        <is>
          <t>高</t>
        </is>
      </c>
      <c r="V556" s="32" t="inlineStr">
        <is>
          <t>中高共通</t>
        </is>
      </c>
      <c r="W556" s="33" t="inlineStr">
        <is>
          <t>開く</t>
        </is>
      </c>
    </row>
    <row r="557" ht="30" customHeight="1">
      <c r="A557" s="23" t="inlineStr">
        <is>
          <t>14神奈川県</t>
        </is>
      </c>
      <c r="B557" s="23" t="inlineStr">
        <is>
          <t>私立</t>
        </is>
      </c>
      <c r="C557" s="23" t="n"/>
      <c r="D557" s="23" t="inlineStr">
        <is>
          <t>青山学院横浜英和高等学校</t>
        </is>
      </c>
      <c r="E557" s="24" t="inlineStr">
        <is>
          <t>045-731-2862</t>
        </is>
      </c>
      <c r="F557" s="23" t="n"/>
      <c r="G557" s="25" t="inlineStr">
        <is>
          <t>普通科</t>
        </is>
      </c>
      <c r="H557" s="26" t="inlineStr">
        <is>
          <t>☐</t>
        </is>
      </c>
      <c r="I557" s="26" t="inlineStr">
        <is>
          <t>☐</t>
        </is>
      </c>
      <c r="J557" s="26" t="inlineStr">
        <is>
          <t>☐</t>
        </is>
      </c>
      <c r="K557" s="26" t="inlineStr">
        <is>
          <t>☐</t>
        </is>
      </c>
      <c r="L557" s="26" t="inlineStr">
        <is>
          <t>☐</t>
        </is>
      </c>
      <c r="M557" s="25" t="n"/>
      <c r="N557" s="27" t="n">
        <v>0</v>
      </c>
      <c r="O557" s="28" t="n"/>
      <c r="P557" s="23" t="n"/>
      <c r="Q557" s="29" t="n"/>
      <c r="R557" s="29" t="n"/>
      <c r="S557" s="23" t="n"/>
      <c r="T557" s="30" t="n"/>
      <c r="U557" s="34" t="inlineStr">
        <is>
          <t>中</t>
        </is>
      </c>
      <c r="V557" s="32" t="inlineStr">
        <is>
          <t>中高共通。横浜市南区の一覧ほかで一致。045-731-2861を載せるサイトもあり</t>
        </is>
      </c>
      <c r="W557" s="33" t="inlineStr">
        <is>
          <t>開く</t>
        </is>
      </c>
    </row>
    <row r="558" ht="30" customHeight="1">
      <c r="A558" s="23" t="inlineStr">
        <is>
          <t>14神奈川県</t>
        </is>
      </c>
      <c r="B558" s="23" t="inlineStr">
        <is>
          <t>私立</t>
        </is>
      </c>
      <c r="C558" s="23" t="n"/>
      <c r="D558" s="23" t="inlineStr">
        <is>
          <t>浅野高等学校</t>
        </is>
      </c>
      <c r="E558" s="24" t="inlineStr">
        <is>
          <t>045-421-3281</t>
        </is>
      </c>
      <c r="F558" s="23" t="n"/>
      <c r="G558" s="25" t="inlineStr">
        <is>
          <t>普通科</t>
        </is>
      </c>
      <c r="H558" s="26" t="inlineStr">
        <is>
          <t>☐</t>
        </is>
      </c>
      <c r="I558" s="26" t="inlineStr">
        <is>
          <t>☐</t>
        </is>
      </c>
      <c r="J558" s="26" t="inlineStr">
        <is>
          <t>☐</t>
        </is>
      </c>
      <c r="K558" s="26" t="inlineStr">
        <is>
          <t>☐</t>
        </is>
      </c>
      <c r="L558" s="26" t="inlineStr">
        <is>
          <t>☐</t>
        </is>
      </c>
      <c r="M558" s="25" t="n"/>
      <c r="N558" s="27" t="n">
        <v>0</v>
      </c>
      <c r="O558" s="28" t="n"/>
      <c r="P558" s="23" t="n"/>
      <c r="Q558" s="29" t="n"/>
      <c r="R558" s="29" t="n"/>
      <c r="S558" s="23" t="n"/>
      <c r="T558" s="30" t="n"/>
      <c r="U558" s="34" t="inlineStr">
        <is>
          <t>中</t>
        </is>
      </c>
      <c r="V558" s="32" t="inlineStr">
        <is>
          <t>中高共通。学校情報サイト1件のみで確認</t>
        </is>
      </c>
      <c r="W558" s="33" t="inlineStr">
        <is>
          <t>開く</t>
        </is>
      </c>
    </row>
    <row r="559" ht="30" customHeight="1">
      <c r="A559" s="23" t="inlineStr">
        <is>
          <t>14神奈川県</t>
        </is>
      </c>
      <c r="B559" s="23" t="inlineStr">
        <is>
          <t>私立</t>
        </is>
      </c>
      <c r="C559" s="23" t="n"/>
      <c r="D559" s="23" t="inlineStr">
        <is>
          <t>旭丘高等学校</t>
        </is>
      </c>
      <c r="E559" s="24" t="inlineStr">
        <is>
          <t>0465-24-2227</t>
        </is>
      </c>
      <c r="F559" s="23" t="n"/>
      <c r="G559" s="25" t="inlineStr">
        <is>
          <t>普通科・総合学科</t>
        </is>
      </c>
      <c r="H559" s="26" t="inlineStr">
        <is>
          <t>☐</t>
        </is>
      </c>
      <c r="I559" s="26" t="inlineStr">
        <is>
          <t>☐</t>
        </is>
      </c>
      <c r="J559" s="26" t="inlineStr">
        <is>
          <t>☐</t>
        </is>
      </c>
      <c r="K559" s="26" t="inlineStr">
        <is>
          <t>☐</t>
        </is>
      </c>
      <c r="L559" s="26" t="inlineStr">
        <is>
          <t>☐</t>
        </is>
      </c>
      <c r="M559" s="25" t="n"/>
      <c r="N559" s="27" t="n">
        <v>0</v>
      </c>
      <c r="O559" s="28" t="n"/>
      <c r="P559" s="23" t="n"/>
      <c r="Q559" s="29" t="n"/>
      <c r="R559" s="29" t="n"/>
      <c r="S559" s="23" t="n"/>
      <c r="T559" s="30" t="n"/>
      <c r="U559" s="34" t="inlineStr">
        <is>
          <t>中</t>
        </is>
      </c>
      <c r="V559" s="32" t="inlineStr">
        <is>
          <t>学校情報サイト1件のみで確認</t>
        </is>
      </c>
      <c r="W559" s="33" t="inlineStr">
        <is>
          <t>開く</t>
        </is>
      </c>
    </row>
    <row r="560" ht="30" customHeight="1">
      <c r="A560" s="23" t="inlineStr">
        <is>
          <t>14神奈川県</t>
        </is>
      </c>
      <c r="B560" s="23" t="inlineStr">
        <is>
          <t>私立</t>
        </is>
      </c>
      <c r="C560" s="23" t="n"/>
      <c r="D560" s="23" t="inlineStr">
        <is>
          <t>麻布大学附属高等学校</t>
        </is>
      </c>
      <c r="E560" s="24" t="inlineStr">
        <is>
          <t>042-757-2403</t>
        </is>
      </c>
      <c r="F560" s="23" t="n"/>
      <c r="G560" s="25" t="inlineStr">
        <is>
          <t>普通科</t>
        </is>
      </c>
      <c r="H560" s="26" t="inlineStr">
        <is>
          <t>☐</t>
        </is>
      </c>
      <c r="I560" s="26" t="inlineStr">
        <is>
          <t>☐</t>
        </is>
      </c>
      <c r="J560" s="26" t="inlineStr">
        <is>
          <t>☐</t>
        </is>
      </c>
      <c r="K560" s="26" t="inlineStr">
        <is>
          <t>☐</t>
        </is>
      </c>
      <c r="L560" s="26" t="inlineStr">
        <is>
          <t>☐</t>
        </is>
      </c>
      <c r="M560" s="25" t="n"/>
      <c r="N560" s="27" t="n">
        <v>0</v>
      </c>
      <c r="O560" s="28" t="n"/>
      <c r="P560" s="23" t="n"/>
      <c r="Q560" s="29" t="n"/>
      <c r="R560" s="29" t="n"/>
      <c r="S560" s="23" t="n"/>
      <c r="T560" s="30" t="n"/>
      <c r="U560" s="31" t="inlineStr">
        <is>
          <t>高</t>
        </is>
      </c>
      <c r="V560" s="32" t="inlineStr">
        <is>
          <t>2つのサイトで一致</t>
        </is>
      </c>
      <c r="W560" s="33" t="inlineStr">
        <is>
          <t>開く</t>
        </is>
      </c>
    </row>
    <row r="561" ht="30" customHeight="1">
      <c r="A561" s="23" t="inlineStr">
        <is>
          <t>14神奈川県</t>
        </is>
      </c>
      <c r="B561" s="23" t="inlineStr">
        <is>
          <t>私立</t>
        </is>
      </c>
      <c r="C561" s="23" t="n"/>
      <c r="D561" s="23" t="inlineStr">
        <is>
          <t>厚木中央高等学校</t>
        </is>
      </c>
      <c r="E561" s="24" t="inlineStr">
        <is>
          <t>046-221-5678</t>
        </is>
      </c>
      <c r="F561" s="23" t="n"/>
      <c r="G561" s="25" t="inlineStr">
        <is>
          <t>普通科・専門学科</t>
        </is>
      </c>
      <c r="H561" s="26" t="inlineStr">
        <is>
          <t>☐</t>
        </is>
      </c>
      <c r="I561" s="26" t="inlineStr">
        <is>
          <t>☐</t>
        </is>
      </c>
      <c r="J561" s="26" t="inlineStr">
        <is>
          <t>☐</t>
        </is>
      </c>
      <c r="K561" s="26" t="inlineStr">
        <is>
          <t>☐</t>
        </is>
      </c>
      <c r="L561" s="26" t="inlineStr">
        <is>
          <t>☐</t>
        </is>
      </c>
      <c r="M561" s="25" t="n"/>
      <c r="N561" s="27" t="n">
        <v>0</v>
      </c>
      <c r="O561" s="28" t="n"/>
      <c r="P561" s="23" t="n"/>
      <c r="Q561" s="29" t="n"/>
      <c r="R561" s="29" t="n"/>
      <c r="S561" s="23" t="n"/>
      <c r="T561" s="30" t="n"/>
      <c r="U561" s="34" t="inlineStr">
        <is>
          <t>中</t>
        </is>
      </c>
      <c r="V561" s="32" t="inlineStr">
        <is>
          <t>通信制。学校情報サイト1件のみで確認</t>
        </is>
      </c>
      <c r="W561" s="33" t="inlineStr">
        <is>
          <t>開く</t>
        </is>
      </c>
    </row>
    <row r="562" ht="30" customHeight="1">
      <c r="A562" s="23" t="inlineStr">
        <is>
          <t>14神奈川県</t>
        </is>
      </c>
      <c r="B562" s="23" t="inlineStr">
        <is>
          <t>私立</t>
        </is>
      </c>
      <c r="C562" s="23" t="n"/>
      <c r="D562" s="23" t="inlineStr">
        <is>
          <t>アレセイア湘南高等学校</t>
        </is>
      </c>
      <c r="E562" s="24" t="inlineStr">
        <is>
          <t>0467-87-0132</t>
        </is>
      </c>
      <c r="F562" s="23" t="n"/>
      <c r="G562" s="25" t="inlineStr">
        <is>
          <t>普通科</t>
        </is>
      </c>
      <c r="H562" s="26" t="inlineStr">
        <is>
          <t>☐</t>
        </is>
      </c>
      <c r="I562" s="26" t="inlineStr">
        <is>
          <t>☐</t>
        </is>
      </c>
      <c r="J562" s="26" t="inlineStr">
        <is>
          <t>☐</t>
        </is>
      </c>
      <c r="K562" s="26" t="inlineStr">
        <is>
          <t>☐</t>
        </is>
      </c>
      <c r="L562" s="26" t="inlineStr">
        <is>
          <t>☐</t>
        </is>
      </c>
      <c r="M562" s="25" t="n"/>
      <c r="N562" s="27" t="n">
        <v>0</v>
      </c>
      <c r="O562" s="28" t="n"/>
      <c r="P562" s="23" t="n"/>
      <c r="Q562" s="29" t="n"/>
      <c r="R562" s="29" t="n"/>
      <c r="S562" s="23" t="n"/>
      <c r="T562" s="30" t="n"/>
      <c r="U562" s="31" t="inlineStr">
        <is>
          <t>高</t>
        </is>
      </c>
      <c r="V562" s="32" t="inlineStr">
        <is>
          <t>中高共通。複数サイトで一致</t>
        </is>
      </c>
      <c r="W562" s="33" t="inlineStr">
        <is>
          <t>開く</t>
        </is>
      </c>
    </row>
    <row r="563" ht="30" customHeight="1">
      <c r="A563" s="23" t="inlineStr">
        <is>
          <t>14神奈川県</t>
        </is>
      </c>
      <c r="B563" s="23" t="inlineStr">
        <is>
          <t>私立</t>
        </is>
      </c>
      <c r="C563" s="23" t="n"/>
      <c r="D563" s="23" t="inlineStr">
        <is>
          <t>栄光学園高等学校</t>
        </is>
      </c>
      <c r="E563" s="24" t="inlineStr">
        <is>
          <t>0467-46-7711</t>
        </is>
      </c>
      <c r="F563" s="23" t="n"/>
      <c r="G563" s="25" t="inlineStr">
        <is>
          <t>普通科</t>
        </is>
      </c>
      <c r="H563" s="26" t="inlineStr">
        <is>
          <t>☐</t>
        </is>
      </c>
      <c r="I563" s="26" t="inlineStr">
        <is>
          <t>☐</t>
        </is>
      </c>
      <c r="J563" s="26" t="inlineStr">
        <is>
          <t>☐</t>
        </is>
      </c>
      <c r="K563" s="26" t="inlineStr">
        <is>
          <t>☐</t>
        </is>
      </c>
      <c r="L563" s="26" t="inlineStr">
        <is>
          <t>☐</t>
        </is>
      </c>
      <c r="M563" s="25" t="n"/>
      <c r="N563" s="27" t="n">
        <v>0</v>
      </c>
      <c r="O563" s="28" t="n"/>
      <c r="P563" s="23" t="n"/>
      <c r="Q563" s="29" t="n"/>
      <c r="R563" s="29" t="n"/>
      <c r="S563" s="23" t="n"/>
      <c r="T563" s="30" t="n"/>
      <c r="U563" s="31" t="inlineStr">
        <is>
          <t>高</t>
        </is>
      </c>
      <c r="V563" s="32" t="inlineStr">
        <is>
          <t>中高共通</t>
        </is>
      </c>
      <c r="W563" s="33" t="inlineStr">
        <is>
          <t>開く</t>
        </is>
      </c>
    </row>
    <row r="564" ht="30" customHeight="1">
      <c r="A564" s="23" t="inlineStr">
        <is>
          <t>14神奈川県</t>
        </is>
      </c>
      <c r="B564" s="23" t="inlineStr">
        <is>
          <t>私立</t>
        </is>
      </c>
      <c r="C564" s="23" t="n"/>
      <c r="D564" s="23" t="inlineStr">
        <is>
          <t>英理女子学院高等学校</t>
        </is>
      </c>
      <c r="E564" s="24" t="inlineStr">
        <is>
          <t>045-431-8188</t>
        </is>
      </c>
      <c r="F564" s="23" t="n"/>
      <c r="G564" s="25" t="inlineStr">
        <is>
          <t>普通科</t>
        </is>
      </c>
      <c r="H564" s="26" t="inlineStr">
        <is>
          <t>☐</t>
        </is>
      </c>
      <c r="I564" s="26" t="inlineStr">
        <is>
          <t>☐</t>
        </is>
      </c>
      <c r="J564" s="26" t="inlineStr">
        <is>
          <t>☐</t>
        </is>
      </c>
      <c r="K564" s="26" t="inlineStr">
        <is>
          <t>☐</t>
        </is>
      </c>
      <c r="L564" s="26" t="inlineStr">
        <is>
          <t>☐</t>
        </is>
      </c>
      <c r="M564" s="25" t="n"/>
      <c r="N564" s="27" t="n">
        <v>0</v>
      </c>
      <c r="O564" s="28" t="n"/>
      <c r="P564" s="23" t="n"/>
      <c r="Q564" s="29" t="n"/>
      <c r="R564" s="29" t="n"/>
      <c r="S564" s="23" t="n"/>
      <c r="T564" s="30" t="n"/>
      <c r="U564" s="34" t="inlineStr">
        <is>
          <t>中</t>
        </is>
      </c>
      <c r="V564" s="32" t="inlineStr">
        <is>
          <t>学校情報サイト1件のみで確認</t>
        </is>
      </c>
      <c r="W564" s="33" t="inlineStr">
        <is>
          <t>開く</t>
        </is>
      </c>
    </row>
    <row r="565" ht="30" customHeight="1">
      <c r="A565" s="23" t="inlineStr">
        <is>
          <t>14神奈川県</t>
        </is>
      </c>
      <c r="B565" s="23" t="inlineStr">
        <is>
          <t>私立</t>
        </is>
      </c>
      <c r="C565" s="23" t="n"/>
      <c r="D565" s="23" t="inlineStr">
        <is>
          <t>大西学園高等学校</t>
        </is>
      </c>
      <c r="E565" s="24" t="inlineStr">
        <is>
          <t>044-722-2332</t>
        </is>
      </c>
      <c r="F565" s="23" t="n"/>
      <c r="G565" s="25" t="inlineStr">
        <is>
          <t>普通科・専門学科</t>
        </is>
      </c>
      <c r="H565" s="26" t="inlineStr">
        <is>
          <t>☐</t>
        </is>
      </c>
      <c r="I565" s="26" t="inlineStr">
        <is>
          <t>☐</t>
        </is>
      </c>
      <c r="J565" s="26" t="inlineStr">
        <is>
          <t>☐</t>
        </is>
      </c>
      <c r="K565" s="26" t="inlineStr">
        <is>
          <t>☐</t>
        </is>
      </c>
      <c r="L565" s="26" t="inlineStr">
        <is>
          <t>☐</t>
        </is>
      </c>
      <c r="M565" s="25" t="n"/>
      <c r="N565" s="27" t="n">
        <v>0</v>
      </c>
      <c r="O565" s="28" t="n"/>
      <c r="P565" s="23" t="n"/>
      <c r="Q565" s="29" t="n"/>
      <c r="R565" s="29" t="n"/>
      <c r="S565" s="23" t="n"/>
      <c r="T565" s="30" t="n"/>
      <c r="U565" s="31" t="inlineStr">
        <is>
          <t>高</t>
        </is>
      </c>
      <c r="V565" s="32" t="inlineStr">
        <is>
          <t>中高共通</t>
        </is>
      </c>
      <c r="W565" s="33" t="inlineStr">
        <is>
          <t>開く</t>
        </is>
      </c>
    </row>
    <row r="566" ht="30" customHeight="1">
      <c r="A566" s="23" t="inlineStr">
        <is>
          <t>14神奈川県</t>
        </is>
      </c>
      <c r="B566" s="23" t="inlineStr">
        <is>
          <t>私立</t>
        </is>
      </c>
      <c r="C566" s="23" t="n"/>
      <c r="D566" s="23" t="inlineStr">
        <is>
          <t>柏木学園高等学校</t>
        </is>
      </c>
      <c r="E566" s="24" t="inlineStr">
        <is>
          <t>046-260-9011</t>
        </is>
      </c>
      <c r="F566" s="23" t="n"/>
      <c r="G566" s="25" t="inlineStr">
        <is>
          <t>普通科</t>
        </is>
      </c>
      <c r="H566" s="26" t="inlineStr">
        <is>
          <t>☐</t>
        </is>
      </c>
      <c r="I566" s="26" t="inlineStr">
        <is>
          <t>☐</t>
        </is>
      </c>
      <c r="J566" s="26" t="inlineStr">
        <is>
          <t>☐</t>
        </is>
      </c>
      <c r="K566" s="26" t="inlineStr">
        <is>
          <t>☐</t>
        </is>
      </c>
      <c r="L566" s="26" t="inlineStr">
        <is>
          <t>☐</t>
        </is>
      </c>
      <c r="M566" s="25" t="n"/>
      <c r="N566" s="27" t="n">
        <v>0</v>
      </c>
      <c r="O566" s="28" t="n"/>
      <c r="P566" s="23" t="n"/>
      <c r="Q566" s="29" t="n"/>
      <c r="R566" s="29" t="n"/>
      <c r="S566" s="23" t="n"/>
      <c r="T566" s="30" t="n"/>
      <c r="U566" s="34" t="inlineStr">
        <is>
          <t>中</t>
        </is>
      </c>
      <c r="V566" s="32" t="inlineStr">
        <is>
          <t>学校情報サイト1件のみで確認。同じ法人の専門学校とは別番号</t>
        </is>
      </c>
      <c r="W566" s="33" t="inlineStr">
        <is>
          <t>開く</t>
        </is>
      </c>
    </row>
    <row r="567" ht="30" customHeight="1">
      <c r="A567" s="23" t="inlineStr">
        <is>
          <t>14神奈川県</t>
        </is>
      </c>
      <c r="B567" s="23" t="inlineStr">
        <is>
          <t>私立</t>
        </is>
      </c>
      <c r="C567" s="23" t="n"/>
      <c r="D567" s="23" t="inlineStr">
        <is>
          <t>神奈川学園高等学校</t>
        </is>
      </c>
      <c r="E567" s="24" t="inlineStr">
        <is>
          <t>045-311-2961</t>
        </is>
      </c>
      <c r="F567" s="23" t="n"/>
      <c r="G567" s="25" t="inlineStr">
        <is>
          <t>普通科</t>
        </is>
      </c>
      <c r="H567" s="26" t="inlineStr">
        <is>
          <t>☐</t>
        </is>
      </c>
      <c r="I567" s="26" t="inlineStr">
        <is>
          <t>☐</t>
        </is>
      </c>
      <c r="J567" s="26" t="inlineStr">
        <is>
          <t>☐</t>
        </is>
      </c>
      <c r="K567" s="26" t="inlineStr">
        <is>
          <t>☐</t>
        </is>
      </c>
      <c r="L567" s="26" t="inlineStr">
        <is>
          <t>☐</t>
        </is>
      </c>
      <c r="M567" s="25" t="n"/>
      <c r="N567" s="27" t="n">
        <v>0</v>
      </c>
      <c r="O567" s="28" t="n"/>
      <c r="P567" s="23" t="n"/>
      <c r="Q567" s="29" t="n"/>
      <c r="R567" s="29" t="n"/>
      <c r="S567" s="23" t="n"/>
      <c r="T567" s="30" t="n"/>
      <c r="U567" s="34" t="inlineStr">
        <is>
          <t>中</t>
        </is>
      </c>
      <c r="V567" s="32" t="inlineStr">
        <is>
          <t>中高共通。学校情報サイト1件のみで確認</t>
        </is>
      </c>
      <c r="W567" s="33" t="inlineStr">
        <is>
          <t>開く</t>
        </is>
      </c>
    </row>
    <row r="568" ht="30" customHeight="1">
      <c r="A568" s="23" t="inlineStr">
        <is>
          <t>14神奈川県</t>
        </is>
      </c>
      <c r="B568" s="23" t="inlineStr">
        <is>
          <t>私立</t>
        </is>
      </c>
      <c r="C568" s="23" t="n"/>
      <c r="D568" s="23" t="inlineStr">
        <is>
          <t>神奈川大学附属高等学校</t>
        </is>
      </c>
      <c r="E568" s="24" t="inlineStr">
        <is>
          <t>045-934-6211</t>
        </is>
      </c>
      <c r="F568" s="23" t="n"/>
      <c r="G568" s="25" t="inlineStr">
        <is>
          <t>普通科</t>
        </is>
      </c>
      <c r="H568" s="26" t="inlineStr">
        <is>
          <t>☐</t>
        </is>
      </c>
      <c r="I568" s="26" t="inlineStr">
        <is>
          <t>☐</t>
        </is>
      </c>
      <c r="J568" s="26" t="inlineStr">
        <is>
          <t>☐</t>
        </is>
      </c>
      <c r="K568" s="26" t="inlineStr">
        <is>
          <t>☐</t>
        </is>
      </c>
      <c r="L568" s="26" t="inlineStr">
        <is>
          <t>☐</t>
        </is>
      </c>
      <c r="M568" s="25" t="n"/>
      <c r="N568" s="27" t="n">
        <v>0</v>
      </c>
      <c r="O568" s="28" t="n"/>
      <c r="P568" s="23" t="n"/>
      <c r="Q568" s="29" t="n"/>
      <c r="R568" s="29" t="n"/>
      <c r="S568" s="23" t="n"/>
      <c r="T568" s="30" t="n"/>
      <c r="U568" s="31" t="inlineStr">
        <is>
          <t>高</t>
        </is>
      </c>
      <c r="V568" s="32" t="inlineStr">
        <is>
          <t>中高共通。公式資料（2014年）とも一致</t>
        </is>
      </c>
      <c r="W568" s="33" t="inlineStr">
        <is>
          <t>開く</t>
        </is>
      </c>
    </row>
    <row r="569" ht="30" customHeight="1">
      <c r="A569" s="23" t="inlineStr">
        <is>
          <t>14神奈川県</t>
        </is>
      </c>
      <c r="B569" s="23" t="inlineStr">
        <is>
          <t>私立</t>
        </is>
      </c>
      <c r="C569" s="23" t="n"/>
      <c r="D569" s="23" t="inlineStr">
        <is>
          <t>鎌倉学園高等学校</t>
        </is>
      </c>
      <c r="E569" s="24" t="inlineStr">
        <is>
          <t>0467-22-0994</t>
        </is>
      </c>
      <c r="F569" s="23" t="n"/>
      <c r="G569" s="25" t="inlineStr">
        <is>
          <t>普通科</t>
        </is>
      </c>
      <c r="H569" s="26" t="inlineStr">
        <is>
          <t>☐</t>
        </is>
      </c>
      <c r="I569" s="26" t="inlineStr">
        <is>
          <t>☐</t>
        </is>
      </c>
      <c r="J569" s="26" t="inlineStr">
        <is>
          <t>☐</t>
        </is>
      </c>
      <c r="K569" s="26" t="inlineStr">
        <is>
          <t>☐</t>
        </is>
      </c>
      <c r="L569" s="26" t="inlineStr">
        <is>
          <t>☐</t>
        </is>
      </c>
      <c r="M569" s="25" t="n"/>
      <c r="N569" s="27" t="n">
        <v>0</v>
      </c>
      <c r="O569" s="28" t="n"/>
      <c r="P569" s="23" t="n"/>
      <c r="Q569" s="29" t="n"/>
      <c r="R569" s="29" t="n"/>
      <c r="S569" s="23" t="n"/>
      <c r="T569" s="30" t="n"/>
      <c r="U569" s="31" t="inlineStr">
        <is>
          <t>高</t>
        </is>
      </c>
      <c r="V569" s="32" t="inlineStr">
        <is>
          <t>中高共通</t>
        </is>
      </c>
      <c r="W569" s="33" t="inlineStr">
        <is>
          <t>開く</t>
        </is>
      </c>
    </row>
    <row r="570" ht="30" customHeight="1">
      <c r="A570" s="23" t="inlineStr">
        <is>
          <t>14神奈川県</t>
        </is>
      </c>
      <c r="B570" s="23" t="inlineStr">
        <is>
          <t>私立</t>
        </is>
      </c>
      <c r="C570" s="23" t="n"/>
      <c r="D570" s="23" t="inlineStr">
        <is>
          <t>鎌倉国際文理高等学校</t>
        </is>
      </c>
      <c r="E570" s="24" t="inlineStr">
        <is>
          <t>0467-44-2113</t>
        </is>
      </c>
      <c r="F570" s="23" t="n"/>
      <c r="G570" s="25" t="inlineStr">
        <is>
          <t>普通科</t>
        </is>
      </c>
      <c r="H570" s="26" t="inlineStr">
        <is>
          <t>☐</t>
        </is>
      </c>
      <c r="I570" s="26" t="inlineStr">
        <is>
          <t>☐</t>
        </is>
      </c>
      <c r="J570" s="26" t="inlineStr">
        <is>
          <t>☐</t>
        </is>
      </c>
      <c r="K570" s="26" t="inlineStr">
        <is>
          <t>☐</t>
        </is>
      </c>
      <c r="L570" s="26" t="inlineStr">
        <is>
          <t>☐</t>
        </is>
      </c>
      <c r="M570" s="25" t="n"/>
      <c r="N570" s="27" t="n">
        <v>0</v>
      </c>
      <c r="O570" s="28" t="n"/>
      <c r="P570" s="23" t="n"/>
      <c r="Q570" s="29" t="n"/>
      <c r="R570" s="29" t="n"/>
      <c r="S570" s="23" t="n"/>
      <c r="T570" s="30" t="n"/>
      <c r="U570" s="31" t="inlineStr">
        <is>
          <t>高</t>
        </is>
      </c>
      <c r="V570" s="32" t="inlineStr">
        <is>
          <t>【校名変更】2026年4月に鎌倉女子大学高等部から改称。中高共通</t>
        </is>
      </c>
      <c r="W570" s="33" t="inlineStr">
        <is>
          <t>開く</t>
        </is>
      </c>
    </row>
    <row r="571" ht="30" customHeight="1">
      <c r="A571" s="23" t="inlineStr">
        <is>
          <t>14神奈川県</t>
        </is>
      </c>
      <c r="B571" s="23" t="inlineStr">
        <is>
          <t>私立</t>
        </is>
      </c>
      <c r="C571" s="23" t="n"/>
      <c r="D571" s="23" t="inlineStr">
        <is>
          <t>鎌倉女学院高等学校</t>
        </is>
      </c>
      <c r="E571" s="24" t="inlineStr">
        <is>
          <t>0467-25-2100</t>
        </is>
      </c>
      <c r="F571" s="23" t="n"/>
      <c r="G571" s="25" t="inlineStr">
        <is>
          <t>普通科</t>
        </is>
      </c>
      <c r="H571" s="26" t="inlineStr">
        <is>
          <t>☐</t>
        </is>
      </c>
      <c r="I571" s="26" t="inlineStr">
        <is>
          <t>☐</t>
        </is>
      </c>
      <c r="J571" s="26" t="inlineStr">
        <is>
          <t>☐</t>
        </is>
      </c>
      <c r="K571" s="26" t="inlineStr">
        <is>
          <t>☐</t>
        </is>
      </c>
      <c r="L571" s="26" t="inlineStr">
        <is>
          <t>☐</t>
        </is>
      </c>
      <c r="M571" s="25" t="n"/>
      <c r="N571" s="27" t="n">
        <v>0</v>
      </c>
      <c r="O571" s="28" t="n"/>
      <c r="P571" s="23" t="n"/>
      <c r="Q571" s="29" t="n"/>
      <c r="R571" s="29" t="n"/>
      <c r="S571" s="23" t="n"/>
      <c r="T571" s="30" t="n"/>
      <c r="U571" s="34" t="inlineStr">
        <is>
          <t>中</t>
        </is>
      </c>
      <c r="V571" s="32" t="inlineStr">
        <is>
          <t>中高共通。学校情報サイト1件のみで確認</t>
        </is>
      </c>
      <c r="W571" s="33" t="inlineStr">
        <is>
          <t>開く</t>
        </is>
      </c>
    </row>
    <row r="572" ht="30" customHeight="1">
      <c r="A572" s="23" t="inlineStr">
        <is>
          <t>14神奈川県</t>
        </is>
      </c>
      <c r="B572" s="23" t="inlineStr">
        <is>
          <t>私立</t>
        </is>
      </c>
      <c r="C572" s="23" t="n"/>
      <c r="D572" s="23" t="inlineStr">
        <is>
          <t>カリタス女子高等学校</t>
        </is>
      </c>
      <c r="E572" s="24" t="inlineStr">
        <is>
          <t>044-911-4656</t>
        </is>
      </c>
      <c r="F572" s="23" t="n"/>
      <c r="G572" s="25" t="inlineStr">
        <is>
          <t>普通科</t>
        </is>
      </c>
      <c r="H572" s="26" t="inlineStr">
        <is>
          <t>☐</t>
        </is>
      </c>
      <c r="I572" s="26" t="inlineStr">
        <is>
          <t>☐</t>
        </is>
      </c>
      <c r="J572" s="26" t="inlineStr">
        <is>
          <t>☐</t>
        </is>
      </c>
      <c r="K572" s="26" t="inlineStr">
        <is>
          <t>☐</t>
        </is>
      </c>
      <c r="L572" s="26" t="inlineStr">
        <is>
          <t>☐</t>
        </is>
      </c>
      <c r="M572" s="25" t="n"/>
      <c r="N572" s="27" t="n">
        <v>0</v>
      </c>
      <c r="O572" s="28" t="n"/>
      <c r="P572" s="23" t="n"/>
      <c r="Q572" s="29" t="n"/>
      <c r="R572" s="29" t="n"/>
      <c r="S572" s="23" t="n"/>
      <c r="T572" s="30" t="n"/>
      <c r="U572" s="31" t="inlineStr">
        <is>
          <t>高</t>
        </is>
      </c>
      <c r="V572" s="32" t="inlineStr">
        <is>
          <t>高校募集なし（完全中高一貫）</t>
        </is>
      </c>
      <c r="W572" s="33" t="inlineStr">
        <is>
          <t>開く</t>
        </is>
      </c>
    </row>
    <row r="573" ht="30" customHeight="1">
      <c r="A573" s="23" t="inlineStr">
        <is>
          <t>14神奈川県</t>
        </is>
      </c>
      <c r="B573" s="23" t="inlineStr">
        <is>
          <t>私立</t>
        </is>
      </c>
      <c r="C573" s="23" t="n"/>
      <c r="D573" s="23" t="inlineStr">
        <is>
          <t>関東学院高等学校</t>
        </is>
      </c>
      <c r="E573" s="24" t="inlineStr">
        <is>
          <t>045-231-1001</t>
        </is>
      </c>
      <c r="F573" s="23" t="n"/>
      <c r="G573" s="25" t="inlineStr">
        <is>
          <t>普通科</t>
        </is>
      </c>
      <c r="H573" s="26" t="inlineStr">
        <is>
          <t>☐</t>
        </is>
      </c>
      <c r="I573" s="26" t="inlineStr">
        <is>
          <t>☐</t>
        </is>
      </c>
      <c r="J573" s="26" t="inlineStr">
        <is>
          <t>☐</t>
        </is>
      </c>
      <c r="K573" s="26" t="inlineStr">
        <is>
          <t>☐</t>
        </is>
      </c>
      <c r="L573" s="26" t="inlineStr">
        <is>
          <t>☐</t>
        </is>
      </c>
      <c r="M573" s="25" t="n"/>
      <c r="N573" s="27" t="n">
        <v>0</v>
      </c>
      <c r="O573" s="28" t="n"/>
      <c r="P573" s="23" t="n"/>
      <c r="Q573" s="29" t="n"/>
      <c r="R573" s="29" t="n"/>
      <c r="S573" s="23" t="n"/>
      <c r="T573" s="30" t="n"/>
      <c r="U573" s="34" t="inlineStr">
        <is>
          <t>中</t>
        </is>
      </c>
      <c r="V573" s="32" t="inlineStr">
        <is>
          <t>中高共通。学校情報サイト1件のみで確認。関東学院六浦（金沢区）とは別の学校</t>
        </is>
      </c>
      <c r="W573" s="33" t="inlineStr">
        <is>
          <t>開く</t>
        </is>
      </c>
    </row>
    <row r="574" ht="30" customHeight="1">
      <c r="A574" s="23" t="inlineStr">
        <is>
          <t>14神奈川県</t>
        </is>
      </c>
      <c r="B574" s="23" t="inlineStr">
        <is>
          <t>私立</t>
        </is>
      </c>
      <c r="C574" s="23" t="n"/>
      <c r="D574" s="23" t="inlineStr">
        <is>
          <t>関東学院六浦高等学校</t>
        </is>
      </c>
      <c r="E574" s="24" t="inlineStr">
        <is>
          <t>045-781-2525</t>
        </is>
      </c>
      <c r="F574" s="23" t="n"/>
      <c r="G574" s="25" t="inlineStr">
        <is>
          <t>普通科</t>
        </is>
      </c>
      <c r="H574" s="26" t="inlineStr">
        <is>
          <t>☐</t>
        </is>
      </c>
      <c r="I574" s="26" t="inlineStr">
        <is>
          <t>☐</t>
        </is>
      </c>
      <c r="J574" s="26" t="inlineStr">
        <is>
          <t>☐</t>
        </is>
      </c>
      <c r="K574" s="26" t="inlineStr">
        <is>
          <t>☐</t>
        </is>
      </c>
      <c r="L574" s="26" t="inlineStr">
        <is>
          <t>☐</t>
        </is>
      </c>
      <c r="M574" s="25" t="n"/>
      <c r="N574" s="27" t="n">
        <v>0</v>
      </c>
      <c r="O574" s="28" t="n"/>
      <c r="P574" s="23" t="n"/>
      <c r="Q574" s="29" t="n"/>
      <c r="R574" s="29" t="n"/>
      <c r="S574" s="23" t="n"/>
      <c r="T574" s="30" t="n"/>
      <c r="U574" s="34" t="inlineStr">
        <is>
          <t>中</t>
        </is>
      </c>
      <c r="V574" s="32" t="inlineStr">
        <is>
          <t>中高共通。学校情報サイトのみで確認</t>
        </is>
      </c>
      <c r="W574" s="33" t="inlineStr">
        <is>
          <t>開く</t>
        </is>
      </c>
    </row>
    <row r="575" ht="30" customHeight="1">
      <c r="A575" s="23" t="inlineStr">
        <is>
          <t>14神奈川県</t>
        </is>
      </c>
      <c r="B575" s="23" t="inlineStr">
        <is>
          <t>私立</t>
        </is>
      </c>
      <c r="C575" s="23" t="n"/>
      <c r="D575" s="23" t="inlineStr">
        <is>
          <t>函嶺白百合学園高等学校</t>
        </is>
      </c>
      <c r="E575" s="24" t="inlineStr">
        <is>
          <t>0460-87-6611</t>
        </is>
      </c>
      <c r="F575" s="23" t="n"/>
      <c r="G575" s="25" t="inlineStr">
        <is>
          <t>普通科</t>
        </is>
      </c>
      <c r="H575" s="26" t="inlineStr">
        <is>
          <t>☐</t>
        </is>
      </c>
      <c r="I575" s="26" t="inlineStr">
        <is>
          <t>☐</t>
        </is>
      </c>
      <c r="J575" s="26" t="inlineStr">
        <is>
          <t>☐</t>
        </is>
      </c>
      <c r="K575" s="26" t="inlineStr">
        <is>
          <t>☐</t>
        </is>
      </c>
      <c r="L575" s="26" t="inlineStr">
        <is>
          <t>☐</t>
        </is>
      </c>
      <c r="M575" s="25" t="n"/>
      <c r="N575" s="27" t="n">
        <v>0</v>
      </c>
      <c r="O575" s="28" t="n"/>
      <c r="P575" s="23" t="n"/>
      <c r="Q575" s="29" t="n"/>
      <c r="R575" s="29" t="n"/>
      <c r="S575" s="23" t="n"/>
      <c r="T575" s="30" t="n"/>
      <c r="U575" s="31" t="inlineStr">
        <is>
          <t>高</t>
        </is>
      </c>
      <c r="V575" s="32" t="inlineStr">
        <is>
          <t>公式の募集要項に「代表」と記載</t>
        </is>
      </c>
      <c r="W575" s="33" t="inlineStr">
        <is>
          <t>開く</t>
        </is>
      </c>
    </row>
    <row r="576" ht="30" customHeight="1">
      <c r="A576" s="23" t="inlineStr">
        <is>
          <t>14神奈川県</t>
        </is>
      </c>
      <c r="B576" s="23" t="inlineStr">
        <is>
          <t>私立</t>
        </is>
      </c>
      <c r="C576" s="23" t="n"/>
      <c r="D576" s="23" t="inlineStr">
        <is>
          <t>北鎌倉女子学園高等学校</t>
        </is>
      </c>
      <c r="E576" s="24" t="inlineStr">
        <is>
          <t>0467-22-6900</t>
        </is>
      </c>
      <c r="F576" s="23" t="n"/>
      <c r="G576" s="25" t="inlineStr">
        <is>
          <t>普通科・専門学科</t>
        </is>
      </c>
      <c r="H576" s="26" t="inlineStr">
        <is>
          <t>☐</t>
        </is>
      </c>
      <c r="I576" s="26" t="inlineStr">
        <is>
          <t>☐</t>
        </is>
      </c>
      <c r="J576" s="26" t="inlineStr">
        <is>
          <t>☐</t>
        </is>
      </c>
      <c r="K576" s="26" t="inlineStr">
        <is>
          <t>☐</t>
        </is>
      </c>
      <c r="L576" s="26" t="inlineStr">
        <is>
          <t>☐</t>
        </is>
      </c>
      <c r="M576" s="25" t="n"/>
      <c r="N576" s="27" t="n">
        <v>0</v>
      </c>
      <c r="O576" s="28" t="n"/>
      <c r="P576" s="23" t="n"/>
      <c r="Q576" s="29" t="n"/>
      <c r="R576" s="29" t="n"/>
      <c r="S576" s="23" t="n"/>
      <c r="T576" s="30" t="n"/>
      <c r="U576" s="31" t="inlineStr">
        <is>
          <t>高</t>
        </is>
      </c>
      <c r="V576" s="32" t="inlineStr">
        <is>
          <t>2つのサイトで一致</t>
        </is>
      </c>
      <c r="W576" s="33" t="inlineStr">
        <is>
          <t>開く</t>
        </is>
      </c>
    </row>
    <row r="577" ht="30" customHeight="1">
      <c r="A577" s="23" t="inlineStr">
        <is>
          <t>14神奈川県</t>
        </is>
      </c>
      <c r="B577" s="23" t="inlineStr">
        <is>
          <t>私立</t>
        </is>
      </c>
      <c r="C577" s="23" t="n"/>
      <c r="D577" s="23" t="inlineStr">
        <is>
          <t>鵠沼高等学校</t>
        </is>
      </c>
      <c r="E577" s="24" t="inlineStr">
        <is>
          <t>0466-22-4783</t>
        </is>
      </c>
      <c r="F577" s="23" t="n"/>
      <c r="G577" s="25" t="inlineStr">
        <is>
          <t>普通科</t>
        </is>
      </c>
      <c r="H577" s="26" t="inlineStr">
        <is>
          <t>☐</t>
        </is>
      </c>
      <c r="I577" s="26" t="inlineStr">
        <is>
          <t>☐</t>
        </is>
      </c>
      <c r="J577" s="26" t="inlineStr">
        <is>
          <t>☐</t>
        </is>
      </c>
      <c r="K577" s="26" t="inlineStr">
        <is>
          <t>☐</t>
        </is>
      </c>
      <c r="L577" s="26" t="inlineStr">
        <is>
          <t>☐</t>
        </is>
      </c>
      <c r="M577" s="25" t="n"/>
      <c r="N577" s="27" t="n">
        <v>0</v>
      </c>
      <c r="O577" s="28" t="n"/>
      <c r="P577" s="23" t="n"/>
      <c r="Q577" s="29" t="n"/>
      <c r="R577" s="29" t="n"/>
      <c r="S577" s="23" t="n"/>
      <c r="T577" s="30" t="n"/>
      <c r="U577" s="34" t="inlineStr">
        <is>
          <t>中</t>
        </is>
      </c>
      <c r="V577" s="32" t="inlineStr">
        <is>
          <t>学校情報サイト1件のみで確認</t>
        </is>
      </c>
      <c r="W577" s="33" t="inlineStr">
        <is>
          <t>開く</t>
        </is>
      </c>
    </row>
    <row r="578" ht="30" customHeight="1">
      <c r="A578" s="23" t="inlineStr">
        <is>
          <t>14神奈川県</t>
        </is>
      </c>
      <c r="B578" s="23" t="inlineStr">
        <is>
          <t>私立</t>
        </is>
      </c>
      <c r="C578" s="23" t="n"/>
      <c r="D578" s="23" t="inlineStr">
        <is>
          <t>公文国際学園高等部</t>
        </is>
      </c>
      <c r="E578" s="24" t="inlineStr">
        <is>
          <t>045-853-8200</t>
        </is>
      </c>
      <c r="F578" s="23" t="n"/>
      <c r="G578" s="25" t="inlineStr">
        <is>
          <t>普通科</t>
        </is>
      </c>
      <c r="H578" s="26" t="inlineStr">
        <is>
          <t>☐</t>
        </is>
      </c>
      <c r="I578" s="26" t="inlineStr">
        <is>
          <t>☐</t>
        </is>
      </c>
      <c r="J578" s="26" t="inlineStr">
        <is>
          <t>☐</t>
        </is>
      </c>
      <c r="K578" s="26" t="inlineStr">
        <is>
          <t>☐</t>
        </is>
      </c>
      <c r="L578" s="26" t="inlineStr">
        <is>
          <t>☐</t>
        </is>
      </c>
      <c r="M578" s="25" t="n"/>
      <c r="N578" s="27" t="n">
        <v>0</v>
      </c>
      <c r="O578" s="28" t="n"/>
      <c r="P578" s="23" t="n"/>
      <c r="Q578" s="29" t="n"/>
      <c r="R578" s="29" t="n"/>
      <c r="S578" s="23" t="n"/>
      <c r="T578" s="30" t="n"/>
      <c r="U578" s="34" t="inlineStr">
        <is>
          <t>中</t>
        </is>
      </c>
      <c r="V578" s="32" t="inlineStr">
        <is>
          <t>中高共通。高校募集は原則なしとの情報あり</t>
        </is>
      </c>
      <c r="W578" s="33" t="inlineStr">
        <is>
          <t>開く</t>
        </is>
      </c>
    </row>
    <row r="579" ht="30" customHeight="1">
      <c r="A579" s="23" t="inlineStr">
        <is>
          <t>14神奈川県</t>
        </is>
      </c>
      <c r="B579" s="23" t="inlineStr">
        <is>
          <t>私立</t>
        </is>
      </c>
      <c r="C579" s="23" t="n"/>
      <c r="D579" s="23" t="inlineStr">
        <is>
          <t>慶應義塾高等学校</t>
        </is>
      </c>
      <c r="E579" s="24" t="n"/>
      <c r="F579" s="23" t="n"/>
      <c r="G579" s="25" t="inlineStr">
        <is>
          <t>普通科</t>
        </is>
      </c>
      <c r="H579" s="26" t="inlineStr">
        <is>
          <t>☐</t>
        </is>
      </c>
      <c r="I579" s="26" t="inlineStr">
        <is>
          <t>☐</t>
        </is>
      </c>
      <c r="J579" s="26" t="inlineStr">
        <is>
          <t>☐</t>
        </is>
      </c>
      <c r="K579" s="26" t="inlineStr">
        <is>
          <t>☐</t>
        </is>
      </c>
      <c r="L579" s="26" t="inlineStr">
        <is>
          <t>☐</t>
        </is>
      </c>
      <c r="M579" s="25" t="n"/>
      <c r="N579" s="27" t="n">
        <v>0</v>
      </c>
      <c r="O579" s="28" t="n"/>
      <c r="P579" s="23" t="n"/>
      <c r="Q579" s="29" t="n"/>
      <c r="R579" s="29" t="n"/>
      <c r="S579" s="23" t="n"/>
      <c r="T579" s="30" t="n"/>
      <c r="U579" s="35" t="inlineStr">
        <is>
          <t>要調査</t>
        </is>
      </c>
      <c r="V579" s="32" t="inlineStr">
        <is>
          <t>代表番号が見つからず。候補：主事室直通045-566-1375（公式資料）。045-566-1000は大学側の番号なので注意</t>
        </is>
      </c>
      <c r="W579" s="33" t="inlineStr">
        <is>
          <t>開く</t>
        </is>
      </c>
    </row>
    <row r="580" ht="30" customHeight="1">
      <c r="A580" s="23" t="inlineStr">
        <is>
          <t>14神奈川県</t>
        </is>
      </c>
      <c r="B580" s="23" t="inlineStr">
        <is>
          <t>私立</t>
        </is>
      </c>
      <c r="C580" s="23" t="n"/>
      <c r="D580" s="23" t="inlineStr">
        <is>
          <t>慶應義塾湘南藤沢高等部</t>
        </is>
      </c>
      <c r="E580" s="24" t="inlineStr">
        <is>
          <t>0466-49-3585</t>
        </is>
      </c>
      <c r="F580" s="23" t="n"/>
      <c r="G580" s="25" t="inlineStr">
        <is>
          <t>普通科</t>
        </is>
      </c>
      <c r="H580" s="26" t="inlineStr">
        <is>
          <t>☐</t>
        </is>
      </c>
      <c r="I580" s="26" t="inlineStr">
        <is>
          <t>☐</t>
        </is>
      </c>
      <c r="J580" s="26" t="inlineStr">
        <is>
          <t>☐</t>
        </is>
      </c>
      <c r="K580" s="26" t="inlineStr">
        <is>
          <t>☐</t>
        </is>
      </c>
      <c r="L580" s="26" t="inlineStr">
        <is>
          <t>☐</t>
        </is>
      </c>
      <c r="M580" s="25" t="n"/>
      <c r="N580" s="27" t="n">
        <v>0</v>
      </c>
      <c r="O580" s="28" t="n"/>
      <c r="P580" s="23" t="n"/>
      <c r="Q580" s="29" t="n"/>
      <c r="R580" s="29" t="n"/>
      <c r="S580" s="23" t="n"/>
      <c r="T580" s="30" t="n"/>
      <c r="U580" s="34" t="inlineStr">
        <is>
          <t>中</t>
        </is>
      </c>
      <c r="V580" s="32" t="inlineStr">
        <is>
          <t>中高共通。事務室は0466-49-3586（公式資料）</t>
        </is>
      </c>
      <c r="W580" s="33" t="inlineStr">
        <is>
          <t>開く</t>
        </is>
      </c>
    </row>
    <row r="581" ht="30" customHeight="1">
      <c r="A581" s="23" t="inlineStr">
        <is>
          <t>14神奈川県</t>
        </is>
      </c>
      <c r="B581" s="23" t="inlineStr">
        <is>
          <t>私立</t>
        </is>
      </c>
      <c r="C581" s="23" t="n"/>
      <c r="D581" s="23" t="inlineStr">
        <is>
          <t>向上高等学校</t>
        </is>
      </c>
      <c r="E581" s="24" t="inlineStr">
        <is>
          <t>0463-96-0411</t>
        </is>
      </c>
      <c r="F581" s="23" t="n"/>
      <c r="G581" s="25" t="inlineStr">
        <is>
          <t>普通科</t>
        </is>
      </c>
      <c r="H581" s="26" t="inlineStr">
        <is>
          <t>☐</t>
        </is>
      </c>
      <c r="I581" s="26" t="inlineStr">
        <is>
          <t>☐</t>
        </is>
      </c>
      <c r="J581" s="26" t="inlineStr">
        <is>
          <t>☐</t>
        </is>
      </c>
      <c r="K581" s="26" t="inlineStr">
        <is>
          <t>☐</t>
        </is>
      </c>
      <c r="L581" s="26" t="inlineStr">
        <is>
          <t>☐</t>
        </is>
      </c>
      <c r="M581" s="25" t="n"/>
      <c r="N581" s="27" t="n">
        <v>0</v>
      </c>
      <c r="O581" s="28" t="n"/>
      <c r="P581" s="23" t="n"/>
      <c r="Q581" s="29" t="n"/>
      <c r="R581" s="29" t="n"/>
      <c r="S581" s="23" t="n"/>
      <c r="T581" s="30" t="n"/>
      <c r="U581" s="31" t="inlineStr">
        <is>
          <t>高</t>
        </is>
      </c>
      <c r="V581" s="32" t="inlineStr">
        <is>
          <t>2つの情報源で一致</t>
        </is>
      </c>
      <c r="W581" s="33" t="inlineStr">
        <is>
          <t>開く</t>
        </is>
      </c>
    </row>
    <row r="582" ht="30" customHeight="1">
      <c r="A582" s="23" t="inlineStr">
        <is>
          <t>14神奈川県</t>
        </is>
      </c>
      <c r="B582" s="23" t="inlineStr">
        <is>
          <t>私立</t>
        </is>
      </c>
      <c r="C582" s="23" t="n"/>
      <c r="D582" s="23" t="inlineStr">
        <is>
          <t>光明学園相模原高等学校</t>
        </is>
      </c>
      <c r="E582" s="24" t="inlineStr">
        <is>
          <t>042-778-3333</t>
        </is>
      </c>
      <c r="F582" s="23" t="n"/>
      <c r="G582" s="25" t="inlineStr">
        <is>
          <t>普通科</t>
        </is>
      </c>
      <c r="H582" s="26" t="inlineStr">
        <is>
          <t>☐</t>
        </is>
      </c>
      <c r="I582" s="26" t="inlineStr">
        <is>
          <t>☐</t>
        </is>
      </c>
      <c r="J582" s="26" t="inlineStr">
        <is>
          <t>☐</t>
        </is>
      </c>
      <c r="K582" s="26" t="inlineStr">
        <is>
          <t>☐</t>
        </is>
      </c>
      <c r="L582" s="26" t="inlineStr">
        <is>
          <t>☐</t>
        </is>
      </c>
      <c r="M582" s="25" t="n"/>
      <c r="N582" s="27" t="n">
        <v>0</v>
      </c>
      <c r="O582" s="28" t="n"/>
      <c r="P582" s="23" t="n"/>
      <c r="Q582" s="29" t="n"/>
      <c r="R582" s="29" t="n"/>
      <c r="S582" s="23" t="n"/>
      <c r="T582" s="30" t="n"/>
      <c r="U582" s="34" t="inlineStr">
        <is>
          <t>中</t>
        </is>
      </c>
      <c r="V582" s="32" t="inlineStr">
        <is>
          <t>学校情報サイト1件のみで確認</t>
        </is>
      </c>
      <c r="W582" s="33" t="inlineStr">
        <is>
          <t>開く</t>
        </is>
      </c>
    </row>
    <row r="583" ht="30" customHeight="1">
      <c r="A583" s="23" t="inlineStr">
        <is>
          <t>14神奈川県</t>
        </is>
      </c>
      <c r="B583" s="23" t="inlineStr">
        <is>
          <t>私立</t>
        </is>
      </c>
      <c r="C583" s="23" t="n"/>
      <c r="D583" s="23" t="inlineStr">
        <is>
          <t>相模女子大学高等部</t>
        </is>
      </c>
      <c r="E583" s="24" t="inlineStr">
        <is>
          <t>042-742-1442</t>
        </is>
      </c>
      <c r="F583" s="23" t="n"/>
      <c r="G583" s="25" t="inlineStr">
        <is>
          <t>普通科</t>
        </is>
      </c>
      <c r="H583" s="26" t="inlineStr">
        <is>
          <t>☐</t>
        </is>
      </c>
      <c r="I583" s="26" t="inlineStr">
        <is>
          <t>☐</t>
        </is>
      </c>
      <c r="J583" s="26" t="inlineStr">
        <is>
          <t>☐</t>
        </is>
      </c>
      <c r="K583" s="26" t="inlineStr">
        <is>
          <t>☐</t>
        </is>
      </c>
      <c r="L583" s="26" t="inlineStr">
        <is>
          <t>☐</t>
        </is>
      </c>
      <c r="M583" s="25" t="n"/>
      <c r="N583" s="27" t="n">
        <v>0</v>
      </c>
      <c r="O583" s="28" t="n"/>
      <c r="P583" s="23" t="n"/>
      <c r="Q583" s="29" t="n"/>
      <c r="R583" s="29" t="n"/>
      <c r="S583" s="23" t="n"/>
      <c r="T583" s="30" t="n"/>
      <c r="U583" s="34" t="inlineStr">
        <is>
          <t>中</t>
        </is>
      </c>
      <c r="V583" s="32" t="inlineStr">
        <is>
          <t>中学部と共通。学校情報サイトのみで確認</t>
        </is>
      </c>
      <c r="W583" s="33" t="inlineStr">
        <is>
          <t>開く</t>
        </is>
      </c>
    </row>
    <row r="584" ht="30" customHeight="1">
      <c r="A584" s="23" t="inlineStr">
        <is>
          <t>14神奈川県</t>
        </is>
      </c>
      <c r="B584" s="23" t="inlineStr">
        <is>
          <t>私立</t>
        </is>
      </c>
      <c r="C584" s="23" t="n"/>
      <c r="D584" s="23" t="inlineStr">
        <is>
          <t>サレジオ学院高等学校</t>
        </is>
      </c>
      <c r="E584" s="24" t="inlineStr">
        <is>
          <t>045-591-8222</t>
        </is>
      </c>
      <c r="F584" s="23" t="n"/>
      <c r="G584" s="25" t="inlineStr">
        <is>
          <t>普通科</t>
        </is>
      </c>
      <c r="H584" s="26" t="inlineStr">
        <is>
          <t>☐</t>
        </is>
      </c>
      <c r="I584" s="26" t="inlineStr">
        <is>
          <t>☐</t>
        </is>
      </c>
      <c r="J584" s="26" t="inlineStr">
        <is>
          <t>☐</t>
        </is>
      </c>
      <c r="K584" s="26" t="inlineStr">
        <is>
          <t>☐</t>
        </is>
      </c>
      <c r="L584" s="26" t="inlineStr">
        <is>
          <t>☐</t>
        </is>
      </c>
      <c r="M584" s="25" t="n"/>
      <c r="N584" s="27" t="n">
        <v>0</v>
      </c>
      <c r="O584" s="28" t="n"/>
      <c r="P584" s="23" t="n"/>
      <c r="Q584" s="29" t="n"/>
      <c r="R584" s="29" t="n"/>
      <c r="S584" s="23" t="n"/>
      <c r="T584" s="30" t="n"/>
      <c r="U584" s="34" t="inlineStr">
        <is>
          <t>中</t>
        </is>
      </c>
      <c r="V584" s="32" t="inlineStr">
        <is>
          <t>中高共通。学校情報サイト1件のみで確認</t>
        </is>
      </c>
      <c r="W584" s="33" t="inlineStr">
        <is>
          <t>開く</t>
        </is>
      </c>
    </row>
    <row r="585" ht="30" customHeight="1">
      <c r="A585" s="23" t="inlineStr">
        <is>
          <t>14神奈川県</t>
        </is>
      </c>
      <c r="B585" s="23" t="inlineStr">
        <is>
          <t>私立</t>
        </is>
      </c>
      <c r="C585" s="23" t="n"/>
      <c r="D585" s="23" t="inlineStr">
        <is>
          <t>秀英高等学校</t>
        </is>
      </c>
      <c r="E585" s="24" t="inlineStr">
        <is>
          <t>045-806-2100</t>
        </is>
      </c>
      <c r="F585" s="23" t="n"/>
      <c r="G585" s="25" t="inlineStr">
        <is>
          <t>普通科</t>
        </is>
      </c>
      <c r="H585" s="26" t="inlineStr">
        <is>
          <t>☐</t>
        </is>
      </c>
      <c r="I585" s="26" t="inlineStr">
        <is>
          <t>☐</t>
        </is>
      </c>
      <c r="J585" s="26" t="inlineStr">
        <is>
          <t>☐</t>
        </is>
      </c>
      <c r="K585" s="26" t="inlineStr">
        <is>
          <t>☐</t>
        </is>
      </c>
      <c r="L585" s="26" t="inlineStr">
        <is>
          <t>☐</t>
        </is>
      </c>
      <c r="M585" s="25" t="n"/>
      <c r="N585" s="27" t="n">
        <v>0</v>
      </c>
      <c r="O585" s="28" t="n"/>
      <c r="P585" s="23" t="n"/>
      <c r="Q585" s="29" t="n"/>
      <c r="R585" s="29" t="n"/>
      <c r="S585" s="23" t="n"/>
      <c r="T585" s="30" t="n"/>
      <c r="U585" s="34" t="inlineStr">
        <is>
          <t>中</t>
        </is>
      </c>
      <c r="V585" s="32" t="inlineStr">
        <is>
          <t>学校情報サイト1件のみで確認</t>
        </is>
      </c>
      <c r="W585" s="33" t="inlineStr">
        <is>
          <t>開く</t>
        </is>
      </c>
    </row>
    <row r="586" ht="30" customHeight="1">
      <c r="A586" s="23" t="inlineStr">
        <is>
          <t>14神奈川県</t>
        </is>
      </c>
      <c r="B586" s="23" t="inlineStr">
        <is>
          <t>私立</t>
        </is>
      </c>
      <c r="C586" s="23" t="n"/>
      <c r="D586" s="23" t="inlineStr">
        <is>
          <t>湘南学院高等学校</t>
        </is>
      </c>
      <c r="E586" s="24" t="inlineStr">
        <is>
          <t>046-833-3433</t>
        </is>
      </c>
      <c r="F586" s="23" t="n"/>
      <c r="G586" s="25" t="inlineStr">
        <is>
          <t>普通科</t>
        </is>
      </c>
      <c r="H586" s="26" t="inlineStr">
        <is>
          <t>☐</t>
        </is>
      </c>
      <c r="I586" s="26" t="inlineStr">
        <is>
          <t>☐</t>
        </is>
      </c>
      <c r="J586" s="26" t="inlineStr">
        <is>
          <t>☐</t>
        </is>
      </c>
      <c r="K586" s="26" t="inlineStr">
        <is>
          <t>☐</t>
        </is>
      </c>
      <c r="L586" s="26" t="inlineStr">
        <is>
          <t>☐</t>
        </is>
      </c>
      <c r="M586" s="25" t="n"/>
      <c r="N586" s="27" t="n">
        <v>0</v>
      </c>
      <c r="O586" s="28" t="n"/>
      <c r="P586" s="23" t="n"/>
      <c r="Q586" s="29" t="n"/>
      <c r="R586" s="29" t="n"/>
      <c r="S586" s="23" t="n"/>
      <c r="T586" s="30" t="n"/>
      <c r="U586" s="31" t="inlineStr">
        <is>
          <t>高</t>
        </is>
      </c>
      <c r="V586" s="32" t="inlineStr">
        <is>
          <t>学校情報サイトと公式LINEで一致。湘南学園（藤沢市）とは別の学校</t>
        </is>
      </c>
      <c r="W586" s="33" t="inlineStr">
        <is>
          <t>開く</t>
        </is>
      </c>
    </row>
    <row r="587" ht="30" customHeight="1">
      <c r="A587" s="23" t="inlineStr">
        <is>
          <t>14神奈川県</t>
        </is>
      </c>
      <c r="B587" s="23" t="inlineStr">
        <is>
          <t>私立</t>
        </is>
      </c>
      <c r="C587" s="23" t="n"/>
      <c r="D587" s="23" t="inlineStr">
        <is>
          <t>湘南学園高等学校</t>
        </is>
      </c>
      <c r="E587" s="24" t="inlineStr">
        <is>
          <t>0466-23-6611</t>
        </is>
      </c>
      <c r="F587" s="23" t="n"/>
      <c r="G587" s="25" t="inlineStr">
        <is>
          <t>普通科</t>
        </is>
      </c>
      <c r="H587" s="26" t="inlineStr">
        <is>
          <t>☐</t>
        </is>
      </c>
      <c r="I587" s="26" t="inlineStr">
        <is>
          <t>☐</t>
        </is>
      </c>
      <c r="J587" s="26" t="inlineStr">
        <is>
          <t>☐</t>
        </is>
      </c>
      <c r="K587" s="26" t="inlineStr">
        <is>
          <t>☐</t>
        </is>
      </c>
      <c r="L587" s="26" t="inlineStr">
        <is>
          <t>☐</t>
        </is>
      </c>
      <c r="M587" s="25" t="n"/>
      <c r="N587" s="27" t="n">
        <v>0</v>
      </c>
      <c r="O587" s="28" t="n"/>
      <c r="P587" s="23" t="n"/>
      <c r="Q587" s="29" t="n"/>
      <c r="R587" s="29" t="n"/>
      <c r="S587" s="23" t="n"/>
      <c r="T587" s="30" t="n"/>
      <c r="U587" s="34" t="inlineStr">
        <is>
          <t>中</t>
        </is>
      </c>
      <c r="V587" s="32" t="inlineStr">
        <is>
          <t>中高共通。学校情報サイト1件のみで確認。湘南学院（横須賀市）とは別の学校</t>
        </is>
      </c>
      <c r="W587" s="33" t="inlineStr">
        <is>
          <t>開く</t>
        </is>
      </c>
    </row>
    <row r="588" ht="30" customHeight="1">
      <c r="A588" s="23" t="inlineStr">
        <is>
          <t>14神奈川県</t>
        </is>
      </c>
      <c r="B588" s="23" t="inlineStr">
        <is>
          <t>私立</t>
        </is>
      </c>
      <c r="C588" s="23" t="n"/>
      <c r="D588" s="23" t="inlineStr">
        <is>
          <t>湘南工科大学附属高等学校</t>
        </is>
      </c>
      <c r="E588" s="24" t="inlineStr">
        <is>
          <t>0466-34-4114</t>
        </is>
      </c>
      <c r="F588" s="23" t="n"/>
      <c r="G588" s="25" t="inlineStr">
        <is>
          <t>普通科</t>
        </is>
      </c>
      <c r="H588" s="26" t="inlineStr">
        <is>
          <t>☐</t>
        </is>
      </c>
      <c r="I588" s="26" t="inlineStr">
        <is>
          <t>☐</t>
        </is>
      </c>
      <c r="J588" s="26" t="inlineStr">
        <is>
          <t>☐</t>
        </is>
      </c>
      <c r="K588" s="26" t="inlineStr">
        <is>
          <t>☐</t>
        </is>
      </c>
      <c r="L588" s="26" t="inlineStr">
        <is>
          <t>☐</t>
        </is>
      </c>
      <c r="M588" s="25" t="n"/>
      <c r="N588" s="27" t="n">
        <v>0</v>
      </c>
      <c r="O588" s="28" t="n"/>
      <c r="P588" s="23" t="n"/>
      <c r="Q588" s="29" t="n"/>
      <c r="R588" s="29" t="n"/>
      <c r="S588" s="23" t="n"/>
      <c r="T588" s="30" t="n"/>
      <c r="U588" s="34" t="inlineStr">
        <is>
          <t>中</t>
        </is>
      </c>
      <c r="V588" s="32" t="inlineStr">
        <is>
          <t>学校情報サイト1件のみで確認。大学の番号とは別</t>
        </is>
      </c>
      <c r="W588" s="33" t="inlineStr">
        <is>
          <t>開く</t>
        </is>
      </c>
    </row>
    <row r="589" ht="30" customHeight="1">
      <c r="A589" s="23" t="inlineStr">
        <is>
          <t>14神奈川県</t>
        </is>
      </c>
      <c r="B589" s="23" t="inlineStr">
        <is>
          <t>私立</t>
        </is>
      </c>
      <c r="C589" s="23" t="n"/>
      <c r="D589" s="23" t="inlineStr">
        <is>
          <t>湘南白百合学園高等学校</t>
        </is>
      </c>
      <c r="E589" s="24" t="inlineStr">
        <is>
          <t>0466-27-6211</t>
        </is>
      </c>
      <c r="F589" s="23" t="n"/>
      <c r="G589" s="25" t="inlineStr">
        <is>
          <t>普通科</t>
        </is>
      </c>
      <c r="H589" s="26" t="inlineStr">
        <is>
          <t>☐</t>
        </is>
      </c>
      <c r="I589" s="26" t="inlineStr">
        <is>
          <t>☐</t>
        </is>
      </c>
      <c r="J589" s="26" t="inlineStr">
        <is>
          <t>☐</t>
        </is>
      </c>
      <c r="K589" s="26" t="inlineStr">
        <is>
          <t>☐</t>
        </is>
      </c>
      <c r="L589" s="26" t="inlineStr">
        <is>
          <t>☐</t>
        </is>
      </c>
      <c r="M589" s="25" t="n"/>
      <c r="N589" s="27" t="n">
        <v>0</v>
      </c>
      <c r="O589" s="28" t="n"/>
      <c r="P589" s="23" t="n"/>
      <c r="Q589" s="29" t="n"/>
      <c r="R589" s="29" t="n"/>
      <c r="S589" s="23" t="n"/>
      <c r="T589" s="30" t="n"/>
      <c r="U589" s="34" t="inlineStr">
        <is>
          <t>中</t>
        </is>
      </c>
      <c r="V589" s="32" t="inlineStr">
        <is>
          <t>中高共通。学校情報サイト1件のみで確認</t>
        </is>
      </c>
      <c r="W589" s="33" t="inlineStr">
        <is>
          <t>開く</t>
        </is>
      </c>
    </row>
    <row r="590" ht="30" customHeight="1">
      <c r="A590" s="23" t="inlineStr">
        <is>
          <t>14神奈川県</t>
        </is>
      </c>
      <c r="B590" s="23" t="inlineStr">
        <is>
          <t>私立</t>
        </is>
      </c>
      <c r="C590" s="23" t="n"/>
      <c r="D590" s="23" t="inlineStr">
        <is>
          <t>逗子開成高等学校</t>
        </is>
      </c>
      <c r="E590" s="24" t="inlineStr">
        <is>
          <t>046-871-2062</t>
        </is>
      </c>
      <c r="F590" s="23" t="n"/>
      <c r="G590" s="25" t="inlineStr">
        <is>
          <t>普通科</t>
        </is>
      </c>
      <c r="H590" s="26" t="inlineStr">
        <is>
          <t>☐</t>
        </is>
      </c>
      <c r="I590" s="26" t="inlineStr">
        <is>
          <t>☐</t>
        </is>
      </c>
      <c r="J590" s="26" t="inlineStr">
        <is>
          <t>☐</t>
        </is>
      </c>
      <c r="K590" s="26" t="inlineStr">
        <is>
          <t>☐</t>
        </is>
      </c>
      <c r="L590" s="26" t="inlineStr">
        <is>
          <t>☐</t>
        </is>
      </c>
      <c r="M590" s="25" t="n"/>
      <c r="N590" s="27" t="n">
        <v>0</v>
      </c>
      <c r="O590" s="28" t="n"/>
      <c r="P590" s="23" t="n"/>
      <c r="Q590" s="29" t="n"/>
      <c r="R590" s="29" t="n"/>
      <c r="S590" s="23" t="n"/>
      <c r="T590" s="30" t="n"/>
      <c r="U590" s="31" t="inlineStr">
        <is>
          <t>高</t>
        </is>
      </c>
      <c r="V590" s="32" t="inlineStr">
        <is>
          <t>中高共通。2つの情報源で一致</t>
        </is>
      </c>
      <c r="W590" s="33" t="inlineStr">
        <is>
          <t>開く</t>
        </is>
      </c>
    </row>
    <row r="591" ht="30" customHeight="1">
      <c r="A591" s="23" t="inlineStr">
        <is>
          <t>14神奈川県</t>
        </is>
      </c>
      <c r="B591" s="23" t="inlineStr">
        <is>
          <t>私立</t>
        </is>
      </c>
      <c r="C591" s="23" t="n"/>
      <c r="D591" s="23" t="inlineStr">
        <is>
          <t>聖光学院高等学校（神奈川県）</t>
        </is>
      </c>
      <c r="E591" s="24" t="inlineStr">
        <is>
          <t>045-621-2051</t>
        </is>
      </c>
      <c r="F591" s="23" t="n"/>
      <c r="G591" s="25" t="inlineStr">
        <is>
          <t>普通科</t>
        </is>
      </c>
      <c r="H591" s="26" t="inlineStr">
        <is>
          <t>☐</t>
        </is>
      </c>
      <c r="I591" s="26" t="inlineStr">
        <is>
          <t>☐</t>
        </is>
      </c>
      <c r="J591" s="26" t="inlineStr">
        <is>
          <t>☐</t>
        </is>
      </c>
      <c r="K591" s="26" t="inlineStr">
        <is>
          <t>☐</t>
        </is>
      </c>
      <c r="L591" s="26" t="inlineStr">
        <is>
          <t>☐</t>
        </is>
      </c>
      <c r="M591" s="25" t="n"/>
      <c r="N591" s="27" t="n">
        <v>0</v>
      </c>
      <c r="O591" s="28" t="n"/>
      <c r="P591" s="23" t="n"/>
      <c r="Q591" s="29" t="n"/>
      <c r="R591" s="29" t="n"/>
      <c r="S591" s="23" t="n"/>
      <c r="T591" s="30" t="n"/>
      <c r="U591" s="34" t="inlineStr">
        <is>
          <t>中</t>
        </is>
      </c>
      <c r="V591" s="32" t="inlineStr">
        <is>
          <t>中高共通。学校情報サイト1件のみで確認。福島県の聖光学院とは別の学校</t>
        </is>
      </c>
      <c r="W591" s="33" t="inlineStr">
        <is>
          <t>開く</t>
        </is>
      </c>
    </row>
    <row r="592" ht="30" customHeight="1">
      <c r="A592" s="23" t="inlineStr">
        <is>
          <t>14神奈川県</t>
        </is>
      </c>
      <c r="B592" s="23" t="inlineStr">
        <is>
          <t>私立</t>
        </is>
      </c>
      <c r="C592" s="23" t="n"/>
      <c r="D592" s="23" t="inlineStr">
        <is>
          <t>星槎高等学校</t>
        </is>
      </c>
      <c r="E592" s="24" t="inlineStr">
        <is>
          <t>045-442-8686</t>
        </is>
      </c>
      <c r="F592" s="23" t="n"/>
      <c r="G592" s="25" t="inlineStr">
        <is>
          <t>普通科</t>
        </is>
      </c>
      <c r="H592" s="26" t="inlineStr">
        <is>
          <t>☐</t>
        </is>
      </c>
      <c r="I592" s="26" t="inlineStr">
        <is>
          <t>☐</t>
        </is>
      </c>
      <c r="J592" s="26" t="inlineStr">
        <is>
          <t>☐</t>
        </is>
      </c>
      <c r="K592" s="26" t="inlineStr">
        <is>
          <t>☐</t>
        </is>
      </c>
      <c r="L592" s="26" t="inlineStr">
        <is>
          <t>☐</t>
        </is>
      </c>
      <c r="M592" s="25" t="n"/>
      <c r="N592" s="27" t="n">
        <v>0</v>
      </c>
      <c r="O592" s="28" t="n"/>
      <c r="P592" s="23" t="n"/>
      <c r="Q592" s="29" t="n"/>
      <c r="R592" s="29" t="n"/>
      <c r="S592" s="23" t="n"/>
      <c r="T592" s="30" t="n"/>
      <c r="U592" s="31" t="inlineStr">
        <is>
          <t>高</t>
        </is>
      </c>
      <c r="V592" s="32" t="inlineStr">
        <is>
          <t>複数サイトで一致。045-442-8687は星槎中学校の番号</t>
        </is>
      </c>
      <c r="W592" s="33" t="inlineStr">
        <is>
          <t>開く</t>
        </is>
      </c>
    </row>
    <row r="593" ht="30" customHeight="1">
      <c r="A593" s="23" t="inlineStr">
        <is>
          <t>14神奈川県</t>
        </is>
      </c>
      <c r="B593" s="23" t="inlineStr">
        <is>
          <t>私立</t>
        </is>
      </c>
      <c r="C593" s="23" t="n"/>
      <c r="D593" s="23" t="inlineStr">
        <is>
          <t>清心女子高等学校（神奈川県）</t>
        </is>
      </c>
      <c r="E593" s="24" t="inlineStr">
        <is>
          <t>045-421-8864</t>
        </is>
      </c>
      <c r="F593" s="23" t="n"/>
      <c r="G593" s="25" t="inlineStr">
        <is>
          <t>普通科</t>
        </is>
      </c>
      <c r="H593" s="26" t="inlineStr">
        <is>
          <t>☐</t>
        </is>
      </c>
      <c r="I593" s="26" t="inlineStr">
        <is>
          <t>☐</t>
        </is>
      </c>
      <c r="J593" s="26" t="inlineStr">
        <is>
          <t>☐</t>
        </is>
      </c>
      <c r="K593" s="26" t="inlineStr">
        <is>
          <t>☐</t>
        </is>
      </c>
      <c r="L593" s="26" t="inlineStr">
        <is>
          <t>☐</t>
        </is>
      </c>
      <c r="M593" s="25" t="n"/>
      <c r="N593" s="27" t="n">
        <v>0</v>
      </c>
      <c r="O593" s="28" t="n"/>
      <c r="P593" s="23" t="n"/>
      <c r="Q593" s="29" t="n"/>
      <c r="R593" s="29" t="n"/>
      <c r="S593" s="23" t="n"/>
      <c r="T593" s="30" t="n"/>
      <c r="U593" s="34" t="inlineStr">
        <is>
          <t>中</t>
        </is>
      </c>
      <c r="V593" s="32" t="inlineStr">
        <is>
          <t>通信制。学校情報サイト1件のみで確認</t>
        </is>
      </c>
      <c r="W593" s="33" t="inlineStr">
        <is>
          <t>開く</t>
        </is>
      </c>
    </row>
    <row r="594" ht="30" customHeight="1">
      <c r="A594" s="23" t="inlineStr">
        <is>
          <t>14神奈川県</t>
        </is>
      </c>
      <c r="B594" s="23" t="inlineStr">
        <is>
          <t>私立</t>
        </is>
      </c>
      <c r="C594" s="23" t="n"/>
      <c r="D594" s="23" t="inlineStr">
        <is>
          <t>聖セシリア女子高等学校</t>
        </is>
      </c>
      <c r="E594" s="24" t="inlineStr">
        <is>
          <t>046-275-3727</t>
        </is>
      </c>
      <c r="F594" s="23" t="n"/>
      <c r="G594" s="25" t="inlineStr">
        <is>
          <t>普通科</t>
        </is>
      </c>
      <c r="H594" s="26" t="inlineStr">
        <is>
          <t>☐</t>
        </is>
      </c>
      <c r="I594" s="26" t="inlineStr">
        <is>
          <t>☐</t>
        </is>
      </c>
      <c r="J594" s="26" t="inlineStr">
        <is>
          <t>☐</t>
        </is>
      </c>
      <c r="K594" s="26" t="inlineStr">
        <is>
          <t>☐</t>
        </is>
      </c>
      <c r="L594" s="26" t="inlineStr">
        <is>
          <t>☐</t>
        </is>
      </c>
      <c r="M594" s="25" t="n"/>
      <c r="N594" s="27" t="n">
        <v>0</v>
      </c>
      <c r="O594" s="28" t="n"/>
      <c r="P594" s="23" t="n"/>
      <c r="Q594" s="29" t="n"/>
      <c r="R594" s="29" t="n"/>
      <c r="S594" s="23" t="n"/>
      <c r="T594" s="30" t="n"/>
      <c r="U594" s="31" t="inlineStr">
        <is>
          <t>高</t>
        </is>
      </c>
      <c r="V594" s="32" t="inlineStr">
        <is>
          <t>高校の番号。中学校は046-274-7405</t>
        </is>
      </c>
      <c r="W594" s="33" t="inlineStr">
        <is>
          <t>開く</t>
        </is>
      </c>
    </row>
    <row r="595" ht="30" customHeight="1">
      <c r="A595" s="23" t="inlineStr">
        <is>
          <t>14神奈川県</t>
        </is>
      </c>
      <c r="B595" s="23" t="inlineStr">
        <is>
          <t>私立</t>
        </is>
      </c>
      <c r="C595" s="23" t="n"/>
      <c r="D595" s="23" t="inlineStr">
        <is>
          <t>清泉女学院高等学校</t>
        </is>
      </c>
      <c r="E595" s="24" t="inlineStr">
        <is>
          <t>0467-46-3171</t>
        </is>
      </c>
      <c r="F595" s="23" t="n"/>
      <c r="G595" s="25" t="inlineStr">
        <is>
          <t>普通科</t>
        </is>
      </c>
      <c r="H595" s="26" t="inlineStr">
        <is>
          <t>☐</t>
        </is>
      </c>
      <c r="I595" s="26" t="inlineStr">
        <is>
          <t>☐</t>
        </is>
      </c>
      <c r="J595" s="26" t="inlineStr">
        <is>
          <t>☐</t>
        </is>
      </c>
      <c r="K595" s="26" t="inlineStr">
        <is>
          <t>☐</t>
        </is>
      </c>
      <c r="L595" s="26" t="inlineStr">
        <is>
          <t>☐</t>
        </is>
      </c>
      <c r="M595" s="25" t="n"/>
      <c r="N595" s="27" t="n">
        <v>0</v>
      </c>
      <c r="O595" s="28" t="n"/>
      <c r="P595" s="23" t="n"/>
      <c r="Q595" s="29" t="n"/>
      <c r="R595" s="29" t="n"/>
      <c r="S595" s="23" t="n"/>
      <c r="T595" s="30" t="n"/>
      <c r="U595" s="34" t="inlineStr">
        <is>
          <t>中</t>
        </is>
      </c>
      <c r="V595" s="32" t="inlineStr">
        <is>
          <t>中高共通。学校情報サイト1件のみで確認</t>
        </is>
      </c>
      <c r="W595" s="33" t="inlineStr">
        <is>
          <t>開く</t>
        </is>
      </c>
    </row>
    <row r="596" ht="30" customHeight="1">
      <c r="A596" s="23" t="inlineStr">
        <is>
          <t>14神奈川県</t>
        </is>
      </c>
      <c r="B596" s="23" t="inlineStr">
        <is>
          <t>私立</t>
        </is>
      </c>
      <c r="C596" s="23" t="n"/>
      <c r="D596" s="23" t="inlineStr">
        <is>
          <t>聖ヨゼフ学園高等学校</t>
        </is>
      </c>
      <c r="E596" s="24" t="inlineStr">
        <is>
          <t>045-581-8808</t>
        </is>
      </c>
      <c r="F596" s="23" t="n"/>
      <c r="G596" s="25" t="inlineStr">
        <is>
          <t>普通科</t>
        </is>
      </c>
      <c r="H596" s="26" t="inlineStr">
        <is>
          <t>☐</t>
        </is>
      </c>
      <c r="I596" s="26" t="inlineStr">
        <is>
          <t>☐</t>
        </is>
      </c>
      <c r="J596" s="26" t="inlineStr">
        <is>
          <t>☐</t>
        </is>
      </c>
      <c r="K596" s="26" t="inlineStr">
        <is>
          <t>☐</t>
        </is>
      </c>
      <c r="L596" s="26" t="inlineStr">
        <is>
          <t>☐</t>
        </is>
      </c>
      <c r="M596" s="25" t="n"/>
      <c r="N596" s="27" t="n">
        <v>0</v>
      </c>
      <c r="O596" s="28" t="n"/>
      <c r="P596" s="23" t="n"/>
      <c r="Q596" s="29" t="n"/>
      <c r="R596" s="29" t="n"/>
      <c r="S596" s="23" t="n"/>
      <c r="T596" s="30" t="n"/>
      <c r="U596" s="31" t="inlineStr">
        <is>
          <t>高</t>
        </is>
      </c>
      <c r="V596" s="32" t="inlineStr">
        <is>
          <t>中高共通。複数の情報源で一致</t>
        </is>
      </c>
      <c r="W596" s="33" t="inlineStr">
        <is>
          <t>開く</t>
        </is>
      </c>
    </row>
    <row r="597" ht="30" customHeight="1">
      <c r="A597" s="23" t="inlineStr">
        <is>
          <t>14神奈川県</t>
        </is>
      </c>
      <c r="B597" s="23" t="inlineStr">
        <is>
          <t>私立</t>
        </is>
      </c>
      <c r="C597" s="23" t="n"/>
      <c r="D597" s="23" t="inlineStr">
        <is>
          <t>聖和学院高等学校</t>
        </is>
      </c>
      <c r="E597" s="24" t="inlineStr">
        <is>
          <t>046-871-2670</t>
        </is>
      </c>
      <c r="F597" s="23" t="n"/>
      <c r="G597" s="25" t="inlineStr">
        <is>
          <t>普通科・専門学科</t>
        </is>
      </c>
      <c r="H597" s="26" t="inlineStr">
        <is>
          <t>☐</t>
        </is>
      </c>
      <c r="I597" s="26" t="inlineStr">
        <is>
          <t>☐</t>
        </is>
      </c>
      <c r="J597" s="26" t="inlineStr">
        <is>
          <t>☐</t>
        </is>
      </c>
      <c r="K597" s="26" t="inlineStr">
        <is>
          <t>☐</t>
        </is>
      </c>
      <c r="L597" s="26" t="inlineStr">
        <is>
          <t>☐</t>
        </is>
      </c>
      <c r="M597" s="25" t="n"/>
      <c r="N597" s="27" t="n">
        <v>0</v>
      </c>
      <c r="O597" s="28" t="n"/>
      <c r="P597" s="23" t="n"/>
      <c r="Q597" s="29" t="n"/>
      <c r="R597" s="29" t="n"/>
      <c r="S597" s="23" t="n"/>
      <c r="T597" s="30" t="n"/>
      <c r="U597" s="31" t="inlineStr">
        <is>
          <t>高</t>
        </is>
      </c>
      <c r="V597" s="32" t="inlineStr">
        <is>
          <t>中高共通</t>
        </is>
      </c>
      <c r="W597" s="33" t="inlineStr">
        <is>
          <t>開く</t>
        </is>
      </c>
    </row>
    <row r="598" ht="30" customHeight="1">
      <c r="A598" s="23" t="inlineStr">
        <is>
          <t>14神奈川県</t>
        </is>
      </c>
      <c r="B598" s="23" t="inlineStr">
        <is>
          <t>私立</t>
        </is>
      </c>
      <c r="C598" s="23" t="n"/>
      <c r="D598" s="23" t="inlineStr">
        <is>
          <t>洗足学園高等学校</t>
        </is>
      </c>
      <c r="E598" s="24" t="inlineStr">
        <is>
          <t>044-856-2777</t>
        </is>
      </c>
      <c r="F598" s="23" t="n"/>
      <c r="G598" s="25" t="inlineStr">
        <is>
          <t>普通科</t>
        </is>
      </c>
      <c r="H598" s="26" t="inlineStr">
        <is>
          <t>☐</t>
        </is>
      </c>
      <c r="I598" s="26" t="inlineStr">
        <is>
          <t>☐</t>
        </is>
      </c>
      <c r="J598" s="26" t="inlineStr">
        <is>
          <t>☐</t>
        </is>
      </c>
      <c r="K598" s="26" t="inlineStr">
        <is>
          <t>☐</t>
        </is>
      </c>
      <c r="L598" s="26" t="inlineStr">
        <is>
          <t>☐</t>
        </is>
      </c>
      <c r="M598" s="25" t="n"/>
      <c r="N598" s="27" t="n">
        <v>0</v>
      </c>
      <c r="O598" s="28" t="n"/>
      <c r="P598" s="23" t="n"/>
      <c r="Q598" s="29" t="n"/>
      <c r="R598" s="29" t="n"/>
      <c r="S598" s="23" t="n"/>
      <c r="T598" s="30" t="n"/>
      <c r="U598" s="34" t="inlineStr">
        <is>
          <t>中</t>
        </is>
      </c>
      <c r="V598" s="32" t="inlineStr">
        <is>
          <t>中高共通。学校情報サイト1件のみで確認</t>
        </is>
      </c>
      <c r="W598" s="33" t="inlineStr">
        <is>
          <t>開く</t>
        </is>
      </c>
    </row>
    <row r="599" ht="30" customHeight="1">
      <c r="A599" s="23" t="inlineStr">
        <is>
          <t>14神奈川県</t>
        </is>
      </c>
      <c r="B599" s="23" t="inlineStr">
        <is>
          <t>私立</t>
        </is>
      </c>
      <c r="C599" s="23" t="n"/>
      <c r="D599" s="23" t="inlineStr">
        <is>
          <t>捜真女学校高等学部</t>
        </is>
      </c>
      <c r="E599" s="24" t="inlineStr">
        <is>
          <t>045-491-3686</t>
        </is>
      </c>
      <c r="F599" s="23" t="n"/>
      <c r="G599" s="25" t="inlineStr">
        <is>
          <t>普通科</t>
        </is>
      </c>
      <c r="H599" s="26" t="inlineStr">
        <is>
          <t>☐</t>
        </is>
      </c>
      <c r="I599" s="26" t="inlineStr">
        <is>
          <t>☐</t>
        </is>
      </c>
      <c r="J599" s="26" t="inlineStr">
        <is>
          <t>☐</t>
        </is>
      </c>
      <c r="K599" s="26" t="inlineStr">
        <is>
          <t>☐</t>
        </is>
      </c>
      <c r="L599" s="26" t="inlineStr">
        <is>
          <t>☐</t>
        </is>
      </c>
      <c r="M599" s="25" t="n"/>
      <c r="N599" s="27" t="n">
        <v>0</v>
      </c>
      <c r="O599" s="28" t="n"/>
      <c r="P599" s="23" t="n"/>
      <c r="Q599" s="29" t="n"/>
      <c r="R599" s="29" t="n"/>
      <c r="S599" s="23" t="n"/>
      <c r="T599" s="30" t="n"/>
      <c r="U599" s="31" t="inlineStr">
        <is>
          <t>高</t>
        </is>
      </c>
      <c r="V599" s="32" t="inlineStr">
        <is>
          <t>中高共通。複数の情報源で一致</t>
        </is>
      </c>
      <c r="W599" s="33" t="inlineStr">
        <is>
          <t>開く</t>
        </is>
      </c>
    </row>
    <row r="600" ht="30" customHeight="1">
      <c r="A600" s="23" t="inlineStr">
        <is>
          <t>14神奈川県</t>
        </is>
      </c>
      <c r="B600" s="23" t="inlineStr">
        <is>
          <t>私立</t>
        </is>
      </c>
      <c r="C600" s="23" t="n"/>
      <c r="D600" s="23" t="inlineStr">
        <is>
          <t>相洋高等学校</t>
        </is>
      </c>
      <c r="E600" s="24" t="n"/>
      <c r="F600" s="23" t="n"/>
      <c r="G600" s="25" t="inlineStr">
        <is>
          <t>普通科・専門学科</t>
        </is>
      </c>
      <c r="H600" s="26" t="inlineStr">
        <is>
          <t>☐</t>
        </is>
      </c>
      <c r="I600" s="26" t="inlineStr">
        <is>
          <t>☐</t>
        </is>
      </c>
      <c r="J600" s="26" t="inlineStr">
        <is>
          <t>☐</t>
        </is>
      </c>
      <c r="K600" s="26" t="inlineStr">
        <is>
          <t>☐</t>
        </is>
      </c>
      <c r="L600" s="26" t="inlineStr">
        <is>
          <t>☐</t>
        </is>
      </c>
      <c r="M600" s="25" t="n"/>
      <c r="N600" s="27" t="n">
        <v>0</v>
      </c>
      <c r="O600" s="28" t="n"/>
      <c r="P600" s="23" t="n"/>
      <c r="Q600" s="29" t="n"/>
      <c r="R600" s="29" t="n"/>
      <c r="S600" s="23" t="n"/>
      <c r="T600" s="30" t="n"/>
      <c r="U600" s="35" t="inlineStr">
        <is>
          <t>要調査</t>
        </is>
      </c>
      <c r="V600" s="32" t="inlineStr">
        <is>
          <t>情報源で番号が食い違い。候補：0465-22-0211（有力）／0465-23-0211。中学直通は0465-23-0214</t>
        </is>
      </c>
      <c r="W600" s="33" t="inlineStr">
        <is>
          <t>開く</t>
        </is>
      </c>
    </row>
    <row r="601" ht="30" customHeight="1">
      <c r="A601" s="23" t="inlineStr">
        <is>
          <t>14神奈川県</t>
        </is>
      </c>
      <c r="B601" s="23" t="inlineStr">
        <is>
          <t>私立</t>
        </is>
      </c>
      <c r="C601" s="23" t="n"/>
      <c r="D601" s="23" t="inlineStr">
        <is>
          <t>橘学苑高等学校</t>
        </is>
      </c>
      <c r="E601" s="24" t="inlineStr">
        <is>
          <t>045-581-0063</t>
        </is>
      </c>
      <c r="F601" s="23" t="n"/>
      <c r="G601" s="25" t="inlineStr">
        <is>
          <t>普通科</t>
        </is>
      </c>
      <c r="H601" s="26" t="inlineStr">
        <is>
          <t>☐</t>
        </is>
      </c>
      <c r="I601" s="26" t="inlineStr">
        <is>
          <t>☐</t>
        </is>
      </c>
      <c r="J601" s="26" t="inlineStr">
        <is>
          <t>☐</t>
        </is>
      </c>
      <c r="K601" s="26" t="inlineStr">
        <is>
          <t>☐</t>
        </is>
      </c>
      <c r="L601" s="26" t="inlineStr">
        <is>
          <t>☐</t>
        </is>
      </c>
      <c r="M601" s="25" t="n"/>
      <c r="N601" s="27" t="n">
        <v>0</v>
      </c>
      <c r="O601" s="28" t="n"/>
      <c r="P601" s="23" t="n"/>
      <c r="Q601" s="29" t="n"/>
      <c r="R601" s="29" t="n"/>
      <c r="S601" s="23" t="n"/>
      <c r="T601" s="30" t="n"/>
      <c r="U601" s="31" t="inlineStr">
        <is>
          <t>高</t>
        </is>
      </c>
      <c r="V601" s="32" t="inlineStr">
        <is>
          <t>中高共通。複数サイトで一致</t>
        </is>
      </c>
      <c r="W601" s="33" t="inlineStr">
        <is>
          <t>開く</t>
        </is>
      </c>
    </row>
    <row r="602" ht="30" customHeight="1">
      <c r="A602" s="23" t="inlineStr">
        <is>
          <t>14神奈川県</t>
        </is>
      </c>
      <c r="B602" s="23" t="inlineStr">
        <is>
          <t>私立</t>
        </is>
      </c>
      <c r="C602" s="23" t="n"/>
      <c r="D602" s="23" t="inlineStr">
        <is>
          <t>立花学園高等学校</t>
        </is>
      </c>
      <c r="E602" s="24" t="inlineStr">
        <is>
          <t>0465-83-1081</t>
        </is>
      </c>
      <c r="F602" s="23" t="n"/>
      <c r="G602" s="25" t="inlineStr">
        <is>
          <t>普通科</t>
        </is>
      </c>
      <c r="H602" s="26" t="inlineStr">
        <is>
          <t>☐</t>
        </is>
      </c>
      <c r="I602" s="26" t="inlineStr">
        <is>
          <t>☐</t>
        </is>
      </c>
      <c r="J602" s="26" t="inlineStr">
        <is>
          <t>☐</t>
        </is>
      </c>
      <c r="K602" s="26" t="inlineStr">
        <is>
          <t>☐</t>
        </is>
      </c>
      <c r="L602" s="26" t="inlineStr">
        <is>
          <t>☐</t>
        </is>
      </c>
      <c r="M602" s="25" t="n"/>
      <c r="N602" s="27" t="n">
        <v>0</v>
      </c>
      <c r="O602" s="28" t="n"/>
      <c r="P602" s="23" t="n"/>
      <c r="Q602" s="29" t="n"/>
      <c r="R602" s="29" t="n"/>
      <c r="S602" s="23" t="n"/>
      <c r="T602" s="30" t="n"/>
      <c r="U602" s="34" t="inlineStr">
        <is>
          <t>中</t>
        </is>
      </c>
      <c r="V602" s="32" t="inlineStr">
        <is>
          <t>学校情報サイト1件のみで確認</t>
        </is>
      </c>
      <c r="W602" s="33" t="inlineStr">
        <is>
          <t>開く</t>
        </is>
      </c>
    </row>
    <row r="603" ht="30" customHeight="1">
      <c r="A603" s="23" t="inlineStr">
        <is>
          <t>14神奈川県</t>
        </is>
      </c>
      <c r="B603" s="23" t="inlineStr">
        <is>
          <t>私立</t>
        </is>
      </c>
      <c r="C603" s="23" t="n"/>
      <c r="D603" s="23" t="inlineStr">
        <is>
          <t>中央大学附属横浜高等学校</t>
        </is>
      </c>
      <c r="E603" s="24" t="inlineStr">
        <is>
          <t>045-592-0801</t>
        </is>
      </c>
      <c r="F603" s="23" t="n"/>
      <c r="G603" s="25" t="inlineStr">
        <is>
          <t>普通科</t>
        </is>
      </c>
      <c r="H603" s="26" t="inlineStr">
        <is>
          <t>☐</t>
        </is>
      </c>
      <c r="I603" s="26" t="inlineStr">
        <is>
          <t>☐</t>
        </is>
      </c>
      <c r="J603" s="26" t="inlineStr">
        <is>
          <t>☐</t>
        </is>
      </c>
      <c r="K603" s="26" t="inlineStr">
        <is>
          <t>☐</t>
        </is>
      </c>
      <c r="L603" s="26" t="inlineStr">
        <is>
          <t>☐</t>
        </is>
      </c>
      <c r="M603" s="25" t="n"/>
      <c r="N603" s="27" t="n">
        <v>0</v>
      </c>
      <c r="O603" s="28" t="n"/>
      <c r="P603" s="23" t="n"/>
      <c r="Q603" s="29" t="n"/>
      <c r="R603" s="29" t="n"/>
      <c r="S603" s="23" t="n"/>
      <c r="T603" s="30" t="n"/>
      <c r="U603" s="31" t="inlineStr">
        <is>
          <t>高</t>
        </is>
      </c>
      <c r="V603" s="32" t="inlineStr">
        <is>
          <t>中高共通</t>
        </is>
      </c>
      <c r="W603" s="33" t="inlineStr">
        <is>
          <t>開く</t>
        </is>
      </c>
    </row>
    <row r="604" ht="30" customHeight="1">
      <c r="A604" s="23" t="inlineStr">
        <is>
          <t>14神奈川県</t>
        </is>
      </c>
      <c r="B604" s="23" t="inlineStr">
        <is>
          <t>私立</t>
        </is>
      </c>
      <c r="C604" s="23" t="n"/>
      <c r="D604" s="23" t="inlineStr">
        <is>
          <t>鶴見大学附属高等学校</t>
        </is>
      </c>
      <c r="E604" s="24" t="inlineStr">
        <is>
          <t>045-581-6325</t>
        </is>
      </c>
      <c r="F604" s="23" t="n"/>
      <c r="G604" s="25" t="inlineStr">
        <is>
          <t>普通科</t>
        </is>
      </c>
      <c r="H604" s="26" t="inlineStr">
        <is>
          <t>☐</t>
        </is>
      </c>
      <c r="I604" s="26" t="inlineStr">
        <is>
          <t>☐</t>
        </is>
      </c>
      <c r="J604" s="26" t="inlineStr">
        <is>
          <t>☐</t>
        </is>
      </c>
      <c r="K604" s="26" t="inlineStr">
        <is>
          <t>☐</t>
        </is>
      </c>
      <c r="L604" s="26" t="inlineStr">
        <is>
          <t>☐</t>
        </is>
      </c>
      <c r="M604" s="25" t="n"/>
      <c r="N604" s="27" t="n">
        <v>0</v>
      </c>
      <c r="O604" s="28" t="n"/>
      <c r="P604" s="23" t="n"/>
      <c r="Q604" s="29" t="n"/>
      <c r="R604" s="29" t="n"/>
      <c r="S604" s="23" t="n"/>
      <c r="T604" s="30" t="n"/>
      <c r="U604" s="31" t="inlineStr">
        <is>
          <t>高</t>
        </is>
      </c>
      <c r="V604" s="32" t="inlineStr">
        <is>
          <t>中高共通</t>
        </is>
      </c>
      <c r="W604" s="33" t="inlineStr">
        <is>
          <t>開く</t>
        </is>
      </c>
    </row>
    <row r="605" ht="30" customHeight="1">
      <c r="A605" s="23" t="inlineStr">
        <is>
          <t>14神奈川県</t>
        </is>
      </c>
      <c r="B605" s="23" t="inlineStr">
        <is>
          <t>私立</t>
        </is>
      </c>
      <c r="C605" s="23" t="n"/>
      <c r="D605" s="23" t="inlineStr">
        <is>
          <t>桐蔭学園高等学校</t>
        </is>
      </c>
      <c r="E605" s="24" t="inlineStr">
        <is>
          <t>045-971-1411</t>
        </is>
      </c>
      <c r="F605" s="23" t="n"/>
      <c r="G605" s="25" t="inlineStr">
        <is>
          <t>普通科・専門学科</t>
        </is>
      </c>
      <c r="H605" s="26" t="inlineStr">
        <is>
          <t>☐</t>
        </is>
      </c>
      <c r="I605" s="26" t="inlineStr">
        <is>
          <t>☐</t>
        </is>
      </c>
      <c r="J605" s="26" t="inlineStr">
        <is>
          <t>☐</t>
        </is>
      </c>
      <c r="K605" s="26" t="inlineStr">
        <is>
          <t>☐</t>
        </is>
      </c>
      <c r="L605" s="26" t="inlineStr">
        <is>
          <t>☐</t>
        </is>
      </c>
      <c r="M605" s="25" t="n"/>
      <c r="N605" s="27" t="n">
        <v>0</v>
      </c>
      <c r="O605" s="28" t="n"/>
      <c r="P605" s="23" t="n"/>
      <c r="Q605" s="29" t="n"/>
      <c r="R605" s="29" t="n"/>
      <c r="S605" s="23" t="n"/>
      <c r="T605" s="30" t="n"/>
      <c r="U605" s="31" t="inlineStr">
        <is>
          <t>高</t>
        </is>
      </c>
      <c r="V605" s="32" t="inlineStr">
        <is>
          <t>複数サイトで一致。入試当日の連絡先は045-971-1413</t>
        </is>
      </c>
      <c r="W605" s="33" t="inlineStr">
        <is>
          <t>開く</t>
        </is>
      </c>
    </row>
    <row r="606" ht="30" customHeight="1">
      <c r="A606" s="23" t="inlineStr">
        <is>
          <t>14神奈川県</t>
        </is>
      </c>
      <c r="B606" s="23" t="inlineStr">
        <is>
          <t>私立</t>
        </is>
      </c>
      <c r="C606" s="23" t="n"/>
      <c r="D606" s="23" t="inlineStr">
        <is>
          <t>東海大学付属相模高等学校</t>
        </is>
      </c>
      <c r="E606" s="24" t="inlineStr">
        <is>
          <t>042-742-1251</t>
        </is>
      </c>
      <c r="F606" s="23" t="n"/>
      <c r="G606" s="25" t="inlineStr">
        <is>
          <t>普通科</t>
        </is>
      </c>
      <c r="H606" s="26" t="inlineStr">
        <is>
          <t>☐</t>
        </is>
      </c>
      <c r="I606" s="26" t="inlineStr">
        <is>
          <t>☐</t>
        </is>
      </c>
      <c r="J606" s="26" t="inlineStr">
        <is>
          <t>☐</t>
        </is>
      </c>
      <c r="K606" s="26" t="inlineStr">
        <is>
          <t>☐</t>
        </is>
      </c>
      <c r="L606" s="26" t="inlineStr">
        <is>
          <t>☐</t>
        </is>
      </c>
      <c r="M606" s="25" t="n"/>
      <c r="N606" s="27" t="n">
        <v>0</v>
      </c>
      <c r="O606" s="28" t="n"/>
      <c r="P606" s="23" t="n"/>
      <c r="Q606" s="29" t="n"/>
      <c r="R606" s="29" t="n"/>
      <c r="S606" s="23" t="n"/>
      <c r="T606" s="30" t="n"/>
      <c r="U606" s="31" t="inlineStr">
        <is>
          <t>高</t>
        </is>
      </c>
      <c r="V606" s="32" t="inlineStr">
        <is>
          <t>中等部と共通</t>
        </is>
      </c>
      <c r="W606" s="33" t="inlineStr">
        <is>
          <t>開く</t>
        </is>
      </c>
    </row>
    <row r="607" ht="30" customHeight="1">
      <c r="A607" s="23" t="inlineStr">
        <is>
          <t>14神奈川県</t>
        </is>
      </c>
      <c r="B607" s="23" t="inlineStr">
        <is>
          <t>私立</t>
        </is>
      </c>
      <c r="C607" s="23" t="n"/>
      <c r="D607" s="23" t="inlineStr">
        <is>
          <t>桐光学園高等学校</t>
        </is>
      </c>
      <c r="E607" s="24" t="inlineStr">
        <is>
          <t>044-987-0519</t>
        </is>
      </c>
      <c r="F607" s="23" t="n"/>
      <c r="G607" s="25" t="inlineStr">
        <is>
          <t>普通科</t>
        </is>
      </c>
      <c r="H607" s="26" t="inlineStr">
        <is>
          <t>☐</t>
        </is>
      </c>
      <c r="I607" s="26" t="inlineStr">
        <is>
          <t>☐</t>
        </is>
      </c>
      <c r="J607" s="26" t="inlineStr">
        <is>
          <t>☐</t>
        </is>
      </c>
      <c r="K607" s="26" t="inlineStr">
        <is>
          <t>☐</t>
        </is>
      </c>
      <c r="L607" s="26" t="inlineStr">
        <is>
          <t>☐</t>
        </is>
      </c>
      <c r="M607" s="25" t="n"/>
      <c r="N607" s="27" t="n">
        <v>0</v>
      </c>
      <c r="O607" s="28" t="n"/>
      <c r="P607" s="23" t="n"/>
      <c r="Q607" s="29" t="n"/>
      <c r="R607" s="29" t="n"/>
      <c r="S607" s="23" t="n"/>
      <c r="T607" s="30" t="n"/>
      <c r="U607" s="34" t="inlineStr">
        <is>
          <t>中</t>
        </is>
      </c>
      <c r="V607" s="32" t="inlineStr">
        <is>
          <t>学校情報サイト1件のみで確認</t>
        </is>
      </c>
      <c r="W607" s="33" t="inlineStr">
        <is>
          <t>開く</t>
        </is>
      </c>
    </row>
    <row r="608" ht="30" customHeight="1">
      <c r="A608" s="23" t="inlineStr">
        <is>
          <t>14神奈川県</t>
        </is>
      </c>
      <c r="B608" s="23" t="inlineStr">
        <is>
          <t>私立</t>
        </is>
      </c>
      <c r="C608" s="23" t="n"/>
      <c r="D608" s="23" t="inlineStr">
        <is>
          <t>藤嶺学園藤沢高等学校</t>
        </is>
      </c>
      <c r="E608" s="24" t="inlineStr">
        <is>
          <t>0466-23-3150</t>
        </is>
      </c>
      <c r="F608" s="23" t="n"/>
      <c r="G608" s="25" t="inlineStr">
        <is>
          <t>普通科</t>
        </is>
      </c>
      <c r="H608" s="26" t="inlineStr">
        <is>
          <t>☐</t>
        </is>
      </c>
      <c r="I608" s="26" t="inlineStr">
        <is>
          <t>☐</t>
        </is>
      </c>
      <c r="J608" s="26" t="inlineStr">
        <is>
          <t>☐</t>
        </is>
      </c>
      <c r="K608" s="26" t="inlineStr">
        <is>
          <t>☐</t>
        </is>
      </c>
      <c r="L608" s="26" t="inlineStr">
        <is>
          <t>☐</t>
        </is>
      </c>
      <c r="M608" s="25" t="n"/>
      <c r="N608" s="27" t="n">
        <v>0</v>
      </c>
      <c r="O608" s="28" t="n"/>
      <c r="P608" s="23" t="n"/>
      <c r="Q608" s="29" t="n"/>
      <c r="R608" s="29" t="n"/>
      <c r="S608" s="23" t="n"/>
      <c r="T608" s="30" t="n"/>
      <c r="U608" s="31" t="inlineStr">
        <is>
          <t>高</t>
        </is>
      </c>
      <c r="V608" s="32" t="inlineStr">
        <is>
          <t>2つのサイトで一致</t>
        </is>
      </c>
      <c r="W608" s="33" t="inlineStr">
        <is>
          <t>開く</t>
        </is>
      </c>
    </row>
    <row r="609" ht="30" customHeight="1">
      <c r="A609" s="23" t="inlineStr">
        <is>
          <t>14神奈川県</t>
        </is>
      </c>
      <c r="B609" s="23" t="inlineStr">
        <is>
          <t>私立</t>
        </is>
      </c>
      <c r="C609" s="23" t="n"/>
      <c r="D609" s="23" t="inlineStr">
        <is>
          <t>日本女子大学附属高等学校</t>
        </is>
      </c>
      <c r="E609" s="24" t="inlineStr">
        <is>
          <t>044-952-6705</t>
        </is>
      </c>
      <c r="F609" s="23" t="n"/>
      <c r="G609" s="25" t="inlineStr">
        <is>
          <t>普通科</t>
        </is>
      </c>
      <c r="H609" s="26" t="inlineStr">
        <is>
          <t>☐</t>
        </is>
      </c>
      <c r="I609" s="26" t="inlineStr">
        <is>
          <t>☐</t>
        </is>
      </c>
      <c r="J609" s="26" t="inlineStr">
        <is>
          <t>☐</t>
        </is>
      </c>
      <c r="K609" s="26" t="inlineStr">
        <is>
          <t>☐</t>
        </is>
      </c>
      <c r="L609" s="26" t="inlineStr">
        <is>
          <t>☐</t>
        </is>
      </c>
      <c r="M609" s="25" t="n"/>
      <c r="N609" s="27" t="n">
        <v>0</v>
      </c>
      <c r="O609" s="28" t="n"/>
      <c r="P609" s="23" t="n"/>
      <c r="Q609" s="29" t="n"/>
      <c r="R609" s="29" t="n"/>
      <c r="S609" s="23" t="n"/>
      <c r="T609" s="30" t="n"/>
      <c r="U609" s="34" t="inlineStr">
        <is>
          <t>中</t>
        </is>
      </c>
      <c r="V609" s="32" t="inlineStr">
        <is>
          <t>学校情報サイト1件のみで確認</t>
        </is>
      </c>
      <c r="W609" s="33" t="inlineStr">
        <is>
          <t>開く</t>
        </is>
      </c>
    </row>
    <row r="610" ht="30" customHeight="1">
      <c r="A610" s="23" t="inlineStr">
        <is>
          <t>14神奈川県</t>
        </is>
      </c>
      <c r="B610" s="23" t="inlineStr">
        <is>
          <t>私立</t>
        </is>
      </c>
      <c r="C610" s="23" t="n"/>
      <c r="D610" s="23" t="inlineStr">
        <is>
          <t>日本大学高等学校</t>
        </is>
      </c>
      <c r="E610" s="24" t="inlineStr">
        <is>
          <t>045-560-2600</t>
        </is>
      </c>
      <c r="F610" s="23" t="n"/>
      <c r="G610" s="25" t="inlineStr">
        <is>
          <t>普通科</t>
        </is>
      </c>
      <c r="H610" s="26" t="inlineStr">
        <is>
          <t>☐</t>
        </is>
      </c>
      <c r="I610" s="26" t="inlineStr">
        <is>
          <t>☐</t>
        </is>
      </c>
      <c r="J610" s="26" t="inlineStr">
        <is>
          <t>☐</t>
        </is>
      </c>
      <c r="K610" s="26" t="inlineStr">
        <is>
          <t>☐</t>
        </is>
      </c>
      <c r="L610" s="26" t="inlineStr">
        <is>
          <t>☐</t>
        </is>
      </c>
      <c r="M610" s="25" t="n"/>
      <c r="N610" s="27" t="n">
        <v>0</v>
      </c>
      <c r="O610" s="28" t="n"/>
      <c r="P610" s="23" t="n"/>
      <c r="Q610" s="29" t="n"/>
      <c r="R610" s="29" t="n"/>
      <c r="S610" s="23" t="n"/>
      <c r="T610" s="30" t="n"/>
      <c r="U610" s="31" t="inlineStr">
        <is>
          <t>高</t>
        </is>
      </c>
      <c r="V610" s="32" t="inlineStr">
        <is>
          <t>公式の入試要項で確認</t>
        </is>
      </c>
      <c r="W610" s="33" t="inlineStr">
        <is>
          <t>開く</t>
        </is>
      </c>
    </row>
    <row r="611" ht="30" customHeight="1">
      <c r="A611" s="23" t="inlineStr">
        <is>
          <t>14神奈川県</t>
        </is>
      </c>
      <c r="B611" s="23" t="inlineStr">
        <is>
          <t>私立</t>
        </is>
      </c>
      <c r="C611" s="23" t="n"/>
      <c r="D611" s="23" t="inlineStr">
        <is>
          <t>日本大学藤沢高等学校</t>
        </is>
      </c>
      <c r="E611" s="24" t="inlineStr">
        <is>
          <t>0466-81-0123</t>
        </is>
      </c>
      <c r="F611" s="23" t="n"/>
      <c r="G611" s="25" t="inlineStr">
        <is>
          <t>普通科</t>
        </is>
      </c>
      <c r="H611" s="26" t="inlineStr">
        <is>
          <t>☐</t>
        </is>
      </c>
      <c r="I611" s="26" t="inlineStr">
        <is>
          <t>☐</t>
        </is>
      </c>
      <c r="J611" s="26" t="inlineStr">
        <is>
          <t>☐</t>
        </is>
      </c>
      <c r="K611" s="26" t="inlineStr">
        <is>
          <t>☐</t>
        </is>
      </c>
      <c r="L611" s="26" t="inlineStr">
        <is>
          <t>☐</t>
        </is>
      </c>
      <c r="M611" s="25" t="n"/>
      <c r="N611" s="27" t="n">
        <v>0</v>
      </c>
      <c r="O611" s="28" t="n"/>
      <c r="P611" s="23" t="n"/>
      <c r="Q611" s="29" t="n"/>
      <c r="R611" s="29" t="n"/>
      <c r="S611" s="23" t="n"/>
      <c r="T611" s="30" t="n"/>
      <c r="U611" s="31" t="inlineStr">
        <is>
          <t>高</t>
        </is>
      </c>
      <c r="V611" s="32" t="inlineStr">
        <is>
          <t>公式サイトで高校の番号を確認。中学校は0466-81-0125</t>
        </is>
      </c>
      <c r="W611" s="33" t="inlineStr">
        <is>
          <t>開く</t>
        </is>
      </c>
    </row>
    <row r="612" ht="30" customHeight="1">
      <c r="A612" s="23" t="inlineStr">
        <is>
          <t>14神奈川県</t>
        </is>
      </c>
      <c r="B612" s="23" t="inlineStr">
        <is>
          <t>私立</t>
        </is>
      </c>
      <c r="C612" s="23" t="n"/>
      <c r="D612" s="23" t="inlineStr">
        <is>
          <t>白鵬女子高等学校</t>
        </is>
      </c>
      <c r="E612" s="24" t="inlineStr">
        <is>
          <t>045-581-6721</t>
        </is>
      </c>
      <c r="F612" s="23" t="n"/>
      <c r="G612" s="25" t="inlineStr">
        <is>
          <t>普通科</t>
        </is>
      </c>
      <c r="H612" s="26" t="inlineStr">
        <is>
          <t>☐</t>
        </is>
      </c>
      <c r="I612" s="26" t="inlineStr">
        <is>
          <t>☐</t>
        </is>
      </c>
      <c r="J612" s="26" t="inlineStr">
        <is>
          <t>☐</t>
        </is>
      </c>
      <c r="K612" s="26" t="inlineStr">
        <is>
          <t>☐</t>
        </is>
      </c>
      <c r="L612" s="26" t="inlineStr">
        <is>
          <t>☐</t>
        </is>
      </c>
      <c r="M612" s="25" t="n"/>
      <c r="N612" s="27" t="n">
        <v>0</v>
      </c>
      <c r="O612" s="28" t="n"/>
      <c r="P612" s="23" t="n"/>
      <c r="Q612" s="29" t="n"/>
      <c r="R612" s="29" t="n"/>
      <c r="S612" s="23" t="n"/>
      <c r="T612" s="30" t="n"/>
      <c r="U612" s="34" t="inlineStr">
        <is>
          <t>中</t>
        </is>
      </c>
      <c r="V612" s="32" t="inlineStr">
        <is>
          <t>学校情報サイト1件のみで確認</t>
        </is>
      </c>
      <c r="W612" s="33" t="inlineStr">
        <is>
          <t>開く</t>
        </is>
      </c>
    </row>
    <row r="613" ht="30" customHeight="1">
      <c r="A613" s="23" t="inlineStr">
        <is>
          <t>14神奈川県</t>
        </is>
      </c>
      <c r="B613" s="23" t="inlineStr">
        <is>
          <t>私立</t>
        </is>
      </c>
      <c r="C613" s="23" t="n"/>
      <c r="D613" s="23" t="inlineStr">
        <is>
          <t>平塚学園高等学校</t>
        </is>
      </c>
      <c r="E613" s="24" t="inlineStr">
        <is>
          <t>0463-22-0137</t>
        </is>
      </c>
      <c r="F613" s="23" t="n"/>
      <c r="G613" s="25" t="inlineStr">
        <is>
          <t>普通科</t>
        </is>
      </c>
      <c r="H613" s="26" t="inlineStr">
        <is>
          <t>☐</t>
        </is>
      </c>
      <c r="I613" s="26" t="inlineStr">
        <is>
          <t>☐</t>
        </is>
      </c>
      <c r="J613" s="26" t="inlineStr">
        <is>
          <t>☐</t>
        </is>
      </c>
      <c r="K613" s="26" t="inlineStr">
        <is>
          <t>☐</t>
        </is>
      </c>
      <c r="L613" s="26" t="inlineStr">
        <is>
          <t>☐</t>
        </is>
      </c>
      <c r="M613" s="25" t="n"/>
      <c r="N613" s="27" t="n">
        <v>0</v>
      </c>
      <c r="O613" s="28" t="n"/>
      <c r="P613" s="23" t="n"/>
      <c r="Q613" s="29" t="n"/>
      <c r="R613" s="29" t="n"/>
      <c r="S613" s="23" t="n"/>
      <c r="T613" s="30" t="n"/>
      <c r="U613" s="31" t="inlineStr">
        <is>
          <t>高</t>
        </is>
      </c>
      <c r="V613" s="32" t="inlineStr">
        <is>
          <t>2つのサイトで一致</t>
        </is>
      </c>
      <c r="W613" s="33" t="inlineStr">
        <is>
          <t>開く</t>
        </is>
      </c>
    </row>
    <row r="614" ht="30" customHeight="1">
      <c r="A614" s="23" t="inlineStr">
        <is>
          <t>14神奈川県</t>
        </is>
      </c>
      <c r="B614" s="23" t="inlineStr">
        <is>
          <t>私立</t>
        </is>
      </c>
      <c r="C614" s="23" t="n"/>
      <c r="D614" s="23" t="inlineStr">
        <is>
          <t>フェリス女学院高等学校</t>
        </is>
      </c>
      <c r="E614" s="24" t="inlineStr">
        <is>
          <t>045-641-0242</t>
        </is>
      </c>
      <c r="F614" s="23" t="n"/>
      <c r="G614" s="25" t="inlineStr">
        <is>
          <t>普通科</t>
        </is>
      </c>
      <c r="H614" s="26" t="inlineStr">
        <is>
          <t>☐</t>
        </is>
      </c>
      <c r="I614" s="26" t="inlineStr">
        <is>
          <t>☐</t>
        </is>
      </c>
      <c r="J614" s="26" t="inlineStr">
        <is>
          <t>☐</t>
        </is>
      </c>
      <c r="K614" s="26" t="inlineStr">
        <is>
          <t>☐</t>
        </is>
      </c>
      <c r="L614" s="26" t="inlineStr">
        <is>
          <t>☐</t>
        </is>
      </c>
      <c r="M614" s="25" t="n"/>
      <c r="N614" s="27" t="n">
        <v>0</v>
      </c>
      <c r="O614" s="28" t="n"/>
      <c r="P614" s="23" t="n"/>
      <c r="Q614" s="29" t="n"/>
      <c r="R614" s="29" t="n"/>
      <c r="S614" s="23" t="n"/>
      <c r="T614" s="30" t="n"/>
      <c r="U614" s="31" t="inlineStr">
        <is>
          <t>高</t>
        </is>
      </c>
      <c r="V614" s="32" t="inlineStr">
        <is>
          <t>中高共通。高校募集なし（完全中高一貫）の可能性</t>
        </is>
      </c>
      <c r="W614" s="33" t="inlineStr">
        <is>
          <t>開く</t>
        </is>
      </c>
    </row>
    <row r="615" ht="30" customHeight="1">
      <c r="A615" s="23" t="inlineStr">
        <is>
          <t>14神奈川県</t>
        </is>
      </c>
      <c r="B615" s="23" t="inlineStr">
        <is>
          <t>私立</t>
        </is>
      </c>
      <c r="C615" s="23" t="n"/>
      <c r="D615" s="23" t="inlineStr">
        <is>
          <t>藤沢翔陵高等学校</t>
        </is>
      </c>
      <c r="E615" s="24" t="inlineStr">
        <is>
          <t>0466-81-3456</t>
        </is>
      </c>
      <c r="F615" s="23" t="n"/>
      <c r="G615" s="25" t="inlineStr">
        <is>
          <t>普通科・専門学科</t>
        </is>
      </c>
      <c r="H615" s="26" t="inlineStr">
        <is>
          <t>☐</t>
        </is>
      </c>
      <c r="I615" s="26" t="inlineStr">
        <is>
          <t>☐</t>
        </is>
      </c>
      <c r="J615" s="26" t="inlineStr">
        <is>
          <t>☐</t>
        </is>
      </c>
      <c r="K615" s="26" t="inlineStr">
        <is>
          <t>☐</t>
        </is>
      </c>
      <c r="L615" s="26" t="inlineStr">
        <is>
          <t>☐</t>
        </is>
      </c>
      <c r="M615" s="25" t="n"/>
      <c r="N615" s="27" t="n">
        <v>0</v>
      </c>
      <c r="O615" s="28" t="n"/>
      <c r="P615" s="23" t="n"/>
      <c r="Q615" s="29" t="n"/>
      <c r="R615" s="29" t="n"/>
      <c r="S615" s="23" t="n"/>
      <c r="T615" s="30" t="n"/>
      <c r="U615" s="34" t="inlineStr">
        <is>
          <t>中</t>
        </is>
      </c>
      <c r="V615" s="32" t="inlineStr">
        <is>
          <t>学校情報サイト1件のみで確認</t>
        </is>
      </c>
      <c r="W615" s="33" t="inlineStr">
        <is>
          <t>開く</t>
        </is>
      </c>
    </row>
    <row r="616" ht="30" customHeight="1">
      <c r="A616" s="23" t="inlineStr">
        <is>
          <t>14神奈川県</t>
        </is>
      </c>
      <c r="B616" s="23" t="inlineStr">
        <is>
          <t>私立</t>
        </is>
      </c>
      <c r="C616" s="23" t="n"/>
      <c r="D616" s="23" t="inlineStr">
        <is>
          <t>武相高等学校</t>
        </is>
      </c>
      <c r="E616" s="24" t="inlineStr">
        <is>
          <t>045-401-9042</t>
        </is>
      </c>
      <c r="F616" s="23" t="n"/>
      <c r="G616" s="25" t="inlineStr">
        <is>
          <t>普通科</t>
        </is>
      </c>
      <c r="H616" s="26" t="inlineStr">
        <is>
          <t>☐</t>
        </is>
      </c>
      <c r="I616" s="26" t="inlineStr">
        <is>
          <t>☐</t>
        </is>
      </c>
      <c r="J616" s="26" t="inlineStr">
        <is>
          <t>☐</t>
        </is>
      </c>
      <c r="K616" s="26" t="inlineStr">
        <is>
          <t>☐</t>
        </is>
      </c>
      <c r="L616" s="26" t="inlineStr">
        <is>
          <t>☐</t>
        </is>
      </c>
      <c r="M616" s="25" t="n"/>
      <c r="N616" s="27" t="n">
        <v>0</v>
      </c>
      <c r="O616" s="28" t="n"/>
      <c r="P616" s="23" t="n"/>
      <c r="Q616" s="29" t="n"/>
      <c r="R616" s="29" t="n"/>
      <c r="S616" s="23" t="n"/>
      <c r="T616" s="30" t="n"/>
      <c r="U616" s="31" t="inlineStr">
        <is>
          <t>高</t>
        </is>
      </c>
      <c r="V616" s="32" t="inlineStr">
        <is>
          <t>中高共通</t>
        </is>
      </c>
      <c r="W616" s="33" t="inlineStr">
        <is>
          <t>開く</t>
        </is>
      </c>
    </row>
    <row r="617" ht="30" customHeight="1">
      <c r="A617" s="23" t="inlineStr">
        <is>
          <t>14神奈川県</t>
        </is>
      </c>
      <c r="B617" s="23" t="inlineStr">
        <is>
          <t>私立</t>
        </is>
      </c>
      <c r="C617" s="23" t="n"/>
      <c r="D617" s="23" t="inlineStr">
        <is>
          <t>法政大学国際高等学校</t>
        </is>
      </c>
      <c r="E617" s="24" t="inlineStr">
        <is>
          <t>045-571-4482</t>
        </is>
      </c>
      <c r="F617" s="23" t="n"/>
      <c r="G617" s="25" t="inlineStr">
        <is>
          <t>普通科</t>
        </is>
      </c>
      <c r="H617" s="26" t="inlineStr">
        <is>
          <t>☐</t>
        </is>
      </c>
      <c r="I617" s="26" t="inlineStr">
        <is>
          <t>☐</t>
        </is>
      </c>
      <c r="J617" s="26" t="inlineStr">
        <is>
          <t>☐</t>
        </is>
      </c>
      <c r="K617" s="26" t="inlineStr">
        <is>
          <t>☐</t>
        </is>
      </c>
      <c r="L617" s="26" t="inlineStr">
        <is>
          <t>☐</t>
        </is>
      </c>
      <c r="M617" s="25" t="n"/>
      <c r="N617" s="27" t="n">
        <v>0</v>
      </c>
      <c r="O617" s="28" t="n"/>
      <c r="P617" s="23" t="n"/>
      <c r="Q617" s="29" t="n"/>
      <c r="R617" s="29" t="n"/>
      <c r="S617" s="23" t="n"/>
      <c r="T617" s="30" t="n"/>
      <c r="U617" s="31" t="inlineStr">
        <is>
          <t>高</t>
        </is>
      </c>
      <c r="V617" s="32" t="inlineStr">
        <is>
          <t>公式資料と学校情報サイトで一致</t>
        </is>
      </c>
      <c r="W617" s="33" t="inlineStr">
        <is>
          <t>開く</t>
        </is>
      </c>
    </row>
    <row r="618" ht="30" customHeight="1">
      <c r="A618" s="23" t="inlineStr">
        <is>
          <t>14神奈川県</t>
        </is>
      </c>
      <c r="B618" s="23" t="inlineStr">
        <is>
          <t>私立</t>
        </is>
      </c>
      <c r="C618" s="23" t="n"/>
      <c r="D618" s="23" t="inlineStr">
        <is>
          <t>法政大学第二高等学校</t>
        </is>
      </c>
      <c r="E618" s="24" t="inlineStr">
        <is>
          <t>044-711-4321</t>
        </is>
      </c>
      <c r="F618" s="23" t="n"/>
      <c r="G618" s="25" t="inlineStr">
        <is>
          <t>普通科</t>
        </is>
      </c>
      <c r="H618" s="26" t="inlineStr">
        <is>
          <t>☐</t>
        </is>
      </c>
      <c r="I618" s="26" t="inlineStr">
        <is>
          <t>☐</t>
        </is>
      </c>
      <c r="J618" s="26" t="inlineStr">
        <is>
          <t>☐</t>
        </is>
      </c>
      <c r="K618" s="26" t="inlineStr">
        <is>
          <t>☐</t>
        </is>
      </c>
      <c r="L618" s="26" t="inlineStr">
        <is>
          <t>☐</t>
        </is>
      </c>
      <c r="M618" s="25" t="n"/>
      <c r="N618" s="27" t="n">
        <v>0</v>
      </c>
      <c r="O618" s="28" t="n"/>
      <c r="P618" s="23" t="n"/>
      <c r="Q618" s="29" t="n"/>
      <c r="R618" s="29" t="n"/>
      <c r="S618" s="23" t="n"/>
      <c r="T618" s="30" t="n"/>
      <c r="U618" s="31" t="inlineStr">
        <is>
          <t>高</t>
        </is>
      </c>
      <c r="V618" s="32" t="inlineStr">
        <is>
          <t>中高共通。複数サイトで一致</t>
        </is>
      </c>
      <c r="W618" s="33" t="inlineStr">
        <is>
          <t>開く</t>
        </is>
      </c>
    </row>
    <row r="619" ht="30" customHeight="1">
      <c r="A619" s="23" t="inlineStr">
        <is>
          <t>14神奈川県</t>
        </is>
      </c>
      <c r="B619" s="23" t="inlineStr">
        <is>
          <t>私立</t>
        </is>
      </c>
      <c r="C619" s="23" t="n"/>
      <c r="D619" s="23" t="inlineStr">
        <is>
          <t>三浦学苑高等学校</t>
        </is>
      </c>
      <c r="E619" s="24" t="inlineStr">
        <is>
          <t>046-852-0284</t>
        </is>
      </c>
      <c r="F619" s="23" t="n"/>
      <c r="G619" s="25" t="inlineStr">
        <is>
          <t>普通科・専門学科</t>
        </is>
      </c>
      <c r="H619" s="26" t="inlineStr">
        <is>
          <t>☐</t>
        </is>
      </c>
      <c r="I619" s="26" t="inlineStr">
        <is>
          <t>☐</t>
        </is>
      </c>
      <c r="J619" s="26" t="inlineStr">
        <is>
          <t>☐</t>
        </is>
      </c>
      <c r="K619" s="26" t="inlineStr">
        <is>
          <t>☐</t>
        </is>
      </c>
      <c r="L619" s="26" t="inlineStr">
        <is>
          <t>☐</t>
        </is>
      </c>
      <c r="M619" s="25" t="n"/>
      <c r="N619" s="27" t="n">
        <v>0</v>
      </c>
      <c r="O619" s="28" t="n"/>
      <c r="P619" s="23" t="n"/>
      <c r="Q619" s="29" t="n"/>
      <c r="R619" s="29" t="n"/>
      <c r="S619" s="23" t="n"/>
      <c r="T619" s="30" t="n"/>
      <c r="U619" s="34" t="inlineStr">
        <is>
          <t>中</t>
        </is>
      </c>
      <c r="V619" s="32" t="inlineStr">
        <is>
          <t>学校情報サイト1件のみで確認</t>
        </is>
      </c>
      <c r="W619" s="33" t="inlineStr">
        <is>
          <t>開く</t>
        </is>
      </c>
    </row>
    <row r="620" ht="30" customHeight="1">
      <c r="A620" s="23" t="inlineStr">
        <is>
          <t>14神奈川県</t>
        </is>
      </c>
      <c r="B620" s="23" t="inlineStr">
        <is>
          <t>私立</t>
        </is>
      </c>
      <c r="C620" s="23" t="n"/>
      <c r="D620" s="23" t="inlineStr">
        <is>
          <t>聖園女学院高等学校</t>
        </is>
      </c>
      <c r="E620" s="24" t="inlineStr">
        <is>
          <t>0466-81-3333</t>
        </is>
      </c>
      <c r="F620" s="23" t="n"/>
      <c r="G620" s="25" t="inlineStr">
        <is>
          <t>普通科</t>
        </is>
      </c>
      <c r="H620" s="26" t="inlineStr">
        <is>
          <t>☐</t>
        </is>
      </c>
      <c r="I620" s="26" t="inlineStr">
        <is>
          <t>☐</t>
        </is>
      </c>
      <c r="J620" s="26" t="inlineStr">
        <is>
          <t>☐</t>
        </is>
      </c>
      <c r="K620" s="26" t="inlineStr">
        <is>
          <t>☐</t>
        </is>
      </c>
      <c r="L620" s="26" t="inlineStr">
        <is>
          <t>☐</t>
        </is>
      </c>
      <c r="M620" s="25" t="n"/>
      <c r="N620" s="27" t="n">
        <v>0</v>
      </c>
      <c r="O620" s="28" t="n"/>
      <c r="P620" s="23" t="n"/>
      <c r="Q620" s="29" t="n"/>
      <c r="R620" s="29" t="n"/>
      <c r="S620" s="23" t="n"/>
      <c r="T620" s="30" t="n"/>
      <c r="U620" s="31" t="inlineStr">
        <is>
          <t>高</t>
        </is>
      </c>
      <c r="V620" s="32" t="inlineStr">
        <is>
          <t>中高共通</t>
        </is>
      </c>
      <c r="W620" s="33" t="inlineStr">
        <is>
          <t>開く</t>
        </is>
      </c>
    </row>
    <row r="621" ht="30" customHeight="1">
      <c r="A621" s="23" t="inlineStr">
        <is>
          <t>14神奈川県</t>
        </is>
      </c>
      <c r="B621" s="23" t="inlineStr">
        <is>
          <t>私立</t>
        </is>
      </c>
      <c r="C621" s="23" t="n"/>
      <c r="D621" s="23" t="inlineStr">
        <is>
          <t>緑ヶ丘女子高等学校</t>
        </is>
      </c>
      <c r="E621" s="24" t="inlineStr">
        <is>
          <t>046-822-1651</t>
        </is>
      </c>
      <c r="F621" s="23" t="n"/>
      <c r="G621" s="25" t="inlineStr">
        <is>
          <t>普通科</t>
        </is>
      </c>
      <c r="H621" s="26" t="inlineStr">
        <is>
          <t>☐</t>
        </is>
      </c>
      <c r="I621" s="26" t="inlineStr">
        <is>
          <t>☐</t>
        </is>
      </c>
      <c r="J621" s="26" t="inlineStr">
        <is>
          <t>☐</t>
        </is>
      </c>
      <c r="K621" s="26" t="inlineStr">
        <is>
          <t>☐</t>
        </is>
      </c>
      <c r="L621" s="26" t="inlineStr">
        <is>
          <t>☐</t>
        </is>
      </c>
      <c r="M621" s="25" t="n"/>
      <c r="N621" s="27" t="n">
        <v>0</v>
      </c>
      <c r="O621" s="28" t="n"/>
      <c r="P621" s="23" t="n"/>
      <c r="Q621" s="29" t="n"/>
      <c r="R621" s="29" t="n"/>
      <c r="S621" s="23" t="n"/>
      <c r="T621" s="30" t="n"/>
      <c r="U621" s="34" t="inlineStr">
        <is>
          <t>中</t>
        </is>
      </c>
      <c r="V621" s="32" t="inlineStr">
        <is>
          <t>【校名変更】2026年度から「神奈川歯科大学系属緑ヶ丘女子高校」に変更との情報あり。学校情報サイト1件のみで確認</t>
        </is>
      </c>
      <c r="W621" s="33" t="inlineStr">
        <is>
          <t>開く</t>
        </is>
      </c>
    </row>
    <row r="622" ht="30" customHeight="1">
      <c r="A622" s="23" t="inlineStr">
        <is>
          <t>14神奈川県</t>
        </is>
      </c>
      <c r="B622" s="23" t="inlineStr">
        <is>
          <t>私立</t>
        </is>
      </c>
      <c r="C622" s="23" t="n"/>
      <c r="D622" s="23" t="inlineStr">
        <is>
          <t>森村学園高等部</t>
        </is>
      </c>
      <c r="E622" s="24" t="inlineStr">
        <is>
          <t>045-984-2505</t>
        </is>
      </c>
      <c r="F622" s="23" t="n"/>
      <c r="G622" s="25" t="inlineStr">
        <is>
          <t>普通科</t>
        </is>
      </c>
      <c r="H622" s="26" t="inlineStr">
        <is>
          <t>☐</t>
        </is>
      </c>
      <c r="I622" s="26" t="inlineStr">
        <is>
          <t>☐</t>
        </is>
      </c>
      <c r="J622" s="26" t="inlineStr">
        <is>
          <t>☐</t>
        </is>
      </c>
      <c r="K622" s="26" t="inlineStr">
        <is>
          <t>☐</t>
        </is>
      </c>
      <c r="L622" s="26" t="inlineStr">
        <is>
          <t>☐</t>
        </is>
      </c>
      <c r="M622" s="25" t="n"/>
      <c r="N622" s="27" t="n">
        <v>0</v>
      </c>
      <c r="O622" s="28" t="n"/>
      <c r="P622" s="23" t="n"/>
      <c r="Q622" s="29" t="n"/>
      <c r="R622" s="29" t="n"/>
      <c r="S622" s="23" t="n"/>
      <c r="T622" s="30" t="n"/>
      <c r="U622" s="34" t="inlineStr">
        <is>
          <t>中</t>
        </is>
      </c>
      <c r="V622" s="32" t="inlineStr">
        <is>
          <t>中高共通。学校情報サイト1件のみで確認</t>
        </is>
      </c>
      <c r="W622" s="33" t="inlineStr">
        <is>
          <t>開く</t>
        </is>
      </c>
    </row>
    <row r="623" ht="30" customHeight="1">
      <c r="A623" s="23" t="inlineStr">
        <is>
          <t>14神奈川県</t>
        </is>
      </c>
      <c r="B623" s="23" t="inlineStr">
        <is>
          <t>私立</t>
        </is>
      </c>
      <c r="C623" s="23" t="n"/>
      <c r="D623" s="23" t="inlineStr">
        <is>
          <t>山手学院高等学校</t>
        </is>
      </c>
      <c r="E623" s="24" t="inlineStr">
        <is>
          <t>045-891-2111</t>
        </is>
      </c>
      <c r="F623" s="23" t="n"/>
      <c r="G623" s="25" t="inlineStr">
        <is>
          <t>普通科</t>
        </is>
      </c>
      <c r="H623" s="26" t="inlineStr">
        <is>
          <t>☐</t>
        </is>
      </c>
      <c r="I623" s="26" t="inlineStr">
        <is>
          <t>☐</t>
        </is>
      </c>
      <c r="J623" s="26" t="inlineStr">
        <is>
          <t>☐</t>
        </is>
      </c>
      <c r="K623" s="26" t="inlineStr">
        <is>
          <t>☐</t>
        </is>
      </c>
      <c r="L623" s="26" t="inlineStr">
        <is>
          <t>☐</t>
        </is>
      </c>
      <c r="M623" s="25" t="n"/>
      <c r="N623" s="27" t="n">
        <v>0</v>
      </c>
      <c r="O623" s="28" t="n"/>
      <c r="P623" s="23" t="n"/>
      <c r="Q623" s="29" t="n"/>
      <c r="R623" s="29" t="n"/>
      <c r="S623" s="23" t="n"/>
      <c r="T623" s="30" t="n"/>
      <c r="U623" s="31" t="inlineStr">
        <is>
          <t>高</t>
        </is>
      </c>
      <c r="V623" s="32" t="inlineStr">
        <is>
          <t>公式の募集要項で確認。中高共通</t>
        </is>
      </c>
      <c r="W623" s="33" t="inlineStr">
        <is>
          <t>開く</t>
        </is>
      </c>
    </row>
    <row r="624" ht="30" customHeight="1">
      <c r="A624" s="23" t="inlineStr">
        <is>
          <t>14神奈川県</t>
        </is>
      </c>
      <c r="B624" s="23" t="inlineStr">
        <is>
          <t>私立</t>
        </is>
      </c>
      <c r="C624" s="23" t="n"/>
      <c r="D624" s="23" t="inlineStr">
        <is>
          <t>横須賀学院高等学校</t>
        </is>
      </c>
      <c r="E624" s="24" t="inlineStr">
        <is>
          <t>046-822-3218</t>
        </is>
      </c>
      <c r="F624" s="23" t="n"/>
      <c r="G624" s="25" t="inlineStr">
        <is>
          <t>普通科</t>
        </is>
      </c>
      <c r="H624" s="26" t="inlineStr">
        <is>
          <t>☐</t>
        </is>
      </c>
      <c r="I624" s="26" t="inlineStr">
        <is>
          <t>☐</t>
        </is>
      </c>
      <c r="J624" s="26" t="inlineStr">
        <is>
          <t>☐</t>
        </is>
      </c>
      <c r="K624" s="26" t="inlineStr">
        <is>
          <t>☐</t>
        </is>
      </c>
      <c r="L624" s="26" t="inlineStr">
        <is>
          <t>☐</t>
        </is>
      </c>
      <c r="M624" s="25" t="n"/>
      <c r="N624" s="27" t="n">
        <v>0</v>
      </c>
      <c r="O624" s="28" t="n"/>
      <c r="P624" s="23" t="n"/>
      <c r="Q624" s="29" t="n"/>
      <c r="R624" s="29" t="n"/>
      <c r="S624" s="23" t="n"/>
      <c r="T624" s="30" t="n"/>
      <c r="U624" s="34" t="inlineStr">
        <is>
          <t>中</t>
        </is>
      </c>
      <c r="V624" s="32" t="inlineStr">
        <is>
          <t>中高共通。学校情報サイト1件のみで確認</t>
        </is>
      </c>
      <c r="W624" s="33" t="inlineStr">
        <is>
          <t>開く</t>
        </is>
      </c>
    </row>
    <row r="625" ht="30" customHeight="1">
      <c r="A625" s="23" t="inlineStr">
        <is>
          <t>14神奈川県</t>
        </is>
      </c>
      <c r="B625" s="23" t="inlineStr">
        <is>
          <t>私立</t>
        </is>
      </c>
      <c r="C625" s="23" t="n"/>
      <c r="D625" s="23" t="inlineStr">
        <is>
          <t>横浜学園高等学校</t>
        </is>
      </c>
      <c r="E625" s="24" t="inlineStr">
        <is>
          <t>045-751-6941</t>
        </is>
      </c>
      <c r="F625" s="23" t="n"/>
      <c r="G625" s="25" t="inlineStr">
        <is>
          <t>普通科</t>
        </is>
      </c>
      <c r="H625" s="26" t="inlineStr">
        <is>
          <t>☐</t>
        </is>
      </c>
      <c r="I625" s="26" t="inlineStr">
        <is>
          <t>☐</t>
        </is>
      </c>
      <c r="J625" s="26" t="inlineStr">
        <is>
          <t>☐</t>
        </is>
      </c>
      <c r="K625" s="26" t="inlineStr">
        <is>
          <t>☐</t>
        </is>
      </c>
      <c r="L625" s="26" t="inlineStr">
        <is>
          <t>☐</t>
        </is>
      </c>
      <c r="M625" s="25" t="n"/>
      <c r="N625" s="27" t="n">
        <v>0</v>
      </c>
      <c r="O625" s="28" t="n"/>
      <c r="P625" s="23" t="n"/>
      <c r="Q625" s="29" t="n"/>
      <c r="R625" s="29" t="n"/>
      <c r="S625" s="23" t="n"/>
      <c r="T625" s="30" t="n"/>
      <c r="U625" s="34" t="inlineStr">
        <is>
          <t>中</t>
        </is>
      </c>
      <c r="V625" s="32" t="inlineStr">
        <is>
          <t>学校情報サイト1件のみで確認</t>
        </is>
      </c>
      <c r="W625" s="33" t="inlineStr">
        <is>
          <t>開く</t>
        </is>
      </c>
    </row>
    <row r="626" ht="30" customHeight="1">
      <c r="A626" s="23" t="inlineStr">
        <is>
          <t>14神奈川県</t>
        </is>
      </c>
      <c r="B626" s="23" t="inlineStr">
        <is>
          <t>私立</t>
        </is>
      </c>
      <c r="C626" s="23" t="n"/>
      <c r="D626" s="23" t="inlineStr">
        <is>
          <t>横浜共立学園高等学校</t>
        </is>
      </c>
      <c r="E626" s="24" t="inlineStr">
        <is>
          <t>045-641-3785</t>
        </is>
      </c>
      <c r="F626" s="23" t="n"/>
      <c r="G626" s="25" t="inlineStr">
        <is>
          <t>普通科</t>
        </is>
      </c>
      <c r="H626" s="26" t="inlineStr">
        <is>
          <t>☐</t>
        </is>
      </c>
      <c r="I626" s="26" t="inlineStr">
        <is>
          <t>☐</t>
        </is>
      </c>
      <c r="J626" s="26" t="inlineStr">
        <is>
          <t>☐</t>
        </is>
      </c>
      <c r="K626" s="26" t="inlineStr">
        <is>
          <t>☐</t>
        </is>
      </c>
      <c r="L626" s="26" t="inlineStr">
        <is>
          <t>☐</t>
        </is>
      </c>
      <c r="M626" s="25" t="n"/>
      <c r="N626" s="27" t="n">
        <v>0</v>
      </c>
      <c r="O626" s="28" t="n"/>
      <c r="P626" s="23" t="n"/>
      <c r="Q626" s="29" t="n"/>
      <c r="R626" s="29" t="n"/>
      <c r="S626" s="23" t="n"/>
      <c r="T626" s="30" t="n"/>
      <c r="U626" s="34" t="inlineStr">
        <is>
          <t>中</t>
        </is>
      </c>
      <c r="V626" s="32" t="inlineStr">
        <is>
          <t>中高共通。学校情報サイト1件のみで確認</t>
        </is>
      </c>
      <c r="W626" s="33" t="inlineStr">
        <is>
          <t>開く</t>
        </is>
      </c>
    </row>
    <row r="627" ht="30" customHeight="1">
      <c r="A627" s="23" t="inlineStr">
        <is>
          <t>14神奈川県</t>
        </is>
      </c>
      <c r="B627" s="23" t="inlineStr">
        <is>
          <t>私立</t>
        </is>
      </c>
      <c r="C627" s="23" t="n"/>
      <c r="D627" s="23" t="inlineStr">
        <is>
          <t>横浜高等学校</t>
        </is>
      </c>
      <c r="E627" s="24" t="inlineStr">
        <is>
          <t>045-781-3395</t>
        </is>
      </c>
      <c r="F627" s="23" t="n"/>
      <c r="G627" s="25" t="inlineStr">
        <is>
          <t>普通科</t>
        </is>
      </c>
      <c r="H627" s="26" t="inlineStr">
        <is>
          <t>☐</t>
        </is>
      </c>
      <c r="I627" s="26" t="inlineStr">
        <is>
          <t>☐</t>
        </is>
      </c>
      <c r="J627" s="26" t="inlineStr">
        <is>
          <t>☐</t>
        </is>
      </c>
      <c r="K627" s="26" t="inlineStr">
        <is>
          <t>☐</t>
        </is>
      </c>
      <c r="L627" s="26" t="inlineStr">
        <is>
          <t>☐</t>
        </is>
      </c>
      <c r="M627" s="25" t="n"/>
      <c r="N627" s="27" t="n">
        <v>0</v>
      </c>
      <c r="O627" s="28" t="n"/>
      <c r="P627" s="23" t="n"/>
      <c r="Q627" s="29" t="n"/>
      <c r="R627" s="29" t="n"/>
      <c r="S627" s="23" t="n"/>
      <c r="T627" s="30" t="n"/>
      <c r="U627" s="31" t="inlineStr">
        <is>
          <t>高</t>
        </is>
      </c>
      <c r="V627" s="32" t="inlineStr">
        <is>
          <t>2つのサイトで一致</t>
        </is>
      </c>
      <c r="W627" s="33" t="inlineStr">
        <is>
          <t>開く</t>
        </is>
      </c>
    </row>
    <row r="628" ht="30" customHeight="1">
      <c r="A628" s="23" t="inlineStr">
        <is>
          <t>14神奈川県</t>
        </is>
      </c>
      <c r="B628" s="23" t="inlineStr">
        <is>
          <t>私立</t>
        </is>
      </c>
      <c r="C628" s="23" t="n"/>
      <c r="D628" s="23" t="inlineStr">
        <is>
          <t>横浜商科大学高等学校</t>
        </is>
      </c>
      <c r="E628" s="24" t="inlineStr">
        <is>
          <t>045-951-2246</t>
        </is>
      </c>
      <c r="F628" s="23" t="n"/>
      <c r="G628" s="25" t="inlineStr">
        <is>
          <t>普通科・専門学科</t>
        </is>
      </c>
      <c r="H628" s="26" t="inlineStr">
        <is>
          <t>☐</t>
        </is>
      </c>
      <c r="I628" s="26" t="inlineStr">
        <is>
          <t>☐</t>
        </is>
      </c>
      <c r="J628" s="26" t="inlineStr">
        <is>
          <t>☐</t>
        </is>
      </c>
      <c r="K628" s="26" t="inlineStr">
        <is>
          <t>☐</t>
        </is>
      </c>
      <c r="L628" s="26" t="inlineStr">
        <is>
          <t>☐</t>
        </is>
      </c>
      <c r="M628" s="25" t="n"/>
      <c r="N628" s="27" t="n">
        <v>0</v>
      </c>
      <c r="O628" s="28" t="n"/>
      <c r="P628" s="23" t="n"/>
      <c r="Q628" s="29" t="n"/>
      <c r="R628" s="29" t="n"/>
      <c r="S628" s="23" t="n"/>
      <c r="T628" s="30" t="n"/>
      <c r="U628" s="34" t="inlineStr">
        <is>
          <t>中</t>
        </is>
      </c>
      <c r="V628" s="32" t="inlineStr">
        <is>
          <t>学校情報サイト1件のみで確認。大学の番号とは別</t>
        </is>
      </c>
      <c r="W628" s="33" t="inlineStr">
        <is>
          <t>開く</t>
        </is>
      </c>
    </row>
    <row r="629" ht="30" customHeight="1">
      <c r="A629" s="23" t="inlineStr">
        <is>
          <t>14神奈川県</t>
        </is>
      </c>
      <c r="B629" s="23" t="inlineStr">
        <is>
          <t>私立</t>
        </is>
      </c>
      <c r="C629" s="23" t="n"/>
      <c r="D629" s="23" t="inlineStr">
        <is>
          <t>横浜女学院高等学校</t>
        </is>
      </c>
      <c r="E629" s="24" t="inlineStr">
        <is>
          <t>045-641-3284</t>
        </is>
      </c>
      <c r="F629" s="23" t="n"/>
      <c r="G629" s="25" t="inlineStr">
        <is>
          <t>普通科</t>
        </is>
      </c>
      <c r="H629" s="26" t="inlineStr">
        <is>
          <t>☐</t>
        </is>
      </c>
      <c r="I629" s="26" t="inlineStr">
        <is>
          <t>☐</t>
        </is>
      </c>
      <c r="J629" s="26" t="inlineStr">
        <is>
          <t>☐</t>
        </is>
      </c>
      <c r="K629" s="26" t="inlineStr">
        <is>
          <t>☐</t>
        </is>
      </c>
      <c r="L629" s="26" t="inlineStr">
        <is>
          <t>☐</t>
        </is>
      </c>
      <c r="M629" s="25" t="n"/>
      <c r="N629" s="27" t="n">
        <v>0</v>
      </c>
      <c r="O629" s="28" t="n"/>
      <c r="P629" s="23" t="n"/>
      <c r="Q629" s="29" t="n"/>
      <c r="R629" s="29" t="n"/>
      <c r="S629" s="23" t="n"/>
      <c r="T629" s="30" t="n"/>
      <c r="U629" s="31" t="inlineStr">
        <is>
          <t>高</t>
        </is>
      </c>
      <c r="V629" s="32" t="inlineStr">
        <is>
          <t>公式の受験案内で確認。事務室直通は045-681-7767</t>
        </is>
      </c>
      <c r="W629" s="33" t="inlineStr">
        <is>
          <t>開く</t>
        </is>
      </c>
    </row>
    <row r="630" ht="30" customHeight="1">
      <c r="A630" s="23" t="inlineStr">
        <is>
          <t>14神奈川県</t>
        </is>
      </c>
      <c r="B630" s="23" t="inlineStr">
        <is>
          <t>私立</t>
        </is>
      </c>
      <c r="C630" s="23" t="n"/>
      <c r="D630" s="23" t="inlineStr">
        <is>
          <t>横浜翠陵高等学校</t>
        </is>
      </c>
      <c r="E630" s="24" t="inlineStr">
        <is>
          <t>045-921-0301</t>
        </is>
      </c>
      <c r="F630" s="23" t="n"/>
      <c r="G630" s="25" t="inlineStr">
        <is>
          <t>普通科</t>
        </is>
      </c>
      <c r="H630" s="26" t="inlineStr">
        <is>
          <t>☐</t>
        </is>
      </c>
      <c r="I630" s="26" t="inlineStr">
        <is>
          <t>☐</t>
        </is>
      </c>
      <c r="J630" s="26" t="inlineStr">
        <is>
          <t>☐</t>
        </is>
      </c>
      <c r="K630" s="26" t="inlineStr">
        <is>
          <t>☐</t>
        </is>
      </c>
      <c r="L630" s="26" t="inlineStr">
        <is>
          <t>☐</t>
        </is>
      </c>
      <c r="M630" s="25" t="n"/>
      <c r="N630" s="27" t="n">
        <v>0</v>
      </c>
      <c r="O630" s="28" t="n"/>
      <c r="P630" s="23" t="n"/>
      <c r="Q630" s="29" t="n"/>
      <c r="R630" s="29" t="n"/>
      <c r="S630" s="23" t="n"/>
      <c r="T630" s="30" t="n"/>
      <c r="U630" s="34" t="inlineStr">
        <is>
          <t>中</t>
        </is>
      </c>
      <c r="V630" s="32" t="inlineStr">
        <is>
          <t>中高共通。学校情報サイトのみで確認</t>
        </is>
      </c>
      <c r="W630" s="33" t="inlineStr">
        <is>
          <t>開く</t>
        </is>
      </c>
    </row>
    <row r="631" ht="30" customHeight="1">
      <c r="A631" s="23" t="inlineStr">
        <is>
          <t>14神奈川県</t>
        </is>
      </c>
      <c r="B631" s="23" t="inlineStr">
        <is>
          <t>私立</t>
        </is>
      </c>
      <c r="C631" s="23" t="n"/>
      <c r="D631" s="23" t="inlineStr">
        <is>
          <t>横浜清風高等学校</t>
        </is>
      </c>
      <c r="E631" s="24" t="inlineStr">
        <is>
          <t>045-731-4361</t>
        </is>
      </c>
      <c r="F631" s="23" t="n"/>
      <c r="G631" s="25" t="inlineStr">
        <is>
          <t>普通科</t>
        </is>
      </c>
      <c r="H631" s="26" t="inlineStr">
        <is>
          <t>☐</t>
        </is>
      </c>
      <c r="I631" s="26" t="inlineStr">
        <is>
          <t>☐</t>
        </is>
      </c>
      <c r="J631" s="26" t="inlineStr">
        <is>
          <t>☐</t>
        </is>
      </c>
      <c r="K631" s="26" t="inlineStr">
        <is>
          <t>☐</t>
        </is>
      </c>
      <c r="L631" s="26" t="inlineStr">
        <is>
          <t>☐</t>
        </is>
      </c>
      <c r="M631" s="25" t="n"/>
      <c r="N631" s="27" t="n">
        <v>0</v>
      </c>
      <c r="O631" s="28" t="n"/>
      <c r="P631" s="23" t="n"/>
      <c r="Q631" s="29" t="n"/>
      <c r="R631" s="29" t="n"/>
      <c r="S631" s="23" t="n"/>
      <c r="T631" s="30" t="n"/>
      <c r="U631" s="31" t="inlineStr">
        <is>
          <t>高</t>
        </is>
      </c>
      <c r="V631" s="32" t="inlineStr">
        <is>
          <t>2つの情報源で一致</t>
        </is>
      </c>
      <c r="W631" s="33" t="inlineStr">
        <is>
          <t>開く</t>
        </is>
      </c>
    </row>
    <row r="632" ht="30" customHeight="1">
      <c r="A632" s="23" t="inlineStr">
        <is>
          <t>14神奈川県</t>
        </is>
      </c>
      <c r="B632" s="23" t="inlineStr">
        <is>
          <t>私立</t>
        </is>
      </c>
      <c r="C632" s="23" t="n"/>
      <c r="D632" s="23" t="inlineStr">
        <is>
          <t>横浜創英高等学校</t>
        </is>
      </c>
      <c r="E632" s="24" t="inlineStr">
        <is>
          <t>045-421-3121</t>
        </is>
      </c>
      <c r="F632" s="23" t="n"/>
      <c r="G632" s="25" t="inlineStr">
        <is>
          <t>普通科</t>
        </is>
      </c>
      <c r="H632" s="26" t="inlineStr">
        <is>
          <t>☐</t>
        </is>
      </c>
      <c r="I632" s="26" t="inlineStr">
        <is>
          <t>☐</t>
        </is>
      </c>
      <c r="J632" s="26" t="inlineStr">
        <is>
          <t>☐</t>
        </is>
      </c>
      <c r="K632" s="26" t="inlineStr">
        <is>
          <t>☐</t>
        </is>
      </c>
      <c r="L632" s="26" t="inlineStr">
        <is>
          <t>☐</t>
        </is>
      </c>
      <c r="M632" s="25" t="n"/>
      <c r="N632" s="27" t="n">
        <v>0</v>
      </c>
      <c r="O632" s="28" t="n"/>
      <c r="P632" s="23" t="n"/>
      <c r="Q632" s="29" t="n"/>
      <c r="R632" s="29" t="n"/>
      <c r="S632" s="23" t="n"/>
      <c r="T632" s="30" t="n"/>
      <c r="U632" s="31" t="inlineStr">
        <is>
          <t>高</t>
        </is>
      </c>
      <c r="V632" s="32" t="inlineStr">
        <is>
          <t>中高共通。複数サイトで一致。横浜創学館（金沢区）とは別の学校</t>
        </is>
      </c>
      <c r="W632" s="33" t="inlineStr">
        <is>
          <t>開く</t>
        </is>
      </c>
    </row>
    <row r="633" ht="30" customHeight="1">
      <c r="A633" s="23" t="inlineStr">
        <is>
          <t>14神奈川県</t>
        </is>
      </c>
      <c r="B633" s="23" t="inlineStr">
        <is>
          <t>私立</t>
        </is>
      </c>
      <c r="C633" s="23" t="n"/>
      <c r="D633" s="23" t="inlineStr">
        <is>
          <t>横浜創学館高等学校</t>
        </is>
      </c>
      <c r="E633" s="24" t="inlineStr">
        <is>
          <t>045-781-0631</t>
        </is>
      </c>
      <c r="F633" s="23" t="n"/>
      <c r="G633" s="25" t="inlineStr">
        <is>
          <t>普通科</t>
        </is>
      </c>
      <c r="H633" s="26" t="inlineStr">
        <is>
          <t>☐</t>
        </is>
      </c>
      <c r="I633" s="26" t="inlineStr">
        <is>
          <t>☐</t>
        </is>
      </c>
      <c r="J633" s="26" t="inlineStr">
        <is>
          <t>☐</t>
        </is>
      </c>
      <c r="K633" s="26" t="inlineStr">
        <is>
          <t>☐</t>
        </is>
      </c>
      <c r="L633" s="26" t="inlineStr">
        <is>
          <t>☐</t>
        </is>
      </c>
      <c r="M633" s="25" t="n"/>
      <c r="N633" s="27" t="n">
        <v>0</v>
      </c>
      <c r="O633" s="28" t="n"/>
      <c r="P633" s="23" t="n"/>
      <c r="Q633" s="29" t="n"/>
      <c r="R633" s="29" t="n"/>
      <c r="S633" s="23" t="n"/>
      <c r="T633" s="30" t="n"/>
      <c r="U633" s="34" t="inlineStr">
        <is>
          <t>中</t>
        </is>
      </c>
      <c r="V633" s="32" t="inlineStr">
        <is>
          <t>学校情報サイト1件のみで確認。横浜創英（神奈川区）とは別の学校</t>
        </is>
      </c>
      <c r="W633" s="33" t="inlineStr">
        <is>
          <t>開く</t>
        </is>
      </c>
    </row>
    <row r="634" ht="30" customHeight="1">
      <c r="A634" s="23" t="inlineStr">
        <is>
          <t>14神奈川県</t>
        </is>
      </c>
      <c r="B634" s="23" t="inlineStr">
        <is>
          <t>私立</t>
        </is>
      </c>
      <c r="C634" s="23" t="n"/>
      <c r="D634" s="23" t="inlineStr">
        <is>
          <t>横浜隼人高等学校</t>
        </is>
      </c>
      <c r="E634" s="24" t="inlineStr">
        <is>
          <t>045-364-5101</t>
        </is>
      </c>
      <c r="F634" s="23" t="n"/>
      <c r="G634" s="25" t="inlineStr">
        <is>
          <t>普通科・専門学科</t>
        </is>
      </c>
      <c r="H634" s="26" t="inlineStr">
        <is>
          <t>☐</t>
        </is>
      </c>
      <c r="I634" s="26" t="inlineStr">
        <is>
          <t>☐</t>
        </is>
      </c>
      <c r="J634" s="26" t="inlineStr">
        <is>
          <t>☐</t>
        </is>
      </c>
      <c r="K634" s="26" t="inlineStr">
        <is>
          <t>☐</t>
        </is>
      </c>
      <c r="L634" s="26" t="inlineStr">
        <is>
          <t>☐</t>
        </is>
      </c>
      <c r="M634" s="25" t="n"/>
      <c r="N634" s="27" t="n">
        <v>0</v>
      </c>
      <c r="O634" s="28" t="n"/>
      <c r="P634" s="23" t="n"/>
      <c r="Q634" s="29" t="n"/>
      <c r="R634" s="29" t="n"/>
      <c r="S634" s="23" t="n"/>
      <c r="T634" s="30" t="n"/>
      <c r="U634" s="34" t="inlineStr">
        <is>
          <t>中</t>
        </is>
      </c>
      <c r="V634" s="32" t="inlineStr">
        <is>
          <t>中高共通。学校情報サイト1件のみで確認</t>
        </is>
      </c>
      <c r="W634" s="33" t="inlineStr">
        <is>
          <t>開く</t>
        </is>
      </c>
    </row>
    <row r="635" ht="30" customHeight="1">
      <c r="A635" s="23" t="inlineStr">
        <is>
          <t>14神奈川県</t>
        </is>
      </c>
      <c r="B635" s="23" t="inlineStr">
        <is>
          <t>私立</t>
        </is>
      </c>
      <c r="C635" s="23" t="n"/>
      <c r="D635" s="23" t="inlineStr">
        <is>
          <t>横浜富士見丘学園高等学校</t>
        </is>
      </c>
      <c r="E635" s="24" t="inlineStr">
        <is>
          <t>045-367-4380</t>
        </is>
      </c>
      <c r="F635" s="23" t="n"/>
      <c r="G635" s="25" t="inlineStr">
        <is>
          <t>普通科</t>
        </is>
      </c>
      <c r="H635" s="26" t="inlineStr">
        <is>
          <t>☐</t>
        </is>
      </c>
      <c r="I635" s="26" t="inlineStr">
        <is>
          <t>☐</t>
        </is>
      </c>
      <c r="J635" s="26" t="inlineStr">
        <is>
          <t>☐</t>
        </is>
      </c>
      <c r="K635" s="26" t="inlineStr">
        <is>
          <t>☐</t>
        </is>
      </c>
      <c r="L635" s="26" t="inlineStr">
        <is>
          <t>☐</t>
        </is>
      </c>
      <c r="M635" s="25" t="n"/>
      <c r="N635" s="27" t="n">
        <v>0</v>
      </c>
      <c r="O635" s="28" t="n"/>
      <c r="P635" s="23" t="n"/>
      <c r="Q635" s="29" t="n"/>
      <c r="R635" s="29" t="n"/>
      <c r="S635" s="23" t="n"/>
      <c r="T635" s="30" t="n"/>
      <c r="U635" s="34" t="inlineStr">
        <is>
          <t>中</t>
        </is>
      </c>
      <c r="V635" s="32" t="inlineStr">
        <is>
          <t>中高共通。学校情報サイトのみで確認</t>
        </is>
      </c>
      <c r="W635" s="33" t="inlineStr">
        <is>
          <t>開く</t>
        </is>
      </c>
    </row>
    <row r="636" ht="30" customHeight="1">
      <c r="A636" s="23" t="inlineStr">
        <is>
          <t>14神奈川県</t>
        </is>
      </c>
      <c r="B636" s="23" t="inlineStr">
        <is>
          <t>私立</t>
        </is>
      </c>
      <c r="C636" s="23" t="n"/>
      <c r="D636" s="23" t="inlineStr">
        <is>
          <t>横浜雙葉高等学校</t>
        </is>
      </c>
      <c r="E636" s="24" t="inlineStr">
        <is>
          <t>045-641-1004</t>
        </is>
      </c>
      <c r="F636" s="23" t="n"/>
      <c r="G636" s="25" t="inlineStr">
        <is>
          <t>普通科</t>
        </is>
      </c>
      <c r="H636" s="26" t="inlineStr">
        <is>
          <t>☐</t>
        </is>
      </c>
      <c r="I636" s="26" t="inlineStr">
        <is>
          <t>☐</t>
        </is>
      </c>
      <c r="J636" s="26" t="inlineStr">
        <is>
          <t>☐</t>
        </is>
      </c>
      <c r="K636" s="26" t="inlineStr">
        <is>
          <t>☐</t>
        </is>
      </c>
      <c r="L636" s="26" t="inlineStr">
        <is>
          <t>☐</t>
        </is>
      </c>
      <c r="M636" s="25" t="n"/>
      <c r="N636" s="27" t="n">
        <v>0</v>
      </c>
      <c r="O636" s="28" t="n"/>
      <c r="P636" s="23" t="n"/>
      <c r="Q636" s="29" t="n"/>
      <c r="R636" s="29" t="n"/>
      <c r="S636" s="23" t="n"/>
      <c r="T636" s="30" t="n"/>
      <c r="U636" s="34" t="inlineStr">
        <is>
          <t>中</t>
        </is>
      </c>
      <c r="V636" s="32" t="inlineStr">
        <is>
          <t>中高共通。学校情報サイト1件のみで確認</t>
        </is>
      </c>
      <c r="W636" s="33" t="inlineStr">
        <is>
          <t>開く</t>
        </is>
      </c>
    </row>
    <row r="637" ht="30" customHeight="1">
      <c r="A637" s="23" t="inlineStr">
        <is>
          <t>15新潟県</t>
        </is>
      </c>
      <c r="B637" s="23" t="inlineStr">
        <is>
          <t>私立</t>
        </is>
      </c>
      <c r="C637" s="23" t="n"/>
      <c r="D637" s="23" t="inlineStr">
        <is>
          <t>開志学園高等学校</t>
        </is>
      </c>
      <c r="E637" s="24" t="inlineStr">
        <is>
          <t>025-287-3390</t>
        </is>
      </c>
      <c r="F637" s="23" t="n"/>
      <c r="G637" s="25" t="inlineStr">
        <is>
          <t>普通科</t>
        </is>
      </c>
      <c r="H637" s="26" t="inlineStr">
        <is>
          <t>☐</t>
        </is>
      </c>
      <c r="I637" s="26" t="inlineStr">
        <is>
          <t>☐</t>
        </is>
      </c>
      <c r="J637" s="26" t="inlineStr">
        <is>
          <t>☐</t>
        </is>
      </c>
      <c r="K637" s="26" t="inlineStr">
        <is>
          <t>☐</t>
        </is>
      </c>
      <c r="L637" s="26" t="inlineStr">
        <is>
          <t>☐</t>
        </is>
      </c>
      <c r="M637" s="25" t="n"/>
      <c r="N637" s="27" t="n">
        <v>0</v>
      </c>
      <c r="O637" s="28" t="n"/>
      <c r="P637" s="23" t="n"/>
      <c r="Q637" s="29" t="n"/>
      <c r="R637" s="29" t="n"/>
      <c r="S637" s="23" t="n"/>
      <c r="T637" s="30" t="n"/>
      <c r="U637" s="34" t="inlineStr">
        <is>
          <t>中</t>
        </is>
      </c>
      <c r="V637" s="32" t="inlineStr">
        <is>
          <t>通信制。学校情報サイトのみで確認</t>
        </is>
      </c>
      <c r="W637" s="33" t="inlineStr">
        <is>
          <t>開く</t>
        </is>
      </c>
    </row>
    <row r="638" ht="30" customHeight="1">
      <c r="A638" s="23" t="inlineStr">
        <is>
          <t>15新潟県</t>
        </is>
      </c>
      <c r="B638" s="23" t="inlineStr">
        <is>
          <t>私立</t>
        </is>
      </c>
      <c r="C638" s="23" t="n"/>
      <c r="D638" s="23" t="inlineStr">
        <is>
          <t>加茂暁星高等学校</t>
        </is>
      </c>
      <c r="E638" s="24" t="inlineStr">
        <is>
          <t>0256-52-2000</t>
        </is>
      </c>
      <c r="F638" s="23" t="n"/>
      <c r="G638" s="25" t="inlineStr">
        <is>
          <t>普通科・専門学科</t>
        </is>
      </c>
      <c r="H638" s="26" t="inlineStr">
        <is>
          <t>☐</t>
        </is>
      </c>
      <c r="I638" s="26" t="inlineStr">
        <is>
          <t>☐</t>
        </is>
      </c>
      <c r="J638" s="26" t="inlineStr">
        <is>
          <t>☐</t>
        </is>
      </c>
      <c r="K638" s="26" t="inlineStr">
        <is>
          <t>☐</t>
        </is>
      </c>
      <c r="L638" s="26" t="inlineStr">
        <is>
          <t>☐</t>
        </is>
      </c>
      <c r="M638" s="25" t="n"/>
      <c r="N638" s="27" t="n">
        <v>0</v>
      </c>
      <c r="O638" s="28" t="n"/>
      <c r="P638" s="23" t="n"/>
      <c r="Q638" s="29" t="n"/>
      <c r="R638" s="29" t="n"/>
      <c r="S638" s="23" t="n"/>
      <c r="T638" s="30" t="n"/>
      <c r="U638" s="31" t="inlineStr">
        <is>
          <t>高</t>
        </is>
      </c>
      <c r="V638" s="32" t="inlineStr">
        <is>
          <t>公式サイトと電話帳で一致（代表）</t>
        </is>
      </c>
      <c r="W638" s="33" t="inlineStr">
        <is>
          <t>開く</t>
        </is>
      </c>
    </row>
    <row r="639" ht="30" customHeight="1">
      <c r="A639" s="23" t="inlineStr">
        <is>
          <t>15新潟県</t>
        </is>
      </c>
      <c r="B639" s="23" t="inlineStr">
        <is>
          <t>私立</t>
        </is>
      </c>
      <c r="C639" s="23" t="n"/>
      <c r="D639" s="23" t="inlineStr">
        <is>
          <t>敬和学園高等学校</t>
        </is>
      </c>
      <c r="E639" s="24" t="inlineStr">
        <is>
          <t>025-259-2391</t>
        </is>
      </c>
      <c r="F639" s="23" t="n"/>
      <c r="G639" s="25" t="inlineStr">
        <is>
          <t>普通科</t>
        </is>
      </c>
      <c r="H639" s="26" t="inlineStr">
        <is>
          <t>☐</t>
        </is>
      </c>
      <c r="I639" s="26" t="inlineStr">
        <is>
          <t>☐</t>
        </is>
      </c>
      <c r="J639" s="26" t="inlineStr">
        <is>
          <t>☐</t>
        </is>
      </c>
      <c r="K639" s="26" t="inlineStr">
        <is>
          <t>☐</t>
        </is>
      </c>
      <c r="L639" s="26" t="inlineStr">
        <is>
          <t>☐</t>
        </is>
      </c>
      <c r="M639" s="25" t="n"/>
      <c r="N639" s="27" t="n">
        <v>0</v>
      </c>
      <c r="O639" s="28" t="n"/>
      <c r="P639" s="23" t="n"/>
      <c r="Q639" s="29" t="n"/>
      <c r="R639" s="29" t="n"/>
      <c r="S639" s="23" t="n"/>
      <c r="T639" s="30" t="n"/>
      <c r="U639" s="31" t="inlineStr">
        <is>
          <t>高</t>
        </is>
      </c>
      <c r="V639" s="32" t="inlineStr">
        <is>
          <t>法人の公式報告書に高校の番号として記載。大学・法人本部とは別番号</t>
        </is>
      </c>
      <c r="W639" s="33" t="inlineStr">
        <is>
          <t>開く</t>
        </is>
      </c>
    </row>
    <row r="640" ht="30" customHeight="1">
      <c r="A640" s="23" t="inlineStr">
        <is>
          <t>15新潟県</t>
        </is>
      </c>
      <c r="B640" s="23" t="inlineStr">
        <is>
          <t>私立</t>
        </is>
      </c>
      <c r="C640" s="23" t="n"/>
      <c r="D640" s="23" t="inlineStr">
        <is>
          <t>新発田中央高等学校</t>
        </is>
      </c>
      <c r="E640" s="24" t="inlineStr">
        <is>
          <t>0254-27-2466</t>
        </is>
      </c>
      <c r="F640" s="23" t="n"/>
      <c r="G640" s="25" t="inlineStr">
        <is>
          <t>普通科</t>
        </is>
      </c>
      <c r="H640" s="26" t="inlineStr">
        <is>
          <t>☐</t>
        </is>
      </c>
      <c r="I640" s="26" t="inlineStr">
        <is>
          <t>☐</t>
        </is>
      </c>
      <c r="J640" s="26" t="inlineStr">
        <is>
          <t>☐</t>
        </is>
      </c>
      <c r="K640" s="26" t="inlineStr">
        <is>
          <t>☐</t>
        </is>
      </c>
      <c r="L640" s="26" t="inlineStr">
        <is>
          <t>☐</t>
        </is>
      </c>
      <c r="M640" s="25" t="n"/>
      <c r="N640" s="27" t="n">
        <v>0</v>
      </c>
      <c r="O640" s="28" t="n"/>
      <c r="P640" s="23" t="n"/>
      <c r="Q640" s="29" t="n"/>
      <c r="R640" s="29" t="n"/>
      <c r="S640" s="23" t="n"/>
      <c r="T640" s="30" t="n"/>
      <c r="U640" s="34" t="inlineStr">
        <is>
          <t>中</t>
        </is>
      </c>
      <c r="V640" s="32" t="inlineStr">
        <is>
          <t>学校情報サイト1件のみで確認</t>
        </is>
      </c>
      <c r="W640" s="33" t="inlineStr">
        <is>
          <t>開く</t>
        </is>
      </c>
    </row>
    <row r="641" ht="30" customHeight="1">
      <c r="A641" s="23" t="inlineStr">
        <is>
          <t>15新潟県</t>
        </is>
      </c>
      <c r="B641" s="23" t="inlineStr">
        <is>
          <t>私立</t>
        </is>
      </c>
      <c r="C641" s="23" t="n"/>
      <c r="D641" s="23" t="inlineStr">
        <is>
          <t>上越高等学校</t>
        </is>
      </c>
      <c r="E641" s="24" t="inlineStr">
        <is>
          <t>025-523-2601</t>
        </is>
      </c>
      <c r="F641" s="23" t="n"/>
      <c r="G641" s="25" t="inlineStr">
        <is>
          <t>普通科</t>
        </is>
      </c>
      <c r="H641" s="26" t="inlineStr">
        <is>
          <t>☐</t>
        </is>
      </c>
      <c r="I641" s="26" t="inlineStr">
        <is>
          <t>☐</t>
        </is>
      </c>
      <c r="J641" s="26" t="inlineStr">
        <is>
          <t>☐</t>
        </is>
      </c>
      <c r="K641" s="26" t="inlineStr">
        <is>
          <t>☐</t>
        </is>
      </c>
      <c r="L641" s="26" t="inlineStr">
        <is>
          <t>☐</t>
        </is>
      </c>
      <c r="M641" s="25" t="n"/>
      <c r="N641" s="27" t="n">
        <v>0</v>
      </c>
      <c r="O641" s="28" t="n"/>
      <c r="P641" s="23" t="n"/>
      <c r="Q641" s="29" t="n"/>
      <c r="R641" s="29" t="n"/>
      <c r="S641" s="23" t="n"/>
      <c r="T641" s="30" t="n"/>
      <c r="U641" s="31" t="inlineStr">
        <is>
          <t>高</t>
        </is>
      </c>
      <c r="V641" s="32" t="inlineStr">
        <is>
          <t>公式サイトの事務室の番号。教務室は025-524-1249（上越市のサイトはこちらを掲載）</t>
        </is>
      </c>
      <c r="W641" s="33" t="inlineStr">
        <is>
          <t>開く</t>
        </is>
      </c>
    </row>
    <row r="642" ht="30" customHeight="1">
      <c r="A642" s="23" t="inlineStr">
        <is>
          <t>15新潟県</t>
        </is>
      </c>
      <c r="B642" s="23" t="inlineStr">
        <is>
          <t>私立</t>
        </is>
      </c>
      <c r="C642" s="23" t="n"/>
      <c r="D642" s="23" t="inlineStr">
        <is>
          <t>関根学園高等学校</t>
        </is>
      </c>
      <c r="E642" s="24" t="inlineStr">
        <is>
          <t>025-523-2702</t>
        </is>
      </c>
      <c r="F642" s="23" t="n"/>
      <c r="G642" s="25" t="inlineStr">
        <is>
          <t>普通科</t>
        </is>
      </c>
      <c r="H642" s="26" t="inlineStr">
        <is>
          <t>☐</t>
        </is>
      </c>
      <c r="I642" s="26" t="inlineStr">
        <is>
          <t>☐</t>
        </is>
      </c>
      <c r="J642" s="26" t="inlineStr">
        <is>
          <t>☐</t>
        </is>
      </c>
      <c r="K642" s="26" t="inlineStr">
        <is>
          <t>☐</t>
        </is>
      </c>
      <c r="L642" s="26" t="inlineStr">
        <is>
          <t>☐</t>
        </is>
      </c>
      <c r="M642" s="25" t="n"/>
      <c r="N642" s="27" t="n">
        <v>0</v>
      </c>
      <c r="O642" s="28" t="n"/>
      <c r="P642" s="23" t="n"/>
      <c r="Q642" s="29" t="n"/>
      <c r="R642" s="29" t="n"/>
      <c r="S642" s="23" t="n"/>
      <c r="T642" s="30" t="n"/>
      <c r="U642" s="31" t="inlineStr">
        <is>
          <t>高</t>
        </is>
      </c>
      <c r="V642" s="32" t="inlineStr">
        <is>
          <t>学校作成の募集要項と学校情報サイトで一致</t>
        </is>
      </c>
      <c r="W642" s="33" t="inlineStr">
        <is>
          <t>開く</t>
        </is>
      </c>
    </row>
    <row r="643" ht="30" customHeight="1">
      <c r="A643" s="23" t="inlineStr">
        <is>
          <t>15新潟県</t>
        </is>
      </c>
      <c r="B643" s="23" t="inlineStr">
        <is>
          <t>私立</t>
        </is>
      </c>
      <c r="C643" s="23" t="n"/>
      <c r="D643" s="23" t="inlineStr">
        <is>
          <t>創進高等学校</t>
        </is>
      </c>
      <c r="E643" s="24" t="inlineStr">
        <is>
          <t>0258-62-0703</t>
        </is>
      </c>
      <c r="F643" s="23" t="n"/>
      <c r="G643" s="25" t="inlineStr">
        <is>
          <t>普通科</t>
        </is>
      </c>
      <c r="H643" s="26" t="inlineStr">
        <is>
          <t>☐</t>
        </is>
      </c>
      <c r="I643" s="26" t="inlineStr">
        <is>
          <t>☐</t>
        </is>
      </c>
      <c r="J643" s="26" t="inlineStr">
        <is>
          <t>☐</t>
        </is>
      </c>
      <c r="K643" s="26" t="inlineStr">
        <is>
          <t>☐</t>
        </is>
      </c>
      <c r="L643" s="26" t="inlineStr">
        <is>
          <t>☐</t>
        </is>
      </c>
      <c r="M643" s="25" t="n"/>
      <c r="N643" s="27" t="n">
        <v>0</v>
      </c>
      <c r="O643" s="28" t="n"/>
      <c r="P643" s="23" t="n"/>
      <c r="Q643" s="29" t="n"/>
      <c r="R643" s="29" t="n"/>
      <c r="S643" s="23" t="n"/>
      <c r="T643" s="30" t="n"/>
      <c r="U643" s="34" t="inlineStr">
        <is>
          <t>中</t>
        </is>
      </c>
      <c r="V643" s="32" t="inlineStr">
        <is>
          <t>通信制。学校情報サイト1件のみで確認（「創進学園高等学校」の表記もあり）</t>
        </is>
      </c>
      <c r="W643" s="33" t="inlineStr">
        <is>
          <t>開く</t>
        </is>
      </c>
    </row>
    <row r="644" ht="30" customHeight="1">
      <c r="A644" s="23" t="inlineStr">
        <is>
          <t>15新潟県</t>
        </is>
      </c>
      <c r="B644" s="23" t="inlineStr">
        <is>
          <t>私立</t>
        </is>
      </c>
      <c r="C644" s="23" t="n"/>
      <c r="D644" s="23" t="inlineStr">
        <is>
          <t>中越高等学校</t>
        </is>
      </c>
      <c r="E644" s="24" t="inlineStr">
        <is>
          <t>0258-24-0203</t>
        </is>
      </c>
      <c r="F644" s="23" t="n"/>
      <c r="G644" s="25" t="inlineStr">
        <is>
          <t>普通科</t>
        </is>
      </c>
      <c r="H644" s="26" t="inlineStr">
        <is>
          <t>☐</t>
        </is>
      </c>
      <c r="I644" s="26" t="inlineStr">
        <is>
          <t>☐</t>
        </is>
      </c>
      <c r="J644" s="26" t="inlineStr">
        <is>
          <t>☐</t>
        </is>
      </c>
      <c r="K644" s="26" t="inlineStr">
        <is>
          <t>☐</t>
        </is>
      </c>
      <c r="L644" s="26" t="inlineStr">
        <is>
          <t>☐</t>
        </is>
      </c>
      <c r="M644" s="25" t="n"/>
      <c r="N644" s="27" t="n">
        <v>0</v>
      </c>
      <c r="O644" s="28" t="n"/>
      <c r="P644" s="23" t="n"/>
      <c r="Q644" s="29" t="n"/>
      <c r="R644" s="29" t="n"/>
      <c r="S644" s="23" t="n"/>
      <c r="T644" s="30" t="n"/>
      <c r="U644" s="31" t="inlineStr">
        <is>
          <t>高</t>
        </is>
      </c>
      <c r="V644" s="32" t="inlineStr">
        <is>
          <t>公式サイトとマピオンで一致</t>
        </is>
      </c>
      <c r="W644" s="33" t="inlineStr">
        <is>
          <t>開く</t>
        </is>
      </c>
    </row>
    <row r="645" ht="30" customHeight="1">
      <c r="A645" s="23" t="inlineStr">
        <is>
          <t>15新潟県</t>
        </is>
      </c>
      <c r="B645" s="23" t="inlineStr">
        <is>
          <t>私立</t>
        </is>
      </c>
      <c r="C645" s="23" t="n"/>
      <c r="D645" s="23" t="inlineStr">
        <is>
          <t>帝京長岡高等学校</t>
        </is>
      </c>
      <c r="E645" s="24" t="inlineStr">
        <is>
          <t>0258-36-4800</t>
        </is>
      </c>
      <c r="F645" s="23" t="n"/>
      <c r="G645" s="25" t="inlineStr">
        <is>
          <t>普通科</t>
        </is>
      </c>
      <c r="H645" s="26" t="inlineStr">
        <is>
          <t>☐</t>
        </is>
      </c>
      <c r="I645" s="26" t="inlineStr">
        <is>
          <t>☐</t>
        </is>
      </c>
      <c r="J645" s="26" t="inlineStr">
        <is>
          <t>☐</t>
        </is>
      </c>
      <c r="K645" s="26" t="inlineStr">
        <is>
          <t>☐</t>
        </is>
      </c>
      <c r="L645" s="26" t="inlineStr">
        <is>
          <t>☐</t>
        </is>
      </c>
      <c r="M645" s="25" t="n"/>
      <c r="N645" s="27" t="n">
        <v>0</v>
      </c>
      <c r="O645" s="28" t="n"/>
      <c r="P645" s="23" t="n"/>
      <c r="Q645" s="29" t="n"/>
      <c r="R645" s="29" t="n"/>
      <c r="S645" s="23" t="n"/>
      <c r="T645" s="30" t="n"/>
      <c r="U645" s="34" t="inlineStr">
        <is>
          <t>中</t>
        </is>
      </c>
      <c r="V645" s="32" t="inlineStr">
        <is>
          <t>電話帳サイト複数で一致、公式サイトでは未確認。進路指導部は0258-34-6765</t>
        </is>
      </c>
      <c r="W645" s="33" t="inlineStr">
        <is>
          <t>開く</t>
        </is>
      </c>
    </row>
    <row r="646" ht="30" customHeight="1">
      <c r="A646" s="23" t="inlineStr">
        <is>
          <t>15新潟県</t>
        </is>
      </c>
      <c r="B646" s="23" t="inlineStr">
        <is>
          <t>私立</t>
        </is>
      </c>
      <c r="C646" s="23" t="n"/>
      <c r="D646" s="23" t="inlineStr">
        <is>
          <t>東京学館新潟高等学校</t>
        </is>
      </c>
      <c r="E646" s="24" t="inlineStr">
        <is>
          <t>025-283-8857</t>
        </is>
      </c>
      <c r="F646" s="23" t="n"/>
      <c r="G646" s="25" t="inlineStr">
        <is>
          <t>普通科</t>
        </is>
      </c>
      <c r="H646" s="26" t="inlineStr">
        <is>
          <t>☐</t>
        </is>
      </c>
      <c r="I646" s="26" t="inlineStr">
        <is>
          <t>☐</t>
        </is>
      </c>
      <c r="J646" s="26" t="inlineStr">
        <is>
          <t>☐</t>
        </is>
      </c>
      <c r="K646" s="26" t="inlineStr">
        <is>
          <t>☐</t>
        </is>
      </c>
      <c r="L646" s="26" t="inlineStr">
        <is>
          <t>☐</t>
        </is>
      </c>
      <c r="M646" s="25" t="n"/>
      <c r="N646" s="27" t="n">
        <v>0</v>
      </c>
      <c r="O646" s="28" t="n"/>
      <c r="P646" s="23" t="n"/>
      <c r="Q646" s="29" t="n"/>
      <c r="R646" s="29" t="n"/>
      <c r="S646" s="23" t="n"/>
      <c r="T646" s="30" t="n"/>
      <c r="U646" s="31" t="inlineStr">
        <is>
          <t>高</t>
        </is>
      </c>
      <c r="V646" s="32" t="inlineStr">
        <is>
          <t>学校案内に「代表」と記載</t>
        </is>
      </c>
      <c r="W646" s="33" t="inlineStr">
        <is>
          <t>開く</t>
        </is>
      </c>
    </row>
    <row r="647" ht="30" customHeight="1">
      <c r="A647" s="23" t="inlineStr">
        <is>
          <t>15新潟県</t>
        </is>
      </c>
      <c r="B647" s="23" t="inlineStr">
        <is>
          <t>私立</t>
        </is>
      </c>
      <c r="C647" s="23" t="n"/>
      <c r="D647" s="23" t="inlineStr">
        <is>
          <t>長岡英智高等学校</t>
        </is>
      </c>
      <c r="E647" s="24" t="inlineStr">
        <is>
          <t>0258-31-6771</t>
        </is>
      </c>
      <c r="F647" s="23" t="n"/>
      <c r="G647" s="25" t="inlineStr">
        <is>
          <t>普通科</t>
        </is>
      </c>
      <c r="H647" s="26" t="inlineStr">
        <is>
          <t>☐</t>
        </is>
      </c>
      <c r="I647" s="26" t="inlineStr">
        <is>
          <t>☐</t>
        </is>
      </c>
      <c r="J647" s="26" t="inlineStr">
        <is>
          <t>☐</t>
        </is>
      </c>
      <c r="K647" s="26" t="inlineStr">
        <is>
          <t>☐</t>
        </is>
      </c>
      <c r="L647" s="26" t="inlineStr">
        <is>
          <t>☐</t>
        </is>
      </c>
      <c r="M647" s="25" t="n"/>
      <c r="N647" s="27" t="n">
        <v>0</v>
      </c>
      <c r="O647" s="28" t="n"/>
      <c r="P647" s="23" t="n"/>
      <c r="Q647" s="29" t="n"/>
      <c r="R647" s="29" t="n"/>
      <c r="S647" s="23" t="n"/>
      <c r="T647" s="30" t="n"/>
      <c r="U647" s="31" t="inlineStr">
        <is>
          <t>高</t>
        </is>
      </c>
      <c r="V647" s="32" t="inlineStr">
        <is>
          <t>通信制。【校名変更予定】2026年4月に「新潟英智高等学校」へ改称予定との情報あり</t>
        </is>
      </c>
      <c r="W647" s="33" t="inlineStr">
        <is>
          <t>開く</t>
        </is>
      </c>
    </row>
    <row r="648" ht="30" customHeight="1">
      <c r="A648" s="23" t="inlineStr">
        <is>
          <t>15新潟県</t>
        </is>
      </c>
      <c r="B648" s="23" t="inlineStr">
        <is>
          <t>私立</t>
        </is>
      </c>
      <c r="C648" s="23" t="n"/>
      <c r="D648" s="23" t="inlineStr">
        <is>
          <t>新潟産業大学附属高等学校</t>
        </is>
      </c>
      <c r="E648" s="24" t="inlineStr">
        <is>
          <t>0257-24-6644</t>
        </is>
      </c>
      <c r="F648" s="23" t="n"/>
      <c r="G648" s="25" t="inlineStr">
        <is>
          <t>普通科</t>
        </is>
      </c>
      <c r="H648" s="26" t="inlineStr">
        <is>
          <t>☐</t>
        </is>
      </c>
      <c r="I648" s="26" t="inlineStr">
        <is>
          <t>☐</t>
        </is>
      </c>
      <c r="J648" s="26" t="inlineStr">
        <is>
          <t>☐</t>
        </is>
      </c>
      <c r="K648" s="26" t="inlineStr">
        <is>
          <t>☐</t>
        </is>
      </c>
      <c r="L648" s="26" t="inlineStr">
        <is>
          <t>☐</t>
        </is>
      </c>
      <c r="M648" s="25" t="n"/>
      <c r="N648" s="27" t="n">
        <v>0</v>
      </c>
      <c r="O648" s="28" t="n"/>
      <c r="P648" s="23" t="n"/>
      <c r="Q648" s="29" t="n"/>
      <c r="R648" s="29" t="n"/>
      <c r="S648" s="23" t="n"/>
      <c r="T648" s="30" t="n"/>
      <c r="U648" s="31" t="inlineStr">
        <is>
          <t>高</t>
        </is>
      </c>
      <c r="V648" s="32" t="inlineStr">
        <is>
          <t>公式サイトに「代表」と記載。0257-24-6655は大学の番号</t>
        </is>
      </c>
      <c r="W648" s="33" t="inlineStr">
        <is>
          <t>開く</t>
        </is>
      </c>
    </row>
    <row r="649" ht="30" customHeight="1">
      <c r="A649" s="23" t="inlineStr">
        <is>
          <t>15新潟県</t>
        </is>
      </c>
      <c r="B649" s="23" t="inlineStr">
        <is>
          <t>私立</t>
        </is>
      </c>
      <c r="C649" s="23" t="n"/>
      <c r="D649" s="23" t="inlineStr">
        <is>
          <t>新潟清心女子高等学校</t>
        </is>
      </c>
      <c r="E649" s="24" t="inlineStr">
        <is>
          <t>025-269-2041</t>
        </is>
      </c>
      <c r="F649" s="23" t="n"/>
      <c r="G649" s="25" t="inlineStr">
        <is>
          <t>普通科</t>
        </is>
      </c>
      <c r="H649" s="26" t="inlineStr">
        <is>
          <t>☐</t>
        </is>
      </c>
      <c r="I649" s="26" t="inlineStr">
        <is>
          <t>☐</t>
        </is>
      </c>
      <c r="J649" s="26" t="inlineStr">
        <is>
          <t>☐</t>
        </is>
      </c>
      <c r="K649" s="26" t="inlineStr">
        <is>
          <t>☐</t>
        </is>
      </c>
      <c r="L649" s="26" t="inlineStr">
        <is>
          <t>☐</t>
        </is>
      </c>
      <c r="M649" s="25" t="n"/>
      <c r="N649" s="27" t="n">
        <v>0</v>
      </c>
      <c r="O649" s="28" t="n"/>
      <c r="P649" s="23" t="n"/>
      <c r="Q649" s="29" t="n"/>
      <c r="R649" s="29" t="n"/>
      <c r="S649" s="23" t="n"/>
      <c r="T649" s="30" t="n"/>
      <c r="U649" s="31" t="inlineStr">
        <is>
          <t>高</t>
        </is>
      </c>
      <c r="V649" s="32" t="inlineStr">
        <is>
          <t>中学校と共通</t>
        </is>
      </c>
      <c r="W649" s="33" t="inlineStr">
        <is>
          <t>開く</t>
        </is>
      </c>
    </row>
    <row r="650" ht="30" customHeight="1">
      <c r="A650" s="23" t="inlineStr">
        <is>
          <t>15新潟県</t>
        </is>
      </c>
      <c r="B650" s="23" t="inlineStr">
        <is>
          <t>私立</t>
        </is>
      </c>
      <c r="C650" s="23" t="n"/>
      <c r="D650" s="23" t="inlineStr">
        <is>
          <t>新潟青陵高等学校</t>
        </is>
      </c>
      <c r="E650" s="24" t="inlineStr">
        <is>
          <t>025-266-8131</t>
        </is>
      </c>
      <c r="F650" s="23" t="n"/>
      <c r="G650" s="25" t="inlineStr">
        <is>
          <t>普通科</t>
        </is>
      </c>
      <c r="H650" s="26" t="inlineStr">
        <is>
          <t>☐</t>
        </is>
      </c>
      <c r="I650" s="26" t="inlineStr">
        <is>
          <t>☐</t>
        </is>
      </c>
      <c r="J650" s="26" t="inlineStr">
        <is>
          <t>☐</t>
        </is>
      </c>
      <c r="K650" s="26" t="inlineStr">
        <is>
          <t>☐</t>
        </is>
      </c>
      <c r="L650" s="26" t="inlineStr">
        <is>
          <t>☐</t>
        </is>
      </c>
      <c r="M650" s="25" t="n"/>
      <c r="N650" s="27" t="n">
        <v>0</v>
      </c>
      <c r="O650" s="28" t="n"/>
      <c r="P650" s="23" t="n"/>
      <c r="Q650" s="29" t="n"/>
      <c r="R650" s="29" t="n"/>
      <c r="S650" s="23" t="n"/>
      <c r="T650" s="30" t="n"/>
      <c r="U650" s="31" t="inlineStr">
        <is>
          <t>高</t>
        </is>
      </c>
      <c r="V650" s="32" t="inlineStr">
        <is>
          <t>公式サイトとタウンページで一致。025-266-8674は幼稚園の番号</t>
        </is>
      </c>
      <c r="W650" s="33" t="inlineStr">
        <is>
          <t>開く</t>
        </is>
      </c>
    </row>
    <row r="651" ht="30" customHeight="1">
      <c r="A651" s="23" t="inlineStr">
        <is>
          <t>15新潟県</t>
        </is>
      </c>
      <c r="B651" s="23" t="inlineStr">
        <is>
          <t>私立</t>
        </is>
      </c>
      <c r="C651" s="23" t="n"/>
      <c r="D651" s="23" t="inlineStr">
        <is>
          <t>新潟第一高等学校</t>
        </is>
      </c>
      <c r="E651" s="24" t="inlineStr">
        <is>
          <t>025-231-5643</t>
        </is>
      </c>
      <c r="F651" s="23" t="n"/>
      <c r="G651" s="25" t="inlineStr">
        <is>
          <t>普通科</t>
        </is>
      </c>
      <c r="H651" s="26" t="inlineStr">
        <is>
          <t>☐</t>
        </is>
      </c>
      <c r="I651" s="26" t="inlineStr">
        <is>
          <t>☐</t>
        </is>
      </c>
      <c r="J651" s="26" t="inlineStr">
        <is>
          <t>☐</t>
        </is>
      </c>
      <c r="K651" s="26" t="inlineStr">
        <is>
          <t>☐</t>
        </is>
      </c>
      <c r="L651" s="26" t="inlineStr">
        <is>
          <t>☐</t>
        </is>
      </c>
      <c r="M651" s="25" t="n"/>
      <c r="N651" s="27" t="n">
        <v>0</v>
      </c>
      <c r="O651" s="28" t="n"/>
      <c r="P651" s="23" t="n"/>
      <c r="Q651" s="29" t="n"/>
      <c r="R651" s="29" t="n"/>
      <c r="S651" s="23" t="n"/>
      <c r="T651" s="30" t="n"/>
      <c r="U651" s="31" t="inlineStr">
        <is>
          <t>高</t>
        </is>
      </c>
      <c r="V651" s="32" t="inlineStr">
        <is>
          <t>2つのサイトで一致</t>
        </is>
      </c>
      <c r="W651" s="33" t="inlineStr">
        <is>
          <t>開く</t>
        </is>
      </c>
    </row>
    <row r="652" ht="30" customHeight="1">
      <c r="A652" s="23" t="inlineStr">
        <is>
          <t>15新潟県</t>
        </is>
      </c>
      <c r="B652" s="23" t="inlineStr">
        <is>
          <t>私立</t>
        </is>
      </c>
      <c r="C652" s="23" t="n"/>
      <c r="D652" s="23" t="inlineStr">
        <is>
          <t>新潟明訓高等学校</t>
        </is>
      </c>
      <c r="E652" s="24" t="inlineStr">
        <is>
          <t>025-257-2131</t>
        </is>
      </c>
      <c r="F652" s="23" t="n"/>
      <c r="G652" s="25" t="inlineStr">
        <is>
          <t>普通科</t>
        </is>
      </c>
      <c r="H652" s="26" t="inlineStr">
        <is>
          <t>☐</t>
        </is>
      </c>
      <c r="I652" s="26" t="inlineStr">
        <is>
          <t>☐</t>
        </is>
      </c>
      <c r="J652" s="26" t="inlineStr">
        <is>
          <t>☐</t>
        </is>
      </c>
      <c r="K652" s="26" t="inlineStr">
        <is>
          <t>☐</t>
        </is>
      </c>
      <c r="L652" s="26" t="inlineStr">
        <is>
          <t>☐</t>
        </is>
      </c>
      <c r="M652" s="25" t="n"/>
      <c r="N652" s="27" t="n">
        <v>0</v>
      </c>
      <c r="O652" s="28" t="n"/>
      <c r="P652" s="23" t="n"/>
      <c r="Q652" s="29" t="n"/>
      <c r="R652" s="29" t="n"/>
      <c r="S652" s="23" t="n"/>
      <c r="T652" s="30" t="n"/>
      <c r="U652" s="34" t="inlineStr">
        <is>
          <t>中</t>
        </is>
      </c>
      <c r="V652" s="32" t="inlineStr">
        <is>
          <t>学校情報サイト1件のみで確認</t>
        </is>
      </c>
      <c r="W652" s="33" t="inlineStr">
        <is>
          <t>開く</t>
        </is>
      </c>
    </row>
    <row r="653" ht="30" customHeight="1">
      <c r="A653" s="23" t="inlineStr">
        <is>
          <t>15新潟県</t>
        </is>
      </c>
      <c r="B653" s="23" t="inlineStr">
        <is>
          <t>私立</t>
        </is>
      </c>
      <c r="C653" s="23" t="n"/>
      <c r="D653" s="23" t="inlineStr">
        <is>
          <t>日本文理高等学校</t>
        </is>
      </c>
      <c r="E653" s="24" t="inlineStr">
        <is>
          <t>025-260-1000</t>
        </is>
      </c>
      <c r="F653" s="23" t="n"/>
      <c r="G653" s="25" t="inlineStr">
        <is>
          <t>普通科</t>
        </is>
      </c>
      <c r="H653" s="26" t="inlineStr">
        <is>
          <t>☐</t>
        </is>
      </c>
      <c r="I653" s="26" t="inlineStr">
        <is>
          <t>☐</t>
        </is>
      </c>
      <c r="J653" s="26" t="inlineStr">
        <is>
          <t>☐</t>
        </is>
      </c>
      <c r="K653" s="26" t="inlineStr">
        <is>
          <t>☐</t>
        </is>
      </c>
      <c r="L653" s="26" t="inlineStr">
        <is>
          <t>☐</t>
        </is>
      </c>
      <c r="M653" s="25" t="n"/>
      <c r="N653" s="27" t="n">
        <v>0</v>
      </c>
      <c r="O653" s="28" t="n"/>
      <c r="P653" s="23" t="n"/>
      <c r="Q653" s="29" t="n"/>
      <c r="R653" s="29" t="n"/>
      <c r="S653" s="23" t="n"/>
      <c r="T653" s="30" t="n"/>
      <c r="U653" s="34" t="inlineStr">
        <is>
          <t>中</t>
        </is>
      </c>
      <c r="V653" s="32" t="inlineStr">
        <is>
          <t>学校情報サイトのみで確認</t>
        </is>
      </c>
      <c r="W653" s="33" t="inlineStr">
        <is>
          <t>開く</t>
        </is>
      </c>
    </row>
    <row r="654" ht="30" customHeight="1">
      <c r="A654" s="23" t="inlineStr">
        <is>
          <t>15新潟県</t>
        </is>
      </c>
      <c r="B654" s="23" t="inlineStr">
        <is>
          <t>私立</t>
        </is>
      </c>
      <c r="C654" s="23" t="n"/>
      <c r="D654" s="23" t="inlineStr">
        <is>
          <t>北越高等学校</t>
        </is>
      </c>
      <c r="E654" s="24" t="inlineStr">
        <is>
          <t>025-245-5681</t>
        </is>
      </c>
      <c r="F654" s="23" t="n"/>
      <c r="G654" s="25" t="inlineStr">
        <is>
          <t>普通科</t>
        </is>
      </c>
      <c r="H654" s="26" t="inlineStr">
        <is>
          <t>☐</t>
        </is>
      </c>
      <c r="I654" s="26" t="inlineStr">
        <is>
          <t>☐</t>
        </is>
      </c>
      <c r="J654" s="26" t="inlineStr">
        <is>
          <t>☐</t>
        </is>
      </c>
      <c r="K654" s="26" t="inlineStr">
        <is>
          <t>☐</t>
        </is>
      </c>
      <c r="L654" s="26" t="inlineStr">
        <is>
          <t>☐</t>
        </is>
      </c>
      <c r="M654" s="25" t="n"/>
      <c r="N654" s="27" t="n">
        <v>0</v>
      </c>
      <c r="O654" s="28" t="n"/>
      <c r="P654" s="23" t="n"/>
      <c r="Q654" s="29" t="n"/>
      <c r="R654" s="29" t="n"/>
      <c r="S654" s="23" t="n"/>
      <c r="T654" s="30" t="n"/>
      <c r="U654" s="31" t="inlineStr">
        <is>
          <t>高</t>
        </is>
      </c>
      <c r="V654" s="32" t="inlineStr">
        <is>
          <t>複数の電話帳・地図サイトで一致</t>
        </is>
      </c>
      <c r="W654" s="33" t="inlineStr">
        <is>
          <t>開く</t>
        </is>
      </c>
    </row>
    <row r="655" ht="30" customHeight="1">
      <c r="A655" s="23" t="inlineStr">
        <is>
          <t>16富山県</t>
        </is>
      </c>
      <c r="B655" s="23" t="inlineStr">
        <is>
          <t>私立</t>
        </is>
      </c>
      <c r="C655" s="23" t="n"/>
      <c r="D655" s="23" t="inlineStr">
        <is>
          <t>片山学園高等学校</t>
        </is>
      </c>
      <c r="E655" s="24" t="inlineStr">
        <is>
          <t>076-483-3300</t>
        </is>
      </c>
      <c r="F655" s="23" t="n"/>
      <c r="G655" s="25" t="inlineStr">
        <is>
          <t>普通科</t>
        </is>
      </c>
      <c r="H655" s="26" t="inlineStr">
        <is>
          <t>☐</t>
        </is>
      </c>
      <c r="I655" s="26" t="inlineStr">
        <is>
          <t>☐</t>
        </is>
      </c>
      <c r="J655" s="26" t="inlineStr">
        <is>
          <t>☐</t>
        </is>
      </c>
      <c r="K655" s="26" t="inlineStr">
        <is>
          <t>☐</t>
        </is>
      </c>
      <c r="L655" s="26" t="inlineStr">
        <is>
          <t>☐</t>
        </is>
      </c>
      <c r="M655" s="25" t="n"/>
      <c r="N655" s="27" t="n">
        <v>0</v>
      </c>
      <c r="O655" s="28" t="n"/>
      <c r="P655" s="23" t="n"/>
      <c r="Q655" s="29" t="n"/>
      <c r="R655" s="29" t="n"/>
      <c r="S655" s="23" t="n"/>
      <c r="T655" s="30" t="n"/>
      <c r="U655" s="31" t="inlineStr">
        <is>
          <t>高</t>
        </is>
      </c>
      <c r="V655" s="32" t="inlineStr">
        <is>
          <t>公式サイトで確認。中高共通。076-483-8500を載せるサイトは旧番号の可能性</t>
        </is>
      </c>
      <c r="W655" s="33" t="inlineStr">
        <is>
          <t>開く</t>
        </is>
      </c>
    </row>
    <row r="656" ht="30" customHeight="1">
      <c r="A656" s="23" t="inlineStr">
        <is>
          <t>16富山県</t>
        </is>
      </c>
      <c r="B656" s="23" t="inlineStr">
        <is>
          <t>私立</t>
        </is>
      </c>
      <c r="C656" s="23" t="n"/>
      <c r="D656" s="23" t="inlineStr">
        <is>
          <t>高朋高等学校</t>
        </is>
      </c>
      <c r="E656" s="24" t="inlineStr">
        <is>
          <t>076-437-9940</t>
        </is>
      </c>
      <c r="F656" s="23" t="n"/>
      <c r="G656" s="25" t="inlineStr">
        <is>
          <t>普通科</t>
        </is>
      </c>
      <c r="H656" s="26" t="inlineStr">
        <is>
          <t>☐</t>
        </is>
      </c>
      <c r="I656" s="26" t="inlineStr">
        <is>
          <t>☐</t>
        </is>
      </c>
      <c r="J656" s="26" t="inlineStr">
        <is>
          <t>☐</t>
        </is>
      </c>
      <c r="K656" s="26" t="inlineStr">
        <is>
          <t>☐</t>
        </is>
      </c>
      <c r="L656" s="26" t="inlineStr">
        <is>
          <t>☐</t>
        </is>
      </c>
      <c r="M656" s="25" t="n"/>
      <c r="N656" s="27" t="n">
        <v>0</v>
      </c>
      <c r="O656" s="28" t="n"/>
      <c r="P656" s="23" t="n"/>
      <c r="Q656" s="29" t="n"/>
      <c r="R656" s="29" t="n"/>
      <c r="S656" s="23" t="n"/>
      <c r="T656" s="30" t="n"/>
      <c r="U656" s="31" t="inlineStr">
        <is>
          <t>高</t>
        </is>
      </c>
      <c r="V656" s="32" t="inlineStr">
        <is>
          <t>公式サイトで確認。076-437-9950を載せるサイトは誤記の可能性</t>
        </is>
      </c>
      <c r="W656" s="33" t="inlineStr">
        <is>
          <t>開く</t>
        </is>
      </c>
    </row>
    <row r="657" ht="30" customHeight="1">
      <c r="A657" s="23" t="inlineStr">
        <is>
          <t>16富山県</t>
        </is>
      </c>
      <c r="B657" s="23" t="inlineStr">
        <is>
          <t>私立</t>
        </is>
      </c>
      <c r="C657" s="23" t="n"/>
      <c r="D657" s="23" t="inlineStr">
        <is>
          <t>高岡向陵高等学校</t>
        </is>
      </c>
      <c r="E657" s="24" t="inlineStr">
        <is>
          <t>0766-23-0762</t>
        </is>
      </c>
      <c r="F657" s="23" t="n"/>
      <c r="G657" s="25" t="inlineStr">
        <is>
          <t>普通科</t>
        </is>
      </c>
      <c r="H657" s="26" t="inlineStr">
        <is>
          <t>☐</t>
        </is>
      </c>
      <c r="I657" s="26" t="inlineStr">
        <is>
          <t>☐</t>
        </is>
      </c>
      <c r="J657" s="26" t="inlineStr">
        <is>
          <t>☐</t>
        </is>
      </c>
      <c r="K657" s="26" t="inlineStr">
        <is>
          <t>☐</t>
        </is>
      </c>
      <c r="L657" s="26" t="inlineStr">
        <is>
          <t>☐</t>
        </is>
      </c>
      <c r="M657" s="25" t="n"/>
      <c r="N657" s="27" t="n">
        <v>0</v>
      </c>
      <c r="O657" s="28" t="n"/>
      <c r="P657" s="23" t="n"/>
      <c r="Q657" s="29" t="n"/>
      <c r="R657" s="29" t="n"/>
      <c r="S657" s="23" t="n"/>
      <c r="T657" s="30" t="n"/>
      <c r="U657" s="31" t="inlineStr">
        <is>
          <t>高</t>
        </is>
      </c>
      <c r="V657" s="32" t="inlineStr">
        <is>
          <t>公式サイトほかで一致</t>
        </is>
      </c>
      <c r="W657" s="33" t="inlineStr">
        <is>
          <t>開く</t>
        </is>
      </c>
    </row>
    <row r="658" ht="30" customHeight="1">
      <c r="A658" s="23" t="inlineStr">
        <is>
          <t>16富山県</t>
        </is>
      </c>
      <c r="B658" s="23" t="inlineStr">
        <is>
          <t>私立</t>
        </is>
      </c>
      <c r="C658" s="23" t="n"/>
      <c r="D658" s="23" t="inlineStr">
        <is>
          <t>高岡第一高等学校</t>
        </is>
      </c>
      <c r="E658" s="24" t="inlineStr">
        <is>
          <t>0766-22-6336</t>
        </is>
      </c>
      <c r="F658" s="23" t="n"/>
      <c r="G658" s="25" t="inlineStr">
        <is>
          <t>普通科</t>
        </is>
      </c>
      <c r="H658" s="26" t="inlineStr">
        <is>
          <t>☐</t>
        </is>
      </c>
      <c r="I658" s="26" t="inlineStr">
        <is>
          <t>☐</t>
        </is>
      </c>
      <c r="J658" s="26" t="inlineStr">
        <is>
          <t>☐</t>
        </is>
      </c>
      <c r="K658" s="26" t="inlineStr">
        <is>
          <t>☐</t>
        </is>
      </c>
      <c r="L658" s="26" t="inlineStr">
        <is>
          <t>☐</t>
        </is>
      </c>
      <c r="M658" s="25" t="n"/>
      <c r="N658" s="27" t="n">
        <v>0</v>
      </c>
      <c r="O658" s="28" t="n"/>
      <c r="P658" s="23" t="n"/>
      <c r="Q658" s="29" t="n"/>
      <c r="R658" s="29" t="n"/>
      <c r="S658" s="23" t="n"/>
      <c r="T658" s="30" t="n"/>
      <c r="U658" s="31" t="inlineStr">
        <is>
          <t>高</t>
        </is>
      </c>
      <c r="V658" s="32" t="inlineStr">
        <is>
          <t>公式サイトで確認</t>
        </is>
      </c>
      <c r="W658" s="33" t="inlineStr">
        <is>
          <t>開く</t>
        </is>
      </c>
    </row>
    <row r="659" ht="30" customHeight="1">
      <c r="A659" s="23" t="inlineStr">
        <is>
          <t>16富山県</t>
        </is>
      </c>
      <c r="B659" s="23" t="inlineStr">
        <is>
          <t>私立</t>
        </is>
      </c>
      <c r="C659" s="23" t="n"/>
      <c r="D659" s="23" t="inlineStr">
        <is>
          <t>高岡龍谷高等学校</t>
        </is>
      </c>
      <c r="E659" s="24" t="inlineStr">
        <is>
          <t>0766-22-5141</t>
        </is>
      </c>
      <c r="F659" s="23" t="n"/>
      <c r="G659" s="25" t="inlineStr">
        <is>
          <t>普通科</t>
        </is>
      </c>
      <c r="H659" s="26" t="inlineStr">
        <is>
          <t>☐</t>
        </is>
      </c>
      <c r="I659" s="26" t="inlineStr">
        <is>
          <t>☐</t>
        </is>
      </c>
      <c r="J659" s="26" t="inlineStr">
        <is>
          <t>☐</t>
        </is>
      </c>
      <c r="K659" s="26" t="inlineStr">
        <is>
          <t>☐</t>
        </is>
      </c>
      <c r="L659" s="26" t="inlineStr">
        <is>
          <t>☐</t>
        </is>
      </c>
      <c r="M659" s="25" t="n"/>
      <c r="N659" s="27" t="n">
        <v>0</v>
      </c>
      <c r="O659" s="28" t="n"/>
      <c r="P659" s="23" t="n"/>
      <c r="Q659" s="29" t="n"/>
      <c r="R659" s="29" t="n"/>
      <c r="S659" s="23" t="n"/>
      <c r="T659" s="30" t="n"/>
      <c r="U659" s="31" t="inlineStr">
        <is>
          <t>高</t>
        </is>
      </c>
      <c r="V659" s="32" t="inlineStr">
        <is>
          <t>公式サイトで確認。龍谷富山とは別の学校</t>
        </is>
      </c>
      <c r="W659" s="33" t="inlineStr">
        <is>
          <t>開く</t>
        </is>
      </c>
    </row>
    <row r="660" ht="30" customHeight="1">
      <c r="A660" s="23" t="inlineStr">
        <is>
          <t>16富山県</t>
        </is>
      </c>
      <c r="B660" s="23" t="inlineStr">
        <is>
          <t>私立</t>
        </is>
      </c>
      <c r="C660" s="23" t="n"/>
      <c r="D660" s="23" t="inlineStr">
        <is>
          <t>富山国際大学付属高等学校</t>
        </is>
      </c>
      <c r="E660" s="24" t="inlineStr">
        <is>
          <t>076-434-0577</t>
        </is>
      </c>
      <c r="F660" s="23" t="n"/>
      <c r="G660" s="25" t="inlineStr">
        <is>
          <t>普通科</t>
        </is>
      </c>
      <c r="H660" s="26" t="inlineStr">
        <is>
          <t>☐</t>
        </is>
      </c>
      <c r="I660" s="26" t="inlineStr">
        <is>
          <t>☐</t>
        </is>
      </c>
      <c r="J660" s="26" t="inlineStr">
        <is>
          <t>☐</t>
        </is>
      </c>
      <c r="K660" s="26" t="inlineStr">
        <is>
          <t>☐</t>
        </is>
      </c>
      <c r="L660" s="26" t="inlineStr">
        <is>
          <t>☐</t>
        </is>
      </c>
      <c r="M660" s="25" t="n"/>
      <c r="N660" s="27" t="n">
        <v>0</v>
      </c>
      <c r="O660" s="28" t="n"/>
      <c r="P660" s="23" t="n"/>
      <c r="Q660" s="29" t="n"/>
      <c r="R660" s="29" t="n"/>
      <c r="S660" s="23" t="n"/>
      <c r="T660" s="30" t="n"/>
      <c r="U660" s="31" t="inlineStr">
        <is>
          <t>高</t>
        </is>
      </c>
      <c r="V660" s="32" t="inlineStr">
        <is>
          <t>公式サイトに「代表」と記載</t>
        </is>
      </c>
      <c r="W660" s="33" t="inlineStr">
        <is>
          <t>開く</t>
        </is>
      </c>
    </row>
    <row r="661" ht="30" customHeight="1">
      <c r="A661" s="23" t="inlineStr">
        <is>
          <t>16富山県</t>
        </is>
      </c>
      <c r="B661" s="23" t="inlineStr">
        <is>
          <t>私立</t>
        </is>
      </c>
      <c r="C661" s="23" t="n"/>
      <c r="D661" s="23" t="inlineStr">
        <is>
          <t>富山第一高等学校</t>
        </is>
      </c>
      <c r="E661" s="24" t="inlineStr">
        <is>
          <t>076-451-3396</t>
        </is>
      </c>
      <c r="F661" s="23" t="n"/>
      <c r="G661" s="25" t="inlineStr">
        <is>
          <t>普通科</t>
        </is>
      </c>
      <c r="H661" s="26" t="inlineStr">
        <is>
          <t>☐</t>
        </is>
      </c>
      <c r="I661" s="26" t="inlineStr">
        <is>
          <t>☐</t>
        </is>
      </c>
      <c r="J661" s="26" t="inlineStr">
        <is>
          <t>☐</t>
        </is>
      </c>
      <c r="K661" s="26" t="inlineStr">
        <is>
          <t>☐</t>
        </is>
      </c>
      <c r="L661" s="26" t="inlineStr">
        <is>
          <t>☐</t>
        </is>
      </c>
      <c r="M661" s="25" t="n"/>
      <c r="N661" s="27" t="n">
        <v>0</v>
      </c>
      <c r="O661" s="28" t="n"/>
      <c r="P661" s="23" t="n"/>
      <c r="Q661" s="29" t="n"/>
      <c r="R661" s="29" t="n"/>
      <c r="S661" s="23" t="n"/>
      <c r="T661" s="30" t="n"/>
      <c r="U661" s="31" t="inlineStr">
        <is>
          <t>高</t>
        </is>
      </c>
      <c r="V661" s="32" t="inlineStr">
        <is>
          <t>公式サイトで確認</t>
        </is>
      </c>
      <c r="W661" s="33" t="inlineStr">
        <is>
          <t>開く</t>
        </is>
      </c>
    </row>
    <row r="662" ht="30" customHeight="1">
      <c r="A662" s="23" t="inlineStr">
        <is>
          <t>16富山県</t>
        </is>
      </c>
      <c r="B662" s="23" t="inlineStr">
        <is>
          <t>私立</t>
        </is>
      </c>
      <c r="C662" s="23" t="n"/>
      <c r="D662" s="23" t="inlineStr">
        <is>
          <t>新川高等学校</t>
        </is>
      </c>
      <c r="E662" s="24" t="inlineStr">
        <is>
          <t>0765-24-2015</t>
        </is>
      </c>
      <c r="F662" s="23" t="n"/>
      <c r="G662" s="25" t="inlineStr">
        <is>
          <t>普通科</t>
        </is>
      </c>
      <c r="H662" s="26" t="inlineStr">
        <is>
          <t>☐</t>
        </is>
      </c>
      <c r="I662" s="26" t="inlineStr">
        <is>
          <t>☐</t>
        </is>
      </c>
      <c r="J662" s="26" t="inlineStr">
        <is>
          <t>☐</t>
        </is>
      </c>
      <c r="K662" s="26" t="inlineStr">
        <is>
          <t>☐</t>
        </is>
      </c>
      <c r="L662" s="26" t="inlineStr">
        <is>
          <t>☐</t>
        </is>
      </c>
      <c r="M662" s="25" t="n"/>
      <c r="N662" s="27" t="n">
        <v>0</v>
      </c>
      <c r="O662" s="28" t="n"/>
      <c r="P662" s="23" t="n"/>
      <c r="Q662" s="29" t="n"/>
      <c r="R662" s="29" t="n"/>
      <c r="S662" s="23" t="n"/>
      <c r="T662" s="30" t="n"/>
      <c r="U662" s="31" t="inlineStr">
        <is>
          <t>高</t>
        </is>
      </c>
      <c r="V662" s="32" t="inlineStr">
        <is>
          <t>公式サイトで確認。県立新川みどり野高校（0765-22-3535）とは別の学校</t>
        </is>
      </c>
      <c r="W662" s="33" t="inlineStr">
        <is>
          <t>開く</t>
        </is>
      </c>
    </row>
    <row r="663" ht="30" customHeight="1">
      <c r="A663" s="23" t="inlineStr">
        <is>
          <t>16富山県</t>
        </is>
      </c>
      <c r="B663" s="23" t="inlineStr">
        <is>
          <t>私立</t>
        </is>
      </c>
      <c r="C663" s="23" t="n"/>
      <c r="D663" s="23" t="inlineStr">
        <is>
          <t>不二越工業高等学校</t>
        </is>
      </c>
      <c r="E663" s="24" t="inlineStr">
        <is>
          <t>076-425-8304</t>
        </is>
      </c>
      <c r="F663" s="23" t="n"/>
      <c r="G663" s="25" t="inlineStr">
        <is>
          <t>専門学科</t>
        </is>
      </c>
      <c r="H663" s="26" t="inlineStr">
        <is>
          <t>☐</t>
        </is>
      </c>
      <c r="I663" s="26" t="inlineStr">
        <is>
          <t>☐</t>
        </is>
      </c>
      <c r="J663" s="26" t="inlineStr">
        <is>
          <t>☐</t>
        </is>
      </c>
      <c r="K663" s="26" t="inlineStr">
        <is>
          <t>☐</t>
        </is>
      </c>
      <c r="L663" s="26" t="inlineStr">
        <is>
          <t>☐</t>
        </is>
      </c>
      <c r="M663" s="25" t="n"/>
      <c r="N663" s="27" t="n">
        <v>0</v>
      </c>
      <c r="O663" s="28" t="n"/>
      <c r="P663" s="23" t="n"/>
      <c r="Q663" s="29" t="n"/>
      <c r="R663" s="29" t="n"/>
      <c r="S663" s="23" t="n"/>
      <c r="T663" s="30" t="n"/>
      <c r="U663" s="31" t="inlineStr">
        <is>
          <t>高</t>
        </is>
      </c>
      <c r="V663" s="32" t="inlineStr">
        <is>
          <t>公式Instagramと複数サイトで一致</t>
        </is>
      </c>
      <c r="W663" s="33" t="inlineStr">
        <is>
          <t>開く</t>
        </is>
      </c>
    </row>
    <row r="664" ht="30" customHeight="1">
      <c r="A664" s="23" t="inlineStr">
        <is>
          <t>16富山県</t>
        </is>
      </c>
      <c r="B664" s="23" t="inlineStr">
        <is>
          <t>私立</t>
        </is>
      </c>
      <c r="C664" s="23" t="n"/>
      <c r="D664" s="23" t="inlineStr">
        <is>
          <t>龍谷富山高等学校</t>
        </is>
      </c>
      <c r="E664" s="24" t="inlineStr">
        <is>
          <t>076-441-3141</t>
        </is>
      </c>
      <c r="F664" s="23" t="n"/>
      <c r="G664" s="25" t="inlineStr">
        <is>
          <t>普通科</t>
        </is>
      </c>
      <c r="H664" s="26" t="inlineStr">
        <is>
          <t>☐</t>
        </is>
      </c>
      <c r="I664" s="26" t="inlineStr">
        <is>
          <t>☐</t>
        </is>
      </c>
      <c r="J664" s="26" t="inlineStr">
        <is>
          <t>☐</t>
        </is>
      </c>
      <c r="K664" s="26" t="inlineStr">
        <is>
          <t>☐</t>
        </is>
      </c>
      <c r="L664" s="26" t="inlineStr">
        <is>
          <t>☐</t>
        </is>
      </c>
      <c r="M664" s="25" t="n"/>
      <c r="N664" s="27" t="n">
        <v>0</v>
      </c>
      <c r="O664" s="28" t="n"/>
      <c r="P664" s="23" t="n"/>
      <c r="Q664" s="29" t="n"/>
      <c r="R664" s="29" t="n"/>
      <c r="S664" s="23" t="n"/>
      <c r="T664" s="30" t="n"/>
      <c r="U664" s="31" t="inlineStr">
        <is>
          <t>高</t>
        </is>
      </c>
      <c r="V664" s="32" t="inlineStr">
        <is>
          <t>公式サイトで確認。高岡龍谷とは別の学校</t>
        </is>
      </c>
      <c r="W664" s="33" t="inlineStr">
        <is>
          <t>開く</t>
        </is>
      </c>
    </row>
    <row r="665" ht="30" customHeight="1">
      <c r="A665" s="23" t="inlineStr">
        <is>
          <t>17石川県</t>
        </is>
      </c>
      <c r="B665" s="23" t="inlineStr">
        <is>
          <t>私立</t>
        </is>
      </c>
      <c r="C665" s="23" t="n"/>
      <c r="D665" s="23" t="inlineStr">
        <is>
          <t>アットマーク国際高等学校</t>
        </is>
      </c>
      <c r="E665" s="24" t="inlineStr">
        <is>
          <t>076-278-8778</t>
        </is>
      </c>
      <c r="F665" s="23" t="n"/>
      <c r="G665" s="25" t="inlineStr">
        <is>
          <t>総合学科</t>
        </is>
      </c>
      <c r="H665" s="26" t="inlineStr">
        <is>
          <t>☐</t>
        </is>
      </c>
      <c r="I665" s="26" t="inlineStr">
        <is>
          <t>☐</t>
        </is>
      </c>
      <c r="J665" s="26" t="inlineStr">
        <is>
          <t>☐</t>
        </is>
      </c>
      <c r="K665" s="26" t="inlineStr">
        <is>
          <t>☐</t>
        </is>
      </c>
      <c r="L665" s="26" t="inlineStr">
        <is>
          <t>☐</t>
        </is>
      </c>
      <c r="M665" s="25" t="n"/>
      <c r="N665" s="27" t="n">
        <v>0</v>
      </c>
      <c r="O665" s="28" t="n"/>
      <c r="P665" s="23" t="n"/>
      <c r="Q665" s="29" t="n"/>
      <c r="R665" s="29" t="n"/>
      <c r="S665" s="23" t="n"/>
      <c r="T665" s="30" t="n"/>
      <c r="U665" s="34" t="inlineStr">
        <is>
          <t>中</t>
        </is>
      </c>
      <c r="V665" s="32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W665" s="33" t="inlineStr">
        <is>
          <t>開く</t>
        </is>
      </c>
    </row>
    <row r="666" ht="30" customHeight="1">
      <c r="A666" s="23" t="inlineStr">
        <is>
          <t>17石川県</t>
        </is>
      </c>
      <c r="B666" s="23" t="inlineStr">
        <is>
          <t>私立</t>
        </is>
      </c>
      <c r="C666" s="23" t="n"/>
      <c r="D666" s="23" t="inlineStr">
        <is>
          <t>鵬学園高等学校</t>
        </is>
      </c>
      <c r="E666" s="24" t="inlineStr">
        <is>
          <t>0767-53-2184</t>
        </is>
      </c>
      <c r="F666" s="23" t="n"/>
      <c r="G666" s="25" t="inlineStr">
        <is>
          <t>普通科・専門学科</t>
        </is>
      </c>
      <c r="H666" s="26" t="inlineStr">
        <is>
          <t>☐</t>
        </is>
      </c>
      <c r="I666" s="26" t="inlineStr">
        <is>
          <t>☐</t>
        </is>
      </c>
      <c r="J666" s="26" t="inlineStr">
        <is>
          <t>☐</t>
        </is>
      </c>
      <c r="K666" s="26" t="inlineStr">
        <is>
          <t>☐</t>
        </is>
      </c>
      <c r="L666" s="26" t="inlineStr">
        <is>
          <t>☐</t>
        </is>
      </c>
      <c r="M666" s="25" t="n"/>
      <c r="N666" s="27" t="n">
        <v>0</v>
      </c>
      <c r="O666" s="28" t="n"/>
      <c r="P666" s="23" t="n"/>
      <c r="Q666" s="29" t="n"/>
      <c r="R666" s="29" t="n"/>
      <c r="S666" s="23" t="n"/>
      <c r="T666" s="30" t="n"/>
      <c r="U666" s="31" t="inlineStr">
        <is>
          <t>高</t>
        </is>
      </c>
      <c r="V666" s="32" t="inlineStr">
        <is>
          <t>公式サイトで確認。フリーダイヤル0120-218-455もあり</t>
        </is>
      </c>
      <c r="W666" s="33" t="inlineStr">
        <is>
          <t>開く</t>
        </is>
      </c>
    </row>
    <row r="667" ht="30" customHeight="1">
      <c r="A667" s="23" t="inlineStr">
        <is>
          <t>17石川県</t>
        </is>
      </c>
      <c r="B667" s="23" t="inlineStr">
        <is>
          <t>私立</t>
        </is>
      </c>
      <c r="C667" s="23" t="n"/>
      <c r="D667" s="23" t="inlineStr">
        <is>
          <t>金沢学院大学附属高等学校</t>
        </is>
      </c>
      <c r="E667" s="24" t="inlineStr">
        <is>
          <t>076-229-1180</t>
        </is>
      </c>
      <c r="F667" s="23" t="n"/>
      <c r="G667" s="25" t="inlineStr">
        <is>
          <t>普通科</t>
        </is>
      </c>
      <c r="H667" s="26" t="inlineStr">
        <is>
          <t>☐</t>
        </is>
      </c>
      <c r="I667" s="26" t="inlineStr">
        <is>
          <t>☐</t>
        </is>
      </c>
      <c r="J667" s="26" t="inlineStr">
        <is>
          <t>☐</t>
        </is>
      </c>
      <c r="K667" s="26" t="inlineStr">
        <is>
          <t>☐</t>
        </is>
      </c>
      <c r="L667" s="26" t="inlineStr">
        <is>
          <t>☐</t>
        </is>
      </c>
      <c r="M667" s="25" t="n"/>
      <c r="N667" s="27" t="n">
        <v>0</v>
      </c>
      <c r="O667" s="28" t="n"/>
      <c r="P667" s="23" t="n"/>
      <c r="Q667" s="29" t="n"/>
      <c r="R667" s="29" t="n"/>
      <c r="S667" s="23" t="n"/>
      <c r="T667" s="30" t="n"/>
      <c r="U667" s="31" t="inlineStr">
        <is>
          <t>高</t>
        </is>
      </c>
      <c r="V667" s="32" t="inlineStr">
        <is>
          <t>公式サイトに「代表」と記載</t>
        </is>
      </c>
      <c r="W667" s="33" t="inlineStr">
        <is>
          <t>開く</t>
        </is>
      </c>
    </row>
    <row r="668" ht="30" customHeight="1">
      <c r="A668" s="23" t="inlineStr">
        <is>
          <t>17石川県</t>
        </is>
      </c>
      <c r="B668" s="23" t="inlineStr">
        <is>
          <t>私立</t>
        </is>
      </c>
      <c r="C668" s="23" t="n"/>
      <c r="D668" s="23" t="inlineStr">
        <is>
          <t>金沢高等学校</t>
        </is>
      </c>
      <c r="E668" s="24" t="inlineStr">
        <is>
          <t>076-242-3321</t>
        </is>
      </c>
      <c r="F668" s="23" t="n"/>
      <c r="G668" s="25" t="inlineStr">
        <is>
          <t>普通科</t>
        </is>
      </c>
      <c r="H668" s="26" t="inlineStr">
        <is>
          <t>☐</t>
        </is>
      </c>
      <c r="I668" s="26" t="inlineStr">
        <is>
          <t>☐</t>
        </is>
      </c>
      <c r="J668" s="26" t="inlineStr">
        <is>
          <t>☐</t>
        </is>
      </c>
      <c r="K668" s="26" t="inlineStr">
        <is>
          <t>☐</t>
        </is>
      </c>
      <c r="L668" s="26" t="inlineStr">
        <is>
          <t>☐</t>
        </is>
      </c>
      <c r="M668" s="25" t="n"/>
      <c r="N668" s="27" t="n">
        <v>0</v>
      </c>
      <c r="O668" s="28" t="n"/>
      <c r="P668" s="23" t="n"/>
      <c r="Q668" s="29" t="n"/>
      <c r="R668" s="29" t="n"/>
      <c r="S668" s="23" t="n"/>
      <c r="T668" s="30" t="n"/>
      <c r="U668" s="31" t="inlineStr">
        <is>
          <t>高</t>
        </is>
      </c>
      <c r="V668" s="32" t="inlineStr">
        <is>
          <t>公式サイトと石川県の私立学校一覧で一致</t>
        </is>
      </c>
      <c r="W668" s="33" t="inlineStr">
        <is>
          <t>開く</t>
        </is>
      </c>
    </row>
    <row r="669" ht="30" customHeight="1">
      <c r="A669" s="23" t="inlineStr">
        <is>
          <t>17石川県</t>
        </is>
      </c>
      <c r="B669" s="23" t="inlineStr">
        <is>
          <t>私立</t>
        </is>
      </c>
      <c r="C669" s="23" t="n"/>
      <c r="D669" s="23" t="inlineStr">
        <is>
          <t>金沢龍谷高等学校</t>
        </is>
      </c>
      <c r="E669" s="24" t="inlineStr">
        <is>
          <t>076-240-7777</t>
        </is>
      </c>
      <c r="F669" s="23" t="n"/>
      <c r="G669" s="25" t="inlineStr">
        <is>
          <t>普通科</t>
        </is>
      </c>
      <c r="H669" s="26" t="inlineStr">
        <is>
          <t>☐</t>
        </is>
      </c>
      <c r="I669" s="26" t="inlineStr">
        <is>
          <t>☐</t>
        </is>
      </c>
      <c r="J669" s="26" t="inlineStr">
        <is>
          <t>☐</t>
        </is>
      </c>
      <c r="K669" s="26" t="inlineStr">
        <is>
          <t>☐</t>
        </is>
      </c>
      <c r="L669" s="26" t="inlineStr">
        <is>
          <t>☐</t>
        </is>
      </c>
      <c r="M669" s="25" t="n"/>
      <c r="N669" s="27" t="n">
        <v>0</v>
      </c>
      <c r="O669" s="28" t="n"/>
      <c r="P669" s="23" t="n"/>
      <c r="Q669" s="29" t="n"/>
      <c r="R669" s="29" t="n"/>
      <c r="S669" s="23" t="n"/>
      <c r="T669" s="30" t="n"/>
      <c r="U669" s="31" t="inlineStr">
        <is>
          <t>高</t>
        </is>
      </c>
      <c r="V669" s="32" t="inlineStr">
        <is>
          <t>公式サイトで確認。中等部と共通</t>
        </is>
      </c>
      <c r="W669" s="33" t="inlineStr">
        <is>
          <t>開く</t>
        </is>
      </c>
    </row>
    <row r="670" ht="30" customHeight="1">
      <c r="A670" s="23" t="inlineStr">
        <is>
          <t>17石川県</t>
        </is>
      </c>
      <c r="B670" s="23" t="inlineStr">
        <is>
          <t>私立</t>
        </is>
      </c>
      <c r="C670" s="23" t="n"/>
      <c r="D670" s="23" t="inlineStr">
        <is>
          <t>小松大谷高等学校</t>
        </is>
      </c>
      <c r="E670" s="24" t="inlineStr">
        <is>
          <t>0761-44-2551</t>
        </is>
      </c>
      <c r="F670" s="23" t="n"/>
      <c r="G670" s="25" t="inlineStr">
        <is>
          <t>普通科・専門学科</t>
        </is>
      </c>
      <c r="H670" s="26" t="inlineStr">
        <is>
          <t>☐</t>
        </is>
      </c>
      <c r="I670" s="26" t="inlineStr">
        <is>
          <t>☐</t>
        </is>
      </c>
      <c r="J670" s="26" t="inlineStr">
        <is>
          <t>☐</t>
        </is>
      </c>
      <c r="K670" s="26" t="inlineStr">
        <is>
          <t>☐</t>
        </is>
      </c>
      <c r="L670" s="26" t="inlineStr">
        <is>
          <t>☐</t>
        </is>
      </c>
      <c r="M670" s="25" t="n"/>
      <c r="N670" s="27" t="n">
        <v>0</v>
      </c>
      <c r="O670" s="28" t="n"/>
      <c r="P670" s="23" t="n"/>
      <c r="Q670" s="29" t="n"/>
      <c r="R670" s="29" t="n"/>
      <c r="S670" s="23" t="n"/>
      <c r="T670" s="30" t="n"/>
      <c r="U670" s="31" t="inlineStr">
        <is>
          <t>高</t>
        </is>
      </c>
      <c r="V670" s="32" t="inlineStr">
        <is>
          <t>公式サイトで確認。粟津学舎は0761-44-2552</t>
        </is>
      </c>
      <c r="W670" s="33" t="inlineStr">
        <is>
          <t>開く</t>
        </is>
      </c>
    </row>
    <row r="671" ht="30" customHeight="1">
      <c r="A671" s="23" t="inlineStr">
        <is>
          <t>17石川県</t>
        </is>
      </c>
      <c r="B671" s="23" t="inlineStr">
        <is>
          <t>私立</t>
        </is>
      </c>
      <c r="C671" s="23" t="n"/>
      <c r="D671" s="23" t="inlineStr">
        <is>
          <t>星稜高等学校</t>
        </is>
      </c>
      <c r="E671" s="24" t="inlineStr">
        <is>
          <t>076-252-2237</t>
        </is>
      </c>
      <c r="F671" s="23" t="n"/>
      <c r="G671" s="25" t="inlineStr">
        <is>
          <t>普通科</t>
        </is>
      </c>
      <c r="H671" s="26" t="inlineStr">
        <is>
          <t>☐</t>
        </is>
      </c>
      <c r="I671" s="26" t="inlineStr">
        <is>
          <t>☐</t>
        </is>
      </c>
      <c r="J671" s="26" t="inlineStr">
        <is>
          <t>☐</t>
        </is>
      </c>
      <c r="K671" s="26" t="inlineStr">
        <is>
          <t>☐</t>
        </is>
      </c>
      <c r="L671" s="26" t="inlineStr">
        <is>
          <t>☐</t>
        </is>
      </c>
      <c r="M671" s="25" t="n"/>
      <c r="N671" s="27" t="n">
        <v>0</v>
      </c>
      <c r="O671" s="28" t="n"/>
      <c r="P671" s="23" t="n"/>
      <c r="Q671" s="29" t="n"/>
      <c r="R671" s="29" t="n"/>
      <c r="S671" s="23" t="n"/>
      <c r="T671" s="30" t="n"/>
      <c r="U671" s="31" t="inlineStr">
        <is>
          <t>高</t>
        </is>
      </c>
      <c r="V671" s="32" t="inlineStr">
        <is>
          <t>公式サイトで確認</t>
        </is>
      </c>
      <c r="W671" s="33" t="inlineStr">
        <is>
          <t>開く</t>
        </is>
      </c>
    </row>
    <row r="672" ht="30" customHeight="1">
      <c r="A672" s="23" t="inlineStr">
        <is>
          <t>17石川県</t>
        </is>
      </c>
      <c r="B672" s="23" t="inlineStr">
        <is>
          <t>私立</t>
        </is>
      </c>
      <c r="C672" s="23" t="n"/>
      <c r="D672" s="23" t="inlineStr">
        <is>
          <t>日本航空高等学校石川</t>
        </is>
      </c>
      <c r="E672" s="24" t="inlineStr">
        <is>
          <t>0768-26-2255</t>
        </is>
      </c>
      <c r="F672" s="23" t="n"/>
      <c r="G672" s="25" t="inlineStr">
        <is>
          <t>専門学科</t>
        </is>
      </c>
      <c r="H672" s="26" t="inlineStr">
        <is>
          <t>☐</t>
        </is>
      </c>
      <c r="I672" s="26" t="inlineStr">
        <is>
          <t>☐</t>
        </is>
      </c>
      <c r="J672" s="26" t="inlineStr">
        <is>
          <t>☐</t>
        </is>
      </c>
      <c r="K672" s="26" t="inlineStr">
        <is>
          <t>☐</t>
        </is>
      </c>
      <c r="L672" s="26" t="inlineStr">
        <is>
          <t>☐</t>
        </is>
      </c>
      <c r="M672" s="25" t="n"/>
      <c r="N672" s="27" t="n">
        <v>0</v>
      </c>
      <c r="O672" s="28" t="n"/>
      <c r="P672" s="23" t="n"/>
      <c r="Q672" s="29" t="n"/>
      <c r="R672" s="29" t="n"/>
      <c r="S672" s="23" t="n"/>
      <c r="T672" s="30" t="n"/>
      <c r="U672" s="34" t="inlineStr">
        <is>
          <t>中</t>
        </is>
      </c>
      <c r="V672" s="32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W672" s="33" t="inlineStr">
        <is>
          <t>開く</t>
        </is>
      </c>
    </row>
    <row r="673" ht="30" customHeight="1">
      <c r="A673" s="23" t="inlineStr">
        <is>
          <t>17石川県</t>
        </is>
      </c>
      <c r="B673" s="23" t="inlineStr">
        <is>
          <t>私立</t>
        </is>
      </c>
      <c r="C673" s="23" t="n"/>
      <c r="D673" s="23" t="inlineStr">
        <is>
          <t>北陸学院高等学校</t>
        </is>
      </c>
      <c r="E673" s="24" t="inlineStr">
        <is>
          <t>076-221-1944</t>
        </is>
      </c>
      <c r="F673" s="23" t="n"/>
      <c r="G673" s="25" t="inlineStr">
        <is>
          <t>普通科</t>
        </is>
      </c>
      <c r="H673" s="26" t="inlineStr">
        <is>
          <t>☐</t>
        </is>
      </c>
      <c r="I673" s="26" t="inlineStr">
        <is>
          <t>☐</t>
        </is>
      </c>
      <c r="J673" s="26" t="inlineStr">
        <is>
          <t>☐</t>
        </is>
      </c>
      <c r="K673" s="26" t="inlineStr">
        <is>
          <t>☐</t>
        </is>
      </c>
      <c r="L673" s="26" t="inlineStr">
        <is>
          <t>☐</t>
        </is>
      </c>
      <c r="M673" s="25" t="n"/>
      <c r="N673" s="27" t="n">
        <v>0</v>
      </c>
      <c r="O673" s="28" t="n"/>
      <c r="P673" s="23" t="n"/>
      <c r="Q673" s="29" t="n"/>
      <c r="R673" s="29" t="n"/>
      <c r="S673" s="23" t="n"/>
      <c r="T673" s="30" t="n"/>
      <c r="U673" s="31" t="inlineStr">
        <is>
          <t>高</t>
        </is>
      </c>
      <c r="V673" s="32" t="inlineStr">
        <is>
          <t>公式サイトで確認（中高の問い合わせ先）</t>
        </is>
      </c>
      <c r="W673" s="33" t="inlineStr">
        <is>
          <t>開く</t>
        </is>
      </c>
    </row>
    <row r="674" ht="30" customHeight="1">
      <c r="A674" s="23" t="inlineStr">
        <is>
          <t>17石川県</t>
        </is>
      </c>
      <c r="B674" s="23" t="inlineStr">
        <is>
          <t>私立</t>
        </is>
      </c>
      <c r="C674" s="23" t="n"/>
      <c r="D674" s="23" t="inlineStr">
        <is>
          <t>遊学館高等学校</t>
        </is>
      </c>
      <c r="E674" s="24" t="inlineStr">
        <is>
          <t>076-262-8484</t>
        </is>
      </c>
      <c r="F674" s="23" t="n"/>
      <c r="G674" s="25" t="inlineStr">
        <is>
          <t>普通科</t>
        </is>
      </c>
      <c r="H674" s="26" t="inlineStr">
        <is>
          <t>☐</t>
        </is>
      </c>
      <c r="I674" s="26" t="inlineStr">
        <is>
          <t>☐</t>
        </is>
      </c>
      <c r="J674" s="26" t="inlineStr">
        <is>
          <t>☐</t>
        </is>
      </c>
      <c r="K674" s="26" t="inlineStr">
        <is>
          <t>☐</t>
        </is>
      </c>
      <c r="L674" s="26" t="inlineStr">
        <is>
          <t>☐</t>
        </is>
      </c>
      <c r="M674" s="25" t="n"/>
      <c r="N674" s="27" t="n">
        <v>0</v>
      </c>
      <c r="O674" s="28" t="n"/>
      <c r="P674" s="23" t="n"/>
      <c r="Q674" s="29" t="n"/>
      <c r="R674" s="29" t="n"/>
      <c r="S674" s="23" t="n"/>
      <c r="T674" s="30" t="n"/>
      <c r="U674" s="31" t="inlineStr">
        <is>
          <t>高</t>
        </is>
      </c>
      <c r="V674" s="32" t="inlineStr">
        <is>
          <t>複数サイトで一致、公式未確認</t>
        </is>
      </c>
      <c r="W674" s="33" t="inlineStr">
        <is>
          <t>開く</t>
        </is>
      </c>
    </row>
    <row r="675" ht="30" customHeight="1">
      <c r="A675" s="23" t="inlineStr">
        <is>
          <t>18福井県</t>
        </is>
      </c>
      <c r="B675" s="23" t="inlineStr">
        <is>
          <t>私立</t>
        </is>
      </c>
      <c r="C675" s="23" t="n"/>
      <c r="D675" s="23" t="inlineStr">
        <is>
          <t>啓新高等学校</t>
        </is>
      </c>
      <c r="E675" s="24" t="inlineStr">
        <is>
          <t>0776-23-3489</t>
        </is>
      </c>
      <c r="F675" s="23" t="n"/>
      <c r="G675" s="25" t="inlineStr">
        <is>
          <t>普通科・専門学科</t>
        </is>
      </c>
      <c r="H675" s="26" t="inlineStr">
        <is>
          <t>☐</t>
        </is>
      </c>
      <c r="I675" s="26" t="inlineStr">
        <is>
          <t>☐</t>
        </is>
      </c>
      <c r="J675" s="26" t="inlineStr">
        <is>
          <t>☐</t>
        </is>
      </c>
      <c r="K675" s="26" t="inlineStr">
        <is>
          <t>☐</t>
        </is>
      </c>
      <c r="L675" s="26" t="inlineStr">
        <is>
          <t>☐</t>
        </is>
      </c>
      <c r="M675" s="25" t="n"/>
      <c r="N675" s="27" t="n">
        <v>0</v>
      </c>
      <c r="O675" s="28" t="n"/>
      <c r="P675" s="23" t="n"/>
      <c r="Q675" s="29" t="n"/>
      <c r="R675" s="29" t="n"/>
      <c r="S675" s="23" t="n"/>
      <c r="T675" s="30" t="n"/>
      <c r="U675" s="31" t="inlineStr">
        <is>
          <t>高</t>
        </is>
      </c>
      <c r="V675" s="32" t="inlineStr">
        <is>
          <t>全日制の番号（公式サイト）。通信制課程は0776-63-6448</t>
        </is>
      </c>
      <c r="W675" s="33" t="inlineStr">
        <is>
          <t>開く</t>
        </is>
      </c>
    </row>
    <row r="676" ht="30" customHeight="1">
      <c r="A676" s="23" t="inlineStr">
        <is>
          <t>18福井県</t>
        </is>
      </c>
      <c r="B676" s="23" t="inlineStr">
        <is>
          <t>私立</t>
        </is>
      </c>
      <c r="C676" s="23" t="n"/>
      <c r="D676" s="23" t="inlineStr">
        <is>
          <t>仁愛女子高等学校</t>
        </is>
      </c>
      <c r="E676" s="24" t="inlineStr">
        <is>
          <t>0776-24-0493</t>
        </is>
      </c>
      <c r="F676" s="23" t="n"/>
      <c r="G676" s="25" t="inlineStr">
        <is>
          <t>普通科</t>
        </is>
      </c>
      <c r="H676" s="26" t="inlineStr">
        <is>
          <t>☐</t>
        </is>
      </c>
      <c r="I676" s="26" t="inlineStr">
        <is>
          <t>☐</t>
        </is>
      </c>
      <c r="J676" s="26" t="inlineStr">
        <is>
          <t>☐</t>
        </is>
      </c>
      <c r="K676" s="26" t="inlineStr">
        <is>
          <t>☐</t>
        </is>
      </c>
      <c r="L676" s="26" t="inlineStr">
        <is>
          <t>☐</t>
        </is>
      </c>
      <c r="M676" s="25" t="n"/>
      <c r="N676" s="27" t="n">
        <v>0</v>
      </c>
      <c r="O676" s="28" t="n"/>
      <c r="P676" s="23" t="n"/>
      <c r="Q676" s="29" t="n"/>
      <c r="R676" s="29" t="n"/>
      <c r="S676" s="23" t="n"/>
      <c r="T676" s="30" t="n"/>
      <c r="U676" s="31" t="inlineStr">
        <is>
          <t>高</t>
        </is>
      </c>
      <c r="V676" s="32" t="inlineStr">
        <is>
          <t>公式サイトで確認</t>
        </is>
      </c>
      <c r="W676" s="33" t="inlineStr">
        <is>
          <t>開く</t>
        </is>
      </c>
    </row>
    <row r="677" ht="30" customHeight="1">
      <c r="A677" s="23" t="inlineStr">
        <is>
          <t>18福井県</t>
        </is>
      </c>
      <c r="B677" s="23" t="inlineStr">
        <is>
          <t>私立</t>
        </is>
      </c>
      <c r="C677" s="23" t="n"/>
      <c r="D677" s="23" t="inlineStr">
        <is>
          <t>敦賀気比高等学校</t>
        </is>
      </c>
      <c r="E677" s="24" t="inlineStr">
        <is>
          <t>0770-24-2150</t>
        </is>
      </c>
      <c r="F677" s="23" t="n"/>
      <c r="G677" s="25" t="inlineStr">
        <is>
          <t>普通科</t>
        </is>
      </c>
      <c r="H677" s="26" t="inlineStr">
        <is>
          <t>☐</t>
        </is>
      </c>
      <c r="I677" s="26" t="inlineStr">
        <is>
          <t>☐</t>
        </is>
      </c>
      <c r="J677" s="26" t="inlineStr">
        <is>
          <t>☐</t>
        </is>
      </c>
      <c r="K677" s="26" t="inlineStr">
        <is>
          <t>☐</t>
        </is>
      </c>
      <c r="L677" s="26" t="inlineStr">
        <is>
          <t>☐</t>
        </is>
      </c>
      <c r="M677" s="25" t="n"/>
      <c r="N677" s="27" t="n">
        <v>0</v>
      </c>
      <c r="O677" s="28" t="n"/>
      <c r="P677" s="23" t="n"/>
      <c r="Q677" s="29" t="n"/>
      <c r="R677" s="29" t="n"/>
      <c r="S677" s="23" t="n"/>
      <c r="T677" s="30" t="n"/>
      <c r="U677" s="31" t="inlineStr">
        <is>
          <t>高</t>
        </is>
      </c>
      <c r="V677" s="32" t="inlineStr">
        <is>
          <t>公式サイトで確認</t>
        </is>
      </c>
      <c r="W677" s="33" t="inlineStr">
        <is>
          <t>開く</t>
        </is>
      </c>
    </row>
    <row r="678" ht="30" customHeight="1">
      <c r="A678" s="23" t="inlineStr">
        <is>
          <t>18福井県</t>
        </is>
      </c>
      <c r="B678" s="23" t="inlineStr">
        <is>
          <t>私立</t>
        </is>
      </c>
      <c r="C678" s="23" t="n"/>
      <c r="D678" s="23" t="inlineStr">
        <is>
          <t>福井工業大学附属福井高等学校</t>
        </is>
      </c>
      <c r="E678" s="24" t="inlineStr">
        <is>
          <t>0776-29-2630</t>
        </is>
      </c>
      <c r="F678" s="23" t="n"/>
      <c r="G678" s="25" t="inlineStr">
        <is>
          <t>普通科・専門学科</t>
        </is>
      </c>
      <c r="H678" s="26" t="inlineStr">
        <is>
          <t>☐</t>
        </is>
      </c>
      <c r="I678" s="26" t="inlineStr">
        <is>
          <t>☐</t>
        </is>
      </c>
      <c r="J678" s="26" t="inlineStr">
        <is>
          <t>☐</t>
        </is>
      </c>
      <c r="K678" s="26" t="inlineStr">
        <is>
          <t>☐</t>
        </is>
      </c>
      <c r="L678" s="26" t="inlineStr">
        <is>
          <t>☐</t>
        </is>
      </c>
      <c r="M678" s="25" t="n"/>
      <c r="N678" s="27" t="n">
        <v>0</v>
      </c>
      <c r="O678" s="28" t="n"/>
      <c r="P678" s="23" t="n"/>
      <c r="Q678" s="29" t="n"/>
      <c r="R678" s="29" t="n"/>
      <c r="S678" s="23" t="n"/>
      <c r="T678" s="30" t="n"/>
      <c r="U678" s="31" t="inlineStr">
        <is>
          <t>高</t>
        </is>
      </c>
      <c r="V678" s="32" t="inlineStr">
        <is>
          <t>公式サイトの問い合わせ・アクセスページで一致。0776-29-2640などの旧番号が残っているページもあり</t>
        </is>
      </c>
      <c r="W678" s="33" t="inlineStr">
        <is>
          <t>開く</t>
        </is>
      </c>
    </row>
    <row r="679" ht="30" customHeight="1">
      <c r="A679" s="23" t="inlineStr">
        <is>
          <t>18福井県</t>
        </is>
      </c>
      <c r="B679" s="23" t="inlineStr">
        <is>
          <t>私立</t>
        </is>
      </c>
      <c r="C679" s="23" t="n"/>
      <c r="D679" s="23" t="inlineStr">
        <is>
          <t>福井南高等学校</t>
        </is>
      </c>
      <c r="E679" s="24" t="inlineStr">
        <is>
          <t>0776-38-7711</t>
        </is>
      </c>
      <c r="F679" s="23" t="n"/>
      <c r="G679" s="25" t="inlineStr">
        <is>
          <t>総合学科</t>
        </is>
      </c>
      <c r="H679" s="26" t="inlineStr">
        <is>
          <t>☐</t>
        </is>
      </c>
      <c r="I679" s="26" t="inlineStr">
        <is>
          <t>☐</t>
        </is>
      </c>
      <c r="J679" s="26" t="inlineStr">
        <is>
          <t>☐</t>
        </is>
      </c>
      <c r="K679" s="26" t="inlineStr">
        <is>
          <t>☐</t>
        </is>
      </c>
      <c r="L679" s="26" t="inlineStr">
        <is>
          <t>☐</t>
        </is>
      </c>
      <c r="M679" s="25" t="n"/>
      <c r="N679" s="27" t="n">
        <v>0</v>
      </c>
      <c r="O679" s="28" t="n"/>
      <c r="P679" s="23" t="n"/>
      <c r="Q679" s="29" t="n"/>
      <c r="R679" s="29" t="n"/>
      <c r="S679" s="23" t="n"/>
      <c r="T679" s="30" t="n"/>
      <c r="U679" s="31" t="inlineStr">
        <is>
          <t>高</t>
        </is>
      </c>
      <c r="V679" s="32" t="inlineStr">
        <is>
          <t>公式サイトに「代表」と記載。定時制（昼間・単位制）</t>
        </is>
      </c>
      <c r="W679" s="33" t="inlineStr">
        <is>
          <t>開く</t>
        </is>
      </c>
    </row>
    <row r="680" ht="30" customHeight="1">
      <c r="A680" s="23" t="inlineStr">
        <is>
          <t>18福井県</t>
        </is>
      </c>
      <c r="B680" s="23" t="inlineStr">
        <is>
          <t>私立</t>
        </is>
      </c>
      <c r="C680" s="23" t="n"/>
      <c r="D680" s="23" t="inlineStr">
        <is>
          <t>北陸高等学校</t>
        </is>
      </c>
      <c r="E680" s="24" t="inlineStr">
        <is>
          <t>0776-23-0321</t>
        </is>
      </c>
      <c r="F680" s="23" t="n"/>
      <c r="G680" s="25" t="inlineStr">
        <is>
          <t>普通科・専門学科</t>
        </is>
      </c>
      <c r="H680" s="26" t="inlineStr">
        <is>
          <t>☐</t>
        </is>
      </c>
      <c r="I680" s="26" t="inlineStr">
        <is>
          <t>☐</t>
        </is>
      </c>
      <c r="J680" s="26" t="inlineStr">
        <is>
          <t>☐</t>
        </is>
      </c>
      <c r="K680" s="26" t="inlineStr">
        <is>
          <t>☐</t>
        </is>
      </c>
      <c r="L680" s="26" t="inlineStr">
        <is>
          <t>☐</t>
        </is>
      </c>
      <c r="M680" s="25" t="n"/>
      <c r="N680" s="27" t="n">
        <v>0</v>
      </c>
      <c r="O680" s="28" t="n"/>
      <c r="P680" s="23" t="n"/>
      <c r="Q680" s="29" t="n"/>
      <c r="R680" s="29" t="n"/>
      <c r="S680" s="23" t="n"/>
      <c r="T680" s="30" t="n"/>
      <c r="U680" s="31" t="inlineStr">
        <is>
          <t>高</t>
        </is>
      </c>
      <c r="V680" s="32" t="inlineStr">
        <is>
          <t>公式サイトで確認。北陸中学校は0776-24-0321。石川県の北陸学院とは別の学校</t>
        </is>
      </c>
      <c r="W680" s="33" t="inlineStr">
        <is>
          <t>開く</t>
        </is>
      </c>
    </row>
    <row r="681" ht="30" customHeight="1">
      <c r="A681" s="23" t="inlineStr">
        <is>
          <t>19山梨県</t>
        </is>
      </c>
      <c r="B681" s="23" t="inlineStr">
        <is>
          <t>私立</t>
        </is>
      </c>
      <c r="C681" s="23" t="n"/>
      <c r="D681" s="23" t="inlineStr">
        <is>
          <t>甲斐清和高等学校</t>
        </is>
      </c>
      <c r="E681" s="24" t="inlineStr">
        <is>
          <t>055-233-0127</t>
        </is>
      </c>
      <c r="F681" s="23" t="n"/>
      <c r="G681" s="25" t="inlineStr">
        <is>
          <t>普通科・専門学科</t>
        </is>
      </c>
      <c r="H681" s="26" t="inlineStr">
        <is>
          <t>☐</t>
        </is>
      </c>
      <c r="I681" s="26" t="inlineStr">
        <is>
          <t>☐</t>
        </is>
      </c>
      <c r="J681" s="26" t="inlineStr">
        <is>
          <t>☐</t>
        </is>
      </c>
      <c r="K681" s="26" t="inlineStr">
        <is>
          <t>☐</t>
        </is>
      </c>
      <c r="L681" s="26" t="inlineStr">
        <is>
          <t>☐</t>
        </is>
      </c>
      <c r="M681" s="25" t="n"/>
      <c r="N681" s="27" t="n">
        <v>0</v>
      </c>
      <c r="O681" s="28" t="n"/>
      <c r="P681" s="23" t="n"/>
      <c r="Q681" s="29" t="n"/>
      <c r="R681" s="29" t="n"/>
      <c r="S681" s="23" t="n"/>
      <c r="T681" s="30" t="n"/>
      <c r="U681" s="31" t="inlineStr">
        <is>
          <t>高</t>
        </is>
      </c>
      <c r="V681" s="32" t="inlineStr">
        <is>
          <t>2つの情報源で一致。通信制（寿町キャンパス）は055-221-7888</t>
        </is>
      </c>
      <c r="W681" s="33" t="inlineStr">
        <is>
          <t>開く</t>
        </is>
      </c>
    </row>
    <row r="682" ht="30" customHeight="1">
      <c r="A682" s="23" t="inlineStr">
        <is>
          <t>19山梨県</t>
        </is>
      </c>
      <c r="B682" s="23" t="inlineStr">
        <is>
          <t>私立</t>
        </is>
      </c>
      <c r="C682" s="23" t="n"/>
      <c r="D682" s="23" t="inlineStr">
        <is>
          <t>自然学園高等学校</t>
        </is>
      </c>
      <c r="E682" s="24" t="inlineStr">
        <is>
          <t>0551-45-0510</t>
        </is>
      </c>
      <c r="F682" s="23" t="n"/>
      <c r="G682" s="25" t="inlineStr">
        <is>
          <t>普通科</t>
        </is>
      </c>
      <c r="H682" s="26" t="inlineStr">
        <is>
          <t>☐</t>
        </is>
      </c>
      <c r="I682" s="26" t="inlineStr">
        <is>
          <t>☐</t>
        </is>
      </c>
      <c r="J682" s="26" t="inlineStr">
        <is>
          <t>☐</t>
        </is>
      </c>
      <c r="K682" s="26" t="inlineStr">
        <is>
          <t>☐</t>
        </is>
      </c>
      <c r="L682" s="26" t="inlineStr">
        <is>
          <t>☐</t>
        </is>
      </c>
      <c r="M682" s="25" t="n"/>
      <c r="N682" s="27" t="n">
        <v>0</v>
      </c>
      <c r="O682" s="28" t="n"/>
      <c r="P682" s="23" t="n"/>
      <c r="Q682" s="29" t="n"/>
      <c r="R682" s="29" t="n"/>
      <c r="S682" s="23" t="n"/>
      <c r="T682" s="30" t="n"/>
      <c r="U682" s="31" t="inlineStr">
        <is>
          <t>高</t>
        </is>
      </c>
      <c r="V682" s="32" t="inlineStr">
        <is>
          <t>通信制。須玉キャンパス（北杜市）の番号（公式サイト）。甲府キャンパスは055-237-0510</t>
        </is>
      </c>
      <c r="W682" s="33" t="inlineStr">
        <is>
          <t>開く</t>
        </is>
      </c>
    </row>
    <row r="683" ht="30" customHeight="1">
      <c r="A683" s="23" t="inlineStr">
        <is>
          <t>19山梨県</t>
        </is>
      </c>
      <c r="B683" s="23" t="inlineStr">
        <is>
          <t>私立</t>
        </is>
      </c>
      <c r="C683" s="23" t="n"/>
      <c r="D683" s="23" t="inlineStr">
        <is>
          <t>駿台甲府高等学校</t>
        </is>
      </c>
      <c r="E683" s="24" t="inlineStr">
        <is>
          <t>055-253-6211</t>
        </is>
      </c>
      <c r="F683" s="23" t="n"/>
      <c r="G683" s="25" t="inlineStr">
        <is>
          <t>普通科・専門学科</t>
        </is>
      </c>
      <c r="H683" s="26" t="inlineStr">
        <is>
          <t>☐</t>
        </is>
      </c>
      <c r="I683" s="26" t="inlineStr">
        <is>
          <t>☐</t>
        </is>
      </c>
      <c r="J683" s="26" t="inlineStr">
        <is>
          <t>☐</t>
        </is>
      </c>
      <c r="K683" s="26" t="inlineStr">
        <is>
          <t>☐</t>
        </is>
      </c>
      <c r="L683" s="26" t="inlineStr">
        <is>
          <t>☐</t>
        </is>
      </c>
      <c r="M683" s="25" t="n"/>
      <c r="N683" s="27" t="n">
        <v>0</v>
      </c>
      <c r="O683" s="28" t="n"/>
      <c r="P683" s="23" t="n"/>
      <c r="Q683" s="29" t="n"/>
      <c r="R683" s="29" t="n"/>
      <c r="S683" s="23" t="n"/>
      <c r="T683" s="30" t="n"/>
      <c r="U683" s="31" t="inlineStr">
        <is>
          <t>高</t>
        </is>
      </c>
      <c r="V683" s="32" t="inlineStr">
        <is>
          <t>公式サイトで確認（普通科・塩部キャンパス）。通信制は別番号</t>
        </is>
      </c>
      <c r="W683" s="33" t="inlineStr">
        <is>
          <t>開く</t>
        </is>
      </c>
    </row>
    <row r="684" ht="30" customHeight="1">
      <c r="A684" s="23" t="inlineStr">
        <is>
          <t>19山梨県</t>
        </is>
      </c>
      <c r="B684" s="23" t="inlineStr">
        <is>
          <t>私立</t>
        </is>
      </c>
      <c r="C684" s="23" t="n"/>
      <c r="D684" s="23" t="inlineStr">
        <is>
          <t>帝京第三高等学校</t>
        </is>
      </c>
      <c r="E684" s="24" t="inlineStr">
        <is>
          <t>0551-36-2411</t>
        </is>
      </c>
      <c r="F684" s="23" t="n"/>
      <c r="G684" s="25" t="inlineStr">
        <is>
          <t>普通科</t>
        </is>
      </c>
      <c r="H684" s="26" t="inlineStr">
        <is>
          <t>☐</t>
        </is>
      </c>
      <c r="I684" s="26" t="inlineStr">
        <is>
          <t>☐</t>
        </is>
      </c>
      <c r="J684" s="26" t="inlineStr">
        <is>
          <t>☐</t>
        </is>
      </c>
      <c r="K684" s="26" t="inlineStr">
        <is>
          <t>☐</t>
        </is>
      </c>
      <c r="L684" s="26" t="inlineStr">
        <is>
          <t>☐</t>
        </is>
      </c>
      <c r="M684" s="25" t="n"/>
      <c r="N684" s="27" t="n">
        <v>0</v>
      </c>
      <c r="O684" s="28" t="n"/>
      <c r="P684" s="23" t="n"/>
      <c r="Q684" s="29" t="n"/>
      <c r="R684" s="29" t="n"/>
      <c r="S684" s="23" t="n"/>
      <c r="T684" s="30" t="n"/>
      <c r="U684" s="31" t="inlineStr">
        <is>
          <t>高</t>
        </is>
      </c>
      <c r="V684" s="32" t="inlineStr">
        <is>
          <t>公式サイトで確認。【校名変更予定】2027年度から「帝京大学青峰高等学校」に改称予定との情報あり</t>
        </is>
      </c>
      <c r="W684" s="33" t="inlineStr">
        <is>
          <t>開く</t>
        </is>
      </c>
    </row>
    <row r="685" ht="30" customHeight="1">
      <c r="A685" s="23" t="inlineStr">
        <is>
          <t>19山梨県</t>
        </is>
      </c>
      <c r="B685" s="23" t="inlineStr">
        <is>
          <t>私立</t>
        </is>
      </c>
      <c r="C685" s="23" t="n"/>
      <c r="D685" s="23" t="inlineStr">
        <is>
          <t>東海大学付属甲府高等学校</t>
        </is>
      </c>
      <c r="E685" s="24" t="inlineStr">
        <is>
          <t>055-227-1111</t>
        </is>
      </c>
      <c r="F685" s="23" t="n"/>
      <c r="G685" s="25" t="inlineStr">
        <is>
          <t>普通科</t>
        </is>
      </c>
      <c r="H685" s="26" t="inlineStr">
        <is>
          <t>☐</t>
        </is>
      </c>
      <c r="I685" s="26" t="inlineStr">
        <is>
          <t>☐</t>
        </is>
      </c>
      <c r="J685" s="26" t="inlineStr">
        <is>
          <t>☐</t>
        </is>
      </c>
      <c r="K685" s="26" t="inlineStr">
        <is>
          <t>☐</t>
        </is>
      </c>
      <c r="L685" s="26" t="inlineStr">
        <is>
          <t>☐</t>
        </is>
      </c>
      <c r="M685" s="25" t="n"/>
      <c r="N685" s="27" t="n">
        <v>0</v>
      </c>
      <c r="O685" s="28" t="n"/>
      <c r="P685" s="23" t="n"/>
      <c r="Q685" s="29" t="n"/>
      <c r="R685" s="29" t="n"/>
      <c r="S685" s="23" t="n"/>
      <c r="T685" s="30" t="n"/>
      <c r="U685" s="31" t="inlineStr">
        <is>
          <t>高</t>
        </is>
      </c>
      <c r="V685" s="32" t="inlineStr">
        <is>
          <t>公式サイトに「代表」と記載</t>
        </is>
      </c>
      <c r="W685" s="33" t="inlineStr">
        <is>
          <t>開く</t>
        </is>
      </c>
    </row>
    <row r="686" ht="30" customHeight="1">
      <c r="A686" s="23" t="inlineStr">
        <is>
          <t>19山梨県</t>
        </is>
      </c>
      <c r="B686" s="23" t="inlineStr">
        <is>
          <t>私立</t>
        </is>
      </c>
      <c r="C686" s="23" t="n"/>
      <c r="D686" s="23" t="inlineStr">
        <is>
          <t>日本航空高等学校</t>
        </is>
      </c>
      <c r="E686" s="24" t="inlineStr">
        <is>
          <t>0551-28-3355</t>
        </is>
      </c>
      <c r="F686" s="23" t="n"/>
      <c r="G686" s="25" t="inlineStr">
        <is>
          <t>普通科・専門学科</t>
        </is>
      </c>
      <c r="H686" s="26" t="inlineStr">
        <is>
          <t>☐</t>
        </is>
      </c>
      <c r="I686" s="26" t="inlineStr">
        <is>
          <t>☐</t>
        </is>
      </c>
      <c r="J686" s="26" t="inlineStr">
        <is>
          <t>☐</t>
        </is>
      </c>
      <c r="K686" s="26" t="inlineStr">
        <is>
          <t>☐</t>
        </is>
      </c>
      <c r="L686" s="26" t="inlineStr">
        <is>
          <t>☐</t>
        </is>
      </c>
      <c r="M686" s="25" t="n"/>
      <c r="N686" s="27" t="n">
        <v>0</v>
      </c>
      <c r="O686" s="28" t="n"/>
      <c r="P686" s="23" t="n"/>
      <c r="Q686" s="29" t="n"/>
      <c r="R686" s="29" t="n"/>
      <c r="S686" s="23" t="n"/>
      <c r="T686" s="30" t="n"/>
      <c r="U686" s="31" t="inlineStr">
        <is>
          <t>高</t>
        </is>
      </c>
      <c r="V686" s="32" t="inlineStr">
        <is>
          <t>山梨キャンパス（公式サイト）。通信制は0551-28-0011。北海道キャンパスとは別</t>
        </is>
      </c>
      <c r="W686" s="33" t="inlineStr">
        <is>
          <t>開く</t>
        </is>
      </c>
    </row>
    <row r="687" ht="30" customHeight="1">
      <c r="A687" s="23" t="inlineStr">
        <is>
          <t>19山梨県</t>
        </is>
      </c>
      <c r="B687" s="23" t="inlineStr">
        <is>
          <t>私立</t>
        </is>
      </c>
      <c r="C687" s="23" t="n"/>
      <c r="D687" s="23" t="inlineStr">
        <is>
          <t>日本大学明誠高等学校</t>
        </is>
      </c>
      <c r="E687" s="24" t="inlineStr">
        <is>
          <t>0554-62-5161</t>
        </is>
      </c>
      <c r="F687" s="23" t="n"/>
      <c r="G687" s="25" t="inlineStr">
        <is>
          <t>普通科</t>
        </is>
      </c>
      <c r="H687" s="26" t="inlineStr">
        <is>
          <t>☐</t>
        </is>
      </c>
      <c r="I687" s="26" t="inlineStr">
        <is>
          <t>☐</t>
        </is>
      </c>
      <c r="J687" s="26" t="inlineStr">
        <is>
          <t>☐</t>
        </is>
      </c>
      <c r="K687" s="26" t="inlineStr">
        <is>
          <t>☐</t>
        </is>
      </c>
      <c r="L687" s="26" t="inlineStr">
        <is>
          <t>☐</t>
        </is>
      </c>
      <c r="M687" s="25" t="n"/>
      <c r="N687" s="27" t="n">
        <v>0</v>
      </c>
      <c r="O687" s="28" t="n"/>
      <c r="P687" s="23" t="n"/>
      <c r="Q687" s="29" t="n"/>
      <c r="R687" s="29" t="n"/>
      <c r="S687" s="23" t="n"/>
      <c r="T687" s="30" t="n"/>
      <c r="U687" s="31" t="inlineStr">
        <is>
          <t>高</t>
        </is>
      </c>
      <c r="V687" s="32" t="inlineStr">
        <is>
          <t>公式サイトで確認</t>
        </is>
      </c>
      <c r="W687" s="33" t="inlineStr">
        <is>
          <t>開く</t>
        </is>
      </c>
    </row>
    <row r="688" ht="30" customHeight="1">
      <c r="A688" s="23" t="inlineStr">
        <is>
          <t>19山梨県</t>
        </is>
      </c>
      <c r="B688" s="23" t="inlineStr">
        <is>
          <t>私立</t>
        </is>
      </c>
      <c r="C688" s="23" t="n"/>
      <c r="D688" s="23" t="inlineStr">
        <is>
          <t>富士学苑高等学校</t>
        </is>
      </c>
      <c r="E688" s="24" t="inlineStr">
        <is>
          <t>0555-22-0696</t>
        </is>
      </c>
      <c r="F688" s="23" t="n"/>
      <c r="G688" s="25" t="inlineStr">
        <is>
          <t>普通科</t>
        </is>
      </c>
      <c r="H688" s="26" t="inlineStr">
        <is>
          <t>☐</t>
        </is>
      </c>
      <c r="I688" s="26" t="inlineStr">
        <is>
          <t>☐</t>
        </is>
      </c>
      <c r="J688" s="26" t="inlineStr">
        <is>
          <t>☐</t>
        </is>
      </c>
      <c r="K688" s="26" t="inlineStr">
        <is>
          <t>☐</t>
        </is>
      </c>
      <c r="L688" s="26" t="inlineStr">
        <is>
          <t>☐</t>
        </is>
      </c>
      <c r="M688" s="25" t="n"/>
      <c r="N688" s="27" t="n">
        <v>0</v>
      </c>
      <c r="O688" s="28" t="n"/>
      <c r="P688" s="23" t="n"/>
      <c r="Q688" s="29" t="n"/>
      <c r="R688" s="29" t="n"/>
      <c r="S688" s="23" t="n"/>
      <c r="T688" s="30" t="n"/>
      <c r="U688" s="31" t="inlineStr">
        <is>
          <t>高</t>
        </is>
      </c>
      <c r="V688" s="32" t="inlineStr">
        <is>
          <t>公式サイトで確認</t>
        </is>
      </c>
      <c r="W688" s="33" t="inlineStr">
        <is>
          <t>開く</t>
        </is>
      </c>
    </row>
    <row r="689" ht="30" customHeight="1">
      <c r="A689" s="23" t="inlineStr">
        <is>
          <t>19山梨県</t>
        </is>
      </c>
      <c r="B689" s="23" t="inlineStr">
        <is>
          <t>私立</t>
        </is>
      </c>
      <c r="C689" s="23" t="n"/>
      <c r="D689" s="23" t="inlineStr">
        <is>
          <t>身延山高等学校</t>
        </is>
      </c>
      <c r="E689" s="24" t="inlineStr">
        <is>
          <t>0556-62-3500</t>
        </is>
      </c>
      <c r="F689" s="23" t="n"/>
      <c r="G689" s="25" t="inlineStr">
        <is>
          <t>普通科</t>
        </is>
      </c>
      <c r="H689" s="26" t="inlineStr">
        <is>
          <t>☐</t>
        </is>
      </c>
      <c r="I689" s="26" t="inlineStr">
        <is>
          <t>☐</t>
        </is>
      </c>
      <c r="J689" s="26" t="inlineStr">
        <is>
          <t>☐</t>
        </is>
      </c>
      <c r="K689" s="26" t="inlineStr">
        <is>
          <t>☐</t>
        </is>
      </c>
      <c r="L689" s="26" t="inlineStr">
        <is>
          <t>☐</t>
        </is>
      </c>
      <c r="M689" s="25" t="n"/>
      <c r="N689" s="27" t="n">
        <v>0</v>
      </c>
      <c r="O689" s="28" t="n"/>
      <c r="P689" s="23" t="n"/>
      <c r="Q689" s="29" t="n"/>
      <c r="R689" s="29" t="n"/>
      <c r="S689" s="23" t="n"/>
      <c r="T689" s="30" t="n"/>
      <c r="U689" s="31" t="inlineStr">
        <is>
          <t>高</t>
        </is>
      </c>
      <c r="V689" s="32" t="inlineStr">
        <is>
          <t>公式サイトで確認。県立身延高校（0556-62-1045）とは別の学校</t>
        </is>
      </c>
      <c r="W689" s="33" t="inlineStr">
        <is>
          <t>開く</t>
        </is>
      </c>
    </row>
    <row r="690" ht="30" customHeight="1">
      <c r="A690" s="23" t="inlineStr">
        <is>
          <t>19山梨県</t>
        </is>
      </c>
      <c r="B690" s="23" t="inlineStr">
        <is>
          <t>私立</t>
        </is>
      </c>
      <c r="C690" s="23" t="n"/>
      <c r="D690" s="23" t="inlineStr">
        <is>
          <t>山梨英和高等学校</t>
        </is>
      </c>
      <c r="E690" s="24" t="inlineStr">
        <is>
          <t>055-252-6187</t>
        </is>
      </c>
      <c r="F690" s="23" t="n"/>
      <c r="G690" s="25" t="inlineStr">
        <is>
          <t>普通科</t>
        </is>
      </c>
      <c r="H690" s="26" t="inlineStr">
        <is>
          <t>☐</t>
        </is>
      </c>
      <c r="I690" s="26" t="inlineStr">
        <is>
          <t>☐</t>
        </is>
      </c>
      <c r="J690" s="26" t="inlineStr">
        <is>
          <t>☐</t>
        </is>
      </c>
      <c r="K690" s="26" t="inlineStr">
        <is>
          <t>☐</t>
        </is>
      </c>
      <c r="L690" s="26" t="inlineStr">
        <is>
          <t>☐</t>
        </is>
      </c>
      <c r="M690" s="25" t="n"/>
      <c r="N690" s="27" t="n">
        <v>0</v>
      </c>
      <c r="O690" s="28" t="n"/>
      <c r="P690" s="23" t="n"/>
      <c r="Q690" s="29" t="n"/>
      <c r="R690" s="29" t="n"/>
      <c r="S690" s="23" t="n"/>
      <c r="T690" s="30" t="n"/>
      <c r="U690" s="31" t="inlineStr">
        <is>
          <t>高</t>
        </is>
      </c>
      <c r="V690" s="32" t="inlineStr">
        <is>
          <t>公式サイトで確認（高校の番号）。中学校は055-252-6184、法人本部は055-223-6010</t>
        </is>
      </c>
      <c r="W690" s="33" t="inlineStr">
        <is>
          <t>開く</t>
        </is>
      </c>
    </row>
    <row r="691" ht="30" customHeight="1">
      <c r="A691" s="23" t="inlineStr">
        <is>
          <t>19山梨県</t>
        </is>
      </c>
      <c r="B691" s="23" t="inlineStr">
        <is>
          <t>私立</t>
        </is>
      </c>
      <c r="C691" s="23" t="n"/>
      <c r="D691" s="23" t="inlineStr">
        <is>
          <t>山梨学院高等学校</t>
        </is>
      </c>
      <c r="E691" s="24" t="inlineStr">
        <is>
          <t>055-224-1600</t>
        </is>
      </c>
      <c r="F691" s="23" t="n"/>
      <c r="G691" s="25" t="inlineStr">
        <is>
          <t>普通科</t>
        </is>
      </c>
      <c r="H691" s="26" t="inlineStr">
        <is>
          <t>☐</t>
        </is>
      </c>
      <c r="I691" s="26" t="inlineStr">
        <is>
          <t>☐</t>
        </is>
      </c>
      <c r="J691" s="26" t="inlineStr">
        <is>
          <t>☐</t>
        </is>
      </c>
      <c r="K691" s="26" t="inlineStr">
        <is>
          <t>☐</t>
        </is>
      </c>
      <c r="L691" s="26" t="inlineStr">
        <is>
          <t>☐</t>
        </is>
      </c>
      <c r="M691" s="25" t="n"/>
      <c r="N691" s="27" t="n">
        <v>0</v>
      </c>
      <c r="O691" s="28" t="n"/>
      <c r="P691" s="23" t="n"/>
      <c r="Q691" s="29" t="n"/>
      <c r="R691" s="29" t="n"/>
      <c r="S691" s="23" t="n"/>
      <c r="T691" s="30" t="n"/>
      <c r="U691" s="31" t="inlineStr">
        <is>
          <t>高</t>
        </is>
      </c>
      <c r="V691" s="32" t="inlineStr">
        <is>
          <t>公式サイトに「代表」と記載。通信制は055-224-1414</t>
        </is>
      </c>
      <c r="W691" s="33" t="inlineStr">
        <is>
          <t>開く</t>
        </is>
      </c>
    </row>
    <row r="692" ht="30" customHeight="1">
      <c r="A692" s="23" t="inlineStr">
        <is>
          <t>20長野県</t>
        </is>
      </c>
      <c r="B692" s="23" t="inlineStr">
        <is>
          <t>私立</t>
        </is>
      </c>
      <c r="C692" s="23" t="n"/>
      <c r="D692" s="23" t="inlineStr">
        <is>
          <t>飯田女子高等学校</t>
        </is>
      </c>
      <c r="E692" s="24" t="inlineStr">
        <is>
          <t>0265-22-1386</t>
        </is>
      </c>
      <c r="F692" s="23" t="n"/>
      <c r="G692" s="25" t="inlineStr">
        <is>
          <t>普通科</t>
        </is>
      </c>
      <c r="H692" s="26" t="inlineStr">
        <is>
          <t>☐</t>
        </is>
      </c>
      <c r="I692" s="26" t="inlineStr">
        <is>
          <t>☐</t>
        </is>
      </c>
      <c r="J692" s="26" t="inlineStr">
        <is>
          <t>☐</t>
        </is>
      </c>
      <c r="K692" s="26" t="inlineStr">
        <is>
          <t>☐</t>
        </is>
      </c>
      <c r="L692" s="26" t="inlineStr">
        <is>
          <t>☐</t>
        </is>
      </c>
      <c r="M692" s="25" t="n"/>
      <c r="N692" s="27" t="n">
        <v>0</v>
      </c>
      <c r="O692" s="28" t="n"/>
      <c r="P692" s="23" t="n"/>
      <c r="Q692" s="29" t="n"/>
      <c r="R692" s="29" t="n"/>
      <c r="S692" s="23" t="n"/>
      <c r="T692" s="30" t="n"/>
      <c r="U692" s="31" t="inlineStr">
        <is>
          <t>高</t>
        </is>
      </c>
      <c r="V692" s="32" t="inlineStr">
        <is>
          <t>公式サイトで確認</t>
        </is>
      </c>
      <c r="W692" s="33" t="inlineStr">
        <is>
          <t>開く</t>
        </is>
      </c>
    </row>
    <row r="693" ht="30" customHeight="1">
      <c r="A693" s="23" t="inlineStr">
        <is>
          <t>20長野県</t>
        </is>
      </c>
      <c r="B693" s="23" t="inlineStr">
        <is>
          <t>私立</t>
        </is>
      </c>
      <c r="C693" s="23" t="n"/>
      <c r="D693" s="23" t="inlineStr">
        <is>
          <t>伊那西高等学校</t>
        </is>
      </c>
      <c r="E693" s="24" t="inlineStr">
        <is>
          <t>0265-72-4091</t>
        </is>
      </c>
      <c r="F693" s="23" t="n"/>
      <c r="G693" s="25" t="inlineStr">
        <is>
          <t>普通科</t>
        </is>
      </c>
      <c r="H693" s="26" t="inlineStr">
        <is>
          <t>☐</t>
        </is>
      </c>
      <c r="I693" s="26" t="inlineStr">
        <is>
          <t>☐</t>
        </is>
      </c>
      <c r="J693" s="26" t="inlineStr">
        <is>
          <t>☐</t>
        </is>
      </c>
      <c r="K693" s="26" t="inlineStr">
        <is>
          <t>☐</t>
        </is>
      </c>
      <c r="L693" s="26" t="inlineStr">
        <is>
          <t>☐</t>
        </is>
      </c>
      <c r="M693" s="25" t="n"/>
      <c r="N693" s="27" t="n">
        <v>0</v>
      </c>
      <c r="O693" s="28" t="n"/>
      <c r="P693" s="23" t="n"/>
      <c r="Q693" s="29" t="n"/>
      <c r="R693" s="29" t="n"/>
      <c r="S693" s="23" t="n"/>
      <c r="T693" s="30" t="n"/>
      <c r="U693" s="31" t="inlineStr">
        <is>
          <t>高</t>
        </is>
      </c>
      <c r="V693" s="32" t="inlineStr">
        <is>
          <t>公式サイトで確認</t>
        </is>
      </c>
      <c r="W693" s="33" t="inlineStr">
        <is>
          <t>開く</t>
        </is>
      </c>
    </row>
    <row r="694" ht="30" customHeight="1">
      <c r="A694" s="23" t="inlineStr">
        <is>
          <t>20長野県</t>
        </is>
      </c>
      <c r="B694" s="23" t="inlineStr">
        <is>
          <t>私立</t>
        </is>
      </c>
      <c r="C694" s="23" t="n"/>
      <c r="D694" s="23" t="inlineStr">
        <is>
          <t>上田西高等学校</t>
        </is>
      </c>
      <c r="E694" s="24" t="inlineStr">
        <is>
          <t>0268-22-0412</t>
        </is>
      </c>
      <c r="F694" s="23" t="n"/>
      <c r="G694" s="25" t="inlineStr">
        <is>
          <t>普通科</t>
        </is>
      </c>
      <c r="H694" s="26" t="inlineStr">
        <is>
          <t>☐</t>
        </is>
      </c>
      <c r="I694" s="26" t="inlineStr">
        <is>
          <t>☐</t>
        </is>
      </c>
      <c r="J694" s="26" t="inlineStr">
        <is>
          <t>☐</t>
        </is>
      </c>
      <c r="K694" s="26" t="inlineStr">
        <is>
          <t>☐</t>
        </is>
      </c>
      <c r="L694" s="26" t="inlineStr">
        <is>
          <t>☐</t>
        </is>
      </c>
      <c r="M694" s="25" t="n"/>
      <c r="N694" s="27" t="n">
        <v>0</v>
      </c>
      <c r="O694" s="28" t="n"/>
      <c r="P694" s="23" t="n"/>
      <c r="Q694" s="29" t="n"/>
      <c r="R694" s="29" t="n"/>
      <c r="S694" s="23" t="n"/>
      <c r="T694" s="30" t="n"/>
      <c r="U694" s="31" t="inlineStr">
        <is>
          <t>高</t>
        </is>
      </c>
      <c r="V694" s="32" t="inlineStr">
        <is>
          <t>公式サイトで確認</t>
        </is>
      </c>
      <c r="W694" s="33" t="inlineStr">
        <is>
          <t>開く</t>
        </is>
      </c>
    </row>
    <row r="695" ht="30" customHeight="1">
      <c r="A695" s="23" t="inlineStr">
        <is>
          <t>20長野県</t>
        </is>
      </c>
      <c r="B695" s="23" t="inlineStr">
        <is>
          <t>私立</t>
        </is>
      </c>
      <c r="C695" s="23" t="n"/>
      <c r="D695" s="23" t="inlineStr">
        <is>
          <t>エクセラン高等学校</t>
        </is>
      </c>
      <c r="E695" s="24" t="inlineStr">
        <is>
          <t>0263-32-3701</t>
        </is>
      </c>
      <c r="F695" s="23" t="n"/>
      <c r="G695" s="25" t="inlineStr">
        <is>
          <t>普通科・専門学科</t>
        </is>
      </c>
      <c r="H695" s="26" t="inlineStr">
        <is>
          <t>☐</t>
        </is>
      </c>
      <c r="I695" s="26" t="inlineStr">
        <is>
          <t>☐</t>
        </is>
      </c>
      <c r="J695" s="26" t="inlineStr">
        <is>
          <t>☐</t>
        </is>
      </c>
      <c r="K695" s="26" t="inlineStr">
        <is>
          <t>☐</t>
        </is>
      </c>
      <c r="L695" s="26" t="inlineStr">
        <is>
          <t>☐</t>
        </is>
      </c>
      <c r="M695" s="25" t="n"/>
      <c r="N695" s="27" t="n">
        <v>0</v>
      </c>
      <c r="O695" s="28" t="n"/>
      <c r="P695" s="23" t="n"/>
      <c r="Q695" s="29" t="n"/>
      <c r="R695" s="29" t="n"/>
      <c r="S695" s="23" t="n"/>
      <c r="T695" s="30" t="n"/>
      <c r="U695" s="31" t="inlineStr">
        <is>
          <t>高</t>
        </is>
      </c>
      <c r="V695" s="32" t="inlineStr">
        <is>
          <t>公式サイトの事務室の番号</t>
        </is>
      </c>
      <c r="W695" s="33" t="inlineStr">
        <is>
          <t>開く</t>
        </is>
      </c>
    </row>
    <row r="696" ht="30" customHeight="1">
      <c r="A696" s="23" t="inlineStr">
        <is>
          <t>20長野県</t>
        </is>
      </c>
      <c r="B696" s="23" t="inlineStr">
        <is>
          <t>私立</t>
        </is>
      </c>
      <c r="C696" s="23" t="n"/>
      <c r="D696" s="23" t="inlineStr">
        <is>
          <t>佐久長聖高等学校</t>
        </is>
      </c>
      <c r="E696" s="24" t="inlineStr">
        <is>
          <t>0267-68-5588</t>
        </is>
      </c>
      <c r="F696" s="23" t="n"/>
      <c r="G696" s="25" t="inlineStr">
        <is>
          <t>普通科</t>
        </is>
      </c>
      <c r="H696" s="26" t="inlineStr">
        <is>
          <t>☐</t>
        </is>
      </c>
      <c r="I696" s="26" t="inlineStr">
        <is>
          <t>☐</t>
        </is>
      </c>
      <c r="J696" s="26" t="inlineStr">
        <is>
          <t>☐</t>
        </is>
      </c>
      <c r="K696" s="26" t="inlineStr">
        <is>
          <t>☐</t>
        </is>
      </c>
      <c r="L696" s="26" t="inlineStr">
        <is>
          <t>☐</t>
        </is>
      </c>
      <c r="M696" s="25" t="n"/>
      <c r="N696" s="27" t="n">
        <v>0</v>
      </c>
      <c r="O696" s="28" t="n"/>
      <c r="P696" s="23" t="n"/>
      <c r="Q696" s="29" t="n"/>
      <c r="R696" s="29" t="n"/>
      <c r="S696" s="23" t="n"/>
      <c r="T696" s="30" t="n"/>
      <c r="U696" s="31" t="inlineStr">
        <is>
          <t>高</t>
        </is>
      </c>
      <c r="V696" s="32" t="inlineStr">
        <is>
          <t>公式サイトで確認。中学校は別番号（0267-68-6688）</t>
        </is>
      </c>
      <c r="W696" s="33" t="inlineStr">
        <is>
          <t>開く</t>
        </is>
      </c>
    </row>
    <row r="697" ht="30" customHeight="1">
      <c r="A697" s="23" t="inlineStr">
        <is>
          <t>20長野県</t>
        </is>
      </c>
      <c r="B697" s="23" t="inlineStr">
        <is>
          <t>私立</t>
        </is>
      </c>
      <c r="C697" s="23" t="n"/>
      <c r="D697" s="23" t="inlineStr">
        <is>
          <t>さくら国際高等学校</t>
        </is>
      </c>
      <c r="E697" s="24" t="inlineStr">
        <is>
          <t>0268-39-7707</t>
        </is>
      </c>
      <c r="F697" s="23" t="n"/>
      <c r="G697" s="25" t="inlineStr">
        <is>
          <t>普通科</t>
        </is>
      </c>
      <c r="H697" s="26" t="inlineStr">
        <is>
          <t>☐</t>
        </is>
      </c>
      <c r="I697" s="26" t="inlineStr">
        <is>
          <t>☐</t>
        </is>
      </c>
      <c r="J697" s="26" t="inlineStr">
        <is>
          <t>☐</t>
        </is>
      </c>
      <c r="K697" s="26" t="inlineStr">
        <is>
          <t>☐</t>
        </is>
      </c>
      <c r="L697" s="26" t="inlineStr">
        <is>
          <t>☐</t>
        </is>
      </c>
      <c r="M697" s="25" t="n"/>
      <c r="N697" s="27" t="n">
        <v>0</v>
      </c>
      <c r="O697" s="28" t="n"/>
      <c r="P697" s="23" t="n"/>
      <c r="Q697" s="29" t="n"/>
      <c r="R697" s="29" t="n"/>
      <c r="S697" s="23" t="n"/>
      <c r="T697" s="30" t="n"/>
      <c r="U697" s="31" t="inlineStr">
        <is>
          <t>高</t>
        </is>
      </c>
      <c r="V697" s="32" t="inlineStr">
        <is>
          <t>通信制。上田本校の番号（公式サイト）</t>
        </is>
      </c>
      <c r="W697" s="33" t="inlineStr">
        <is>
          <t>開く</t>
        </is>
      </c>
    </row>
    <row r="698" ht="30" customHeight="1">
      <c r="A698" s="23" t="inlineStr">
        <is>
          <t>20長野県</t>
        </is>
      </c>
      <c r="B698" s="23" t="inlineStr">
        <is>
          <t>私立</t>
        </is>
      </c>
      <c r="C698" s="23" t="n"/>
      <c r="D698" s="23" t="inlineStr">
        <is>
          <t>信濃むつみ高等学校</t>
        </is>
      </c>
      <c r="E698" s="24" t="inlineStr">
        <is>
          <t>0263-27-3700</t>
        </is>
      </c>
      <c r="F698" s="23" t="n"/>
      <c r="G698" s="25" t="inlineStr">
        <is>
          <t>普通科</t>
        </is>
      </c>
      <c r="H698" s="26" t="inlineStr">
        <is>
          <t>☐</t>
        </is>
      </c>
      <c r="I698" s="26" t="inlineStr">
        <is>
          <t>☐</t>
        </is>
      </c>
      <c r="J698" s="26" t="inlineStr">
        <is>
          <t>☐</t>
        </is>
      </c>
      <c r="K698" s="26" t="inlineStr">
        <is>
          <t>☐</t>
        </is>
      </c>
      <c r="L698" s="26" t="inlineStr">
        <is>
          <t>☐</t>
        </is>
      </c>
      <c r="M698" s="25" t="n"/>
      <c r="N698" s="27" t="n">
        <v>0</v>
      </c>
      <c r="O698" s="28" t="n"/>
      <c r="P698" s="23" t="n"/>
      <c r="Q698" s="29" t="n"/>
      <c r="R698" s="29" t="n"/>
      <c r="S698" s="23" t="n"/>
      <c r="T698" s="30" t="n"/>
      <c r="U698" s="31" t="inlineStr">
        <is>
          <t>高</t>
        </is>
      </c>
      <c r="V698" s="32" t="inlineStr">
        <is>
          <t>通信制。公式サイトで確認（平日9:30〜18:30）</t>
        </is>
      </c>
      <c r="W698" s="33" t="inlineStr">
        <is>
          <t>開く</t>
        </is>
      </c>
    </row>
    <row r="699" ht="30" customHeight="1">
      <c r="A699" s="23" t="inlineStr">
        <is>
          <t>20長野県</t>
        </is>
      </c>
      <c r="B699" s="23" t="inlineStr">
        <is>
          <t>私立</t>
        </is>
      </c>
      <c r="C699" s="23" t="n"/>
      <c r="D699" s="23" t="inlineStr">
        <is>
          <t>地球環境高等学校</t>
        </is>
      </c>
      <c r="E699" s="24" t="inlineStr">
        <is>
          <t>0267-63-1411</t>
        </is>
      </c>
      <c r="F699" s="23" t="n"/>
      <c r="G699" s="25" t="inlineStr">
        <is>
          <t>普通科</t>
        </is>
      </c>
      <c r="H699" s="26" t="inlineStr">
        <is>
          <t>☐</t>
        </is>
      </c>
      <c r="I699" s="26" t="inlineStr">
        <is>
          <t>☐</t>
        </is>
      </c>
      <c r="J699" s="26" t="inlineStr">
        <is>
          <t>☐</t>
        </is>
      </c>
      <c r="K699" s="26" t="inlineStr">
        <is>
          <t>☐</t>
        </is>
      </c>
      <c r="L699" s="26" t="inlineStr">
        <is>
          <t>☐</t>
        </is>
      </c>
      <c r="M699" s="25" t="n"/>
      <c r="N699" s="27" t="n">
        <v>0</v>
      </c>
      <c r="O699" s="28" t="n"/>
      <c r="P699" s="23" t="n"/>
      <c r="Q699" s="29" t="n"/>
      <c r="R699" s="29" t="n"/>
      <c r="S699" s="23" t="n"/>
      <c r="T699" s="30" t="n"/>
      <c r="U699" s="31" t="inlineStr">
        <is>
          <t>高</t>
        </is>
      </c>
      <c r="V699" s="32" t="inlineStr">
        <is>
          <t>通信制。佐久本校の番号（公式サイト）。フリーダイヤル0120-390-117もあり</t>
        </is>
      </c>
      <c r="W699" s="33" t="inlineStr">
        <is>
          <t>開く</t>
        </is>
      </c>
    </row>
    <row r="700" ht="30" customHeight="1">
      <c r="A700" s="23" t="inlineStr">
        <is>
          <t>20長野県</t>
        </is>
      </c>
      <c r="B700" s="23" t="inlineStr">
        <is>
          <t>私立</t>
        </is>
      </c>
      <c r="C700" s="23" t="n"/>
      <c r="D700" s="23" t="inlineStr">
        <is>
          <t>天龍興譲高等学校</t>
        </is>
      </c>
      <c r="E700" s="24" t="n"/>
      <c r="F700" s="23" t="n"/>
      <c r="G700" s="25" t="inlineStr">
        <is>
          <t>普通科</t>
        </is>
      </c>
      <c r="H700" s="26" t="inlineStr">
        <is>
          <t>☐</t>
        </is>
      </c>
      <c r="I700" s="26" t="inlineStr">
        <is>
          <t>☐</t>
        </is>
      </c>
      <c r="J700" s="26" t="inlineStr">
        <is>
          <t>☐</t>
        </is>
      </c>
      <c r="K700" s="26" t="inlineStr">
        <is>
          <t>☐</t>
        </is>
      </c>
      <c r="L700" s="26" t="inlineStr">
        <is>
          <t>☐</t>
        </is>
      </c>
      <c r="M700" s="25" t="n"/>
      <c r="N700" s="27" t="n">
        <v>0</v>
      </c>
      <c r="O700" s="28" t="n"/>
      <c r="P700" s="23" t="n"/>
      <c r="Q700" s="29" t="n"/>
      <c r="R700" s="29" t="n"/>
      <c r="S700" s="23" t="n"/>
      <c r="T700" s="30" t="n"/>
      <c r="U700" s="35" t="inlineStr">
        <is>
          <t>要調査</t>
        </is>
      </c>
      <c r="V700" s="32" t="inlineStr">
        <is>
          <t>通信制。【閉校の可能性】法人サイトに「閉校のお知らせ」あり。候補：0260-32-3581（高校総務部）／0260-32-3755（学園相談室）</t>
        </is>
      </c>
      <c r="W700" s="33" t="inlineStr">
        <is>
          <t>開く</t>
        </is>
      </c>
    </row>
    <row r="701" ht="30" customHeight="1">
      <c r="A701" s="23" t="inlineStr">
        <is>
          <t>20長野県</t>
        </is>
      </c>
      <c r="B701" s="23" t="inlineStr">
        <is>
          <t>私立</t>
        </is>
      </c>
      <c r="C701" s="23" t="n"/>
      <c r="D701" s="23" t="inlineStr">
        <is>
          <t>東海大学付属諏訪高等学校</t>
        </is>
      </c>
      <c r="E701" s="24" t="inlineStr">
        <is>
          <t>0266-72-3147</t>
        </is>
      </c>
      <c r="F701" s="23" t="n"/>
      <c r="G701" s="25" t="inlineStr">
        <is>
          <t>普通科・専門学科</t>
        </is>
      </c>
      <c r="H701" s="26" t="inlineStr">
        <is>
          <t>☐</t>
        </is>
      </c>
      <c r="I701" s="26" t="inlineStr">
        <is>
          <t>☐</t>
        </is>
      </c>
      <c r="J701" s="26" t="inlineStr">
        <is>
          <t>☐</t>
        </is>
      </c>
      <c r="K701" s="26" t="inlineStr">
        <is>
          <t>☐</t>
        </is>
      </c>
      <c r="L701" s="26" t="inlineStr">
        <is>
          <t>☐</t>
        </is>
      </c>
      <c r="M701" s="25" t="n"/>
      <c r="N701" s="27" t="n">
        <v>0</v>
      </c>
      <c r="O701" s="28" t="n"/>
      <c r="P701" s="23" t="n"/>
      <c r="Q701" s="29" t="n"/>
      <c r="R701" s="29" t="n"/>
      <c r="S701" s="23" t="n"/>
      <c r="T701" s="30" t="n"/>
      <c r="U701" s="31" t="inlineStr">
        <is>
          <t>高</t>
        </is>
      </c>
      <c r="V701" s="32" t="inlineStr">
        <is>
          <t>公式サイトに「代表」と記載</t>
        </is>
      </c>
      <c r="W701" s="33" t="inlineStr">
        <is>
          <t>開く</t>
        </is>
      </c>
    </row>
    <row r="702" ht="30" customHeight="1">
      <c r="A702" s="23" t="inlineStr">
        <is>
          <t>20長野県</t>
        </is>
      </c>
      <c r="B702" s="23" t="inlineStr">
        <is>
          <t>私立</t>
        </is>
      </c>
      <c r="C702" s="23" t="n"/>
      <c r="D702" s="23" t="inlineStr">
        <is>
          <t>東京都市大学塩尻高等学校</t>
        </is>
      </c>
      <c r="E702" s="24" t="inlineStr">
        <is>
          <t>0263-88-0104</t>
        </is>
      </c>
      <c r="F702" s="23" t="n"/>
      <c r="G702" s="25" t="inlineStr">
        <is>
          <t>普通科</t>
        </is>
      </c>
      <c r="H702" s="26" t="inlineStr">
        <is>
          <t>☐</t>
        </is>
      </c>
      <c r="I702" s="26" t="inlineStr">
        <is>
          <t>☐</t>
        </is>
      </c>
      <c r="J702" s="26" t="inlineStr">
        <is>
          <t>☐</t>
        </is>
      </c>
      <c r="K702" s="26" t="inlineStr">
        <is>
          <t>☐</t>
        </is>
      </c>
      <c r="L702" s="26" t="inlineStr">
        <is>
          <t>☐</t>
        </is>
      </c>
      <c r="M702" s="25" t="n"/>
      <c r="N702" s="27" t="n">
        <v>0</v>
      </c>
      <c r="O702" s="28" t="n"/>
      <c r="P702" s="23" t="n"/>
      <c r="Q702" s="29" t="n"/>
      <c r="R702" s="29" t="n"/>
      <c r="S702" s="23" t="n"/>
      <c r="T702" s="30" t="n"/>
      <c r="U702" s="31" t="inlineStr">
        <is>
          <t>高</t>
        </is>
      </c>
      <c r="V702" s="32" t="inlineStr">
        <is>
          <t>公式サイトほかで一致</t>
        </is>
      </c>
      <c r="W702" s="33" t="inlineStr">
        <is>
          <t>開く</t>
        </is>
      </c>
    </row>
    <row r="703" ht="30" customHeight="1">
      <c r="A703" s="23" t="inlineStr">
        <is>
          <t>20長野県</t>
        </is>
      </c>
      <c r="B703" s="23" t="inlineStr">
        <is>
          <t>私立</t>
        </is>
      </c>
      <c r="C703" s="23" t="n"/>
      <c r="D703" s="23" t="inlineStr">
        <is>
          <t>長野俊英高等学校</t>
        </is>
      </c>
      <c r="E703" s="24" t="inlineStr">
        <is>
          <t>026-292-0726</t>
        </is>
      </c>
      <c r="F703" s="23" t="n"/>
      <c r="G703" s="25" t="inlineStr">
        <is>
          <t>普通科</t>
        </is>
      </c>
      <c r="H703" s="26" t="inlineStr">
        <is>
          <t>☐</t>
        </is>
      </c>
      <c r="I703" s="26" t="inlineStr">
        <is>
          <t>☐</t>
        </is>
      </c>
      <c r="J703" s="26" t="inlineStr">
        <is>
          <t>☐</t>
        </is>
      </c>
      <c r="K703" s="26" t="inlineStr">
        <is>
          <t>☐</t>
        </is>
      </c>
      <c r="L703" s="26" t="inlineStr">
        <is>
          <t>☐</t>
        </is>
      </c>
      <c r="M703" s="25" t="n"/>
      <c r="N703" s="27" t="n">
        <v>0</v>
      </c>
      <c r="O703" s="28" t="n"/>
      <c r="P703" s="23" t="n"/>
      <c r="Q703" s="29" t="n"/>
      <c r="R703" s="29" t="n"/>
      <c r="S703" s="23" t="n"/>
      <c r="T703" s="30" t="n"/>
      <c r="U703" s="31" t="inlineStr">
        <is>
          <t>高</t>
        </is>
      </c>
      <c r="V703" s="32" t="inlineStr">
        <is>
          <t>2つの情報源で一致</t>
        </is>
      </c>
      <c r="W703" s="33" t="inlineStr">
        <is>
          <t>開く</t>
        </is>
      </c>
    </row>
    <row r="704" ht="30" customHeight="1">
      <c r="A704" s="23" t="inlineStr">
        <is>
          <t>20長野県</t>
        </is>
      </c>
      <c r="B704" s="23" t="inlineStr">
        <is>
          <t>私立</t>
        </is>
      </c>
      <c r="C704" s="23" t="n"/>
      <c r="D704" s="23" t="inlineStr">
        <is>
          <t>長野女子高等学校</t>
        </is>
      </c>
      <c r="E704" s="24" t="inlineStr">
        <is>
          <t>026-241-6800</t>
        </is>
      </c>
      <c r="F704" s="23" t="n"/>
      <c r="G704" s="25" t="inlineStr">
        <is>
          <t>普通科</t>
        </is>
      </c>
      <c r="H704" s="26" t="inlineStr">
        <is>
          <t>☐</t>
        </is>
      </c>
      <c r="I704" s="26" t="inlineStr">
        <is>
          <t>☐</t>
        </is>
      </c>
      <c r="J704" s="26" t="inlineStr">
        <is>
          <t>☐</t>
        </is>
      </c>
      <c r="K704" s="26" t="inlineStr">
        <is>
          <t>☐</t>
        </is>
      </c>
      <c r="L704" s="26" t="inlineStr">
        <is>
          <t>☐</t>
        </is>
      </c>
      <c r="M704" s="25" t="n"/>
      <c r="N704" s="27" t="n">
        <v>0</v>
      </c>
      <c r="O704" s="28" t="n"/>
      <c r="P704" s="23" t="n"/>
      <c r="Q704" s="29" t="n"/>
      <c r="R704" s="29" t="n"/>
      <c r="S704" s="23" t="n"/>
      <c r="T704" s="30" t="n"/>
      <c r="U704" s="31" t="inlineStr">
        <is>
          <t>高</t>
        </is>
      </c>
      <c r="V704" s="32" t="inlineStr">
        <is>
          <t>【休校中】長野県の私立高校名簿（2026年4月時点）に「休校中」と記載。架電の要否をご判断ください</t>
        </is>
      </c>
      <c r="W704" s="33" t="inlineStr">
        <is>
          <t>開く</t>
        </is>
      </c>
    </row>
    <row r="705" ht="30" customHeight="1">
      <c r="A705" s="23" t="inlineStr">
        <is>
          <t>20長野県</t>
        </is>
      </c>
      <c r="B705" s="23" t="inlineStr">
        <is>
          <t>私立</t>
        </is>
      </c>
      <c r="C705" s="23" t="n"/>
      <c r="D705" s="23" t="inlineStr">
        <is>
          <t>長野清泉女学院高等学校</t>
        </is>
      </c>
      <c r="E705" s="24" t="inlineStr">
        <is>
          <t>026-234-2301</t>
        </is>
      </c>
      <c r="F705" s="23" t="n"/>
      <c r="G705" s="25" t="inlineStr">
        <is>
          <t>普通科</t>
        </is>
      </c>
      <c r="H705" s="26" t="inlineStr">
        <is>
          <t>☐</t>
        </is>
      </c>
      <c r="I705" s="26" t="inlineStr">
        <is>
          <t>☐</t>
        </is>
      </c>
      <c r="J705" s="26" t="inlineStr">
        <is>
          <t>☐</t>
        </is>
      </c>
      <c r="K705" s="26" t="inlineStr">
        <is>
          <t>☐</t>
        </is>
      </c>
      <c r="L705" s="26" t="inlineStr">
        <is>
          <t>☐</t>
        </is>
      </c>
      <c r="M705" s="25" t="n"/>
      <c r="N705" s="27" t="n">
        <v>0</v>
      </c>
      <c r="O705" s="28" t="n"/>
      <c r="P705" s="23" t="n"/>
      <c r="Q705" s="29" t="n"/>
      <c r="R705" s="29" t="n"/>
      <c r="S705" s="23" t="n"/>
      <c r="T705" s="30" t="n"/>
      <c r="U705" s="31" t="inlineStr">
        <is>
          <t>高</t>
        </is>
      </c>
      <c r="V705" s="32" t="inlineStr">
        <is>
          <t>公式サイトで確認。中高共通。026-219-1650は大学の番号</t>
        </is>
      </c>
      <c r="W705" s="33" t="inlineStr">
        <is>
          <t>開く</t>
        </is>
      </c>
    </row>
    <row r="706" ht="30" customHeight="1">
      <c r="A706" s="23" t="inlineStr">
        <is>
          <t>20長野県</t>
        </is>
      </c>
      <c r="B706" s="23" t="inlineStr">
        <is>
          <t>私立</t>
        </is>
      </c>
      <c r="C706" s="23" t="n"/>
      <c r="D706" s="23" t="inlineStr">
        <is>
          <t>長野日本大学高等学校</t>
        </is>
      </c>
      <c r="E706" s="24" t="inlineStr">
        <is>
          <t>026-243-1079</t>
        </is>
      </c>
      <c r="F706" s="23" t="n"/>
      <c r="G706" s="25" t="inlineStr">
        <is>
          <t>普通科</t>
        </is>
      </c>
      <c r="H706" s="26" t="inlineStr">
        <is>
          <t>☐</t>
        </is>
      </c>
      <c r="I706" s="26" t="inlineStr">
        <is>
          <t>☐</t>
        </is>
      </c>
      <c r="J706" s="26" t="inlineStr">
        <is>
          <t>☐</t>
        </is>
      </c>
      <c r="K706" s="26" t="inlineStr">
        <is>
          <t>☐</t>
        </is>
      </c>
      <c r="L706" s="26" t="inlineStr">
        <is>
          <t>☐</t>
        </is>
      </c>
      <c r="M706" s="25" t="n"/>
      <c r="N706" s="27" t="n">
        <v>0</v>
      </c>
      <c r="O706" s="28" t="n"/>
      <c r="P706" s="23" t="n"/>
      <c r="Q706" s="29" t="n"/>
      <c r="R706" s="29" t="n"/>
      <c r="S706" s="23" t="n"/>
      <c r="T706" s="30" t="n"/>
      <c r="U706" s="31" t="inlineStr">
        <is>
          <t>高</t>
        </is>
      </c>
      <c r="V706" s="32" t="inlineStr">
        <is>
          <t>複数の情報源で一致</t>
        </is>
      </c>
      <c r="W706" s="33" t="inlineStr">
        <is>
          <t>開く</t>
        </is>
      </c>
    </row>
    <row r="707" ht="30" customHeight="1">
      <c r="A707" s="23" t="inlineStr">
        <is>
          <t>20長野県</t>
        </is>
      </c>
      <c r="B707" s="23" t="inlineStr">
        <is>
          <t>私立</t>
        </is>
      </c>
      <c r="C707" s="23" t="n"/>
      <c r="D707" s="23" t="inlineStr">
        <is>
          <t>文化学園長野高等学校</t>
        </is>
      </c>
      <c r="E707" s="24" t="inlineStr">
        <is>
          <t>026-226-8386</t>
        </is>
      </c>
      <c r="F707" s="23" t="n"/>
      <c r="G707" s="25" t="inlineStr">
        <is>
          <t>普通科</t>
        </is>
      </c>
      <c r="H707" s="26" t="inlineStr">
        <is>
          <t>☐</t>
        </is>
      </c>
      <c r="I707" s="26" t="inlineStr">
        <is>
          <t>☐</t>
        </is>
      </c>
      <c r="J707" s="26" t="inlineStr">
        <is>
          <t>☐</t>
        </is>
      </c>
      <c r="K707" s="26" t="inlineStr">
        <is>
          <t>☐</t>
        </is>
      </c>
      <c r="L707" s="26" t="inlineStr">
        <is>
          <t>☐</t>
        </is>
      </c>
      <c r="M707" s="25" t="n"/>
      <c r="N707" s="27" t="n">
        <v>0</v>
      </c>
      <c r="O707" s="28" t="n"/>
      <c r="P707" s="23" t="n"/>
      <c r="Q707" s="29" t="n"/>
      <c r="R707" s="29" t="n"/>
      <c r="S707" s="23" t="n"/>
      <c r="T707" s="30" t="n"/>
      <c r="U707" s="31" t="inlineStr">
        <is>
          <t>高</t>
        </is>
      </c>
      <c r="V707" s="32" t="inlineStr">
        <is>
          <t>法人の公式サイトとマピオンで一致</t>
        </is>
      </c>
      <c r="W707" s="33" t="inlineStr">
        <is>
          <t>開く</t>
        </is>
      </c>
    </row>
    <row r="708" ht="30" customHeight="1">
      <c r="A708" s="23" t="inlineStr">
        <is>
          <t>20長野県</t>
        </is>
      </c>
      <c r="B708" s="23" t="inlineStr">
        <is>
          <t>私立</t>
        </is>
      </c>
      <c r="C708" s="23" t="n"/>
      <c r="D708" s="23" t="inlineStr">
        <is>
          <t>松商学園高等学校</t>
        </is>
      </c>
      <c r="E708" s="24" t="inlineStr">
        <is>
          <t>0263-33-1210</t>
        </is>
      </c>
      <c r="F708" s="23" t="n"/>
      <c r="G708" s="25" t="inlineStr">
        <is>
          <t>普通科・専門学科</t>
        </is>
      </c>
      <c r="H708" s="26" t="inlineStr">
        <is>
          <t>☐</t>
        </is>
      </c>
      <c r="I708" s="26" t="inlineStr">
        <is>
          <t>☐</t>
        </is>
      </c>
      <c r="J708" s="26" t="inlineStr">
        <is>
          <t>☐</t>
        </is>
      </c>
      <c r="K708" s="26" t="inlineStr">
        <is>
          <t>☐</t>
        </is>
      </c>
      <c r="L708" s="26" t="inlineStr">
        <is>
          <t>☐</t>
        </is>
      </c>
      <c r="M708" s="25" t="n"/>
      <c r="N708" s="27" t="n">
        <v>0</v>
      </c>
      <c r="O708" s="28" t="n"/>
      <c r="P708" s="23" t="n"/>
      <c r="Q708" s="29" t="n"/>
      <c r="R708" s="29" t="n"/>
      <c r="S708" s="23" t="n"/>
      <c r="T708" s="30" t="n"/>
      <c r="U708" s="31" t="inlineStr">
        <is>
          <t>高</t>
        </is>
      </c>
      <c r="V708" s="32" t="inlineStr">
        <is>
          <t>公式サイトで確認（0263-33-1212を載せるサイトは誤り）。通信制は0263-48-7285</t>
        </is>
      </c>
      <c r="W708" s="33" t="inlineStr">
        <is>
          <t>開く</t>
        </is>
      </c>
    </row>
    <row r="709" ht="30" customHeight="1">
      <c r="A709" s="23" t="inlineStr">
        <is>
          <t>20長野県</t>
        </is>
      </c>
      <c r="B709" s="23" t="inlineStr">
        <is>
          <t>私立</t>
        </is>
      </c>
      <c r="C709" s="23" t="n"/>
      <c r="D709" s="23" t="inlineStr">
        <is>
          <t>松本国際高等学校</t>
        </is>
      </c>
      <c r="E709" s="24" t="inlineStr">
        <is>
          <t>0263-88-0033</t>
        </is>
      </c>
      <c r="F709" s="23" t="n"/>
      <c r="G709" s="25" t="inlineStr">
        <is>
          <t>普通科・専門学科</t>
        </is>
      </c>
      <c r="H709" s="26" t="inlineStr">
        <is>
          <t>☐</t>
        </is>
      </c>
      <c r="I709" s="26" t="inlineStr">
        <is>
          <t>☐</t>
        </is>
      </c>
      <c r="J709" s="26" t="inlineStr">
        <is>
          <t>☐</t>
        </is>
      </c>
      <c r="K709" s="26" t="inlineStr">
        <is>
          <t>☐</t>
        </is>
      </c>
      <c r="L709" s="26" t="inlineStr">
        <is>
          <t>☐</t>
        </is>
      </c>
      <c r="M709" s="25" t="n"/>
      <c r="N709" s="27" t="n">
        <v>0</v>
      </c>
      <c r="O709" s="28" t="n"/>
      <c r="P709" s="23" t="n"/>
      <c r="Q709" s="29" t="n"/>
      <c r="R709" s="29" t="n"/>
      <c r="S709" s="23" t="n"/>
      <c r="T709" s="30" t="n"/>
      <c r="U709" s="31" t="inlineStr">
        <is>
          <t>高</t>
        </is>
      </c>
      <c r="V709" s="32" t="inlineStr">
        <is>
          <t>公式サイトで確認。通信教育部は0263-88-2592</t>
        </is>
      </c>
      <c r="W709" s="33" t="inlineStr">
        <is>
          <t>開く</t>
        </is>
      </c>
    </row>
    <row r="710" ht="30" customHeight="1">
      <c r="A710" s="23" t="inlineStr">
        <is>
          <t>20長野県</t>
        </is>
      </c>
      <c r="B710" s="23" t="inlineStr">
        <is>
          <t>私立</t>
        </is>
      </c>
      <c r="C710" s="23" t="n"/>
      <c r="D710" s="23" t="inlineStr">
        <is>
          <t>松本第一高等学校</t>
        </is>
      </c>
      <c r="E710" s="24" t="inlineStr">
        <is>
          <t>0263-46-0555</t>
        </is>
      </c>
      <c r="F710" s="23" t="n"/>
      <c r="G710" s="25" t="inlineStr">
        <is>
          <t>普通科・専門学科</t>
        </is>
      </c>
      <c r="H710" s="26" t="inlineStr">
        <is>
          <t>☐</t>
        </is>
      </c>
      <c r="I710" s="26" t="inlineStr">
        <is>
          <t>☐</t>
        </is>
      </c>
      <c r="J710" s="26" t="inlineStr">
        <is>
          <t>☐</t>
        </is>
      </c>
      <c r="K710" s="26" t="inlineStr">
        <is>
          <t>☐</t>
        </is>
      </c>
      <c r="L710" s="26" t="inlineStr">
        <is>
          <t>☐</t>
        </is>
      </c>
      <c r="M710" s="25" t="n"/>
      <c r="N710" s="27" t="n">
        <v>0</v>
      </c>
      <c r="O710" s="28" t="n"/>
      <c r="P710" s="23" t="n"/>
      <c r="Q710" s="29" t="n"/>
      <c r="R710" s="29" t="n"/>
      <c r="S710" s="23" t="n"/>
      <c r="T710" s="30" t="n"/>
      <c r="U710" s="31" t="inlineStr">
        <is>
          <t>高</t>
        </is>
      </c>
      <c r="V710" s="32" t="inlineStr">
        <is>
          <t>公式サイトで確認</t>
        </is>
      </c>
      <c r="W710" s="33" t="inlineStr">
        <is>
          <t>開く</t>
        </is>
      </c>
    </row>
    <row r="711" ht="30" customHeight="1">
      <c r="A711" s="23" t="inlineStr">
        <is>
          <t>21岐阜県</t>
        </is>
      </c>
      <c r="B711" s="23" t="inlineStr">
        <is>
          <t>私立</t>
        </is>
      </c>
      <c r="C711" s="23" t="n"/>
      <c r="D711" s="23" t="inlineStr">
        <is>
          <t>鶯谷高等学校</t>
        </is>
      </c>
      <c r="E711" s="24" t="inlineStr">
        <is>
          <t>058-265-7571</t>
        </is>
      </c>
      <c r="F711" s="23" t="n"/>
      <c r="G711" s="25" t="inlineStr">
        <is>
          <t>普通科</t>
        </is>
      </c>
      <c r="H711" s="26" t="inlineStr">
        <is>
          <t>☐</t>
        </is>
      </c>
      <c r="I711" s="26" t="inlineStr">
        <is>
          <t>☐</t>
        </is>
      </c>
      <c r="J711" s="26" t="inlineStr">
        <is>
          <t>☐</t>
        </is>
      </c>
      <c r="K711" s="26" t="inlineStr">
        <is>
          <t>☐</t>
        </is>
      </c>
      <c r="L711" s="26" t="inlineStr">
        <is>
          <t>☐</t>
        </is>
      </c>
      <c r="M711" s="25" t="n"/>
      <c r="N711" s="27" t="n">
        <v>0</v>
      </c>
      <c r="O711" s="28" t="n"/>
      <c r="P711" s="23" t="n"/>
      <c r="Q711" s="29" t="n"/>
      <c r="R711" s="29" t="n"/>
      <c r="S711" s="23" t="n"/>
      <c r="T711" s="30" t="n"/>
      <c r="U711" s="31" t="inlineStr">
        <is>
          <t>高</t>
        </is>
      </c>
      <c r="V711" s="32" t="inlineStr">
        <is>
          <t>代表として掲載。中高共通</t>
        </is>
      </c>
      <c r="W711" s="33" t="inlineStr">
        <is>
          <t>開く</t>
        </is>
      </c>
    </row>
    <row r="712" ht="30" customHeight="1">
      <c r="A712" s="23" t="inlineStr">
        <is>
          <t>21岐阜県</t>
        </is>
      </c>
      <c r="B712" s="23" t="inlineStr">
        <is>
          <t>私立</t>
        </is>
      </c>
      <c r="C712" s="23" t="n"/>
      <c r="D712" s="23" t="inlineStr">
        <is>
          <t>大垣日本大学高等学校</t>
        </is>
      </c>
      <c r="E712" s="24" t="inlineStr">
        <is>
          <t>0584-81-7323</t>
        </is>
      </c>
      <c r="F712" s="23" t="n"/>
      <c r="G712" s="25" t="inlineStr">
        <is>
          <t>普通科</t>
        </is>
      </c>
      <c r="H712" s="26" t="inlineStr">
        <is>
          <t>☐</t>
        </is>
      </c>
      <c r="I712" s="26" t="inlineStr">
        <is>
          <t>☐</t>
        </is>
      </c>
      <c r="J712" s="26" t="inlineStr">
        <is>
          <t>☐</t>
        </is>
      </c>
      <c r="K712" s="26" t="inlineStr">
        <is>
          <t>☐</t>
        </is>
      </c>
      <c r="L712" s="26" t="inlineStr">
        <is>
          <t>☐</t>
        </is>
      </c>
      <c r="M712" s="25" t="n"/>
      <c r="N712" s="27" t="n">
        <v>0</v>
      </c>
      <c r="O712" s="28" t="n"/>
      <c r="P712" s="23" t="n"/>
      <c r="Q712" s="29" t="n"/>
      <c r="R712" s="29" t="n"/>
      <c r="S712" s="23" t="n"/>
      <c r="T712" s="30" t="n"/>
      <c r="U712" s="31" t="inlineStr">
        <is>
          <t>高</t>
        </is>
      </c>
      <c r="V712" s="32" t="inlineStr">
        <is>
          <t>公式サイトと岐阜県の資料で一致</t>
        </is>
      </c>
      <c r="W712" s="33" t="inlineStr">
        <is>
          <t>開く</t>
        </is>
      </c>
    </row>
    <row r="713" ht="30" customHeight="1">
      <c r="A713" s="23" t="inlineStr">
        <is>
          <t>21岐阜県</t>
        </is>
      </c>
      <c r="B713" s="23" t="inlineStr">
        <is>
          <t>私立</t>
        </is>
      </c>
      <c r="C713" s="23" t="n"/>
      <c r="D713" s="23" t="inlineStr">
        <is>
          <t>ぎふ国際高等学校</t>
        </is>
      </c>
      <c r="E713" s="24" t="inlineStr">
        <is>
          <t>058-251-8181</t>
        </is>
      </c>
      <c r="F713" s="23" t="n"/>
      <c r="G713" s="25" t="inlineStr">
        <is>
          <t>普通科</t>
        </is>
      </c>
      <c r="H713" s="26" t="inlineStr">
        <is>
          <t>☐</t>
        </is>
      </c>
      <c r="I713" s="26" t="inlineStr">
        <is>
          <t>☐</t>
        </is>
      </c>
      <c r="J713" s="26" t="inlineStr">
        <is>
          <t>☐</t>
        </is>
      </c>
      <c r="K713" s="26" t="inlineStr">
        <is>
          <t>☐</t>
        </is>
      </c>
      <c r="L713" s="26" t="inlineStr">
        <is>
          <t>☐</t>
        </is>
      </c>
      <c r="M713" s="25" t="n"/>
      <c r="N713" s="27" t="n">
        <v>0</v>
      </c>
      <c r="O713" s="28" t="n"/>
      <c r="P713" s="23" t="n"/>
      <c r="Q713" s="29" t="n"/>
      <c r="R713" s="29" t="n"/>
      <c r="S713" s="23" t="n"/>
      <c r="T713" s="30" t="n"/>
      <c r="U713" s="31" t="inlineStr">
        <is>
          <t>高</t>
        </is>
      </c>
      <c r="V713" s="32" t="inlineStr">
        <is>
          <t>通信制。公式サイトと岐阜県の資料で一致</t>
        </is>
      </c>
      <c r="W713" s="33" t="inlineStr">
        <is>
          <t>開く</t>
        </is>
      </c>
    </row>
    <row r="714" ht="30" customHeight="1">
      <c r="A714" s="23" t="inlineStr">
        <is>
          <t>21岐阜県</t>
        </is>
      </c>
      <c r="B714" s="23" t="inlineStr">
        <is>
          <t>私立</t>
        </is>
      </c>
      <c r="C714" s="23" t="n"/>
      <c r="D714" s="23" t="inlineStr">
        <is>
          <t>岐阜聖徳学園高等学校</t>
        </is>
      </c>
      <c r="E714" s="24" t="inlineStr">
        <is>
          <t>058-271-5451</t>
        </is>
      </c>
      <c r="F714" s="23" t="n"/>
      <c r="G714" s="25" t="inlineStr">
        <is>
          <t>普通科・専門学科</t>
        </is>
      </c>
      <c r="H714" s="26" t="inlineStr">
        <is>
          <t>☐</t>
        </is>
      </c>
      <c r="I714" s="26" t="inlineStr">
        <is>
          <t>☐</t>
        </is>
      </c>
      <c r="J714" s="26" t="inlineStr">
        <is>
          <t>☐</t>
        </is>
      </c>
      <c r="K714" s="26" t="inlineStr">
        <is>
          <t>☐</t>
        </is>
      </c>
      <c r="L714" s="26" t="inlineStr">
        <is>
          <t>☐</t>
        </is>
      </c>
      <c r="M714" s="25" t="n"/>
      <c r="N714" s="27" t="n">
        <v>0</v>
      </c>
      <c r="O714" s="28" t="n"/>
      <c r="P714" s="23" t="n"/>
      <c r="Q714" s="29" t="n"/>
      <c r="R714" s="29" t="n"/>
      <c r="S714" s="23" t="n"/>
      <c r="T714" s="30" t="n"/>
      <c r="U714" s="31" t="inlineStr">
        <is>
          <t>高</t>
        </is>
      </c>
      <c r="V714" s="32" t="inlineStr">
        <is>
          <t>公式サイトで確認。法人本部（058-279-3300）とは別</t>
        </is>
      </c>
      <c r="W714" s="33" t="inlineStr">
        <is>
          <t>開く</t>
        </is>
      </c>
    </row>
    <row r="715" ht="30" customHeight="1">
      <c r="A715" s="23" t="inlineStr">
        <is>
          <t>21岐阜県</t>
        </is>
      </c>
      <c r="B715" s="23" t="inlineStr">
        <is>
          <t>私立</t>
        </is>
      </c>
      <c r="C715" s="23" t="n"/>
      <c r="D715" s="23" t="inlineStr">
        <is>
          <t>岐阜女子高等学校</t>
        </is>
      </c>
      <c r="E715" s="24" t="inlineStr">
        <is>
          <t>058-245-2670</t>
        </is>
      </c>
      <c r="F715" s="23" t="n"/>
      <c r="G715" s="25" t="inlineStr">
        <is>
          <t>普通科・専門学科</t>
        </is>
      </c>
      <c r="H715" s="26" t="inlineStr">
        <is>
          <t>☐</t>
        </is>
      </c>
      <c r="I715" s="26" t="inlineStr">
        <is>
          <t>☐</t>
        </is>
      </c>
      <c r="J715" s="26" t="inlineStr">
        <is>
          <t>☐</t>
        </is>
      </c>
      <c r="K715" s="26" t="inlineStr">
        <is>
          <t>☐</t>
        </is>
      </c>
      <c r="L715" s="26" t="inlineStr">
        <is>
          <t>☐</t>
        </is>
      </c>
      <c r="M715" s="25" t="n"/>
      <c r="N715" s="27" t="n">
        <v>0</v>
      </c>
      <c r="O715" s="28" t="n"/>
      <c r="P715" s="23" t="n"/>
      <c r="Q715" s="29" t="n"/>
      <c r="R715" s="29" t="n"/>
      <c r="S715" s="23" t="n"/>
      <c r="T715" s="30" t="n"/>
      <c r="U715" s="31" t="inlineStr">
        <is>
          <t>高</t>
        </is>
      </c>
      <c r="V715" s="32" t="inlineStr">
        <is>
          <t>公式サイトに「代表」と記載</t>
        </is>
      </c>
      <c r="W715" s="33" t="inlineStr">
        <is>
          <t>開く</t>
        </is>
      </c>
    </row>
    <row r="716" ht="30" customHeight="1">
      <c r="A716" s="23" t="inlineStr">
        <is>
          <t>21岐阜県</t>
        </is>
      </c>
      <c r="B716" s="23" t="inlineStr">
        <is>
          <t>私立</t>
        </is>
      </c>
      <c r="C716" s="23" t="n"/>
      <c r="D716" s="23" t="inlineStr">
        <is>
          <t>岐阜第一高等学校</t>
        </is>
      </c>
      <c r="E716" s="24" t="inlineStr">
        <is>
          <t>058-324-2161</t>
        </is>
      </c>
      <c r="F716" s="23" t="n"/>
      <c r="G716" s="25" t="inlineStr">
        <is>
          <t>普通科・専門学科</t>
        </is>
      </c>
      <c r="H716" s="26" t="inlineStr">
        <is>
          <t>☐</t>
        </is>
      </c>
      <c r="I716" s="26" t="inlineStr">
        <is>
          <t>☐</t>
        </is>
      </c>
      <c r="J716" s="26" t="inlineStr">
        <is>
          <t>☐</t>
        </is>
      </c>
      <c r="K716" s="26" t="inlineStr">
        <is>
          <t>☐</t>
        </is>
      </c>
      <c r="L716" s="26" t="inlineStr">
        <is>
          <t>☐</t>
        </is>
      </c>
      <c r="M716" s="25" t="n"/>
      <c r="N716" s="27" t="n">
        <v>0</v>
      </c>
      <c r="O716" s="28" t="n"/>
      <c r="P716" s="23" t="n"/>
      <c r="Q716" s="29" t="n"/>
      <c r="R716" s="29" t="n"/>
      <c r="S716" s="23" t="n"/>
      <c r="T716" s="30" t="n"/>
      <c r="U716" s="31" t="inlineStr">
        <is>
          <t>高</t>
        </is>
      </c>
      <c r="V716" s="32" t="inlineStr">
        <is>
          <t>2つのサイトで一致、公式未確認</t>
        </is>
      </c>
      <c r="W716" s="33" t="inlineStr">
        <is>
          <t>開く</t>
        </is>
      </c>
    </row>
    <row r="717" ht="30" customHeight="1">
      <c r="A717" s="23" t="inlineStr">
        <is>
          <t>21岐阜県</t>
        </is>
      </c>
      <c r="B717" s="23" t="inlineStr">
        <is>
          <t>私立</t>
        </is>
      </c>
      <c r="C717" s="23" t="n"/>
      <c r="D717" s="23" t="inlineStr">
        <is>
          <t>岐阜東高等学校</t>
        </is>
      </c>
      <c r="E717" s="24" t="inlineStr">
        <is>
          <t>058-246-2956</t>
        </is>
      </c>
      <c r="F717" s="23" t="n"/>
      <c r="G717" s="25" t="inlineStr">
        <is>
          <t>普通科</t>
        </is>
      </c>
      <c r="H717" s="26" t="inlineStr">
        <is>
          <t>☐</t>
        </is>
      </c>
      <c r="I717" s="26" t="inlineStr">
        <is>
          <t>☐</t>
        </is>
      </c>
      <c r="J717" s="26" t="inlineStr">
        <is>
          <t>☐</t>
        </is>
      </c>
      <c r="K717" s="26" t="inlineStr">
        <is>
          <t>☐</t>
        </is>
      </c>
      <c r="L717" s="26" t="inlineStr">
        <is>
          <t>☐</t>
        </is>
      </c>
      <c r="M717" s="25" t="n"/>
      <c r="N717" s="27" t="n">
        <v>0</v>
      </c>
      <c r="O717" s="28" t="n"/>
      <c r="P717" s="23" t="n"/>
      <c r="Q717" s="29" t="n"/>
      <c r="R717" s="29" t="n"/>
      <c r="S717" s="23" t="n"/>
      <c r="T717" s="30" t="n"/>
      <c r="U717" s="31" t="inlineStr">
        <is>
          <t>高</t>
        </is>
      </c>
      <c r="V717" s="32" t="inlineStr">
        <is>
          <t>公式サイトで確認</t>
        </is>
      </c>
      <c r="W717" s="33" t="inlineStr">
        <is>
          <t>開く</t>
        </is>
      </c>
    </row>
    <row r="718" ht="30" customHeight="1">
      <c r="A718" s="23" t="inlineStr">
        <is>
          <t>21岐阜県</t>
        </is>
      </c>
      <c r="B718" s="23" t="inlineStr">
        <is>
          <t>私立</t>
        </is>
      </c>
      <c r="C718" s="23" t="n"/>
      <c r="D718" s="23" t="inlineStr">
        <is>
          <t>城南高等学校</t>
        </is>
      </c>
      <c r="E718" s="24" t="inlineStr">
        <is>
          <t>058-240-3335</t>
        </is>
      </c>
      <c r="F718" s="23" t="n"/>
      <c r="G718" s="25" t="inlineStr">
        <is>
          <t>普通科・専門学科</t>
        </is>
      </c>
      <c r="H718" s="26" t="inlineStr">
        <is>
          <t>☐</t>
        </is>
      </c>
      <c r="I718" s="26" t="inlineStr">
        <is>
          <t>☐</t>
        </is>
      </c>
      <c r="J718" s="26" t="inlineStr">
        <is>
          <t>☐</t>
        </is>
      </c>
      <c r="K718" s="26" t="inlineStr">
        <is>
          <t>☐</t>
        </is>
      </c>
      <c r="L718" s="26" t="inlineStr">
        <is>
          <t>☐</t>
        </is>
      </c>
      <c r="M718" s="25" t="n"/>
      <c r="N718" s="27" t="n">
        <v>0</v>
      </c>
      <c r="O718" s="28" t="n"/>
      <c r="P718" s="23" t="n"/>
      <c r="Q718" s="29" t="n"/>
      <c r="R718" s="29" t="n"/>
      <c r="S718" s="23" t="n"/>
      <c r="T718" s="30" t="n"/>
      <c r="U718" s="31" t="inlineStr">
        <is>
          <t>高</t>
        </is>
      </c>
      <c r="V718" s="32" t="inlineStr">
        <is>
          <t>通信制。公式サイトで確認（城南高等専修学校と共通）</t>
        </is>
      </c>
      <c r="W718" s="33" t="inlineStr">
        <is>
          <t>開く</t>
        </is>
      </c>
    </row>
    <row r="719" ht="30" customHeight="1">
      <c r="A719" s="23" t="inlineStr">
        <is>
          <t>21岐阜県</t>
        </is>
      </c>
      <c r="B719" s="23" t="inlineStr">
        <is>
          <t>私立</t>
        </is>
      </c>
      <c r="C719" s="23" t="n"/>
      <c r="D719" s="23" t="inlineStr">
        <is>
          <t>済美高等学校（岐阜県）</t>
        </is>
      </c>
      <c r="E719" s="24" t="inlineStr">
        <is>
          <t>058-271-0345</t>
        </is>
      </c>
      <c r="F719" s="23" t="n"/>
      <c r="G719" s="25" t="inlineStr">
        <is>
          <t>普通科・専門学科</t>
        </is>
      </c>
      <c r="H719" s="26" t="inlineStr">
        <is>
          <t>☐</t>
        </is>
      </c>
      <c r="I719" s="26" t="inlineStr">
        <is>
          <t>☐</t>
        </is>
      </c>
      <c r="J719" s="26" t="inlineStr">
        <is>
          <t>☐</t>
        </is>
      </c>
      <c r="K719" s="26" t="inlineStr">
        <is>
          <t>☐</t>
        </is>
      </c>
      <c r="L719" s="26" t="inlineStr">
        <is>
          <t>☐</t>
        </is>
      </c>
      <c r="M719" s="25" t="n"/>
      <c r="N719" s="27" t="n">
        <v>0</v>
      </c>
      <c r="O719" s="28" t="n"/>
      <c r="P719" s="23" t="n"/>
      <c r="Q719" s="29" t="n"/>
      <c r="R719" s="29" t="n"/>
      <c r="S719" s="23" t="n"/>
      <c r="T719" s="30" t="n"/>
      <c r="U719" s="31" t="inlineStr">
        <is>
          <t>高</t>
        </is>
      </c>
      <c r="V719" s="32" t="inlineStr">
        <is>
          <t>公式サイトで確認</t>
        </is>
      </c>
      <c r="W719" s="33" t="inlineStr">
        <is>
          <t>開く</t>
        </is>
      </c>
    </row>
    <row r="720" ht="30" customHeight="1">
      <c r="A720" s="23" t="inlineStr">
        <is>
          <t>21岐阜県</t>
        </is>
      </c>
      <c r="B720" s="23" t="inlineStr">
        <is>
          <t>私立</t>
        </is>
      </c>
      <c r="C720" s="23" t="n"/>
      <c r="D720" s="23" t="inlineStr">
        <is>
          <t>聖マリア女学院高等学校</t>
        </is>
      </c>
      <c r="E720" s="24" t="inlineStr">
        <is>
          <t>058-229-1102</t>
        </is>
      </c>
      <c r="F720" s="23" t="n"/>
      <c r="G720" s="25" t="inlineStr">
        <is>
          <t>普通科</t>
        </is>
      </c>
      <c r="H720" s="26" t="inlineStr">
        <is>
          <t>☐</t>
        </is>
      </c>
      <c r="I720" s="26" t="inlineStr">
        <is>
          <t>☐</t>
        </is>
      </c>
      <c r="J720" s="26" t="inlineStr">
        <is>
          <t>☐</t>
        </is>
      </c>
      <c r="K720" s="26" t="inlineStr">
        <is>
          <t>☐</t>
        </is>
      </c>
      <c r="L720" s="26" t="inlineStr">
        <is>
          <t>☐</t>
        </is>
      </c>
      <c r="M720" s="25" t="n"/>
      <c r="N720" s="27" t="n">
        <v>0</v>
      </c>
      <c r="O720" s="28" t="n"/>
      <c r="P720" s="23" t="n"/>
      <c r="Q720" s="29" t="n"/>
      <c r="R720" s="29" t="n"/>
      <c r="S720" s="23" t="n"/>
      <c r="T720" s="30" t="n"/>
      <c r="U720" s="31" t="inlineStr">
        <is>
          <t>高</t>
        </is>
      </c>
      <c r="V720" s="32" t="inlineStr">
        <is>
          <t>公式サイトで確認</t>
        </is>
      </c>
      <c r="W720" s="33" t="inlineStr">
        <is>
          <t>開く</t>
        </is>
      </c>
    </row>
    <row r="721" ht="30" customHeight="1">
      <c r="A721" s="23" t="inlineStr">
        <is>
          <t>21岐阜県</t>
        </is>
      </c>
      <c r="B721" s="23" t="inlineStr">
        <is>
          <t>私立</t>
        </is>
      </c>
      <c r="C721" s="23" t="n"/>
      <c r="D721" s="23" t="inlineStr">
        <is>
          <t>高山西高等学校</t>
        </is>
      </c>
      <c r="E721" s="24" t="inlineStr">
        <is>
          <t>0577-32-2590</t>
        </is>
      </c>
      <c r="F721" s="23" t="n"/>
      <c r="G721" s="25" t="inlineStr">
        <is>
          <t>普通科</t>
        </is>
      </c>
      <c r="H721" s="26" t="inlineStr">
        <is>
          <t>☐</t>
        </is>
      </c>
      <c r="I721" s="26" t="inlineStr">
        <is>
          <t>☐</t>
        </is>
      </c>
      <c r="J721" s="26" t="inlineStr">
        <is>
          <t>☐</t>
        </is>
      </c>
      <c r="K721" s="26" t="inlineStr">
        <is>
          <t>☐</t>
        </is>
      </c>
      <c r="L721" s="26" t="inlineStr">
        <is>
          <t>☐</t>
        </is>
      </c>
      <c r="M721" s="25" t="n"/>
      <c r="N721" s="27" t="n">
        <v>0</v>
      </c>
      <c r="O721" s="28" t="n"/>
      <c r="P721" s="23" t="n"/>
      <c r="Q721" s="29" t="n"/>
      <c r="R721" s="29" t="n"/>
      <c r="S721" s="23" t="n"/>
      <c r="T721" s="30" t="n"/>
      <c r="U721" s="31" t="inlineStr">
        <is>
          <t>高</t>
        </is>
      </c>
      <c r="V721" s="32" t="inlineStr">
        <is>
          <t>公式サイトで確認</t>
        </is>
      </c>
      <c r="W721" s="33" t="inlineStr">
        <is>
          <t>開く</t>
        </is>
      </c>
    </row>
    <row r="722" ht="30" customHeight="1">
      <c r="A722" s="23" t="inlineStr">
        <is>
          <t>21岐阜県</t>
        </is>
      </c>
      <c r="B722" s="23" t="inlineStr">
        <is>
          <t>私立</t>
        </is>
      </c>
      <c r="C722" s="23" t="n"/>
      <c r="D722" s="23" t="inlineStr">
        <is>
          <t>多治見西高等学校</t>
        </is>
      </c>
      <c r="E722" s="24" t="inlineStr">
        <is>
          <t>0572-27-2547</t>
        </is>
      </c>
      <c r="F722" s="23" t="n"/>
      <c r="G722" s="25" t="inlineStr">
        <is>
          <t>普通科・専門学科</t>
        </is>
      </c>
      <c r="H722" s="26" t="inlineStr">
        <is>
          <t>☐</t>
        </is>
      </c>
      <c r="I722" s="26" t="inlineStr">
        <is>
          <t>☐</t>
        </is>
      </c>
      <c r="J722" s="26" t="inlineStr">
        <is>
          <t>☐</t>
        </is>
      </c>
      <c r="K722" s="26" t="inlineStr">
        <is>
          <t>☐</t>
        </is>
      </c>
      <c r="L722" s="26" t="inlineStr">
        <is>
          <t>☐</t>
        </is>
      </c>
      <c r="M722" s="25" t="n"/>
      <c r="N722" s="27" t="n">
        <v>0</v>
      </c>
      <c r="O722" s="28" t="n"/>
      <c r="P722" s="23" t="n"/>
      <c r="Q722" s="29" t="n"/>
      <c r="R722" s="29" t="n"/>
      <c r="S722" s="23" t="n"/>
      <c r="T722" s="30" t="n"/>
      <c r="U722" s="31" t="inlineStr">
        <is>
          <t>高</t>
        </is>
      </c>
      <c r="V722" s="32" t="inlineStr">
        <is>
          <t>公式サイトで確認</t>
        </is>
      </c>
      <c r="W722" s="33" t="inlineStr">
        <is>
          <t>開く</t>
        </is>
      </c>
    </row>
    <row r="723" ht="30" customHeight="1">
      <c r="A723" s="23" t="inlineStr">
        <is>
          <t>21岐阜県</t>
        </is>
      </c>
      <c r="B723" s="23" t="inlineStr">
        <is>
          <t>私立</t>
        </is>
      </c>
      <c r="C723" s="23" t="n"/>
      <c r="D723" s="23" t="inlineStr">
        <is>
          <t>中京高等学校</t>
        </is>
      </c>
      <c r="E723" s="24" t="inlineStr">
        <is>
          <t>0572-68-4501</t>
        </is>
      </c>
      <c r="F723" s="23" t="n"/>
      <c r="G723" s="25" t="inlineStr">
        <is>
          <t>普通科</t>
        </is>
      </c>
      <c r="H723" s="26" t="inlineStr">
        <is>
          <t>☐</t>
        </is>
      </c>
      <c r="I723" s="26" t="inlineStr">
        <is>
          <t>☐</t>
        </is>
      </c>
      <c r="J723" s="26" t="inlineStr">
        <is>
          <t>☐</t>
        </is>
      </c>
      <c r="K723" s="26" t="inlineStr">
        <is>
          <t>☐</t>
        </is>
      </c>
      <c r="L723" s="26" t="inlineStr">
        <is>
          <t>☐</t>
        </is>
      </c>
      <c r="M723" s="25" t="n"/>
      <c r="N723" s="27" t="n">
        <v>0</v>
      </c>
      <c r="O723" s="28" t="n"/>
      <c r="P723" s="23" t="n"/>
      <c r="Q723" s="29" t="n"/>
      <c r="R723" s="29" t="n"/>
      <c r="S723" s="23" t="n"/>
      <c r="T723" s="30" t="n"/>
      <c r="U723" s="31" t="inlineStr">
        <is>
          <t>高</t>
        </is>
      </c>
      <c r="V723" s="32" t="inlineStr">
        <is>
          <t>全日制の番号（瑞浪市のサイトほかで一致）。通信制課程は0572-66-1255。愛知の中京大学附属中京とは別の学校</t>
        </is>
      </c>
      <c r="W723" s="33" t="inlineStr">
        <is>
          <t>開く</t>
        </is>
      </c>
    </row>
    <row r="724" ht="30" customHeight="1">
      <c r="A724" s="23" t="inlineStr">
        <is>
          <t>21岐阜県</t>
        </is>
      </c>
      <c r="B724" s="23" t="inlineStr">
        <is>
          <t>私立</t>
        </is>
      </c>
      <c r="C724" s="23" t="n"/>
      <c r="D724" s="23" t="inlineStr">
        <is>
          <t>帝京大学可児高等学校</t>
        </is>
      </c>
      <c r="E724" s="24" t="inlineStr">
        <is>
          <t>0574-64-3211</t>
        </is>
      </c>
      <c r="F724" s="23" t="n"/>
      <c r="G724" s="25" t="inlineStr">
        <is>
          <t>普通科</t>
        </is>
      </c>
      <c r="H724" s="26" t="inlineStr">
        <is>
          <t>☐</t>
        </is>
      </c>
      <c r="I724" s="26" t="inlineStr">
        <is>
          <t>☐</t>
        </is>
      </c>
      <c r="J724" s="26" t="inlineStr">
        <is>
          <t>☐</t>
        </is>
      </c>
      <c r="K724" s="26" t="inlineStr">
        <is>
          <t>☐</t>
        </is>
      </c>
      <c r="L724" s="26" t="inlineStr">
        <is>
          <t>☐</t>
        </is>
      </c>
      <c r="M724" s="25" t="n"/>
      <c r="N724" s="27" t="n">
        <v>0</v>
      </c>
      <c r="O724" s="28" t="n"/>
      <c r="P724" s="23" t="n"/>
      <c r="Q724" s="29" t="n"/>
      <c r="R724" s="29" t="n"/>
      <c r="S724" s="23" t="n"/>
      <c r="T724" s="30" t="n"/>
      <c r="U724" s="31" t="inlineStr">
        <is>
          <t>高</t>
        </is>
      </c>
      <c r="V724" s="32" t="inlineStr">
        <is>
          <t>公式サイトで確認</t>
        </is>
      </c>
      <c r="W724" s="33" t="inlineStr">
        <is>
          <t>開く</t>
        </is>
      </c>
    </row>
    <row r="725" ht="30" customHeight="1">
      <c r="A725" s="23" t="inlineStr">
        <is>
          <t>21岐阜県</t>
        </is>
      </c>
      <c r="B725" s="23" t="inlineStr">
        <is>
          <t>私立</t>
        </is>
      </c>
      <c r="C725" s="23" t="n"/>
      <c r="D725" s="23" t="inlineStr">
        <is>
          <t>富田高等学校</t>
        </is>
      </c>
      <c r="E725" s="24" t="inlineStr">
        <is>
          <t>058-245-3621</t>
        </is>
      </c>
      <c r="F725" s="23" t="n"/>
      <c r="G725" s="25" t="inlineStr">
        <is>
          <t>普通科・専門学科</t>
        </is>
      </c>
      <c r="H725" s="26" t="inlineStr">
        <is>
          <t>☐</t>
        </is>
      </c>
      <c r="I725" s="26" t="inlineStr">
        <is>
          <t>☐</t>
        </is>
      </c>
      <c r="J725" s="26" t="inlineStr">
        <is>
          <t>☐</t>
        </is>
      </c>
      <c r="K725" s="26" t="inlineStr">
        <is>
          <t>☐</t>
        </is>
      </c>
      <c r="L725" s="26" t="inlineStr">
        <is>
          <t>☐</t>
        </is>
      </c>
      <c r="M725" s="25" t="n"/>
      <c r="N725" s="27" t="n">
        <v>0</v>
      </c>
      <c r="O725" s="28" t="n"/>
      <c r="P725" s="23" t="n"/>
      <c r="Q725" s="29" t="n"/>
      <c r="R725" s="29" t="n"/>
      <c r="S725" s="23" t="n"/>
      <c r="T725" s="30" t="n"/>
      <c r="U725" s="31" t="inlineStr">
        <is>
          <t>高</t>
        </is>
      </c>
      <c r="V725" s="32" t="inlineStr">
        <is>
          <t>公式サイトで確認</t>
        </is>
      </c>
      <c r="W725" s="33" t="inlineStr">
        <is>
          <t>開く</t>
        </is>
      </c>
    </row>
    <row r="726" ht="30" customHeight="1">
      <c r="A726" s="23" t="inlineStr">
        <is>
          <t>21岐阜県</t>
        </is>
      </c>
      <c r="B726" s="23" t="inlineStr">
        <is>
          <t>私立</t>
        </is>
      </c>
      <c r="C726" s="23" t="n"/>
      <c r="D726" s="23" t="inlineStr">
        <is>
          <t>美濃加茂高等学校</t>
        </is>
      </c>
      <c r="E726" s="24" t="inlineStr">
        <is>
          <t>0574-26-7181</t>
        </is>
      </c>
      <c r="F726" s="23" t="n"/>
      <c r="G726" s="25" t="inlineStr">
        <is>
          <t>普通科</t>
        </is>
      </c>
      <c r="H726" s="26" t="inlineStr">
        <is>
          <t>☐</t>
        </is>
      </c>
      <c r="I726" s="26" t="inlineStr">
        <is>
          <t>☐</t>
        </is>
      </c>
      <c r="J726" s="26" t="inlineStr">
        <is>
          <t>☐</t>
        </is>
      </c>
      <c r="K726" s="26" t="inlineStr">
        <is>
          <t>☐</t>
        </is>
      </c>
      <c r="L726" s="26" t="inlineStr">
        <is>
          <t>☐</t>
        </is>
      </c>
      <c r="M726" s="25" t="n"/>
      <c r="N726" s="27" t="n">
        <v>0</v>
      </c>
      <c r="O726" s="28" t="n"/>
      <c r="P726" s="23" t="n"/>
      <c r="Q726" s="29" t="n"/>
      <c r="R726" s="29" t="n"/>
      <c r="S726" s="23" t="n"/>
      <c r="T726" s="30" t="n"/>
      <c r="U726" s="31" t="inlineStr">
        <is>
          <t>高</t>
        </is>
      </c>
      <c r="V726" s="32" t="inlineStr">
        <is>
          <t>公式サイトで確認（私立）。0574-26-7182を載せるサイトもあり。公式サイトに電話設備の故障のお知らせあり</t>
        </is>
      </c>
      <c r="W726" s="33" t="inlineStr">
        <is>
          <t>開く</t>
        </is>
      </c>
    </row>
    <row r="727" ht="30" customHeight="1">
      <c r="A727" s="23" t="inlineStr">
        <is>
          <t>21岐阜県</t>
        </is>
      </c>
      <c r="B727" s="23" t="inlineStr">
        <is>
          <t>私立</t>
        </is>
      </c>
      <c r="C727" s="23" t="n"/>
      <c r="D727" s="23" t="inlineStr">
        <is>
          <t>麗澤瑞浪高等学校</t>
        </is>
      </c>
      <c r="E727" s="24" t="inlineStr">
        <is>
          <t>0572-66-3111</t>
        </is>
      </c>
      <c r="F727" s="23" t="n"/>
      <c r="G727" s="25" t="inlineStr">
        <is>
          <t>普通科</t>
        </is>
      </c>
      <c r="H727" s="26" t="inlineStr">
        <is>
          <t>☐</t>
        </is>
      </c>
      <c r="I727" s="26" t="inlineStr">
        <is>
          <t>☐</t>
        </is>
      </c>
      <c r="J727" s="26" t="inlineStr">
        <is>
          <t>☐</t>
        </is>
      </c>
      <c r="K727" s="26" t="inlineStr">
        <is>
          <t>☐</t>
        </is>
      </c>
      <c r="L727" s="26" t="inlineStr">
        <is>
          <t>☐</t>
        </is>
      </c>
      <c r="M727" s="25" t="n"/>
      <c r="N727" s="27" t="n">
        <v>0</v>
      </c>
      <c r="O727" s="28" t="n"/>
      <c r="P727" s="23" t="n"/>
      <c r="Q727" s="29" t="n"/>
      <c r="R727" s="29" t="n"/>
      <c r="S727" s="23" t="n"/>
      <c r="T727" s="30" t="n"/>
      <c r="U727" s="31" t="inlineStr">
        <is>
          <t>高</t>
        </is>
      </c>
      <c r="V727" s="32" t="inlineStr">
        <is>
          <t>公式サイトで確認。中高共通</t>
        </is>
      </c>
      <c r="W727" s="33" t="inlineStr">
        <is>
          <t>開く</t>
        </is>
      </c>
    </row>
    <row r="728" ht="30" customHeight="1">
      <c r="A728" s="23" t="inlineStr">
        <is>
          <t>22静岡県</t>
        </is>
      </c>
      <c r="B728" s="23" t="inlineStr">
        <is>
          <t>私立</t>
        </is>
      </c>
      <c r="C728" s="23" t="n"/>
      <c r="D728" s="23" t="inlineStr">
        <is>
          <t>磐田東高等学校</t>
        </is>
      </c>
      <c r="E728" s="24" t="inlineStr">
        <is>
          <t>0538-32-6118</t>
        </is>
      </c>
      <c r="F728" s="23" t="n"/>
      <c r="G728" s="25" t="inlineStr">
        <is>
          <t>普通科・専門学科</t>
        </is>
      </c>
      <c r="H728" s="26" t="inlineStr">
        <is>
          <t>☐</t>
        </is>
      </c>
      <c r="I728" s="26" t="inlineStr">
        <is>
          <t>☐</t>
        </is>
      </c>
      <c r="J728" s="26" t="inlineStr">
        <is>
          <t>☐</t>
        </is>
      </c>
      <c r="K728" s="26" t="inlineStr">
        <is>
          <t>☐</t>
        </is>
      </c>
      <c r="L728" s="26" t="inlineStr">
        <is>
          <t>☐</t>
        </is>
      </c>
      <c r="M728" s="25" t="n"/>
      <c r="N728" s="27" t="n">
        <v>0</v>
      </c>
      <c r="O728" s="28" t="n"/>
      <c r="P728" s="23" t="n"/>
      <c r="Q728" s="29" t="n"/>
      <c r="R728" s="29" t="n"/>
      <c r="S728" s="23" t="n"/>
      <c r="T728" s="30" t="n"/>
      <c r="U728" s="31" t="inlineStr">
        <is>
          <t>高</t>
        </is>
      </c>
      <c r="V728" s="32" t="inlineStr">
        <is>
          <t>公式サイトで確認。中高共通</t>
        </is>
      </c>
      <c r="W728" s="33" t="inlineStr">
        <is>
          <t>開く</t>
        </is>
      </c>
    </row>
    <row r="729" ht="30" customHeight="1">
      <c r="A729" s="23" t="inlineStr">
        <is>
          <t>22静岡県</t>
        </is>
      </c>
      <c r="B729" s="23" t="inlineStr">
        <is>
          <t>私立</t>
        </is>
      </c>
      <c r="C729" s="23" t="n"/>
      <c r="D729" s="23" t="inlineStr">
        <is>
          <t>オイスカ浜松国際高等学校</t>
        </is>
      </c>
      <c r="E729" s="24" t="inlineStr">
        <is>
          <t>053-486-3011</t>
        </is>
      </c>
      <c r="F729" s="23" t="n"/>
      <c r="G729" s="25" t="inlineStr">
        <is>
          <t>普通科</t>
        </is>
      </c>
      <c r="H729" s="26" t="inlineStr">
        <is>
          <t>☐</t>
        </is>
      </c>
      <c r="I729" s="26" t="inlineStr">
        <is>
          <t>☐</t>
        </is>
      </c>
      <c r="J729" s="26" t="inlineStr">
        <is>
          <t>☐</t>
        </is>
      </c>
      <c r="K729" s="26" t="inlineStr">
        <is>
          <t>☐</t>
        </is>
      </c>
      <c r="L729" s="26" t="inlineStr">
        <is>
          <t>☐</t>
        </is>
      </c>
      <c r="M729" s="25" t="n"/>
      <c r="N729" s="27" t="n">
        <v>0</v>
      </c>
      <c r="O729" s="28" t="n"/>
      <c r="P729" s="23" t="n"/>
      <c r="Q729" s="29" t="n"/>
      <c r="R729" s="29" t="n"/>
      <c r="S729" s="23" t="n"/>
      <c r="T729" s="30" t="n"/>
      <c r="U729" s="31" t="inlineStr">
        <is>
          <t>高</t>
        </is>
      </c>
      <c r="V729" s="32" t="inlineStr">
        <is>
          <t>公式サイトで確認。所在地は浜松市中央区</t>
        </is>
      </c>
      <c r="W729" s="33" t="inlineStr">
        <is>
          <t>開く</t>
        </is>
      </c>
    </row>
    <row r="730" ht="30" customHeight="1">
      <c r="A730" s="23" t="inlineStr">
        <is>
          <t>22静岡県</t>
        </is>
      </c>
      <c r="B730" s="23" t="inlineStr">
        <is>
          <t>私立</t>
        </is>
      </c>
      <c r="C730" s="23" t="n"/>
      <c r="D730" s="23" t="inlineStr">
        <is>
          <t>加藤学園暁秀高等学校</t>
        </is>
      </c>
      <c r="E730" s="24" t="inlineStr">
        <is>
          <t>055-924-1900</t>
        </is>
      </c>
      <c r="F730" s="23" t="n"/>
      <c r="G730" s="25" t="inlineStr">
        <is>
          <t>普通科</t>
        </is>
      </c>
      <c r="H730" s="26" t="inlineStr">
        <is>
          <t>☐</t>
        </is>
      </c>
      <c r="I730" s="26" t="inlineStr">
        <is>
          <t>☐</t>
        </is>
      </c>
      <c r="J730" s="26" t="inlineStr">
        <is>
          <t>☐</t>
        </is>
      </c>
      <c r="K730" s="26" t="inlineStr">
        <is>
          <t>☐</t>
        </is>
      </c>
      <c r="L730" s="26" t="inlineStr">
        <is>
          <t>☐</t>
        </is>
      </c>
      <c r="M730" s="25" t="n"/>
      <c r="N730" s="27" t="n">
        <v>0</v>
      </c>
      <c r="O730" s="28" t="n"/>
      <c r="P730" s="23" t="n"/>
      <c r="Q730" s="29" t="n"/>
      <c r="R730" s="29" t="n"/>
      <c r="S730" s="23" t="n"/>
      <c r="T730" s="30" t="n"/>
      <c r="U730" s="31" t="inlineStr">
        <is>
          <t>高</t>
        </is>
      </c>
      <c r="V730" s="32" t="inlineStr">
        <is>
          <t>中高共通。加藤学園高校とは別の学校</t>
        </is>
      </c>
      <c r="W730" s="33" t="inlineStr">
        <is>
          <t>開く</t>
        </is>
      </c>
    </row>
    <row r="731" ht="30" customHeight="1">
      <c r="A731" s="23" t="inlineStr">
        <is>
          <t>22静岡県</t>
        </is>
      </c>
      <c r="B731" s="23" t="inlineStr">
        <is>
          <t>私立</t>
        </is>
      </c>
      <c r="C731" s="23" t="n"/>
      <c r="D731" s="23" t="inlineStr">
        <is>
          <t>加藤学園高等学校</t>
        </is>
      </c>
      <c r="E731" s="24" t="inlineStr">
        <is>
          <t>055-921-0347</t>
        </is>
      </c>
      <c r="F731" s="23" t="n"/>
      <c r="G731" s="25" t="inlineStr">
        <is>
          <t>普通科</t>
        </is>
      </c>
      <c r="H731" s="26" t="inlineStr">
        <is>
          <t>☐</t>
        </is>
      </c>
      <c r="I731" s="26" t="inlineStr">
        <is>
          <t>☐</t>
        </is>
      </c>
      <c r="J731" s="26" t="inlineStr">
        <is>
          <t>☐</t>
        </is>
      </c>
      <c r="K731" s="26" t="inlineStr">
        <is>
          <t>☐</t>
        </is>
      </c>
      <c r="L731" s="26" t="inlineStr">
        <is>
          <t>☐</t>
        </is>
      </c>
      <c r="M731" s="25" t="n"/>
      <c r="N731" s="27" t="n">
        <v>0</v>
      </c>
      <c r="O731" s="28" t="n"/>
      <c r="P731" s="23" t="n"/>
      <c r="Q731" s="29" t="n"/>
      <c r="R731" s="29" t="n"/>
      <c r="S731" s="23" t="n"/>
      <c r="T731" s="30" t="n"/>
      <c r="U731" s="31" t="inlineStr">
        <is>
          <t>高</t>
        </is>
      </c>
      <c r="V731" s="32" t="inlineStr">
        <is>
          <t>公式サイトに「代表」と記載。加藤学園暁秀とは別の学校</t>
        </is>
      </c>
      <c r="W731" s="33" t="inlineStr">
        <is>
          <t>開く</t>
        </is>
      </c>
    </row>
    <row r="732" ht="30" customHeight="1">
      <c r="A732" s="23" t="inlineStr">
        <is>
          <t>22静岡県</t>
        </is>
      </c>
      <c r="B732" s="23" t="inlineStr">
        <is>
          <t>私立</t>
        </is>
      </c>
      <c r="C732" s="23" t="n"/>
      <c r="D732" s="23" t="inlineStr">
        <is>
          <t>キラリ高等学校</t>
        </is>
      </c>
      <c r="E732" s="24" t="inlineStr">
        <is>
          <t>0548-33-4976</t>
        </is>
      </c>
      <c r="F732" s="23" t="n"/>
      <c r="G732" s="25" t="inlineStr">
        <is>
          <t>普通科</t>
        </is>
      </c>
      <c r="H732" s="26" t="inlineStr">
        <is>
          <t>☐</t>
        </is>
      </c>
      <c r="I732" s="26" t="inlineStr">
        <is>
          <t>☐</t>
        </is>
      </c>
      <c r="J732" s="26" t="inlineStr">
        <is>
          <t>☐</t>
        </is>
      </c>
      <c r="K732" s="26" t="inlineStr">
        <is>
          <t>☐</t>
        </is>
      </c>
      <c r="L732" s="26" t="inlineStr">
        <is>
          <t>☐</t>
        </is>
      </c>
      <c r="M732" s="25" t="n"/>
      <c r="N732" s="27" t="n">
        <v>0</v>
      </c>
      <c r="O732" s="28" t="n"/>
      <c r="P732" s="23" t="n"/>
      <c r="Q732" s="29" t="n"/>
      <c r="R732" s="29" t="n"/>
      <c r="S732" s="23" t="n"/>
      <c r="T732" s="30" t="n"/>
      <c r="U732" s="31" t="inlineStr">
        <is>
          <t>高</t>
        </is>
      </c>
      <c r="V732" s="32" t="inlineStr">
        <is>
          <t>通信制。吉田本校の番号（公式サイト）</t>
        </is>
      </c>
      <c r="W732" s="33" t="inlineStr">
        <is>
          <t>開く</t>
        </is>
      </c>
    </row>
    <row r="733" ht="30" customHeight="1">
      <c r="A733" s="23" t="inlineStr">
        <is>
          <t>22静岡県</t>
        </is>
      </c>
      <c r="B733" s="23" t="inlineStr">
        <is>
          <t>私立</t>
        </is>
      </c>
      <c r="C733" s="23" t="n"/>
      <c r="D733" s="23" t="inlineStr">
        <is>
          <t>御殿場西高等学校</t>
        </is>
      </c>
      <c r="E733" s="24" t="inlineStr">
        <is>
          <t>0550-89-2466</t>
        </is>
      </c>
      <c r="F733" s="23" t="n"/>
      <c r="G733" s="25" t="inlineStr">
        <is>
          <t>普通科</t>
        </is>
      </c>
      <c r="H733" s="26" t="inlineStr">
        <is>
          <t>☐</t>
        </is>
      </c>
      <c r="I733" s="26" t="inlineStr">
        <is>
          <t>☐</t>
        </is>
      </c>
      <c r="J733" s="26" t="inlineStr">
        <is>
          <t>☐</t>
        </is>
      </c>
      <c r="K733" s="26" t="inlineStr">
        <is>
          <t>☐</t>
        </is>
      </c>
      <c r="L733" s="26" t="inlineStr">
        <is>
          <t>☐</t>
        </is>
      </c>
      <c r="M733" s="25" t="n"/>
      <c r="N733" s="27" t="n">
        <v>0</v>
      </c>
      <c r="O733" s="28" t="n"/>
      <c r="P733" s="23" t="n"/>
      <c r="Q733" s="29" t="n"/>
      <c r="R733" s="29" t="n"/>
      <c r="S733" s="23" t="n"/>
      <c r="T733" s="30" t="n"/>
      <c r="U733" s="31" t="inlineStr">
        <is>
          <t>高</t>
        </is>
      </c>
      <c r="V733" s="32" t="inlineStr">
        <is>
          <t>公式サイトで確認</t>
        </is>
      </c>
      <c r="W733" s="33" t="inlineStr">
        <is>
          <t>開く</t>
        </is>
      </c>
    </row>
    <row r="734" ht="30" customHeight="1">
      <c r="A734" s="23" t="inlineStr">
        <is>
          <t>22静岡県</t>
        </is>
      </c>
      <c r="B734" s="23" t="inlineStr">
        <is>
          <t>私立</t>
        </is>
      </c>
      <c r="C734" s="23" t="n"/>
      <c r="D734" s="23" t="inlineStr">
        <is>
          <t>静岡英和女学院高等学校</t>
        </is>
      </c>
      <c r="E734" s="24" t="inlineStr">
        <is>
          <t>054-254-7401</t>
        </is>
      </c>
      <c r="F734" s="23" t="n"/>
      <c r="G734" s="25" t="inlineStr">
        <is>
          <t>普通科</t>
        </is>
      </c>
      <c r="H734" s="26" t="inlineStr">
        <is>
          <t>☐</t>
        </is>
      </c>
      <c r="I734" s="26" t="inlineStr">
        <is>
          <t>☐</t>
        </is>
      </c>
      <c r="J734" s="26" t="inlineStr">
        <is>
          <t>☐</t>
        </is>
      </c>
      <c r="K734" s="26" t="inlineStr">
        <is>
          <t>☐</t>
        </is>
      </c>
      <c r="L734" s="26" t="inlineStr">
        <is>
          <t>☐</t>
        </is>
      </c>
      <c r="M734" s="25" t="n"/>
      <c r="N734" s="27" t="n">
        <v>0</v>
      </c>
      <c r="O734" s="28" t="n"/>
      <c r="P734" s="23" t="n"/>
      <c r="Q734" s="29" t="n"/>
      <c r="R734" s="29" t="n"/>
      <c r="S734" s="23" t="n"/>
      <c r="T734" s="30" t="n"/>
      <c r="U734" s="31" t="inlineStr">
        <is>
          <t>高</t>
        </is>
      </c>
      <c r="V734" s="32" t="inlineStr">
        <is>
          <t>中高共通。2つのサイトで一致</t>
        </is>
      </c>
      <c r="W734" s="33" t="inlineStr">
        <is>
          <t>開く</t>
        </is>
      </c>
    </row>
    <row r="735" ht="30" customHeight="1">
      <c r="A735" s="23" t="inlineStr">
        <is>
          <t>22静岡県</t>
        </is>
      </c>
      <c r="B735" s="23" t="inlineStr">
        <is>
          <t>私立</t>
        </is>
      </c>
      <c r="C735" s="23" t="n"/>
      <c r="D735" s="23" t="inlineStr">
        <is>
          <t>静岡学園高等学校</t>
        </is>
      </c>
      <c r="E735" s="24" t="inlineStr">
        <is>
          <t>054-200-0191</t>
        </is>
      </c>
      <c r="F735" s="23" t="n"/>
      <c r="G735" s="25" t="inlineStr">
        <is>
          <t>普通科・専門学科</t>
        </is>
      </c>
      <c r="H735" s="26" t="inlineStr">
        <is>
          <t>☐</t>
        </is>
      </c>
      <c r="I735" s="26" t="inlineStr">
        <is>
          <t>☐</t>
        </is>
      </c>
      <c r="J735" s="26" t="inlineStr">
        <is>
          <t>☐</t>
        </is>
      </c>
      <c r="K735" s="26" t="inlineStr">
        <is>
          <t>☐</t>
        </is>
      </c>
      <c r="L735" s="26" t="inlineStr">
        <is>
          <t>☐</t>
        </is>
      </c>
      <c r="M735" s="25" t="n"/>
      <c r="N735" s="27" t="n">
        <v>0</v>
      </c>
      <c r="O735" s="28" t="n"/>
      <c r="P735" s="23" t="n"/>
      <c r="Q735" s="29" t="n"/>
      <c r="R735" s="29" t="n"/>
      <c r="S735" s="23" t="n"/>
      <c r="T735" s="30" t="n"/>
      <c r="U735" s="31" t="inlineStr">
        <is>
          <t>高</t>
        </is>
      </c>
      <c r="V735" s="32" t="inlineStr">
        <is>
          <t>公式サイトで確認。中高共通</t>
        </is>
      </c>
      <c r="W735" s="33" t="inlineStr">
        <is>
          <t>開く</t>
        </is>
      </c>
    </row>
    <row r="736" ht="30" customHeight="1">
      <c r="A736" s="23" t="inlineStr">
        <is>
          <t>22静岡県</t>
        </is>
      </c>
      <c r="B736" s="23" t="inlineStr">
        <is>
          <t>私立</t>
        </is>
      </c>
      <c r="C736" s="23" t="n"/>
      <c r="D736" s="23" t="inlineStr">
        <is>
          <t>静岡北高等学校</t>
        </is>
      </c>
      <c r="E736" s="24" t="inlineStr">
        <is>
          <t>054-261-5801</t>
        </is>
      </c>
      <c r="F736" s="23" t="n"/>
      <c r="G736" s="25" t="inlineStr">
        <is>
          <t>普通科・専門学科</t>
        </is>
      </c>
      <c r="H736" s="26" t="inlineStr">
        <is>
          <t>☐</t>
        </is>
      </c>
      <c r="I736" s="26" t="inlineStr">
        <is>
          <t>☐</t>
        </is>
      </c>
      <c r="J736" s="26" t="inlineStr">
        <is>
          <t>☐</t>
        </is>
      </c>
      <c r="K736" s="26" t="inlineStr">
        <is>
          <t>☐</t>
        </is>
      </c>
      <c r="L736" s="26" t="inlineStr">
        <is>
          <t>☐</t>
        </is>
      </c>
      <c r="M736" s="25" t="n"/>
      <c r="N736" s="27" t="n">
        <v>0</v>
      </c>
      <c r="O736" s="28" t="n"/>
      <c r="P736" s="23" t="n"/>
      <c r="Q736" s="29" t="n"/>
      <c r="R736" s="29" t="n"/>
      <c r="S736" s="23" t="n"/>
      <c r="T736" s="30" t="n"/>
      <c r="U736" s="31" t="inlineStr">
        <is>
          <t>高</t>
        </is>
      </c>
      <c r="V736" s="32" t="inlineStr">
        <is>
          <t>公式サイトに「代表」と記載。中学校は054-267-6151</t>
        </is>
      </c>
      <c r="W736" s="33" t="inlineStr">
        <is>
          <t>開く</t>
        </is>
      </c>
    </row>
    <row r="737" ht="30" customHeight="1">
      <c r="A737" s="23" t="inlineStr">
        <is>
          <t>22静岡県</t>
        </is>
      </c>
      <c r="B737" s="23" t="inlineStr">
        <is>
          <t>私立</t>
        </is>
      </c>
      <c r="C737" s="23" t="n"/>
      <c r="D737" s="23" t="inlineStr">
        <is>
          <t>静岡県西遠女子学園高等学校</t>
        </is>
      </c>
      <c r="E737" s="24" t="inlineStr">
        <is>
          <t>053-461-0374</t>
        </is>
      </c>
      <c r="F737" s="23" t="n"/>
      <c r="G737" s="25" t="inlineStr">
        <is>
          <t>普通科</t>
        </is>
      </c>
      <c r="H737" s="26" t="inlineStr">
        <is>
          <t>☐</t>
        </is>
      </c>
      <c r="I737" s="26" t="inlineStr">
        <is>
          <t>☐</t>
        </is>
      </c>
      <c r="J737" s="26" t="inlineStr">
        <is>
          <t>☐</t>
        </is>
      </c>
      <c r="K737" s="26" t="inlineStr">
        <is>
          <t>☐</t>
        </is>
      </c>
      <c r="L737" s="26" t="inlineStr">
        <is>
          <t>☐</t>
        </is>
      </c>
      <c r="M737" s="25" t="n"/>
      <c r="N737" s="27" t="n">
        <v>0</v>
      </c>
      <c r="O737" s="28" t="n"/>
      <c r="P737" s="23" t="n"/>
      <c r="Q737" s="29" t="n"/>
      <c r="R737" s="29" t="n"/>
      <c r="S737" s="23" t="n"/>
      <c r="T737" s="30" t="n"/>
      <c r="U737" s="31" t="inlineStr">
        <is>
          <t>高</t>
        </is>
      </c>
      <c r="V737" s="32" t="inlineStr">
        <is>
          <t>公式サイトで確認。中高共通。所在地は浜松市中央区</t>
        </is>
      </c>
      <c r="W737" s="33" t="inlineStr">
        <is>
          <t>開く</t>
        </is>
      </c>
    </row>
    <row r="738" ht="30" customHeight="1">
      <c r="A738" s="23" t="inlineStr">
        <is>
          <t>22静岡県</t>
        </is>
      </c>
      <c r="B738" s="23" t="inlineStr">
        <is>
          <t>私立</t>
        </is>
      </c>
      <c r="C738" s="23" t="n"/>
      <c r="D738" s="23" t="inlineStr">
        <is>
          <t>静岡県富士見高等学校</t>
        </is>
      </c>
      <c r="E738" s="24" t="inlineStr">
        <is>
          <t>0545-61-0250</t>
        </is>
      </c>
      <c r="F738" s="23" t="n"/>
      <c r="G738" s="25" t="inlineStr">
        <is>
          <t>普通科</t>
        </is>
      </c>
      <c r="H738" s="26" t="inlineStr">
        <is>
          <t>☐</t>
        </is>
      </c>
      <c r="I738" s="26" t="inlineStr">
        <is>
          <t>☐</t>
        </is>
      </c>
      <c r="J738" s="26" t="inlineStr">
        <is>
          <t>☐</t>
        </is>
      </c>
      <c r="K738" s="26" t="inlineStr">
        <is>
          <t>☐</t>
        </is>
      </c>
      <c r="L738" s="26" t="inlineStr">
        <is>
          <t>☐</t>
        </is>
      </c>
      <c r="M738" s="25" t="n"/>
      <c r="N738" s="27" t="n">
        <v>0</v>
      </c>
      <c r="O738" s="28" t="n"/>
      <c r="P738" s="23" t="n"/>
      <c r="Q738" s="29" t="n"/>
      <c r="R738" s="29" t="n"/>
      <c r="S738" s="23" t="n"/>
      <c r="T738" s="30" t="n"/>
      <c r="U738" s="31" t="inlineStr">
        <is>
          <t>高</t>
        </is>
      </c>
      <c r="V738" s="32" t="inlineStr">
        <is>
          <t>公式サイトで確認。中高共通</t>
        </is>
      </c>
      <c r="W738" s="33" t="inlineStr">
        <is>
          <t>開く</t>
        </is>
      </c>
    </row>
    <row r="739" ht="30" customHeight="1">
      <c r="A739" s="23" t="inlineStr">
        <is>
          <t>22静岡県</t>
        </is>
      </c>
      <c r="B739" s="23" t="inlineStr">
        <is>
          <t>私立</t>
        </is>
      </c>
      <c r="C739" s="23" t="n"/>
      <c r="D739" s="23" t="inlineStr">
        <is>
          <t>静岡サレジオ高等学校</t>
        </is>
      </c>
      <c r="E739" s="24" t="inlineStr">
        <is>
          <t>054-345-2296</t>
        </is>
      </c>
      <c r="F739" s="23" t="n"/>
      <c r="G739" s="25" t="inlineStr">
        <is>
          <t>普通科</t>
        </is>
      </c>
      <c r="H739" s="26" t="inlineStr">
        <is>
          <t>☐</t>
        </is>
      </c>
      <c r="I739" s="26" t="inlineStr">
        <is>
          <t>☐</t>
        </is>
      </c>
      <c r="J739" s="26" t="inlineStr">
        <is>
          <t>☐</t>
        </is>
      </c>
      <c r="K739" s="26" t="inlineStr">
        <is>
          <t>☐</t>
        </is>
      </c>
      <c r="L739" s="26" t="inlineStr">
        <is>
          <t>☐</t>
        </is>
      </c>
      <c r="M739" s="25" t="n"/>
      <c r="N739" s="27" t="n">
        <v>0</v>
      </c>
      <c r="O739" s="28" t="n"/>
      <c r="P739" s="23" t="n"/>
      <c r="Q739" s="29" t="n"/>
      <c r="R739" s="29" t="n"/>
      <c r="S739" s="23" t="n"/>
      <c r="T739" s="30" t="n"/>
      <c r="U739" s="31" t="inlineStr">
        <is>
          <t>高</t>
        </is>
      </c>
      <c r="V739" s="32" t="inlineStr">
        <is>
          <t>公式サイトで確認</t>
        </is>
      </c>
      <c r="W739" s="33" t="inlineStr">
        <is>
          <t>開く</t>
        </is>
      </c>
    </row>
    <row r="740" ht="30" customHeight="1">
      <c r="A740" s="23" t="inlineStr">
        <is>
          <t>22静岡県</t>
        </is>
      </c>
      <c r="B740" s="23" t="inlineStr">
        <is>
          <t>私立</t>
        </is>
      </c>
      <c r="C740" s="23" t="n"/>
      <c r="D740" s="23" t="inlineStr">
        <is>
          <t>静岡女子高等学校</t>
        </is>
      </c>
      <c r="E740" s="24" t="inlineStr">
        <is>
          <t>054-285-2274</t>
        </is>
      </c>
      <c r="F740" s="23" t="n"/>
      <c r="G740" s="25" t="inlineStr">
        <is>
          <t>普通科・専門学科</t>
        </is>
      </c>
      <c r="H740" s="26" t="inlineStr">
        <is>
          <t>☐</t>
        </is>
      </c>
      <c r="I740" s="26" t="inlineStr">
        <is>
          <t>☐</t>
        </is>
      </c>
      <c r="J740" s="26" t="inlineStr">
        <is>
          <t>☐</t>
        </is>
      </c>
      <c r="K740" s="26" t="inlineStr">
        <is>
          <t>☐</t>
        </is>
      </c>
      <c r="L740" s="26" t="inlineStr">
        <is>
          <t>☐</t>
        </is>
      </c>
      <c r="M740" s="25" t="n"/>
      <c r="N740" s="27" t="n">
        <v>0</v>
      </c>
      <c r="O740" s="28" t="n"/>
      <c r="P740" s="23" t="n"/>
      <c r="Q740" s="29" t="n"/>
      <c r="R740" s="29" t="n"/>
      <c r="S740" s="23" t="n"/>
      <c r="T740" s="30" t="n"/>
      <c r="U740" s="31" t="inlineStr">
        <is>
          <t>高</t>
        </is>
      </c>
      <c r="V740" s="32" t="inlineStr">
        <is>
          <t>公式サイトで確認</t>
        </is>
      </c>
      <c r="W740" s="33" t="inlineStr">
        <is>
          <t>開く</t>
        </is>
      </c>
    </row>
    <row r="741" ht="30" customHeight="1">
      <c r="A741" s="23" t="inlineStr">
        <is>
          <t>22静岡県</t>
        </is>
      </c>
      <c r="B741" s="23" t="inlineStr">
        <is>
          <t>私立</t>
        </is>
      </c>
      <c r="C741" s="23" t="n"/>
      <c r="D741" s="23" t="inlineStr">
        <is>
          <t>静岡聖光学院高等学校</t>
        </is>
      </c>
      <c r="E741" s="24" t="inlineStr">
        <is>
          <t>054-285-9136</t>
        </is>
      </c>
      <c r="F741" s="23" t="n"/>
      <c r="G741" s="25" t="inlineStr">
        <is>
          <t>普通科</t>
        </is>
      </c>
      <c r="H741" s="26" t="inlineStr">
        <is>
          <t>☐</t>
        </is>
      </c>
      <c r="I741" s="26" t="inlineStr">
        <is>
          <t>☐</t>
        </is>
      </c>
      <c r="J741" s="26" t="inlineStr">
        <is>
          <t>☐</t>
        </is>
      </c>
      <c r="K741" s="26" t="inlineStr">
        <is>
          <t>☐</t>
        </is>
      </c>
      <c r="L741" s="26" t="inlineStr">
        <is>
          <t>☐</t>
        </is>
      </c>
      <c r="M741" s="25" t="n"/>
      <c r="N741" s="27" t="n">
        <v>0</v>
      </c>
      <c r="O741" s="28" t="n"/>
      <c r="P741" s="23" t="n"/>
      <c r="Q741" s="29" t="n"/>
      <c r="R741" s="29" t="n"/>
      <c r="S741" s="23" t="n"/>
      <c r="T741" s="30" t="n"/>
      <c r="U741" s="31" t="inlineStr">
        <is>
          <t>高</t>
        </is>
      </c>
      <c r="V741" s="32" t="inlineStr">
        <is>
          <t>中高共通。高校募集なし（完全中高一貫）。公式未確認</t>
        </is>
      </c>
      <c r="W741" s="33" t="inlineStr">
        <is>
          <t>開く</t>
        </is>
      </c>
    </row>
    <row r="742" ht="30" customHeight="1">
      <c r="A742" s="23" t="inlineStr">
        <is>
          <t>22静岡県</t>
        </is>
      </c>
      <c r="B742" s="23" t="inlineStr">
        <is>
          <t>私立</t>
        </is>
      </c>
      <c r="C742" s="23" t="n"/>
      <c r="D742" s="23" t="inlineStr">
        <is>
          <t>静岡大成高等学校</t>
        </is>
      </c>
      <c r="E742" s="24" t="inlineStr">
        <is>
          <t>054-254-7334</t>
        </is>
      </c>
      <c r="F742" s="23" t="n"/>
      <c r="G742" s="25" t="inlineStr">
        <is>
          <t>普通科</t>
        </is>
      </c>
      <c r="H742" s="26" t="inlineStr">
        <is>
          <t>☐</t>
        </is>
      </c>
      <c r="I742" s="26" t="inlineStr">
        <is>
          <t>☐</t>
        </is>
      </c>
      <c r="J742" s="26" t="inlineStr">
        <is>
          <t>☐</t>
        </is>
      </c>
      <c r="K742" s="26" t="inlineStr">
        <is>
          <t>☐</t>
        </is>
      </c>
      <c r="L742" s="26" t="inlineStr">
        <is>
          <t>☐</t>
        </is>
      </c>
      <c r="M742" s="25" t="n"/>
      <c r="N742" s="27" t="n">
        <v>0</v>
      </c>
      <c r="O742" s="28" t="n"/>
      <c r="P742" s="23" t="n"/>
      <c r="Q742" s="29" t="n"/>
      <c r="R742" s="29" t="n"/>
      <c r="S742" s="23" t="n"/>
      <c r="T742" s="30" t="n"/>
      <c r="U742" s="31" t="inlineStr">
        <is>
          <t>高</t>
        </is>
      </c>
      <c r="V742" s="32" t="inlineStr">
        <is>
          <t>複数サイトで一致、公式未確認</t>
        </is>
      </c>
      <c r="W742" s="33" t="inlineStr">
        <is>
          <t>開く</t>
        </is>
      </c>
    </row>
    <row r="743" ht="30" customHeight="1">
      <c r="A743" s="23" t="inlineStr">
        <is>
          <t>22静岡県</t>
        </is>
      </c>
      <c r="B743" s="23" t="inlineStr">
        <is>
          <t>私立</t>
        </is>
      </c>
      <c r="C743" s="23" t="n"/>
      <c r="D743" s="23" t="inlineStr">
        <is>
          <t>静岡雙葉高等学校</t>
        </is>
      </c>
      <c r="E743" s="24" t="inlineStr">
        <is>
          <t>054-255-0305</t>
        </is>
      </c>
      <c r="F743" s="23" t="n"/>
      <c r="G743" s="25" t="inlineStr">
        <is>
          <t>普通科</t>
        </is>
      </c>
      <c r="H743" s="26" t="inlineStr">
        <is>
          <t>☐</t>
        </is>
      </c>
      <c r="I743" s="26" t="inlineStr">
        <is>
          <t>☐</t>
        </is>
      </c>
      <c r="J743" s="26" t="inlineStr">
        <is>
          <t>☐</t>
        </is>
      </c>
      <c r="K743" s="26" t="inlineStr">
        <is>
          <t>☐</t>
        </is>
      </c>
      <c r="L743" s="26" t="inlineStr">
        <is>
          <t>☐</t>
        </is>
      </c>
      <c r="M743" s="25" t="n"/>
      <c r="N743" s="27" t="n">
        <v>0</v>
      </c>
      <c r="O743" s="28" t="n"/>
      <c r="P743" s="23" t="n"/>
      <c r="Q743" s="29" t="n"/>
      <c r="R743" s="29" t="n"/>
      <c r="S743" s="23" t="n"/>
      <c r="T743" s="30" t="n"/>
      <c r="U743" s="31" t="inlineStr">
        <is>
          <t>高</t>
        </is>
      </c>
      <c r="V743" s="32" t="inlineStr">
        <is>
          <t>公式サイトで確認。中高共通</t>
        </is>
      </c>
      <c r="W743" s="33" t="inlineStr">
        <is>
          <t>開く</t>
        </is>
      </c>
    </row>
    <row r="744" ht="30" customHeight="1">
      <c r="A744" s="23" t="inlineStr">
        <is>
          <t>22静岡県</t>
        </is>
      </c>
      <c r="B744" s="23" t="inlineStr">
        <is>
          <t>私立</t>
        </is>
      </c>
      <c r="C744" s="23" t="n"/>
      <c r="D744" s="23" t="inlineStr">
        <is>
          <t>島田樟誠高等学校</t>
        </is>
      </c>
      <c r="E744" s="24" t="inlineStr">
        <is>
          <t>0547-37-3116</t>
        </is>
      </c>
      <c r="F744" s="23" t="n"/>
      <c r="G744" s="25" t="inlineStr">
        <is>
          <t>普通科</t>
        </is>
      </c>
      <c r="H744" s="26" t="inlineStr">
        <is>
          <t>☐</t>
        </is>
      </c>
      <c r="I744" s="26" t="inlineStr">
        <is>
          <t>☐</t>
        </is>
      </c>
      <c r="J744" s="26" t="inlineStr">
        <is>
          <t>☐</t>
        </is>
      </c>
      <c r="K744" s="26" t="inlineStr">
        <is>
          <t>☐</t>
        </is>
      </c>
      <c r="L744" s="26" t="inlineStr">
        <is>
          <t>☐</t>
        </is>
      </c>
      <c r="M744" s="25" t="n"/>
      <c r="N744" s="27" t="n">
        <v>0</v>
      </c>
      <c r="O744" s="28" t="n"/>
      <c r="P744" s="23" t="n"/>
      <c r="Q744" s="29" t="n"/>
      <c r="R744" s="29" t="n"/>
      <c r="S744" s="23" t="n"/>
      <c r="T744" s="30" t="n"/>
      <c r="U744" s="31" t="inlineStr">
        <is>
          <t>高</t>
        </is>
      </c>
      <c r="V744" s="32" t="inlineStr">
        <is>
          <t>複数サイトで一致、公式未確認</t>
        </is>
      </c>
      <c r="W744" s="33" t="inlineStr">
        <is>
          <t>開く</t>
        </is>
      </c>
    </row>
    <row r="745" ht="30" customHeight="1">
      <c r="A745" s="23" t="inlineStr">
        <is>
          <t>22静岡県</t>
        </is>
      </c>
      <c r="B745" s="23" t="inlineStr">
        <is>
          <t>私立</t>
        </is>
      </c>
      <c r="C745" s="23" t="n"/>
      <c r="D745" s="23" t="inlineStr">
        <is>
          <t>清水国際高等学校</t>
        </is>
      </c>
      <c r="E745" s="24" t="inlineStr">
        <is>
          <t>054-366-4155</t>
        </is>
      </c>
      <c r="F745" s="23" t="n"/>
      <c r="G745" s="25" t="inlineStr">
        <is>
          <t>普通科・専門学科</t>
        </is>
      </c>
      <c r="H745" s="26" t="inlineStr">
        <is>
          <t>☐</t>
        </is>
      </c>
      <c r="I745" s="26" t="inlineStr">
        <is>
          <t>☐</t>
        </is>
      </c>
      <c r="J745" s="26" t="inlineStr">
        <is>
          <t>☐</t>
        </is>
      </c>
      <c r="K745" s="26" t="inlineStr">
        <is>
          <t>☐</t>
        </is>
      </c>
      <c r="L745" s="26" t="inlineStr">
        <is>
          <t>☐</t>
        </is>
      </c>
      <c r="M745" s="25" t="n"/>
      <c r="N745" s="27" t="n">
        <v>0</v>
      </c>
      <c r="O745" s="28" t="n"/>
      <c r="P745" s="23" t="n"/>
      <c r="Q745" s="29" t="n"/>
      <c r="R745" s="29" t="n"/>
      <c r="S745" s="23" t="n"/>
      <c r="T745" s="30" t="n"/>
      <c r="U745" s="31" t="inlineStr">
        <is>
          <t>高</t>
        </is>
      </c>
      <c r="V745" s="32" t="inlineStr">
        <is>
          <t>公式サイトで確認</t>
        </is>
      </c>
      <c r="W745" s="33" t="inlineStr">
        <is>
          <t>開く</t>
        </is>
      </c>
    </row>
    <row r="746" ht="30" customHeight="1">
      <c r="A746" s="23" t="inlineStr">
        <is>
          <t>22静岡県</t>
        </is>
      </c>
      <c r="B746" s="23" t="inlineStr">
        <is>
          <t>私立</t>
        </is>
      </c>
      <c r="C746" s="23" t="n"/>
      <c r="D746" s="23" t="inlineStr">
        <is>
          <t>城南静岡高等学校</t>
        </is>
      </c>
      <c r="E746" s="24" t="inlineStr">
        <is>
          <t>054-285-6156</t>
        </is>
      </c>
      <c r="F746" s="23" t="n"/>
      <c r="G746" s="25" t="inlineStr">
        <is>
          <t>普通科・専門学科</t>
        </is>
      </c>
      <c r="H746" s="26" t="inlineStr">
        <is>
          <t>☐</t>
        </is>
      </c>
      <c r="I746" s="26" t="inlineStr">
        <is>
          <t>☐</t>
        </is>
      </c>
      <c r="J746" s="26" t="inlineStr">
        <is>
          <t>☐</t>
        </is>
      </c>
      <c r="K746" s="26" t="inlineStr">
        <is>
          <t>☐</t>
        </is>
      </c>
      <c r="L746" s="26" t="inlineStr">
        <is>
          <t>☐</t>
        </is>
      </c>
      <c r="M746" s="25" t="n"/>
      <c r="N746" s="27" t="n">
        <v>0</v>
      </c>
      <c r="O746" s="28" t="n"/>
      <c r="P746" s="23" t="n"/>
      <c r="Q746" s="29" t="n"/>
      <c r="R746" s="29" t="n"/>
      <c r="S746" s="23" t="n"/>
      <c r="T746" s="30" t="n"/>
      <c r="U746" s="31" t="inlineStr">
        <is>
          <t>高</t>
        </is>
      </c>
      <c r="V746" s="32" t="inlineStr">
        <is>
          <t>公式サイトで確認。中高共通</t>
        </is>
      </c>
      <c r="W746" s="33" t="inlineStr">
        <is>
          <t>開く</t>
        </is>
      </c>
    </row>
    <row r="747" ht="30" customHeight="1">
      <c r="A747" s="23" t="inlineStr">
        <is>
          <t>22静岡県</t>
        </is>
      </c>
      <c r="B747" s="23" t="inlineStr">
        <is>
          <t>私立</t>
        </is>
      </c>
      <c r="C747" s="23" t="n"/>
      <c r="D747" s="23" t="inlineStr">
        <is>
          <t>誠恵高等学校</t>
        </is>
      </c>
      <c r="E747" s="24" t="inlineStr">
        <is>
          <t>055-921-5088</t>
        </is>
      </c>
      <c r="F747" s="23" t="n"/>
      <c r="G747" s="25" t="inlineStr">
        <is>
          <t>普通科</t>
        </is>
      </c>
      <c r="H747" s="26" t="inlineStr">
        <is>
          <t>☐</t>
        </is>
      </c>
      <c r="I747" s="26" t="inlineStr">
        <is>
          <t>☐</t>
        </is>
      </c>
      <c r="J747" s="26" t="inlineStr">
        <is>
          <t>☐</t>
        </is>
      </c>
      <c r="K747" s="26" t="inlineStr">
        <is>
          <t>☐</t>
        </is>
      </c>
      <c r="L747" s="26" t="inlineStr">
        <is>
          <t>☐</t>
        </is>
      </c>
      <c r="M747" s="25" t="n"/>
      <c r="N747" s="27" t="n">
        <v>0</v>
      </c>
      <c r="O747" s="28" t="n"/>
      <c r="P747" s="23" t="n"/>
      <c r="Q747" s="29" t="n"/>
      <c r="R747" s="29" t="n"/>
      <c r="S747" s="23" t="n"/>
      <c r="T747" s="30" t="n"/>
      <c r="U747" s="31" t="inlineStr">
        <is>
          <t>高</t>
        </is>
      </c>
      <c r="V747" s="32" t="inlineStr">
        <is>
          <t>公式サイトに「代表」と記載</t>
        </is>
      </c>
      <c r="W747" s="33" t="inlineStr">
        <is>
          <t>開く</t>
        </is>
      </c>
    </row>
    <row r="748" ht="30" customHeight="1">
      <c r="A748" s="23" t="inlineStr">
        <is>
          <t>22静岡県</t>
        </is>
      </c>
      <c r="B748" s="23" t="inlineStr">
        <is>
          <t>私立</t>
        </is>
      </c>
      <c r="C748" s="23" t="n"/>
      <c r="D748" s="23" t="inlineStr">
        <is>
          <t>静清高等学校</t>
        </is>
      </c>
      <c r="E748" s="24" t="inlineStr">
        <is>
          <t>054-641-6693</t>
        </is>
      </c>
      <c r="F748" s="23" t="n"/>
      <c r="G748" s="25" t="inlineStr">
        <is>
          <t>普通科・専門学科</t>
        </is>
      </c>
      <c r="H748" s="26" t="inlineStr">
        <is>
          <t>☐</t>
        </is>
      </c>
      <c r="I748" s="26" t="inlineStr">
        <is>
          <t>☐</t>
        </is>
      </c>
      <c r="J748" s="26" t="inlineStr">
        <is>
          <t>☐</t>
        </is>
      </c>
      <c r="K748" s="26" t="inlineStr">
        <is>
          <t>☐</t>
        </is>
      </c>
      <c r="L748" s="26" t="inlineStr">
        <is>
          <t>☐</t>
        </is>
      </c>
      <c r="M748" s="25" t="n"/>
      <c r="N748" s="27" t="n">
        <v>0</v>
      </c>
      <c r="O748" s="28" t="n"/>
      <c r="P748" s="23" t="n"/>
      <c r="Q748" s="29" t="n"/>
      <c r="R748" s="29" t="n"/>
      <c r="S748" s="23" t="n"/>
      <c r="T748" s="30" t="n"/>
      <c r="U748" s="31" t="inlineStr">
        <is>
          <t>高</t>
        </is>
      </c>
      <c r="V748" s="32" t="inlineStr">
        <is>
          <t>公式サイトで確認。通信制課程も同じ番号</t>
        </is>
      </c>
      <c r="W748" s="33" t="inlineStr">
        <is>
          <t>開く</t>
        </is>
      </c>
    </row>
    <row r="749" ht="30" customHeight="1">
      <c r="A749" s="23" t="inlineStr">
        <is>
          <t>22静岡県</t>
        </is>
      </c>
      <c r="B749" s="23" t="inlineStr">
        <is>
          <t>私立</t>
        </is>
      </c>
      <c r="C749" s="23" t="n"/>
      <c r="D749" s="23" t="inlineStr">
        <is>
          <t>星陵高等学校</t>
        </is>
      </c>
      <c r="E749" s="24" t="inlineStr">
        <is>
          <t>0544-24-4811</t>
        </is>
      </c>
      <c r="F749" s="23" t="n"/>
      <c r="G749" s="25" t="inlineStr">
        <is>
          <t>普通科・専門学科</t>
        </is>
      </c>
      <c r="H749" s="26" t="inlineStr">
        <is>
          <t>☐</t>
        </is>
      </c>
      <c r="I749" s="26" t="inlineStr">
        <is>
          <t>☐</t>
        </is>
      </c>
      <c r="J749" s="26" t="inlineStr">
        <is>
          <t>☐</t>
        </is>
      </c>
      <c r="K749" s="26" t="inlineStr">
        <is>
          <t>☐</t>
        </is>
      </c>
      <c r="L749" s="26" t="inlineStr">
        <is>
          <t>☐</t>
        </is>
      </c>
      <c r="M749" s="25" t="n"/>
      <c r="N749" s="27" t="n">
        <v>0</v>
      </c>
      <c r="O749" s="28" t="n"/>
      <c r="P749" s="23" t="n"/>
      <c r="Q749" s="29" t="n"/>
      <c r="R749" s="29" t="n"/>
      <c r="S749" s="23" t="n"/>
      <c r="T749" s="30" t="n"/>
      <c r="U749" s="31" t="inlineStr">
        <is>
          <t>高</t>
        </is>
      </c>
      <c r="V749" s="32" t="inlineStr">
        <is>
          <t>公式サイトで確認（静岡理工科大学星陵中学校・高等学校）</t>
        </is>
      </c>
      <c r="W749" s="33" t="inlineStr">
        <is>
          <t>開く</t>
        </is>
      </c>
    </row>
    <row r="750" ht="30" customHeight="1">
      <c r="A750" s="23" t="inlineStr">
        <is>
          <t>22静岡県</t>
        </is>
      </c>
      <c r="B750" s="23" t="inlineStr">
        <is>
          <t>私立</t>
        </is>
      </c>
      <c r="C750" s="23" t="n"/>
      <c r="D750" s="23" t="inlineStr">
        <is>
          <t>聖隷クリストファー高等学校</t>
        </is>
      </c>
      <c r="E750" s="24" t="inlineStr">
        <is>
          <t>053-436-5313</t>
        </is>
      </c>
      <c r="F750" s="23" t="n"/>
      <c r="G750" s="25" t="inlineStr">
        <is>
          <t>普通科・専門学科</t>
        </is>
      </c>
      <c r="H750" s="26" t="inlineStr">
        <is>
          <t>☐</t>
        </is>
      </c>
      <c r="I750" s="26" t="inlineStr">
        <is>
          <t>☐</t>
        </is>
      </c>
      <c r="J750" s="26" t="inlineStr">
        <is>
          <t>☐</t>
        </is>
      </c>
      <c r="K750" s="26" t="inlineStr">
        <is>
          <t>☐</t>
        </is>
      </c>
      <c r="L750" s="26" t="inlineStr">
        <is>
          <t>☐</t>
        </is>
      </c>
      <c r="M750" s="25" t="n"/>
      <c r="N750" s="27" t="n">
        <v>0</v>
      </c>
      <c r="O750" s="28" t="n"/>
      <c r="P750" s="23" t="n"/>
      <c r="Q750" s="29" t="n"/>
      <c r="R750" s="29" t="n"/>
      <c r="S750" s="23" t="n"/>
      <c r="T750" s="30" t="n"/>
      <c r="U750" s="31" t="inlineStr">
        <is>
          <t>高</t>
        </is>
      </c>
      <c r="V750" s="32" t="inlineStr">
        <is>
          <t>複数サイトで一致、公式未確認。所在地は浜松市中央区</t>
        </is>
      </c>
      <c r="W750" s="33" t="inlineStr">
        <is>
          <t>開く</t>
        </is>
      </c>
    </row>
    <row r="751" ht="30" customHeight="1">
      <c r="A751" s="23" t="inlineStr">
        <is>
          <t>22静岡県</t>
        </is>
      </c>
      <c r="B751" s="23" t="inlineStr">
        <is>
          <t>私立</t>
        </is>
      </c>
      <c r="C751" s="23" t="n"/>
      <c r="D751" s="23" t="inlineStr">
        <is>
          <t>知徳高等学校</t>
        </is>
      </c>
      <c r="E751" s="24" t="inlineStr">
        <is>
          <t>055-975-0080</t>
        </is>
      </c>
      <c r="F751" s="23" t="n"/>
      <c r="G751" s="25" t="inlineStr">
        <is>
          <t>普通科・専門学科</t>
        </is>
      </c>
      <c r="H751" s="26" t="inlineStr">
        <is>
          <t>☐</t>
        </is>
      </c>
      <c r="I751" s="26" t="inlineStr">
        <is>
          <t>☐</t>
        </is>
      </c>
      <c r="J751" s="26" t="inlineStr">
        <is>
          <t>☐</t>
        </is>
      </c>
      <c r="K751" s="26" t="inlineStr">
        <is>
          <t>☐</t>
        </is>
      </c>
      <c r="L751" s="26" t="inlineStr">
        <is>
          <t>☐</t>
        </is>
      </c>
      <c r="M751" s="25" t="n"/>
      <c r="N751" s="27" t="n">
        <v>0</v>
      </c>
      <c r="O751" s="28" t="n"/>
      <c r="P751" s="23" t="n"/>
      <c r="Q751" s="29" t="n"/>
      <c r="R751" s="29" t="n"/>
      <c r="S751" s="23" t="n"/>
      <c r="T751" s="30" t="n"/>
      <c r="U751" s="31" t="inlineStr">
        <is>
          <t>高</t>
        </is>
      </c>
      <c r="V751" s="32" t="inlineStr">
        <is>
          <t>複数サイトで一致。055-976-0735はFAXなので注意</t>
        </is>
      </c>
      <c r="W751" s="33" t="inlineStr">
        <is>
          <t>開く</t>
        </is>
      </c>
    </row>
    <row r="752" ht="30" customHeight="1">
      <c r="A752" s="23" t="inlineStr">
        <is>
          <t>22静岡県</t>
        </is>
      </c>
      <c r="B752" s="23" t="inlineStr">
        <is>
          <t>私立</t>
        </is>
      </c>
      <c r="C752" s="23" t="n"/>
      <c r="D752" s="23" t="inlineStr">
        <is>
          <t>東海大学付属静岡翔洋高等学校</t>
        </is>
      </c>
      <c r="E752" s="24" t="inlineStr">
        <is>
          <t>054-334-0726</t>
        </is>
      </c>
      <c r="F752" s="23" t="n"/>
      <c r="G752" s="25" t="inlineStr">
        <is>
          <t>普通科</t>
        </is>
      </c>
      <c r="H752" s="26" t="inlineStr">
        <is>
          <t>☐</t>
        </is>
      </c>
      <c r="I752" s="26" t="inlineStr">
        <is>
          <t>☐</t>
        </is>
      </c>
      <c r="J752" s="26" t="inlineStr">
        <is>
          <t>☐</t>
        </is>
      </c>
      <c r="K752" s="26" t="inlineStr">
        <is>
          <t>☐</t>
        </is>
      </c>
      <c r="L752" s="26" t="inlineStr">
        <is>
          <t>☐</t>
        </is>
      </c>
      <c r="M752" s="25" t="n"/>
      <c r="N752" s="27" t="n">
        <v>0</v>
      </c>
      <c r="O752" s="28" t="n"/>
      <c r="P752" s="23" t="n"/>
      <c r="Q752" s="29" t="n"/>
      <c r="R752" s="29" t="n"/>
      <c r="S752" s="23" t="n"/>
      <c r="T752" s="30" t="n"/>
      <c r="U752" s="31" t="inlineStr">
        <is>
          <t>高</t>
        </is>
      </c>
      <c r="V752" s="32" t="inlineStr">
        <is>
          <t>公式サイトで確認。中等部は054-334-1851</t>
        </is>
      </c>
      <c r="W752" s="33" t="inlineStr">
        <is>
          <t>開く</t>
        </is>
      </c>
    </row>
    <row r="753" ht="30" customHeight="1">
      <c r="A753" s="23" t="inlineStr">
        <is>
          <t>22静岡県</t>
        </is>
      </c>
      <c r="B753" s="23" t="inlineStr">
        <is>
          <t>私立</t>
        </is>
      </c>
      <c r="C753" s="23" t="n"/>
      <c r="D753" s="23" t="inlineStr">
        <is>
          <t>桐陽高等学校</t>
        </is>
      </c>
      <c r="E753" s="24" t="inlineStr">
        <is>
          <t>055-921-0350</t>
        </is>
      </c>
      <c r="F753" s="23" t="n"/>
      <c r="G753" s="25" t="inlineStr">
        <is>
          <t>普通科</t>
        </is>
      </c>
      <c r="H753" s="26" t="inlineStr">
        <is>
          <t>☐</t>
        </is>
      </c>
      <c r="I753" s="26" t="inlineStr">
        <is>
          <t>☐</t>
        </is>
      </c>
      <c r="J753" s="26" t="inlineStr">
        <is>
          <t>☐</t>
        </is>
      </c>
      <c r="K753" s="26" t="inlineStr">
        <is>
          <t>☐</t>
        </is>
      </c>
      <c r="L753" s="26" t="inlineStr">
        <is>
          <t>☐</t>
        </is>
      </c>
      <c r="M753" s="25" t="n"/>
      <c r="N753" s="27" t="n">
        <v>0</v>
      </c>
      <c r="O753" s="28" t="n"/>
      <c r="P753" s="23" t="n"/>
      <c r="Q753" s="29" t="n"/>
      <c r="R753" s="29" t="n"/>
      <c r="S753" s="23" t="n"/>
      <c r="T753" s="30" t="n"/>
      <c r="U753" s="31" t="inlineStr">
        <is>
          <t>高</t>
        </is>
      </c>
      <c r="V753" s="32" t="inlineStr">
        <is>
          <t>公式サイトでは募集広報部の番号。055-921-0096を載せるサイトもあり（旧番号の可能性）</t>
        </is>
      </c>
      <c r="W753" s="33" t="inlineStr">
        <is>
          <t>開く</t>
        </is>
      </c>
    </row>
    <row r="754" ht="30" customHeight="1">
      <c r="A754" s="23" t="inlineStr">
        <is>
          <t>22静岡県</t>
        </is>
      </c>
      <c r="B754" s="23" t="inlineStr">
        <is>
          <t>私立</t>
        </is>
      </c>
      <c r="C754" s="23" t="n"/>
      <c r="D754" s="23" t="inlineStr">
        <is>
          <t>常葉大学附属菊川高等学校</t>
        </is>
      </c>
      <c r="E754" s="24" t="inlineStr">
        <is>
          <t>0537-35-3171</t>
        </is>
      </c>
      <c r="F754" s="23" t="n"/>
      <c r="G754" s="25" t="inlineStr">
        <is>
          <t>普通科・専門学科</t>
        </is>
      </c>
      <c r="H754" s="26" t="inlineStr">
        <is>
          <t>☐</t>
        </is>
      </c>
      <c r="I754" s="26" t="inlineStr">
        <is>
          <t>☐</t>
        </is>
      </c>
      <c r="J754" s="26" t="inlineStr">
        <is>
          <t>☐</t>
        </is>
      </c>
      <c r="K754" s="26" t="inlineStr">
        <is>
          <t>☐</t>
        </is>
      </c>
      <c r="L754" s="26" t="inlineStr">
        <is>
          <t>☐</t>
        </is>
      </c>
      <c r="M754" s="25" t="n"/>
      <c r="N754" s="27" t="n">
        <v>0</v>
      </c>
      <c r="O754" s="28" t="n"/>
      <c r="P754" s="23" t="n"/>
      <c r="Q754" s="29" t="n"/>
      <c r="R754" s="29" t="n"/>
      <c r="S754" s="23" t="n"/>
      <c r="T754" s="30" t="n"/>
      <c r="U754" s="31" t="inlineStr">
        <is>
          <t>高</t>
        </is>
      </c>
      <c r="V754" s="32" t="inlineStr">
        <is>
          <t>公式サイトで確認。中高共通</t>
        </is>
      </c>
      <c r="W754" s="33" t="inlineStr">
        <is>
          <t>開く</t>
        </is>
      </c>
    </row>
    <row r="755" ht="30" customHeight="1">
      <c r="A755" s="23" t="inlineStr">
        <is>
          <t>22静岡県</t>
        </is>
      </c>
      <c r="B755" s="23" t="inlineStr">
        <is>
          <t>私立</t>
        </is>
      </c>
      <c r="C755" s="23" t="n"/>
      <c r="D755" s="23" t="inlineStr">
        <is>
          <t>常葉大学附属橘高等学校</t>
        </is>
      </c>
      <c r="E755" s="24" t="inlineStr">
        <is>
          <t>054-261-2256</t>
        </is>
      </c>
      <c r="F755" s="23" t="n"/>
      <c r="G755" s="25" t="inlineStr">
        <is>
          <t>普通科・専門学科</t>
        </is>
      </c>
      <c r="H755" s="26" t="inlineStr">
        <is>
          <t>☐</t>
        </is>
      </c>
      <c r="I755" s="26" t="inlineStr">
        <is>
          <t>☐</t>
        </is>
      </c>
      <c r="J755" s="26" t="inlineStr">
        <is>
          <t>☐</t>
        </is>
      </c>
      <c r="K755" s="26" t="inlineStr">
        <is>
          <t>☐</t>
        </is>
      </c>
      <c r="L755" s="26" t="inlineStr">
        <is>
          <t>☐</t>
        </is>
      </c>
      <c r="M755" s="25" t="n"/>
      <c r="N755" s="27" t="n">
        <v>0</v>
      </c>
      <c r="O755" s="28" t="n"/>
      <c r="P755" s="23" t="n"/>
      <c r="Q755" s="29" t="n"/>
      <c r="R755" s="29" t="n"/>
      <c r="S755" s="23" t="n"/>
      <c r="T755" s="30" t="n"/>
      <c r="U755" s="31" t="inlineStr">
        <is>
          <t>高</t>
        </is>
      </c>
      <c r="V755" s="32" t="inlineStr">
        <is>
          <t>公式サイトで確認。中高共通</t>
        </is>
      </c>
      <c r="W755" s="33" t="inlineStr">
        <is>
          <t>開く</t>
        </is>
      </c>
    </row>
    <row r="756" ht="30" customHeight="1">
      <c r="A756" s="23" t="inlineStr">
        <is>
          <t>22静岡県</t>
        </is>
      </c>
      <c r="B756" s="23" t="inlineStr">
        <is>
          <t>私立</t>
        </is>
      </c>
      <c r="C756" s="23" t="n"/>
      <c r="D756" s="23" t="inlineStr">
        <is>
          <t>常葉大学附属常葉高等学校</t>
        </is>
      </c>
      <c r="E756" s="24" t="inlineStr">
        <is>
          <t>054-245-5401</t>
        </is>
      </c>
      <c r="F756" s="23" t="n"/>
      <c r="G756" s="25" t="inlineStr">
        <is>
          <t>普通科</t>
        </is>
      </c>
      <c r="H756" s="26" t="inlineStr">
        <is>
          <t>☐</t>
        </is>
      </c>
      <c r="I756" s="26" t="inlineStr">
        <is>
          <t>☐</t>
        </is>
      </c>
      <c r="J756" s="26" t="inlineStr">
        <is>
          <t>☐</t>
        </is>
      </c>
      <c r="K756" s="26" t="inlineStr">
        <is>
          <t>☐</t>
        </is>
      </c>
      <c r="L756" s="26" t="inlineStr">
        <is>
          <t>☐</t>
        </is>
      </c>
      <c r="M756" s="25" t="n"/>
      <c r="N756" s="27" t="n">
        <v>0</v>
      </c>
      <c r="O756" s="28" t="n"/>
      <c r="P756" s="23" t="n"/>
      <c r="Q756" s="29" t="n"/>
      <c r="R756" s="29" t="n"/>
      <c r="S756" s="23" t="n"/>
      <c r="T756" s="30" t="n"/>
      <c r="U756" s="31" t="inlineStr">
        <is>
          <t>高</t>
        </is>
      </c>
      <c r="V756" s="32" t="inlineStr">
        <is>
          <t>中高共通の代表</t>
        </is>
      </c>
      <c r="W756" s="33" t="inlineStr">
        <is>
          <t>開く</t>
        </is>
      </c>
    </row>
    <row r="757" ht="30" customHeight="1">
      <c r="A757" s="23" t="inlineStr">
        <is>
          <t>22静岡県</t>
        </is>
      </c>
      <c r="B757" s="23" t="inlineStr">
        <is>
          <t>私立</t>
        </is>
      </c>
      <c r="C757" s="23" t="n"/>
      <c r="D757" s="23" t="inlineStr">
        <is>
          <t>日本大学三島高等学校</t>
        </is>
      </c>
      <c r="E757" s="24" t="inlineStr">
        <is>
          <t>055-988-3500</t>
        </is>
      </c>
      <c r="F757" s="23" t="n"/>
      <c r="G757" s="25" t="inlineStr">
        <is>
          <t>普通科</t>
        </is>
      </c>
      <c r="H757" s="26" t="inlineStr">
        <is>
          <t>☐</t>
        </is>
      </c>
      <c r="I757" s="26" t="inlineStr">
        <is>
          <t>☐</t>
        </is>
      </c>
      <c r="J757" s="26" t="inlineStr">
        <is>
          <t>☐</t>
        </is>
      </c>
      <c r="K757" s="26" t="inlineStr">
        <is>
          <t>☐</t>
        </is>
      </c>
      <c r="L757" s="26" t="inlineStr">
        <is>
          <t>☐</t>
        </is>
      </c>
      <c r="M757" s="25" t="n"/>
      <c r="N757" s="27" t="n">
        <v>0</v>
      </c>
      <c r="O757" s="28" t="n"/>
      <c r="P757" s="23" t="n"/>
      <c r="Q757" s="29" t="n"/>
      <c r="R757" s="29" t="n"/>
      <c r="S757" s="23" t="n"/>
      <c r="T757" s="30" t="n"/>
      <c r="U757" s="31" t="inlineStr">
        <is>
          <t>高</t>
        </is>
      </c>
      <c r="V757" s="32" t="inlineStr">
        <is>
          <t>公式サイトで確認。中高共通</t>
        </is>
      </c>
      <c r="W757" s="33" t="inlineStr">
        <is>
          <t>開く</t>
        </is>
      </c>
    </row>
    <row r="758" ht="30" customHeight="1">
      <c r="A758" s="23" t="inlineStr">
        <is>
          <t>22静岡県</t>
        </is>
      </c>
      <c r="B758" s="23" t="inlineStr">
        <is>
          <t>私立</t>
        </is>
      </c>
      <c r="C758" s="23" t="n"/>
      <c r="D758" s="23" t="inlineStr">
        <is>
          <t>沼津中央高等学校</t>
        </is>
      </c>
      <c r="E758" s="24" t="inlineStr">
        <is>
          <t>055-921-0346</t>
        </is>
      </c>
      <c r="F758" s="23" t="n"/>
      <c r="G758" s="25" t="inlineStr">
        <is>
          <t>普通科</t>
        </is>
      </c>
      <c r="H758" s="26" t="inlineStr">
        <is>
          <t>☐</t>
        </is>
      </c>
      <c r="I758" s="26" t="inlineStr">
        <is>
          <t>☐</t>
        </is>
      </c>
      <c r="J758" s="26" t="inlineStr">
        <is>
          <t>☐</t>
        </is>
      </c>
      <c r="K758" s="26" t="inlineStr">
        <is>
          <t>☐</t>
        </is>
      </c>
      <c r="L758" s="26" t="inlineStr">
        <is>
          <t>☐</t>
        </is>
      </c>
      <c r="M758" s="25" t="n"/>
      <c r="N758" s="27" t="n">
        <v>0</v>
      </c>
      <c r="O758" s="28" t="n"/>
      <c r="P758" s="23" t="n"/>
      <c r="Q758" s="29" t="n"/>
      <c r="R758" s="29" t="n"/>
      <c r="S758" s="23" t="n"/>
      <c r="T758" s="30" t="n"/>
      <c r="U758" s="31" t="inlineStr">
        <is>
          <t>高</t>
        </is>
      </c>
      <c r="V758" s="32" t="inlineStr">
        <is>
          <t>公式サイトで確認</t>
        </is>
      </c>
      <c r="W758" s="33" t="inlineStr">
        <is>
          <t>開く</t>
        </is>
      </c>
    </row>
    <row r="759" ht="30" customHeight="1">
      <c r="A759" s="23" t="inlineStr">
        <is>
          <t>22静岡県</t>
        </is>
      </c>
      <c r="B759" s="23" t="inlineStr">
        <is>
          <t>私立</t>
        </is>
      </c>
      <c r="C759" s="23" t="n"/>
      <c r="D759" s="23" t="inlineStr">
        <is>
          <t>浜松開誠館高等学校</t>
        </is>
      </c>
      <c r="E759" s="24" t="inlineStr">
        <is>
          <t>053-456-7111</t>
        </is>
      </c>
      <c r="F759" s="23" t="n"/>
      <c r="G759" s="25" t="inlineStr">
        <is>
          <t>普通科</t>
        </is>
      </c>
      <c r="H759" s="26" t="inlineStr">
        <is>
          <t>☐</t>
        </is>
      </c>
      <c r="I759" s="26" t="inlineStr">
        <is>
          <t>☐</t>
        </is>
      </c>
      <c r="J759" s="26" t="inlineStr">
        <is>
          <t>☐</t>
        </is>
      </c>
      <c r="K759" s="26" t="inlineStr">
        <is>
          <t>☐</t>
        </is>
      </c>
      <c r="L759" s="26" t="inlineStr">
        <is>
          <t>☐</t>
        </is>
      </c>
      <c r="M759" s="25" t="n"/>
      <c r="N759" s="27" t="n">
        <v>0</v>
      </c>
      <c r="O759" s="28" t="n"/>
      <c r="P759" s="23" t="n"/>
      <c r="Q759" s="29" t="n"/>
      <c r="R759" s="29" t="n"/>
      <c r="S759" s="23" t="n"/>
      <c r="T759" s="30" t="n"/>
      <c r="U759" s="31" t="inlineStr">
        <is>
          <t>高</t>
        </is>
      </c>
      <c r="V759" s="32" t="inlineStr">
        <is>
          <t>公式サイトで確認。中高共通</t>
        </is>
      </c>
      <c r="W759" s="33" t="inlineStr">
        <is>
          <t>開く</t>
        </is>
      </c>
    </row>
    <row r="760" ht="30" customHeight="1">
      <c r="A760" s="23" t="inlineStr">
        <is>
          <t>22静岡県</t>
        </is>
      </c>
      <c r="B760" s="23" t="inlineStr">
        <is>
          <t>私立</t>
        </is>
      </c>
      <c r="C760" s="23" t="n"/>
      <c r="D760" s="23" t="inlineStr">
        <is>
          <t>浜松学院高等学校</t>
        </is>
      </c>
      <c r="E760" s="24" t="inlineStr">
        <is>
          <t>053-471-4136</t>
        </is>
      </c>
      <c r="F760" s="23" t="n"/>
      <c r="G760" s="25" t="inlineStr">
        <is>
          <t>普通科</t>
        </is>
      </c>
      <c r="H760" s="26" t="inlineStr">
        <is>
          <t>☐</t>
        </is>
      </c>
      <c r="I760" s="26" t="inlineStr">
        <is>
          <t>☐</t>
        </is>
      </c>
      <c r="J760" s="26" t="inlineStr">
        <is>
          <t>☐</t>
        </is>
      </c>
      <c r="K760" s="26" t="inlineStr">
        <is>
          <t>☐</t>
        </is>
      </c>
      <c r="L760" s="26" t="inlineStr">
        <is>
          <t>☐</t>
        </is>
      </c>
      <c r="M760" s="25" t="n"/>
      <c r="N760" s="27" t="n">
        <v>0</v>
      </c>
      <c r="O760" s="28" t="n"/>
      <c r="P760" s="23" t="n"/>
      <c r="Q760" s="29" t="n"/>
      <c r="R760" s="29" t="n"/>
      <c r="S760" s="23" t="n"/>
      <c r="T760" s="30" t="n"/>
      <c r="U760" s="31" t="inlineStr">
        <is>
          <t>高</t>
        </is>
      </c>
      <c r="V760" s="32" t="inlineStr">
        <is>
          <t>【校名変更】2025年4月に「浜松学院興誠高等学校」へ改称。法人本部と同じ番号</t>
        </is>
      </c>
      <c r="W760" s="33" t="inlineStr">
        <is>
          <t>開く</t>
        </is>
      </c>
    </row>
    <row r="761" ht="30" customHeight="1">
      <c r="A761" s="23" t="inlineStr">
        <is>
          <t>22静岡県</t>
        </is>
      </c>
      <c r="B761" s="23" t="inlineStr">
        <is>
          <t>私立</t>
        </is>
      </c>
      <c r="C761" s="23" t="n"/>
      <c r="D761" s="23" t="inlineStr">
        <is>
          <t>浜松学芸高等学校</t>
        </is>
      </c>
      <c r="E761" s="24" t="inlineStr">
        <is>
          <t>053-471-5336</t>
        </is>
      </c>
      <c r="F761" s="23" t="n"/>
      <c r="G761" s="25" t="inlineStr">
        <is>
          <t>普通科・専門学科</t>
        </is>
      </c>
      <c r="H761" s="26" t="inlineStr">
        <is>
          <t>☐</t>
        </is>
      </c>
      <c r="I761" s="26" t="inlineStr">
        <is>
          <t>☐</t>
        </is>
      </c>
      <c r="J761" s="26" t="inlineStr">
        <is>
          <t>☐</t>
        </is>
      </c>
      <c r="K761" s="26" t="inlineStr">
        <is>
          <t>☐</t>
        </is>
      </c>
      <c r="L761" s="26" t="inlineStr">
        <is>
          <t>☐</t>
        </is>
      </c>
      <c r="M761" s="25" t="n"/>
      <c r="N761" s="27" t="n">
        <v>0</v>
      </c>
      <c r="O761" s="28" t="n"/>
      <c r="P761" s="23" t="n"/>
      <c r="Q761" s="29" t="n"/>
      <c r="R761" s="29" t="n"/>
      <c r="S761" s="23" t="n"/>
      <c r="T761" s="30" t="n"/>
      <c r="U761" s="31" t="inlineStr">
        <is>
          <t>高</t>
        </is>
      </c>
      <c r="V761" s="32" t="inlineStr">
        <is>
          <t>公式サイトで確認</t>
        </is>
      </c>
      <c r="W761" s="33" t="inlineStr">
        <is>
          <t>開く</t>
        </is>
      </c>
    </row>
    <row r="762" ht="30" customHeight="1">
      <c r="A762" s="23" t="inlineStr">
        <is>
          <t>22静岡県</t>
        </is>
      </c>
      <c r="B762" s="23" t="inlineStr">
        <is>
          <t>私立</t>
        </is>
      </c>
      <c r="C762" s="23" t="n"/>
      <c r="D762" s="23" t="inlineStr">
        <is>
          <t>浜松啓陽高等学校</t>
        </is>
      </c>
      <c r="E762" s="24" t="inlineStr">
        <is>
          <t>053-420-0431</t>
        </is>
      </c>
      <c r="F762" s="23" t="n"/>
      <c r="G762" s="25" t="inlineStr">
        <is>
          <t>専門学科</t>
        </is>
      </c>
      <c r="H762" s="26" t="inlineStr">
        <is>
          <t>☐</t>
        </is>
      </c>
      <c r="I762" s="26" t="inlineStr">
        <is>
          <t>☐</t>
        </is>
      </c>
      <c r="J762" s="26" t="inlineStr">
        <is>
          <t>☐</t>
        </is>
      </c>
      <c r="K762" s="26" t="inlineStr">
        <is>
          <t>☐</t>
        </is>
      </c>
      <c r="L762" s="26" t="inlineStr">
        <is>
          <t>☐</t>
        </is>
      </c>
      <c r="M762" s="25" t="n"/>
      <c r="N762" s="27" t="n">
        <v>0</v>
      </c>
      <c r="O762" s="28" t="n"/>
      <c r="P762" s="23" t="n"/>
      <c r="Q762" s="29" t="n"/>
      <c r="R762" s="29" t="n"/>
      <c r="S762" s="23" t="n"/>
      <c r="T762" s="30" t="n"/>
      <c r="U762" s="31" t="inlineStr">
        <is>
          <t>高</t>
        </is>
      </c>
      <c r="V762" s="32" t="inlineStr">
        <is>
          <t>通信制。公式サイトで確認</t>
        </is>
      </c>
      <c r="W762" s="33" t="inlineStr">
        <is>
          <t>開く</t>
        </is>
      </c>
    </row>
    <row r="763" ht="30" customHeight="1">
      <c r="A763" s="23" t="inlineStr">
        <is>
          <t>22静岡県</t>
        </is>
      </c>
      <c r="B763" s="23" t="inlineStr">
        <is>
          <t>私立</t>
        </is>
      </c>
      <c r="C763" s="23" t="n"/>
      <c r="D763" s="23" t="inlineStr">
        <is>
          <t>浜松修学舎高等学校</t>
        </is>
      </c>
      <c r="E763" s="24" t="inlineStr">
        <is>
          <t>053-461-7356</t>
        </is>
      </c>
      <c r="F763" s="23" t="n"/>
      <c r="G763" s="25" t="inlineStr">
        <is>
          <t>普通科・専門学科</t>
        </is>
      </c>
      <c r="H763" s="26" t="inlineStr">
        <is>
          <t>☐</t>
        </is>
      </c>
      <c r="I763" s="26" t="inlineStr">
        <is>
          <t>☐</t>
        </is>
      </c>
      <c r="J763" s="26" t="inlineStr">
        <is>
          <t>☐</t>
        </is>
      </c>
      <c r="K763" s="26" t="inlineStr">
        <is>
          <t>☐</t>
        </is>
      </c>
      <c r="L763" s="26" t="inlineStr">
        <is>
          <t>☐</t>
        </is>
      </c>
      <c r="M763" s="25" t="n"/>
      <c r="N763" s="27" t="n">
        <v>0</v>
      </c>
      <c r="O763" s="28" t="n"/>
      <c r="P763" s="23" t="n"/>
      <c r="Q763" s="29" t="n"/>
      <c r="R763" s="29" t="n"/>
      <c r="S763" s="23" t="n"/>
      <c r="T763" s="30" t="n"/>
      <c r="U763" s="31" t="inlineStr">
        <is>
          <t>高</t>
        </is>
      </c>
      <c r="V763" s="32" t="inlineStr">
        <is>
          <t>公式サイトで確認</t>
        </is>
      </c>
      <c r="W763" s="33" t="inlineStr">
        <is>
          <t>開く</t>
        </is>
      </c>
    </row>
    <row r="764" ht="30" customHeight="1">
      <c r="A764" s="23" t="inlineStr">
        <is>
          <t>22静岡県</t>
        </is>
      </c>
      <c r="B764" s="23" t="inlineStr">
        <is>
          <t>私立</t>
        </is>
      </c>
      <c r="C764" s="23" t="n"/>
      <c r="D764" s="23" t="inlineStr">
        <is>
          <t>浜松聖星高等学校</t>
        </is>
      </c>
      <c r="E764" s="24" t="inlineStr">
        <is>
          <t>053-454-5376</t>
        </is>
      </c>
      <c r="F764" s="23" t="n"/>
      <c r="G764" s="25" t="inlineStr">
        <is>
          <t>普通科</t>
        </is>
      </c>
      <c r="H764" s="26" t="inlineStr">
        <is>
          <t>☐</t>
        </is>
      </c>
      <c r="I764" s="26" t="inlineStr">
        <is>
          <t>☐</t>
        </is>
      </c>
      <c r="J764" s="26" t="inlineStr">
        <is>
          <t>☐</t>
        </is>
      </c>
      <c r="K764" s="26" t="inlineStr">
        <is>
          <t>☐</t>
        </is>
      </c>
      <c r="L764" s="26" t="inlineStr">
        <is>
          <t>☐</t>
        </is>
      </c>
      <c r="M764" s="25" t="n"/>
      <c r="N764" s="27" t="n">
        <v>0</v>
      </c>
      <c r="O764" s="28" t="n"/>
      <c r="P764" s="23" t="n"/>
      <c r="Q764" s="29" t="n"/>
      <c r="R764" s="29" t="n"/>
      <c r="S764" s="23" t="n"/>
      <c r="T764" s="30" t="n"/>
      <c r="U764" s="31" t="inlineStr">
        <is>
          <t>高</t>
        </is>
      </c>
      <c r="V764" s="32" t="inlineStr">
        <is>
          <t>公式サイトで確認</t>
        </is>
      </c>
      <c r="W764" s="33" t="inlineStr">
        <is>
          <t>開く</t>
        </is>
      </c>
    </row>
    <row r="765" ht="30" customHeight="1">
      <c r="A765" s="23" t="inlineStr">
        <is>
          <t>22静岡県</t>
        </is>
      </c>
      <c r="B765" s="23" t="inlineStr">
        <is>
          <t>私立</t>
        </is>
      </c>
      <c r="C765" s="23" t="n"/>
      <c r="D765" s="23" t="inlineStr">
        <is>
          <t>浜松日体高等学校</t>
        </is>
      </c>
      <c r="E765" s="24" t="inlineStr">
        <is>
          <t>053-434-0632</t>
        </is>
      </c>
      <c r="F765" s="23" t="n"/>
      <c r="G765" s="25" t="inlineStr">
        <is>
          <t>普通科</t>
        </is>
      </c>
      <c r="H765" s="26" t="inlineStr">
        <is>
          <t>☐</t>
        </is>
      </c>
      <c r="I765" s="26" t="inlineStr">
        <is>
          <t>☐</t>
        </is>
      </c>
      <c r="J765" s="26" t="inlineStr">
        <is>
          <t>☐</t>
        </is>
      </c>
      <c r="K765" s="26" t="inlineStr">
        <is>
          <t>☐</t>
        </is>
      </c>
      <c r="L765" s="26" t="inlineStr">
        <is>
          <t>☐</t>
        </is>
      </c>
      <c r="M765" s="25" t="n"/>
      <c r="N765" s="27" t="n">
        <v>0</v>
      </c>
      <c r="O765" s="28" t="n"/>
      <c r="P765" s="23" t="n"/>
      <c r="Q765" s="29" t="n"/>
      <c r="R765" s="29" t="n"/>
      <c r="S765" s="23" t="n"/>
      <c r="T765" s="30" t="n"/>
      <c r="U765" s="31" t="inlineStr">
        <is>
          <t>高</t>
        </is>
      </c>
      <c r="V765" s="32" t="inlineStr">
        <is>
          <t>公式サイトで確認</t>
        </is>
      </c>
      <c r="W765" s="33" t="inlineStr">
        <is>
          <t>開く</t>
        </is>
      </c>
    </row>
    <row r="766" ht="30" customHeight="1">
      <c r="A766" s="23" t="inlineStr">
        <is>
          <t>22静岡県</t>
        </is>
      </c>
      <c r="B766" s="23" t="inlineStr">
        <is>
          <t>私立</t>
        </is>
      </c>
      <c r="C766" s="23" t="n"/>
      <c r="D766" s="23" t="inlineStr">
        <is>
          <t>飛龍高等学校</t>
        </is>
      </c>
      <c r="E766" s="24" t="inlineStr">
        <is>
          <t>055-921-7942</t>
        </is>
      </c>
      <c r="F766" s="23" t="n"/>
      <c r="G766" s="25" t="inlineStr">
        <is>
          <t>普通科・専門学科</t>
        </is>
      </c>
      <c r="H766" s="26" t="inlineStr">
        <is>
          <t>☐</t>
        </is>
      </c>
      <c r="I766" s="26" t="inlineStr">
        <is>
          <t>☐</t>
        </is>
      </c>
      <c r="J766" s="26" t="inlineStr">
        <is>
          <t>☐</t>
        </is>
      </c>
      <c r="K766" s="26" t="inlineStr">
        <is>
          <t>☐</t>
        </is>
      </c>
      <c r="L766" s="26" t="inlineStr">
        <is>
          <t>☐</t>
        </is>
      </c>
      <c r="M766" s="25" t="n"/>
      <c r="N766" s="27" t="n">
        <v>0</v>
      </c>
      <c r="O766" s="28" t="n"/>
      <c r="P766" s="23" t="n"/>
      <c r="Q766" s="29" t="n"/>
      <c r="R766" s="29" t="n"/>
      <c r="S766" s="23" t="n"/>
      <c r="T766" s="30" t="n"/>
      <c r="U766" s="31" t="inlineStr">
        <is>
          <t>高</t>
        </is>
      </c>
      <c r="V766" s="32" t="inlineStr">
        <is>
          <t>公式サイトで確認。055-921-0348を載せるサイトは旧番号の可能性</t>
        </is>
      </c>
      <c r="W766" s="33" t="inlineStr">
        <is>
          <t>開く</t>
        </is>
      </c>
    </row>
    <row r="767" ht="30" customHeight="1">
      <c r="A767" s="23" t="inlineStr">
        <is>
          <t>22静岡県</t>
        </is>
      </c>
      <c r="B767" s="23" t="inlineStr">
        <is>
          <t>私立</t>
        </is>
      </c>
      <c r="C767" s="23" t="n"/>
      <c r="D767" s="23" t="inlineStr">
        <is>
          <t>藤枝順心高等学校</t>
        </is>
      </c>
      <c r="E767" s="24" t="inlineStr">
        <is>
          <t>054-635-1311</t>
        </is>
      </c>
      <c r="F767" s="23" t="n"/>
      <c r="G767" s="25" t="inlineStr">
        <is>
          <t>普通科・専門学科</t>
        </is>
      </c>
      <c r="H767" s="26" t="inlineStr">
        <is>
          <t>☐</t>
        </is>
      </c>
      <c r="I767" s="26" t="inlineStr">
        <is>
          <t>☐</t>
        </is>
      </c>
      <c r="J767" s="26" t="inlineStr">
        <is>
          <t>☐</t>
        </is>
      </c>
      <c r="K767" s="26" t="inlineStr">
        <is>
          <t>☐</t>
        </is>
      </c>
      <c r="L767" s="26" t="inlineStr">
        <is>
          <t>☐</t>
        </is>
      </c>
      <c r="M767" s="25" t="n"/>
      <c r="N767" s="27" t="n">
        <v>0</v>
      </c>
      <c r="O767" s="28" t="n"/>
      <c r="P767" s="23" t="n"/>
      <c r="Q767" s="29" t="n"/>
      <c r="R767" s="29" t="n"/>
      <c r="S767" s="23" t="n"/>
      <c r="T767" s="30" t="n"/>
      <c r="U767" s="31" t="inlineStr">
        <is>
          <t>高</t>
        </is>
      </c>
      <c r="V767" s="32" t="inlineStr">
        <is>
          <t>2つのサイトで一致、公式未確認</t>
        </is>
      </c>
      <c r="W767" s="33" t="inlineStr">
        <is>
          <t>開く</t>
        </is>
      </c>
    </row>
    <row r="768" ht="30" customHeight="1">
      <c r="A768" s="23" t="inlineStr">
        <is>
          <t>22静岡県</t>
        </is>
      </c>
      <c r="B768" s="23" t="inlineStr">
        <is>
          <t>私立</t>
        </is>
      </c>
      <c r="C768" s="23" t="n"/>
      <c r="D768" s="23" t="inlineStr">
        <is>
          <t>藤枝明誠高等学校</t>
        </is>
      </c>
      <c r="E768" s="24" t="inlineStr">
        <is>
          <t>054-635-8155</t>
        </is>
      </c>
      <c r="F768" s="23" t="n"/>
      <c r="G768" s="25" t="inlineStr">
        <is>
          <t>普通科・専門学科</t>
        </is>
      </c>
      <c r="H768" s="26" t="inlineStr">
        <is>
          <t>☐</t>
        </is>
      </c>
      <c r="I768" s="26" t="inlineStr">
        <is>
          <t>☐</t>
        </is>
      </c>
      <c r="J768" s="26" t="inlineStr">
        <is>
          <t>☐</t>
        </is>
      </c>
      <c r="K768" s="26" t="inlineStr">
        <is>
          <t>☐</t>
        </is>
      </c>
      <c r="L768" s="26" t="inlineStr">
        <is>
          <t>☐</t>
        </is>
      </c>
      <c r="M768" s="25" t="n"/>
      <c r="N768" s="27" t="n">
        <v>0</v>
      </c>
      <c r="O768" s="28" t="n"/>
      <c r="P768" s="23" t="n"/>
      <c r="Q768" s="29" t="n"/>
      <c r="R768" s="29" t="n"/>
      <c r="S768" s="23" t="n"/>
      <c r="T768" s="30" t="n"/>
      <c r="U768" s="31" t="inlineStr">
        <is>
          <t>高</t>
        </is>
      </c>
      <c r="V768" s="32" t="inlineStr">
        <is>
          <t>公式サイトの事務室の番号</t>
        </is>
      </c>
      <c r="W768" s="33" t="inlineStr">
        <is>
          <t>開く</t>
        </is>
      </c>
    </row>
    <row r="769" ht="30" customHeight="1">
      <c r="A769" s="23" t="inlineStr">
        <is>
          <t>22静岡県</t>
        </is>
      </c>
      <c r="B769" s="23" t="inlineStr">
        <is>
          <t>私立</t>
        </is>
      </c>
      <c r="C769" s="23" t="n"/>
      <c r="D769" s="23" t="inlineStr">
        <is>
          <t>不二聖心女子学院高等学校</t>
        </is>
      </c>
      <c r="E769" s="24" t="inlineStr">
        <is>
          <t>055-992-0213</t>
        </is>
      </c>
      <c r="F769" s="23" t="n"/>
      <c r="G769" s="25" t="inlineStr">
        <is>
          <t>普通科</t>
        </is>
      </c>
      <c r="H769" s="26" t="inlineStr">
        <is>
          <t>☐</t>
        </is>
      </c>
      <c r="I769" s="26" t="inlineStr">
        <is>
          <t>☐</t>
        </is>
      </c>
      <c r="J769" s="26" t="inlineStr">
        <is>
          <t>☐</t>
        </is>
      </c>
      <c r="K769" s="26" t="inlineStr">
        <is>
          <t>☐</t>
        </is>
      </c>
      <c r="L769" s="26" t="inlineStr">
        <is>
          <t>☐</t>
        </is>
      </c>
      <c r="M769" s="25" t="n"/>
      <c r="N769" s="27" t="n">
        <v>0</v>
      </c>
      <c r="O769" s="28" t="n"/>
      <c r="P769" s="23" t="n"/>
      <c r="Q769" s="29" t="n"/>
      <c r="R769" s="29" t="n"/>
      <c r="S769" s="23" t="n"/>
      <c r="T769" s="30" t="n"/>
      <c r="U769" s="31" t="inlineStr">
        <is>
          <t>高</t>
        </is>
      </c>
      <c r="V769" s="32" t="inlineStr">
        <is>
          <t>公式サイトで確認。中高共通</t>
        </is>
      </c>
      <c r="W769" s="33" t="inlineStr">
        <is>
          <t>開く</t>
        </is>
      </c>
    </row>
    <row r="770" ht="30" customHeight="1">
      <c r="A770" s="23" t="inlineStr">
        <is>
          <t>22静岡県</t>
        </is>
      </c>
      <c r="B770" s="23" t="inlineStr">
        <is>
          <t>私立</t>
        </is>
      </c>
      <c r="C770" s="23" t="n"/>
      <c r="D770" s="23" t="inlineStr">
        <is>
          <t>焼津高等学校</t>
        </is>
      </c>
      <c r="E770" s="24" t="inlineStr">
        <is>
          <t>054-628-7235</t>
        </is>
      </c>
      <c r="F770" s="23" t="n"/>
      <c r="G770" s="25" t="inlineStr">
        <is>
          <t>総合学科</t>
        </is>
      </c>
      <c r="H770" s="26" t="inlineStr">
        <is>
          <t>☐</t>
        </is>
      </c>
      <c r="I770" s="26" t="inlineStr">
        <is>
          <t>☐</t>
        </is>
      </c>
      <c r="J770" s="26" t="inlineStr">
        <is>
          <t>☐</t>
        </is>
      </c>
      <c r="K770" s="26" t="inlineStr">
        <is>
          <t>☐</t>
        </is>
      </c>
      <c r="L770" s="26" t="inlineStr">
        <is>
          <t>☐</t>
        </is>
      </c>
      <c r="M770" s="25" t="n"/>
      <c r="N770" s="27" t="n">
        <v>0</v>
      </c>
      <c r="O770" s="28" t="n"/>
      <c r="P770" s="23" t="n"/>
      <c r="Q770" s="29" t="n"/>
      <c r="R770" s="29" t="n"/>
      <c r="S770" s="23" t="n"/>
      <c r="T770" s="30" t="n"/>
      <c r="U770" s="31" t="inlineStr">
        <is>
          <t>高</t>
        </is>
      </c>
      <c r="V770" s="32" t="inlineStr">
        <is>
          <t>私立（学校法人松薫学園）。公式サイトで確認</t>
        </is>
      </c>
      <c r="W770" s="33" t="inlineStr">
        <is>
          <t>開く</t>
        </is>
      </c>
    </row>
    <row r="771" ht="30" customHeight="1">
      <c r="A771" s="23" t="inlineStr">
        <is>
          <t>23愛知県</t>
        </is>
      </c>
      <c r="B771" s="23" t="inlineStr">
        <is>
          <t>私立</t>
        </is>
      </c>
      <c r="C771" s="23" t="n"/>
      <c r="D771" s="23" t="inlineStr">
        <is>
          <t>愛知啓成高等学校</t>
        </is>
      </c>
      <c r="E771" s="24" t="inlineStr">
        <is>
          <t>0587-32-5141</t>
        </is>
      </c>
      <c r="F771" s="23" t="n"/>
      <c r="G771" s="25" t="inlineStr">
        <is>
          <t>普通科</t>
        </is>
      </c>
      <c r="H771" s="26" t="inlineStr">
        <is>
          <t>☐</t>
        </is>
      </c>
      <c r="I771" s="26" t="inlineStr">
        <is>
          <t>☐</t>
        </is>
      </c>
      <c r="J771" s="26" t="inlineStr">
        <is>
          <t>☐</t>
        </is>
      </c>
      <c r="K771" s="26" t="inlineStr">
        <is>
          <t>☐</t>
        </is>
      </c>
      <c r="L771" s="26" t="inlineStr">
        <is>
          <t>☐</t>
        </is>
      </c>
      <c r="M771" s="25" t="n"/>
      <c r="N771" s="27" t="n">
        <v>0</v>
      </c>
      <c r="O771" s="28" t="n"/>
      <c r="P771" s="23" t="n"/>
      <c r="Q771" s="29" t="n"/>
      <c r="R771" s="29" t="n"/>
      <c r="S771" s="23" t="n"/>
      <c r="T771" s="30" t="n"/>
      <c r="U771" s="31" t="inlineStr">
        <is>
          <t>高</t>
        </is>
      </c>
      <c r="V771" s="32" t="inlineStr">
        <is>
          <t>公式サイトで確認</t>
        </is>
      </c>
      <c r="W771" s="33" t="inlineStr">
        <is>
          <t>開く</t>
        </is>
      </c>
    </row>
    <row r="772" ht="30" customHeight="1">
      <c r="A772" s="23" t="inlineStr">
        <is>
          <t>23愛知県</t>
        </is>
      </c>
      <c r="B772" s="23" t="inlineStr">
        <is>
          <t>私立</t>
        </is>
      </c>
      <c r="C772" s="23" t="n"/>
      <c r="D772" s="23" t="inlineStr">
        <is>
          <t>愛知工業大学名電高等学校</t>
        </is>
      </c>
      <c r="E772" s="24" t="inlineStr">
        <is>
          <t>052-721-0311</t>
        </is>
      </c>
      <c r="F772" s="23" t="n"/>
      <c r="G772" s="25" t="inlineStr">
        <is>
          <t>普通科・専門学科</t>
        </is>
      </c>
      <c r="H772" s="26" t="inlineStr">
        <is>
          <t>☐</t>
        </is>
      </c>
      <c r="I772" s="26" t="inlineStr">
        <is>
          <t>☐</t>
        </is>
      </c>
      <c r="J772" s="26" t="inlineStr">
        <is>
          <t>☐</t>
        </is>
      </c>
      <c r="K772" s="26" t="inlineStr">
        <is>
          <t>☐</t>
        </is>
      </c>
      <c r="L772" s="26" t="inlineStr">
        <is>
          <t>☐</t>
        </is>
      </c>
      <c r="M772" s="25" t="n"/>
      <c r="N772" s="27" t="n">
        <v>0</v>
      </c>
      <c r="O772" s="28" t="n"/>
      <c r="P772" s="23" t="n"/>
      <c r="Q772" s="29" t="n"/>
      <c r="R772" s="29" t="n"/>
      <c r="S772" s="23" t="n"/>
      <c r="T772" s="30" t="n"/>
      <c r="U772" s="31" t="inlineStr">
        <is>
          <t>高</t>
        </is>
      </c>
      <c r="V772" s="32" t="inlineStr">
        <is>
          <t>公式サイトに「代表」と記載</t>
        </is>
      </c>
      <c r="W772" s="33" t="inlineStr">
        <is>
          <t>開く</t>
        </is>
      </c>
    </row>
    <row r="773" ht="30" customHeight="1">
      <c r="A773" s="23" t="inlineStr">
        <is>
          <t>23愛知県</t>
        </is>
      </c>
      <c r="B773" s="23" t="inlineStr">
        <is>
          <t>私立</t>
        </is>
      </c>
      <c r="C773" s="23" t="n"/>
      <c r="D773" s="23" t="inlineStr">
        <is>
          <t>愛知高等学校</t>
        </is>
      </c>
      <c r="E773" s="24" t="inlineStr">
        <is>
          <t>052-721-1521</t>
        </is>
      </c>
      <c r="F773" s="23" t="n"/>
      <c r="G773" s="25" t="inlineStr">
        <is>
          <t>普通科</t>
        </is>
      </c>
      <c r="H773" s="26" t="inlineStr">
        <is>
          <t>☐</t>
        </is>
      </c>
      <c r="I773" s="26" t="inlineStr">
        <is>
          <t>☐</t>
        </is>
      </c>
      <c r="J773" s="26" t="inlineStr">
        <is>
          <t>☐</t>
        </is>
      </c>
      <c r="K773" s="26" t="inlineStr">
        <is>
          <t>☐</t>
        </is>
      </c>
      <c r="L773" s="26" t="inlineStr">
        <is>
          <t>☐</t>
        </is>
      </c>
      <c r="M773" s="25" t="n"/>
      <c r="N773" s="27" t="n">
        <v>0</v>
      </c>
      <c r="O773" s="28" t="n"/>
      <c r="P773" s="23" t="n"/>
      <c r="Q773" s="29" t="n"/>
      <c r="R773" s="29" t="n"/>
      <c r="S773" s="23" t="n"/>
      <c r="T773" s="30" t="n"/>
      <c r="U773" s="31" t="inlineStr">
        <is>
          <t>高</t>
        </is>
      </c>
      <c r="V773" s="32" t="inlineStr">
        <is>
          <t>公式サイトに「代表」と記載。中高共通</t>
        </is>
      </c>
      <c r="W773" s="33" t="inlineStr">
        <is>
          <t>開く</t>
        </is>
      </c>
    </row>
    <row r="774" ht="30" customHeight="1">
      <c r="A774" s="23" t="inlineStr">
        <is>
          <t>23愛知県</t>
        </is>
      </c>
      <c r="B774" s="23" t="inlineStr">
        <is>
          <t>私立</t>
        </is>
      </c>
      <c r="C774" s="23" t="n"/>
      <c r="D774" s="23" t="inlineStr">
        <is>
          <t>愛知産業大学三河高等学校</t>
        </is>
      </c>
      <c r="E774" s="24" t="inlineStr">
        <is>
          <t>0564-48-5211</t>
        </is>
      </c>
      <c r="F774" s="23" t="n"/>
      <c r="G774" s="25" t="inlineStr">
        <is>
          <t>普通科・専門学科</t>
        </is>
      </c>
      <c r="H774" s="26" t="inlineStr">
        <is>
          <t>☐</t>
        </is>
      </c>
      <c r="I774" s="26" t="inlineStr">
        <is>
          <t>☐</t>
        </is>
      </c>
      <c r="J774" s="26" t="inlineStr">
        <is>
          <t>☐</t>
        </is>
      </c>
      <c r="K774" s="26" t="inlineStr">
        <is>
          <t>☐</t>
        </is>
      </c>
      <c r="L774" s="26" t="inlineStr">
        <is>
          <t>☐</t>
        </is>
      </c>
      <c r="M774" s="25" t="n"/>
      <c r="N774" s="27" t="n">
        <v>0</v>
      </c>
      <c r="O774" s="28" t="n"/>
      <c r="P774" s="23" t="n"/>
      <c r="Q774" s="29" t="n"/>
      <c r="R774" s="29" t="n"/>
      <c r="S774" s="23" t="n"/>
      <c r="T774" s="30" t="n"/>
      <c r="U774" s="31" t="inlineStr">
        <is>
          <t>高</t>
        </is>
      </c>
      <c r="V774" s="32" t="inlineStr">
        <is>
          <t>全日制の番号（公式サイト）。通信制課程は0564-48-5230</t>
        </is>
      </c>
      <c r="W774" s="33" t="inlineStr">
        <is>
          <t>開く</t>
        </is>
      </c>
    </row>
    <row r="775" ht="30" customHeight="1">
      <c r="A775" s="23" t="inlineStr">
        <is>
          <t>23愛知県</t>
        </is>
      </c>
      <c r="B775" s="23" t="inlineStr">
        <is>
          <t>私立</t>
        </is>
      </c>
      <c r="C775" s="23" t="n"/>
      <c r="D775" s="23" t="inlineStr">
        <is>
          <t>愛知淑徳高等学校</t>
        </is>
      </c>
      <c r="E775" s="24" t="inlineStr">
        <is>
          <t>052-781-1151</t>
        </is>
      </c>
      <c r="F775" s="23" t="n"/>
      <c r="G775" s="25" t="inlineStr">
        <is>
          <t>普通科</t>
        </is>
      </c>
      <c r="H775" s="26" t="inlineStr">
        <is>
          <t>☐</t>
        </is>
      </c>
      <c r="I775" s="26" t="inlineStr">
        <is>
          <t>☐</t>
        </is>
      </c>
      <c r="J775" s="26" t="inlineStr">
        <is>
          <t>☐</t>
        </is>
      </c>
      <c r="K775" s="26" t="inlineStr">
        <is>
          <t>☐</t>
        </is>
      </c>
      <c r="L775" s="26" t="inlineStr">
        <is>
          <t>☐</t>
        </is>
      </c>
      <c r="M775" s="25" t="n"/>
      <c r="N775" s="27" t="n">
        <v>0</v>
      </c>
      <c r="O775" s="28" t="n"/>
      <c r="P775" s="23" t="n"/>
      <c r="Q775" s="29" t="n"/>
      <c r="R775" s="29" t="n"/>
      <c r="S775" s="23" t="n"/>
      <c r="T775" s="30" t="n"/>
      <c r="U775" s="31" t="inlineStr">
        <is>
          <t>高</t>
        </is>
      </c>
      <c r="V775" s="32" t="inlineStr">
        <is>
          <t>公式サイトで代表番号として確認。中高共通</t>
        </is>
      </c>
      <c r="W775" s="33" t="inlineStr">
        <is>
          <t>開く</t>
        </is>
      </c>
    </row>
    <row r="776" ht="30" customHeight="1">
      <c r="A776" s="23" t="inlineStr">
        <is>
          <t>23愛知県</t>
        </is>
      </c>
      <c r="B776" s="23" t="inlineStr">
        <is>
          <t>私立</t>
        </is>
      </c>
      <c r="C776" s="23" t="n"/>
      <c r="D776" s="23" t="inlineStr">
        <is>
          <t>愛知みずほ大学瑞穂高等学校</t>
        </is>
      </c>
      <c r="E776" s="24" t="inlineStr">
        <is>
          <t>052-882-1811</t>
        </is>
      </c>
      <c r="F776" s="23" t="n"/>
      <c r="G776" s="25" t="inlineStr">
        <is>
          <t>普通科・専門学科</t>
        </is>
      </c>
      <c r="H776" s="26" t="inlineStr">
        <is>
          <t>☐</t>
        </is>
      </c>
      <c r="I776" s="26" t="inlineStr">
        <is>
          <t>☐</t>
        </is>
      </c>
      <c r="J776" s="26" t="inlineStr">
        <is>
          <t>☐</t>
        </is>
      </c>
      <c r="K776" s="26" t="inlineStr">
        <is>
          <t>☐</t>
        </is>
      </c>
      <c r="L776" s="26" t="inlineStr">
        <is>
          <t>☐</t>
        </is>
      </c>
      <c r="M776" s="25" t="n"/>
      <c r="N776" s="27" t="n">
        <v>0</v>
      </c>
      <c r="O776" s="28" t="n"/>
      <c r="P776" s="23" t="n"/>
      <c r="Q776" s="29" t="n"/>
      <c r="R776" s="29" t="n"/>
      <c r="S776" s="23" t="n"/>
      <c r="T776" s="30" t="n"/>
      <c r="U776" s="31" t="inlineStr">
        <is>
          <t>高</t>
        </is>
      </c>
      <c r="V776" s="32" t="inlineStr">
        <is>
          <t>公式サイトで確認</t>
        </is>
      </c>
      <c r="W776" s="33" t="inlineStr">
        <is>
          <t>開く</t>
        </is>
      </c>
    </row>
    <row r="777" ht="30" customHeight="1">
      <c r="A777" s="23" t="inlineStr">
        <is>
          <t>23愛知県</t>
        </is>
      </c>
      <c r="B777" s="23" t="inlineStr">
        <is>
          <t>私立</t>
        </is>
      </c>
      <c r="C777" s="23" t="n"/>
      <c r="D777" s="23" t="inlineStr">
        <is>
          <t>愛知黎明高等学校</t>
        </is>
      </c>
      <c r="E777" s="24" t="inlineStr">
        <is>
          <t>0567-68-2233</t>
        </is>
      </c>
      <c r="F777" s="23" t="n"/>
      <c r="G777" s="25" t="inlineStr">
        <is>
          <t>普通科・専門学科</t>
        </is>
      </c>
      <c r="H777" s="26" t="inlineStr">
        <is>
          <t>☐</t>
        </is>
      </c>
      <c r="I777" s="26" t="inlineStr">
        <is>
          <t>☐</t>
        </is>
      </c>
      <c r="J777" s="26" t="inlineStr">
        <is>
          <t>☐</t>
        </is>
      </c>
      <c r="K777" s="26" t="inlineStr">
        <is>
          <t>☐</t>
        </is>
      </c>
      <c r="L777" s="26" t="inlineStr">
        <is>
          <t>☐</t>
        </is>
      </c>
      <c r="M777" s="25" t="n"/>
      <c r="N777" s="27" t="n">
        <v>0</v>
      </c>
      <c r="O777" s="28" t="n"/>
      <c r="P777" s="23" t="n"/>
      <c r="Q777" s="29" t="n"/>
      <c r="R777" s="29" t="n"/>
      <c r="S777" s="23" t="n"/>
      <c r="T777" s="30" t="n"/>
      <c r="U777" s="31" t="inlineStr">
        <is>
          <t>高</t>
        </is>
      </c>
      <c r="V777" s="32" t="inlineStr">
        <is>
          <t>複数サイトで一致、公式未確認。定時制あり</t>
        </is>
      </c>
      <c r="W777" s="33" t="inlineStr">
        <is>
          <t>開く</t>
        </is>
      </c>
    </row>
    <row r="778" ht="30" customHeight="1">
      <c r="A778" s="23" t="inlineStr">
        <is>
          <t>23愛知県</t>
        </is>
      </c>
      <c r="B778" s="23" t="inlineStr">
        <is>
          <t>私立</t>
        </is>
      </c>
      <c r="C778" s="23" t="n"/>
      <c r="D778" s="23" t="inlineStr">
        <is>
          <t>安城学園高等学校</t>
        </is>
      </c>
      <c r="E778" s="24" t="inlineStr">
        <is>
          <t>0566-76-5105</t>
        </is>
      </c>
      <c r="F778" s="23" t="n"/>
      <c r="G778" s="25" t="inlineStr">
        <is>
          <t>普通科・専門学科</t>
        </is>
      </c>
      <c r="H778" s="26" t="inlineStr">
        <is>
          <t>☐</t>
        </is>
      </c>
      <c r="I778" s="26" t="inlineStr">
        <is>
          <t>☐</t>
        </is>
      </c>
      <c r="J778" s="26" t="inlineStr">
        <is>
          <t>☐</t>
        </is>
      </c>
      <c r="K778" s="26" t="inlineStr">
        <is>
          <t>☐</t>
        </is>
      </c>
      <c r="L778" s="26" t="inlineStr">
        <is>
          <t>☐</t>
        </is>
      </c>
      <c r="M778" s="25" t="n"/>
      <c r="N778" s="27" t="n">
        <v>0</v>
      </c>
      <c r="O778" s="28" t="n"/>
      <c r="P778" s="23" t="n"/>
      <c r="Q778" s="29" t="n"/>
      <c r="R778" s="29" t="n"/>
      <c r="S778" s="23" t="n"/>
      <c r="T778" s="30" t="n"/>
      <c r="U778" s="31" t="inlineStr">
        <is>
          <t>高</t>
        </is>
      </c>
      <c r="V778" s="32" t="inlineStr">
        <is>
          <t>公式サイトで確認。法人本部（0566-77-7788）とは別</t>
        </is>
      </c>
      <c r="W778" s="33" t="inlineStr">
        <is>
          <t>開く</t>
        </is>
      </c>
    </row>
    <row r="779" ht="30" customHeight="1">
      <c r="A779" s="23" t="inlineStr">
        <is>
          <t>23愛知県</t>
        </is>
      </c>
      <c r="B779" s="23" t="inlineStr">
        <is>
          <t>私立</t>
        </is>
      </c>
      <c r="C779" s="23" t="n"/>
      <c r="D779" s="23" t="inlineStr">
        <is>
          <t>栄徳高等学校</t>
        </is>
      </c>
      <c r="E779" s="24" t="inlineStr">
        <is>
          <t>0561-62-5000</t>
        </is>
      </c>
      <c r="F779" s="23" t="n"/>
      <c r="G779" s="25" t="inlineStr">
        <is>
          <t>普通科</t>
        </is>
      </c>
      <c r="H779" s="26" t="inlineStr">
        <is>
          <t>☐</t>
        </is>
      </c>
      <c r="I779" s="26" t="inlineStr">
        <is>
          <t>☐</t>
        </is>
      </c>
      <c r="J779" s="26" t="inlineStr">
        <is>
          <t>☐</t>
        </is>
      </c>
      <c r="K779" s="26" t="inlineStr">
        <is>
          <t>☐</t>
        </is>
      </c>
      <c r="L779" s="26" t="inlineStr">
        <is>
          <t>☐</t>
        </is>
      </c>
      <c r="M779" s="25" t="n"/>
      <c r="N779" s="27" t="n">
        <v>0</v>
      </c>
      <c r="O779" s="28" t="n"/>
      <c r="P779" s="23" t="n"/>
      <c r="Q779" s="29" t="n"/>
      <c r="R779" s="29" t="n"/>
      <c r="S779" s="23" t="n"/>
      <c r="T779" s="30" t="n"/>
      <c r="U779" s="31" t="inlineStr">
        <is>
          <t>高</t>
        </is>
      </c>
      <c r="V779" s="32" t="inlineStr">
        <is>
          <t>公式サイトに「代表」と記載</t>
        </is>
      </c>
      <c r="W779" s="33" t="inlineStr">
        <is>
          <t>開く</t>
        </is>
      </c>
    </row>
    <row r="780" ht="30" customHeight="1">
      <c r="A780" s="23" t="inlineStr">
        <is>
          <t>23愛知県</t>
        </is>
      </c>
      <c r="B780" s="23" t="inlineStr">
        <is>
          <t>私立</t>
        </is>
      </c>
      <c r="C780" s="23" t="n"/>
      <c r="D780" s="23" t="inlineStr">
        <is>
          <t>桜花学園高等学校</t>
        </is>
      </c>
      <c r="E780" s="24" t="inlineStr">
        <is>
          <t>052-741-1221</t>
        </is>
      </c>
      <c r="F780" s="23" t="n"/>
      <c r="G780" s="25" t="inlineStr">
        <is>
          <t>普通科</t>
        </is>
      </c>
      <c r="H780" s="26" t="inlineStr">
        <is>
          <t>☐</t>
        </is>
      </c>
      <c r="I780" s="26" t="inlineStr">
        <is>
          <t>☐</t>
        </is>
      </c>
      <c r="J780" s="26" t="inlineStr">
        <is>
          <t>☐</t>
        </is>
      </c>
      <c r="K780" s="26" t="inlineStr">
        <is>
          <t>☐</t>
        </is>
      </c>
      <c r="L780" s="26" t="inlineStr">
        <is>
          <t>☐</t>
        </is>
      </c>
      <c r="M780" s="25" t="n"/>
      <c r="N780" s="27" t="n">
        <v>0</v>
      </c>
      <c r="O780" s="28" t="n"/>
      <c r="P780" s="23" t="n"/>
      <c r="Q780" s="29" t="n"/>
      <c r="R780" s="29" t="n"/>
      <c r="S780" s="23" t="n"/>
      <c r="T780" s="30" t="n"/>
      <c r="U780" s="31" t="inlineStr">
        <is>
          <t>高</t>
        </is>
      </c>
      <c r="V780" s="32" t="inlineStr">
        <is>
          <t>公式サイトで確認</t>
        </is>
      </c>
      <c r="W780" s="33" t="inlineStr">
        <is>
          <t>開く</t>
        </is>
      </c>
    </row>
    <row r="781" ht="30" customHeight="1">
      <c r="A781" s="23" t="inlineStr">
        <is>
          <t>23愛知県</t>
        </is>
      </c>
      <c r="B781" s="23" t="inlineStr">
        <is>
          <t>私立</t>
        </is>
      </c>
      <c r="C781" s="23" t="n"/>
      <c r="D781" s="23" t="inlineStr">
        <is>
          <t>岡崎城西高等学校</t>
        </is>
      </c>
      <c r="E781" s="24" t="inlineStr">
        <is>
          <t>0564-31-4165</t>
        </is>
      </c>
      <c r="F781" s="23" t="n"/>
      <c r="G781" s="25" t="inlineStr">
        <is>
          <t>普通科</t>
        </is>
      </c>
      <c r="H781" s="26" t="inlineStr">
        <is>
          <t>☐</t>
        </is>
      </c>
      <c r="I781" s="26" t="inlineStr">
        <is>
          <t>☐</t>
        </is>
      </c>
      <c r="J781" s="26" t="inlineStr">
        <is>
          <t>☐</t>
        </is>
      </c>
      <c r="K781" s="26" t="inlineStr">
        <is>
          <t>☐</t>
        </is>
      </c>
      <c r="L781" s="26" t="inlineStr">
        <is>
          <t>☐</t>
        </is>
      </c>
      <c r="M781" s="25" t="n"/>
      <c r="N781" s="27" t="n">
        <v>0</v>
      </c>
      <c r="O781" s="28" t="n"/>
      <c r="P781" s="23" t="n"/>
      <c r="Q781" s="29" t="n"/>
      <c r="R781" s="29" t="n"/>
      <c r="S781" s="23" t="n"/>
      <c r="T781" s="30" t="n"/>
      <c r="U781" s="31" t="inlineStr">
        <is>
          <t>高</t>
        </is>
      </c>
      <c r="V781" s="32" t="inlineStr">
        <is>
          <t>公式サイトで確認（安城学園岡崎城西）</t>
        </is>
      </c>
      <c r="W781" s="33" t="inlineStr">
        <is>
          <t>開く</t>
        </is>
      </c>
    </row>
    <row r="782" ht="30" customHeight="1">
      <c r="A782" s="23" t="inlineStr">
        <is>
          <t>23愛知県</t>
        </is>
      </c>
      <c r="B782" s="23" t="inlineStr">
        <is>
          <t>私立</t>
        </is>
      </c>
      <c r="C782" s="23" t="n"/>
      <c r="D782" s="23" t="inlineStr">
        <is>
          <t>菊華高等学校</t>
        </is>
      </c>
      <c r="E782" s="24" t="inlineStr">
        <is>
          <t>052-791-8261</t>
        </is>
      </c>
      <c r="F782" s="23" t="n"/>
      <c r="G782" s="25" t="inlineStr">
        <is>
          <t>普通科・専門学科</t>
        </is>
      </c>
      <c r="H782" s="26" t="inlineStr">
        <is>
          <t>☐</t>
        </is>
      </c>
      <c r="I782" s="26" t="inlineStr">
        <is>
          <t>☐</t>
        </is>
      </c>
      <c r="J782" s="26" t="inlineStr">
        <is>
          <t>☐</t>
        </is>
      </c>
      <c r="K782" s="26" t="inlineStr">
        <is>
          <t>☐</t>
        </is>
      </c>
      <c r="L782" s="26" t="inlineStr">
        <is>
          <t>☐</t>
        </is>
      </c>
      <c r="M782" s="25" t="n"/>
      <c r="N782" s="27" t="n">
        <v>0</v>
      </c>
      <c r="O782" s="28" t="n"/>
      <c r="P782" s="23" t="n"/>
      <c r="Q782" s="29" t="n"/>
      <c r="R782" s="29" t="n"/>
      <c r="S782" s="23" t="n"/>
      <c r="T782" s="30" t="n"/>
      <c r="U782" s="31" t="inlineStr">
        <is>
          <t>高</t>
        </is>
      </c>
      <c r="V782" s="32" t="inlineStr">
        <is>
          <t>全日制の本校の番号（公式サイト）</t>
        </is>
      </c>
      <c r="W782" s="33" t="inlineStr">
        <is>
          <t>開く</t>
        </is>
      </c>
    </row>
    <row r="783" ht="30" customHeight="1">
      <c r="A783" s="23" t="inlineStr">
        <is>
          <t>23愛知県</t>
        </is>
      </c>
      <c r="B783" s="23" t="inlineStr">
        <is>
          <t>私立</t>
        </is>
      </c>
      <c r="C783" s="23" t="n"/>
      <c r="D783" s="23" t="inlineStr">
        <is>
          <t>享栄高等学校</t>
        </is>
      </c>
      <c r="E783" s="24" t="inlineStr">
        <is>
          <t>052-841-8151</t>
        </is>
      </c>
      <c r="F783" s="23" t="n"/>
      <c r="G783" s="25" t="inlineStr">
        <is>
          <t>普通科・専門学科</t>
        </is>
      </c>
      <c r="H783" s="26" t="inlineStr">
        <is>
          <t>☐</t>
        </is>
      </c>
      <c r="I783" s="26" t="inlineStr">
        <is>
          <t>☐</t>
        </is>
      </c>
      <c r="J783" s="26" t="inlineStr">
        <is>
          <t>☐</t>
        </is>
      </c>
      <c r="K783" s="26" t="inlineStr">
        <is>
          <t>☐</t>
        </is>
      </c>
      <c r="L783" s="26" t="inlineStr">
        <is>
          <t>☐</t>
        </is>
      </c>
      <c r="M783" s="25" t="n"/>
      <c r="N783" s="27" t="n">
        <v>0</v>
      </c>
      <c r="O783" s="28" t="n"/>
      <c r="P783" s="23" t="n"/>
      <c r="Q783" s="29" t="n"/>
      <c r="R783" s="29" t="n"/>
      <c r="S783" s="23" t="n"/>
      <c r="T783" s="30" t="n"/>
      <c r="U783" s="31" t="inlineStr">
        <is>
          <t>高</t>
        </is>
      </c>
      <c r="V783" s="32" t="inlineStr">
        <is>
          <t>公式サイトに「代表」と記載</t>
        </is>
      </c>
      <c r="W783" s="33" t="inlineStr">
        <is>
          <t>開く</t>
        </is>
      </c>
    </row>
    <row r="784" ht="30" customHeight="1">
      <c r="A784" s="23" t="inlineStr">
        <is>
          <t>23愛知県</t>
        </is>
      </c>
      <c r="B784" s="23" t="inlineStr">
        <is>
          <t>私立</t>
        </is>
      </c>
      <c r="C784" s="23" t="n"/>
      <c r="D784" s="23" t="inlineStr">
        <is>
          <t>金城学院高等学校</t>
        </is>
      </c>
      <c r="E784" s="24" t="inlineStr">
        <is>
          <t>052-931-6236</t>
        </is>
      </c>
      <c r="F784" s="23" t="n"/>
      <c r="G784" s="25" t="inlineStr">
        <is>
          <t>普通科</t>
        </is>
      </c>
      <c r="H784" s="26" t="inlineStr">
        <is>
          <t>☐</t>
        </is>
      </c>
      <c r="I784" s="26" t="inlineStr">
        <is>
          <t>☐</t>
        </is>
      </c>
      <c r="J784" s="26" t="inlineStr">
        <is>
          <t>☐</t>
        </is>
      </c>
      <c r="K784" s="26" t="inlineStr">
        <is>
          <t>☐</t>
        </is>
      </c>
      <c r="L784" s="26" t="inlineStr">
        <is>
          <t>☐</t>
        </is>
      </c>
      <c r="M784" s="25" t="n"/>
      <c r="N784" s="27" t="n">
        <v>0</v>
      </c>
      <c r="O784" s="28" t="n"/>
      <c r="P784" s="23" t="n"/>
      <c r="Q784" s="29" t="n"/>
      <c r="R784" s="29" t="n"/>
      <c r="S784" s="23" t="n"/>
      <c r="T784" s="30" t="n"/>
      <c r="U784" s="31" t="inlineStr">
        <is>
          <t>高</t>
        </is>
      </c>
      <c r="V784" s="32" t="inlineStr">
        <is>
          <t>高校の番号（公式サイト）。中学校は052-931-0821、大学は別番号</t>
        </is>
      </c>
      <c r="W784" s="33" t="inlineStr">
        <is>
          <t>開く</t>
        </is>
      </c>
    </row>
    <row r="785" ht="30" customHeight="1">
      <c r="A785" s="23" t="inlineStr">
        <is>
          <t>23愛知県</t>
        </is>
      </c>
      <c r="B785" s="23" t="inlineStr">
        <is>
          <t>私立</t>
        </is>
      </c>
      <c r="C785" s="23" t="n"/>
      <c r="D785" s="23" t="inlineStr">
        <is>
          <t>啓明学館高等学校</t>
        </is>
      </c>
      <c r="E785" s="24" t="inlineStr">
        <is>
          <t>052-571-2561</t>
        </is>
      </c>
      <c r="F785" s="23" t="n"/>
      <c r="G785" s="25" t="inlineStr">
        <is>
          <t>普通科・専門学科</t>
        </is>
      </c>
      <c r="H785" s="26" t="inlineStr">
        <is>
          <t>☐</t>
        </is>
      </c>
      <c r="I785" s="26" t="inlineStr">
        <is>
          <t>☐</t>
        </is>
      </c>
      <c r="J785" s="26" t="inlineStr">
        <is>
          <t>☐</t>
        </is>
      </c>
      <c r="K785" s="26" t="inlineStr">
        <is>
          <t>☐</t>
        </is>
      </c>
      <c r="L785" s="26" t="inlineStr">
        <is>
          <t>☐</t>
        </is>
      </c>
      <c r="M785" s="25" t="n"/>
      <c r="N785" s="27" t="n">
        <v>0</v>
      </c>
      <c r="O785" s="28" t="n"/>
      <c r="P785" s="23" t="n"/>
      <c r="Q785" s="29" t="n"/>
      <c r="R785" s="29" t="n"/>
      <c r="S785" s="23" t="n"/>
      <c r="T785" s="30" t="n"/>
      <c r="U785" s="34" t="inlineStr">
        <is>
          <t>中</t>
        </is>
      </c>
      <c r="V785" s="32" t="inlineStr">
        <is>
          <t>公式サイトの事務所の番号（「代表」の表記なし）。職員室は052-571-7366</t>
        </is>
      </c>
      <c r="W785" s="33" t="inlineStr">
        <is>
          <t>開く</t>
        </is>
      </c>
    </row>
    <row r="786" ht="30" customHeight="1">
      <c r="A786" s="23" t="inlineStr">
        <is>
          <t>23愛知県</t>
        </is>
      </c>
      <c r="B786" s="23" t="inlineStr">
        <is>
          <t>私立</t>
        </is>
      </c>
      <c r="C786" s="23" t="n"/>
      <c r="D786" s="23" t="inlineStr">
        <is>
          <t>桜丘高等学校（愛知県）</t>
        </is>
      </c>
      <c r="E786" s="24" t="inlineStr">
        <is>
          <t>0570-039-396</t>
        </is>
      </c>
      <c r="F786" s="23" t="n"/>
      <c r="G786" s="25" t="inlineStr">
        <is>
          <t>普通科</t>
        </is>
      </c>
      <c r="H786" s="26" t="inlineStr">
        <is>
          <t>☐</t>
        </is>
      </c>
      <c r="I786" s="26" t="inlineStr">
        <is>
          <t>☐</t>
        </is>
      </c>
      <c r="J786" s="26" t="inlineStr">
        <is>
          <t>☐</t>
        </is>
      </c>
      <c r="K786" s="26" t="inlineStr">
        <is>
          <t>☐</t>
        </is>
      </c>
      <c r="L786" s="26" t="inlineStr">
        <is>
          <t>☐</t>
        </is>
      </c>
      <c r="M786" s="25" t="n"/>
      <c r="N786" s="27" t="n">
        <v>0</v>
      </c>
      <c r="O786" s="28" t="n"/>
      <c r="P786" s="23" t="n"/>
      <c r="Q786" s="29" t="n"/>
      <c r="R786" s="29" t="n"/>
      <c r="S786" s="23" t="n"/>
      <c r="T786" s="30" t="n"/>
      <c r="U786" s="34" t="inlineStr">
        <is>
          <t>中</t>
        </is>
      </c>
      <c r="V786" s="32" t="inlineStr">
        <is>
          <t>公式サイトのナビダイヤル（学園・高校共通、通話料がかかる番号）。旧番号0532-61-6421が一部サイトに残る</t>
        </is>
      </c>
      <c r="W786" s="33" t="inlineStr">
        <is>
          <t>開く</t>
        </is>
      </c>
    </row>
    <row r="787" ht="30" customHeight="1">
      <c r="A787" s="23" t="inlineStr">
        <is>
          <t>23愛知県</t>
        </is>
      </c>
      <c r="B787" s="23" t="inlineStr">
        <is>
          <t>私立</t>
        </is>
      </c>
      <c r="C787" s="23" t="n"/>
      <c r="D787" s="23" t="inlineStr">
        <is>
          <t>至学館高等学校</t>
        </is>
      </c>
      <c r="E787" s="24" t="inlineStr">
        <is>
          <t>052-723-0851</t>
        </is>
      </c>
      <c r="F787" s="23" t="n"/>
      <c r="G787" s="25" t="inlineStr">
        <is>
          <t>普通科・専門学科</t>
        </is>
      </c>
      <c r="H787" s="26" t="inlineStr">
        <is>
          <t>☐</t>
        </is>
      </c>
      <c r="I787" s="26" t="inlineStr">
        <is>
          <t>☐</t>
        </is>
      </c>
      <c r="J787" s="26" t="inlineStr">
        <is>
          <t>☐</t>
        </is>
      </c>
      <c r="K787" s="26" t="inlineStr">
        <is>
          <t>☐</t>
        </is>
      </c>
      <c r="L787" s="26" t="inlineStr">
        <is>
          <t>☐</t>
        </is>
      </c>
      <c r="M787" s="25" t="n"/>
      <c r="N787" s="27" t="n">
        <v>0</v>
      </c>
      <c r="O787" s="28" t="n"/>
      <c r="P787" s="23" t="n"/>
      <c r="Q787" s="29" t="n"/>
      <c r="R787" s="29" t="n"/>
      <c r="S787" s="23" t="n"/>
      <c r="T787" s="30" t="n"/>
      <c r="U787" s="31" t="inlineStr">
        <is>
          <t>高</t>
        </is>
      </c>
      <c r="V787" s="32" t="inlineStr">
        <is>
          <t>公式サイトで確認</t>
        </is>
      </c>
      <c r="W787" s="33" t="inlineStr">
        <is>
          <t>開く</t>
        </is>
      </c>
    </row>
    <row r="788" ht="30" customHeight="1">
      <c r="A788" s="23" t="inlineStr">
        <is>
          <t>23愛知県</t>
        </is>
      </c>
      <c r="B788" s="23" t="inlineStr">
        <is>
          <t>私立</t>
        </is>
      </c>
      <c r="C788" s="23" t="n"/>
      <c r="D788" s="23" t="inlineStr">
        <is>
          <t>修文学院高等学校</t>
        </is>
      </c>
      <c r="E788" s="24" t="inlineStr">
        <is>
          <t>0586-45-2102</t>
        </is>
      </c>
      <c r="F788" s="23" t="n"/>
      <c r="G788" s="25" t="inlineStr">
        <is>
          <t>普通科・専門学科</t>
        </is>
      </c>
      <c r="H788" s="26" t="inlineStr">
        <is>
          <t>☐</t>
        </is>
      </c>
      <c r="I788" s="26" t="inlineStr">
        <is>
          <t>☐</t>
        </is>
      </c>
      <c r="J788" s="26" t="inlineStr">
        <is>
          <t>☐</t>
        </is>
      </c>
      <c r="K788" s="26" t="inlineStr">
        <is>
          <t>☐</t>
        </is>
      </c>
      <c r="L788" s="26" t="inlineStr">
        <is>
          <t>☐</t>
        </is>
      </c>
      <c r="M788" s="25" t="n"/>
      <c r="N788" s="27" t="n">
        <v>0</v>
      </c>
      <c r="O788" s="28" t="n"/>
      <c r="P788" s="23" t="n"/>
      <c r="Q788" s="29" t="n"/>
      <c r="R788" s="29" t="n"/>
      <c r="S788" s="23" t="n"/>
      <c r="T788" s="30" t="n"/>
      <c r="U788" s="31" t="inlineStr">
        <is>
          <t>高</t>
        </is>
      </c>
      <c r="V788" s="32" t="inlineStr">
        <is>
          <t>公式サイトで確認。【校名変更】2022年に修文女子高校から改称・共学化</t>
        </is>
      </c>
      <c r="W788" s="33" t="inlineStr">
        <is>
          <t>開く</t>
        </is>
      </c>
    </row>
    <row r="789" ht="30" customHeight="1">
      <c r="A789" s="23" t="inlineStr">
        <is>
          <t>23愛知県</t>
        </is>
      </c>
      <c r="B789" s="23" t="inlineStr">
        <is>
          <t>私立</t>
        </is>
      </c>
      <c r="C789" s="23" t="n"/>
      <c r="D789" s="23" t="inlineStr">
        <is>
          <t>椙山女学園高等学校</t>
        </is>
      </c>
      <c r="E789" s="24" t="inlineStr">
        <is>
          <t>052-751-8131</t>
        </is>
      </c>
      <c r="F789" s="23" t="n"/>
      <c r="G789" s="25" t="inlineStr">
        <is>
          <t>普通科</t>
        </is>
      </c>
      <c r="H789" s="26" t="inlineStr">
        <is>
          <t>☐</t>
        </is>
      </c>
      <c r="I789" s="26" t="inlineStr">
        <is>
          <t>☐</t>
        </is>
      </c>
      <c r="J789" s="26" t="inlineStr">
        <is>
          <t>☐</t>
        </is>
      </c>
      <c r="K789" s="26" t="inlineStr">
        <is>
          <t>☐</t>
        </is>
      </c>
      <c r="L789" s="26" t="inlineStr">
        <is>
          <t>☐</t>
        </is>
      </c>
      <c r="M789" s="25" t="n"/>
      <c r="N789" s="27" t="n">
        <v>0</v>
      </c>
      <c r="O789" s="28" t="n"/>
      <c r="P789" s="23" t="n"/>
      <c r="Q789" s="29" t="n"/>
      <c r="R789" s="29" t="n"/>
      <c r="S789" s="23" t="n"/>
      <c r="T789" s="30" t="n"/>
      <c r="U789" s="31" t="inlineStr">
        <is>
          <t>高</t>
        </is>
      </c>
      <c r="V789" s="32" t="inlineStr">
        <is>
          <t>公式サイトに「代表」と記載</t>
        </is>
      </c>
      <c r="W789" s="33" t="inlineStr">
        <is>
          <t>開く</t>
        </is>
      </c>
    </row>
    <row r="790" ht="30" customHeight="1">
      <c r="A790" s="23" t="inlineStr">
        <is>
          <t>23愛知県</t>
        </is>
      </c>
      <c r="B790" s="23" t="inlineStr">
        <is>
          <t>私立</t>
        </is>
      </c>
      <c r="C790" s="23" t="n"/>
      <c r="D790" s="23" t="inlineStr">
        <is>
          <t>聖カピタニオ女子高等学校</t>
        </is>
      </c>
      <c r="E790" s="24" t="inlineStr">
        <is>
          <t>0561-82-7711</t>
        </is>
      </c>
      <c r="F790" s="23" t="n"/>
      <c r="G790" s="25" t="inlineStr">
        <is>
          <t>普通科</t>
        </is>
      </c>
      <c r="H790" s="26" t="inlineStr">
        <is>
          <t>☐</t>
        </is>
      </c>
      <c r="I790" s="26" t="inlineStr">
        <is>
          <t>☐</t>
        </is>
      </c>
      <c r="J790" s="26" t="inlineStr">
        <is>
          <t>☐</t>
        </is>
      </c>
      <c r="K790" s="26" t="inlineStr">
        <is>
          <t>☐</t>
        </is>
      </c>
      <c r="L790" s="26" t="inlineStr">
        <is>
          <t>☐</t>
        </is>
      </c>
      <c r="M790" s="25" t="n"/>
      <c r="N790" s="27" t="n">
        <v>0</v>
      </c>
      <c r="O790" s="28" t="n"/>
      <c r="P790" s="23" t="n"/>
      <c r="Q790" s="29" t="n"/>
      <c r="R790" s="29" t="n"/>
      <c r="S790" s="23" t="n"/>
      <c r="T790" s="30" t="n"/>
      <c r="U790" s="31" t="inlineStr">
        <is>
          <t>高</t>
        </is>
      </c>
      <c r="V790" s="32" t="inlineStr">
        <is>
          <t>公式サイトで確認</t>
        </is>
      </c>
      <c r="W790" s="33" t="inlineStr">
        <is>
          <t>開く</t>
        </is>
      </c>
    </row>
    <row r="791" ht="30" customHeight="1">
      <c r="A791" s="23" t="inlineStr">
        <is>
          <t>23愛知県</t>
        </is>
      </c>
      <c r="B791" s="23" t="inlineStr">
        <is>
          <t>私立</t>
        </is>
      </c>
      <c r="C791" s="23" t="n"/>
      <c r="D791" s="23" t="inlineStr">
        <is>
          <t>誠信高等学校</t>
        </is>
      </c>
      <c r="E791" s="24" t="inlineStr">
        <is>
          <t>0587-93-5380</t>
        </is>
      </c>
      <c r="F791" s="23" t="n"/>
      <c r="G791" s="25" t="inlineStr">
        <is>
          <t>普通科</t>
        </is>
      </c>
      <c r="H791" s="26" t="inlineStr">
        <is>
          <t>☐</t>
        </is>
      </c>
      <c r="I791" s="26" t="inlineStr">
        <is>
          <t>☐</t>
        </is>
      </c>
      <c r="J791" s="26" t="inlineStr">
        <is>
          <t>☐</t>
        </is>
      </c>
      <c r="K791" s="26" t="inlineStr">
        <is>
          <t>☐</t>
        </is>
      </c>
      <c r="L791" s="26" t="inlineStr">
        <is>
          <t>☐</t>
        </is>
      </c>
      <c r="M791" s="25" t="n"/>
      <c r="N791" s="27" t="n">
        <v>0</v>
      </c>
      <c r="O791" s="28" t="n"/>
      <c r="P791" s="23" t="n"/>
      <c r="Q791" s="29" t="n"/>
      <c r="R791" s="29" t="n"/>
      <c r="S791" s="23" t="n"/>
      <c r="T791" s="30" t="n"/>
      <c r="U791" s="31" t="inlineStr">
        <is>
          <t>高</t>
        </is>
      </c>
      <c r="V791" s="32" t="inlineStr">
        <is>
          <t>公式サイトに「代表」と記載。0587-93-8172はFAXなので注意</t>
        </is>
      </c>
      <c r="W791" s="33" t="inlineStr">
        <is>
          <t>開く</t>
        </is>
      </c>
    </row>
    <row r="792" ht="30" customHeight="1">
      <c r="A792" s="23" t="inlineStr">
        <is>
          <t>23愛知県</t>
        </is>
      </c>
      <c r="B792" s="23" t="inlineStr">
        <is>
          <t>私立</t>
        </is>
      </c>
      <c r="C792" s="23" t="n"/>
      <c r="D792" s="23" t="inlineStr">
        <is>
          <t>星城高等学校</t>
        </is>
      </c>
      <c r="E792" s="24" t="inlineStr">
        <is>
          <t>0562-97-3111</t>
        </is>
      </c>
      <c r="F792" s="23" t="n"/>
      <c r="G792" s="25" t="inlineStr">
        <is>
          <t>普通科</t>
        </is>
      </c>
      <c r="H792" s="26" t="inlineStr">
        <is>
          <t>☐</t>
        </is>
      </c>
      <c r="I792" s="26" t="inlineStr">
        <is>
          <t>☐</t>
        </is>
      </c>
      <c r="J792" s="26" t="inlineStr">
        <is>
          <t>☐</t>
        </is>
      </c>
      <c r="K792" s="26" t="inlineStr">
        <is>
          <t>☐</t>
        </is>
      </c>
      <c r="L792" s="26" t="inlineStr">
        <is>
          <t>☐</t>
        </is>
      </c>
      <c r="M792" s="25" t="n"/>
      <c r="N792" s="27" t="n">
        <v>0</v>
      </c>
      <c r="O792" s="28" t="n"/>
      <c r="P792" s="23" t="n"/>
      <c r="Q792" s="29" t="n"/>
      <c r="R792" s="29" t="n"/>
      <c r="S792" s="23" t="n"/>
      <c r="T792" s="30" t="n"/>
      <c r="U792" s="31" t="inlineStr">
        <is>
          <t>高</t>
        </is>
      </c>
      <c r="V792" s="32" t="inlineStr">
        <is>
          <t>公式サイトに「代表」と記載</t>
        </is>
      </c>
      <c r="W792" s="33" t="inlineStr">
        <is>
          <t>開く</t>
        </is>
      </c>
    </row>
    <row r="793" ht="30" customHeight="1">
      <c r="A793" s="23" t="inlineStr">
        <is>
          <t>23愛知県</t>
        </is>
      </c>
      <c r="B793" s="23" t="inlineStr">
        <is>
          <t>私立</t>
        </is>
      </c>
      <c r="C793" s="23" t="n"/>
      <c r="D793" s="23" t="inlineStr">
        <is>
          <t>清林館高等学校</t>
        </is>
      </c>
      <c r="E793" s="24" t="inlineStr">
        <is>
          <t>0567-28-3010</t>
        </is>
      </c>
      <c r="F793" s="23" t="n"/>
      <c r="G793" s="25" t="inlineStr">
        <is>
          <t>普通科</t>
        </is>
      </c>
      <c r="H793" s="26" t="inlineStr">
        <is>
          <t>☐</t>
        </is>
      </c>
      <c r="I793" s="26" t="inlineStr">
        <is>
          <t>☐</t>
        </is>
      </c>
      <c r="J793" s="26" t="inlineStr">
        <is>
          <t>☐</t>
        </is>
      </c>
      <c r="K793" s="26" t="inlineStr">
        <is>
          <t>☐</t>
        </is>
      </c>
      <c r="L793" s="26" t="inlineStr">
        <is>
          <t>☐</t>
        </is>
      </c>
      <c r="M793" s="25" t="n"/>
      <c r="N793" s="27" t="n">
        <v>0</v>
      </c>
      <c r="O793" s="28" t="n"/>
      <c r="P793" s="23" t="n"/>
      <c r="Q793" s="29" t="n"/>
      <c r="R793" s="29" t="n"/>
      <c r="S793" s="23" t="n"/>
      <c r="T793" s="30" t="n"/>
      <c r="U793" s="31" t="inlineStr">
        <is>
          <t>高</t>
        </is>
      </c>
      <c r="V793" s="32" t="inlineStr">
        <is>
          <t>公式サイトで確認</t>
        </is>
      </c>
      <c r="W793" s="33" t="inlineStr">
        <is>
          <t>開く</t>
        </is>
      </c>
    </row>
    <row r="794" ht="30" customHeight="1">
      <c r="A794" s="23" t="inlineStr">
        <is>
          <t>23愛知県</t>
        </is>
      </c>
      <c r="B794" s="23" t="inlineStr">
        <is>
          <t>私立</t>
        </is>
      </c>
      <c r="C794" s="23" t="n"/>
      <c r="D794" s="23" t="inlineStr">
        <is>
          <t>聖霊高等学校</t>
        </is>
      </c>
      <c r="E794" s="24" t="inlineStr">
        <is>
          <t>0561-21-3121</t>
        </is>
      </c>
      <c r="F794" s="23" t="n"/>
      <c r="G794" s="25" t="inlineStr">
        <is>
          <t>普通科</t>
        </is>
      </c>
      <c r="H794" s="26" t="inlineStr">
        <is>
          <t>☐</t>
        </is>
      </c>
      <c r="I794" s="26" t="inlineStr">
        <is>
          <t>☐</t>
        </is>
      </c>
      <c r="J794" s="26" t="inlineStr">
        <is>
          <t>☐</t>
        </is>
      </c>
      <c r="K794" s="26" t="inlineStr">
        <is>
          <t>☐</t>
        </is>
      </c>
      <c r="L794" s="26" t="inlineStr">
        <is>
          <t>☐</t>
        </is>
      </c>
      <c r="M794" s="25" t="n"/>
      <c r="N794" s="27" t="n">
        <v>0</v>
      </c>
      <c r="O794" s="28" t="n"/>
      <c r="P794" s="23" t="n"/>
      <c r="Q794" s="29" t="n"/>
      <c r="R794" s="29" t="n"/>
      <c r="S794" s="23" t="n"/>
      <c r="T794" s="30" t="n"/>
      <c r="U794" s="31" t="inlineStr">
        <is>
          <t>高</t>
        </is>
      </c>
      <c r="V794" s="32" t="inlineStr">
        <is>
          <t>公式サイトで確認。中高共通</t>
        </is>
      </c>
      <c r="W794" s="33" t="inlineStr">
        <is>
          <t>開く</t>
        </is>
      </c>
    </row>
    <row r="795" ht="30" customHeight="1">
      <c r="A795" s="23" t="inlineStr">
        <is>
          <t>23愛知県</t>
        </is>
      </c>
      <c r="B795" s="23" t="inlineStr">
        <is>
          <t>私立</t>
        </is>
      </c>
      <c r="C795" s="23" t="n"/>
      <c r="D795" s="23" t="inlineStr">
        <is>
          <t>大成高等学校（愛知県）</t>
        </is>
      </c>
      <c r="E795" s="24" t="inlineStr">
        <is>
          <t>0586-77-9900</t>
        </is>
      </c>
      <c r="F795" s="23" t="n"/>
      <c r="G795" s="25" t="inlineStr">
        <is>
          <t>普通科</t>
        </is>
      </c>
      <c r="H795" s="26" t="inlineStr">
        <is>
          <t>☐</t>
        </is>
      </c>
      <c r="I795" s="26" t="inlineStr">
        <is>
          <t>☐</t>
        </is>
      </c>
      <c r="J795" s="26" t="inlineStr">
        <is>
          <t>☐</t>
        </is>
      </c>
      <c r="K795" s="26" t="inlineStr">
        <is>
          <t>☐</t>
        </is>
      </c>
      <c r="L795" s="26" t="inlineStr">
        <is>
          <t>☐</t>
        </is>
      </c>
      <c r="M795" s="25" t="n"/>
      <c r="N795" s="27" t="n">
        <v>0</v>
      </c>
      <c r="O795" s="28" t="n"/>
      <c r="P795" s="23" t="n"/>
      <c r="Q795" s="29" t="n"/>
      <c r="R795" s="29" t="n"/>
      <c r="S795" s="23" t="n"/>
      <c r="T795" s="30" t="n"/>
      <c r="U795" s="31" t="inlineStr">
        <is>
          <t>高</t>
        </is>
      </c>
      <c r="V795" s="32" t="inlineStr">
        <is>
          <t>公式サイトと一宮市のサイトで一致</t>
        </is>
      </c>
      <c r="W795" s="33" t="inlineStr">
        <is>
          <t>開く</t>
        </is>
      </c>
    </row>
    <row r="796" ht="30" customHeight="1">
      <c r="A796" s="23" t="inlineStr">
        <is>
          <t>23愛知県</t>
        </is>
      </c>
      <c r="B796" s="23" t="inlineStr">
        <is>
          <t>私立</t>
        </is>
      </c>
      <c r="C796" s="23" t="n"/>
      <c r="D796" s="23" t="inlineStr">
        <is>
          <t>滝高等学校</t>
        </is>
      </c>
      <c r="E796" s="24" t="inlineStr">
        <is>
          <t>0587-56-2127</t>
        </is>
      </c>
      <c r="F796" s="23" t="n"/>
      <c r="G796" s="25" t="inlineStr">
        <is>
          <t>普通科</t>
        </is>
      </c>
      <c r="H796" s="26" t="inlineStr">
        <is>
          <t>☐</t>
        </is>
      </c>
      <c r="I796" s="26" t="inlineStr">
        <is>
          <t>☐</t>
        </is>
      </c>
      <c r="J796" s="26" t="inlineStr">
        <is>
          <t>☐</t>
        </is>
      </c>
      <c r="K796" s="26" t="inlineStr">
        <is>
          <t>☐</t>
        </is>
      </c>
      <c r="L796" s="26" t="inlineStr">
        <is>
          <t>☐</t>
        </is>
      </c>
      <c r="M796" s="25" t="n"/>
      <c r="N796" s="27" t="n">
        <v>0</v>
      </c>
      <c r="O796" s="28" t="n"/>
      <c r="P796" s="23" t="n"/>
      <c r="Q796" s="29" t="n"/>
      <c r="R796" s="29" t="n"/>
      <c r="S796" s="23" t="n"/>
      <c r="T796" s="30" t="n"/>
      <c r="U796" s="31" t="inlineStr">
        <is>
          <t>高</t>
        </is>
      </c>
      <c r="V796" s="32" t="inlineStr">
        <is>
          <t>公式サイトで確認</t>
        </is>
      </c>
      <c r="W796" s="33" t="inlineStr">
        <is>
          <t>開く</t>
        </is>
      </c>
    </row>
    <row r="797" ht="30" customHeight="1">
      <c r="A797" s="23" t="inlineStr">
        <is>
          <t>23愛知県</t>
        </is>
      </c>
      <c r="B797" s="23" t="inlineStr">
        <is>
          <t>私立</t>
        </is>
      </c>
      <c r="C797" s="23" t="n"/>
      <c r="D797" s="23" t="inlineStr">
        <is>
          <t>大同大学大同高等学校</t>
        </is>
      </c>
      <c r="E797" s="24" t="inlineStr">
        <is>
          <t>052-611-0511</t>
        </is>
      </c>
      <c r="F797" s="23" t="n"/>
      <c r="G797" s="25" t="inlineStr">
        <is>
          <t>普通科・専門学科</t>
        </is>
      </c>
      <c r="H797" s="26" t="inlineStr">
        <is>
          <t>☐</t>
        </is>
      </c>
      <c r="I797" s="26" t="inlineStr">
        <is>
          <t>☐</t>
        </is>
      </c>
      <c r="J797" s="26" t="inlineStr">
        <is>
          <t>☐</t>
        </is>
      </c>
      <c r="K797" s="26" t="inlineStr">
        <is>
          <t>☐</t>
        </is>
      </c>
      <c r="L797" s="26" t="inlineStr">
        <is>
          <t>☐</t>
        </is>
      </c>
      <c r="M797" s="25" t="n"/>
      <c r="N797" s="27" t="n">
        <v>0</v>
      </c>
      <c r="O797" s="28" t="n"/>
      <c r="P797" s="23" t="n"/>
      <c r="Q797" s="29" t="n"/>
      <c r="R797" s="29" t="n"/>
      <c r="S797" s="23" t="n"/>
      <c r="T797" s="30" t="n"/>
      <c r="U797" s="31" t="inlineStr">
        <is>
          <t>高</t>
        </is>
      </c>
      <c r="V797" s="32" t="inlineStr">
        <is>
          <t>公式サイトに「代表」と記載</t>
        </is>
      </c>
      <c r="W797" s="33" t="inlineStr">
        <is>
          <t>開く</t>
        </is>
      </c>
    </row>
    <row r="798" ht="30" customHeight="1">
      <c r="A798" s="23" t="inlineStr">
        <is>
          <t>23愛知県</t>
        </is>
      </c>
      <c r="B798" s="23" t="inlineStr">
        <is>
          <t>私立</t>
        </is>
      </c>
      <c r="C798" s="23" t="n"/>
      <c r="D798" s="23" t="inlineStr">
        <is>
          <t>中京大学附属中京高等学校</t>
        </is>
      </c>
      <c r="E798" s="24" t="inlineStr">
        <is>
          <t>052-761-5311</t>
        </is>
      </c>
      <c r="F798" s="23" t="n"/>
      <c r="G798" s="25" t="inlineStr">
        <is>
          <t>普通科</t>
        </is>
      </c>
      <c r="H798" s="26" t="inlineStr">
        <is>
          <t>☐</t>
        </is>
      </c>
      <c r="I798" s="26" t="inlineStr">
        <is>
          <t>☐</t>
        </is>
      </c>
      <c r="J798" s="26" t="inlineStr">
        <is>
          <t>☐</t>
        </is>
      </c>
      <c r="K798" s="26" t="inlineStr">
        <is>
          <t>☐</t>
        </is>
      </c>
      <c r="L798" s="26" t="inlineStr">
        <is>
          <t>☐</t>
        </is>
      </c>
      <c r="M798" s="25" t="n"/>
      <c r="N798" s="27" t="n">
        <v>0</v>
      </c>
      <c r="O798" s="28" t="n"/>
      <c r="P798" s="23" t="n"/>
      <c r="Q798" s="29" t="n"/>
      <c r="R798" s="29" t="n"/>
      <c r="S798" s="23" t="n"/>
      <c r="T798" s="30" t="n"/>
      <c r="U798" s="31" t="inlineStr">
        <is>
          <t>高</t>
        </is>
      </c>
      <c r="V798" s="32" t="inlineStr">
        <is>
          <t>公式サイトに「代表」と記載。通信制課程も同じ番号</t>
        </is>
      </c>
      <c r="W798" s="33" t="inlineStr">
        <is>
          <t>開く</t>
        </is>
      </c>
    </row>
    <row r="799" ht="30" customHeight="1">
      <c r="A799" s="23" t="inlineStr">
        <is>
          <t>23愛知県</t>
        </is>
      </c>
      <c r="B799" s="23" t="inlineStr">
        <is>
          <t>私立</t>
        </is>
      </c>
      <c r="C799" s="23" t="n"/>
      <c r="D799" s="23" t="inlineStr">
        <is>
          <t>中部大学第一高等学校</t>
        </is>
      </c>
      <c r="E799" s="24" t="inlineStr">
        <is>
          <t>0561-73-8111</t>
        </is>
      </c>
      <c r="F799" s="23" t="n"/>
      <c r="G799" s="25" t="inlineStr">
        <is>
          <t>普通科・専門学科</t>
        </is>
      </c>
      <c r="H799" s="26" t="inlineStr">
        <is>
          <t>☐</t>
        </is>
      </c>
      <c r="I799" s="26" t="inlineStr">
        <is>
          <t>☐</t>
        </is>
      </c>
      <c r="J799" s="26" t="inlineStr">
        <is>
          <t>☐</t>
        </is>
      </c>
      <c r="K799" s="26" t="inlineStr">
        <is>
          <t>☐</t>
        </is>
      </c>
      <c r="L799" s="26" t="inlineStr">
        <is>
          <t>☐</t>
        </is>
      </c>
      <c r="M799" s="25" t="n"/>
      <c r="N799" s="27" t="n">
        <v>0</v>
      </c>
      <c r="O799" s="28" t="n"/>
      <c r="P799" s="23" t="n"/>
      <c r="Q799" s="29" t="n"/>
      <c r="R799" s="29" t="n"/>
      <c r="S799" s="23" t="n"/>
      <c r="T799" s="30" t="n"/>
      <c r="U799" s="31" t="inlineStr">
        <is>
          <t>高</t>
        </is>
      </c>
      <c r="V799" s="32" t="inlineStr">
        <is>
          <t>2つのサイトで一致、公式未確認</t>
        </is>
      </c>
      <c r="W799" s="33" t="inlineStr">
        <is>
          <t>開く</t>
        </is>
      </c>
    </row>
    <row r="800" ht="30" customHeight="1">
      <c r="A800" s="23" t="inlineStr">
        <is>
          <t>23愛知県</t>
        </is>
      </c>
      <c r="B800" s="23" t="inlineStr">
        <is>
          <t>私立</t>
        </is>
      </c>
      <c r="C800" s="23" t="n"/>
      <c r="D800" s="23" t="inlineStr">
        <is>
          <t>中部大学春日丘高等学校</t>
        </is>
      </c>
      <c r="E800" s="24" t="inlineStr">
        <is>
          <t>0568-51-1131</t>
        </is>
      </c>
      <c r="F800" s="23" t="n"/>
      <c r="G800" s="25" t="inlineStr">
        <is>
          <t>普通科</t>
        </is>
      </c>
      <c r="H800" s="26" t="inlineStr">
        <is>
          <t>☐</t>
        </is>
      </c>
      <c r="I800" s="26" t="inlineStr">
        <is>
          <t>☐</t>
        </is>
      </c>
      <c r="J800" s="26" t="inlineStr">
        <is>
          <t>☐</t>
        </is>
      </c>
      <c r="K800" s="26" t="inlineStr">
        <is>
          <t>☐</t>
        </is>
      </c>
      <c r="L800" s="26" t="inlineStr">
        <is>
          <t>☐</t>
        </is>
      </c>
      <c r="M800" s="25" t="n"/>
      <c r="N800" s="27" t="n">
        <v>0</v>
      </c>
      <c r="O800" s="28" t="n"/>
      <c r="P800" s="23" t="n"/>
      <c r="Q800" s="29" t="n"/>
      <c r="R800" s="29" t="n"/>
      <c r="S800" s="23" t="n"/>
      <c r="T800" s="30" t="n"/>
      <c r="U800" s="31" t="inlineStr">
        <is>
          <t>高</t>
        </is>
      </c>
      <c r="V800" s="32" t="inlineStr">
        <is>
          <t>公式サイトで確認。中学校は0568-51-1115</t>
        </is>
      </c>
      <c r="W800" s="33" t="inlineStr">
        <is>
          <t>開く</t>
        </is>
      </c>
    </row>
    <row r="801" ht="30" customHeight="1">
      <c r="A801" s="23" t="inlineStr">
        <is>
          <t>23愛知県</t>
        </is>
      </c>
      <c r="B801" s="23" t="inlineStr">
        <is>
          <t>私立</t>
        </is>
      </c>
      <c r="C801" s="23" t="n"/>
      <c r="D801" s="23" t="inlineStr">
        <is>
          <t>黄柳野高等学校</t>
        </is>
      </c>
      <c r="E801" s="24" t="inlineStr">
        <is>
          <t>0536-34-0330</t>
        </is>
      </c>
      <c r="F801" s="23" t="n"/>
      <c r="G801" s="25" t="inlineStr">
        <is>
          <t>普通科</t>
        </is>
      </c>
      <c r="H801" s="26" t="inlineStr">
        <is>
          <t>☐</t>
        </is>
      </c>
      <c r="I801" s="26" t="inlineStr">
        <is>
          <t>☐</t>
        </is>
      </c>
      <c r="J801" s="26" t="inlineStr">
        <is>
          <t>☐</t>
        </is>
      </c>
      <c r="K801" s="26" t="inlineStr">
        <is>
          <t>☐</t>
        </is>
      </c>
      <c r="L801" s="26" t="inlineStr">
        <is>
          <t>☐</t>
        </is>
      </c>
      <c r="M801" s="25" t="n"/>
      <c r="N801" s="27" t="n">
        <v>0</v>
      </c>
      <c r="O801" s="28" t="n"/>
      <c r="P801" s="23" t="n"/>
      <c r="Q801" s="29" t="n"/>
      <c r="R801" s="29" t="n"/>
      <c r="S801" s="23" t="n"/>
      <c r="T801" s="30" t="n"/>
      <c r="U801" s="31" t="inlineStr">
        <is>
          <t>高</t>
        </is>
      </c>
      <c r="V801" s="32" t="inlineStr">
        <is>
          <t>複数サイトで一致、公式未確認</t>
        </is>
      </c>
      <c r="W801" s="33" t="inlineStr">
        <is>
          <t>開く</t>
        </is>
      </c>
    </row>
    <row r="802" ht="30" customHeight="1">
      <c r="A802" s="23" t="inlineStr">
        <is>
          <t>23愛知県</t>
        </is>
      </c>
      <c r="B802" s="23" t="inlineStr">
        <is>
          <t>私立</t>
        </is>
      </c>
      <c r="C802" s="23" t="n"/>
      <c r="D802" s="23" t="inlineStr">
        <is>
          <t>東海学園高等学校</t>
        </is>
      </c>
      <c r="E802" s="24" t="inlineStr">
        <is>
          <t>052-801-6222</t>
        </is>
      </c>
      <c r="F802" s="23" t="n"/>
      <c r="G802" s="25" t="inlineStr">
        <is>
          <t>普通科</t>
        </is>
      </c>
      <c r="H802" s="26" t="inlineStr">
        <is>
          <t>☐</t>
        </is>
      </c>
      <c r="I802" s="26" t="inlineStr">
        <is>
          <t>☐</t>
        </is>
      </c>
      <c r="J802" s="26" t="inlineStr">
        <is>
          <t>☐</t>
        </is>
      </c>
      <c r="K802" s="26" t="inlineStr">
        <is>
          <t>☐</t>
        </is>
      </c>
      <c r="L802" s="26" t="inlineStr">
        <is>
          <t>☐</t>
        </is>
      </c>
      <c r="M802" s="25" t="n"/>
      <c r="N802" s="27" t="n">
        <v>0</v>
      </c>
      <c r="O802" s="28" t="n"/>
      <c r="P802" s="23" t="n"/>
      <c r="Q802" s="29" t="n"/>
      <c r="R802" s="29" t="n"/>
      <c r="S802" s="23" t="n"/>
      <c r="T802" s="30" t="n"/>
      <c r="U802" s="31" t="inlineStr">
        <is>
          <t>高</t>
        </is>
      </c>
      <c r="V802" s="32" t="inlineStr">
        <is>
          <t>公式サイトで確認。東海高校（東区）とは別の学校</t>
        </is>
      </c>
      <c r="W802" s="33" t="inlineStr">
        <is>
          <t>開く</t>
        </is>
      </c>
    </row>
    <row r="803" ht="30" customHeight="1">
      <c r="A803" s="23" t="inlineStr">
        <is>
          <t>23愛知県</t>
        </is>
      </c>
      <c r="B803" s="23" t="inlineStr">
        <is>
          <t>私立</t>
        </is>
      </c>
      <c r="C803" s="23" t="n"/>
      <c r="D803" s="23" t="inlineStr">
        <is>
          <t>東海高等学校</t>
        </is>
      </c>
      <c r="E803" s="24" t="inlineStr">
        <is>
          <t>052-936-5111</t>
        </is>
      </c>
      <c r="F803" s="23" t="n"/>
      <c r="G803" s="25" t="inlineStr">
        <is>
          <t>普通科</t>
        </is>
      </c>
      <c r="H803" s="26" t="inlineStr">
        <is>
          <t>☐</t>
        </is>
      </c>
      <c r="I803" s="26" t="inlineStr">
        <is>
          <t>☐</t>
        </is>
      </c>
      <c r="J803" s="26" t="inlineStr">
        <is>
          <t>☐</t>
        </is>
      </c>
      <c r="K803" s="26" t="inlineStr">
        <is>
          <t>☐</t>
        </is>
      </c>
      <c r="L803" s="26" t="inlineStr">
        <is>
          <t>☐</t>
        </is>
      </c>
      <c r="M803" s="25" t="n"/>
      <c r="N803" s="27" t="n">
        <v>0</v>
      </c>
      <c r="O803" s="28" t="n"/>
      <c r="P803" s="23" t="n"/>
      <c r="Q803" s="29" t="n"/>
      <c r="R803" s="29" t="n"/>
      <c r="S803" s="23" t="n"/>
      <c r="T803" s="30" t="n"/>
      <c r="U803" s="31" t="inlineStr">
        <is>
          <t>高</t>
        </is>
      </c>
      <c r="V803" s="32" t="inlineStr">
        <is>
          <t>中高共通の代表（事務所）。高校の直通は052-936-5112。東海学園（天白区）とは別の学校</t>
        </is>
      </c>
      <c r="W803" s="33" t="inlineStr">
        <is>
          <t>開く</t>
        </is>
      </c>
    </row>
    <row r="804" ht="30" customHeight="1">
      <c r="A804" s="23" t="inlineStr">
        <is>
          <t>23愛知県</t>
        </is>
      </c>
      <c r="B804" s="23" t="inlineStr">
        <is>
          <t>私立</t>
        </is>
      </c>
      <c r="C804" s="23" t="n"/>
      <c r="D804" s="23" t="inlineStr">
        <is>
          <t>東邦高等学校</t>
        </is>
      </c>
      <c r="E804" s="24" t="inlineStr">
        <is>
          <t>052-782-1171</t>
        </is>
      </c>
      <c r="F804" s="23" t="n"/>
      <c r="G804" s="25" t="inlineStr">
        <is>
          <t>普通科・専門学科</t>
        </is>
      </c>
      <c r="H804" s="26" t="inlineStr">
        <is>
          <t>☐</t>
        </is>
      </c>
      <c r="I804" s="26" t="inlineStr">
        <is>
          <t>☐</t>
        </is>
      </c>
      <c r="J804" s="26" t="inlineStr">
        <is>
          <t>☐</t>
        </is>
      </c>
      <c r="K804" s="26" t="inlineStr">
        <is>
          <t>☐</t>
        </is>
      </c>
      <c r="L804" s="26" t="inlineStr">
        <is>
          <t>☐</t>
        </is>
      </c>
      <c r="M804" s="25" t="n"/>
      <c r="N804" s="27" t="n">
        <v>0</v>
      </c>
      <c r="O804" s="28" t="n"/>
      <c r="P804" s="23" t="n"/>
      <c r="Q804" s="29" t="n"/>
      <c r="R804" s="29" t="n"/>
      <c r="S804" s="23" t="n"/>
      <c r="T804" s="30" t="n"/>
      <c r="U804" s="31" t="inlineStr">
        <is>
          <t>高</t>
        </is>
      </c>
      <c r="V804" s="32" t="inlineStr">
        <is>
          <t>公式サイトに「代表」と記載。052-782-1241は愛知東邦大学の番号</t>
        </is>
      </c>
      <c r="W804" s="33" t="inlineStr">
        <is>
          <t>開く</t>
        </is>
      </c>
    </row>
    <row r="805" ht="30" customHeight="1">
      <c r="A805" s="23" t="inlineStr">
        <is>
          <t>23愛知県</t>
        </is>
      </c>
      <c r="B805" s="23" t="inlineStr">
        <is>
          <t>私立</t>
        </is>
      </c>
      <c r="C805" s="23" t="n"/>
      <c r="D805" s="23" t="inlineStr">
        <is>
          <t>杜若高等学校</t>
        </is>
      </c>
      <c r="E805" s="24" t="inlineStr">
        <is>
          <t>0565-45-5000</t>
        </is>
      </c>
      <c r="F805" s="23" t="n"/>
      <c r="G805" s="25" t="inlineStr">
        <is>
          <t>普通科</t>
        </is>
      </c>
      <c r="H805" s="26" t="inlineStr">
        <is>
          <t>☐</t>
        </is>
      </c>
      <c r="I805" s="26" t="inlineStr">
        <is>
          <t>☐</t>
        </is>
      </c>
      <c r="J805" s="26" t="inlineStr">
        <is>
          <t>☐</t>
        </is>
      </c>
      <c r="K805" s="26" t="inlineStr">
        <is>
          <t>☐</t>
        </is>
      </c>
      <c r="L805" s="26" t="inlineStr">
        <is>
          <t>☐</t>
        </is>
      </c>
      <c r="M805" s="25" t="n"/>
      <c r="N805" s="27" t="n">
        <v>0</v>
      </c>
      <c r="O805" s="28" t="n"/>
      <c r="P805" s="23" t="n"/>
      <c r="Q805" s="29" t="n"/>
      <c r="R805" s="29" t="n"/>
      <c r="S805" s="23" t="n"/>
      <c r="T805" s="30" t="n"/>
      <c r="U805" s="31" t="inlineStr">
        <is>
          <t>高</t>
        </is>
      </c>
      <c r="V805" s="32" t="inlineStr">
        <is>
          <t>公式サイトで確認</t>
        </is>
      </c>
      <c r="W805" s="33" t="inlineStr">
        <is>
          <t>開く</t>
        </is>
      </c>
    </row>
    <row r="806" ht="30" customHeight="1">
      <c r="A806" s="23" t="inlineStr">
        <is>
          <t>23愛知県</t>
        </is>
      </c>
      <c r="B806" s="23" t="inlineStr">
        <is>
          <t>私立</t>
        </is>
      </c>
      <c r="C806" s="23" t="n"/>
      <c r="D806" s="23" t="inlineStr">
        <is>
          <t>豊川高等学校</t>
        </is>
      </c>
      <c r="E806" s="24" t="inlineStr">
        <is>
          <t>0533-86-4121</t>
        </is>
      </c>
      <c r="F806" s="23" t="n"/>
      <c r="G806" s="25" t="inlineStr">
        <is>
          <t>普通科</t>
        </is>
      </c>
      <c r="H806" s="26" t="inlineStr">
        <is>
          <t>☐</t>
        </is>
      </c>
      <c r="I806" s="26" t="inlineStr">
        <is>
          <t>☐</t>
        </is>
      </c>
      <c r="J806" s="26" t="inlineStr">
        <is>
          <t>☐</t>
        </is>
      </c>
      <c r="K806" s="26" t="inlineStr">
        <is>
          <t>☐</t>
        </is>
      </c>
      <c r="L806" s="26" t="inlineStr">
        <is>
          <t>☐</t>
        </is>
      </c>
      <c r="M806" s="25" t="n"/>
      <c r="N806" s="27" t="n">
        <v>0</v>
      </c>
      <c r="O806" s="28" t="n"/>
      <c r="P806" s="23" t="n"/>
      <c r="Q806" s="29" t="n"/>
      <c r="R806" s="29" t="n"/>
      <c r="S806" s="23" t="n"/>
      <c r="T806" s="30" t="n"/>
      <c r="U806" s="31" t="inlineStr">
        <is>
          <t>高</t>
        </is>
      </c>
      <c r="V806" s="32" t="inlineStr">
        <is>
          <t>公式サイトに「学校代表」と記載</t>
        </is>
      </c>
      <c r="W806" s="33" t="inlineStr">
        <is>
          <t>開く</t>
        </is>
      </c>
    </row>
    <row r="807" ht="30" customHeight="1">
      <c r="A807" s="23" t="inlineStr">
        <is>
          <t>23愛知県</t>
        </is>
      </c>
      <c r="B807" s="23" t="inlineStr">
        <is>
          <t>私立</t>
        </is>
      </c>
      <c r="C807" s="23" t="n"/>
      <c r="D807" s="23" t="inlineStr">
        <is>
          <t>豊田大谷高等学校</t>
        </is>
      </c>
      <c r="E807" s="24" t="inlineStr">
        <is>
          <t>0565-48-3511</t>
        </is>
      </c>
      <c r="F807" s="23" t="n"/>
      <c r="G807" s="25" t="inlineStr">
        <is>
          <t>普通科</t>
        </is>
      </c>
      <c r="H807" s="26" t="inlineStr">
        <is>
          <t>☐</t>
        </is>
      </c>
      <c r="I807" s="26" t="inlineStr">
        <is>
          <t>☐</t>
        </is>
      </c>
      <c r="J807" s="26" t="inlineStr">
        <is>
          <t>☐</t>
        </is>
      </c>
      <c r="K807" s="26" t="inlineStr">
        <is>
          <t>☐</t>
        </is>
      </c>
      <c r="L807" s="26" t="inlineStr">
        <is>
          <t>☐</t>
        </is>
      </c>
      <c r="M807" s="25" t="n"/>
      <c r="N807" s="27" t="n">
        <v>0</v>
      </c>
      <c r="O807" s="28" t="n"/>
      <c r="P807" s="23" t="n"/>
      <c r="Q807" s="29" t="n"/>
      <c r="R807" s="29" t="n"/>
      <c r="S807" s="23" t="n"/>
      <c r="T807" s="30" t="n"/>
      <c r="U807" s="31" t="inlineStr">
        <is>
          <t>高</t>
        </is>
      </c>
      <c r="V807" s="32" t="inlineStr">
        <is>
          <t>2つのサイトで一致（代表として掲載）、公式未確認</t>
        </is>
      </c>
      <c r="W807" s="33" t="inlineStr">
        <is>
          <t>開く</t>
        </is>
      </c>
    </row>
    <row r="808" ht="30" customHeight="1">
      <c r="A808" s="23" t="inlineStr">
        <is>
          <t>23愛知県</t>
        </is>
      </c>
      <c r="B808" s="23" t="inlineStr">
        <is>
          <t>私立</t>
        </is>
      </c>
      <c r="C808" s="23" t="n"/>
      <c r="D808" s="23" t="inlineStr">
        <is>
          <t>豊橋中央高等学校</t>
        </is>
      </c>
      <c r="E808" s="24" t="inlineStr">
        <is>
          <t>0532-54-1301</t>
        </is>
      </c>
      <c r="F808" s="23" t="n"/>
      <c r="G808" s="25" t="inlineStr">
        <is>
          <t>普通科・専門学科</t>
        </is>
      </c>
      <c r="H808" s="26" t="inlineStr">
        <is>
          <t>☐</t>
        </is>
      </c>
      <c r="I808" s="26" t="inlineStr">
        <is>
          <t>☐</t>
        </is>
      </c>
      <c r="J808" s="26" t="inlineStr">
        <is>
          <t>☐</t>
        </is>
      </c>
      <c r="K808" s="26" t="inlineStr">
        <is>
          <t>☐</t>
        </is>
      </c>
      <c r="L808" s="26" t="inlineStr">
        <is>
          <t>☐</t>
        </is>
      </c>
      <c r="M808" s="25" t="n"/>
      <c r="N808" s="27" t="n">
        <v>0</v>
      </c>
      <c r="O808" s="28" t="n"/>
      <c r="P808" s="23" t="n"/>
      <c r="Q808" s="29" t="n"/>
      <c r="R808" s="29" t="n"/>
      <c r="S808" s="23" t="n"/>
      <c r="T808" s="30" t="n"/>
      <c r="U808" s="31" t="inlineStr">
        <is>
          <t>高</t>
        </is>
      </c>
      <c r="V808" s="32" t="inlineStr">
        <is>
          <t>公式サイトで確認</t>
        </is>
      </c>
      <c r="W808" s="33" t="inlineStr">
        <is>
          <t>開く</t>
        </is>
      </c>
    </row>
    <row r="809" ht="30" customHeight="1">
      <c r="A809" s="23" t="inlineStr">
        <is>
          <t>23愛知県</t>
        </is>
      </c>
      <c r="B809" s="23" t="inlineStr">
        <is>
          <t>私立</t>
        </is>
      </c>
      <c r="C809" s="23" t="n"/>
      <c r="D809" s="23" t="inlineStr">
        <is>
          <t>同朋高等学校</t>
        </is>
      </c>
      <c r="E809" s="24" t="inlineStr">
        <is>
          <t>052-411-1159</t>
        </is>
      </c>
      <c r="F809" s="23" t="n"/>
      <c r="G809" s="25" t="inlineStr">
        <is>
          <t>普通科・専門学科</t>
        </is>
      </c>
      <c r="H809" s="26" t="inlineStr">
        <is>
          <t>☐</t>
        </is>
      </c>
      <c r="I809" s="26" t="inlineStr">
        <is>
          <t>☐</t>
        </is>
      </c>
      <c r="J809" s="26" t="inlineStr">
        <is>
          <t>☐</t>
        </is>
      </c>
      <c r="K809" s="26" t="inlineStr">
        <is>
          <t>☐</t>
        </is>
      </c>
      <c r="L809" s="26" t="inlineStr">
        <is>
          <t>☐</t>
        </is>
      </c>
      <c r="M809" s="25" t="n"/>
      <c r="N809" s="27" t="n">
        <v>0</v>
      </c>
      <c r="O809" s="28" t="n"/>
      <c r="P809" s="23" t="n"/>
      <c r="Q809" s="29" t="n"/>
      <c r="R809" s="29" t="n"/>
      <c r="S809" s="23" t="n"/>
      <c r="T809" s="30" t="n"/>
      <c r="U809" s="34" t="inlineStr">
        <is>
          <t>中</t>
        </is>
      </c>
      <c r="V809" s="32" t="inlineStr">
        <is>
          <t>公式サイトの職員室の番号。入試広報室は052-411-1216。ほかの番号を載せるサイトもあり</t>
        </is>
      </c>
      <c r="W809" s="33" t="inlineStr">
        <is>
          <t>開く</t>
        </is>
      </c>
    </row>
    <row r="810" ht="30" customHeight="1">
      <c r="A810" s="23" t="inlineStr">
        <is>
          <t>23愛知県</t>
        </is>
      </c>
      <c r="B810" s="23" t="inlineStr">
        <is>
          <t>私立</t>
        </is>
      </c>
      <c r="C810" s="23" t="n"/>
      <c r="D810" s="23" t="inlineStr">
        <is>
          <t>名古屋葵大学高等学校</t>
        </is>
      </c>
      <c r="E810" s="24" t="inlineStr">
        <is>
          <t>052-841-8181</t>
        </is>
      </c>
      <c r="F810" s="23" t="n"/>
      <c r="G810" s="25" t="inlineStr">
        <is>
          <t>普通科</t>
        </is>
      </c>
      <c r="H810" s="26" t="inlineStr">
        <is>
          <t>☐</t>
        </is>
      </c>
      <c r="I810" s="26" t="inlineStr">
        <is>
          <t>☐</t>
        </is>
      </c>
      <c r="J810" s="26" t="inlineStr">
        <is>
          <t>☐</t>
        </is>
      </c>
      <c r="K810" s="26" t="inlineStr">
        <is>
          <t>☐</t>
        </is>
      </c>
      <c r="L810" s="26" t="inlineStr">
        <is>
          <t>☐</t>
        </is>
      </c>
      <c r="M810" s="25" t="n"/>
      <c r="N810" s="27" t="n">
        <v>0</v>
      </c>
      <c r="O810" s="28" t="n"/>
      <c r="P810" s="23" t="n"/>
      <c r="Q810" s="29" t="n"/>
      <c r="R810" s="29" t="n"/>
      <c r="S810" s="23" t="n"/>
      <c r="T810" s="30" t="n"/>
      <c r="U810" s="31" t="inlineStr">
        <is>
          <t>高</t>
        </is>
      </c>
      <c r="V810" s="32" t="inlineStr">
        <is>
          <t>公式サイトで確認。中高共通。【校名変更】2025年4月に名古屋女子大学高校から改称</t>
        </is>
      </c>
      <c r="W810" s="33" t="inlineStr">
        <is>
          <t>開く</t>
        </is>
      </c>
    </row>
    <row r="811" ht="30" customHeight="1">
      <c r="A811" s="23" t="inlineStr">
        <is>
          <t>23愛知県</t>
        </is>
      </c>
      <c r="B811" s="23" t="inlineStr">
        <is>
          <t>私立</t>
        </is>
      </c>
      <c r="C811" s="23" t="n"/>
      <c r="D811" s="23" t="inlineStr">
        <is>
          <t>名古屋大谷高等学校</t>
        </is>
      </c>
      <c r="E811" s="24" t="inlineStr">
        <is>
          <t>052-852-1121</t>
        </is>
      </c>
      <c r="F811" s="23" t="n"/>
      <c r="G811" s="25" t="inlineStr">
        <is>
          <t>普通科・専門学科</t>
        </is>
      </c>
      <c r="H811" s="26" t="inlineStr">
        <is>
          <t>☐</t>
        </is>
      </c>
      <c r="I811" s="26" t="inlineStr">
        <is>
          <t>☐</t>
        </is>
      </c>
      <c r="J811" s="26" t="inlineStr">
        <is>
          <t>☐</t>
        </is>
      </c>
      <c r="K811" s="26" t="inlineStr">
        <is>
          <t>☐</t>
        </is>
      </c>
      <c r="L811" s="26" t="inlineStr">
        <is>
          <t>☐</t>
        </is>
      </c>
      <c r="M811" s="25" t="n"/>
      <c r="N811" s="27" t="n">
        <v>0</v>
      </c>
      <c r="O811" s="28" t="n"/>
      <c r="P811" s="23" t="n"/>
      <c r="Q811" s="29" t="n"/>
      <c r="R811" s="29" t="n"/>
      <c r="S811" s="23" t="n"/>
      <c r="T811" s="30" t="n"/>
      <c r="U811" s="31" t="inlineStr">
        <is>
          <t>高</t>
        </is>
      </c>
      <c r="V811" s="32" t="inlineStr">
        <is>
          <t>公式サイトで確認</t>
        </is>
      </c>
      <c r="W811" s="33" t="inlineStr">
        <is>
          <t>開く</t>
        </is>
      </c>
    </row>
    <row r="812" ht="30" customHeight="1">
      <c r="A812" s="23" t="inlineStr">
        <is>
          <t>23愛知県</t>
        </is>
      </c>
      <c r="B812" s="23" t="inlineStr">
        <is>
          <t>私立</t>
        </is>
      </c>
      <c r="C812" s="23" t="n"/>
      <c r="D812" s="23" t="inlineStr">
        <is>
          <t>名古屋経済大学市邨高等学校</t>
        </is>
      </c>
      <c r="E812" s="24" t="inlineStr">
        <is>
          <t>052-721-0161</t>
        </is>
      </c>
      <c r="F812" s="23" t="n"/>
      <c r="G812" s="25" t="inlineStr">
        <is>
          <t>普通科</t>
        </is>
      </c>
      <c r="H812" s="26" t="inlineStr">
        <is>
          <t>☐</t>
        </is>
      </c>
      <c r="I812" s="26" t="inlineStr">
        <is>
          <t>☐</t>
        </is>
      </c>
      <c r="J812" s="26" t="inlineStr">
        <is>
          <t>☐</t>
        </is>
      </c>
      <c r="K812" s="26" t="inlineStr">
        <is>
          <t>☐</t>
        </is>
      </c>
      <c r="L812" s="26" t="inlineStr">
        <is>
          <t>☐</t>
        </is>
      </c>
      <c r="M812" s="25" t="n"/>
      <c r="N812" s="27" t="n">
        <v>0</v>
      </c>
      <c r="O812" s="28" t="n"/>
      <c r="P812" s="23" t="n"/>
      <c r="Q812" s="29" t="n"/>
      <c r="R812" s="29" t="n"/>
      <c r="S812" s="23" t="n"/>
      <c r="T812" s="30" t="n"/>
      <c r="U812" s="31" t="inlineStr">
        <is>
          <t>高</t>
        </is>
      </c>
      <c r="V812" s="32" t="inlineStr">
        <is>
          <t>公式資料に「代表」と記載</t>
        </is>
      </c>
      <c r="W812" s="33" t="inlineStr">
        <is>
          <t>開く</t>
        </is>
      </c>
    </row>
    <row r="813" ht="30" customHeight="1">
      <c r="A813" s="23" t="inlineStr">
        <is>
          <t>23愛知県</t>
        </is>
      </c>
      <c r="B813" s="23" t="inlineStr">
        <is>
          <t>私立</t>
        </is>
      </c>
      <c r="C813" s="23" t="n"/>
      <c r="D813" s="23" t="inlineStr">
        <is>
          <t>名古屋経済大学高蔵高等学校</t>
        </is>
      </c>
      <c r="E813" s="24" t="inlineStr">
        <is>
          <t>052-853-0050</t>
        </is>
      </c>
      <c r="F813" s="23" t="n"/>
      <c r="G813" s="25" t="inlineStr">
        <is>
          <t>普通科・専門学科</t>
        </is>
      </c>
      <c r="H813" s="26" t="inlineStr">
        <is>
          <t>☐</t>
        </is>
      </c>
      <c r="I813" s="26" t="inlineStr">
        <is>
          <t>☐</t>
        </is>
      </c>
      <c r="J813" s="26" t="inlineStr">
        <is>
          <t>☐</t>
        </is>
      </c>
      <c r="K813" s="26" t="inlineStr">
        <is>
          <t>☐</t>
        </is>
      </c>
      <c r="L813" s="26" t="inlineStr">
        <is>
          <t>☐</t>
        </is>
      </c>
      <c r="M813" s="25" t="n"/>
      <c r="N813" s="27" t="n">
        <v>0</v>
      </c>
      <c r="O813" s="28" t="n"/>
      <c r="P813" s="23" t="n"/>
      <c r="Q813" s="29" t="n"/>
      <c r="R813" s="29" t="n"/>
      <c r="S813" s="23" t="n"/>
      <c r="T813" s="30" t="n"/>
      <c r="U813" s="31" t="inlineStr">
        <is>
          <t>高</t>
        </is>
      </c>
      <c r="V813" s="32" t="inlineStr">
        <is>
          <t>公式サイトで確認。中高共通</t>
        </is>
      </c>
      <c r="W813" s="33" t="inlineStr">
        <is>
          <t>開く</t>
        </is>
      </c>
    </row>
    <row r="814" ht="30" customHeight="1">
      <c r="A814" s="23" t="inlineStr">
        <is>
          <t>23愛知県</t>
        </is>
      </c>
      <c r="B814" s="23" t="inlineStr">
        <is>
          <t>私立</t>
        </is>
      </c>
      <c r="C814" s="23" t="n"/>
      <c r="D814" s="23" t="inlineStr">
        <is>
          <t>名古屋工業高等学校</t>
        </is>
      </c>
      <c r="E814" s="24" t="inlineStr">
        <is>
          <t>052-871-2681</t>
        </is>
      </c>
      <c r="F814" s="23" t="n"/>
      <c r="G814" s="25" t="inlineStr">
        <is>
          <t>専門学科</t>
        </is>
      </c>
      <c r="H814" s="26" t="inlineStr">
        <is>
          <t>☐</t>
        </is>
      </c>
      <c r="I814" s="26" t="inlineStr">
        <is>
          <t>☐</t>
        </is>
      </c>
      <c r="J814" s="26" t="inlineStr">
        <is>
          <t>☐</t>
        </is>
      </c>
      <c r="K814" s="26" t="inlineStr">
        <is>
          <t>☐</t>
        </is>
      </c>
      <c r="L814" s="26" t="inlineStr">
        <is>
          <t>☐</t>
        </is>
      </c>
      <c r="M814" s="25" t="n"/>
      <c r="N814" s="27" t="n">
        <v>0</v>
      </c>
      <c r="O814" s="28" t="n"/>
      <c r="P814" s="23" t="n"/>
      <c r="Q814" s="29" t="n"/>
      <c r="R814" s="29" t="n"/>
      <c r="S814" s="23" t="n"/>
      <c r="T814" s="30" t="n"/>
      <c r="U814" s="31" t="inlineStr">
        <is>
          <t>高</t>
        </is>
      </c>
      <c r="V814" s="32" t="inlineStr">
        <is>
          <t>公式サイトと愛知県私学協会の資料で一致（私立）</t>
        </is>
      </c>
      <c r="W814" s="33" t="inlineStr">
        <is>
          <t>開く</t>
        </is>
      </c>
    </row>
    <row r="815" ht="30" customHeight="1">
      <c r="A815" s="23" t="inlineStr">
        <is>
          <t>23愛知県</t>
        </is>
      </c>
      <c r="B815" s="23" t="inlineStr">
        <is>
          <t>私立</t>
        </is>
      </c>
      <c r="C815" s="23" t="n"/>
      <c r="D815" s="23" t="inlineStr">
        <is>
          <t>名古屋高等学校</t>
        </is>
      </c>
      <c r="E815" s="24" t="inlineStr">
        <is>
          <t>052-721-5271</t>
        </is>
      </c>
      <c r="F815" s="23" t="n"/>
      <c r="G815" s="25" t="inlineStr">
        <is>
          <t>普通科</t>
        </is>
      </c>
      <c r="H815" s="26" t="inlineStr">
        <is>
          <t>☐</t>
        </is>
      </c>
      <c r="I815" s="26" t="inlineStr">
        <is>
          <t>☐</t>
        </is>
      </c>
      <c r="J815" s="26" t="inlineStr">
        <is>
          <t>☐</t>
        </is>
      </c>
      <c r="K815" s="26" t="inlineStr">
        <is>
          <t>☐</t>
        </is>
      </c>
      <c r="L815" s="26" t="inlineStr">
        <is>
          <t>☐</t>
        </is>
      </c>
      <c r="M815" s="25" t="n"/>
      <c r="N815" s="27" t="n">
        <v>0</v>
      </c>
      <c r="O815" s="28" t="n"/>
      <c r="P815" s="23" t="n"/>
      <c r="Q815" s="29" t="n"/>
      <c r="R815" s="29" t="n"/>
      <c r="S815" s="23" t="n"/>
      <c r="T815" s="30" t="n"/>
      <c r="U815" s="31" t="inlineStr">
        <is>
          <t>高</t>
        </is>
      </c>
      <c r="V815" s="32" t="inlineStr">
        <is>
          <t>公式サイトで確認。052-722-2835は同窓会の番号</t>
        </is>
      </c>
      <c r="W815" s="33" t="inlineStr">
        <is>
          <t>開く</t>
        </is>
      </c>
    </row>
    <row r="816" ht="30" customHeight="1">
      <c r="A816" s="23" t="inlineStr">
        <is>
          <t>23愛知県</t>
        </is>
      </c>
      <c r="B816" s="23" t="inlineStr">
        <is>
          <t>私立</t>
        </is>
      </c>
      <c r="C816" s="23" t="n"/>
      <c r="D816" s="23" t="inlineStr">
        <is>
          <t>名古屋国際高等学校</t>
        </is>
      </c>
      <c r="E816" s="24" t="inlineStr">
        <is>
          <t>052-858-2200</t>
        </is>
      </c>
      <c r="F816" s="23" t="n"/>
      <c r="G816" s="25" t="inlineStr">
        <is>
          <t>普通科・専門学科</t>
        </is>
      </c>
      <c r="H816" s="26" t="inlineStr">
        <is>
          <t>☐</t>
        </is>
      </c>
      <c r="I816" s="26" t="inlineStr">
        <is>
          <t>☐</t>
        </is>
      </c>
      <c r="J816" s="26" t="inlineStr">
        <is>
          <t>☐</t>
        </is>
      </c>
      <c r="K816" s="26" t="inlineStr">
        <is>
          <t>☐</t>
        </is>
      </c>
      <c r="L816" s="26" t="inlineStr">
        <is>
          <t>☐</t>
        </is>
      </c>
      <c r="M816" s="25" t="n"/>
      <c r="N816" s="27" t="n">
        <v>0</v>
      </c>
      <c r="O816" s="28" t="n"/>
      <c r="P816" s="23" t="n"/>
      <c r="Q816" s="29" t="n"/>
      <c r="R816" s="29" t="n"/>
      <c r="S816" s="23" t="n"/>
      <c r="T816" s="30" t="n"/>
      <c r="U816" s="34" t="inlineStr">
        <is>
          <t>中</t>
        </is>
      </c>
      <c r="V816" s="32" t="inlineStr">
        <is>
          <t>中高代表として掲載。高校の番号として052-853-5151を載せるサイトもあり食い違い</t>
        </is>
      </c>
      <c r="W816" s="33" t="inlineStr">
        <is>
          <t>開く</t>
        </is>
      </c>
    </row>
    <row r="817" ht="30" customHeight="1">
      <c r="A817" s="23" t="inlineStr">
        <is>
          <t>23愛知県</t>
        </is>
      </c>
      <c r="B817" s="23" t="inlineStr">
        <is>
          <t>私立</t>
        </is>
      </c>
      <c r="C817" s="23" t="n"/>
      <c r="D817" s="23" t="inlineStr">
        <is>
          <t>名古屋たちばな高等学校</t>
        </is>
      </c>
      <c r="E817" s="24" t="inlineStr">
        <is>
          <t>052-322-1911</t>
        </is>
      </c>
      <c r="F817" s="23" t="n"/>
      <c r="G817" s="25" t="inlineStr">
        <is>
          <t>専門学科</t>
        </is>
      </c>
      <c r="H817" s="26" t="inlineStr">
        <is>
          <t>☐</t>
        </is>
      </c>
      <c r="I817" s="26" t="inlineStr">
        <is>
          <t>☐</t>
        </is>
      </c>
      <c r="J817" s="26" t="inlineStr">
        <is>
          <t>☐</t>
        </is>
      </c>
      <c r="K817" s="26" t="inlineStr">
        <is>
          <t>☐</t>
        </is>
      </c>
      <c r="L817" s="26" t="inlineStr">
        <is>
          <t>☐</t>
        </is>
      </c>
      <c r="M817" s="25" t="n"/>
      <c r="N817" s="27" t="n">
        <v>0</v>
      </c>
      <c r="O817" s="28" t="n"/>
      <c r="P817" s="23" t="n"/>
      <c r="Q817" s="29" t="n"/>
      <c r="R817" s="29" t="n"/>
      <c r="S817" s="23" t="n"/>
      <c r="T817" s="30" t="n"/>
      <c r="U817" s="31" t="inlineStr">
        <is>
          <t>高</t>
        </is>
      </c>
      <c r="V817" s="32" t="inlineStr">
        <is>
          <t>公式サイトで確認</t>
        </is>
      </c>
      <c r="W817" s="33" t="inlineStr">
        <is>
          <t>開く</t>
        </is>
      </c>
    </row>
    <row r="818" ht="30" customHeight="1">
      <c r="A818" s="23" t="inlineStr">
        <is>
          <t>23愛知県</t>
        </is>
      </c>
      <c r="B818" s="23" t="inlineStr">
        <is>
          <t>私立</t>
        </is>
      </c>
      <c r="C818" s="23" t="n"/>
      <c r="D818" s="23" t="inlineStr">
        <is>
          <t>南山高等学校 女子部</t>
        </is>
      </c>
      <c r="E818" s="24" t="inlineStr">
        <is>
          <t>052-831-0704</t>
        </is>
      </c>
      <c r="F818" s="23" t="n"/>
      <c r="G818" s="25" t="inlineStr">
        <is>
          <t>普通科</t>
        </is>
      </c>
      <c r="H818" s="26" t="inlineStr">
        <is>
          <t>☐</t>
        </is>
      </c>
      <c r="I818" s="26" t="inlineStr">
        <is>
          <t>☐</t>
        </is>
      </c>
      <c r="J818" s="26" t="inlineStr">
        <is>
          <t>☐</t>
        </is>
      </c>
      <c r="K818" s="26" t="inlineStr">
        <is>
          <t>☐</t>
        </is>
      </c>
      <c r="L818" s="26" t="inlineStr">
        <is>
          <t>☐</t>
        </is>
      </c>
      <c r="M818" s="25" t="n"/>
      <c r="N818" s="27" t="n">
        <v>0</v>
      </c>
      <c r="O818" s="28" t="n"/>
      <c r="P818" s="23" t="n"/>
      <c r="Q818" s="29" t="n"/>
      <c r="R818" s="29" t="n"/>
      <c r="S818" s="23" t="n"/>
      <c r="T818" s="30" t="n"/>
      <c r="U818" s="31" t="inlineStr">
        <is>
          <t>高</t>
        </is>
      </c>
      <c r="V818" s="32" t="inlineStr">
        <is>
          <t>公式サイトで確認。中高共通。男子部とは別番号</t>
        </is>
      </c>
      <c r="W818" s="33" t="inlineStr">
        <is>
          <t>開く</t>
        </is>
      </c>
    </row>
    <row r="819" ht="30" customHeight="1">
      <c r="A819" s="23" t="inlineStr">
        <is>
          <t>23愛知県</t>
        </is>
      </c>
      <c r="B819" s="23" t="inlineStr">
        <is>
          <t>私立</t>
        </is>
      </c>
      <c r="C819" s="23" t="n"/>
      <c r="D819" s="23" t="inlineStr">
        <is>
          <t>南山高等学校 男子部</t>
        </is>
      </c>
      <c r="E819" s="24" t="inlineStr">
        <is>
          <t>052-831-6455</t>
        </is>
      </c>
      <c r="F819" s="23" t="n"/>
      <c r="G819" s="25" t="inlineStr">
        <is>
          <t>普通科</t>
        </is>
      </c>
      <c r="H819" s="26" t="inlineStr">
        <is>
          <t>☐</t>
        </is>
      </c>
      <c r="I819" s="26" t="inlineStr">
        <is>
          <t>☐</t>
        </is>
      </c>
      <c r="J819" s="26" t="inlineStr">
        <is>
          <t>☐</t>
        </is>
      </c>
      <c r="K819" s="26" t="inlineStr">
        <is>
          <t>☐</t>
        </is>
      </c>
      <c r="L819" s="26" t="inlineStr">
        <is>
          <t>☐</t>
        </is>
      </c>
      <c r="M819" s="25" t="n"/>
      <c r="N819" s="27" t="n">
        <v>0</v>
      </c>
      <c r="O819" s="28" t="n"/>
      <c r="P819" s="23" t="n"/>
      <c r="Q819" s="29" t="n"/>
      <c r="R819" s="29" t="n"/>
      <c r="S819" s="23" t="n"/>
      <c r="T819" s="30" t="n"/>
      <c r="U819" s="31" t="inlineStr">
        <is>
          <t>高</t>
        </is>
      </c>
      <c r="V819" s="32" t="inlineStr">
        <is>
          <t>公式サイトで確認。女子部とは別番号</t>
        </is>
      </c>
      <c r="W819" s="33" t="inlineStr">
        <is>
          <t>開く</t>
        </is>
      </c>
    </row>
    <row r="820" ht="30" customHeight="1">
      <c r="A820" s="23" t="inlineStr">
        <is>
          <t>23愛知県</t>
        </is>
      </c>
      <c r="B820" s="23" t="inlineStr">
        <is>
          <t>私立</t>
        </is>
      </c>
      <c r="C820" s="23" t="n"/>
      <c r="D820" s="23" t="inlineStr">
        <is>
          <t>日本福祉大学付属高等学校</t>
        </is>
      </c>
      <c r="E820" s="24" t="inlineStr">
        <is>
          <t>0569-87-2311</t>
        </is>
      </c>
      <c r="F820" s="23" t="n"/>
      <c r="G820" s="25" t="inlineStr">
        <is>
          <t>普通科</t>
        </is>
      </c>
      <c r="H820" s="26" t="inlineStr">
        <is>
          <t>☐</t>
        </is>
      </c>
      <c r="I820" s="26" t="inlineStr">
        <is>
          <t>☐</t>
        </is>
      </c>
      <c r="J820" s="26" t="inlineStr">
        <is>
          <t>☐</t>
        </is>
      </c>
      <c r="K820" s="26" t="inlineStr">
        <is>
          <t>☐</t>
        </is>
      </c>
      <c r="L820" s="26" t="inlineStr">
        <is>
          <t>☐</t>
        </is>
      </c>
      <c r="M820" s="25" t="n"/>
      <c r="N820" s="27" t="n">
        <v>0</v>
      </c>
      <c r="O820" s="28" t="n"/>
      <c r="P820" s="23" t="n"/>
      <c r="Q820" s="29" t="n"/>
      <c r="R820" s="29" t="n"/>
      <c r="S820" s="23" t="n"/>
      <c r="T820" s="30" t="n"/>
      <c r="U820" s="31" t="inlineStr">
        <is>
          <t>高</t>
        </is>
      </c>
      <c r="V820" s="32" t="inlineStr">
        <is>
          <t>公式サイトで確認。大学の代表（0569-87-2211）とは別</t>
        </is>
      </c>
      <c r="W820" s="33" t="inlineStr">
        <is>
          <t>開く</t>
        </is>
      </c>
    </row>
    <row r="821" ht="30" customHeight="1">
      <c r="A821" s="23" t="inlineStr">
        <is>
          <t>23愛知県</t>
        </is>
      </c>
      <c r="B821" s="23" t="inlineStr">
        <is>
          <t>私立</t>
        </is>
      </c>
      <c r="C821" s="23" t="n"/>
      <c r="D821" s="23" t="inlineStr">
        <is>
          <t>人間環境大学附属岡崎高等学校</t>
        </is>
      </c>
      <c r="E821" s="24" t="inlineStr">
        <is>
          <t>0564-22-0274</t>
        </is>
      </c>
      <c r="F821" s="23" t="n"/>
      <c r="G821" s="25" t="inlineStr">
        <is>
          <t>普通科</t>
        </is>
      </c>
      <c r="H821" s="26" t="inlineStr">
        <is>
          <t>☐</t>
        </is>
      </c>
      <c r="I821" s="26" t="inlineStr">
        <is>
          <t>☐</t>
        </is>
      </c>
      <c r="J821" s="26" t="inlineStr">
        <is>
          <t>☐</t>
        </is>
      </c>
      <c r="K821" s="26" t="inlineStr">
        <is>
          <t>☐</t>
        </is>
      </c>
      <c r="L821" s="26" t="inlineStr">
        <is>
          <t>☐</t>
        </is>
      </c>
      <c r="M821" s="25" t="n"/>
      <c r="N821" s="27" t="n">
        <v>0</v>
      </c>
      <c r="O821" s="28" t="n"/>
      <c r="P821" s="23" t="n"/>
      <c r="Q821" s="29" t="n"/>
      <c r="R821" s="29" t="n"/>
      <c r="S821" s="23" t="n"/>
      <c r="T821" s="30" t="n"/>
      <c r="U821" s="31" t="inlineStr">
        <is>
          <t>高</t>
        </is>
      </c>
      <c r="V821" s="32" t="inlineStr">
        <is>
          <t>公式サイトで確認。2022年に旧校名から改称</t>
        </is>
      </c>
      <c r="W821" s="33" t="inlineStr">
        <is>
          <t>開く</t>
        </is>
      </c>
    </row>
    <row r="822" ht="30" customHeight="1">
      <c r="A822" s="23" t="inlineStr">
        <is>
          <t>23愛知県</t>
        </is>
      </c>
      <c r="B822" s="23" t="inlineStr">
        <is>
          <t>私立</t>
        </is>
      </c>
      <c r="C822" s="23" t="n"/>
      <c r="D822" s="23" t="inlineStr">
        <is>
          <t>光ヶ丘女子高等学校</t>
        </is>
      </c>
      <c r="E822" s="24" t="inlineStr">
        <is>
          <t>0564-51-5651</t>
        </is>
      </c>
      <c r="F822" s="23" t="n"/>
      <c r="G822" s="25" t="inlineStr">
        <is>
          <t>普通科・専門学科</t>
        </is>
      </c>
      <c r="H822" s="26" t="inlineStr">
        <is>
          <t>☐</t>
        </is>
      </c>
      <c r="I822" s="26" t="inlineStr">
        <is>
          <t>☐</t>
        </is>
      </c>
      <c r="J822" s="26" t="inlineStr">
        <is>
          <t>☐</t>
        </is>
      </c>
      <c r="K822" s="26" t="inlineStr">
        <is>
          <t>☐</t>
        </is>
      </c>
      <c r="L822" s="26" t="inlineStr">
        <is>
          <t>☐</t>
        </is>
      </c>
      <c r="M822" s="25" t="n"/>
      <c r="N822" s="27" t="n">
        <v>0</v>
      </c>
      <c r="O822" s="28" t="n"/>
      <c r="P822" s="23" t="n"/>
      <c r="Q822" s="29" t="n"/>
      <c r="R822" s="29" t="n"/>
      <c r="S822" s="23" t="n"/>
      <c r="T822" s="30" t="n"/>
      <c r="U822" s="31" t="inlineStr">
        <is>
          <t>高</t>
        </is>
      </c>
      <c r="V822" s="32" t="inlineStr">
        <is>
          <t>公式サイトで確認</t>
        </is>
      </c>
      <c r="W822" s="33" t="inlineStr">
        <is>
          <t>開く</t>
        </is>
      </c>
    </row>
    <row r="823" ht="30" customHeight="1">
      <c r="A823" s="23" t="inlineStr">
        <is>
          <t>23愛知県</t>
        </is>
      </c>
      <c r="B823" s="23" t="inlineStr">
        <is>
          <t>私立</t>
        </is>
      </c>
      <c r="C823" s="23" t="n"/>
      <c r="D823" s="23" t="inlineStr">
        <is>
          <t>藤ノ花女子高等学校</t>
        </is>
      </c>
      <c r="E823" s="24" t="inlineStr">
        <is>
          <t>0532-61-5468</t>
        </is>
      </c>
      <c r="F823" s="23" t="n"/>
      <c r="G823" s="25" t="inlineStr">
        <is>
          <t>普通科・専門学科</t>
        </is>
      </c>
      <c r="H823" s="26" t="inlineStr">
        <is>
          <t>☐</t>
        </is>
      </c>
      <c r="I823" s="26" t="inlineStr">
        <is>
          <t>☐</t>
        </is>
      </c>
      <c r="J823" s="26" t="inlineStr">
        <is>
          <t>☐</t>
        </is>
      </c>
      <c r="K823" s="26" t="inlineStr">
        <is>
          <t>☐</t>
        </is>
      </c>
      <c r="L823" s="26" t="inlineStr">
        <is>
          <t>☐</t>
        </is>
      </c>
      <c r="M823" s="25" t="n"/>
      <c r="N823" s="27" t="n">
        <v>0</v>
      </c>
      <c r="O823" s="28" t="n"/>
      <c r="P823" s="23" t="n"/>
      <c r="Q823" s="29" t="n"/>
      <c r="R823" s="29" t="n"/>
      <c r="S823" s="23" t="n"/>
      <c r="T823" s="30" t="n"/>
      <c r="U823" s="31" t="inlineStr">
        <is>
          <t>高</t>
        </is>
      </c>
      <c r="V823" s="32" t="inlineStr">
        <is>
          <t>公式サイトで確認</t>
        </is>
      </c>
      <c r="W823" s="33" t="inlineStr">
        <is>
          <t>開く</t>
        </is>
      </c>
    </row>
    <row r="824" ht="30" customHeight="1">
      <c r="A824" s="23" t="inlineStr">
        <is>
          <t>23愛知県</t>
        </is>
      </c>
      <c r="B824" s="23" t="inlineStr">
        <is>
          <t>私立</t>
        </is>
      </c>
      <c r="C824" s="23" t="n"/>
      <c r="D824" s="23" t="inlineStr">
        <is>
          <t>誉高等学校</t>
        </is>
      </c>
      <c r="E824" s="24" t="inlineStr">
        <is>
          <t>0568-79-7700</t>
        </is>
      </c>
      <c r="F824" s="23" t="n"/>
      <c r="G824" s="25" t="inlineStr">
        <is>
          <t>普通科</t>
        </is>
      </c>
      <c r="H824" s="26" t="inlineStr">
        <is>
          <t>☐</t>
        </is>
      </c>
      <c r="I824" s="26" t="inlineStr">
        <is>
          <t>☐</t>
        </is>
      </c>
      <c r="J824" s="26" t="inlineStr">
        <is>
          <t>☐</t>
        </is>
      </c>
      <c r="K824" s="26" t="inlineStr">
        <is>
          <t>☐</t>
        </is>
      </c>
      <c r="L824" s="26" t="inlineStr">
        <is>
          <t>☐</t>
        </is>
      </c>
      <c r="M824" s="25" t="n"/>
      <c r="N824" s="27" t="n">
        <v>0</v>
      </c>
      <c r="O824" s="28" t="n"/>
      <c r="P824" s="23" t="n"/>
      <c r="Q824" s="29" t="n"/>
      <c r="R824" s="29" t="n"/>
      <c r="S824" s="23" t="n"/>
      <c r="T824" s="30" t="n"/>
      <c r="U824" s="31" t="inlineStr">
        <is>
          <t>高</t>
        </is>
      </c>
      <c r="V824" s="32" t="inlineStr">
        <is>
          <t>小牧市のサイトほかで一致、公式未確認</t>
        </is>
      </c>
      <c r="W824" s="33" t="inlineStr">
        <is>
          <t>開く</t>
        </is>
      </c>
    </row>
    <row r="825" ht="30" customHeight="1">
      <c r="A825" s="23" t="inlineStr">
        <is>
          <t>23愛知県</t>
        </is>
      </c>
      <c r="B825" s="23" t="inlineStr">
        <is>
          <t>私立</t>
        </is>
      </c>
      <c r="C825" s="23" t="n"/>
      <c r="D825" s="23" t="inlineStr">
        <is>
          <t>名城大学附属高等学校</t>
        </is>
      </c>
      <c r="E825" s="24" t="inlineStr">
        <is>
          <t>052-481-7436</t>
        </is>
      </c>
      <c r="F825" s="23" t="n"/>
      <c r="G825" s="25" t="inlineStr">
        <is>
          <t>普通科・総合学科</t>
        </is>
      </c>
      <c r="H825" s="26" t="inlineStr">
        <is>
          <t>☐</t>
        </is>
      </c>
      <c r="I825" s="26" t="inlineStr">
        <is>
          <t>☐</t>
        </is>
      </c>
      <c r="J825" s="26" t="inlineStr">
        <is>
          <t>☐</t>
        </is>
      </c>
      <c r="K825" s="26" t="inlineStr">
        <is>
          <t>☐</t>
        </is>
      </c>
      <c r="L825" s="26" t="inlineStr">
        <is>
          <t>☐</t>
        </is>
      </c>
      <c r="M825" s="25" t="n"/>
      <c r="N825" s="27" t="n">
        <v>0</v>
      </c>
      <c r="O825" s="28" t="n"/>
      <c r="P825" s="23" t="n"/>
      <c r="Q825" s="29" t="n"/>
      <c r="R825" s="29" t="n"/>
      <c r="S825" s="23" t="n"/>
      <c r="T825" s="30" t="n"/>
      <c r="U825" s="31" t="inlineStr">
        <is>
          <t>高</t>
        </is>
      </c>
      <c r="V825" s="32" t="inlineStr">
        <is>
          <t>公式サイトで確認</t>
        </is>
      </c>
      <c r="W825" s="33" t="inlineStr">
        <is>
          <t>開く</t>
        </is>
      </c>
    </row>
    <row r="826" ht="30" customHeight="1">
      <c r="A826" s="23" t="inlineStr">
        <is>
          <t>24三重県</t>
        </is>
      </c>
      <c r="B826" s="23" t="inlineStr">
        <is>
          <t>私立</t>
        </is>
      </c>
      <c r="C826" s="23" t="n"/>
      <c r="D826" s="23" t="inlineStr">
        <is>
          <t>愛農学園農業高等学校</t>
        </is>
      </c>
      <c r="E826" s="24" t="inlineStr">
        <is>
          <t>0595-52-0327</t>
        </is>
      </c>
      <c r="F826" s="23" t="n"/>
      <c r="G826" s="25" t="inlineStr">
        <is>
          <t>専門学科</t>
        </is>
      </c>
      <c r="H826" s="26" t="inlineStr">
        <is>
          <t>☐</t>
        </is>
      </c>
      <c r="I826" s="26" t="inlineStr">
        <is>
          <t>☐</t>
        </is>
      </c>
      <c r="J826" s="26" t="inlineStr">
        <is>
          <t>☐</t>
        </is>
      </c>
      <c r="K826" s="26" t="inlineStr">
        <is>
          <t>☐</t>
        </is>
      </c>
      <c r="L826" s="26" t="inlineStr">
        <is>
          <t>☐</t>
        </is>
      </c>
      <c r="M826" s="25" t="n"/>
      <c r="N826" s="27" t="n">
        <v>0</v>
      </c>
      <c r="O826" s="28" t="n"/>
      <c r="P826" s="23" t="n"/>
      <c r="Q826" s="29" t="n"/>
      <c r="R826" s="29" t="n"/>
      <c r="S826" s="23" t="n"/>
      <c r="T826" s="30" t="n"/>
      <c r="U826" s="31" t="inlineStr">
        <is>
          <t>高</t>
        </is>
      </c>
      <c r="V826" s="32" t="inlineStr">
        <is>
          <t>公式サイトほかで一致</t>
        </is>
      </c>
      <c r="W826" s="33" t="inlineStr">
        <is>
          <t>開く</t>
        </is>
      </c>
    </row>
    <row r="827" ht="30" customHeight="1">
      <c r="A827" s="23" t="inlineStr">
        <is>
          <t>24三重県</t>
        </is>
      </c>
      <c r="B827" s="23" t="inlineStr">
        <is>
          <t>私立</t>
        </is>
      </c>
      <c r="C827" s="23" t="n"/>
      <c r="D827" s="23" t="inlineStr">
        <is>
          <t>青山高等学校（三重県）</t>
        </is>
      </c>
      <c r="E827" s="24" t="inlineStr">
        <is>
          <t>059-262-4321</t>
        </is>
      </c>
      <c r="F827" s="23" t="n"/>
      <c r="G827" s="25" t="inlineStr">
        <is>
          <t>普通科</t>
        </is>
      </c>
      <c r="H827" s="26" t="inlineStr">
        <is>
          <t>☐</t>
        </is>
      </c>
      <c r="I827" s="26" t="inlineStr">
        <is>
          <t>☐</t>
        </is>
      </c>
      <c r="J827" s="26" t="inlineStr">
        <is>
          <t>☐</t>
        </is>
      </c>
      <c r="K827" s="26" t="inlineStr">
        <is>
          <t>☐</t>
        </is>
      </c>
      <c r="L827" s="26" t="inlineStr">
        <is>
          <t>☐</t>
        </is>
      </c>
      <c r="M827" s="25" t="n"/>
      <c r="N827" s="27" t="n">
        <v>0</v>
      </c>
      <c r="O827" s="28" t="n"/>
      <c r="P827" s="23" t="n"/>
      <c r="Q827" s="29" t="n"/>
      <c r="R827" s="29" t="n"/>
      <c r="S827" s="23" t="n"/>
      <c r="T827" s="30" t="n"/>
      <c r="U827" s="31" t="inlineStr">
        <is>
          <t>高</t>
        </is>
      </c>
      <c r="V827" s="32" t="inlineStr">
        <is>
          <t>公式サイトに「代表」と記載</t>
        </is>
      </c>
      <c r="W827" s="33" t="inlineStr">
        <is>
          <t>開く</t>
        </is>
      </c>
    </row>
    <row r="828" ht="30" customHeight="1">
      <c r="A828" s="23" t="inlineStr">
        <is>
          <t>24三重県</t>
        </is>
      </c>
      <c r="B828" s="23" t="inlineStr">
        <is>
          <t>私立</t>
        </is>
      </c>
      <c r="C828" s="23" t="n"/>
      <c r="D828" s="23" t="inlineStr">
        <is>
          <t>暁高等学校</t>
        </is>
      </c>
      <c r="E828" s="24" t="inlineStr">
        <is>
          <t>059-337-2347</t>
        </is>
      </c>
      <c r="F828" s="23" t="n"/>
      <c r="G828" s="25" t="inlineStr">
        <is>
          <t>普通科</t>
        </is>
      </c>
      <c r="H828" s="26" t="inlineStr">
        <is>
          <t>☐</t>
        </is>
      </c>
      <c r="I828" s="26" t="inlineStr">
        <is>
          <t>☐</t>
        </is>
      </c>
      <c r="J828" s="26" t="inlineStr">
        <is>
          <t>☐</t>
        </is>
      </c>
      <c r="K828" s="26" t="inlineStr">
        <is>
          <t>☐</t>
        </is>
      </c>
      <c r="L828" s="26" t="inlineStr">
        <is>
          <t>☐</t>
        </is>
      </c>
      <c r="M828" s="25" t="n"/>
      <c r="N828" s="27" t="n">
        <v>0</v>
      </c>
      <c r="O828" s="28" t="n"/>
      <c r="P828" s="23" t="n"/>
      <c r="Q828" s="29" t="n"/>
      <c r="R828" s="29" t="n"/>
      <c r="S828" s="23" t="n"/>
      <c r="T828" s="30" t="n"/>
      <c r="U828" s="34" t="inlineStr">
        <is>
          <t>中</t>
        </is>
      </c>
      <c r="V828" s="32" t="inlineStr">
        <is>
          <t>公式サイトの3年制課程の番号（「代表」の表記なし）。中高一貫（6年制）は059-337-1213。059-337-2345を載せるサイトもあり</t>
        </is>
      </c>
      <c r="W828" s="33" t="inlineStr">
        <is>
          <t>開く</t>
        </is>
      </c>
    </row>
    <row r="829" ht="30" customHeight="1">
      <c r="A829" s="23" t="inlineStr">
        <is>
          <t>24三重県</t>
        </is>
      </c>
      <c r="B829" s="23" t="inlineStr">
        <is>
          <t>私立</t>
        </is>
      </c>
      <c r="C829" s="23" t="n"/>
      <c r="D829" s="23" t="inlineStr">
        <is>
          <t>伊勢学園高等学校</t>
        </is>
      </c>
      <c r="E829" s="24" t="inlineStr">
        <is>
          <t>0596-22-4155</t>
        </is>
      </c>
      <c r="F829" s="23" t="n"/>
      <c r="G829" s="25" t="inlineStr">
        <is>
          <t>普通科</t>
        </is>
      </c>
      <c r="H829" s="26" t="inlineStr">
        <is>
          <t>☐</t>
        </is>
      </c>
      <c r="I829" s="26" t="inlineStr">
        <is>
          <t>☐</t>
        </is>
      </c>
      <c r="J829" s="26" t="inlineStr">
        <is>
          <t>☐</t>
        </is>
      </c>
      <c r="K829" s="26" t="inlineStr">
        <is>
          <t>☐</t>
        </is>
      </c>
      <c r="L829" s="26" t="inlineStr">
        <is>
          <t>☐</t>
        </is>
      </c>
      <c r="M829" s="25" t="n"/>
      <c r="N829" s="27" t="n">
        <v>0</v>
      </c>
      <c r="O829" s="28" t="n"/>
      <c r="P829" s="23" t="n"/>
      <c r="Q829" s="29" t="n"/>
      <c r="R829" s="29" t="n"/>
      <c r="S829" s="23" t="n"/>
      <c r="T829" s="30" t="n"/>
      <c r="U829" s="31" t="inlineStr">
        <is>
          <t>高</t>
        </is>
      </c>
      <c r="V829" s="32" t="inlineStr">
        <is>
          <t>公式サイトで確認。0596-22-4836は法人事務局の番号</t>
        </is>
      </c>
      <c r="W829" s="33" t="inlineStr">
        <is>
          <t>開く</t>
        </is>
      </c>
    </row>
    <row r="830" ht="30" customHeight="1">
      <c r="A830" s="23" t="inlineStr">
        <is>
          <t>24三重県</t>
        </is>
      </c>
      <c r="B830" s="23" t="inlineStr">
        <is>
          <t>私立</t>
        </is>
      </c>
      <c r="C830" s="23" t="n"/>
      <c r="D830" s="23" t="inlineStr">
        <is>
          <t>英心高等学校</t>
        </is>
      </c>
      <c r="E830" s="24" t="inlineStr">
        <is>
          <t>0596-28-2077</t>
        </is>
      </c>
      <c r="F830" s="23" t="n"/>
      <c r="G830" s="25" t="inlineStr">
        <is>
          <t>普通科</t>
        </is>
      </c>
      <c r="H830" s="26" t="inlineStr">
        <is>
          <t>☐</t>
        </is>
      </c>
      <c r="I830" s="26" t="inlineStr">
        <is>
          <t>☐</t>
        </is>
      </c>
      <c r="J830" s="26" t="inlineStr">
        <is>
          <t>☐</t>
        </is>
      </c>
      <c r="K830" s="26" t="inlineStr">
        <is>
          <t>☐</t>
        </is>
      </c>
      <c r="L830" s="26" t="inlineStr">
        <is>
          <t>☐</t>
        </is>
      </c>
      <c r="M830" s="25" t="n"/>
      <c r="N830" s="27" t="n">
        <v>0</v>
      </c>
      <c r="O830" s="28" t="n"/>
      <c r="P830" s="23" t="n"/>
      <c r="Q830" s="29" t="n"/>
      <c r="R830" s="29" t="n"/>
      <c r="S830" s="23" t="n"/>
      <c r="T830" s="30" t="n"/>
      <c r="U830" s="31" t="inlineStr">
        <is>
          <t>高</t>
        </is>
      </c>
      <c r="V830" s="32" t="inlineStr">
        <is>
          <t>通信制。伊勢本校の番号（公式サイト）。桔梗が丘校は0595-41-1267</t>
        </is>
      </c>
      <c r="W830" s="33" t="inlineStr">
        <is>
          <t>開く</t>
        </is>
      </c>
    </row>
    <row r="831" ht="30" customHeight="1">
      <c r="A831" s="23" t="inlineStr">
        <is>
          <t>24三重県</t>
        </is>
      </c>
      <c r="B831" s="23" t="inlineStr">
        <is>
          <t>私立</t>
        </is>
      </c>
      <c r="C831" s="23" t="n"/>
      <c r="D831" s="23" t="inlineStr">
        <is>
          <t>大橋学園高等学校</t>
        </is>
      </c>
      <c r="E831" s="24" t="inlineStr">
        <is>
          <t>059-348-4800</t>
        </is>
      </c>
      <c r="F831" s="23" t="n"/>
      <c r="G831" s="25" t="inlineStr">
        <is>
          <t>普通科</t>
        </is>
      </c>
      <c r="H831" s="26" t="inlineStr">
        <is>
          <t>☐</t>
        </is>
      </c>
      <c r="I831" s="26" t="inlineStr">
        <is>
          <t>☐</t>
        </is>
      </c>
      <c r="J831" s="26" t="inlineStr">
        <is>
          <t>☐</t>
        </is>
      </c>
      <c r="K831" s="26" t="inlineStr">
        <is>
          <t>☐</t>
        </is>
      </c>
      <c r="L831" s="26" t="inlineStr">
        <is>
          <t>☐</t>
        </is>
      </c>
      <c r="M831" s="25" t="n"/>
      <c r="N831" s="27" t="n">
        <v>0</v>
      </c>
      <c r="O831" s="28" t="n"/>
      <c r="P831" s="23" t="n"/>
      <c r="Q831" s="29" t="n"/>
      <c r="R831" s="29" t="n"/>
      <c r="S831" s="23" t="n"/>
      <c r="T831" s="30" t="n"/>
      <c r="U831" s="31" t="inlineStr">
        <is>
          <t>高</t>
        </is>
      </c>
      <c r="V831" s="32" t="inlineStr">
        <is>
          <t>通信制。公式サイトで確認。旧所在地の番号059-354-1357は使わない</t>
        </is>
      </c>
      <c r="W831" s="33" t="inlineStr">
        <is>
          <t>開く</t>
        </is>
      </c>
    </row>
    <row r="832" ht="30" customHeight="1">
      <c r="A832" s="23" t="inlineStr">
        <is>
          <t>24三重県</t>
        </is>
      </c>
      <c r="B832" s="23" t="inlineStr">
        <is>
          <t>私立</t>
        </is>
      </c>
      <c r="C832" s="23" t="n"/>
      <c r="D832" s="23" t="inlineStr">
        <is>
          <t>海星高等学校（三重県）</t>
        </is>
      </c>
      <c r="E832" s="24" t="inlineStr">
        <is>
          <t>059-345-0036</t>
        </is>
      </c>
      <c r="F832" s="23" t="n"/>
      <c r="G832" s="25" t="inlineStr">
        <is>
          <t>普通科</t>
        </is>
      </c>
      <c r="H832" s="26" t="inlineStr">
        <is>
          <t>☐</t>
        </is>
      </c>
      <c r="I832" s="26" t="inlineStr">
        <is>
          <t>☐</t>
        </is>
      </c>
      <c r="J832" s="26" t="inlineStr">
        <is>
          <t>☐</t>
        </is>
      </c>
      <c r="K832" s="26" t="inlineStr">
        <is>
          <t>☐</t>
        </is>
      </c>
      <c r="L832" s="26" t="inlineStr">
        <is>
          <t>☐</t>
        </is>
      </c>
      <c r="M832" s="25" t="n"/>
      <c r="N832" s="27" t="n">
        <v>0</v>
      </c>
      <c r="O832" s="28" t="n"/>
      <c r="P832" s="23" t="n"/>
      <c r="Q832" s="29" t="n"/>
      <c r="R832" s="29" t="n"/>
      <c r="S832" s="23" t="n"/>
      <c r="T832" s="30" t="n"/>
      <c r="U832" s="31" t="inlineStr">
        <is>
          <t>高</t>
        </is>
      </c>
      <c r="V832" s="32" t="inlineStr">
        <is>
          <t>公式サイトで確認。中高共通</t>
        </is>
      </c>
      <c r="W832" s="33" t="inlineStr">
        <is>
          <t>開く</t>
        </is>
      </c>
    </row>
    <row r="833" ht="30" customHeight="1">
      <c r="A833" s="23" t="inlineStr">
        <is>
          <t>24三重県</t>
        </is>
      </c>
      <c r="B833" s="23" t="inlineStr">
        <is>
          <t>私立</t>
        </is>
      </c>
      <c r="C833" s="23" t="n"/>
      <c r="D833" s="23" t="inlineStr">
        <is>
          <t>神村学園高等部 伊賀分校</t>
        </is>
      </c>
      <c r="E833" s="24" t="inlineStr">
        <is>
          <t>0595-41-1234</t>
        </is>
      </c>
      <c r="F833" s="23" t="n"/>
      <c r="G833" s="25" t="inlineStr">
        <is>
          <t>普通科</t>
        </is>
      </c>
      <c r="H833" s="26" t="inlineStr">
        <is>
          <t>☐</t>
        </is>
      </c>
      <c r="I833" s="26" t="inlineStr">
        <is>
          <t>☐</t>
        </is>
      </c>
      <c r="J833" s="26" t="inlineStr">
        <is>
          <t>☐</t>
        </is>
      </c>
      <c r="K833" s="26" t="inlineStr">
        <is>
          <t>☐</t>
        </is>
      </c>
      <c r="L833" s="26" t="inlineStr">
        <is>
          <t>☐</t>
        </is>
      </c>
      <c r="M833" s="25" t="n"/>
      <c r="N833" s="27" t="n">
        <v>0</v>
      </c>
      <c r="O833" s="28" t="n"/>
      <c r="P833" s="23" t="n"/>
      <c r="Q833" s="29" t="n"/>
      <c r="R833" s="29" t="n"/>
      <c r="S833" s="23" t="n"/>
      <c r="T833" s="30" t="n"/>
      <c r="U833" s="31" t="inlineStr">
        <is>
          <t>高</t>
        </is>
      </c>
      <c r="V833" s="32" t="inlineStr">
        <is>
          <t>公式サイトで確認（伊賀分校）。0595-53-1190を載せるサイトは旧番号の可能性</t>
        </is>
      </c>
      <c r="W833" s="33" t="inlineStr">
        <is>
          <t>開く</t>
        </is>
      </c>
    </row>
    <row r="834" ht="30" customHeight="1">
      <c r="A834" s="23" t="inlineStr">
        <is>
          <t>24三重県</t>
        </is>
      </c>
      <c r="B834" s="23" t="inlineStr">
        <is>
          <t>私立</t>
        </is>
      </c>
      <c r="C834" s="23" t="n"/>
      <c r="D834" s="23" t="inlineStr">
        <is>
          <t>皇學館高等学校</t>
        </is>
      </c>
      <c r="E834" s="24" t="inlineStr">
        <is>
          <t>0596-22-0205</t>
        </is>
      </c>
      <c r="F834" s="23" t="n"/>
      <c r="G834" s="25" t="inlineStr">
        <is>
          <t>普通科</t>
        </is>
      </c>
      <c r="H834" s="26" t="inlineStr">
        <is>
          <t>☐</t>
        </is>
      </c>
      <c r="I834" s="26" t="inlineStr">
        <is>
          <t>☐</t>
        </is>
      </c>
      <c r="J834" s="26" t="inlineStr">
        <is>
          <t>☐</t>
        </is>
      </c>
      <c r="K834" s="26" t="inlineStr">
        <is>
          <t>☐</t>
        </is>
      </c>
      <c r="L834" s="26" t="inlineStr">
        <is>
          <t>☐</t>
        </is>
      </c>
      <c r="M834" s="25" t="n"/>
      <c r="N834" s="27" t="n">
        <v>0</v>
      </c>
      <c r="O834" s="28" t="n"/>
      <c r="P834" s="23" t="n"/>
      <c r="Q834" s="29" t="n"/>
      <c r="R834" s="29" t="n"/>
      <c r="S834" s="23" t="n"/>
      <c r="T834" s="30" t="n"/>
      <c r="U834" s="31" t="inlineStr">
        <is>
          <t>高</t>
        </is>
      </c>
      <c r="V834" s="32" t="inlineStr">
        <is>
          <t>公式サイトで確認</t>
        </is>
      </c>
      <c r="W834" s="33" t="inlineStr">
        <is>
          <t>開く</t>
        </is>
      </c>
    </row>
    <row r="835" ht="30" customHeight="1">
      <c r="A835" s="23" t="inlineStr">
        <is>
          <t>24三重県</t>
        </is>
      </c>
      <c r="B835" s="23" t="inlineStr">
        <is>
          <t>私立</t>
        </is>
      </c>
      <c r="C835" s="23" t="n"/>
      <c r="D835" s="23" t="inlineStr">
        <is>
          <t>桜丘高等学校（三重県）</t>
        </is>
      </c>
      <c r="E835" s="24" t="inlineStr">
        <is>
          <t>0595-38-1201</t>
        </is>
      </c>
      <c r="F835" s="23" t="n"/>
      <c r="G835" s="25" t="inlineStr">
        <is>
          <t>普通科</t>
        </is>
      </c>
      <c r="H835" s="26" t="inlineStr">
        <is>
          <t>☐</t>
        </is>
      </c>
      <c r="I835" s="26" t="inlineStr">
        <is>
          <t>☐</t>
        </is>
      </c>
      <c r="J835" s="26" t="inlineStr">
        <is>
          <t>☐</t>
        </is>
      </c>
      <c r="K835" s="26" t="inlineStr">
        <is>
          <t>☐</t>
        </is>
      </c>
      <c r="L835" s="26" t="inlineStr">
        <is>
          <t>☐</t>
        </is>
      </c>
      <c r="M835" s="25" t="n"/>
      <c r="N835" s="27" t="n">
        <v>0</v>
      </c>
      <c r="O835" s="28" t="n"/>
      <c r="P835" s="23" t="n"/>
      <c r="Q835" s="29" t="n"/>
      <c r="R835" s="29" t="n"/>
      <c r="S835" s="23" t="n"/>
      <c r="T835" s="30" t="n"/>
      <c r="U835" s="31" t="inlineStr">
        <is>
          <t>高</t>
        </is>
      </c>
      <c r="V835" s="32" t="inlineStr">
        <is>
          <t>公式サイトで確認。中高共通</t>
        </is>
      </c>
      <c r="W835" s="33" t="inlineStr">
        <is>
          <t>開く</t>
        </is>
      </c>
    </row>
    <row r="836" ht="30" customHeight="1">
      <c r="A836" s="23" t="inlineStr">
        <is>
          <t>24三重県</t>
        </is>
      </c>
      <c r="B836" s="23" t="inlineStr">
        <is>
          <t>私立</t>
        </is>
      </c>
      <c r="C836" s="23" t="n"/>
      <c r="D836" s="23" t="inlineStr">
        <is>
          <t>鈴鹿高等学校</t>
        </is>
      </c>
      <c r="E836" s="24" t="inlineStr">
        <is>
          <t>059-378-0307</t>
        </is>
      </c>
      <c r="F836" s="23" t="n"/>
      <c r="G836" s="25" t="inlineStr">
        <is>
          <t>普通科</t>
        </is>
      </c>
      <c r="H836" s="26" t="inlineStr">
        <is>
          <t>☐</t>
        </is>
      </c>
      <c r="I836" s="26" t="inlineStr">
        <is>
          <t>☐</t>
        </is>
      </c>
      <c r="J836" s="26" t="inlineStr">
        <is>
          <t>☐</t>
        </is>
      </c>
      <c r="K836" s="26" t="inlineStr">
        <is>
          <t>☐</t>
        </is>
      </c>
      <c r="L836" s="26" t="inlineStr">
        <is>
          <t>☐</t>
        </is>
      </c>
      <c r="M836" s="25" t="n"/>
      <c r="N836" s="27" t="n">
        <v>0</v>
      </c>
      <c r="O836" s="28" t="n"/>
      <c r="P836" s="23" t="n"/>
      <c r="Q836" s="29" t="n"/>
      <c r="R836" s="29" t="n"/>
      <c r="S836" s="23" t="n"/>
      <c r="T836" s="30" t="n"/>
      <c r="U836" s="31" t="inlineStr">
        <is>
          <t>高</t>
        </is>
      </c>
      <c r="V836" s="32" t="inlineStr">
        <is>
          <t>公式サイトで確認</t>
        </is>
      </c>
      <c r="W836" s="33" t="inlineStr">
        <is>
          <t>開く</t>
        </is>
      </c>
    </row>
    <row r="837" ht="30" customHeight="1">
      <c r="A837" s="23" t="inlineStr">
        <is>
          <t>24三重県</t>
        </is>
      </c>
      <c r="B837" s="23" t="inlineStr">
        <is>
          <t>私立</t>
        </is>
      </c>
      <c r="C837" s="23" t="n"/>
      <c r="D837" s="23" t="inlineStr">
        <is>
          <t>セントヨゼフ女子学園高等学校</t>
        </is>
      </c>
      <c r="E837" s="24" t="inlineStr">
        <is>
          <t>059-227-6465</t>
        </is>
      </c>
      <c r="F837" s="23" t="n"/>
      <c r="G837" s="25" t="inlineStr">
        <is>
          <t>普通科</t>
        </is>
      </c>
      <c r="H837" s="26" t="inlineStr">
        <is>
          <t>☐</t>
        </is>
      </c>
      <c r="I837" s="26" t="inlineStr">
        <is>
          <t>☐</t>
        </is>
      </c>
      <c r="J837" s="26" t="inlineStr">
        <is>
          <t>☐</t>
        </is>
      </c>
      <c r="K837" s="26" t="inlineStr">
        <is>
          <t>☐</t>
        </is>
      </c>
      <c r="L837" s="26" t="inlineStr">
        <is>
          <t>☐</t>
        </is>
      </c>
      <c r="M837" s="25" t="n"/>
      <c r="N837" s="27" t="n">
        <v>0</v>
      </c>
      <c r="O837" s="28" t="n"/>
      <c r="P837" s="23" t="n"/>
      <c r="Q837" s="29" t="n"/>
      <c r="R837" s="29" t="n"/>
      <c r="S837" s="23" t="n"/>
      <c r="T837" s="30" t="n"/>
      <c r="U837" s="31" t="inlineStr">
        <is>
          <t>高</t>
        </is>
      </c>
      <c r="V837" s="32" t="inlineStr">
        <is>
          <t>公式サイトで確認。中高共通</t>
        </is>
      </c>
      <c r="W837" s="33" t="inlineStr">
        <is>
          <t>開く</t>
        </is>
      </c>
    </row>
    <row r="838" ht="30" customHeight="1">
      <c r="A838" s="23" t="inlineStr">
        <is>
          <t>24三重県</t>
        </is>
      </c>
      <c r="B838" s="23" t="inlineStr">
        <is>
          <t>私立</t>
        </is>
      </c>
      <c r="C838" s="23" t="n"/>
      <c r="D838" s="23" t="inlineStr">
        <is>
          <t>高田高等学校</t>
        </is>
      </c>
      <c r="E838" s="24" t="inlineStr">
        <is>
          <t>059-232-2004</t>
        </is>
      </c>
      <c r="F838" s="23" t="n"/>
      <c r="G838" s="25" t="inlineStr">
        <is>
          <t>普通科</t>
        </is>
      </c>
      <c r="H838" s="26" t="inlineStr">
        <is>
          <t>☐</t>
        </is>
      </c>
      <c r="I838" s="26" t="inlineStr">
        <is>
          <t>☐</t>
        </is>
      </c>
      <c r="J838" s="26" t="inlineStr">
        <is>
          <t>☐</t>
        </is>
      </c>
      <c r="K838" s="26" t="inlineStr">
        <is>
          <t>☐</t>
        </is>
      </c>
      <c r="L838" s="26" t="inlineStr">
        <is>
          <t>☐</t>
        </is>
      </c>
      <c r="M838" s="25" t="n"/>
      <c r="N838" s="27" t="n">
        <v>0</v>
      </c>
      <c r="O838" s="28" t="n"/>
      <c r="P838" s="23" t="n"/>
      <c r="Q838" s="29" t="n"/>
      <c r="R838" s="29" t="n"/>
      <c r="S838" s="23" t="n"/>
      <c r="T838" s="30" t="n"/>
      <c r="U838" s="31" t="inlineStr">
        <is>
          <t>高</t>
        </is>
      </c>
      <c r="V838" s="32" t="inlineStr">
        <is>
          <t>公式サイトで確認。中高共通。学苑本部（059-231-0367）とは別</t>
        </is>
      </c>
      <c r="W838" s="33" t="inlineStr">
        <is>
          <t>開く</t>
        </is>
      </c>
    </row>
    <row r="839" ht="30" customHeight="1">
      <c r="A839" s="23" t="inlineStr">
        <is>
          <t>24三重県</t>
        </is>
      </c>
      <c r="B839" s="23" t="inlineStr">
        <is>
          <t>私立</t>
        </is>
      </c>
      <c r="C839" s="23" t="n"/>
      <c r="D839" s="23" t="inlineStr">
        <is>
          <t>津田学園高等学校</t>
        </is>
      </c>
      <c r="E839" s="24" t="inlineStr">
        <is>
          <t>0594-31-6311</t>
        </is>
      </c>
      <c r="F839" s="23" t="n"/>
      <c r="G839" s="25" t="inlineStr">
        <is>
          <t>普通科</t>
        </is>
      </c>
      <c r="H839" s="26" t="inlineStr">
        <is>
          <t>☐</t>
        </is>
      </c>
      <c r="I839" s="26" t="inlineStr">
        <is>
          <t>☐</t>
        </is>
      </c>
      <c r="J839" s="26" t="inlineStr">
        <is>
          <t>☐</t>
        </is>
      </c>
      <c r="K839" s="26" t="inlineStr">
        <is>
          <t>☐</t>
        </is>
      </c>
      <c r="L839" s="26" t="inlineStr">
        <is>
          <t>☐</t>
        </is>
      </c>
      <c r="M839" s="25" t="n"/>
      <c r="N839" s="27" t="n">
        <v>0</v>
      </c>
      <c r="O839" s="28" t="n"/>
      <c r="P839" s="23" t="n"/>
      <c r="Q839" s="29" t="n"/>
      <c r="R839" s="29" t="n"/>
      <c r="S839" s="23" t="n"/>
      <c r="T839" s="30" t="n"/>
      <c r="U839" s="31" t="inlineStr">
        <is>
          <t>高</t>
        </is>
      </c>
      <c r="V839" s="32" t="inlineStr">
        <is>
          <t>公式サイトで確認。中高共通</t>
        </is>
      </c>
      <c r="W839" s="33" t="inlineStr">
        <is>
          <t>開く</t>
        </is>
      </c>
    </row>
    <row r="840" ht="30" customHeight="1">
      <c r="A840" s="23" t="inlineStr">
        <is>
          <t>24三重県</t>
        </is>
      </c>
      <c r="B840" s="23" t="inlineStr">
        <is>
          <t>私立</t>
        </is>
      </c>
      <c r="C840" s="23" t="n"/>
      <c r="D840" s="23" t="inlineStr">
        <is>
          <t>徳風高等学校</t>
        </is>
      </c>
      <c r="E840" s="24" t="inlineStr">
        <is>
          <t>0595-82-3561</t>
        </is>
      </c>
      <c r="F840" s="23" t="n"/>
      <c r="G840" s="25" t="inlineStr">
        <is>
          <t>普通科</t>
        </is>
      </c>
      <c r="H840" s="26" t="inlineStr">
        <is>
          <t>☐</t>
        </is>
      </c>
      <c r="I840" s="26" t="inlineStr">
        <is>
          <t>☐</t>
        </is>
      </c>
      <c r="J840" s="26" t="inlineStr">
        <is>
          <t>☐</t>
        </is>
      </c>
      <c r="K840" s="26" t="inlineStr">
        <is>
          <t>☐</t>
        </is>
      </c>
      <c r="L840" s="26" t="inlineStr">
        <is>
          <t>☐</t>
        </is>
      </c>
      <c r="M840" s="25" t="n"/>
      <c r="N840" s="27" t="n">
        <v>0</v>
      </c>
      <c r="O840" s="28" t="n"/>
      <c r="P840" s="23" t="n"/>
      <c r="Q840" s="29" t="n"/>
      <c r="R840" s="29" t="n"/>
      <c r="S840" s="23" t="n"/>
      <c r="T840" s="30" t="n"/>
      <c r="U840" s="31" t="inlineStr">
        <is>
          <t>高</t>
        </is>
      </c>
      <c r="V840" s="32" t="inlineStr">
        <is>
          <t>通信制。公式サイトで確認（徳風技能専門学校と共通）</t>
        </is>
      </c>
      <c r="W840" s="33" t="inlineStr">
        <is>
          <t>開く</t>
        </is>
      </c>
    </row>
    <row r="841" ht="30" customHeight="1">
      <c r="A841" s="23" t="inlineStr">
        <is>
          <t>24三重県</t>
        </is>
      </c>
      <c r="B841" s="23" t="inlineStr">
        <is>
          <t>私立</t>
        </is>
      </c>
      <c r="C841" s="23" t="n"/>
      <c r="D841" s="23" t="inlineStr">
        <is>
          <t>三重高等学校</t>
        </is>
      </c>
      <c r="E841" s="24" t="inlineStr">
        <is>
          <t>0598-29-2959</t>
        </is>
      </c>
      <c r="F841" s="23" t="n"/>
      <c r="G841" s="25" t="inlineStr">
        <is>
          <t>普通科</t>
        </is>
      </c>
      <c r="H841" s="26" t="inlineStr">
        <is>
          <t>☐</t>
        </is>
      </c>
      <c r="I841" s="26" t="inlineStr">
        <is>
          <t>☐</t>
        </is>
      </c>
      <c r="J841" s="26" t="inlineStr">
        <is>
          <t>☐</t>
        </is>
      </c>
      <c r="K841" s="26" t="inlineStr">
        <is>
          <t>☐</t>
        </is>
      </c>
      <c r="L841" s="26" t="inlineStr">
        <is>
          <t>☐</t>
        </is>
      </c>
      <c r="M841" s="25" t="n"/>
      <c r="N841" s="27" t="n">
        <v>0</v>
      </c>
      <c r="O841" s="28" t="n"/>
      <c r="P841" s="23" t="n"/>
      <c r="Q841" s="29" t="n"/>
      <c r="R841" s="29" t="n"/>
      <c r="S841" s="23" t="n"/>
      <c r="T841" s="30" t="n"/>
      <c r="U841" s="31" t="inlineStr">
        <is>
          <t>高</t>
        </is>
      </c>
      <c r="V841" s="32" t="inlineStr">
        <is>
          <t>公式サイトと三重県のサイトで一致</t>
        </is>
      </c>
      <c r="W841" s="33" t="inlineStr">
        <is>
          <t>開く</t>
        </is>
      </c>
    </row>
    <row r="842" ht="30" customHeight="1">
      <c r="A842" s="23" t="inlineStr">
        <is>
          <t>24三重県</t>
        </is>
      </c>
      <c r="B842" s="23" t="inlineStr">
        <is>
          <t>私立</t>
        </is>
      </c>
      <c r="C842" s="23" t="n"/>
      <c r="D842" s="23" t="inlineStr">
        <is>
          <t>四日市メリノール学院高等学校</t>
        </is>
      </c>
      <c r="E842" s="24" t="inlineStr">
        <is>
          <t>059-326-0067</t>
        </is>
      </c>
      <c r="F842" s="23" t="n"/>
      <c r="G842" s="25" t="inlineStr">
        <is>
          <t>普通科</t>
        </is>
      </c>
      <c r="H842" s="26" t="inlineStr">
        <is>
          <t>☐</t>
        </is>
      </c>
      <c r="I842" s="26" t="inlineStr">
        <is>
          <t>☐</t>
        </is>
      </c>
      <c r="J842" s="26" t="inlineStr">
        <is>
          <t>☐</t>
        </is>
      </c>
      <c r="K842" s="26" t="inlineStr">
        <is>
          <t>☐</t>
        </is>
      </c>
      <c r="L842" s="26" t="inlineStr">
        <is>
          <t>☐</t>
        </is>
      </c>
      <c r="M842" s="25" t="n"/>
      <c r="N842" s="27" t="n">
        <v>0</v>
      </c>
      <c r="O842" s="28" t="n"/>
      <c r="P842" s="23" t="n"/>
      <c r="Q842" s="29" t="n"/>
      <c r="R842" s="29" t="n"/>
      <c r="S842" s="23" t="n"/>
      <c r="T842" s="30" t="n"/>
      <c r="U842" s="31" t="inlineStr">
        <is>
          <t>高</t>
        </is>
      </c>
      <c r="V842" s="32" t="inlineStr">
        <is>
          <t>公式サイトで確認（中高共通の事務室）</t>
        </is>
      </c>
      <c r="W842" s="33" t="inlineStr">
        <is>
          <t>開く</t>
        </is>
      </c>
    </row>
    <row r="843" ht="30" customHeight="1">
      <c r="A843" s="23" t="inlineStr">
        <is>
          <t>24三重県</t>
        </is>
      </c>
      <c r="B843" s="23" t="inlineStr">
        <is>
          <t>私立</t>
        </is>
      </c>
      <c r="C843" s="23" t="n"/>
      <c r="D843" s="23" t="inlineStr">
        <is>
          <t>代々木高等学校</t>
        </is>
      </c>
      <c r="E843" s="24" t="inlineStr">
        <is>
          <t>0599-56-0772</t>
        </is>
      </c>
      <c r="F843" s="23" t="n"/>
      <c r="G843" s="25" t="inlineStr">
        <is>
          <t>普通科</t>
        </is>
      </c>
      <c r="H843" s="26" t="inlineStr">
        <is>
          <t>☐</t>
        </is>
      </c>
      <c r="I843" s="26" t="inlineStr">
        <is>
          <t>☐</t>
        </is>
      </c>
      <c r="J843" s="26" t="inlineStr">
        <is>
          <t>☐</t>
        </is>
      </c>
      <c r="K843" s="26" t="inlineStr">
        <is>
          <t>☐</t>
        </is>
      </c>
      <c r="L843" s="26" t="inlineStr">
        <is>
          <t>☐</t>
        </is>
      </c>
      <c r="M843" s="25" t="n"/>
      <c r="N843" s="27" t="n">
        <v>0</v>
      </c>
      <c r="O843" s="28" t="n"/>
      <c r="P843" s="23" t="n"/>
      <c r="Q843" s="29" t="n"/>
      <c r="R843" s="29" t="n"/>
      <c r="S843" s="23" t="n"/>
      <c r="T843" s="30" t="n"/>
      <c r="U843" s="34" t="inlineStr">
        <is>
          <t>中</t>
        </is>
      </c>
      <c r="V843" s="32" t="inlineStr">
        <is>
          <t>広域通信制。志摩の本校。公式の問い合わせページの番号。0599-56-0770を載せる公式ページもあり、どちらが代表か不明</t>
        </is>
      </c>
      <c r="W843" s="33" t="inlineStr">
        <is>
          <t>開く</t>
        </is>
      </c>
    </row>
    <row r="844" ht="30" customHeight="1">
      <c r="A844" s="23" t="inlineStr">
        <is>
          <t>25滋賀県</t>
        </is>
      </c>
      <c r="B844" s="23" t="inlineStr">
        <is>
          <t>私立</t>
        </is>
      </c>
      <c r="C844" s="23" t="n"/>
      <c r="D844" s="23" t="inlineStr">
        <is>
          <t>綾羽高等学校</t>
        </is>
      </c>
      <c r="E844" s="24" t="inlineStr">
        <is>
          <t>077-563-3435</t>
        </is>
      </c>
      <c r="F844" s="23" t="n"/>
      <c r="G844" s="25" t="inlineStr">
        <is>
          <t>普通科・専門学科</t>
        </is>
      </c>
      <c r="H844" s="26" t="inlineStr">
        <is>
          <t>☐</t>
        </is>
      </c>
      <c r="I844" s="26" t="inlineStr">
        <is>
          <t>☐</t>
        </is>
      </c>
      <c r="J844" s="26" t="inlineStr">
        <is>
          <t>☐</t>
        </is>
      </c>
      <c r="K844" s="26" t="inlineStr">
        <is>
          <t>☐</t>
        </is>
      </c>
      <c r="L844" s="26" t="inlineStr">
        <is>
          <t>☐</t>
        </is>
      </c>
      <c r="M844" s="25" t="n"/>
      <c r="N844" s="27" t="n">
        <v>0</v>
      </c>
      <c r="O844" s="28" t="n"/>
      <c r="P844" s="23" t="n"/>
      <c r="Q844" s="29" t="n"/>
      <c r="R844" s="29" t="n"/>
      <c r="S844" s="23" t="n"/>
      <c r="T844" s="30" t="n"/>
      <c r="U844" s="31" t="inlineStr">
        <is>
          <t>高</t>
        </is>
      </c>
      <c r="V844" s="32" t="inlineStr">
        <is>
          <t>公式サイトに「代表」と記載。入試広報室は077-565-5821。定時制あり</t>
        </is>
      </c>
      <c r="W844" s="33" t="inlineStr">
        <is>
          <t>開く</t>
        </is>
      </c>
    </row>
    <row r="845" ht="30" customHeight="1">
      <c r="A845" s="23" t="inlineStr">
        <is>
          <t>25滋賀県</t>
        </is>
      </c>
      <c r="B845" s="23" t="inlineStr">
        <is>
          <t>私立</t>
        </is>
      </c>
      <c r="C845" s="23" t="n"/>
      <c r="D845" s="23" t="inlineStr">
        <is>
          <t>ECC学園高等学校</t>
        </is>
      </c>
      <c r="E845" s="24" t="inlineStr">
        <is>
          <t>0740-24-8101</t>
        </is>
      </c>
      <c r="F845" s="23" t="n"/>
      <c r="G845" s="25" t="inlineStr">
        <is>
          <t>総合学科</t>
        </is>
      </c>
      <c r="H845" s="26" t="inlineStr">
        <is>
          <t>☐</t>
        </is>
      </c>
      <c r="I845" s="26" t="inlineStr">
        <is>
          <t>☐</t>
        </is>
      </c>
      <c r="J845" s="26" t="inlineStr">
        <is>
          <t>☐</t>
        </is>
      </c>
      <c r="K845" s="26" t="inlineStr">
        <is>
          <t>☐</t>
        </is>
      </c>
      <c r="L845" s="26" t="inlineStr">
        <is>
          <t>☐</t>
        </is>
      </c>
      <c r="M845" s="25" t="n"/>
      <c r="N845" s="27" t="n">
        <v>0</v>
      </c>
      <c r="O845" s="28" t="n"/>
      <c r="P845" s="23" t="n"/>
      <c r="Q845" s="29" t="n"/>
      <c r="R845" s="29" t="n"/>
      <c r="S845" s="23" t="n"/>
      <c r="T845" s="30" t="n"/>
      <c r="U845" s="31" t="inlineStr">
        <is>
          <t>高</t>
        </is>
      </c>
      <c r="V845" s="32" t="inlineStr">
        <is>
          <t>通信制。高島市の本校の番号（公式サイト）。フリーダイヤル0120-027-144は全国向けの相談窓口</t>
        </is>
      </c>
      <c r="W845" s="33" t="inlineStr">
        <is>
          <t>開く</t>
        </is>
      </c>
    </row>
    <row r="846" ht="30" customHeight="1">
      <c r="A846" s="23" t="inlineStr">
        <is>
          <t>25滋賀県</t>
        </is>
      </c>
      <c r="B846" s="23" t="inlineStr">
        <is>
          <t>私立</t>
        </is>
      </c>
      <c r="C846" s="23" t="n"/>
      <c r="D846" s="23" t="inlineStr">
        <is>
          <t>近江兄弟社高等学校</t>
        </is>
      </c>
      <c r="E846" s="24" t="inlineStr">
        <is>
          <t>0748-32-3444</t>
        </is>
      </c>
      <c r="F846" s="23" t="n"/>
      <c r="G846" s="25" t="inlineStr">
        <is>
          <t>普通科・専門学科</t>
        </is>
      </c>
      <c r="H846" s="26" t="inlineStr">
        <is>
          <t>☐</t>
        </is>
      </c>
      <c r="I846" s="26" t="inlineStr">
        <is>
          <t>☐</t>
        </is>
      </c>
      <c r="J846" s="26" t="inlineStr">
        <is>
          <t>☐</t>
        </is>
      </c>
      <c r="K846" s="26" t="inlineStr">
        <is>
          <t>☐</t>
        </is>
      </c>
      <c r="L846" s="26" t="inlineStr">
        <is>
          <t>☐</t>
        </is>
      </c>
      <c r="M846" s="25" t="n"/>
      <c r="N846" s="27" t="n">
        <v>0</v>
      </c>
      <c r="O846" s="28" t="n"/>
      <c r="P846" s="23" t="n"/>
      <c r="Q846" s="29" t="n"/>
      <c r="R846" s="29" t="n"/>
      <c r="S846" s="23" t="n"/>
      <c r="T846" s="30" t="n"/>
      <c r="U846" s="31" t="inlineStr">
        <is>
          <t>高</t>
        </is>
      </c>
      <c r="V846" s="32" t="inlineStr">
        <is>
          <t>公式サイトで確認</t>
        </is>
      </c>
      <c r="W846" s="33" t="inlineStr">
        <is>
          <t>開く</t>
        </is>
      </c>
    </row>
    <row r="847" ht="30" customHeight="1">
      <c r="A847" s="23" t="inlineStr">
        <is>
          <t>25滋賀県</t>
        </is>
      </c>
      <c r="B847" s="23" t="inlineStr">
        <is>
          <t>私立</t>
        </is>
      </c>
      <c r="C847" s="23" t="n"/>
      <c r="D847" s="23" t="inlineStr">
        <is>
          <t>近江高等学校</t>
        </is>
      </c>
      <c r="E847" s="24" t="inlineStr">
        <is>
          <t>0749-22-2323</t>
        </is>
      </c>
      <c r="F847" s="23" t="n"/>
      <c r="G847" s="25" t="inlineStr">
        <is>
          <t>普通科・専門学科</t>
        </is>
      </c>
      <c r="H847" s="26" t="inlineStr">
        <is>
          <t>☐</t>
        </is>
      </c>
      <c r="I847" s="26" t="inlineStr">
        <is>
          <t>☐</t>
        </is>
      </c>
      <c r="J847" s="26" t="inlineStr">
        <is>
          <t>☐</t>
        </is>
      </c>
      <c r="K847" s="26" t="inlineStr">
        <is>
          <t>☐</t>
        </is>
      </c>
      <c r="L847" s="26" t="inlineStr">
        <is>
          <t>☐</t>
        </is>
      </c>
      <c r="M847" s="25" t="n"/>
      <c r="N847" s="27" t="n">
        <v>0</v>
      </c>
      <c r="O847" s="28" t="n"/>
      <c r="P847" s="23" t="n"/>
      <c r="Q847" s="29" t="n"/>
      <c r="R847" s="29" t="n"/>
      <c r="S847" s="23" t="n"/>
      <c r="T847" s="30" t="n"/>
      <c r="U847" s="31" t="inlineStr">
        <is>
          <t>高</t>
        </is>
      </c>
      <c r="V847" s="32" t="inlineStr">
        <is>
          <t>公式サイトに「代表」と記載</t>
        </is>
      </c>
      <c r="W847" s="33" t="inlineStr">
        <is>
          <t>開く</t>
        </is>
      </c>
    </row>
    <row r="848" ht="30" customHeight="1">
      <c r="A848" s="23" t="inlineStr">
        <is>
          <t>25滋賀県</t>
        </is>
      </c>
      <c r="B848" s="23" t="inlineStr">
        <is>
          <t>私立</t>
        </is>
      </c>
      <c r="C848" s="23" t="n"/>
      <c r="D848" s="23" t="inlineStr">
        <is>
          <t>光泉カトリック高等学校</t>
        </is>
      </c>
      <c r="E848" s="24" t="inlineStr">
        <is>
          <t>077-564-5600</t>
        </is>
      </c>
      <c r="F848" s="23" t="n"/>
      <c r="G848" s="25" t="inlineStr">
        <is>
          <t>普通科</t>
        </is>
      </c>
      <c r="H848" s="26" t="inlineStr">
        <is>
          <t>☐</t>
        </is>
      </c>
      <c r="I848" s="26" t="inlineStr">
        <is>
          <t>☐</t>
        </is>
      </c>
      <c r="J848" s="26" t="inlineStr">
        <is>
          <t>☐</t>
        </is>
      </c>
      <c r="K848" s="26" t="inlineStr">
        <is>
          <t>☐</t>
        </is>
      </c>
      <c r="L848" s="26" t="inlineStr">
        <is>
          <t>☐</t>
        </is>
      </c>
      <c r="M848" s="25" t="n"/>
      <c r="N848" s="27" t="n">
        <v>0</v>
      </c>
      <c r="O848" s="28" t="n"/>
      <c r="P848" s="23" t="n"/>
      <c r="Q848" s="29" t="n"/>
      <c r="R848" s="29" t="n"/>
      <c r="S848" s="23" t="n"/>
      <c r="T848" s="30" t="n"/>
      <c r="U848" s="31" t="inlineStr">
        <is>
          <t>高</t>
        </is>
      </c>
      <c r="V848" s="32" t="inlineStr">
        <is>
          <t>公式サイトに「代表」と記載。入試部は077-564-7771</t>
        </is>
      </c>
      <c r="W848" s="33" t="inlineStr">
        <is>
          <t>開く</t>
        </is>
      </c>
    </row>
    <row r="849" ht="30" customHeight="1">
      <c r="A849" s="23" t="inlineStr">
        <is>
          <t>25滋賀県</t>
        </is>
      </c>
      <c r="B849" s="23" t="inlineStr">
        <is>
          <t>私立</t>
        </is>
      </c>
      <c r="C849" s="23" t="n"/>
      <c r="D849" s="23" t="inlineStr">
        <is>
          <t>滋賀学園高等学校</t>
        </is>
      </c>
      <c r="E849" s="24" t="inlineStr">
        <is>
          <t>0748-23-0858</t>
        </is>
      </c>
      <c r="F849" s="23" t="n"/>
      <c r="G849" s="25" t="inlineStr">
        <is>
          <t>普通科</t>
        </is>
      </c>
      <c r="H849" s="26" t="inlineStr">
        <is>
          <t>☐</t>
        </is>
      </c>
      <c r="I849" s="26" t="inlineStr">
        <is>
          <t>☐</t>
        </is>
      </c>
      <c r="J849" s="26" t="inlineStr">
        <is>
          <t>☐</t>
        </is>
      </c>
      <c r="K849" s="26" t="inlineStr">
        <is>
          <t>☐</t>
        </is>
      </c>
      <c r="L849" s="26" t="inlineStr">
        <is>
          <t>☐</t>
        </is>
      </c>
      <c r="M849" s="25" t="n"/>
      <c r="N849" s="27" t="n">
        <v>0</v>
      </c>
      <c r="O849" s="28" t="n"/>
      <c r="P849" s="23" t="n"/>
      <c r="Q849" s="29" t="n"/>
      <c r="R849" s="29" t="n"/>
      <c r="S849" s="23" t="n"/>
      <c r="T849" s="30" t="n"/>
      <c r="U849" s="31" t="inlineStr">
        <is>
          <t>高</t>
        </is>
      </c>
      <c r="V849" s="32" t="inlineStr">
        <is>
          <t>公式サイトで確認</t>
        </is>
      </c>
      <c r="W849" s="33" t="inlineStr">
        <is>
          <t>開く</t>
        </is>
      </c>
    </row>
    <row r="850" ht="30" customHeight="1">
      <c r="A850" s="23" t="inlineStr">
        <is>
          <t>25滋賀県</t>
        </is>
      </c>
      <c r="B850" s="23" t="inlineStr">
        <is>
          <t>私立</t>
        </is>
      </c>
      <c r="C850" s="23" t="n"/>
      <c r="D850" s="23" t="inlineStr">
        <is>
          <t>司学館高等学校</t>
        </is>
      </c>
      <c r="E850" s="24" t="inlineStr">
        <is>
          <t>0748-22-1176</t>
        </is>
      </c>
      <c r="F850" s="23" t="n"/>
      <c r="G850" s="25" t="inlineStr">
        <is>
          <t>普通科</t>
        </is>
      </c>
      <c r="H850" s="26" t="inlineStr">
        <is>
          <t>☐</t>
        </is>
      </c>
      <c r="I850" s="26" t="inlineStr">
        <is>
          <t>☐</t>
        </is>
      </c>
      <c r="J850" s="26" t="inlineStr">
        <is>
          <t>☐</t>
        </is>
      </c>
      <c r="K850" s="26" t="inlineStr">
        <is>
          <t>☐</t>
        </is>
      </c>
      <c r="L850" s="26" t="inlineStr">
        <is>
          <t>☐</t>
        </is>
      </c>
      <c r="M850" s="25" t="n"/>
      <c r="N850" s="27" t="n">
        <v>0</v>
      </c>
      <c r="O850" s="28" t="n"/>
      <c r="P850" s="23" t="n"/>
      <c r="Q850" s="29" t="n"/>
      <c r="R850" s="29" t="n"/>
      <c r="S850" s="23" t="n"/>
      <c r="T850" s="30" t="n"/>
      <c r="U850" s="31" t="inlineStr">
        <is>
          <t>高</t>
        </is>
      </c>
      <c r="V850" s="32" t="inlineStr">
        <is>
          <t>通信制。複数サイトで一致、公式未確認</t>
        </is>
      </c>
      <c r="W850" s="33" t="inlineStr">
        <is>
          <t>開く</t>
        </is>
      </c>
    </row>
    <row r="851" ht="30" customHeight="1">
      <c r="A851" s="23" t="inlineStr">
        <is>
          <t>25滋賀県</t>
        </is>
      </c>
      <c r="B851" s="23" t="inlineStr">
        <is>
          <t>私立</t>
        </is>
      </c>
      <c r="C851" s="23" t="n"/>
      <c r="D851" s="23" t="inlineStr">
        <is>
          <t>滋賀短期大学附属高等学校</t>
        </is>
      </c>
      <c r="E851" s="24" t="inlineStr">
        <is>
          <t>0570-052-230</t>
        </is>
      </c>
      <c r="F851" s="23" t="n"/>
      <c r="G851" s="25" t="inlineStr">
        <is>
          <t>普通科・専門学科</t>
        </is>
      </c>
      <c r="H851" s="26" t="inlineStr">
        <is>
          <t>☐</t>
        </is>
      </c>
      <c r="I851" s="26" t="inlineStr">
        <is>
          <t>☐</t>
        </is>
      </c>
      <c r="J851" s="26" t="inlineStr">
        <is>
          <t>☐</t>
        </is>
      </c>
      <c r="K851" s="26" t="inlineStr">
        <is>
          <t>☐</t>
        </is>
      </c>
      <c r="L851" s="26" t="inlineStr">
        <is>
          <t>☐</t>
        </is>
      </c>
      <c r="M851" s="25" t="n"/>
      <c r="N851" s="27" t="n">
        <v>0</v>
      </c>
      <c r="O851" s="28" t="n"/>
      <c r="P851" s="23" t="n"/>
      <c r="Q851" s="29" t="n"/>
      <c r="R851" s="29" t="n"/>
      <c r="S851" s="23" t="n"/>
      <c r="T851" s="30" t="n"/>
      <c r="U851" s="34" t="inlineStr">
        <is>
          <t>中</t>
        </is>
      </c>
      <c r="V851" s="32" t="inlineStr">
        <is>
          <t>公式の問い合わせページの代表はナビダイヤル（通話料がかかる番号）。従来の番号077-522-3465も公式アクセスページなどに掲載あり</t>
        </is>
      </c>
      <c r="W851" s="33" t="inlineStr">
        <is>
          <t>開く</t>
        </is>
      </c>
    </row>
    <row r="852" ht="30" customHeight="1">
      <c r="A852" s="23" t="inlineStr">
        <is>
          <t>25滋賀県</t>
        </is>
      </c>
      <c r="B852" s="23" t="inlineStr">
        <is>
          <t>私立</t>
        </is>
      </c>
      <c r="C852" s="23" t="n"/>
      <c r="D852" s="23" t="inlineStr">
        <is>
          <t>比叡山高等学校</t>
        </is>
      </c>
      <c r="E852" s="24" t="inlineStr">
        <is>
          <t>077-578-0091</t>
        </is>
      </c>
      <c r="F852" s="23" t="n"/>
      <c r="G852" s="25" t="inlineStr">
        <is>
          <t>普通科</t>
        </is>
      </c>
      <c r="H852" s="26" t="inlineStr">
        <is>
          <t>☐</t>
        </is>
      </c>
      <c r="I852" s="26" t="inlineStr">
        <is>
          <t>☐</t>
        </is>
      </c>
      <c r="J852" s="26" t="inlineStr">
        <is>
          <t>☐</t>
        </is>
      </c>
      <c r="K852" s="26" t="inlineStr">
        <is>
          <t>☐</t>
        </is>
      </c>
      <c r="L852" s="26" t="inlineStr">
        <is>
          <t>☐</t>
        </is>
      </c>
      <c r="M852" s="25" t="n"/>
      <c r="N852" s="27" t="n">
        <v>0</v>
      </c>
      <c r="O852" s="28" t="n"/>
      <c r="P852" s="23" t="n"/>
      <c r="Q852" s="29" t="n"/>
      <c r="R852" s="29" t="n"/>
      <c r="S852" s="23" t="n"/>
      <c r="T852" s="30" t="n"/>
      <c r="U852" s="31" t="inlineStr">
        <is>
          <t>高</t>
        </is>
      </c>
      <c r="V852" s="32" t="inlineStr">
        <is>
          <t>公式サイトで高校の番号として確認。077-578-0132は中学校の番号</t>
        </is>
      </c>
      <c r="W852" s="33" t="inlineStr">
        <is>
          <t>開く</t>
        </is>
      </c>
    </row>
    <row r="853" ht="30" customHeight="1">
      <c r="A853" s="23" t="inlineStr">
        <is>
          <t>25滋賀県</t>
        </is>
      </c>
      <c r="B853" s="23" t="inlineStr">
        <is>
          <t>私立</t>
        </is>
      </c>
      <c r="C853" s="23" t="n"/>
      <c r="D853" s="23" t="inlineStr">
        <is>
          <t>彦根総合高等学校</t>
        </is>
      </c>
      <c r="E853" s="24" t="inlineStr">
        <is>
          <t>0749-26-0016</t>
        </is>
      </c>
      <c r="F853" s="23" t="n"/>
      <c r="G853" s="25" t="inlineStr">
        <is>
          <t>総合学科</t>
        </is>
      </c>
      <c r="H853" s="26" t="inlineStr">
        <is>
          <t>☐</t>
        </is>
      </c>
      <c r="I853" s="26" t="inlineStr">
        <is>
          <t>☐</t>
        </is>
      </c>
      <c r="J853" s="26" t="inlineStr">
        <is>
          <t>☐</t>
        </is>
      </c>
      <c r="K853" s="26" t="inlineStr">
        <is>
          <t>☐</t>
        </is>
      </c>
      <c r="L853" s="26" t="inlineStr">
        <is>
          <t>☐</t>
        </is>
      </c>
      <c r="M853" s="25" t="n"/>
      <c r="N853" s="27" t="n">
        <v>0</v>
      </c>
      <c r="O853" s="28" t="n"/>
      <c r="P853" s="23" t="n"/>
      <c r="Q853" s="29" t="n"/>
      <c r="R853" s="29" t="n"/>
      <c r="S853" s="23" t="n"/>
      <c r="T853" s="30" t="n"/>
      <c r="U853" s="31" t="inlineStr">
        <is>
          <t>高</t>
        </is>
      </c>
      <c r="V853" s="32" t="inlineStr">
        <is>
          <t>公式サイトに「代表」と記載。入試広報部は0749-24-7855</t>
        </is>
      </c>
      <c r="W853" s="33" t="inlineStr">
        <is>
          <t>開く</t>
        </is>
      </c>
    </row>
    <row r="854" ht="30" customHeight="1">
      <c r="A854" s="23" t="inlineStr">
        <is>
          <t>25滋賀県</t>
        </is>
      </c>
      <c r="B854" s="23" t="inlineStr">
        <is>
          <t>私立</t>
        </is>
      </c>
      <c r="C854" s="23" t="n"/>
      <c r="D854" s="23" t="inlineStr">
        <is>
          <t>立命館守山高等学校</t>
        </is>
      </c>
      <c r="E854" s="24" t="inlineStr">
        <is>
          <t>077-582-8000</t>
        </is>
      </c>
      <c r="F854" s="23" t="n"/>
      <c r="G854" s="25" t="inlineStr">
        <is>
          <t>普通科</t>
        </is>
      </c>
      <c r="H854" s="26" t="inlineStr">
        <is>
          <t>☐</t>
        </is>
      </c>
      <c r="I854" s="26" t="inlineStr">
        <is>
          <t>☐</t>
        </is>
      </c>
      <c r="J854" s="26" t="inlineStr">
        <is>
          <t>☐</t>
        </is>
      </c>
      <c r="K854" s="26" t="inlineStr">
        <is>
          <t>☐</t>
        </is>
      </c>
      <c r="L854" s="26" t="inlineStr">
        <is>
          <t>☐</t>
        </is>
      </c>
      <c r="M854" s="25" t="n"/>
      <c r="N854" s="27" t="n">
        <v>0</v>
      </c>
      <c r="O854" s="28" t="n"/>
      <c r="P854" s="23" t="n"/>
      <c r="Q854" s="29" t="n"/>
      <c r="R854" s="29" t="n"/>
      <c r="S854" s="23" t="n"/>
      <c r="T854" s="30" t="n"/>
      <c r="U854" s="31" t="inlineStr">
        <is>
          <t>高</t>
        </is>
      </c>
      <c r="V854" s="32" t="inlineStr">
        <is>
          <t>中高共通の代表。守山市のサイトほかで一致</t>
        </is>
      </c>
      <c r="W854" s="33" t="inlineStr">
        <is>
          <t>開く</t>
        </is>
      </c>
    </row>
    <row r="855" ht="30" customHeight="1">
      <c r="A855" s="23" t="inlineStr">
        <is>
          <t>26京都府</t>
        </is>
      </c>
      <c r="B855" s="23" t="inlineStr">
        <is>
          <t>私立</t>
        </is>
      </c>
      <c r="C855" s="23" t="n"/>
      <c r="D855" s="23" t="inlineStr">
        <is>
          <t>一燈園高等学校</t>
        </is>
      </c>
      <c r="E855" s="24" t="inlineStr">
        <is>
          <t>075-595-3711</t>
        </is>
      </c>
      <c r="F855" s="23" t="n"/>
      <c r="G855" s="25" t="inlineStr">
        <is>
          <t>普通科</t>
        </is>
      </c>
      <c r="H855" s="26" t="inlineStr">
        <is>
          <t>☐</t>
        </is>
      </c>
      <c r="I855" s="26" t="inlineStr">
        <is>
          <t>☐</t>
        </is>
      </c>
      <c r="J855" s="26" t="inlineStr">
        <is>
          <t>☐</t>
        </is>
      </c>
      <c r="K855" s="26" t="inlineStr">
        <is>
          <t>☐</t>
        </is>
      </c>
      <c r="L855" s="26" t="inlineStr">
        <is>
          <t>☐</t>
        </is>
      </c>
      <c r="M855" s="25" t="n"/>
      <c r="N855" s="27" t="n">
        <v>0</v>
      </c>
      <c r="O855" s="28" t="n"/>
      <c r="P855" s="23" t="n"/>
      <c r="Q855" s="29" t="n"/>
      <c r="R855" s="29" t="n"/>
      <c r="S855" s="23" t="n"/>
      <c r="T855" s="30" t="n"/>
      <c r="U855" s="31" t="inlineStr">
        <is>
          <t>高</t>
        </is>
      </c>
      <c r="V855" s="32" t="inlineStr">
        <is>
          <t>中高共通。複数サイトで一致。定時制あり</t>
        </is>
      </c>
      <c r="W855" s="33" t="inlineStr">
        <is>
          <t>開く</t>
        </is>
      </c>
    </row>
    <row r="856" ht="30" customHeight="1">
      <c r="A856" s="23" t="inlineStr">
        <is>
          <t>26京都府</t>
        </is>
      </c>
      <c r="B856" s="23" t="inlineStr">
        <is>
          <t>私立</t>
        </is>
      </c>
      <c r="C856" s="23" t="n"/>
      <c r="D856" s="23" t="inlineStr">
        <is>
          <t>大谷高等学校（京都府）</t>
        </is>
      </c>
      <c r="E856" s="24" t="inlineStr">
        <is>
          <t>075-541-1312</t>
        </is>
      </c>
      <c r="F856" s="23" t="n"/>
      <c r="G856" s="25" t="inlineStr">
        <is>
          <t>普通科</t>
        </is>
      </c>
      <c r="H856" s="26" t="inlineStr">
        <is>
          <t>☐</t>
        </is>
      </c>
      <c r="I856" s="26" t="inlineStr">
        <is>
          <t>☐</t>
        </is>
      </c>
      <c r="J856" s="26" t="inlineStr">
        <is>
          <t>☐</t>
        </is>
      </c>
      <c r="K856" s="26" t="inlineStr">
        <is>
          <t>☐</t>
        </is>
      </c>
      <c r="L856" s="26" t="inlineStr">
        <is>
          <t>☐</t>
        </is>
      </c>
      <c r="M856" s="25" t="n"/>
      <c r="N856" s="27" t="n">
        <v>0</v>
      </c>
      <c r="O856" s="28" t="n"/>
      <c r="P856" s="23" t="n"/>
      <c r="Q856" s="29" t="n"/>
      <c r="R856" s="29" t="n"/>
      <c r="S856" s="23" t="n"/>
      <c r="T856" s="30" t="n"/>
      <c r="U856" s="31" t="inlineStr">
        <is>
          <t>高</t>
        </is>
      </c>
      <c r="V856" s="32" t="inlineStr">
        <is>
          <t>中高共通の代表</t>
        </is>
      </c>
      <c r="W856" s="33" t="inlineStr">
        <is>
          <t>開く</t>
        </is>
      </c>
    </row>
    <row r="857" ht="30" customHeight="1">
      <c r="A857" s="23" t="inlineStr">
        <is>
          <t>26京都府</t>
        </is>
      </c>
      <c r="B857" s="23" t="inlineStr">
        <is>
          <t>私立</t>
        </is>
      </c>
      <c r="C857" s="23" t="n"/>
      <c r="D857" s="23" t="inlineStr">
        <is>
          <t>華頂女子高等学校</t>
        </is>
      </c>
      <c r="E857" s="24" t="inlineStr">
        <is>
          <t>075-541-0391</t>
        </is>
      </c>
      <c r="F857" s="23" t="n"/>
      <c r="G857" s="25" t="inlineStr">
        <is>
          <t>普通科</t>
        </is>
      </c>
      <c r="H857" s="26" t="inlineStr">
        <is>
          <t>☐</t>
        </is>
      </c>
      <c r="I857" s="26" t="inlineStr">
        <is>
          <t>☐</t>
        </is>
      </c>
      <c r="J857" s="26" t="inlineStr">
        <is>
          <t>☐</t>
        </is>
      </c>
      <c r="K857" s="26" t="inlineStr">
        <is>
          <t>☐</t>
        </is>
      </c>
      <c r="L857" s="26" t="inlineStr">
        <is>
          <t>☐</t>
        </is>
      </c>
      <c r="M857" s="25" t="n"/>
      <c r="N857" s="27" t="n">
        <v>0</v>
      </c>
      <c r="O857" s="28" t="n"/>
      <c r="P857" s="23" t="n"/>
      <c r="Q857" s="29" t="n"/>
      <c r="R857" s="29" t="n"/>
      <c r="S857" s="23" t="n"/>
      <c r="T857" s="30" t="n"/>
      <c r="U857" s="31" t="inlineStr">
        <is>
          <t>高</t>
        </is>
      </c>
      <c r="V857" s="32" t="inlineStr">
        <is>
          <t>公式サイトに「代表」と記載</t>
        </is>
      </c>
      <c r="W857" s="33" t="inlineStr">
        <is>
          <t>開く</t>
        </is>
      </c>
    </row>
    <row r="858" ht="30" customHeight="1">
      <c r="A858" s="23" t="inlineStr">
        <is>
          <t>26京都府</t>
        </is>
      </c>
      <c r="B858" s="23" t="inlineStr">
        <is>
          <t>私立</t>
        </is>
      </c>
      <c r="C858" s="23" t="n"/>
      <c r="D858" s="23" t="inlineStr">
        <is>
          <t>京都外大西高等学校</t>
        </is>
      </c>
      <c r="E858" s="24" t="inlineStr">
        <is>
          <t>075-321-0712</t>
        </is>
      </c>
      <c r="F858" s="23" t="n"/>
      <c r="G858" s="25" t="inlineStr">
        <is>
          <t>普通科</t>
        </is>
      </c>
      <c r="H858" s="26" t="inlineStr">
        <is>
          <t>☐</t>
        </is>
      </c>
      <c r="I858" s="26" t="inlineStr">
        <is>
          <t>☐</t>
        </is>
      </c>
      <c r="J858" s="26" t="inlineStr">
        <is>
          <t>☐</t>
        </is>
      </c>
      <c r="K858" s="26" t="inlineStr">
        <is>
          <t>☐</t>
        </is>
      </c>
      <c r="L858" s="26" t="inlineStr">
        <is>
          <t>☐</t>
        </is>
      </c>
      <c r="M858" s="25" t="n"/>
      <c r="N858" s="27" t="n">
        <v>0</v>
      </c>
      <c r="O858" s="28" t="n"/>
      <c r="P858" s="23" t="n"/>
      <c r="Q858" s="29" t="n"/>
      <c r="R858" s="29" t="n"/>
      <c r="S858" s="23" t="n"/>
      <c r="T858" s="30" t="n"/>
      <c r="U858" s="31" t="inlineStr">
        <is>
          <t>高</t>
        </is>
      </c>
      <c r="V858" s="32" t="inlineStr">
        <is>
          <t>公式サイトで確認</t>
        </is>
      </c>
      <c r="W858" s="33" t="inlineStr">
        <is>
          <t>開く</t>
        </is>
      </c>
    </row>
    <row r="859" ht="30" customHeight="1">
      <c r="A859" s="23" t="inlineStr">
        <is>
          <t>26京都府</t>
        </is>
      </c>
      <c r="B859" s="23" t="inlineStr">
        <is>
          <t>私立</t>
        </is>
      </c>
      <c r="C859" s="23" t="n"/>
      <c r="D859" s="23" t="inlineStr">
        <is>
          <t>京都共栄学園高等学校</t>
        </is>
      </c>
      <c r="E859" s="24" t="inlineStr">
        <is>
          <t>0773-22-6241</t>
        </is>
      </c>
      <c r="F859" s="23" t="n"/>
      <c r="G859" s="25" t="inlineStr">
        <is>
          <t>普通科</t>
        </is>
      </c>
      <c r="H859" s="26" t="inlineStr">
        <is>
          <t>☐</t>
        </is>
      </c>
      <c r="I859" s="26" t="inlineStr">
        <is>
          <t>☐</t>
        </is>
      </c>
      <c r="J859" s="26" t="inlineStr">
        <is>
          <t>☐</t>
        </is>
      </c>
      <c r="K859" s="26" t="inlineStr">
        <is>
          <t>☐</t>
        </is>
      </c>
      <c r="L859" s="26" t="inlineStr">
        <is>
          <t>☐</t>
        </is>
      </c>
      <c r="M859" s="25" t="n"/>
      <c r="N859" s="27" t="n">
        <v>0</v>
      </c>
      <c r="O859" s="28" t="n"/>
      <c r="P859" s="23" t="n"/>
      <c r="Q859" s="29" t="n"/>
      <c r="R859" s="29" t="n"/>
      <c r="S859" s="23" t="n"/>
      <c r="T859" s="30" t="n"/>
      <c r="U859" s="31" t="inlineStr">
        <is>
          <t>高</t>
        </is>
      </c>
      <c r="V859" s="32" t="inlineStr">
        <is>
          <t>全日制の番号。通信制は0773-22-6210</t>
        </is>
      </c>
      <c r="W859" s="33" t="inlineStr">
        <is>
          <t>開く</t>
        </is>
      </c>
    </row>
    <row r="860" ht="30" customHeight="1">
      <c r="A860" s="23" t="inlineStr">
        <is>
          <t>26京都府</t>
        </is>
      </c>
      <c r="B860" s="23" t="inlineStr">
        <is>
          <t>私立</t>
        </is>
      </c>
      <c r="C860" s="23" t="n"/>
      <c r="D860" s="23" t="inlineStr">
        <is>
          <t>京都暁星高等学校</t>
        </is>
      </c>
      <c r="E860" s="24" t="inlineStr">
        <is>
          <t>0772-22-2560</t>
        </is>
      </c>
      <c r="F860" s="23" t="n"/>
      <c r="G860" s="25" t="inlineStr">
        <is>
          <t>普通科</t>
        </is>
      </c>
      <c r="H860" s="26" t="inlineStr">
        <is>
          <t>☐</t>
        </is>
      </c>
      <c r="I860" s="26" t="inlineStr">
        <is>
          <t>☐</t>
        </is>
      </c>
      <c r="J860" s="26" t="inlineStr">
        <is>
          <t>☐</t>
        </is>
      </c>
      <c r="K860" s="26" t="inlineStr">
        <is>
          <t>☐</t>
        </is>
      </c>
      <c r="L860" s="26" t="inlineStr">
        <is>
          <t>☐</t>
        </is>
      </c>
      <c r="M860" s="25" t="n"/>
      <c r="N860" s="27" t="n">
        <v>0</v>
      </c>
      <c r="O860" s="28" t="n"/>
      <c r="P860" s="23" t="n"/>
      <c r="Q860" s="29" t="n"/>
      <c r="R860" s="29" t="n"/>
      <c r="S860" s="23" t="n"/>
      <c r="T860" s="30" t="n"/>
      <c r="U860" s="31" t="inlineStr">
        <is>
          <t>高</t>
        </is>
      </c>
      <c r="V860" s="32" t="inlineStr">
        <is>
          <t>複数サイトで一致</t>
        </is>
      </c>
      <c r="W860" s="33" t="inlineStr">
        <is>
          <t>開く</t>
        </is>
      </c>
    </row>
    <row r="861" ht="30" customHeight="1">
      <c r="A861" s="23" t="inlineStr">
        <is>
          <t>26京都府</t>
        </is>
      </c>
      <c r="B861" s="23" t="inlineStr">
        <is>
          <t>私立</t>
        </is>
      </c>
      <c r="C861" s="23" t="n"/>
      <c r="D861" s="23" t="inlineStr">
        <is>
          <t>京都芸術高等学校</t>
        </is>
      </c>
      <c r="E861" s="24" t="inlineStr">
        <is>
          <t>0774-32-7012</t>
        </is>
      </c>
      <c r="F861" s="23" t="n"/>
      <c r="G861" s="25" t="inlineStr">
        <is>
          <t>専門学科</t>
        </is>
      </c>
      <c r="H861" s="26" t="inlineStr">
        <is>
          <t>☐</t>
        </is>
      </c>
      <c r="I861" s="26" t="inlineStr">
        <is>
          <t>☐</t>
        </is>
      </c>
      <c r="J861" s="26" t="inlineStr">
        <is>
          <t>☐</t>
        </is>
      </c>
      <c r="K861" s="26" t="inlineStr">
        <is>
          <t>☐</t>
        </is>
      </c>
      <c r="L861" s="26" t="inlineStr">
        <is>
          <t>☐</t>
        </is>
      </c>
      <c r="M861" s="25" t="n"/>
      <c r="N861" s="27" t="n">
        <v>0</v>
      </c>
      <c r="O861" s="28" t="n"/>
      <c r="P861" s="23" t="n"/>
      <c r="Q861" s="29" t="n"/>
      <c r="R861" s="29" t="n"/>
      <c r="S861" s="23" t="n"/>
      <c r="T861" s="30" t="n"/>
      <c r="U861" s="31" t="inlineStr">
        <is>
          <t>高</t>
        </is>
      </c>
      <c r="V861" s="32" t="inlineStr">
        <is>
          <t>公式サイトで確認。京都芸術大学附属とは別の学校</t>
        </is>
      </c>
      <c r="W861" s="33" t="inlineStr">
        <is>
          <t>開く</t>
        </is>
      </c>
    </row>
    <row r="862" ht="30" customHeight="1">
      <c r="A862" s="23" t="inlineStr">
        <is>
          <t>26京都府</t>
        </is>
      </c>
      <c r="B862" s="23" t="inlineStr">
        <is>
          <t>私立</t>
        </is>
      </c>
      <c r="C862" s="23" t="n"/>
      <c r="D862" s="23" t="inlineStr">
        <is>
          <t>京都芸術大学附属高等学校</t>
        </is>
      </c>
      <c r="E862" s="24" t="inlineStr">
        <is>
          <t>075-791-9454</t>
        </is>
      </c>
      <c r="F862" s="23" t="n"/>
      <c r="G862" s="25" t="inlineStr">
        <is>
          <t>普通科</t>
        </is>
      </c>
      <c r="H862" s="26" t="inlineStr">
        <is>
          <t>☐</t>
        </is>
      </c>
      <c r="I862" s="26" t="inlineStr">
        <is>
          <t>☐</t>
        </is>
      </c>
      <c r="J862" s="26" t="inlineStr">
        <is>
          <t>☐</t>
        </is>
      </c>
      <c r="K862" s="26" t="inlineStr">
        <is>
          <t>☐</t>
        </is>
      </c>
      <c r="L862" s="26" t="inlineStr">
        <is>
          <t>☐</t>
        </is>
      </c>
      <c r="M862" s="25" t="n"/>
      <c r="N862" s="27" t="n">
        <v>0</v>
      </c>
      <c r="O862" s="28" t="n"/>
      <c r="P862" s="23" t="n"/>
      <c r="Q862" s="29" t="n"/>
      <c r="R862" s="29" t="n"/>
      <c r="S862" s="23" t="n"/>
      <c r="T862" s="30" t="n"/>
      <c r="U862" s="34" t="inlineStr">
        <is>
          <t>中</t>
        </is>
      </c>
      <c r="V862" s="32" t="inlineStr">
        <is>
          <t>通信制。事務室の番号。公式サイトの問い合わせ窓口はフリーダイヤル0120-87-37-39（平日9:00〜17:30）</t>
        </is>
      </c>
      <c r="W862" s="33" t="inlineStr">
        <is>
          <t>開く</t>
        </is>
      </c>
    </row>
    <row r="863" ht="30" customHeight="1">
      <c r="A863" s="23" t="inlineStr">
        <is>
          <t>26京都府</t>
        </is>
      </c>
      <c r="B863" s="23" t="inlineStr">
        <is>
          <t>私立</t>
        </is>
      </c>
      <c r="C863" s="23" t="n"/>
      <c r="D863" s="23" t="inlineStr">
        <is>
          <t>京都光華高等学校</t>
        </is>
      </c>
      <c r="E863" s="24" t="inlineStr">
        <is>
          <t>075-325-5255</t>
        </is>
      </c>
      <c r="F863" s="23" t="n"/>
      <c r="G863" s="25" t="inlineStr">
        <is>
          <t>普通科・専門学科</t>
        </is>
      </c>
      <c r="H863" s="26" t="inlineStr">
        <is>
          <t>☐</t>
        </is>
      </c>
      <c r="I863" s="26" t="inlineStr">
        <is>
          <t>☐</t>
        </is>
      </c>
      <c r="J863" s="26" t="inlineStr">
        <is>
          <t>☐</t>
        </is>
      </c>
      <c r="K863" s="26" t="inlineStr">
        <is>
          <t>☐</t>
        </is>
      </c>
      <c r="L863" s="26" t="inlineStr">
        <is>
          <t>☐</t>
        </is>
      </c>
      <c r="M863" s="25" t="n"/>
      <c r="N863" s="27" t="n">
        <v>0</v>
      </c>
      <c r="O863" s="28" t="n"/>
      <c r="P863" s="23" t="n"/>
      <c r="Q863" s="29" t="n"/>
      <c r="R863" s="29" t="n"/>
      <c r="S863" s="23" t="n"/>
      <c r="T863" s="30" t="n"/>
      <c r="U863" s="34" t="inlineStr">
        <is>
          <t>中</t>
        </is>
      </c>
      <c r="V863" s="32" t="inlineStr">
        <is>
          <t>中高共通。代表とする情報と入学広報部の直通とする情報が混在。事務室は075-325-5223</t>
        </is>
      </c>
      <c r="W863" s="33" t="inlineStr">
        <is>
          <t>開く</t>
        </is>
      </c>
    </row>
    <row r="864" ht="30" customHeight="1">
      <c r="A864" s="23" t="inlineStr">
        <is>
          <t>26京都府</t>
        </is>
      </c>
      <c r="B864" s="23" t="inlineStr">
        <is>
          <t>私立</t>
        </is>
      </c>
      <c r="C864" s="23" t="n"/>
      <c r="D864" s="23" t="inlineStr">
        <is>
          <t>京都廣学館高等学校</t>
        </is>
      </c>
      <c r="E864" s="24" t="inlineStr">
        <is>
          <t>0774-93-0518</t>
        </is>
      </c>
      <c r="F864" s="23" t="n"/>
      <c r="G864" s="25" t="inlineStr">
        <is>
          <t>普通科</t>
        </is>
      </c>
      <c r="H864" s="26" t="inlineStr">
        <is>
          <t>☐</t>
        </is>
      </c>
      <c r="I864" s="26" t="inlineStr">
        <is>
          <t>☐</t>
        </is>
      </c>
      <c r="J864" s="26" t="inlineStr">
        <is>
          <t>☐</t>
        </is>
      </c>
      <c r="K864" s="26" t="inlineStr">
        <is>
          <t>☐</t>
        </is>
      </c>
      <c r="L864" s="26" t="inlineStr">
        <is>
          <t>☐</t>
        </is>
      </c>
      <c r="M864" s="25" t="n"/>
      <c r="N864" s="27" t="n">
        <v>0</v>
      </c>
      <c r="O864" s="28" t="n"/>
      <c r="P864" s="23" t="n"/>
      <c r="Q864" s="29" t="n"/>
      <c r="R864" s="29" t="n"/>
      <c r="S864" s="23" t="n"/>
      <c r="T864" s="30" t="n"/>
      <c r="U864" s="31" t="inlineStr">
        <is>
          <t>高</t>
        </is>
      </c>
      <c r="V864" s="32" t="inlineStr">
        <is>
          <t>公式サイトに「代表」と記載</t>
        </is>
      </c>
      <c r="W864" s="33" t="inlineStr">
        <is>
          <t>開く</t>
        </is>
      </c>
    </row>
    <row r="865" ht="30" customHeight="1">
      <c r="A865" s="23" t="inlineStr">
        <is>
          <t>26京都府</t>
        </is>
      </c>
      <c r="B865" s="23" t="inlineStr">
        <is>
          <t>私立</t>
        </is>
      </c>
      <c r="C865" s="23" t="n"/>
      <c r="D865" s="23" t="inlineStr">
        <is>
          <t>京都国際高等学校</t>
        </is>
      </c>
      <c r="E865" s="24" t="inlineStr">
        <is>
          <t>075-525-3535</t>
        </is>
      </c>
      <c r="F865" s="23" t="n"/>
      <c r="G865" s="25" t="inlineStr">
        <is>
          <t>普通科</t>
        </is>
      </c>
      <c r="H865" s="26" t="inlineStr">
        <is>
          <t>☐</t>
        </is>
      </c>
      <c r="I865" s="26" t="inlineStr">
        <is>
          <t>☐</t>
        </is>
      </c>
      <c r="J865" s="26" t="inlineStr">
        <is>
          <t>☐</t>
        </is>
      </c>
      <c r="K865" s="26" t="inlineStr">
        <is>
          <t>☐</t>
        </is>
      </c>
      <c r="L865" s="26" t="inlineStr">
        <is>
          <t>☐</t>
        </is>
      </c>
      <c r="M865" s="25" t="n"/>
      <c r="N865" s="27" t="n">
        <v>0</v>
      </c>
      <c r="O865" s="28" t="n"/>
      <c r="P865" s="23" t="n"/>
      <c r="Q865" s="29" t="n"/>
      <c r="R865" s="29" t="n"/>
      <c r="S865" s="23" t="n"/>
      <c r="T865" s="30" t="n"/>
      <c r="U865" s="31" t="inlineStr">
        <is>
          <t>高</t>
        </is>
      </c>
      <c r="V865" s="32" t="inlineStr">
        <is>
          <t>公式サイトで確認。中高共通</t>
        </is>
      </c>
      <c r="W865" s="33" t="inlineStr">
        <is>
          <t>開く</t>
        </is>
      </c>
    </row>
    <row r="866" ht="30" customHeight="1">
      <c r="A866" s="23" t="inlineStr">
        <is>
          <t>26京都府</t>
        </is>
      </c>
      <c r="B866" s="23" t="inlineStr">
        <is>
          <t>私立</t>
        </is>
      </c>
      <c r="C866" s="23" t="n"/>
      <c r="D866" s="23" t="inlineStr">
        <is>
          <t>京都産業大学附属高等学校</t>
        </is>
      </c>
      <c r="E866" s="24" t="inlineStr">
        <is>
          <t>075-279-0001</t>
        </is>
      </c>
      <c r="F866" s="23" t="n"/>
      <c r="G866" s="25" t="inlineStr">
        <is>
          <t>普通科</t>
        </is>
      </c>
      <c r="H866" s="26" t="inlineStr">
        <is>
          <t>☐</t>
        </is>
      </c>
      <c r="I866" s="26" t="inlineStr">
        <is>
          <t>☐</t>
        </is>
      </c>
      <c r="J866" s="26" t="inlineStr">
        <is>
          <t>☐</t>
        </is>
      </c>
      <c r="K866" s="26" t="inlineStr">
        <is>
          <t>☐</t>
        </is>
      </c>
      <c r="L866" s="26" t="inlineStr">
        <is>
          <t>☐</t>
        </is>
      </c>
      <c r="M866" s="25" t="n"/>
      <c r="N866" s="27" t="n">
        <v>0</v>
      </c>
      <c r="O866" s="28" t="n"/>
      <c r="P866" s="23" t="n"/>
      <c r="Q866" s="29" t="n"/>
      <c r="R866" s="29" t="n"/>
      <c r="S866" s="23" t="n"/>
      <c r="T866" s="30" t="n"/>
      <c r="U866" s="31" t="inlineStr">
        <is>
          <t>高</t>
        </is>
      </c>
      <c r="V866" s="32" t="inlineStr">
        <is>
          <t>公式サイトと京都府の資料で一致。中高共通</t>
        </is>
      </c>
      <c r="W866" s="33" t="inlineStr">
        <is>
          <t>開く</t>
        </is>
      </c>
    </row>
    <row r="867" ht="30" customHeight="1">
      <c r="A867" s="23" t="inlineStr">
        <is>
          <t>26京都府</t>
        </is>
      </c>
      <c r="B867" s="23" t="inlineStr">
        <is>
          <t>私立</t>
        </is>
      </c>
      <c r="C867" s="23" t="n"/>
      <c r="D867" s="23" t="inlineStr">
        <is>
          <t>京都翔英高等学校</t>
        </is>
      </c>
      <c r="E867" s="24" t="inlineStr">
        <is>
          <t>0774-23-2238</t>
        </is>
      </c>
      <c r="F867" s="23" t="n"/>
      <c r="G867" s="25" t="inlineStr">
        <is>
          <t>普通科</t>
        </is>
      </c>
      <c r="H867" s="26" t="inlineStr">
        <is>
          <t>☐</t>
        </is>
      </c>
      <c r="I867" s="26" t="inlineStr">
        <is>
          <t>☐</t>
        </is>
      </c>
      <c r="J867" s="26" t="inlineStr">
        <is>
          <t>☐</t>
        </is>
      </c>
      <c r="K867" s="26" t="inlineStr">
        <is>
          <t>☐</t>
        </is>
      </c>
      <c r="L867" s="26" t="inlineStr">
        <is>
          <t>☐</t>
        </is>
      </c>
      <c r="M867" s="25" t="n"/>
      <c r="N867" s="27" t="n">
        <v>0</v>
      </c>
      <c r="O867" s="28" t="n"/>
      <c r="P867" s="23" t="n"/>
      <c r="Q867" s="29" t="n"/>
      <c r="R867" s="29" t="n"/>
      <c r="S867" s="23" t="n"/>
      <c r="T867" s="30" t="n"/>
      <c r="U867" s="31" t="inlineStr">
        <is>
          <t>高</t>
        </is>
      </c>
      <c r="V867" s="32" t="inlineStr">
        <is>
          <t>公式サイトで確認</t>
        </is>
      </c>
      <c r="W867" s="33" t="inlineStr">
        <is>
          <t>開く</t>
        </is>
      </c>
    </row>
    <row r="868" ht="30" customHeight="1">
      <c r="A868" s="23" t="inlineStr">
        <is>
          <t>26京都府</t>
        </is>
      </c>
      <c r="B868" s="23" t="inlineStr">
        <is>
          <t>私立</t>
        </is>
      </c>
      <c r="C868" s="23" t="n"/>
      <c r="D868" s="23" t="inlineStr">
        <is>
          <t>京都女子高等学校</t>
        </is>
      </c>
      <c r="E868" s="24" t="inlineStr">
        <is>
          <t>075-531-7358</t>
        </is>
      </c>
      <c r="F868" s="23" t="n"/>
      <c r="G868" s="25" t="inlineStr">
        <is>
          <t>普通科・専門学科</t>
        </is>
      </c>
      <c r="H868" s="26" t="inlineStr">
        <is>
          <t>☐</t>
        </is>
      </c>
      <c r="I868" s="26" t="inlineStr">
        <is>
          <t>☐</t>
        </is>
      </c>
      <c r="J868" s="26" t="inlineStr">
        <is>
          <t>☐</t>
        </is>
      </c>
      <c r="K868" s="26" t="inlineStr">
        <is>
          <t>☐</t>
        </is>
      </c>
      <c r="L868" s="26" t="inlineStr">
        <is>
          <t>☐</t>
        </is>
      </c>
      <c r="M868" s="25" t="n"/>
      <c r="N868" s="27" t="n">
        <v>0</v>
      </c>
      <c r="O868" s="28" t="n"/>
      <c r="P868" s="23" t="n"/>
      <c r="Q868" s="29" t="n"/>
      <c r="R868" s="29" t="n"/>
      <c r="S868" s="23" t="n"/>
      <c r="T868" s="30" t="n"/>
      <c r="U868" s="31" t="inlineStr">
        <is>
          <t>高</t>
        </is>
      </c>
      <c r="V868" s="32" t="inlineStr">
        <is>
          <t>中高共通の事務室の番号（公式サイト）。入試広報部は075-531-7334</t>
        </is>
      </c>
      <c r="W868" s="33" t="inlineStr">
        <is>
          <t>開く</t>
        </is>
      </c>
    </row>
    <row r="869" ht="30" customHeight="1">
      <c r="A869" s="23" t="inlineStr">
        <is>
          <t>26京都府</t>
        </is>
      </c>
      <c r="B869" s="23" t="inlineStr">
        <is>
          <t>私立</t>
        </is>
      </c>
      <c r="C869" s="23" t="n"/>
      <c r="D869" s="23" t="inlineStr">
        <is>
          <t>京都精華学園高等学校</t>
        </is>
      </c>
      <c r="E869" s="24" t="inlineStr">
        <is>
          <t>075-771-4181</t>
        </is>
      </c>
      <c r="F869" s="23" t="n"/>
      <c r="G869" s="25" t="inlineStr">
        <is>
          <t>普通科</t>
        </is>
      </c>
      <c r="H869" s="26" t="inlineStr">
        <is>
          <t>☐</t>
        </is>
      </c>
      <c r="I869" s="26" t="inlineStr">
        <is>
          <t>☐</t>
        </is>
      </c>
      <c r="J869" s="26" t="inlineStr">
        <is>
          <t>☐</t>
        </is>
      </c>
      <c r="K869" s="26" t="inlineStr">
        <is>
          <t>☐</t>
        </is>
      </c>
      <c r="L869" s="26" t="inlineStr">
        <is>
          <t>☐</t>
        </is>
      </c>
      <c r="M869" s="25" t="n"/>
      <c r="N869" s="27" t="n">
        <v>0</v>
      </c>
      <c r="O869" s="28" t="n"/>
      <c r="P869" s="23" t="n"/>
      <c r="Q869" s="29" t="n"/>
      <c r="R869" s="29" t="n"/>
      <c r="S869" s="23" t="n"/>
      <c r="T869" s="30" t="n"/>
      <c r="U869" s="31" t="inlineStr">
        <is>
          <t>高</t>
        </is>
      </c>
      <c r="V869" s="32" t="inlineStr">
        <is>
          <t>中高共通。複数サイトで一致</t>
        </is>
      </c>
      <c r="W869" s="33" t="inlineStr">
        <is>
          <t>開く</t>
        </is>
      </c>
    </row>
    <row r="870" ht="30" customHeight="1">
      <c r="A870" s="23" t="inlineStr">
        <is>
          <t>26京都府</t>
        </is>
      </c>
      <c r="B870" s="23" t="inlineStr">
        <is>
          <t>私立</t>
        </is>
      </c>
      <c r="C870" s="23" t="n"/>
      <c r="D870" s="23" t="inlineStr">
        <is>
          <t>京都聖カタリナ高等学校</t>
        </is>
      </c>
      <c r="E870" s="24" t="inlineStr">
        <is>
          <t>0771-62-0163</t>
        </is>
      </c>
      <c r="F870" s="23" t="n"/>
      <c r="G870" s="25" t="inlineStr">
        <is>
          <t>普通科・専門学科</t>
        </is>
      </c>
      <c r="H870" s="26" t="inlineStr">
        <is>
          <t>☐</t>
        </is>
      </c>
      <c r="I870" s="26" t="inlineStr">
        <is>
          <t>☐</t>
        </is>
      </c>
      <c r="J870" s="26" t="inlineStr">
        <is>
          <t>☐</t>
        </is>
      </c>
      <c r="K870" s="26" t="inlineStr">
        <is>
          <t>☐</t>
        </is>
      </c>
      <c r="L870" s="26" t="inlineStr">
        <is>
          <t>☐</t>
        </is>
      </c>
      <c r="M870" s="25" t="n"/>
      <c r="N870" s="27" t="n">
        <v>0</v>
      </c>
      <c r="O870" s="28" t="n"/>
      <c r="P870" s="23" t="n"/>
      <c r="Q870" s="29" t="n"/>
      <c r="R870" s="29" t="n"/>
      <c r="S870" s="23" t="n"/>
      <c r="T870" s="30" t="n"/>
      <c r="U870" s="31" t="inlineStr">
        <is>
          <t>高</t>
        </is>
      </c>
      <c r="V870" s="32" t="inlineStr">
        <is>
          <t>公式サイトに「代表」と記載</t>
        </is>
      </c>
      <c r="W870" s="33" t="inlineStr">
        <is>
          <t>開く</t>
        </is>
      </c>
    </row>
    <row r="871" ht="30" customHeight="1">
      <c r="A871" s="23" t="inlineStr">
        <is>
          <t>26京都府</t>
        </is>
      </c>
      <c r="B871" s="23" t="inlineStr">
        <is>
          <t>私立</t>
        </is>
      </c>
      <c r="C871" s="23" t="n"/>
      <c r="D871" s="23" t="inlineStr">
        <is>
          <t>京都成章高等学校</t>
        </is>
      </c>
      <c r="E871" s="24" t="inlineStr">
        <is>
          <t>075-332-4830</t>
        </is>
      </c>
      <c r="F871" s="23" t="n"/>
      <c r="G871" s="25" t="inlineStr">
        <is>
          <t>普通科</t>
        </is>
      </c>
      <c r="H871" s="26" t="inlineStr">
        <is>
          <t>☐</t>
        </is>
      </c>
      <c r="I871" s="26" t="inlineStr">
        <is>
          <t>☐</t>
        </is>
      </c>
      <c r="J871" s="26" t="inlineStr">
        <is>
          <t>☐</t>
        </is>
      </c>
      <c r="K871" s="26" t="inlineStr">
        <is>
          <t>☐</t>
        </is>
      </c>
      <c r="L871" s="26" t="inlineStr">
        <is>
          <t>☐</t>
        </is>
      </c>
      <c r="M871" s="25" t="n"/>
      <c r="N871" s="27" t="n">
        <v>0</v>
      </c>
      <c r="O871" s="28" t="n"/>
      <c r="P871" s="23" t="n"/>
      <c r="Q871" s="29" t="n"/>
      <c r="R871" s="29" t="n"/>
      <c r="S871" s="23" t="n"/>
      <c r="T871" s="30" t="n"/>
      <c r="U871" s="31" t="inlineStr">
        <is>
          <t>高</t>
        </is>
      </c>
      <c r="V871" s="32" t="inlineStr">
        <is>
          <t>公式サイトに「代表」と記載</t>
        </is>
      </c>
      <c r="W871" s="33" t="inlineStr">
        <is>
          <t>開く</t>
        </is>
      </c>
    </row>
    <row r="872" ht="30" customHeight="1">
      <c r="A872" s="23" t="inlineStr">
        <is>
          <t>26京都府</t>
        </is>
      </c>
      <c r="B872" s="23" t="inlineStr">
        <is>
          <t>私立</t>
        </is>
      </c>
      <c r="C872" s="23" t="n"/>
      <c r="D872" s="23" t="inlineStr">
        <is>
          <t>京都聖母学院高等学校</t>
        </is>
      </c>
      <c r="E872" s="24" t="inlineStr">
        <is>
          <t>075-645-8103</t>
        </is>
      </c>
      <c r="F872" s="23" t="n"/>
      <c r="G872" s="25" t="inlineStr">
        <is>
          <t>普通科</t>
        </is>
      </c>
      <c r="H872" s="26" t="inlineStr">
        <is>
          <t>☐</t>
        </is>
      </c>
      <c r="I872" s="26" t="inlineStr">
        <is>
          <t>☐</t>
        </is>
      </c>
      <c r="J872" s="26" t="inlineStr">
        <is>
          <t>☐</t>
        </is>
      </c>
      <c r="K872" s="26" t="inlineStr">
        <is>
          <t>☐</t>
        </is>
      </c>
      <c r="L872" s="26" t="inlineStr">
        <is>
          <t>☐</t>
        </is>
      </c>
      <c r="M872" s="25" t="n"/>
      <c r="N872" s="27" t="n">
        <v>0</v>
      </c>
      <c r="O872" s="28" t="n"/>
      <c r="P872" s="23" t="n"/>
      <c r="Q872" s="29" t="n"/>
      <c r="R872" s="29" t="n"/>
      <c r="S872" s="23" t="n"/>
      <c r="T872" s="30" t="n"/>
      <c r="U872" s="31" t="inlineStr">
        <is>
          <t>高</t>
        </is>
      </c>
      <c r="V872" s="32" t="inlineStr">
        <is>
          <t>公式サイトに「代表」と記載。中高共通</t>
        </is>
      </c>
      <c r="W872" s="33" t="inlineStr">
        <is>
          <t>開く</t>
        </is>
      </c>
    </row>
    <row r="873" ht="30" customHeight="1">
      <c r="A873" s="23" t="inlineStr">
        <is>
          <t>26京都府</t>
        </is>
      </c>
      <c r="B873" s="23" t="inlineStr">
        <is>
          <t>私立</t>
        </is>
      </c>
      <c r="C873" s="23" t="n"/>
      <c r="D873" s="23" t="inlineStr">
        <is>
          <t>京都先端科学大学附属高等学校</t>
        </is>
      </c>
      <c r="E873" s="24" t="inlineStr">
        <is>
          <t>075-461-5105</t>
        </is>
      </c>
      <c r="F873" s="23" t="n"/>
      <c r="G873" s="25" t="inlineStr">
        <is>
          <t>普通科</t>
        </is>
      </c>
      <c r="H873" s="26" t="inlineStr">
        <is>
          <t>☐</t>
        </is>
      </c>
      <c r="I873" s="26" t="inlineStr">
        <is>
          <t>☐</t>
        </is>
      </c>
      <c r="J873" s="26" t="inlineStr">
        <is>
          <t>☐</t>
        </is>
      </c>
      <c r="K873" s="26" t="inlineStr">
        <is>
          <t>☐</t>
        </is>
      </c>
      <c r="L873" s="26" t="inlineStr">
        <is>
          <t>☐</t>
        </is>
      </c>
      <c r="M873" s="25" t="n"/>
      <c r="N873" s="27" t="n">
        <v>0</v>
      </c>
      <c r="O873" s="28" t="n"/>
      <c r="P873" s="23" t="n"/>
      <c r="Q873" s="29" t="n"/>
      <c r="R873" s="29" t="n"/>
      <c r="S873" s="23" t="n"/>
      <c r="T873" s="30" t="n"/>
      <c r="U873" s="31" t="inlineStr">
        <is>
          <t>高</t>
        </is>
      </c>
      <c r="V873" s="32" t="inlineStr">
        <is>
          <t>公式サイトで確認。中高共通</t>
        </is>
      </c>
      <c r="W873" s="33" t="inlineStr">
        <is>
          <t>開く</t>
        </is>
      </c>
    </row>
    <row r="874" ht="30" customHeight="1">
      <c r="A874" s="23" t="inlineStr">
        <is>
          <t>26京都府</t>
        </is>
      </c>
      <c r="B874" s="23" t="inlineStr">
        <is>
          <t>私立</t>
        </is>
      </c>
      <c r="C874" s="23" t="n"/>
      <c r="D874" s="23" t="inlineStr">
        <is>
          <t>京都橘高等学校</t>
        </is>
      </c>
      <c r="E874" s="24" t="inlineStr">
        <is>
          <t>075-623-0066</t>
        </is>
      </c>
      <c r="F874" s="23" t="n"/>
      <c r="G874" s="25" t="inlineStr">
        <is>
          <t>普通科</t>
        </is>
      </c>
      <c r="H874" s="26" t="inlineStr">
        <is>
          <t>☐</t>
        </is>
      </c>
      <c r="I874" s="26" t="inlineStr">
        <is>
          <t>☐</t>
        </is>
      </c>
      <c r="J874" s="26" t="inlineStr">
        <is>
          <t>☐</t>
        </is>
      </c>
      <c r="K874" s="26" t="inlineStr">
        <is>
          <t>☐</t>
        </is>
      </c>
      <c r="L874" s="26" t="inlineStr">
        <is>
          <t>☐</t>
        </is>
      </c>
      <c r="M874" s="25" t="n"/>
      <c r="N874" s="27" t="n">
        <v>0</v>
      </c>
      <c r="O874" s="28" t="n"/>
      <c r="P874" s="23" t="n"/>
      <c r="Q874" s="29" t="n"/>
      <c r="R874" s="29" t="n"/>
      <c r="S874" s="23" t="n"/>
      <c r="T874" s="30" t="n"/>
      <c r="U874" s="31" t="inlineStr">
        <is>
          <t>高</t>
        </is>
      </c>
      <c r="V874" s="32" t="inlineStr">
        <is>
          <t>公式サイトで確認。中高共通</t>
        </is>
      </c>
      <c r="W874" s="33" t="inlineStr">
        <is>
          <t>開く</t>
        </is>
      </c>
    </row>
    <row r="875" ht="30" customHeight="1">
      <c r="A875" s="23" t="inlineStr">
        <is>
          <t>26京都府</t>
        </is>
      </c>
      <c r="B875" s="23" t="inlineStr">
        <is>
          <t>私立</t>
        </is>
      </c>
      <c r="C875" s="23" t="n"/>
      <c r="D875" s="23" t="inlineStr">
        <is>
          <t>京都西山高等学校</t>
        </is>
      </c>
      <c r="E875" s="24" t="inlineStr">
        <is>
          <t>075-934-2480</t>
        </is>
      </c>
      <c r="F875" s="23" t="n"/>
      <c r="G875" s="25" t="inlineStr">
        <is>
          <t>普通科</t>
        </is>
      </c>
      <c r="H875" s="26" t="inlineStr">
        <is>
          <t>☐</t>
        </is>
      </c>
      <c r="I875" s="26" t="inlineStr">
        <is>
          <t>☐</t>
        </is>
      </c>
      <c r="J875" s="26" t="inlineStr">
        <is>
          <t>☐</t>
        </is>
      </c>
      <c r="K875" s="26" t="inlineStr">
        <is>
          <t>☐</t>
        </is>
      </c>
      <c r="L875" s="26" t="inlineStr">
        <is>
          <t>☐</t>
        </is>
      </c>
      <c r="M875" s="25" t="n"/>
      <c r="N875" s="27" t="n">
        <v>0</v>
      </c>
      <c r="O875" s="28" t="n"/>
      <c r="P875" s="23" t="n"/>
      <c r="Q875" s="29" t="n"/>
      <c r="R875" s="29" t="n"/>
      <c r="S875" s="23" t="n"/>
      <c r="T875" s="30" t="n"/>
      <c r="U875" s="31" t="inlineStr">
        <is>
          <t>高</t>
        </is>
      </c>
      <c r="V875" s="32" t="inlineStr">
        <is>
          <t>全日制の番号。複数サイトで一致、公式未確認。通信制課程は別番号</t>
        </is>
      </c>
      <c r="W875" s="33" t="inlineStr">
        <is>
          <t>開く</t>
        </is>
      </c>
    </row>
    <row r="876" ht="30" customHeight="1">
      <c r="A876" s="23" t="inlineStr">
        <is>
          <t>26京都府</t>
        </is>
      </c>
      <c r="B876" s="23" t="inlineStr">
        <is>
          <t>私立</t>
        </is>
      </c>
      <c r="C876" s="23" t="n"/>
      <c r="D876" s="23" t="inlineStr">
        <is>
          <t>京都文教高等学校</t>
        </is>
      </c>
      <c r="E876" s="24" t="inlineStr">
        <is>
          <t>075-771-6155</t>
        </is>
      </c>
      <c r="F876" s="23" t="n"/>
      <c r="G876" s="25" t="inlineStr">
        <is>
          <t>普通科</t>
        </is>
      </c>
      <c r="H876" s="26" t="inlineStr">
        <is>
          <t>☐</t>
        </is>
      </c>
      <c r="I876" s="26" t="inlineStr">
        <is>
          <t>☐</t>
        </is>
      </c>
      <c r="J876" s="26" t="inlineStr">
        <is>
          <t>☐</t>
        </is>
      </c>
      <c r="K876" s="26" t="inlineStr">
        <is>
          <t>☐</t>
        </is>
      </c>
      <c r="L876" s="26" t="inlineStr">
        <is>
          <t>☐</t>
        </is>
      </c>
      <c r="M876" s="25" t="n"/>
      <c r="N876" s="27" t="n">
        <v>0</v>
      </c>
      <c r="O876" s="28" t="n"/>
      <c r="P876" s="23" t="n"/>
      <c r="Q876" s="29" t="n"/>
      <c r="R876" s="29" t="n"/>
      <c r="S876" s="23" t="n"/>
      <c r="T876" s="30" t="n"/>
      <c r="U876" s="31" t="inlineStr">
        <is>
          <t>高</t>
        </is>
      </c>
      <c r="V876" s="32" t="inlineStr">
        <is>
          <t>公式サイトに「代表」と記載。入試部直通は075-752-6818</t>
        </is>
      </c>
      <c r="W876" s="33" t="inlineStr">
        <is>
          <t>開く</t>
        </is>
      </c>
    </row>
    <row r="877" ht="30" customHeight="1">
      <c r="A877" s="23" t="inlineStr">
        <is>
          <t>26京都府</t>
        </is>
      </c>
      <c r="B877" s="23" t="inlineStr">
        <is>
          <t>私立</t>
        </is>
      </c>
      <c r="C877" s="23" t="n"/>
      <c r="D877" s="23" t="inlineStr">
        <is>
          <t>京都美山高等学校</t>
        </is>
      </c>
      <c r="E877" s="24" t="inlineStr">
        <is>
          <t>075-441-3401</t>
        </is>
      </c>
      <c r="F877" s="23" t="n"/>
      <c r="G877" s="25" t="inlineStr">
        <is>
          <t>普通科</t>
        </is>
      </c>
      <c r="H877" s="26" t="inlineStr">
        <is>
          <t>☐</t>
        </is>
      </c>
      <c r="I877" s="26" t="inlineStr">
        <is>
          <t>☐</t>
        </is>
      </c>
      <c r="J877" s="26" t="inlineStr">
        <is>
          <t>☐</t>
        </is>
      </c>
      <c r="K877" s="26" t="inlineStr">
        <is>
          <t>☐</t>
        </is>
      </c>
      <c r="L877" s="26" t="inlineStr">
        <is>
          <t>☐</t>
        </is>
      </c>
      <c r="M877" s="25" t="n"/>
      <c r="N877" s="27" t="n">
        <v>0</v>
      </c>
      <c r="O877" s="28" t="n"/>
      <c r="P877" s="23" t="n"/>
      <c r="Q877" s="29" t="n"/>
      <c r="R877" s="29" t="n"/>
      <c r="S877" s="23" t="n"/>
      <c r="T877" s="30" t="n"/>
      <c r="U877" s="31" t="inlineStr">
        <is>
          <t>高</t>
        </is>
      </c>
      <c r="V877" s="32" t="inlineStr">
        <is>
          <t>通信制。公式サイトに「代表」と記載。フリーダイヤル0120-561-380もあり</t>
        </is>
      </c>
      <c r="W877" s="33" t="inlineStr">
        <is>
          <t>開く</t>
        </is>
      </c>
    </row>
    <row r="878" ht="30" customHeight="1">
      <c r="A878" s="23" t="inlineStr">
        <is>
          <t>26京都府</t>
        </is>
      </c>
      <c r="B878" s="23" t="inlineStr">
        <is>
          <t>私立</t>
        </is>
      </c>
      <c r="C878" s="23" t="n"/>
      <c r="D878" s="23" t="inlineStr">
        <is>
          <t>京都明徳高等学校</t>
        </is>
      </c>
      <c r="E878" s="24" t="inlineStr">
        <is>
          <t>075-331-3361</t>
        </is>
      </c>
      <c r="F878" s="23" t="n"/>
      <c r="G878" s="25" t="inlineStr">
        <is>
          <t>普通科・専門学科</t>
        </is>
      </c>
      <c r="H878" s="26" t="inlineStr">
        <is>
          <t>☐</t>
        </is>
      </c>
      <c r="I878" s="26" t="inlineStr">
        <is>
          <t>☐</t>
        </is>
      </c>
      <c r="J878" s="26" t="inlineStr">
        <is>
          <t>☐</t>
        </is>
      </c>
      <c r="K878" s="26" t="inlineStr">
        <is>
          <t>☐</t>
        </is>
      </c>
      <c r="L878" s="26" t="inlineStr">
        <is>
          <t>☐</t>
        </is>
      </c>
      <c r="M878" s="25" t="n"/>
      <c r="N878" s="27" t="n">
        <v>0</v>
      </c>
      <c r="O878" s="28" t="n"/>
      <c r="P878" s="23" t="n"/>
      <c r="Q878" s="29" t="n"/>
      <c r="R878" s="29" t="n"/>
      <c r="S878" s="23" t="n"/>
      <c r="T878" s="30" t="n"/>
      <c r="U878" s="31" t="inlineStr">
        <is>
          <t>高</t>
        </is>
      </c>
      <c r="V878" s="32" t="inlineStr">
        <is>
          <t>公式サイトで確認</t>
        </is>
      </c>
      <c r="W878" s="33" t="inlineStr">
        <is>
          <t>開く</t>
        </is>
      </c>
    </row>
    <row r="879" ht="30" customHeight="1">
      <c r="A879" s="23" t="inlineStr">
        <is>
          <t>26京都府</t>
        </is>
      </c>
      <c r="B879" s="23" t="inlineStr">
        <is>
          <t>私立</t>
        </is>
      </c>
      <c r="C879" s="23" t="n"/>
      <c r="D879" s="23" t="inlineStr">
        <is>
          <t>京都両洋高等学校</t>
        </is>
      </c>
      <c r="E879" s="24" t="inlineStr">
        <is>
          <t>075-841-2025</t>
        </is>
      </c>
      <c r="F879" s="23" t="n"/>
      <c r="G879" s="25" t="inlineStr">
        <is>
          <t>普通科</t>
        </is>
      </c>
      <c r="H879" s="26" t="inlineStr">
        <is>
          <t>☐</t>
        </is>
      </c>
      <c r="I879" s="26" t="inlineStr">
        <is>
          <t>☐</t>
        </is>
      </c>
      <c r="J879" s="26" t="inlineStr">
        <is>
          <t>☐</t>
        </is>
      </c>
      <c r="K879" s="26" t="inlineStr">
        <is>
          <t>☐</t>
        </is>
      </c>
      <c r="L879" s="26" t="inlineStr">
        <is>
          <t>☐</t>
        </is>
      </c>
      <c r="M879" s="25" t="n"/>
      <c r="N879" s="27" t="n">
        <v>0</v>
      </c>
      <c r="O879" s="28" t="n"/>
      <c r="P879" s="23" t="n"/>
      <c r="Q879" s="29" t="n"/>
      <c r="R879" s="29" t="n"/>
      <c r="S879" s="23" t="n"/>
      <c r="T879" s="30" t="n"/>
      <c r="U879" s="31" t="inlineStr">
        <is>
          <t>高</t>
        </is>
      </c>
      <c r="V879" s="32" t="inlineStr">
        <is>
          <t>公式サイトに「代表」と記載</t>
        </is>
      </c>
      <c r="W879" s="33" t="inlineStr">
        <is>
          <t>開く</t>
        </is>
      </c>
    </row>
    <row r="880" ht="30" customHeight="1">
      <c r="A880" s="23" t="inlineStr">
        <is>
          <t>26京都府</t>
        </is>
      </c>
      <c r="B880" s="23" t="inlineStr">
        <is>
          <t>私立</t>
        </is>
      </c>
      <c r="C880" s="23" t="n"/>
      <c r="D880" s="23" t="inlineStr">
        <is>
          <t>同志社女子高等学校</t>
        </is>
      </c>
      <c r="E880" s="24" t="inlineStr">
        <is>
          <t>075-251-4305</t>
        </is>
      </c>
      <c r="F880" s="23" t="n"/>
      <c r="G880" s="25" t="inlineStr">
        <is>
          <t>普通科</t>
        </is>
      </c>
      <c r="H880" s="26" t="inlineStr">
        <is>
          <t>☐</t>
        </is>
      </c>
      <c r="I880" s="26" t="inlineStr">
        <is>
          <t>☐</t>
        </is>
      </c>
      <c r="J880" s="26" t="inlineStr">
        <is>
          <t>☐</t>
        </is>
      </c>
      <c r="K880" s="26" t="inlineStr">
        <is>
          <t>☐</t>
        </is>
      </c>
      <c r="L880" s="26" t="inlineStr">
        <is>
          <t>☐</t>
        </is>
      </c>
      <c r="M880" s="25" t="n"/>
      <c r="N880" s="27" t="n">
        <v>0</v>
      </c>
      <c r="O880" s="28" t="n"/>
      <c r="P880" s="23" t="n"/>
      <c r="Q880" s="29" t="n"/>
      <c r="R880" s="29" t="n"/>
      <c r="S880" s="23" t="n"/>
      <c r="T880" s="30" t="n"/>
      <c r="U880" s="31" t="inlineStr">
        <is>
          <t>高</t>
        </is>
      </c>
      <c r="V880" s="32" t="inlineStr">
        <is>
          <t>中高共通。複数サイトで一致、公式未確認</t>
        </is>
      </c>
      <c r="W880" s="33" t="inlineStr">
        <is>
          <t>開く</t>
        </is>
      </c>
    </row>
    <row r="881" ht="30" customHeight="1">
      <c r="A881" s="23" t="inlineStr">
        <is>
          <t>26京都府</t>
        </is>
      </c>
      <c r="B881" s="23" t="inlineStr">
        <is>
          <t>私立</t>
        </is>
      </c>
      <c r="C881" s="23" t="n"/>
      <c r="D881" s="23" t="inlineStr">
        <is>
          <t>同志社高等学校</t>
        </is>
      </c>
      <c r="E881" s="24" t="inlineStr">
        <is>
          <t>075-781-7121</t>
        </is>
      </c>
      <c r="F881" s="23" t="n"/>
      <c r="G881" s="25" t="inlineStr">
        <is>
          <t>普通科</t>
        </is>
      </c>
      <c r="H881" s="26" t="inlineStr">
        <is>
          <t>☐</t>
        </is>
      </c>
      <c r="I881" s="26" t="inlineStr">
        <is>
          <t>☐</t>
        </is>
      </c>
      <c r="J881" s="26" t="inlineStr">
        <is>
          <t>☐</t>
        </is>
      </c>
      <c r="K881" s="26" t="inlineStr">
        <is>
          <t>☐</t>
        </is>
      </c>
      <c r="L881" s="26" t="inlineStr">
        <is>
          <t>☐</t>
        </is>
      </c>
      <c r="M881" s="25" t="n"/>
      <c r="N881" s="27" t="n">
        <v>0</v>
      </c>
      <c r="O881" s="28" t="n"/>
      <c r="P881" s="23" t="n"/>
      <c r="Q881" s="29" t="n"/>
      <c r="R881" s="29" t="n"/>
      <c r="S881" s="23" t="n"/>
      <c r="T881" s="30" t="n"/>
      <c r="U881" s="31" t="inlineStr">
        <is>
          <t>高</t>
        </is>
      </c>
      <c r="V881" s="32" t="inlineStr">
        <is>
          <t>公式サイトで確認</t>
        </is>
      </c>
      <c r="W881" s="33" t="inlineStr">
        <is>
          <t>開く</t>
        </is>
      </c>
    </row>
    <row r="882" ht="30" customHeight="1">
      <c r="A882" s="23" t="inlineStr">
        <is>
          <t>26京都府</t>
        </is>
      </c>
      <c r="B882" s="23" t="inlineStr">
        <is>
          <t>私立</t>
        </is>
      </c>
      <c r="C882" s="23" t="n"/>
      <c r="D882" s="23" t="inlineStr">
        <is>
          <t>同志社国際高等学校</t>
        </is>
      </c>
      <c r="E882" s="24" t="inlineStr">
        <is>
          <t>0774-65-8911</t>
        </is>
      </c>
      <c r="F882" s="23" t="n"/>
      <c r="G882" s="25" t="inlineStr">
        <is>
          <t>普通科</t>
        </is>
      </c>
      <c r="H882" s="26" t="inlineStr">
        <is>
          <t>☐</t>
        </is>
      </c>
      <c r="I882" s="26" t="inlineStr">
        <is>
          <t>☐</t>
        </is>
      </c>
      <c r="J882" s="26" t="inlineStr">
        <is>
          <t>☐</t>
        </is>
      </c>
      <c r="K882" s="26" t="inlineStr">
        <is>
          <t>☐</t>
        </is>
      </c>
      <c r="L882" s="26" t="inlineStr">
        <is>
          <t>☐</t>
        </is>
      </c>
      <c r="M882" s="25" t="n"/>
      <c r="N882" s="27" t="n">
        <v>0</v>
      </c>
      <c r="O882" s="28" t="n"/>
      <c r="P882" s="23" t="n"/>
      <c r="Q882" s="29" t="n"/>
      <c r="R882" s="29" t="n"/>
      <c r="S882" s="23" t="n"/>
      <c r="T882" s="30" t="n"/>
      <c r="U882" s="31" t="inlineStr">
        <is>
          <t>高</t>
        </is>
      </c>
      <c r="V882" s="32" t="inlineStr">
        <is>
          <t>代表として掲載。中高共通</t>
        </is>
      </c>
      <c r="W882" s="33" t="inlineStr">
        <is>
          <t>開く</t>
        </is>
      </c>
    </row>
    <row r="883" ht="30" customHeight="1">
      <c r="A883" s="23" t="inlineStr">
        <is>
          <t>26京都府</t>
        </is>
      </c>
      <c r="B883" s="23" t="inlineStr">
        <is>
          <t>私立</t>
        </is>
      </c>
      <c r="C883" s="23" t="n"/>
      <c r="D883" s="23" t="inlineStr">
        <is>
          <t>日星高等学校</t>
        </is>
      </c>
      <c r="E883" s="24" t="inlineStr">
        <is>
          <t>0773-75-0452</t>
        </is>
      </c>
      <c r="F883" s="23" t="n"/>
      <c r="G883" s="25" t="inlineStr">
        <is>
          <t>普通科・専門学科</t>
        </is>
      </c>
      <c r="H883" s="26" t="inlineStr">
        <is>
          <t>☐</t>
        </is>
      </c>
      <c r="I883" s="26" t="inlineStr">
        <is>
          <t>☐</t>
        </is>
      </c>
      <c r="J883" s="26" t="inlineStr">
        <is>
          <t>☐</t>
        </is>
      </c>
      <c r="K883" s="26" t="inlineStr">
        <is>
          <t>☐</t>
        </is>
      </c>
      <c r="L883" s="26" t="inlineStr">
        <is>
          <t>☐</t>
        </is>
      </c>
      <c r="M883" s="25" t="n"/>
      <c r="N883" s="27" t="n">
        <v>0</v>
      </c>
      <c r="O883" s="28" t="n"/>
      <c r="P883" s="23" t="n"/>
      <c r="Q883" s="29" t="n"/>
      <c r="R883" s="29" t="n"/>
      <c r="S883" s="23" t="n"/>
      <c r="T883" s="30" t="n"/>
      <c r="U883" s="31" t="inlineStr">
        <is>
          <t>高</t>
        </is>
      </c>
      <c r="V883" s="32" t="inlineStr">
        <is>
          <t>公式サイトで確認。専攻科は0773-75-7610</t>
        </is>
      </c>
      <c r="W883" s="33" t="inlineStr">
        <is>
          <t>開く</t>
        </is>
      </c>
    </row>
    <row r="884" ht="30" customHeight="1">
      <c r="A884" s="23" t="inlineStr">
        <is>
          <t>26京都府</t>
        </is>
      </c>
      <c r="B884" s="23" t="inlineStr">
        <is>
          <t>私立</t>
        </is>
      </c>
      <c r="C884" s="23" t="n"/>
      <c r="D884" s="23" t="inlineStr">
        <is>
          <t>花園高等学校</t>
        </is>
      </c>
      <c r="E884" s="24" t="inlineStr">
        <is>
          <t>075-463-5221</t>
        </is>
      </c>
      <c r="F884" s="23" t="n"/>
      <c r="G884" s="25" t="inlineStr">
        <is>
          <t>普通科</t>
        </is>
      </c>
      <c r="H884" s="26" t="inlineStr">
        <is>
          <t>☐</t>
        </is>
      </c>
      <c r="I884" s="26" t="inlineStr">
        <is>
          <t>☐</t>
        </is>
      </c>
      <c r="J884" s="26" t="inlineStr">
        <is>
          <t>☐</t>
        </is>
      </c>
      <c r="K884" s="26" t="inlineStr">
        <is>
          <t>☐</t>
        </is>
      </c>
      <c r="L884" s="26" t="inlineStr">
        <is>
          <t>☐</t>
        </is>
      </c>
      <c r="M884" s="25" t="n"/>
      <c r="N884" s="27" t="n">
        <v>0</v>
      </c>
      <c r="O884" s="28" t="n"/>
      <c r="P884" s="23" t="n"/>
      <c r="Q884" s="29" t="n"/>
      <c r="R884" s="29" t="n"/>
      <c r="S884" s="23" t="n"/>
      <c r="T884" s="30" t="n"/>
      <c r="U884" s="31" t="inlineStr">
        <is>
          <t>高</t>
        </is>
      </c>
      <c r="V884" s="32" t="inlineStr">
        <is>
          <t>公式サイトで確認</t>
        </is>
      </c>
      <c r="W884" s="33" t="inlineStr">
        <is>
          <t>開く</t>
        </is>
      </c>
    </row>
    <row r="885" ht="30" customHeight="1">
      <c r="A885" s="23" t="inlineStr">
        <is>
          <t>26京都府</t>
        </is>
      </c>
      <c r="B885" s="23" t="inlineStr">
        <is>
          <t>私立</t>
        </is>
      </c>
      <c r="C885" s="23" t="n"/>
      <c r="D885" s="23" t="inlineStr">
        <is>
          <t>東山高等学校</t>
        </is>
      </c>
      <c r="E885" s="24" t="inlineStr">
        <is>
          <t>075-771-9121</t>
        </is>
      </c>
      <c r="F885" s="23" t="n"/>
      <c r="G885" s="25" t="inlineStr">
        <is>
          <t>普通科</t>
        </is>
      </c>
      <c r="H885" s="26" t="inlineStr">
        <is>
          <t>☐</t>
        </is>
      </c>
      <c r="I885" s="26" t="inlineStr">
        <is>
          <t>☐</t>
        </is>
      </c>
      <c r="J885" s="26" t="inlineStr">
        <is>
          <t>☐</t>
        </is>
      </c>
      <c r="K885" s="26" t="inlineStr">
        <is>
          <t>☐</t>
        </is>
      </c>
      <c r="L885" s="26" t="inlineStr">
        <is>
          <t>☐</t>
        </is>
      </c>
      <c r="M885" s="25" t="n"/>
      <c r="N885" s="27" t="n">
        <v>0</v>
      </c>
      <c r="O885" s="28" t="n"/>
      <c r="P885" s="23" t="n"/>
      <c r="Q885" s="29" t="n"/>
      <c r="R885" s="29" t="n"/>
      <c r="S885" s="23" t="n"/>
      <c r="T885" s="30" t="n"/>
      <c r="U885" s="31" t="inlineStr">
        <is>
          <t>高</t>
        </is>
      </c>
      <c r="V885" s="32" t="inlineStr">
        <is>
          <t>公式サイトに「代表」と記載</t>
        </is>
      </c>
      <c r="W885" s="33" t="inlineStr">
        <is>
          <t>開く</t>
        </is>
      </c>
    </row>
    <row r="886" ht="30" customHeight="1">
      <c r="A886" s="23" t="inlineStr">
        <is>
          <t>26京都府</t>
        </is>
      </c>
      <c r="B886" s="23" t="inlineStr">
        <is>
          <t>私立</t>
        </is>
      </c>
      <c r="C886" s="23" t="n"/>
      <c r="D886" s="23" t="inlineStr">
        <is>
          <t>福知山淑徳高等学校</t>
        </is>
      </c>
      <c r="E886" s="24" t="inlineStr">
        <is>
          <t>0773-22-3763</t>
        </is>
      </c>
      <c r="F886" s="23" t="n"/>
      <c r="G886" s="25" t="inlineStr">
        <is>
          <t>総合学科</t>
        </is>
      </c>
      <c r="H886" s="26" t="inlineStr">
        <is>
          <t>☐</t>
        </is>
      </c>
      <c r="I886" s="26" t="inlineStr">
        <is>
          <t>☐</t>
        </is>
      </c>
      <c r="J886" s="26" t="inlineStr">
        <is>
          <t>☐</t>
        </is>
      </c>
      <c r="K886" s="26" t="inlineStr">
        <is>
          <t>☐</t>
        </is>
      </c>
      <c r="L886" s="26" t="inlineStr">
        <is>
          <t>☐</t>
        </is>
      </c>
      <c r="M886" s="25" t="n"/>
      <c r="N886" s="27" t="n">
        <v>0</v>
      </c>
      <c r="O886" s="28" t="n"/>
      <c r="P886" s="23" t="n"/>
      <c r="Q886" s="29" t="n"/>
      <c r="R886" s="29" t="n"/>
      <c r="S886" s="23" t="n"/>
      <c r="T886" s="30" t="n"/>
      <c r="U886" s="31" t="inlineStr">
        <is>
          <t>高</t>
        </is>
      </c>
      <c r="V886" s="32" t="inlineStr">
        <is>
          <t>公式サイトで確認。福知山成美とは別の学校</t>
        </is>
      </c>
      <c r="W886" s="33" t="inlineStr">
        <is>
          <t>開く</t>
        </is>
      </c>
    </row>
    <row r="887" ht="30" customHeight="1">
      <c r="A887" s="23" t="inlineStr">
        <is>
          <t>26京都府</t>
        </is>
      </c>
      <c r="B887" s="23" t="inlineStr">
        <is>
          <t>私立</t>
        </is>
      </c>
      <c r="C887" s="23" t="n"/>
      <c r="D887" s="23" t="inlineStr">
        <is>
          <t>福知山成美高等学校</t>
        </is>
      </c>
      <c r="E887" s="24" t="inlineStr">
        <is>
          <t>0773-22-6224</t>
        </is>
      </c>
      <c r="F887" s="23" t="n"/>
      <c r="G887" s="25" t="inlineStr">
        <is>
          <t>普通科・専門学科</t>
        </is>
      </c>
      <c r="H887" s="26" t="inlineStr">
        <is>
          <t>☐</t>
        </is>
      </c>
      <c r="I887" s="26" t="inlineStr">
        <is>
          <t>☐</t>
        </is>
      </c>
      <c r="J887" s="26" t="inlineStr">
        <is>
          <t>☐</t>
        </is>
      </c>
      <c r="K887" s="26" t="inlineStr">
        <is>
          <t>☐</t>
        </is>
      </c>
      <c r="L887" s="26" t="inlineStr">
        <is>
          <t>☐</t>
        </is>
      </c>
      <c r="M887" s="25" t="n"/>
      <c r="N887" s="27" t="n">
        <v>0</v>
      </c>
      <c r="O887" s="28" t="n"/>
      <c r="P887" s="23" t="n"/>
      <c r="Q887" s="29" t="n"/>
      <c r="R887" s="29" t="n"/>
      <c r="S887" s="23" t="n"/>
      <c r="T887" s="30" t="n"/>
      <c r="U887" s="31" t="inlineStr">
        <is>
          <t>高</t>
        </is>
      </c>
      <c r="V887" s="32" t="inlineStr">
        <is>
          <t>公式サイトで確認。福知山淑徳とは別の学校</t>
        </is>
      </c>
      <c r="W887" s="33" t="inlineStr">
        <is>
          <t>開く</t>
        </is>
      </c>
    </row>
    <row r="888" ht="30" customHeight="1">
      <c r="A888" s="23" t="inlineStr">
        <is>
          <t>26京都府</t>
        </is>
      </c>
      <c r="B888" s="23" t="inlineStr">
        <is>
          <t>私立</t>
        </is>
      </c>
      <c r="C888" s="23" t="n"/>
      <c r="D888" s="23" t="inlineStr">
        <is>
          <t>平安女学院高等学校</t>
        </is>
      </c>
      <c r="E888" s="24" t="inlineStr">
        <is>
          <t>075-414-8111</t>
        </is>
      </c>
      <c r="F888" s="23" t="n"/>
      <c r="G888" s="25" t="inlineStr">
        <is>
          <t>普通科</t>
        </is>
      </c>
      <c r="H888" s="26" t="inlineStr">
        <is>
          <t>☐</t>
        </is>
      </c>
      <c r="I888" s="26" t="inlineStr">
        <is>
          <t>☐</t>
        </is>
      </c>
      <c r="J888" s="26" t="inlineStr">
        <is>
          <t>☐</t>
        </is>
      </c>
      <c r="K888" s="26" t="inlineStr">
        <is>
          <t>☐</t>
        </is>
      </c>
      <c r="L888" s="26" t="inlineStr">
        <is>
          <t>☐</t>
        </is>
      </c>
      <c r="M888" s="25" t="n"/>
      <c r="N888" s="27" t="n">
        <v>0</v>
      </c>
      <c r="O888" s="28" t="n"/>
      <c r="P888" s="23" t="n"/>
      <c r="Q888" s="29" t="n"/>
      <c r="R888" s="29" t="n"/>
      <c r="S888" s="23" t="n"/>
      <c r="T888" s="30" t="n"/>
      <c r="U888" s="31" t="inlineStr">
        <is>
          <t>高</t>
        </is>
      </c>
      <c r="V888" s="32" t="inlineStr">
        <is>
          <t>公式サイトに「代表番号（入試関連以外）」と記載。入試は入学センター075-414-8101</t>
        </is>
      </c>
      <c r="W888" s="33" t="inlineStr">
        <is>
          <t>開く</t>
        </is>
      </c>
    </row>
    <row r="889" ht="30" customHeight="1">
      <c r="A889" s="23" t="inlineStr">
        <is>
          <t>26京都府</t>
        </is>
      </c>
      <c r="B889" s="23" t="inlineStr">
        <is>
          <t>私立</t>
        </is>
      </c>
      <c r="C889" s="23" t="n"/>
      <c r="D889" s="23" t="inlineStr">
        <is>
          <t>洛星高等学校</t>
        </is>
      </c>
      <c r="E889" s="24" t="inlineStr">
        <is>
          <t>075-466-0001</t>
        </is>
      </c>
      <c r="F889" s="23" t="n"/>
      <c r="G889" s="25" t="inlineStr">
        <is>
          <t>普通科</t>
        </is>
      </c>
      <c r="H889" s="26" t="inlineStr">
        <is>
          <t>☐</t>
        </is>
      </c>
      <c r="I889" s="26" t="inlineStr">
        <is>
          <t>☐</t>
        </is>
      </c>
      <c r="J889" s="26" t="inlineStr">
        <is>
          <t>☐</t>
        </is>
      </c>
      <c r="K889" s="26" t="inlineStr">
        <is>
          <t>☐</t>
        </is>
      </c>
      <c r="L889" s="26" t="inlineStr">
        <is>
          <t>☐</t>
        </is>
      </c>
      <c r="M889" s="25" t="n"/>
      <c r="N889" s="27" t="n">
        <v>0</v>
      </c>
      <c r="O889" s="28" t="n"/>
      <c r="P889" s="23" t="n"/>
      <c r="Q889" s="29" t="n"/>
      <c r="R889" s="29" t="n"/>
      <c r="S889" s="23" t="n"/>
      <c r="T889" s="30" t="n"/>
      <c r="U889" s="31" t="inlineStr">
        <is>
          <t>高</t>
        </is>
      </c>
      <c r="V889" s="32" t="inlineStr">
        <is>
          <t>中高共通の代表。洛星ノートルダム女学院とは別の学校</t>
        </is>
      </c>
      <c r="W889" s="33" t="inlineStr">
        <is>
          <t>開く</t>
        </is>
      </c>
    </row>
    <row r="890" ht="30" customHeight="1">
      <c r="A890" s="23" t="inlineStr">
        <is>
          <t>26京都府</t>
        </is>
      </c>
      <c r="B890" s="23" t="inlineStr">
        <is>
          <t>私立</t>
        </is>
      </c>
      <c r="C890" s="23" t="n"/>
      <c r="D890" s="23" t="inlineStr">
        <is>
          <t>洛星ノートルダム女学院高等学校</t>
        </is>
      </c>
      <c r="E890" s="24" t="inlineStr">
        <is>
          <t>075-771-0570</t>
        </is>
      </c>
      <c r="F890" s="23" t="n"/>
      <c r="G890" s="25" t="inlineStr">
        <is>
          <t>普通科</t>
        </is>
      </c>
      <c r="H890" s="26" t="inlineStr">
        <is>
          <t>☐</t>
        </is>
      </c>
      <c r="I890" s="26" t="inlineStr">
        <is>
          <t>☐</t>
        </is>
      </c>
      <c r="J890" s="26" t="inlineStr">
        <is>
          <t>☐</t>
        </is>
      </c>
      <c r="K890" s="26" t="inlineStr">
        <is>
          <t>☐</t>
        </is>
      </c>
      <c r="L890" s="26" t="inlineStr">
        <is>
          <t>☐</t>
        </is>
      </c>
      <c r="M890" s="25" t="n"/>
      <c r="N890" s="27" t="n">
        <v>0</v>
      </c>
      <c r="O890" s="28" t="n"/>
      <c r="P890" s="23" t="n"/>
      <c r="Q890" s="29" t="n"/>
      <c r="R890" s="29" t="n"/>
      <c r="S890" s="23" t="n"/>
      <c r="T890" s="30" t="n"/>
      <c r="U890" s="31" t="inlineStr">
        <is>
          <t>高</t>
        </is>
      </c>
      <c r="V890" s="32" t="inlineStr">
        <is>
          <t>公式サイトに「代表」と記載。【校名変更】2026年4月にノートルダム女学院から改称。洛星高校とは別の学校</t>
        </is>
      </c>
      <c r="W890" s="33" t="inlineStr">
        <is>
          <t>開く</t>
        </is>
      </c>
    </row>
    <row r="891" ht="30" customHeight="1">
      <c r="A891" s="23" t="inlineStr">
        <is>
          <t>26京都府</t>
        </is>
      </c>
      <c r="B891" s="23" t="inlineStr">
        <is>
          <t>私立</t>
        </is>
      </c>
      <c r="C891" s="23" t="n"/>
      <c r="D891" s="23" t="inlineStr">
        <is>
          <t>洛南高等学校</t>
        </is>
      </c>
      <c r="E891" s="24" t="inlineStr">
        <is>
          <t>075-681-6511</t>
        </is>
      </c>
      <c r="F891" s="23" t="n"/>
      <c r="G891" s="25" t="inlineStr">
        <is>
          <t>普通科</t>
        </is>
      </c>
      <c r="H891" s="26" t="inlineStr">
        <is>
          <t>☐</t>
        </is>
      </c>
      <c r="I891" s="26" t="inlineStr">
        <is>
          <t>☐</t>
        </is>
      </c>
      <c r="J891" s="26" t="inlineStr">
        <is>
          <t>☐</t>
        </is>
      </c>
      <c r="K891" s="26" t="inlineStr">
        <is>
          <t>☐</t>
        </is>
      </c>
      <c r="L891" s="26" t="inlineStr">
        <is>
          <t>☐</t>
        </is>
      </c>
      <c r="M891" s="25" t="n"/>
      <c r="N891" s="27" t="n">
        <v>0</v>
      </c>
      <c r="O891" s="28" t="n"/>
      <c r="P891" s="23" t="n"/>
      <c r="Q891" s="29" t="n"/>
      <c r="R891" s="29" t="n"/>
      <c r="S891" s="23" t="n"/>
      <c r="T891" s="30" t="n"/>
      <c r="U891" s="31" t="inlineStr">
        <is>
          <t>高</t>
        </is>
      </c>
      <c r="V891" s="32" t="inlineStr">
        <is>
          <t>公式サイトで確認。附属中学校は075-672-2661</t>
        </is>
      </c>
      <c r="W891" s="33" t="inlineStr">
        <is>
          <t>開く</t>
        </is>
      </c>
    </row>
    <row r="892" ht="30" customHeight="1">
      <c r="A892" s="23" t="inlineStr">
        <is>
          <t>26京都府</t>
        </is>
      </c>
      <c r="B892" s="23" t="inlineStr">
        <is>
          <t>私立</t>
        </is>
      </c>
      <c r="C892" s="23" t="n"/>
      <c r="D892" s="23" t="inlineStr">
        <is>
          <t>洛陽総合高等学校</t>
        </is>
      </c>
      <c r="E892" s="24" t="inlineStr">
        <is>
          <t>075-802-0394</t>
        </is>
      </c>
      <c r="F892" s="23" t="n"/>
      <c r="G892" s="25" t="inlineStr">
        <is>
          <t>総合学科</t>
        </is>
      </c>
      <c r="H892" s="26" t="inlineStr">
        <is>
          <t>☐</t>
        </is>
      </c>
      <c r="I892" s="26" t="inlineStr">
        <is>
          <t>☐</t>
        </is>
      </c>
      <c r="J892" s="26" t="inlineStr">
        <is>
          <t>☐</t>
        </is>
      </c>
      <c r="K892" s="26" t="inlineStr">
        <is>
          <t>☐</t>
        </is>
      </c>
      <c r="L892" s="26" t="inlineStr">
        <is>
          <t>☐</t>
        </is>
      </c>
      <c r="M892" s="25" t="n"/>
      <c r="N892" s="27" t="n">
        <v>0</v>
      </c>
      <c r="O892" s="28" t="n"/>
      <c r="P892" s="23" t="n"/>
      <c r="Q892" s="29" t="n"/>
      <c r="R892" s="29" t="n"/>
      <c r="S892" s="23" t="n"/>
      <c r="T892" s="30" t="n"/>
      <c r="U892" s="31" t="inlineStr">
        <is>
          <t>高</t>
        </is>
      </c>
      <c r="V892" s="32" t="inlineStr">
        <is>
          <t>複数サイトで一致、公式未確認</t>
        </is>
      </c>
      <c r="W892" s="33" t="inlineStr">
        <is>
          <t>開く</t>
        </is>
      </c>
    </row>
    <row r="893" ht="30" customHeight="1">
      <c r="A893" s="23" t="inlineStr">
        <is>
          <t>26京都府</t>
        </is>
      </c>
      <c r="B893" s="23" t="inlineStr">
        <is>
          <t>私立</t>
        </is>
      </c>
      <c r="C893" s="23" t="n"/>
      <c r="D893" s="23" t="inlineStr">
        <is>
          <t>立命館宇治高等学校</t>
        </is>
      </c>
      <c r="E893" s="24" t="inlineStr">
        <is>
          <t>0774-41-3000</t>
        </is>
      </c>
      <c r="F893" s="23" t="n"/>
      <c r="G893" s="25" t="inlineStr">
        <is>
          <t>普通科</t>
        </is>
      </c>
      <c r="H893" s="26" t="inlineStr">
        <is>
          <t>☐</t>
        </is>
      </c>
      <c r="I893" s="26" t="inlineStr">
        <is>
          <t>☐</t>
        </is>
      </c>
      <c r="J893" s="26" t="inlineStr">
        <is>
          <t>☐</t>
        </is>
      </c>
      <c r="K893" s="26" t="inlineStr">
        <is>
          <t>☐</t>
        </is>
      </c>
      <c r="L893" s="26" t="inlineStr">
        <is>
          <t>☐</t>
        </is>
      </c>
      <c r="M893" s="25" t="n"/>
      <c r="N893" s="27" t="n">
        <v>0</v>
      </c>
      <c r="O893" s="28" t="n"/>
      <c r="P893" s="23" t="n"/>
      <c r="Q893" s="29" t="n"/>
      <c r="R893" s="29" t="n"/>
      <c r="S893" s="23" t="n"/>
      <c r="T893" s="30" t="n"/>
      <c r="U893" s="31" t="inlineStr">
        <is>
          <t>高</t>
        </is>
      </c>
      <c r="V893" s="32" t="inlineStr">
        <is>
          <t>公式サイトで確認。中高共通</t>
        </is>
      </c>
      <c r="W893" s="33" t="inlineStr">
        <is>
          <t>開く</t>
        </is>
      </c>
    </row>
    <row r="894" ht="30" customHeight="1">
      <c r="A894" s="23" t="inlineStr">
        <is>
          <t>26京都府</t>
        </is>
      </c>
      <c r="B894" s="23" t="inlineStr">
        <is>
          <t>私立</t>
        </is>
      </c>
      <c r="C894" s="23" t="n"/>
      <c r="D894" s="23" t="inlineStr">
        <is>
          <t>立命館高等学校</t>
        </is>
      </c>
      <c r="E894" s="24" t="inlineStr">
        <is>
          <t>075-323-7111</t>
        </is>
      </c>
      <c r="F894" s="23" t="n"/>
      <c r="G894" s="25" t="inlineStr">
        <is>
          <t>普通科</t>
        </is>
      </c>
      <c r="H894" s="26" t="inlineStr">
        <is>
          <t>☐</t>
        </is>
      </c>
      <c r="I894" s="26" t="inlineStr">
        <is>
          <t>☐</t>
        </is>
      </c>
      <c r="J894" s="26" t="inlineStr">
        <is>
          <t>☐</t>
        </is>
      </c>
      <c r="K894" s="26" t="inlineStr">
        <is>
          <t>☐</t>
        </is>
      </c>
      <c r="L894" s="26" t="inlineStr">
        <is>
          <t>☐</t>
        </is>
      </c>
      <c r="M894" s="25" t="n"/>
      <c r="N894" s="27" t="n">
        <v>0</v>
      </c>
      <c r="O894" s="28" t="n"/>
      <c r="P894" s="23" t="n"/>
      <c r="Q894" s="29" t="n"/>
      <c r="R894" s="29" t="n"/>
      <c r="S894" s="23" t="n"/>
      <c r="T894" s="30" t="n"/>
      <c r="U894" s="31" t="inlineStr">
        <is>
          <t>高</t>
        </is>
      </c>
      <c r="V894" s="32" t="inlineStr">
        <is>
          <t>公式サイトで確認。【移転】学校ネットの一覧では伏見区だが、現在は長岡京市（旧番号075-645-1051は使わない）</t>
        </is>
      </c>
      <c r="W894" s="33" t="inlineStr">
        <is>
          <t>開く</t>
        </is>
      </c>
    </row>
    <row r="895" ht="30" customHeight="1">
      <c r="A895" s="23" t="inlineStr">
        <is>
          <t>26京都府</t>
        </is>
      </c>
      <c r="B895" s="23" t="inlineStr">
        <is>
          <t>私立</t>
        </is>
      </c>
      <c r="C895" s="23" t="n"/>
      <c r="D895" s="23" t="inlineStr">
        <is>
          <t>龍谷大学付属平安高等学校</t>
        </is>
      </c>
      <c r="E895" s="24" t="inlineStr">
        <is>
          <t>075-361-4231</t>
        </is>
      </c>
      <c r="F895" s="23" t="n"/>
      <c r="G895" s="25" t="inlineStr">
        <is>
          <t>普通科</t>
        </is>
      </c>
      <c r="H895" s="26" t="inlineStr">
        <is>
          <t>☐</t>
        </is>
      </c>
      <c r="I895" s="26" t="inlineStr">
        <is>
          <t>☐</t>
        </is>
      </c>
      <c r="J895" s="26" t="inlineStr">
        <is>
          <t>☐</t>
        </is>
      </c>
      <c r="K895" s="26" t="inlineStr">
        <is>
          <t>☐</t>
        </is>
      </c>
      <c r="L895" s="26" t="inlineStr">
        <is>
          <t>☐</t>
        </is>
      </c>
      <c r="M895" s="25" t="n"/>
      <c r="N895" s="27" t="n">
        <v>0</v>
      </c>
      <c r="O895" s="28" t="n"/>
      <c r="P895" s="23" t="n"/>
      <c r="Q895" s="29" t="n"/>
      <c r="R895" s="29" t="n"/>
      <c r="S895" s="23" t="n"/>
      <c r="T895" s="30" t="n"/>
      <c r="U895" s="31" t="inlineStr">
        <is>
          <t>高</t>
        </is>
      </c>
      <c r="V895" s="32" t="inlineStr">
        <is>
          <t>公式サイトで確認</t>
        </is>
      </c>
      <c r="W895" s="33" t="inlineStr">
        <is>
          <t>開く</t>
        </is>
      </c>
    </row>
    <row r="896" ht="30" customHeight="1">
      <c r="A896" s="23" t="inlineStr">
        <is>
          <t>27大阪府</t>
        </is>
      </c>
      <c r="B896" s="23" t="inlineStr">
        <is>
          <t>私立</t>
        </is>
      </c>
      <c r="C896" s="23" t="n"/>
      <c r="D896" s="23" t="inlineStr">
        <is>
          <t>アサンプション国際高等学校</t>
        </is>
      </c>
      <c r="E896" s="24" t="inlineStr">
        <is>
          <t>072-721-3080</t>
        </is>
      </c>
      <c r="F896" s="23" t="n"/>
      <c r="G896" s="25" t="inlineStr">
        <is>
          <t>普通科</t>
        </is>
      </c>
      <c r="H896" s="26" t="inlineStr">
        <is>
          <t>☐</t>
        </is>
      </c>
      <c r="I896" s="26" t="inlineStr">
        <is>
          <t>☐</t>
        </is>
      </c>
      <c r="J896" s="26" t="inlineStr">
        <is>
          <t>☐</t>
        </is>
      </c>
      <c r="K896" s="26" t="inlineStr">
        <is>
          <t>☐</t>
        </is>
      </c>
      <c r="L896" s="26" t="inlineStr">
        <is>
          <t>☐</t>
        </is>
      </c>
      <c r="M896" s="25" t="n"/>
      <c r="N896" s="27" t="n">
        <v>0</v>
      </c>
      <c r="O896" s="28" t="n"/>
      <c r="P896" s="23" t="n"/>
      <c r="Q896" s="29" t="n"/>
      <c r="R896" s="29" t="n"/>
      <c r="S896" s="23" t="n"/>
      <c r="T896" s="30" t="n"/>
      <c r="U896" s="31" t="inlineStr">
        <is>
          <t>高</t>
        </is>
      </c>
      <c r="V896" s="32" t="inlineStr">
        <is>
          <t>中高共通番号。1サイトのみ072-721-7680と記載（誤記とみられる）</t>
        </is>
      </c>
      <c r="W896" s="33" t="inlineStr">
        <is>
          <t>開く</t>
        </is>
      </c>
    </row>
    <row r="897" ht="30" customHeight="1">
      <c r="A897" s="23" t="inlineStr">
        <is>
          <t>27大阪府</t>
        </is>
      </c>
      <c r="B897" s="23" t="inlineStr">
        <is>
          <t>私立</t>
        </is>
      </c>
      <c r="C897" s="23" t="n"/>
      <c r="D897" s="23" t="inlineStr">
        <is>
          <t>アナン学園高等学校</t>
        </is>
      </c>
      <c r="E897" s="24" t="inlineStr">
        <is>
          <t>06-6723-5511</t>
        </is>
      </c>
      <c r="F897" s="23" t="n"/>
      <c r="G897" s="25" t="inlineStr">
        <is>
          <t>普通科・専門学科</t>
        </is>
      </c>
      <c r="H897" s="26" t="inlineStr">
        <is>
          <t>☐</t>
        </is>
      </c>
      <c r="I897" s="26" t="inlineStr">
        <is>
          <t>☐</t>
        </is>
      </c>
      <c r="J897" s="26" t="inlineStr">
        <is>
          <t>☐</t>
        </is>
      </c>
      <c r="K897" s="26" t="inlineStr">
        <is>
          <t>☐</t>
        </is>
      </c>
      <c r="L897" s="26" t="inlineStr">
        <is>
          <t>☐</t>
        </is>
      </c>
      <c r="M897" s="25" t="n"/>
      <c r="N897" s="27" t="n">
        <v>0</v>
      </c>
      <c r="O897" s="28" t="n"/>
      <c r="P897" s="23" t="n"/>
      <c r="Q897" s="29" t="n"/>
      <c r="R897" s="29" t="n"/>
      <c r="S897" s="23" t="n"/>
      <c r="T897" s="30" t="n"/>
      <c r="U897" s="31" t="inlineStr">
        <is>
          <t>高</t>
        </is>
      </c>
      <c r="V897" s="32" t="inlineStr">
        <is>
          <t>法人の事業報告書（公式）で確認。1サイトのみ06-6732-1209と記載</t>
        </is>
      </c>
      <c r="W897" s="33" t="inlineStr">
        <is>
          <t>開く</t>
        </is>
      </c>
    </row>
    <row r="898" ht="30" customHeight="1">
      <c r="A898" s="23" t="inlineStr">
        <is>
          <t>27大阪府</t>
        </is>
      </c>
      <c r="B898" s="23" t="inlineStr">
        <is>
          <t>私立</t>
        </is>
      </c>
      <c r="C898" s="23" t="n"/>
      <c r="D898" s="23" t="inlineStr">
        <is>
          <t>あべの翔学高等学校</t>
        </is>
      </c>
      <c r="E898" s="24" t="inlineStr">
        <is>
          <t>06-6719-2801</t>
        </is>
      </c>
      <c r="F898" s="23" t="n"/>
      <c r="G898" s="25" t="inlineStr">
        <is>
          <t>普通科</t>
        </is>
      </c>
      <c r="H898" s="26" t="inlineStr">
        <is>
          <t>☐</t>
        </is>
      </c>
      <c r="I898" s="26" t="inlineStr">
        <is>
          <t>☐</t>
        </is>
      </c>
      <c r="J898" s="26" t="inlineStr">
        <is>
          <t>☐</t>
        </is>
      </c>
      <c r="K898" s="26" t="inlineStr">
        <is>
          <t>☐</t>
        </is>
      </c>
      <c r="L898" s="26" t="inlineStr">
        <is>
          <t>☐</t>
        </is>
      </c>
      <c r="M898" s="25" t="n"/>
      <c r="N898" s="27" t="n">
        <v>0</v>
      </c>
      <c r="O898" s="28" t="n"/>
      <c r="P898" s="23" t="n"/>
      <c r="Q898" s="29" t="n"/>
      <c r="R898" s="29" t="n"/>
      <c r="S898" s="23" t="n"/>
      <c r="T898" s="30" t="n"/>
      <c r="U898" s="31" t="inlineStr">
        <is>
          <t>高</t>
        </is>
      </c>
      <c r="V898" s="32" t="n"/>
      <c r="W898" s="33" t="inlineStr">
        <is>
          <t>開く</t>
        </is>
      </c>
    </row>
    <row r="899" ht="30" customHeight="1">
      <c r="A899" s="23" t="inlineStr">
        <is>
          <t>27大阪府</t>
        </is>
      </c>
      <c r="B899" s="23" t="inlineStr">
        <is>
          <t>私立</t>
        </is>
      </c>
      <c r="C899" s="23" t="n"/>
      <c r="D899" s="23" t="inlineStr">
        <is>
          <t>上宮高等学校</t>
        </is>
      </c>
      <c r="E899" s="24" t="inlineStr">
        <is>
          <t>06-6771-5701</t>
        </is>
      </c>
      <c r="F899" s="23" t="n"/>
      <c r="G899" s="25" t="inlineStr">
        <is>
          <t>普通科</t>
        </is>
      </c>
      <c r="H899" s="26" t="inlineStr">
        <is>
          <t>☐</t>
        </is>
      </c>
      <c r="I899" s="26" t="inlineStr">
        <is>
          <t>☐</t>
        </is>
      </c>
      <c r="J899" s="26" t="inlineStr">
        <is>
          <t>☐</t>
        </is>
      </c>
      <c r="K899" s="26" t="inlineStr">
        <is>
          <t>☐</t>
        </is>
      </c>
      <c r="L899" s="26" t="inlineStr">
        <is>
          <t>☐</t>
        </is>
      </c>
      <c r="M899" s="25" t="n"/>
      <c r="N899" s="27" t="n">
        <v>0</v>
      </c>
      <c r="O899" s="28" t="n"/>
      <c r="P899" s="23" t="n"/>
      <c r="Q899" s="29" t="n"/>
      <c r="R899" s="29" t="n"/>
      <c r="S899" s="23" t="n"/>
      <c r="T899" s="30" t="n"/>
      <c r="U899" s="31" t="inlineStr">
        <is>
          <t>高</t>
        </is>
      </c>
      <c r="V899" s="32" t="n"/>
      <c r="W899" s="33" t="inlineStr">
        <is>
          <t>開く</t>
        </is>
      </c>
    </row>
    <row r="900" ht="30" customHeight="1">
      <c r="A900" s="23" t="inlineStr">
        <is>
          <t>27大阪府</t>
        </is>
      </c>
      <c r="B900" s="23" t="inlineStr">
        <is>
          <t>私立</t>
        </is>
      </c>
      <c r="C900" s="23" t="n"/>
      <c r="D900" s="23" t="inlineStr">
        <is>
          <t>上宮太子高等学校</t>
        </is>
      </c>
      <c r="E900" s="24" t="inlineStr">
        <is>
          <t>0721-98-3611</t>
        </is>
      </c>
      <c r="F900" s="23" t="n"/>
      <c r="G900" s="25" t="inlineStr">
        <is>
          <t>普通科</t>
        </is>
      </c>
      <c r="H900" s="26" t="inlineStr">
        <is>
          <t>☐</t>
        </is>
      </c>
      <c r="I900" s="26" t="inlineStr">
        <is>
          <t>☐</t>
        </is>
      </c>
      <c r="J900" s="26" t="inlineStr">
        <is>
          <t>☐</t>
        </is>
      </c>
      <c r="K900" s="26" t="inlineStr">
        <is>
          <t>☐</t>
        </is>
      </c>
      <c r="L900" s="26" t="inlineStr">
        <is>
          <t>☐</t>
        </is>
      </c>
      <c r="M900" s="25" t="n"/>
      <c r="N900" s="27" t="n">
        <v>0</v>
      </c>
      <c r="O900" s="28" t="n"/>
      <c r="P900" s="23" t="n"/>
      <c r="Q900" s="29" t="n"/>
      <c r="R900" s="29" t="n"/>
      <c r="S900" s="23" t="n"/>
      <c r="T900" s="30" t="n"/>
      <c r="U900" s="31" t="inlineStr">
        <is>
          <t>高</t>
        </is>
      </c>
      <c r="V900" s="32" t="n"/>
      <c r="W900" s="33" t="inlineStr">
        <is>
          <t>開く</t>
        </is>
      </c>
    </row>
    <row r="901" ht="30" customHeight="1">
      <c r="A901" s="23" t="inlineStr">
        <is>
          <t>27大阪府</t>
        </is>
      </c>
      <c r="B901" s="23" t="inlineStr">
        <is>
          <t>私立</t>
        </is>
      </c>
      <c r="C901" s="23" t="n"/>
      <c r="D901" s="23" t="inlineStr">
        <is>
          <t>英真学園高等学校</t>
        </is>
      </c>
      <c r="E901" s="24" t="inlineStr">
        <is>
          <t>06-6303-2181</t>
        </is>
      </c>
      <c r="F901" s="23" t="n"/>
      <c r="G901" s="25" t="inlineStr">
        <is>
          <t>普通科</t>
        </is>
      </c>
      <c r="H901" s="26" t="inlineStr">
        <is>
          <t>☐</t>
        </is>
      </c>
      <c r="I901" s="26" t="inlineStr">
        <is>
          <t>☐</t>
        </is>
      </c>
      <c r="J901" s="26" t="inlineStr">
        <is>
          <t>☐</t>
        </is>
      </c>
      <c r="K901" s="26" t="inlineStr">
        <is>
          <t>☐</t>
        </is>
      </c>
      <c r="L901" s="26" t="inlineStr">
        <is>
          <t>☐</t>
        </is>
      </c>
      <c r="M901" s="25" t="n"/>
      <c r="N901" s="27" t="n">
        <v>0</v>
      </c>
      <c r="O901" s="28" t="n"/>
      <c r="P901" s="23" t="n"/>
      <c r="Q901" s="29" t="n"/>
      <c r="R901" s="29" t="n"/>
      <c r="S901" s="23" t="n"/>
      <c r="T901" s="30" t="n"/>
      <c r="U901" s="31" t="inlineStr">
        <is>
          <t>高</t>
        </is>
      </c>
      <c r="V901" s="32" t="n"/>
      <c r="W901" s="33" t="inlineStr">
        <is>
          <t>開く</t>
        </is>
      </c>
    </row>
    <row r="902" ht="30" customHeight="1">
      <c r="A902" s="23" t="inlineStr">
        <is>
          <t>27大阪府</t>
        </is>
      </c>
      <c r="B902" s="23" t="inlineStr">
        <is>
          <t>私立</t>
        </is>
      </c>
      <c r="C902" s="23" t="n"/>
      <c r="D902" s="23" t="inlineStr">
        <is>
          <t>英風高等学校</t>
        </is>
      </c>
      <c r="E902" s="24" t="inlineStr">
        <is>
          <t>06-6464-0668</t>
        </is>
      </c>
      <c r="F902" s="23" t="n"/>
      <c r="G902" s="25" t="inlineStr">
        <is>
          <t>普通科</t>
        </is>
      </c>
      <c r="H902" s="26" t="inlineStr">
        <is>
          <t>☐</t>
        </is>
      </c>
      <c r="I902" s="26" t="inlineStr">
        <is>
          <t>☐</t>
        </is>
      </c>
      <c r="J902" s="26" t="inlineStr">
        <is>
          <t>☐</t>
        </is>
      </c>
      <c r="K902" s="26" t="inlineStr">
        <is>
          <t>☐</t>
        </is>
      </c>
      <c r="L902" s="26" t="inlineStr">
        <is>
          <t>☐</t>
        </is>
      </c>
      <c r="M902" s="25" t="n"/>
      <c r="N902" s="27" t="n">
        <v>0</v>
      </c>
      <c r="O902" s="28" t="n"/>
      <c r="P902" s="23" t="n"/>
      <c r="Q902" s="29" t="n"/>
      <c r="R902" s="29" t="n"/>
      <c r="S902" s="23" t="n"/>
      <c r="T902" s="30" t="n"/>
      <c r="U902" s="31" t="inlineStr">
        <is>
          <t>高</t>
        </is>
      </c>
      <c r="V902" s="32" t="inlineStr">
        <is>
          <t>通信制（女子）。フリーダイヤル0120-812-078も公式記載</t>
        </is>
      </c>
      <c r="W902" s="33" t="inlineStr">
        <is>
          <t>開く</t>
        </is>
      </c>
    </row>
    <row r="903" ht="30" customHeight="1">
      <c r="A903" s="23" t="inlineStr">
        <is>
          <t>27大阪府</t>
        </is>
      </c>
      <c r="B903" s="23" t="inlineStr">
        <is>
          <t>私立</t>
        </is>
      </c>
      <c r="C903" s="23" t="n"/>
      <c r="D903" s="23" t="inlineStr">
        <is>
          <t>追手門学院大手前高等学校</t>
        </is>
      </c>
      <c r="E903" s="24" t="inlineStr">
        <is>
          <t>06-6942-2235</t>
        </is>
      </c>
      <c r="F903" s="23" t="n"/>
      <c r="G903" s="25" t="inlineStr">
        <is>
          <t>普通科</t>
        </is>
      </c>
      <c r="H903" s="26" t="inlineStr">
        <is>
          <t>☐</t>
        </is>
      </c>
      <c r="I903" s="26" t="inlineStr">
        <is>
          <t>☐</t>
        </is>
      </c>
      <c r="J903" s="26" t="inlineStr">
        <is>
          <t>☐</t>
        </is>
      </c>
      <c r="K903" s="26" t="inlineStr">
        <is>
          <t>☐</t>
        </is>
      </c>
      <c r="L903" s="26" t="inlineStr">
        <is>
          <t>☐</t>
        </is>
      </c>
      <c r="M903" s="25" t="n"/>
      <c r="N903" s="27" t="n">
        <v>0</v>
      </c>
      <c r="O903" s="28" t="n"/>
      <c r="P903" s="23" t="n"/>
      <c r="Q903" s="29" t="n"/>
      <c r="R903" s="29" t="n"/>
      <c r="S903" s="23" t="n"/>
      <c r="T903" s="30" t="n"/>
      <c r="U903" s="31" t="inlineStr">
        <is>
          <t>高</t>
        </is>
      </c>
      <c r="V903" s="32" t="inlineStr">
        <is>
          <t>中高共通番号</t>
        </is>
      </c>
      <c r="W903" s="33" t="inlineStr">
        <is>
          <t>開く</t>
        </is>
      </c>
    </row>
    <row r="904" ht="30" customHeight="1">
      <c r="A904" s="23" t="inlineStr">
        <is>
          <t>27大阪府</t>
        </is>
      </c>
      <c r="B904" s="23" t="inlineStr">
        <is>
          <t>私立</t>
        </is>
      </c>
      <c r="C904" s="23" t="n"/>
      <c r="D904" s="23" t="inlineStr">
        <is>
          <t>追手門学院高等学校</t>
        </is>
      </c>
      <c r="E904" s="24" t="inlineStr">
        <is>
          <t>072-697-8185</t>
        </is>
      </c>
      <c r="F904" s="23" t="n"/>
      <c r="G904" s="25" t="inlineStr">
        <is>
          <t>普通科</t>
        </is>
      </c>
      <c r="H904" s="26" t="inlineStr">
        <is>
          <t>☐</t>
        </is>
      </c>
      <c r="I904" s="26" t="inlineStr">
        <is>
          <t>☐</t>
        </is>
      </c>
      <c r="J904" s="26" t="inlineStr">
        <is>
          <t>☐</t>
        </is>
      </c>
      <c r="K904" s="26" t="inlineStr">
        <is>
          <t>☐</t>
        </is>
      </c>
      <c r="L904" s="26" t="inlineStr">
        <is>
          <t>☐</t>
        </is>
      </c>
      <c r="M904" s="25" t="n"/>
      <c r="N904" s="27" t="n">
        <v>0</v>
      </c>
      <c r="O904" s="28" t="n"/>
      <c r="P904" s="23" t="n"/>
      <c r="Q904" s="29" t="n"/>
      <c r="R904" s="29" t="n"/>
      <c r="S904" s="23" t="n"/>
      <c r="T904" s="30" t="n"/>
      <c r="U904" s="31" t="inlineStr">
        <is>
          <t>高</t>
        </is>
      </c>
      <c r="V904" s="32" t="inlineStr">
        <is>
          <t>中高共通代表。ユネスコ関連ページに072-643-1333の記載あり（旧番号の可能性）</t>
        </is>
      </c>
      <c r="W904" s="33" t="inlineStr">
        <is>
          <t>開く</t>
        </is>
      </c>
    </row>
    <row r="905" ht="30" customHeight="1">
      <c r="A905" s="23" t="inlineStr">
        <is>
          <t>27大阪府</t>
        </is>
      </c>
      <c r="B905" s="23" t="inlineStr">
        <is>
          <t>私立</t>
        </is>
      </c>
      <c r="C905" s="23" t="n"/>
      <c r="D905" s="23" t="inlineStr">
        <is>
          <t>大阪偕星学園高等学校</t>
        </is>
      </c>
      <c r="E905" s="24" t="inlineStr">
        <is>
          <t>06-6716-0003</t>
        </is>
      </c>
      <c r="F905" s="23" t="n"/>
      <c r="G905" s="25" t="inlineStr">
        <is>
          <t>普通科</t>
        </is>
      </c>
      <c r="H905" s="26" t="inlineStr">
        <is>
          <t>☐</t>
        </is>
      </c>
      <c r="I905" s="26" t="inlineStr">
        <is>
          <t>☐</t>
        </is>
      </c>
      <c r="J905" s="26" t="inlineStr">
        <is>
          <t>☐</t>
        </is>
      </c>
      <c r="K905" s="26" t="inlineStr">
        <is>
          <t>☐</t>
        </is>
      </c>
      <c r="L905" s="26" t="inlineStr">
        <is>
          <t>☐</t>
        </is>
      </c>
      <c r="M905" s="25" t="n"/>
      <c r="N905" s="27" t="n">
        <v>0</v>
      </c>
      <c r="O905" s="28" t="n"/>
      <c r="P905" s="23" t="n"/>
      <c r="Q905" s="29" t="n"/>
      <c r="R905" s="29" t="n"/>
      <c r="S905" s="23" t="n"/>
      <c r="T905" s="30" t="n"/>
      <c r="U905" s="31" t="inlineStr">
        <is>
          <t>高</t>
        </is>
      </c>
      <c r="V905" s="32" t="n"/>
      <c r="W905" s="33" t="inlineStr">
        <is>
          <t>開く</t>
        </is>
      </c>
    </row>
    <row r="906" ht="30" customHeight="1">
      <c r="A906" s="23" t="inlineStr">
        <is>
          <t>27大阪府</t>
        </is>
      </c>
      <c r="B906" s="23" t="inlineStr">
        <is>
          <t>私立</t>
        </is>
      </c>
      <c r="C906" s="23" t="n"/>
      <c r="D906" s="23" t="inlineStr">
        <is>
          <t>大阪学院大学高等学校</t>
        </is>
      </c>
      <c r="E906" s="24" t="inlineStr">
        <is>
          <t>06-6381-6661</t>
        </is>
      </c>
      <c r="F906" s="23" t="n"/>
      <c r="G906" s="25" t="inlineStr">
        <is>
          <t>普通科</t>
        </is>
      </c>
      <c r="H906" s="26" t="inlineStr">
        <is>
          <t>☐</t>
        </is>
      </c>
      <c r="I906" s="26" t="inlineStr">
        <is>
          <t>☐</t>
        </is>
      </c>
      <c r="J906" s="26" t="inlineStr">
        <is>
          <t>☐</t>
        </is>
      </c>
      <c r="K906" s="26" t="inlineStr">
        <is>
          <t>☐</t>
        </is>
      </c>
      <c r="L906" s="26" t="inlineStr">
        <is>
          <t>☐</t>
        </is>
      </c>
      <c r="M906" s="25" t="n"/>
      <c r="N906" s="27" t="n">
        <v>0</v>
      </c>
      <c r="O906" s="28" t="n"/>
      <c r="P906" s="23" t="n"/>
      <c r="Q906" s="29" t="n"/>
      <c r="R906" s="29" t="n"/>
      <c r="S906" s="23" t="n"/>
      <c r="T906" s="30" t="n"/>
      <c r="U906" s="31" t="inlineStr">
        <is>
          <t>高</t>
        </is>
      </c>
      <c r="V906" s="32" t="n"/>
      <c r="W906" s="33" t="inlineStr">
        <is>
          <t>開く</t>
        </is>
      </c>
    </row>
    <row r="907" ht="30" customHeight="1">
      <c r="A907" s="23" t="inlineStr">
        <is>
          <t>27大阪府</t>
        </is>
      </c>
      <c r="B907" s="23" t="inlineStr">
        <is>
          <t>私立</t>
        </is>
      </c>
      <c r="C907" s="23" t="n"/>
      <c r="D907" s="23" t="inlineStr">
        <is>
          <t>大阪学芸高等学校</t>
        </is>
      </c>
      <c r="E907" s="24" t="inlineStr">
        <is>
          <t>06-6693-6301</t>
        </is>
      </c>
      <c r="F907" s="23" t="n"/>
      <c r="G907" s="25" t="inlineStr">
        <is>
          <t>普通科</t>
        </is>
      </c>
      <c r="H907" s="26" t="inlineStr">
        <is>
          <t>☐</t>
        </is>
      </c>
      <c r="I907" s="26" t="inlineStr">
        <is>
          <t>☐</t>
        </is>
      </c>
      <c r="J907" s="26" t="inlineStr">
        <is>
          <t>☐</t>
        </is>
      </c>
      <c r="K907" s="26" t="inlineStr">
        <is>
          <t>☐</t>
        </is>
      </c>
      <c r="L907" s="26" t="inlineStr">
        <is>
          <t>☐</t>
        </is>
      </c>
      <c r="M907" s="25" t="n"/>
      <c r="N907" s="27" t="n">
        <v>0</v>
      </c>
      <c r="O907" s="28" t="n"/>
      <c r="P907" s="23" t="n"/>
      <c r="Q907" s="29" t="n"/>
      <c r="R907" s="29" t="n"/>
      <c r="S907" s="23" t="n"/>
      <c r="T907" s="30" t="n"/>
      <c r="U907" s="31" t="inlineStr">
        <is>
          <t>高</t>
        </is>
      </c>
      <c r="V907" s="32" t="inlineStr">
        <is>
          <t>法人代表は06-6693-6303</t>
        </is>
      </c>
      <c r="W907" s="33" t="inlineStr">
        <is>
          <t>開く</t>
        </is>
      </c>
    </row>
    <row r="908" ht="30" customHeight="1">
      <c r="A908" s="23" t="inlineStr">
        <is>
          <t>27大阪府</t>
        </is>
      </c>
      <c r="B908" s="23" t="inlineStr">
        <is>
          <t>私立</t>
        </is>
      </c>
      <c r="C908" s="23" t="n"/>
      <c r="D908" s="23" t="inlineStr">
        <is>
          <t>大阪暁光高等学校</t>
        </is>
      </c>
      <c r="E908" s="24" t="inlineStr">
        <is>
          <t>0721-53-5281</t>
        </is>
      </c>
      <c r="F908" s="23" t="n"/>
      <c r="G908" s="25" t="inlineStr">
        <is>
          <t>普通科・専門学科</t>
        </is>
      </c>
      <c r="H908" s="26" t="inlineStr">
        <is>
          <t>☐</t>
        </is>
      </c>
      <c r="I908" s="26" t="inlineStr">
        <is>
          <t>☐</t>
        </is>
      </c>
      <c r="J908" s="26" t="inlineStr">
        <is>
          <t>☐</t>
        </is>
      </c>
      <c r="K908" s="26" t="inlineStr">
        <is>
          <t>☐</t>
        </is>
      </c>
      <c r="L908" s="26" t="inlineStr">
        <is>
          <t>☐</t>
        </is>
      </c>
      <c r="M908" s="25" t="n"/>
      <c r="N908" s="27" t="n">
        <v>0</v>
      </c>
      <c r="O908" s="28" t="n"/>
      <c r="P908" s="23" t="n"/>
      <c r="Q908" s="29" t="n"/>
      <c r="R908" s="29" t="n"/>
      <c r="S908" s="23" t="n"/>
      <c r="T908" s="30" t="n"/>
      <c r="U908" s="31" t="inlineStr">
        <is>
          <t>高</t>
        </is>
      </c>
      <c r="V908" s="32" t="inlineStr">
        <is>
          <t>入試広報室は0721-26-7098</t>
        </is>
      </c>
      <c r="W908" s="33" t="inlineStr">
        <is>
          <t>開く</t>
        </is>
      </c>
    </row>
    <row r="909" ht="30" customHeight="1">
      <c r="A909" s="23" t="inlineStr">
        <is>
          <t>27大阪府</t>
        </is>
      </c>
      <c r="B909" s="23" t="inlineStr">
        <is>
          <t>私立</t>
        </is>
      </c>
      <c r="C909" s="23" t="n"/>
      <c r="D909" s="23" t="inlineStr">
        <is>
          <t>大阪薫英女学院高等学校</t>
        </is>
      </c>
      <c r="E909" s="24" t="inlineStr">
        <is>
          <t>06-6381-5381</t>
        </is>
      </c>
      <c r="F909" s="23" t="n"/>
      <c r="G909" s="25" t="inlineStr">
        <is>
          <t>普通科・専門学科</t>
        </is>
      </c>
      <c r="H909" s="26" t="inlineStr">
        <is>
          <t>☐</t>
        </is>
      </c>
      <c r="I909" s="26" t="inlineStr">
        <is>
          <t>☐</t>
        </is>
      </c>
      <c r="J909" s="26" t="inlineStr">
        <is>
          <t>☐</t>
        </is>
      </c>
      <c r="K909" s="26" t="inlineStr">
        <is>
          <t>☐</t>
        </is>
      </c>
      <c r="L909" s="26" t="inlineStr">
        <is>
          <t>☐</t>
        </is>
      </c>
      <c r="M909" s="25" t="n"/>
      <c r="N909" s="27" t="n">
        <v>0</v>
      </c>
      <c r="O909" s="28" t="n"/>
      <c r="P909" s="23" t="n"/>
      <c r="Q909" s="29" t="n"/>
      <c r="R909" s="29" t="n"/>
      <c r="S909" s="23" t="n"/>
      <c r="T909" s="30" t="n"/>
      <c r="U909" s="31" t="inlineStr">
        <is>
          <t>高</t>
        </is>
      </c>
      <c r="V909" s="32" t="inlineStr">
        <is>
          <t>入試直通06-6381-0335。法人代表は06-6381-6548</t>
        </is>
      </c>
      <c r="W909" s="33" t="inlineStr">
        <is>
          <t>開く</t>
        </is>
      </c>
    </row>
    <row r="910" ht="30" customHeight="1">
      <c r="A910" s="23" t="inlineStr">
        <is>
          <t>27大阪府</t>
        </is>
      </c>
      <c r="B910" s="23" t="inlineStr">
        <is>
          <t>私立</t>
        </is>
      </c>
      <c r="C910" s="23" t="n"/>
      <c r="D910" s="23" t="inlineStr">
        <is>
          <t>大阪高等学校</t>
        </is>
      </c>
      <c r="E910" s="24" t="inlineStr">
        <is>
          <t>06-6340-3031</t>
        </is>
      </c>
      <c r="F910" s="23" t="n"/>
      <c r="G910" s="25" t="inlineStr">
        <is>
          <t>普通科</t>
        </is>
      </c>
      <c r="H910" s="26" t="inlineStr">
        <is>
          <t>☐</t>
        </is>
      </c>
      <c r="I910" s="26" t="inlineStr">
        <is>
          <t>☐</t>
        </is>
      </c>
      <c r="J910" s="26" t="inlineStr">
        <is>
          <t>☐</t>
        </is>
      </c>
      <c r="K910" s="26" t="inlineStr">
        <is>
          <t>☐</t>
        </is>
      </c>
      <c r="L910" s="26" t="inlineStr">
        <is>
          <t>☐</t>
        </is>
      </c>
      <c r="M910" s="25" t="n"/>
      <c r="N910" s="27" t="n">
        <v>0</v>
      </c>
      <c r="O910" s="28" t="n"/>
      <c r="P910" s="23" t="n"/>
      <c r="Q910" s="29" t="n"/>
      <c r="R910" s="29" t="n"/>
      <c r="S910" s="23" t="n"/>
      <c r="T910" s="30" t="n"/>
      <c r="U910" s="31" t="inlineStr">
        <is>
          <t>高</t>
        </is>
      </c>
      <c r="V910" s="32" t="inlineStr">
        <is>
          <t>大阪市東淀川区ページでも一致</t>
        </is>
      </c>
      <c r="W910" s="33" t="inlineStr">
        <is>
          <t>開く</t>
        </is>
      </c>
    </row>
    <row r="911" ht="30" customHeight="1">
      <c r="A911" s="23" t="inlineStr">
        <is>
          <t>27大阪府</t>
        </is>
      </c>
      <c r="B911" s="23" t="inlineStr">
        <is>
          <t>私立</t>
        </is>
      </c>
      <c r="C911" s="23" t="n"/>
      <c r="D911" s="23" t="inlineStr">
        <is>
          <t>大阪国際高等学校</t>
        </is>
      </c>
      <c r="E911" s="24" t="inlineStr">
        <is>
          <t>06-6992-5931</t>
        </is>
      </c>
      <c r="F911" s="23" t="n"/>
      <c r="G911" s="25" t="inlineStr">
        <is>
          <t>普通科</t>
        </is>
      </c>
      <c r="H911" s="26" t="inlineStr">
        <is>
          <t>☐</t>
        </is>
      </c>
      <c r="I911" s="26" t="inlineStr">
        <is>
          <t>☐</t>
        </is>
      </c>
      <c r="J911" s="26" t="inlineStr">
        <is>
          <t>☐</t>
        </is>
      </c>
      <c r="K911" s="26" t="inlineStr">
        <is>
          <t>☐</t>
        </is>
      </c>
      <c r="L911" s="26" t="inlineStr">
        <is>
          <t>☐</t>
        </is>
      </c>
      <c r="M911" s="25" t="n"/>
      <c r="N911" s="27" t="n">
        <v>0</v>
      </c>
      <c r="O911" s="28" t="n"/>
      <c r="P911" s="23" t="n"/>
      <c r="Q911" s="29" t="n"/>
      <c r="R911" s="29" t="n"/>
      <c r="S911" s="23" t="n"/>
      <c r="T911" s="30" t="n"/>
      <c r="U911" s="31" t="inlineStr">
        <is>
          <t>高</t>
        </is>
      </c>
      <c r="V911" s="32" t="inlineStr">
        <is>
          <t>中高一体（大阪国際中学校高等学校）。所在地は守口市松下町。募集広報部直通06-6992-5941</t>
        </is>
      </c>
      <c r="W911" s="33" t="inlineStr">
        <is>
          <t>開く</t>
        </is>
      </c>
    </row>
    <row r="912" ht="30" customHeight="1">
      <c r="A912" s="23" t="inlineStr">
        <is>
          <t>27大阪府</t>
        </is>
      </c>
      <c r="B912" s="23" t="inlineStr">
        <is>
          <t>私立</t>
        </is>
      </c>
      <c r="C912" s="23" t="n"/>
      <c r="D912" s="23" t="inlineStr">
        <is>
          <t>大阪金剛インターナショナル高等学校</t>
        </is>
      </c>
      <c r="E912" s="24" t="inlineStr">
        <is>
          <t>06-4703-1780</t>
        </is>
      </c>
      <c r="F912" s="23" t="n"/>
      <c r="G912" s="25" t="inlineStr">
        <is>
          <t>普通科</t>
        </is>
      </c>
      <c r="H912" s="26" t="inlineStr">
        <is>
          <t>☐</t>
        </is>
      </c>
      <c r="I912" s="26" t="inlineStr">
        <is>
          <t>☐</t>
        </is>
      </c>
      <c r="J912" s="26" t="inlineStr">
        <is>
          <t>☐</t>
        </is>
      </c>
      <c r="K912" s="26" t="inlineStr">
        <is>
          <t>☐</t>
        </is>
      </c>
      <c r="L912" s="26" t="inlineStr">
        <is>
          <t>☐</t>
        </is>
      </c>
      <c r="M912" s="25" t="n"/>
      <c r="N912" s="27" t="n">
        <v>0</v>
      </c>
      <c r="O912" s="28" t="n"/>
      <c r="P912" s="23" t="n"/>
      <c r="Q912" s="29" t="n"/>
      <c r="R912" s="29" t="n"/>
      <c r="S912" s="23" t="n"/>
      <c r="T912" s="30" t="n"/>
      <c r="U912" s="31" t="inlineStr">
        <is>
          <t>高</t>
        </is>
      </c>
      <c r="V912" s="32" t="inlineStr">
        <is>
          <t>一部サイトに06-4703-1781の記載あり</t>
        </is>
      </c>
      <c r="W912" s="33" t="inlineStr">
        <is>
          <t>開く</t>
        </is>
      </c>
    </row>
    <row r="913" ht="30" customHeight="1">
      <c r="A913" s="23" t="inlineStr">
        <is>
          <t>27大阪府</t>
        </is>
      </c>
      <c r="B913" s="23" t="inlineStr">
        <is>
          <t>私立</t>
        </is>
      </c>
      <c r="C913" s="23" t="n"/>
      <c r="D913" s="23" t="inlineStr">
        <is>
          <t>大阪産業大学附属高等学校</t>
        </is>
      </c>
      <c r="E913" s="24" t="inlineStr">
        <is>
          <t>06-6939-1491</t>
        </is>
      </c>
      <c r="F913" s="23" t="n"/>
      <c r="G913" s="25" t="inlineStr">
        <is>
          <t>普通科・専門学科</t>
        </is>
      </c>
      <c r="H913" s="26" t="inlineStr">
        <is>
          <t>☐</t>
        </is>
      </c>
      <c r="I913" s="26" t="inlineStr">
        <is>
          <t>☐</t>
        </is>
      </c>
      <c r="J913" s="26" t="inlineStr">
        <is>
          <t>☐</t>
        </is>
      </c>
      <c r="K913" s="26" t="inlineStr">
        <is>
          <t>☐</t>
        </is>
      </c>
      <c r="L913" s="26" t="inlineStr">
        <is>
          <t>☐</t>
        </is>
      </c>
      <c r="M913" s="25" t="n"/>
      <c r="N913" s="27" t="n">
        <v>0</v>
      </c>
      <c r="O913" s="28" t="n"/>
      <c r="P913" s="23" t="n"/>
      <c r="Q913" s="29" t="n"/>
      <c r="R913" s="29" t="n"/>
      <c r="S913" s="23" t="n"/>
      <c r="T913" s="30" t="n"/>
      <c r="U913" s="31" t="inlineStr">
        <is>
          <t>高</t>
        </is>
      </c>
      <c r="V913" s="32" t="n"/>
      <c r="W913" s="33" t="inlineStr">
        <is>
          <t>開く</t>
        </is>
      </c>
    </row>
    <row r="914" ht="30" customHeight="1">
      <c r="A914" s="23" t="inlineStr">
        <is>
          <t>27大阪府</t>
        </is>
      </c>
      <c r="B914" s="23" t="inlineStr">
        <is>
          <t>私立</t>
        </is>
      </c>
      <c r="C914" s="23" t="n"/>
      <c r="D914" s="23" t="inlineStr">
        <is>
          <t>大阪商業大学高等学校</t>
        </is>
      </c>
      <c r="E914" s="24" t="inlineStr">
        <is>
          <t>06-6781-3050</t>
        </is>
      </c>
      <c r="F914" s="23" t="n"/>
      <c r="G914" s="25" t="inlineStr">
        <is>
          <t>普通科</t>
        </is>
      </c>
      <c r="H914" s="26" t="inlineStr">
        <is>
          <t>☐</t>
        </is>
      </c>
      <c r="I914" s="26" t="inlineStr">
        <is>
          <t>☐</t>
        </is>
      </c>
      <c r="J914" s="26" t="inlineStr">
        <is>
          <t>☐</t>
        </is>
      </c>
      <c r="K914" s="26" t="inlineStr">
        <is>
          <t>☐</t>
        </is>
      </c>
      <c r="L914" s="26" t="inlineStr">
        <is>
          <t>☐</t>
        </is>
      </c>
      <c r="M914" s="25" t="n"/>
      <c r="N914" s="27" t="n">
        <v>0</v>
      </c>
      <c r="O914" s="28" t="n"/>
      <c r="P914" s="23" t="n"/>
      <c r="Q914" s="29" t="n"/>
      <c r="R914" s="29" t="n"/>
      <c r="S914" s="23" t="n"/>
      <c r="T914" s="30" t="n"/>
      <c r="U914" s="31" t="inlineStr">
        <is>
          <t>高</t>
        </is>
      </c>
      <c r="V914" s="32" t="inlineStr">
        <is>
          <t>一部電話帳サイトに06-6781-3060の記載あり（公式と不一致）</t>
        </is>
      </c>
      <c r="W914" s="33" t="inlineStr">
        <is>
          <t>開く</t>
        </is>
      </c>
    </row>
    <row r="915" ht="30" customHeight="1">
      <c r="A915" s="23" t="inlineStr">
        <is>
          <t>27大阪府</t>
        </is>
      </c>
      <c r="B915" s="23" t="inlineStr">
        <is>
          <t>私立</t>
        </is>
      </c>
      <c r="C915" s="23" t="n"/>
      <c r="D915" s="23" t="inlineStr">
        <is>
          <t>大阪商業大学堺高等学校</t>
        </is>
      </c>
      <c r="E915" s="24" t="inlineStr">
        <is>
          <t>072-278-2252</t>
        </is>
      </c>
      <c r="F915" s="23" t="n"/>
      <c r="G915" s="25" t="inlineStr">
        <is>
          <t>普通科</t>
        </is>
      </c>
      <c r="H915" s="26" t="inlineStr">
        <is>
          <t>☐</t>
        </is>
      </c>
      <c r="I915" s="26" t="inlineStr">
        <is>
          <t>☐</t>
        </is>
      </c>
      <c r="J915" s="26" t="inlineStr">
        <is>
          <t>☐</t>
        </is>
      </c>
      <c r="K915" s="26" t="inlineStr">
        <is>
          <t>☐</t>
        </is>
      </c>
      <c r="L915" s="26" t="inlineStr">
        <is>
          <t>☐</t>
        </is>
      </c>
      <c r="M915" s="25" t="n"/>
      <c r="N915" s="27" t="n">
        <v>0</v>
      </c>
      <c r="O915" s="28" t="n"/>
      <c r="P915" s="23" t="n"/>
      <c r="Q915" s="29" t="n"/>
      <c r="R915" s="29" t="n"/>
      <c r="S915" s="23" t="n"/>
      <c r="T915" s="30" t="n"/>
      <c r="U915" s="31" t="inlineStr">
        <is>
          <t>高</t>
        </is>
      </c>
      <c r="V915" s="32" t="n"/>
      <c r="W915" s="33" t="inlineStr">
        <is>
          <t>開く</t>
        </is>
      </c>
    </row>
    <row r="916" ht="30" customHeight="1">
      <c r="A916" s="23" t="inlineStr">
        <is>
          <t>27大阪府</t>
        </is>
      </c>
      <c r="B916" s="23" t="inlineStr">
        <is>
          <t>私立</t>
        </is>
      </c>
      <c r="C916" s="23" t="n"/>
      <c r="D916" s="23" t="inlineStr">
        <is>
          <t>大阪信愛学院高等学校</t>
        </is>
      </c>
      <c r="E916" s="24" t="inlineStr">
        <is>
          <t>06-6939-4391</t>
        </is>
      </c>
      <c r="F916" s="23" t="n"/>
      <c r="G916" s="25" t="inlineStr">
        <is>
          <t>普通科</t>
        </is>
      </c>
      <c r="H916" s="26" t="inlineStr">
        <is>
          <t>☐</t>
        </is>
      </c>
      <c r="I916" s="26" t="inlineStr">
        <is>
          <t>☐</t>
        </is>
      </c>
      <c r="J916" s="26" t="inlineStr">
        <is>
          <t>☐</t>
        </is>
      </c>
      <c r="K916" s="26" t="inlineStr">
        <is>
          <t>☐</t>
        </is>
      </c>
      <c r="L916" s="26" t="inlineStr">
        <is>
          <t>☐</t>
        </is>
      </c>
      <c r="M916" s="25" t="n"/>
      <c r="N916" s="27" t="n">
        <v>0</v>
      </c>
      <c r="O916" s="28" t="n"/>
      <c r="P916" s="23" t="n"/>
      <c r="Q916" s="29" t="n"/>
      <c r="R916" s="29" t="n"/>
      <c r="S916" s="23" t="n"/>
      <c r="T916" s="30" t="n"/>
      <c r="U916" s="31" t="inlineStr">
        <is>
          <t>高</t>
        </is>
      </c>
      <c r="V916" s="32" t="inlineStr">
        <is>
          <t>公式に「代表」と明記。公式アクセス・問合せページには06-6167-8546の記載もあり</t>
        </is>
      </c>
      <c r="W916" s="33" t="inlineStr">
        <is>
          <t>開く</t>
        </is>
      </c>
    </row>
    <row r="917" ht="30" customHeight="1">
      <c r="A917" s="23" t="inlineStr">
        <is>
          <t>27大阪府</t>
        </is>
      </c>
      <c r="B917" s="23" t="inlineStr">
        <is>
          <t>私立</t>
        </is>
      </c>
      <c r="C917" s="23" t="n"/>
      <c r="D917" s="23" t="inlineStr">
        <is>
          <t>大阪女学院高等学校</t>
        </is>
      </c>
      <c r="E917" s="24" t="inlineStr">
        <is>
          <t>06-6761-4113</t>
        </is>
      </c>
      <c r="F917" s="23" t="n"/>
      <c r="G917" s="25" t="inlineStr">
        <is>
          <t>普通科・専門学科</t>
        </is>
      </c>
      <c r="H917" s="26" t="inlineStr">
        <is>
          <t>☐</t>
        </is>
      </c>
      <c r="I917" s="26" t="inlineStr">
        <is>
          <t>☐</t>
        </is>
      </c>
      <c r="J917" s="26" t="inlineStr">
        <is>
          <t>☐</t>
        </is>
      </c>
      <c r="K917" s="26" t="inlineStr">
        <is>
          <t>☐</t>
        </is>
      </c>
      <c r="L917" s="26" t="inlineStr">
        <is>
          <t>☐</t>
        </is>
      </c>
      <c r="M917" s="25" t="n"/>
      <c r="N917" s="27" t="n">
        <v>0</v>
      </c>
      <c r="O917" s="28" t="n"/>
      <c r="P917" s="23" t="n"/>
      <c r="Q917" s="29" t="n"/>
      <c r="R917" s="29" t="n"/>
      <c r="S917" s="23" t="n"/>
      <c r="T917" s="30" t="n"/>
      <c r="U917" s="31" t="inlineStr">
        <is>
          <t>高</t>
        </is>
      </c>
      <c r="V917" s="32" t="inlineStr">
        <is>
          <t>法人事務局は06-6761-4013</t>
        </is>
      </c>
      <c r="W917" s="33" t="inlineStr">
        <is>
          <t>開く</t>
        </is>
      </c>
    </row>
    <row r="918" ht="30" customHeight="1">
      <c r="A918" s="23" t="inlineStr">
        <is>
          <t>27大阪府</t>
        </is>
      </c>
      <c r="B918" s="23" t="inlineStr">
        <is>
          <t>私立</t>
        </is>
      </c>
      <c r="C918" s="23" t="n"/>
      <c r="D918" s="23" t="inlineStr">
        <is>
          <t>大阪成蹊女子高等学校</t>
        </is>
      </c>
      <c r="E918" s="24" t="inlineStr">
        <is>
          <t>06-6829-2510</t>
        </is>
      </c>
      <c r="F918" s="23" t="n"/>
      <c r="G918" s="25" t="inlineStr">
        <is>
          <t>普通科・専門学科</t>
        </is>
      </c>
      <c r="H918" s="26" t="inlineStr">
        <is>
          <t>☐</t>
        </is>
      </c>
      <c r="I918" s="26" t="inlineStr">
        <is>
          <t>☐</t>
        </is>
      </c>
      <c r="J918" s="26" t="inlineStr">
        <is>
          <t>☐</t>
        </is>
      </c>
      <c r="K918" s="26" t="inlineStr">
        <is>
          <t>☐</t>
        </is>
      </c>
      <c r="L918" s="26" t="inlineStr">
        <is>
          <t>☐</t>
        </is>
      </c>
      <c r="M918" s="25" t="n"/>
      <c r="N918" s="27" t="n">
        <v>0</v>
      </c>
      <c r="O918" s="28" t="n"/>
      <c r="P918" s="23" t="n"/>
      <c r="Q918" s="29" t="n"/>
      <c r="R918" s="29" t="n"/>
      <c r="S918" s="23" t="n"/>
      <c r="T918" s="30" t="n"/>
      <c r="U918" s="31" t="inlineStr">
        <is>
          <t>高</t>
        </is>
      </c>
      <c r="V918" s="32" t="inlineStr">
        <is>
          <t>募集広報企画室は06-6829-2514</t>
        </is>
      </c>
      <c r="W918" s="33" t="inlineStr">
        <is>
          <t>開く</t>
        </is>
      </c>
    </row>
    <row r="919" ht="30" customHeight="1">
      <c r="A919" s="23" t="inlineStr">
        <is>
          <t>27大阪府</t>
        </is>
      </c>
      <c r="B919" s="23" t="inlineStr">
        <is>
          <t>私立</t>
        </is>
      </c>
      <c r="C919" s="23" t="n"/>
      <c r="D919" s="23" t="inlineStr">
        <is>
          <t>大阪星光学院高等学校</t>
        </is>
      </c>
      <c r="E919" s="24" t="inlineStr">
        <is>
          <t>06-6771-0737</t>
        </is>
      </c>
      <c r="F919" s="23" t="n"/>
      <c r="G919" s="25" t="inlineStr">
        <is>
          <t>普通科</t>
        </is>
      </c>
      <c r="H919" s="26" t="inlineStr">
        <is>
          <t>☐</t>
        </is>
      </c>
      <c r="I919" s="26" t="inlineStr">
        <is>
          <t>☐</t>
        </is>
      </c>
      <c r="J919" s="26" t="inlineStr">
        <is>
          <t>☐</t>
        </is>
      </c>
      <c r="K919" s="26" t="inlineStr">
        <is>
          <t>☐</t>
        </is>
      </c>
      <c r="L919" s="26" t="inlineStr">
        <is>
          <t>☐</t>
        </is>
      </c>
      <c r="M919" s="25" t="n"/>
      <c r="N919" s="27" t="n">
        <v>0</v>
      </c>
      <c r="O919" s="28" t="n"/>
      <c r="P919" s="23" t="n"/>
      <c r="Q919" s="29" t="n"/>
      <c r="R919" s="29" t="n"/>
      <c r="S919" s="23" t="n"/>
      <c r="T919" s="30" t="n"/>
      <c r="U919" s="31" t="inlineStr">
        <is>
          <t>高</t>
        </is>
      </c>
      <c r="V919" s="32" t="inlineStr">
        <is>
          <t>中高共通。高校からの募集は停止との第三者情報あり</t>
        </is>
      </c>
      <c r="W919" s="33" t="inlineStr">
        <is>
          <t>開く</t>
        </is>
      </c>
    </row>
    <row r="920" ht="30" customHeight="1">
      <c r="A920" s="23" t="inlineStr">
        <is>
          <t>27大阪府</t>
        </is>
      </c>
      <c r="B920" s="23" t="inlineStr">
        <is>
          <t>私立</t>
        </is>
      </c>
      <c r="C920" s="23" t="n"/>
      <c r="D920" s="23" t="inlineStr">
        <is>
          <t>大阪青凌高等学校</t>
        </is>
      </c>
      <c r="E920" s="24" t="inlineStr">
        <is>
          <t>075-754-7771</t>
        </is>
      </c>
      <c r="F920" s="23" t="n"/>
      <c r="G920" s="25" t="inlineStr">
        <is>
          <t>普通科</t>
        </is>
      </c>
      <c r="H920" s="26" t="inlineStr">
        <is>
          <t>☐</t>
        </is>
      </c>
      <c r="I920" s="26" t="inlineStr">
        <is>
          <t>☐</t>
        </is>
      </c>
      <c r="J920" s="26" t="inlineStr">
        <is>
          <t>☐</t>
        </is>
      </c>
      <c r="K920" s="26" t="inlineStr">
        <is>
          <t>☐</t>
        </is>
      </c>
      <c r="L920" s="26" t="inlineStr">
        <is>
          <t>☐</t>
        </is>
      </c>
      <c r="M920" s="25" t="n"/>
      <c r="N920" s="27" t="n">
        <v>0</v>
      </c>
      <c r="O920" s="28" t="n"/>
      <c r="P920" s="23" t="n"/>
      <c r="Q920" s="29" t="n"/>
      <c r="R920" s="29" t="n"/>
      <c r="S920" s="23" t="n"/>
      <c r="T920" s="30" t="n"/>
      <c r="U920" s="31" t="inlineStr">
        <is>
          <t>高</t>
        </is>
      </c>
      <c r="V920" s="32" t="inlineStr">
        <is>
          <t>2020年に三島郡島本町へ移転（旧・高槻市の番号は072-669-4111）。入試広報室は075-754-7754</t>
        </is>
      </c>
      <c r="W920" s="33" t="inlineStr">
        <is>
          <t>開く</t>
        </is>
      </c>
    </row>
    <row r="921" ht="30" customHeight="1">
      <c r="A921" s="23" t="inlineStr">
        <is>
          <t>27大阪府</t>
        </is>
      </c>
      <c r="B921" s="23" t="inlineStr">
        <is>
          <t>私立</t>
        </is>
      </c>
      <c r="C921" s="23" t="n"/>
      <c r="D921" s="23" t="inlineStr">
        <is>
          <t>大阪体育大学浪商高等学校</t>
        </is>
      </c>
      <c r="E921" s="24" t="inlineStr">
        <is>
          <t>072-453-7001</t>
        </is>
      </c>
      <c r="F921" s="23" t="n"/>
      <c r="G921" s="25" t="inlineStr">
        <is>
          <t>普通科</t>
        </is>
      </c>
      <c r="H921" s="26" t="inlineStr">
        <is>
          <t>☐</t>
        </is>
      </c>
      <c r="I921" s="26" t="inlineStr">
        <is>
          <t>☐</t>
        </is>
      </c>
      <c r="J921" s="26" t="inlineStr">
        <is>
          <t>☐</t>
        </is>
      </c>
      <c r="K921" s="26" t="inlineStr">
        <is>
          <t>☐</t>
        </is>
      </c>
      <c r="L921" s="26" t="inlineStr">
        <is>
          <t>☐</t>
        </is>
      </c>
      <c r="M921" s="25" t="n"/>
      <c r="N921" s="27" t="n">
        <v>0</v>
      </c>
      <c r="O921" s="28" t="n"/>
      <c r="P921" s="23" t="n"/>
      <c r="Q921" s="29" t="n"/>
      <c r="R921" s="29" t="n"/>
      <c r="S921" s="23" t="n"/>
      <c r="T921" s="30" t="n"/>
      <c r="U921" s="31" t="inlineStr">
        <is>
          <t>高</t>
        </is>
      </c>
      <c r="V921" s="32" t="inlineStr">
        <is>
          <t>入試対策室は072-453-7972</t>
        </is>
      </c>
      <c r="W921" s="33" t="inlineStr">
        <is>
          <t>開く</t>
        </is>
      </c>
    </row>
    <row r="922" ht="30" customHeight="1">
      <c r="A922" s="23" t="inlineStr">
        <is>
          <t>27大阪府</t>
        </is>
      </c>
      <c r="B922" s="23" t="inlineStr">
        <is>
          <t>私立</t>
        </is>
      </c>
      <c r="C922" s="23" t="n"/>
      <c r="D922" s="23" t="inlineStr">
        <is>
          <t>大阪電気通信大学高等学校</t>
        </is>
      </c>
      <c r="E922" s="24" t="inlineStr">
        <is>
          <t>06-6992-6261</t>
        </is>
      </c>
      <c r="F922" s="23" t="n"/>
      <c r="G922" s="25" t="inlineStr">
        <is>
          <t>普通科・専門学科</t>
        </is>
      </c>
      <c r="H922" s="26" t="inlineStr">
        <is>
          <t>☐</t>
        </is>
      </c>
      <c r="I922" s="26" t="inlineStr">
        <is>
          <t>☐</t>
        </is>
      </c>
      <c r="J922" s="26" t="inlineStr">
        <is>
          <t>☐</t>
        </is>
      </c>
      <c r="K922" s="26" t="inlineStr">
        <is>
          <t>☐</t>
        </is>
      </c>
      <c r="L922" s="26" t="inlineStr">
        <is>
          <t>☐</t>
        </is>
      </c>
      <c r="M922" s="25" t="n"/>
      <c r="N922" s="27" t="n">
        <v>0</v>
      </c>
      <c r="O922" s="28" t="n"/>
      <c r="P922" s="23" t="n"/>
      <c r="Q922" s="29" t="n"/>
      <c r="R922" s="29" t="n"/>
      <c r="S922" s="23" t="n"/>
      <c r="T922" s="30" t="n"/>
      <c r="U922" s="31" t="inlineStr">
        <is>
          <t>高</t>
        </is>
      </c>
      <c r="V922" s="32" t="inlineStr">
        <is>
          <t>大学法人の公式サイトに「代表」と記載</t>
        </is>
      </c>
      <c r="W922" s="33" t="inlineStr">
        <is>
          <t>開く</t>
        </is>
      </c>
    </row>
    <row r="923" ht="30" customHeight="1">
      <c r="A923" s="23" t="inlineStr">
        <is>
          <t>27大阪府</t>
        </is>
      </c>
      <c r="B923" s="23" t="inlineStr">
        <is>
          <t>私立</t>
        </is>
      </c>
      <c r="C923" s="23" t="n"/>
      <c r="D923" s="23" t="inlineStr">
        <is>
          <t>大阪桐蔭高等学校</t>
        </is>
      </c>
      <c r="E923" s="24" t="inlineStr">
        <is>
          <t>072-870-1001</t>
        </is>
      </c>
      <c r="F923" s="23" t="n"/>
      <c r="G923" s="25" t="inlineStr">
        <is>
          <t>普通科</t>
        </is>
      </c>
      <c r="H923" s="26" t="inlineStr">
        <is>
          <t>☐</t>
        </is>
      </c>
      <c r="I923" s="26" t="inlineStr">
        <is>
          <t>☐</t>
        </is>
      </c>
      <c r="J923" s="26" t="inlineStr">
        <is>
          <t>☐</t>
        </is>
      </c>
      <c r="K923" s="26" t="inlineStr">
        <is>
          <t>☐</t>
        </is>
      </c>
      <c r="L923" s="26" t="inlineStr">
        <is>
          <t>☐</t>
        </is>
      </c>
      <c r="M923" s="25" t="n"/>
      <c r="N923" s="27" t="n">
        <v>0</v>
      </c>
      <c r="O923" s="28" t="n"/>
      <c r="P923" s="23" t="n"/>
      <c r="Q923" s="29" t="n"/>
      <c r="R923" s="29" t="n"/>
      <c r="S923" s="23" t="n"/>
      <c r="T923" s="30" t="n"/>
      <c r="U923" s="31" t="inlineStr">
        <is>
          <t>高</t>
        </is>
      </c>
      <c r="V923" s="32" t="inlineStr">
        <is>
          <t>公式サイトのフッター・大東市HPで一致</t>
        </is>
      </c>
      <c r="W923" s="33" t="inlineStr">
        <is>
          <t>開く</t>
        </is>
      </c>
    </row>
    <row r="924" ht="30" customHeight="1">
      <c r="A924" s="23" t="inlineStr">
        <is>
          <t>27大阪府</t>
        </is>
      </c>
      <c r="B924" s="23" t="inlineStr">
        <is>
          <t>私立</t>
        </is>
      </c>
      <c r="C924" s="23" t="n"/>
      <c r="D924" s="23" t="inlineStr">
        <is>
          <t>大阪夕陽丘学園高等学校</t>
        </is>
      </c>
      <c r="E924" s="24" t="inlineStr">
        <is>
          <t>06-6771-9510</t>
        </is>
      </c>
      <c r="F924" s="23" t="n"/>
      <c r="G924" s="25" t="inlineStr">
        <is>
          <t>普通科</t>
        </is>
      </c>
      <c r="H924" s="26" t="inlineStr">
        <is>
          <t>☐</t>
        </is>
      </c>
      <c r="I924" s="26" t="inlineStr">
        <is>
          <t>☐</t>
        </is>
      </c>
      <c r="J924" s="26" t="inlineStr">
        <is>
          <t>☐</t>
        </is>
      </c>
      <c r="K924" s="26" t="inlineStr">
        <is>
          <t>☐</t>
        </is>
      </c>
      <c r="L924" s="26" t="inlineStr">
        <is>
          <t>☐</t>
        </is>
      </c>
      <c r="M924" s="25" t="n"/>
      <c r="N924" s="27" t="n">
        <v>0</v>
      </c>
      <c r="O924" s="28" t="n"/>
      <c r="P924" s="23" t="n"/>
      <c r="Q924" s="29" t="n"/>
      <c r="R924" s="29" t="n"/>
      <c r="S924" s="23" t="n"/>
      <c r="T924" s="30" t="n"/>
      <c r="U924" s="31" t="inlineStr">
        <is>
          <t>高</t>
        </is>
      </c>
      <c r="V924" s="32" t="n"/>
      <c r="W924" s="33" t="inlineStr">
        <is>
          <t>開く</t>
        </is>
      </c>
    </row>
    <row r="925" ht="30" customHeight="1">
      <c r="A925" s="23" t="inlineStr">
        <is>
          <t>27大阪府</t>
        </is>
      </c>
      <c r="B925" s="23" t="inlineStr">
        <is>
          <t>私立</t>
        </is>
      </c>
      <c r="C925" s="23" t="n"/>
      <c r="D925" s="23" t="inlineStr">
        <is>
          <t>大阪緑涼高等学校</t>
        </is>
      </c>
      <c r="E925" s="24" t="inlineStr">
        <is>
          <t>072-955-0718</t>
        </is>
      </c>
      <c r="F925" s="23" t="n"/>
      <c r="G925" s="25" t="inlineStr">
        <is>
          <t>普通科</t>
        </is>
      </c>
      <c r="H925" s="26" t="inlineStr">
        <is>
          <t>☐</t>
        </is>
      </c>
      <c r="I925" s="26" t="inlineStr">
        <is>
          <t>☐</t>
        </is>
      </c>
      <c r="J925" s="26" t="inlineStr">
        <is>
          <t>☐</t>
        </is>
      </c>
      <c r="K925" s="26" t="inlineStr">
        <is>
          <t>☐</t>
        </is>
      </c>
      <c r="L925" s="26" t="inlineStr">
        <is>
          <t>☐</t>
        </is>
      </c>
      <c r="M925" s="25" t="n"/>
      <c r="N925" s="27" t="n">
        <v>0</v>
      </c>
      <c r="O925" s="28" t="n"/>
      <c r="P925" s="23" t="n"/>
      <c r="Q925" s="29" t="n"/>
      <c r="R925" s="29" t="n"/>
      <c r="S925" s="23" t="n"/>
      <c r="T925" s="30" t="n"/>
      <c r="U925" s="31" t="inlineStr">
        <is>
          <t>高</t>
        </is>
      </c>
      <c r="V925" s="32" t="n"/>
      <c r="W925" s="33" t="inlineStr">
        <is>
          <t>開く</t>
        </is>
      </c>
    </row>
    <row r="926" ht="30" customHeight="1">
      <c r="A926" s="23" t="inlineStr">
        <is>
          <t>27大阪府</t>
        </is>
      </c>
      <c r="B926" s="23" t="inlineStr">
        <is>
          <t>私立</t>
        </is>
      </c>
      <c r="C926" s="23" t="n"/>
      <c r="D926" s="23" t="inlineStr">
        <is>
          <t>大谷高等学校（大阪府）</t>
        </is>
      </c>
      <c r="E926" s="24" t="inlineStr">
        <is>
          <t>06-6661-8400</t>
        </is>
      </c>
      <c r="F926" s="23" t="n"/>
      <c r="G926" s="25" t="inlineStr">
        <is>
          <t>普通科</t>
        </is>
      </c>
      <c r="H926" s="26" t="inlineStr">
        <is>
          <t>☐</t>
        </is>
      </c>
      <c r="I926" s="26" t="inlineStr">
        <is>
          <t>☐</t>
        </is>
      </c>
      <c r="J926" s="26" t="inlineStr">
        <is>
          <t>☐</t>
        </is>
      </c>
      <c r="K926" s="26" t="inlineStr">
        <is>
          <t>☐</t>
        </is>
      </c>
      <c r="L926" s="26" t="inlineStr">
        <is>
          <t>☐</t>
        </is>
      </c>
      <c r="M926" s="25" t="n"/>
      <c r="N926" s="27" t="n">
        <v>0</v>
      </c>
      <c r="O926" s="28" t="n"/>
      <c r="P926" s="23" t="n"/>
      <c r="Q926" s="29" t="n"/>
      <c r="R926" s="29" t="n"/>
      <c r="S926" s="23" t="n"/>
      <c r="T926" s="30" t="n"/>
      <c r="U926" s="31" t="inlineStr">
        <is>
          <t>高</t>
        </is>
      </c>
      <c r="V926" s="32" t="inlineStr">
        <is>
          <t>中学校は06-6661-0385</t>
        </is>
      </c>
      <c r="W926" s="33" t="inlineStr">
        <is>
          <t>開く</t>
        </is>
      </c>
    </row>
    <row r="927" ht="30" customHeight="1">
      <c r="A927" s="23" t="inlineStr">
        <is>
          <t>27大阪府</t>
        </is>
      </c>
      <c r="B927" s="23" t="inlineStr">
        <is>
          <t>私立</t>
        </is>
      </c>
      <c r="C927" s="23" t="n"/>
      <c r="D927" s="23" t="inlineStr">
        <is>
          <t>開明高等学校</t>
        </is>
      </c>
      <c r="E927" s="24" t="inlineStr">
        <is>
          <t>06-6932-4461</t>
        </is>
      </c>
      <c r="F927" s="23" t="n"/>
      <c r="G927" s="25" t="inlineStr">
        <is>
          <t>普通科</t>
        </is>
      </c>
      <c r="H927" s="26" t="inlineStr">
        <is>
          <t>☐</t>
        </is>
      </c>
      <c r="I927" s="26" t="inlineStr">
        <is>
          <t>☐</t>
        </is>
      </c>
      <c r="J927" s="26" t="inlineStr">
        <is>
          <t>☐</t>
        </is>
      </c>
      <c r="K927" s="26" t="inlineStr">
        <is>
          <t>☐</t>
        </is>
      </c>
      <c r="L927" s="26" t="inlineStr">
        <is>
          <t>☐</t>
        </is>
      </c>
      <c r="M927" s="25" t="n"/>
      <c r="N927" s="27" t="n">
        <v>0</v>
      </c>
      <c r="O927" s="28" t="n"/>
      <c r="P927" s="23" t="n"/>
      <c r="Q927" s="29" t="n"/>
      <c r="R927" s="29" t="n"/>
      <c r="S927" s="23" t="n"/>
      <c r="T927" s="30" t="n"/>
      <c r="U927" s="31" t="inlineStr">
        <is>
          <t>高</t>
        </is>
      </c>
      <c r="V927" s="32" t="inlineStr">
        <is>
          <t>中高共通</t>
        </is>
      </c>
      <c r="W927" s="33" t="inlineStr">
        <is>
          <t>開く</t>
        </is>
      </c>
    </row>
    <row r="928" ht="30" customHeight="1">
      <c r="A928" s="23" t="inlineStr">
        <is>
          <t>27大阪府</t>
        </is>
      </c>
      <c r="B928" s="23" t="inlineStr">
        <is>
          <t>私立</t>
        </is>
      </c>
      <c r="C928" s="23" t="n"/>
      <c r="D928" s="23" t="inlineStr">
        <is>
          <t>香ヶ丘リベルテ高等学校</t>
        </is>
      </c>
      <c r="E928" s="24" t="inlineStr">
        <is>
          <t>072-238-7881</t>
        </is>
      </c>
      <c r="F928" s="23" t="n"/>
      <c r="G928" s="25" t="inlineStr">
        <is>
          <t>普通科・専門学科</t>
        </is>
      </c>
      <c r="H928" s="26" t="inlineStr">
        <is>
          <t>☐</t>
        </is>
      </c>
      <c r="I928" s="26" t="inlineStr">
        <is>
          <t>☐</t>
        </is>
      </c>
      <c r="J928" s="26" t="inlineStr">
        <is>
          <t>☐</t>
        </is>
      </c>
      <c r="K928" s="26" t="inlineStr">
        <is>
          <t>☐</t>
        </is>
      </c>
      <c r="L928" s="26" t="inlineStr">
        <is>
          <t>☐</t>
        </is>
      </c>
      <c r="M928" s="25" t="n"/>
      <c r="N928" s="27" t="n">
        <v>0</v>
      </c>
      <c r="O928" s="28" t="n"/>
      <c r="P928" s="23" t="n"/>
      <c r="Q928" s="29" t="n"/>
      <c r="R928" s="29" t="n"/>
      <c r="S928" s="23" t="n"/>
      <c r="T928" s="30" t="n"/>
      <c r="U928" s="31" t="inlineStr">
        <is>
          <t>高</t>
        </is>
      </c>
      <c r="V928" s="32" t="n"/>
      <c r="W928" s="33" t="inlineStr">
        <is>
          <t>開く</t>
        </is>
      </c>
    </row>
    <row r="929" ht="30" customHeight="1">
      <c r="A929" s="23" t="inlineStr">
        <is>
          <t>27大阪府</t>
        </is>
      </c>
      <c r="B929" s="23" t="inlineStr">
        <is>
          <t>私立</t>
        </is>
      </c>
      <c r="C929" s="23" t="n"/>
      <c r="D929" s="23" t="inlineStr">
        <is>
          <t>関西大倉高等学校</t>
        </is>
      </c>
      <c r="E929" s="24" t="inlineStr">
        <is>
          <t>072-643-6321</t>
        </is>
      </c>
      <c r="F929" s="23" t="n"/>
      <c r="G929" s="25" t="inlineStr">
        <is>
          <t>普通科</t>
        </is>
      </c>
      <c r="H929" s="26" t="inlineStr">
        <is>
          <t>☐</t>
        </is>
      </c>
      <c r="I929" s="26" t="inlineStr">
        <is>
          <t>☐</t>
        </is>
      </c>
      <c r="J929" s="26" t="inlineStr">
        <is>
          <t>☐</t>
        </is>
      </c>
      <c r="K929" s="26" t="inlineStr">
        <is>
          <t>☐</t>
        </is>
      </c>
      <c r="L929" s="26" t="inlineStr">
        <is>
          <t>☐</t>
        </is>
      </c>
      <c r="M929" s="25" t="n"/>
      <c r="N929" s="27" t="n">
        <v>0</v>
      </c>
      <c r="O929" s="28" t="n"/>
      <c r="P929" s="23" t="n"/>
      <c r="Q929" s="29" t="n"/>
      <c r="R929" s="29" t="n"/>
      <c r="S929" s="23" t="n"/>
      <c r="T929" s="30" t="n"/>
      <c r="U929" s="31" t="inlineStr">
        <is>
          <t>高</t>
        </is>
      </c>
      <c r="V929" s="32" t="n"/>
      <c r="W929" s="33" t="inlineStr">
        <is>
          <t>開く</t>
        </is>
      </c>
    </row>
    <row r="930" ht="30" customHeight="1">
      <c r="A930" s="23" t="inlineStr">
        <is>
          <t>27大阪府</t>
        </is>
      </c>
      <c r="B930" s="23" t="inlineStr">
        <is>
          <t>私立</t>
        </is>
      </c>
      <c r="C930" s="23" t="n"/>
      <c r="D930" s="23" t="inlineStr">
        <is>
          <t>関西創価高等学校</t>
        </is>
      </c>
      <c r="E930" s="24" t="inlineStr">
        <is>
          <t>072-891-0011</t>
        </is>
      </c>
      <c r="F930" s="23" t="n"/>
      <c r="G930" s="25" t="inlineStr">
        <is>
          <t>普通科</t>
        </is>
      </c>
      <c r="H930" s="26" t="inlineStr">
        <is>
          <t>☐</t>
        </is>
      </c>
      <c r="I930" s="26" t="inlineStr">
        <is>
          <t>☐</t>
        </is>
      </c>
      <c r="J930" s="26" t="inlineStr">
        <is>
          <t>☐</t>
        </is>
      </c>
      <c r="K930" s="26" t="inlineStr">
        <is>
          <t>☐</t>
        </is>
      </c>
      <c r="L930" s="26" t="inlineStr">
        <is>
          <t>☐</t>
        </is>
      </c>
      <c r="M930" s="25" t="n"/>
      <c r="N930" s="27" t="n">
        <v>0</v>
      </c>
      <c r="O930" s="28" t="n"/>
      <c r="P930" s="23" t="n"/>
      <c r="Q930" s="29" t="n"/>
      <c r="R930" s="29" t="n"/>
      <c r="S930" s="23" t="n"/>
      <c r="T930" s="30" t="n"/>
      <c r="U930" s="31" t="inlineStr">
        <is>
          <t>高</t>
        </is>
      </c>
      <c r="V930" s="32" t="n"/>
      <c r="W930" s="33" t="inlineStr">
        <is>
          <t>開く</t>
        </is>
      </c>
    </row>
    <row r="931" ht="30" customHeight="1">
      <c r="A931" s="23" t="inlineStr">
        <is>
          <t>27大阪府</t>
        </is>
      </c>
      <c r="B931" s="23" t="inlineStr">
        <is>
          <t>私立</t>
        </is>
      </c>
      <c r="C931" s="23" t="n"/>
      <c r="D931" s="23" t="inlineStr">
        <is>
          <t>関西大学高等部</t>
        </is>
      </c>
      <c r="E931" s="24" t="inlineStr">
        <is>
          <t>072-684-4327</t>
        </is>
      </c>
      <c r="F931" s="23" t="n"/>
      <c r="G931" s="25" t="inlineStr">
        <is>
          <t>普通科</t>
        </is>
      </c>
      <c r="H931" s="26" t="inlineStr">
        <is>
          <t>☐</t>
        </is>
      </c>
      <c r="I931" s="26" t="inlineStr">
        <is>
          <t>☐</t>
        </is>
      </c>
      <c r="J931" s="26" t="inlineStr">
        <is>
          <t>☐</t>
        </is>
      </c>
      <c r="K931" s="26" t="inlineStr">
        <is>
          <t>☐</t>
        </is>
      </c>
      <c r="L931" s="26" t="inlineStr">
        <is>
          <t>☐</t>
        </is>
      </c>
      <c r="M931" s="25" t="n"/>
      <c r="N931" s="27" t="n">
        <v>0</v>
      </c>
      <c r="O931" s="28" t="n"/>
      <c r="P931" s="23" t="n"/>
      <c r="Q931" s="29" t="n"/>
      <c r="R931" s="29" t="n"/>
      <c r="S931" s="23" t="n"/>
      <c r="T931" s="30" t="n"/>
      <c r="U931" s="31" t="inlineStr">
        <is>
          <t>高</t>
        </is>
      </c>
      <c r="V931" s="32" t="inlineStr">
        <is>
          <t>高槻ミューズキャンパス内。キャンパス代表は072-684-4000</t>
        </is>
      </c>
      <c r="W931" s="33" t="inlineStr">
        <is>
          <t>開く</t>
        </is>
      </c>
    </row>
    <row r="932" ht="30" customHeight="1">
      <c r="A932" s="23" t="inlineStr">
        <is>
          <t>27大阪府</t>
        </is>
      </c>
      <c r="B932" s="23" t="inlineStr">
        <is>
          <t>私立</t>
        </is>
      </c>
      <c r="C932" s="23" t="n"/>
      <c r="D932" s="23" t="inlineStr">
        <is>
          <t>関西大学第一高等学校</t>
        </is>
      </c>
      <c r="E932" s="24" t="inlineStr">
        <is>
          <t>06-6337-7750</t>
        </is>
      </c>
      <c r="F932" s="23" t="n"/>
      <c r="G932" s="25" t="inlineStr">
        <is>
          <t>普通科</t>
        </is>
      </c>
      <c r="H932" s="26" t="inlineStr">
        <is>
          <t>☐</t>
        </is>
      </c>
      <c r="I932" s="26" t="inlineStr">
        <is>
          <t>☐</t>
        </is>
      </c>
      <c r="J932" s="26" t="inlineStr">
        <is>
          <t>☐</t>
        </is>
      </c>
      <c r="K932" s="26" t="inlineStr">
        <is>
          <t>☐</t>
        </is>
      </c>
      <c r="L932" s="26" t="inlineStr">
        <is>
          <t>☐</t>
        </is>
      </c>
      <c r="M932" s="25" t="n"/>
      <c r="N932" s="27" t="n">
        <v>0</v>
      </c>
      <c r="O932" s="28" t="n"/>
      <c r="P932" s="23" t="n"/>
      <c r="Q932" s="29" t="n"/>
      <c r="R932" s="29" t="n"/>
      <c r="S932" s="23" t="n"/>
      <c r="T932" s="30" t="n"/>
      <c r="U932" s="31" t="inlineStr">
        <is>
          <t>高</t>
        </is>
      </c>
      <c r="V932" s="32" t="n"/>
      <c r="W932" s="33" t="inlineStr">
        <is>
          <t>開く</t>
        </is>
      </c>
    </row>
    <row r="933" ht="30" customHeight="1">
      <c r="A933" s="23" t="inlineStr">
        <is>
          <t>27大阪府</t>
        </is>
      </c>
      <c r="B933" s="23" t="inlineStr">
        <is>
          <t>私立</t>
        </is>
      </c>
      <c r="C933" s="23" t="n"/>
      <c r="D933" s="23" t="inlineStr">
        <is>
          <t>関西大学北陽高等学校</t>
        </is>
      </c>
      <c r="E933" s="24" t="inlineStr">
        <is>
          <t>06-6328-5964</t>
        </is>
      </c>
      <c r="F933" s="23" t="n"/>
      <c r="G933" s="25" t="inlineStr">
        <is>
          <t>普通科</t>
        </is>
      </c>
      <c r="H933" s="26" t="inlineStr">
        <is>
          <t>☐</t>
        </is>
      </c>
      <c r="I933" s="26" t="inlineStr">
        <is>
          <t>☐</t>
        </is>
      </c>
      <c r="J933" s="26" t="inlineStr">
        <is>
          <t>☐</t>
        </is>
      </c>
      <c r="K933" s="26" t="inlineStr">
        <is>
          <t>☐</t>
        </is>
      </c>
      <c r="L933" s="26" t="inlineStr">
        <is>
          <t>☐</t>
        </is>
      </c>
      <c r="M933" s="25" t="n"/>
      <c r="N933" s="27" t="n">
        <v>0</v>
      </c>
      <c r="O933" s="28" t="n"/>
      <c r="P933" s="23" t="n"/>
      <c r="Q933" s="29" t="n"/>
      <c r="R933" s="29" t="n"/>
      <c r="S933" s="23" t="n"/>
      <c r="T933" s="30" t="n"/>
      <c r="U933" s="31" t="inlineStr">
        <is>
          <t>高</t>
        </is>
      </c>
      <c r="V933" s="32" t="n"/>
      <c r="W933" s="33" t="inlineStr">
        <is>
          <t>開く</t>
        </is>
      </c>
    </row>
    <row r="934" ht="30" customHeight="1">
      <c r="A934" s="23" t="inlineStr">
        <is>
          <t>27大阪府</t>
        </is>
      </c>
      <c r="B934" s="23" t="inlineStr">
        <is>
          <t>私立</t>
        </is>
      </c>
      <c r="C934" s="23" t="n"/>
      <c r="D934" s="23" t="inlineStr">
        <is>
          <t>関西福祉科学大学高等学校</t>
        </is>
      </c>
      <c r="E934" s="24" t="inlineStr">
        <is>
          <t>072-976-1112</t>
        </is>
      </c>
      <c r="F934" s="23" t="n"/>
      <c r="G934" s="25" t="inlineStr">
        <is>
          <t>普通科</t>
        </is>
      </c>
      <c r="H934" s="26" t="inlineStr">
        <is>
          <t>☐</t>
        </is>
      </c>
      <c r="I934" s="26" t="inlineStr">
        <is>
          <t>☐</t>
        </is>
      </c>
      <c r="J934" s="26" t="inlineStr">
        <is>
          <t>☐</t>
        </is>
      </c>
      <c r="K934" s="26" t="inlineStr">
        <is>
          <t>☐</t>
        </is>
      </c>
      <c r="L934" s="26" t="inlineStr">
        <is>
          <t>☐</t>
        </is>
      </c>
      <c r="M934" s="25" t="n"/>
      <c r="N934" s="27" t="n">
        <v>0</v>
      </c>
      <c r="O934" s="28" t="n"/>
      <c r="P934" s="23" t="n"/>
      <c r="Q934" s="29" t="n"/>
      <c r="R934" s="29" t="n"/>
      <c r="S934" s="23" t="n"/>
      <c r="T934" s="30" t="n"/>
      <c r="U934" s="31" t="inlineStr">
        <is>
          <t>高</t>
        </is>
      </c>
      <c r="V934" s="32" t="inlineStr">
        <is>
          <t>公式表記は072-976-1112〜5</t>
        </is>
      </c>
      <c r="W934" s="33" t="inlineStr">
        <is>
          <t>開く</t>
        </is>
      </c>
    </row>
    <row r="935" ht="30" customHeight="1">
      <c r="A935" s="23" t="inlineStr">
        <is>
          <t>27大阪府</t>
        </is>
      </c>
      <c r="B935" s="23" t="inlineStr">
        <is>
          <t>私立</t>
        </is>
      </c>
      <c r="C935" s="23" t="n"/>
      <c r="D935" s="23" t="inlineStr">
        <is>
          <t>関西学院千里国際高等部</t>
        </is>
      </c>
      <c r="E935" s="24" t="inlineStr">
        <is>
          <t>072-727-5050</t>
        </is>
      </c>
      <c r="F935" s="23" t="n"/>
      <c r="G935" s="25" t="inlineStr">
        <is>
          <t>普通科</t>
        </is>
      </c>
      <c r="H935" s="26" t="inlineStr">
        <is>
          <t>☐</t>
        </is>
      </c>
      <c r="I935" s="26" t="inlineStr">
        <is>
          <t>☐</t>
        </is>
      </c>
      <c r="J935" s="26" t="inlineStr">
        <is>
          <t>☐</t>
        </is>
      </c>
      <c r="K935" s="26" t="inlineStr">
        <is>
          <t>☐</t>
        </is>
      </c>
      <c r="L935" s="26" t="inlineStr">
        <is>
          <t>☐</t>
        </is>
      </c>
      <c r="M935" s="25" t="n"/>
      <c r="N935" s="27" t="n">
        <v>0</v>
      </c>
      <c r="O935" s="28" t="n"/>
      <c r="P935" s="23" t="n"/>
      <c r="Q935" s="29" t="n"/>
      <c r="R935" s="29" t="n"/>
      <c r="S935" s="23" t="n"/>
      <c r="T935" s="30" t="n"/>
      <c r="U935" s="31" t="inlineStr">
        <is>
          <t>高</t>
        </is>
      </c>
      <c r="V935" s="32" t="inlineStr">
        <is>
          <t>072-727-5070は中等部等の別番号とみられる</t>
        </is>
      </c>
      <c r="W935" s="33" t="inlineStr">
        <is>
          <t>開く</t>
        </is>
      </c>
    </row>
    <row r="936" ht="30" customHeight="1">
      <c r="A936" s="23" t="inlineStr">
        <is>
          <t>27大阪府</t>
        </is>
      </c>
      <c r="B936" s="23" t="inlineStr">
        <is>
          <t>私立</t>
        </is>
      </c>
      <c r="C936" s="23" t="n"/>
      <c r="D936" s="23" t="inlineStr">
        <is>
          <t>近畿大学泉州高等学校</t>
        </is>
      </c>
      <c r="E936" s="24" t="inlineStr">
        <is>
          <t>072-479-1231</t>
        </is>
      </c>
      <c r="F936" s="23" t="n"/>
      <c r="G936" s="25" t="inlineStr">
        <is>
          <t>普通科</t>
        </is>
      </c>
      <c r="H936" s="26" t="inlineStr">
        <is>
          <t>☐</t>
        </is>
      </c>
      <c r="I936" s="26" t="inlineStr">
        <is>
          <t>☐</t>
        </is>
      </c>
      <c r="J936" s="26" t="inlineStr">
        <is>
          <t>☐</t>
        </is>
      </c>
      <c r="K936" s="26" t="inlineStr">
        <is>
          <t>☐</t>
        </is>
      </c>
      <c r="L936" s="26" t="inlineStr">
        <is>
          <t>☐</t>
        </is>
      </c>
      <c r="M936" s="25" t="n"/>
      <c r="N936" s="27" t="n">
        <v>0</v>
      </c>
      <c r="O936" s="28" t="n"/>
      <c r="P936" s="23" t="n"/>
      <c r="Q936" s="29" t="n"/>
      <c r="R936" s="29" t="n"/>
      <c r="S936" s="23" t="n"/>
      <c r="T936" s="30" t="n"/>
      <c r="U936" s="31" t="inlineStr">
        <is>
          <t>高</t>
        </is>
      </c>
      <c r="V936" s="32" t="n"/>
      <c r="W936" s="33" t="inlineStr">
        <is>
          <t>開く</t>
        </is>
      </c>
    </row>
    <row r="937" ht="30" customHeight="1">
      <c r="A937" s="23" t="inlineStr">
        <is>
          <t>27大阪府</t>
        </is>
      </c>
      <c r="B937" s="23" t="inlineStr">
        <is>
          <t>私立</t>
        </is>
      </c>
      <c r="C937" s="23" t="n"/>
      <c r="D937" s="23" t="inlineStr">
        <is>
          <t>近畿大学附属高等学校</t>
        </is>
      </c>
      <c r="E937" s="24" t="inlineStr">
        <is>
          <t>06-6722-1261</t>
        </is>
      </c>
      <c r="F937" s="23" t="n"/>
      <c r="G937" s="25" t="inlineStr">
        <is>
          <t>普通科・専門学科</t>
        </is>
      </c>
      <c r="H937" s="26" t="inlineStr">
        <is>
          <t>☐</t>
        </is>
      </c>
      <c r="I937" s="26" t="inlineStr">
        <is>
          <t>☐</t>
        </is>
      </c>
      <c r="J937" s="26" t="inlineStr">
        <is>
          <t>☐</t>
        </is>
      </c>
      <c r="K937" s="26" t="inlineStr">
        <is>
          <t>☐</t>
        </is>
      </c>
      <c r="L937" s="26" t="inlineStr">
        <is>
          <t>☐</t>
        </is>
      </c>
      <c r="M937" s="25" t="n"/>
      <c r="N937" s="27" t="n">
        <v>0</v>
      </c>
      <c r="O937" s="28" t="n"/>
      <c r="P937" s="23" t="n"/>
      <c r="Q937" s="29" t="n"/>
      <c r="R937" s="29" t="n"/>
      <c r="S937" s="23" t="n"/>
      <c r="T937" s="30" t="n"/>
      <c r="U937" s="31" t="inlineStr">
        <is>
          <t>高</t>
        </is>
      </c>
      <c r="V937" s="32" t="inlineStr">
        <is>
          <t>公式に「代表電話番号」と記載</t>
        </is>
      </c>
      <c r="W937" s="33" t="inlineStr">
        <is>
          <t>開く</t>
        </is>
      </c>
    </row>
    <row r="938" ht="30" customHeight="1">
      <c r="A938" s="23" t="inlineStr">
        <is>
          <t>27大阪府</t>
        </is>
      </c>
      <c r="B938" s="23" t="inlineStr">
        <is>
          <t>私立</t>
        </is>
      </c>
      <c r="C938" s="23" t="n"/>
      <c r="D938" s="23" t="inlineStr">
        <is>
          <t>金蘭会高等学校</t>
        </is>
      </c>
      <c r="E938" s="24" t="inlineStr">
        <is>
          <t>06-6453-0281</t>
        </is>
      </c>
      <c r="F938" s="23" t="n"/>
      <c r="G938" s="25" t="inlineStr">
        <is>
          <t>普通科</t>
        </is>
      </c>
      <c r="H938" s="26" t="inlineStr">
        <is>
          <t>☐</t>
        </is>
      </c>
      <c r="I938" s="26" t="inlineStr">
        <is>
          <t>☐</t>
        </is>
      </c>
      <c r="J938" s="26" t="inlineStr">
        <is>
          <t>☐</t>
        </is>
      </c>
      <c r="K938" s="26" t="inlineStr">
        <is>
          <t>☐</t>
        </is>
      </c>
      <c r="L938" s="26" t="inlineStr">
        <is>
          <t>☐</t>
        </is>
      </c>
      <c r="M938" s="25" t="n"/>
      <c r="N938" s="27" t="n">
        <v>0</v>
      </c>
      <c r="O938" s="28" t="n"/>
      <c r="P938" s="23" t="n"/>
      <c r="Q938" s="29" t="n"/>
      <c r="R938" s="29" t="n"/>
      <c r="S938" s="23" t="n"/>
      <c r="T938" s="30" t="n"/>
      <c r="U938" s="31" t="inlineStr">
        <is>
          <t>高</t>
        </is>
      </c>
      <c r="V938" s="32" t="n"/>
      <c r="W938" s="33" t="inlineStr">
        <is>
          <t>開く</t>
        </is>
      </c>
    </row>
    <row r="939" ht="30" customHeight="1">
      <c r="A939" s="23" t="inlineStr">
        <is>
          <t>27大阪府</t>
        </is>
      </c>
      <c r="B939" s="23" t="inlineStr">
        <is>
          <t>私立</t>
        </is>
      </c>
      <c r="C939" s="23" t="n"/>
      <c r="D939" s="23" t="inlineStr">
        <is>
          <t>金蘭千里高等学校</t>
        </is>
      </c>
      <c r="E939" s="24" t="inlineStr">
        <is>
          <t>06-6872-0263</t>
        </is>
      </c>
      <c r="F939" s="23" t="n"/>
      <c r="G939" s="25" t="inlineStr">
        <is>
          <t>普通科</t>
        </is>
      </c>
      <c r="H939" s="26" t="inlineStr">
        <is>
          <t>☐</t>
        </is>
      </c>
      <c r="I939" s="26" t="inlineStr">
        <is>
          <t>☐</t>
        </is>
      </c>
      <c r="J939" s="26" t="inlineStr">
        <is>
          <t>☐</t>
        </is>
      </c>
      <c r="K939" s="26" t="inlineStr">
        <is>
          <t>☐</t>
        </is>
      </c>
      <c r="L939" s="26" t="inlineStr">
        <is>
          <t>☐</t>
        </is>
      </c>
      <c r="M939" s="25" t="n"/>
      <c r="N939" s="27" t="n">
        <v>0</v>
      </c>
      <c r="O939" s="28" t="n"/>
      <c r="P939" s="23" t="n"/>
      <c r="Q939" s="29" t="n"/>
      <c r="R939" s="29" t="n"/>
      <c r="S939" s="23" t="n"/>
      <c r="T939" s="30" t="n"/>
      <c r="U939" s="31" t="inlineStr">
        <is>
          <t>高</t>
        </is>
      </c>
      <c r="V939" s="32" t="inlineStr">
        <is>
          <t>完全中高一貫で高校募集なしとの記載あり</t>
        </is>
      </c>
      <c r="W939" s="33" t="inlineStr">
        <is>
          <t>開く</t>
        </is>
      </c>
    </row>
    <row r="940" ht="30" customHeight="1">
      <c r="A940" s="23" t="inlineStr">
        <is>
          <t>27大阪府</t>
        </is>
      </c>
      <c r="B940" s="23" t="inlineStr">
        <is>
          <t>私立</t>
        </is>
      </c>
      <c r="C940" s="23" t="n"/>
      <c r="D940" s="23" t="inlineStr">
        <is>
          <t>建国高等学校</t>
        </is>
      </c>
      <c r="E940" s="24" t="inlineStr">
        <is>
          <t>06-6691-1231</t>
        </is>
      </c>
      <c r="F940" s="23" t="n"/>
      <c r="G940" s="25" t="inlineStr">
        <is>
          <t>普通科</t>
        </is>
      </c>
      <c r="H940" s="26" t="inlineStr">
        <is>
          <t>☐</t>
        </is>
      </c>
      <c r="I940" s="26" t="inlineStr">
        <is>
          <t>☐</t>
        </is>
      </c>
      <c r="J940" s="26" t="inlineStr">
        <is>
          <t>☐</t>
        </is>
      </c>
      <c r="K940" s="26" t="inlineStr">
        <is>
          <t>☐</t>
        </is>
      </c>
      <c r="L940" s="26" t="inlineStr">
        <is>
          <t>☐</t>
        </is>
      </c>
      <c r="M940" s="25" t="n"/>
      <c r="N940" s="27" t="n">
        <v>0</v>
      </c>
      <c r="O940" s="28" t="n"/>
      <c r="P940" s="23" t="n"/>
      <c r="Q940" s="29" t="n"/>
      <c r="R940" s="29" t="n"/>
      <c r="S940" s="23" t="n"/>
      <c r="T940" s="30" t="n"/>
      <c r="U940" s="31" t="inlineStr">
        <is>
          <t>高</t>
        </is>
      </c>
      <c r="V940" s="32" t="n"/>
      <c r="W940" s="33" t="inlineStr">
        <is>
          <t>開く</t>
        </is>
      </c>
    </row>
    <row r="941" ht="30" customHeight="1">
      <c r="A941" s="23" t="inlineStr">
        <is>
          <t>27大阪府</t>
        </is>
      </c>
      <c r="B941" s="23" t="inlineStr">
        <is>
          <t>私立</t>
        </is>
      </c>
      <c r="C941" s="23" t="n"/>
      <c r="D941" s="23" t="inlineStr">
        <is>
          <t>賢明学院高等学校</t>
        </is>
      </c>
      <c r="E941" s="24" t="inlineStr">
        <is>
          <t>072-241-1679</t>
        </is>
      </c>
      <c r="F941" s="23" t="n"/>
      <c r="G941" s="25" t="inlineStr">
        <is>
          <t>普通科</t>
        </is>
      </c>
      <c r="H941" s="26" t="inlineStr">
        <is>
          <t>☐</t>
        </is>
      </c>
      <c r="I941" s="26" t="inlineStr">
        <is>
          <t>☐</t>
        </is>
      </c>
      <c r="J941" s="26" t="inlineStr">
        <is>
          <t>☐</t>
        </is>
      </c>
      <c r="K941" s="26" t="inlineStr">
        <is>
          <t>☐</t>
        </is>
      </c>
      <c r="L941" s="26" t="inlineStr">
        <is>
          <t>☐</t>
        </is>
      </c>
      <c r="M941" s="25" t="n"/>
      <c r="N941" s="27" t="n">
        <v>0</v>
      </c>
      <c r="O941" s="28" t="n"/>
      <c r="P941" s="23" t="n"/>
      <c r="Q941" s="29" t="n"/>
      <c r="R941" s="29" t="n"/>
      <c r="S941" s="23" t="n"/>
      <c r="T941" s="30" t="n"/>
      <c r="U941" s="31" t="inlineStr">
        <is>
          <t>高</t>
        </is>
      </c>
      <c r="V941" s="32" t="inlineStr">
        <is>
          <t>通信制課程は072-241-2111</t>
        </is>
      </c>
      <c r="W941" s="33" t="inlineStr">
        <is>
          <t>開く</t>
        </is>
      </c>
    </row>
    <row r="942" ht="30" customHeight="1">
      <c r="A942" s="23" t="inlineStr">
        <is>
          <t>27大阪府</t>
        </is>
      </c>
      <c r="B942" s="23" t="inlineStr">
        <is>
          <t>私立</t>
        </is>
      </c>
      <c r="C942" s="23" t="n"/>
      <c r="D942" s="23" t="inlineStr">
        <is>
          <t>興國高等学校</t>
        </is>
      </c>
      <c r="E942" s="24" t="inlineStr">
        <is>
          <t>06-6779-8151</t>
        </is>
      </c>
      <c r="F942" s="23" t="n"/>
      <c r="G942" s="25" t="inlineStr">
        <is>
          <t>普通科・専門学科</t>
        </is>
      </c>
      <c r="H942" s="26" t="inlineStr">
        <is>
          <t>☐</t>
        </is>
      </c>
      <c r="I942" s="26" t="inlineStr">
        <is>
          <t>☐</t>
        </is>
      </c>
      <c r="J942" s="26" t="inlineStr">
        <is>
          <t>☐</t>
        </is>
      </c>
      <c r="K942" s="26" t="inlineStr">
        <is>
          <t>☐</t>
        </is>
      </c>
      <c r="L942" s="26" t="inlineStr">
        <is>
          <t>☐</t>
        </is>
      </c>
      <c r="M942" s="25" t="n"/>
      <c r="N942" s="27" t="n">
        <v>0</v>
      </c>
      <c r="O942" s="28" t="n"/>
      <c r="P942" s="23" t="n"/>
      <c r="Q942" s="29" t="n"/>
      <c r="R942" s="29" t="n"/>
      <c r="S942" s="23" t="n"/>
      <c r="T942" s="30" t="n"/>
      <c r="U942" s="31" t="inlineStr">
        <is>
          <t>高</t>
        </is>
      </c>
      <c r="V942" s="32" t="n"/>
      <c r="W942" s="33" t="inlineStr">
        <is>
          <t>開く</t>
        </is>
      </c>
    </row>
    <row r="943" ht="30" customHeight="1">
      <c r="A943" s="23" t="inlineStr">
        <is>
          <t>27大阪府</t>
        </is>
      </c>
      <c r="B943" s="23" t="inlineStr">
        <is>
          <t>私立</t>
        </is>
      </c>
      <c r="C943" s="23" t="n"/>
      <c r="D943" s="23" t="inlineStr">
        <is>
          <t>好文学園女子高等学校</t>
        </is>
      </c>
      <c r="E943" s="24" t="inlineStr">
        <is>
          <t>06-6472-2281</t>
        </is>
      </c>
      <c r="F943" s="23" t="n"/>
      <c r="G943" s="25" t="inlineStr">
        <is>
          <t>普通科</t>
        </is>
      </c>
      <c r="H943" s="26" t="inlineStr">
        <is>
          <t>☐</t>
        </is>
      </c>
      <c r="I943" s="26" t="inlineStr">
        <is>
          <t>☐</t>
        </is>
      </c>
      <c r="J943" s="26" t="inlineStr">
        <is>
          <t>☐</t>
        </is>
      </c>
      <c r="K943" s="26" t="inlineStr">
        <is>
          <t>☐</t>
        </is>
      </c>
      <c r="L943" s="26" t="inlineStr">
        <is>
          <t>☐</t>
        </is>
      </c>
      <c r="M943" s="25" t="n"/>
      <c r="N943" s="27" t="n">
        <v>0</v>
      </c>
      <c r="O943" s="28" t="n"/>
      <c r="P943" s="23" t="n"/>
      <c r="Q943" s="29" t="n"/>
      <c r="R943" s="29" t="n"/>
      <c r="S943" s="23" t="n"/>
      <c r="T943" s="30" t="n"/>
      <c r="U943" s="31" t="inlineStr">
        <is>
          <t>高</t>
        </is>
      </c>
      <c r="V943" s="32" t="n"/>
      <c r="W943" s="33" t="inlineStr">
        <is>
          <t>開く</t>
        </is>
      </c>
    </row>
    <row r="944" ht="30" customHeight="1">
      <c r="A944" s="23" t="inlineStr">
        <is>
          <t>27大阪府</t>
        </is>
      </c>
      <c r="B944" s="23" t="inlineStr">
        <is>
          <t>私立</t>
        </is>
      </c>
      <c r="C944" s="23" t="n"/>
      <c r="D944" s="23" t="inlineStr">
        <is>
          <t>向陽台高等学校</t>
        </is>
      </c>
      <c r="E944" s="24" t="inlineStr">
        <is>
          <t>072-643-6681</t>
        </is>
      </c>
      <c r="F944" s="23" t="n"/>
      <c r="G944" s="25" t="inlineStr">
        <is>
          <t>普通科</t>
        </is>
      </c>
      <c r="H944" s="26" t="inlineStr">
        <is>
          <t>☐</t>
        </is>
      </c>
      <c r="I944" s="26" t="inlineStr">
        <is>
          <t>☐</t>
        </is>
      </c>
      <c r="J944" s="26" t="inlineStr">
        <is>
          <t>☐</t>
        </is>
      </c>
      <c r="K944" s="26" t="inlineStr">
        <is>
          <t>☐</t>
        </is>
      </c>
      <c r="L944" s="26" t="inlineStr">
        <is>
          <t>☐</t>
        </is>
      </c>
      <c r="M944" s="25" t="n"/>
      <c r="N944" s="27" t="n">
        <v>0</v>
      </c>
      <c r="O944" s="28" t="n"/>
      <c r="P944" s="23" t="n"/>
      <c r="Q944" s="29" t="n"/>
      <c r="R944" s="29" t="n"/>
      <c r="S944" s="23" t="n"/>
      <c r="T944" s="30" t="n"/>
      <c r="U944" s="31" t="inlineStr">
        <is>
          <t>高</t>
        </is>
      </c>
      <c r="V944" s="32" t="n"/>
      <c r="W944" s="33" t="inlineStr">
        <is>
          <t>開く</t>
        </is>
      </c>
    </row>
    <row r="945" ht="30" customHeight="1">
      <c r="A945" s="23" t="inlineStr">
        <is>
          <t>27大阪府</t>
        </is>
      </c>
      <c r="B945" s="23" t="inlineStr">
        <is>
          <t>私立</t>
        </is>
      </c>
      <c r="C945" s="23" t="n"/>
      <c r="D945" s="23" t="inlineStr">
        <is>
          <t>香里ヌヴェール学院高等学校</t>
        </is>
      </c>
      <c r="E945" s="24" t="inlineStr">
        <is>
          <t>072-831-8452</t>
        </is>
      </c>
      <c r="F945" s="23" t="n"/>
      <c r="G945" s="25" t="inlineStr">
        <is>
          <t>普通科</t>
        </is>
      </c>
      <c r="H945" s="26" t="inlineStr">
        <is>
          <t>☐</t>
        </is>
      </c>
      <c r="I945" s="26" t="inlineStr">
        <is>
          <t>☐</t>
        </is>
      </c>
      <c r="J945" s="26" t="inlineStr">
        <is>
          <t>☐</t>
        </is>
      </c>
      <c r="K945" s="26" t="inlineStr">
        <is>
          <t>☐</t>
        </is>
      </c>
      <c r="L945" s="26" t="inlineStr">
        <is>
          <t>☐</t>
        </is>
      </c>
      <c r="M945" s="25" t="n"/>
      <c r="N945" s="27" t="n">
        <v>0</v>
      </c>
      <c r="O945" s="28" t="n"/>
      <c r="P945" s="23" t="n"/>
      <c r="Q945" s="29" t="n"/>
      <c r="R945" s="29" t="n"/>
      <c r="S945" s="23" t="n"/>
      <c r="T945" s="30" t="n"/>
      <c r="U945" s="31" t="inlineStr">
        <is>
          <t>高</t>
        </is>
      </c>
      <c r="V945" s="32" t="inlineStr">
        <is>
          <t>一部サイトに072-833-3344の記載あり（旧番号の可能性）</t>
        </is>
      </c>
      <c r="W945" s="33" t="inlineStr">
        <is>
          <t>開く</t>
        </is>
      </c>
    </row>
    <row r="946" ht="30" customHeight="1">
      <c r="A946" s="23" t="inlineStr">
        <is>
          <t>27大阪府</t>
        </is>
      </c>
      <c r="B946" s="23" t="inlineStr">
        <is>
          <t>私立</t>
        </is>
      </c>
      <c r="C946" s="23" t="n"/>
      <c r="D946" s="23" t="inlineStr">
        <is>
          <t>金光大阪高等学校</t>
        </is>
      </c>
      <c r="E946" s="24" t="inlineStr">
        <is>
          <t>072-669-5211</t>
        </is>
      </c>
      <c r="F946" s="23" t="n"/>
      <c r="G946" s="25" t="inlineStr">
        <is>
          <t>普通科</t>
        </is>
      </c>
      <c r="H946" s="26" t="inlineStr">
        <is>
          <t>☐</t>
        </is>
      </c>
      <c r="I946" s="26" t="inlineStr">
        <is>
          <t>☐</t>
        </is>
      </c>
      <c r="J946" s="26" t="inlineStr">
        <is>
          <t>☐</t>
        </is>
      </c>
      <c r="K946" s="26" t="inlineStr">
        <is>
          <t>☐</t>
        </is>
      </c>
      <c r="L946" s="26" t="inlineStr">
        <is>
          <t>☐</t>
        </is>
      </c>
      <c r="M946" s="25" t="n"/>
      <c r="N946" s="27" t="n">
        <v>0</v>
      </c>
      <c r="O946" s="28" t="n"/>
      <c r="P946" s="23" t="n"/>
      <c r="Q946" s="29" t="n"/>
      <c r="R946" s="29" t="n"/>
      <c r="S946" s="23" t="n"/>
      <c r="T946" s="30" t="n"/>
      <c r="U946" s="31" t="inlineStr">
        <is>
          <t>高</t>
        </is>
      </c>
      <c r="V946" s="32" t="n"/>
      <c r="W946" s="33" t="inlineStr">
        <is>
          <t>開く</t>
        </is>
      </c>
    </row>
    <row r="947" ht="30" customHeight="1">
      <c r="A947" s="23" t="inlineStr">
        <is>
          <t>27大阪府</t>
        </is>
      </c>
      <c r="B947" s="23" t="inlineStr">
        <is>
          <t>私立</t>
        </is>
      </c>
      <c r="C947" s="23" t="n"/>
      <c r="D947" s="23" t="inlineStr">
        <is>
          <t>金光藤蔭高等学校</t>
        </is>
      </c>
      <c r="E947" s="24" t="inlineStr">
        <is>
          <t>06-6751-2461</t>
        </is>
      </c>
      <c r="F947" s="23" t="n"/>
      <c r="G947" s="25" t="inlineStr">
        <is>
          <t>普通科</t>
        </is>
      </c>
      <c r="H947" s="26" t="inlineStr">
        <is>
          <t>☐</t>
        </is>
      </c>
      <c r="I947" s="26" t="inlineStr">
        <is>
          <t>☐</t>
        </is>
      </c>
      <c r="J947" s="26" t="inlineStr">
        <is>
          <t>☐</t>
        </is>
      </c>
      <c r="K947" s="26" t="inlineStr">
        <is>
          <t>☐</t>
        </is>
      </c>
      <c r="L947" s="26" t="inlineStr">
        <is>
          <t>☐</t>
        </is>
      </c>
      <c r="M947" s="25" t="n"/>
      <c r="N947" s="27" t="n">
        <v>0</v>
      </c>
      <c r="O947" s="28" t="n"/>
      <c r="P947" s="23" t="n"/>
      <c r="Q947" s="29" t="n"/>
      <c r="R947" s="29" t="n"/>
      <c r="S947" s="23" t="n"/>
      <c r="T947" s="30" t="n"/>
      <c r="U947" s="31" t="inlineStr">
        <is>
          <t>高</t>
        </is>
      </c>
      <c r="V947" s="32" t="inlineStr">
        <is>
          <t>生野キャンパス代表。香芝キャンパスは0745-79-0333</t>
        </is>
      </c>
      <c r="W947" s="33" t="inlineStr">
        <is>
          <t>開く</t>
        </is>
      </c>
    </row>
    <row r="948" ht="30" customHeight="1">
      <c r="A948" s="23" t="inlineStr">
        <is>
          <t>27大阪府</t>
        </is>
      </c>
      <c r="B948" s="23" t="inlineStr">
        <is>
          <t>私立</t>
        </is>
      </c>
      <c r="C948" s="23" t="n"/>
      <c r="D948" s="23" t="inlineStr">
        <is>
          <t>金光八尾高等学校</t>
        </is>
      </c>
      <c r="E948" s="24" t="inlineStr">
        <is>
          <t>072-922-9162</t>
        </is>
      </c>
      <c r="F948" s="23" t="n"/>
      <c r="G948" s="25" t="inlineStr">
        <is>
          <t>普通科</t>
        </is>
      </c>
      <c r="H948" s="26" t="inlineStr">
        <is>
          <t>☐</t>
        </is>
      </c>
      <c r="I948" s="26" t="inlineStr">
        <is>
          <t>☐</t>
        </is>
      </c>
      <c r="J948" s="26" t="inlineStr">
        <is>
          <t>☐</t>
        </is>
      </c>
      <c r="K948" s="26" t="inlineStr">
        <is>
          <t>☐</t>
        </is>
      </c>
      <c r="L948" s="26" t="inlineStr">
        <is>
          <t>☐</t>
        </is>
      </c>
      <c r="M948" s="25" t="n"/>
      <c r="N948" s="27" t="n">
        <v>0</v>
      </c>
      <c r="O948" s="28" t="n"/>
      <c r="P948" s="23" t="n"/>
      <c r="Q948" s="29" t="n"/>
      <c r="R948" s="29" t="n"/>
      <c r="S948" s="23" t="n"/>
      <c r="T948" s="30" t="n"/>
      <c r="U948" s="31" t="inlineStr">
        <is>
          <t>高</t>
        </is>
      </c>
      <c r="V948" s="32" t="n"/>
      <c r="W948" s="33" t="inlineStr">
        <is>
          <t>開く</t>
        </is>
      </c>
    </row>
    <row r="949" ht="30" customHeight="1">
      <c r="A949" s="23" t="inlineStr">
        <is>
          <t>27大阪府</t>
        </is>
      </c>
      <c r="B949" s="23" t="inlineStr">
        <is>
          <t>私立</t>
        </is>
      </c>
      <c r="C949" s="23" t="n"/>
      <c r="D949" s="23" t="inlineStr">
        <is>
          <t>堺リベラル高等学校</t>
        </is>
      </c>
      <c r="E949" s="24" t="inlineStr">
        <is>
          <t>072-275-7688</t>
        </is>
      </c>
      <c r="F949" s="23" t="n"/>
      <c r="G949" s="25" t="inlineStr">
        <is>
          <t>専門学科</t>
        </is>
      </c>
      <c r="H949" s="26" t="inlineStr">
        <is>
          <t>☐</t>
        </is>
      </c>
      <c r="I949" s="26" t="inlineStr">
        <is>
          <t>☐</t>
        </is>
      </c>
      <c r="J949" s="26" t="inlineStr">
        <is>
          <t>☐</t>
        </is>
      </c>
      <c r="K949" s="26" t="inlineStr">
        <is>
          <t>☐</t>
        </is>
      </c>
      <c r="L949" s="26" t="inlineStr">
        <is>
          <t>☐</t>
        </is>
      </c>
      <c r="M949" s="25" t="n"/>
      <c r="N949" s="27" t="n">
        <v>0</v>
      </c>
      <c r="O949" s="28" t="n"/>
      <c r="P949" s="23" t="n"/>
      <c r="Q949" s="29" t="n"/>
      <c r="R949" s="29" t="n"/>
      <c r="S949" s="23" t="n"/>
      <c r="T949" s="30" t="n"/>
      <c r="U949" s="31" t="inlineStr">
        <is>
          <t>高</t>
        </is>
      </c>
      <c r="V949" s="32" t="inlineStr">
        <is>
          <t>入試対策室は072-226-8814</t>
        </is>
      </c>
      <c r="W949" s="33" t="inlineStr">
        <is>
          <t>開く</t>
        </is>
      </c>
    </row>
    <row r="950" ht="30" customHeight="1">
      <c r="A950" s="23" t="inlineStr">
        <is>
          <t>27大阪府</t>
        </is>
      </c>
      <c r="B950" s="23" t="inlineStr">
        <is>
          <t>私立</t>
        </is>
      </c>
      <c r="C950" s="23" t="n"/>
      <c r="D950" s="23" t="inlineStr">
        <is>
          <t>四條畷学園高等学校</t>
        </is>
      </c>
      <c r="E950" s="24" t="inlineStr">
        <is>
          <t>072-876-1327</t>
        </is>
      </c>
      <c r="F950" s="23" t="n"/>
      <c r="G950" s="25" t="inlineStr">
        <is>
          <t>普通科</t>
        </is>
      </c>
      <c r="H950" s="26" t="inlineStr">
        <is>
          <t>☐</t>
        </is>
      </c>
      <c r="I950" s="26" t="inlineStr">
        <is>
          <t>☐</t>
        </is>
      </c>
      <c r="J950" s="26" t="inlineStr">
        <is>
          <t>☐</t>
        </is>
      </c>
      <c r="K950" s="26" t="inlineStr">
        <is>
          <t>☐</t>
        </is>
      </c>
      <c r="L950" s="26" t="inlineStr">
        <is>
          <t>☐</t>
        </is>
      </c>
      <c r="M950" s="25" t="n"/>
      <c r="N950" s="27" t="n">
        <v>0</v>
      </c>
      <c r="O950" s="28" t="n"/>
      <c r="P950" s="23" t="n"/>
      <c r="Q950" s="29" t="n"/>
      <c r="R950" s="29" t="n"/>
      <c r="S950" s="23" t="n"/>
      <c r="T950" s="30" t="n"/>
      <c r="U950" s="31" t="inlineStr">
        <is>
          <t>高</t>
        </is>
      </c>
      <c r="V950" s="32" t="inlineStr">
        <is>
          <t>高校直通。学園代表は072-876-1321</t>
        </is>
      </c>
      <c r="W950" s="33" t="inlineStr">
        <is>
          <t>開く</t>
        </is>
      </c>
    </row>
    <row r="951" ht="30" customHeight="1">
      <c r="A951" s="23" t="inlineStr">
        <is>
          <t>27大阪府</t>
        </is>
      </c>
      <c r="B951" s="23" t="inlineStr">
        <is>
          <t>私立</t>
        </is>
      </c>
      <c r="C951" s="23" t="n"/>
      <c r="D951" s="23" t="inlineStr">
        <is>
          <t>四天王寺高等学校</t>
        </is>
      </c>
      <c r="E951" s="24" t="inlineStr">
        <is>
          <t>06-6772-6201</t>
        </is>
      </c>
      <c r="F951" s="23" t="n"/>
      <c r="G951" s="25" t="inlineStr">
        <is>
          <t>普通科</t>
        </is>
      </c>
      <c r="H951" s="26" t="inlineStr">
        <is>
          <t>☐</t>
        </is>
      </c>
      <c r="I951" s="26" t="inlineStr">
        <is>
          <t>☐</t>
        </is>
      </c>
      <c r="J951" s="26" t="inlineStr">
        <is>
          <t>☐</t>
        </is>
      </c>
      <c r="K951" s="26" t="inlineStr">
        <is>
          <t>☐</t>
        </is>
      </c>
      <c r="L951" s="26" t="inlineStr">
        <is>
          <t>☐</t>
        </is>
      </c>
      <c r="M951" s="25" t="n"/>
      <c r="N951" s="27" t="n">
        <v>0</v>
      </c>
      <c r="O951" s="28" t="n"/>
      <c r="P951" s="23" t="n"/>
      <c r="Q951" s="29" t="n"/>
      <c r="R951" s="29" t="n"/>
      <c r="S951" s="23" t="n"/>
      <c r="T951" s="30" t="n"/>
      <c r="U951" s="34" t="inlineStr">
        <is>
          <t>中</t>
        </is>
      </c>
      <c r="V951" s="32" t="inlineStr">
        <is>
          <t>公式サイトで未確認、複数の第三者サイトで一致</t>
        </is>
      </c>
      <c r="W951" s="33" t="inlineStr">
        <is>
          <t>開く</t>
        </is>
      </c>
    </row>
    <row r="952" ht="30" customHeight="1">
      <c r="A952" s="23" t="inlineStr">
        <is>
          <t>27大阪府</t>
        </is>
      </c>
      <c r="B952" s="23" t="inlineStr">
        <is>
          <t>私立</t>
        </is>
      </c>
      <c r="C952" s="23" t="n"/>
      <c r="D952" s="23" t="inlineStr">
        <is>
          <t>秋桜高等学校</t>
        </is>
      </c>
      <c r="E952" s="24" t="inlineStr">
        <is>
          <t>072-432-6007</t>
        </is>
      </c>
      <c r="F952" s="23" t="n"/>
      <c r="G952" s="25" t="inlineStr">
        <is>
          <t>普通科</t>
        </is>
      </c>
      <c r="H952" s="26" t="inlineStr">
        <is>
          <t>☐</t>
        </is>
      </c>
      <c r="I952" s="26" t="inlineStr">
        <is>
          <t>☐</t>
        </is>
      </c>
      <c r="J952" s="26" t="inlineStr">
        <is>
          <t>☐</t>
        </is>
      </c>
      <c r="K952" s="26" t="inlineStr">
        <is>
          <t>☐</t>
        </is>
      </c>
      <c r="L952" s="26" t="inlineStr">
        <is>
          <t>☐</t>
        </is>
      </c>
      <c r="M952" s="25" t="n"/>
      <c r="N952" s="27" t="n">
        <v>0</v>
      </c>
      <c r="O952" s="28" t="n"/>
      <c r="P952" s="23" t="n"/>
      <c r="Q952" s="29" t="n"/>
      <c r="R952" s="29" t="n"/>
      <c r="S952" s="23" t="n"/>
      <c r="T952" s="30" t="n"/>
      <c r="U952" s="31" t="inlineStr">
        <is>
          <t>高</t>
        </is>
      </c>
      <c r="V952" s="32" t="n"/>
      <c r="W952" s="33" t="inlineStr">
        <is>
          <t>開く</t>
        </is>
      </c>
    </row>
    <row r="953" ht="30" customHeight="1">
      <c r="A953" s="23" t="inlineStr">
        <is>
          <t>27大阪府</t>
        </is>
      </c>
      <c r="B953" s="23" t="inlineStr">
        <is>
          <t>私立</t>
        </is>
      </c>
      <c r="C953" s="23" t="n"/>
      <c r="D953" s="23" t="inlineStr">
        <is>
          <t>樟蔭高等学校</t>
        </is>
      </c>
      <c r="E953" s="24" t="inlineStr">
        <is>
          <t>06-6723-8185</t>
        </is>
      </c>
      <c r="F953" s="23" t="n"/>
      <c r="G953" s="25" t="inlineStr">
        <is>
          <t>普通科</t>
        </is>
      </c>
      <c r="H953" s="26" t="inlineStr">
        <is>
          <t>☐</t>
        </is>
      </c>
      <c r="I953" s="26" t="inlineStr">
        <is>
          <t>☐</t>
        </is>
      </c>
      <c r="J953" s="26" t="inlineStr">
        <is>
          <t>☐</t>
        </is>
      </c>
      <c r="K953" s="26" t="inlineStr">
        <is>
          <t>☐</t>
        </is>
      </c>
      <c r="L953" s="26" t="inlineStr">
        <is>
          <t>☐</t>
        </is>
      </c>
      <c r="M953" s="25" t="n"/>
      <c r="N953" s="27" t="n">
        <v>0</v>
      </c>
      <c r="O953" s="28" t="n"/>
      <c r="P953" s="23" t="n"/>
      <c r="Q953" s="29" t="n"/>
      <c r="R953" s="29" t="n"/>
      <c r="S953" s="23" t="n"/>
      <c r="T953" s="30" t="n"/>
      <c r="U953" s="31" t="inlineStr">
        <is>
          <t>高</t>
        </is>
      </c>
      <c r="V953" s="32" t="n"/>
      <c r="W953" s="33" t="inlineStr">
        <is>
          <t>開く</t>
        </is>
      </c>
    </row>
    <row r="954" ht="30" customHeight="1">
      <c r="A954" s="23" t="inlineStr">
        <is>
          <t>27大阪府</t>
        </is>
      </c>
      <c r="B954" s="23" t="inlineStr">
        <is>
          <t>私立</t>
        </is>
      </c>
      <c r="C954" s="23" t="n"/>
      <c r="D954" s="23" t="inlineStr">
        <is>
          <t>城南学園高等学校</t>
        </is>
      </c>
      <c r="E954" s="24" t="inlineStr">
        <is>
          <t>06-6702-9784</t>
        </is>
      </c>
      <c r="F954" s="23" t="n"/>
      <c r="G954" s="25" t="inlineStr">
        <is>
          <t>普通科</t>
        </is>
      </c>
      <c r="H954" s="26" t="inlineStr">
        <is>
          <t>☐</t>
        </is>
      </c>
      <c r="I954" s="26" t="inlineStr">
        <is>
          <t>☐</t>
        </is>
      </c>
      <c r="J954" s="26" t="inlineStr">
        <is>
          <t>☐</t>
        </is>
      </c>
      <c r="K954" s="26" t="inlineStr">
        <is>
          <t>☐</t>
        </is>
      </c>
      <c r="L954" s="26" t="inlineStr">
        <is>
          <t>☐</t>
        </is>
      </c>
      <c r="M954" s="25" t="n"/>
      <c r="N954" s="27" t="n">
        <v>0</v>
      </c>
      <c r="O954" s="28" t="n"/>
      <c r="P954" s="23" t="n"/>
      <c r="Q954" s="29" t="n"/>
      <c r="R954" s="29" t="n"/>
      <c r="S954" s="23" t="n"/>
      <c r="T954" s="30" t="n"/>
      <c r="U954" s="31" t="inlineStr">
        <is>
          <t>高</t>
        </is>
      </c>
      <c r="V954" s="32" t="inlineStr">
        <is>
          <t>事務局番号。職員室は06-6702-9781（第三者サイトはこちらが多い）</t>
        </is>
      </c>
      <c r="W954" s="33" t="inlineStr">
        <is>
          <t>開く</t>
        </is>
      </c>
    </row>
    <row r="955" ht="30" customHeight="1">
      <c r="A955" s="23" t="inlineStr">
        <is>
          <t>27大阪府</t>
        </is>
      </c>
      <c r="B955" s="23" t="inlineStr">
        <is>
          <t>私立</t>
        </is>
      </c>
      <c r="C955" s="23" t="n"/>
      <c r="D955" s="23" t="inlineStr">
        <is>
          <t>昇陽高等学校</t>
        </is>
      </c>
      <c r="E955" s="24" t="inlineStr">
        <is>
          <t>06-6461-0091</t>
        </is>
      </c>
      <c r="F955" s="23" t="n"/>
      <c r="G955" s="25" t="inlineStr">
        <is>
          <t>普通科・専門学科</t>
        </is>
      </c>
      <c r="H955" s="26" t="inlineStr">
        <is>
          <t>☐</t>
        </is>
      </c>
      <c r="I955" s="26" t="inlineStr">
        <is>
          <t>☐</t>
        </is>
      </c>
      <c r="J955" s="26" t="inlineStr">
        <is>
          <t>☐</t>
        </is>
      </c>
      <c r="K955" s="26" t="inlineStr">
        <is>
          <t>☐</t>
        </is>
      </c>
      <c r="L955" s="26" t="inlineStr">
        <is>
          <t>☐</t>
        </is>
      </c>
      <c r="M955" s="25" t="n"/>
      <c r="N955" s="27" t="n">
        <v>0</v>
      </c>
      <c r="O955" s="28" t="n"/>
      <c r="P955" s="23" t="n"/>
      <c r="Q955" s="29" t="n"/>
      <c r="R955" s="29" t="n"/>
      <c r="S955" s="23" t="n"/>
      <c r="T955" s="30" t="n"/>
      <c r="U955" s="31" t="inlineStr">
        <is>
          <t>高</t>
        </is>
      </c>
      <c r="V955" s="32" t="n"/>
      <c r="W955" s="33" t="inlineStr">
        <is>
          <t>開く</t>
        </is>
      </c>
    </row>
    <row r="956" ht="30" customHeight="1">
      <c r="A956" s="23" t="inlineStr">
        <is>
          <t>27大阪府</t>
        </is>
      </c>
      <c r="B956" s="23" t="inlineStr">
        <is>
          <t>私立</t>
        </is>
      </c>
      <c r="C956" s="23" t="n"/>
      <c r="D956" s="23" t="inlineStr">
        <is>
          <t>常翔学園高等学校</t>
        </is>
      </c>
      <c r="E956" s="24" t="inlineStr">
        <is>
          <t>06-6954-4435</t>
        </is>
      </c>
      <c r="F956" s="23" t="n"/>
      <c r="G956" s="25" t="inlineStr">
        <is>
          <t>普通科</t>
        </is>
      </c>
      <c r="H956" s="26" t="inlineStr">
        <is>
          <t>☐</t>
        </is>
      </c>
      <c r="I956" s="26" t="inlineStr">
        <is>
          <t>☐</t>
        </is>
      </c>
      <c r="J956" s="26" t="inlineStr">
        <is>
          <t>☐</t>
        </is>
      </c>
      <c r="K956" s="26" t="inlineStr">
        <is>
          <t>☐</t>
        </is>
      </c>
      <c r="L956" s="26" t="inlineStr">
        <is>
          <t>☐</t>
        </is>
      </c>
      <c r="M956" s="25" t="n"/>
      <c r="N956" s="27" t="n">
        <v>0</v>
      </c>
      <c r="O956" s="28" t="n"/>
      <c r="P956" s="23" t="n"/>
      <c r="Q956" s="29" t="n"/>
      <c r="R956" s="29" t="n"/>
      <c r="S956" s="23" t="n"/>
      <c r="T956" s="30" t="n"/>
      <c r="U956" s="31" t="inlineStr">
        <is>
          <t>高</t>
        </is>
      </c>
      <c r="V956" s="32" t="inlineStr">
        <is>
          <t>事務室番号（入試部は06-6954-4436）</t>
        </is>
      </c>
      <c r="W956" s="33" t="inlineStr">
        <is>
          <t>開く</t>
        </is>
      </c>
    </row>
    <row r="957" ht="30" customHeight="1">
      <c r="A957" s="23" t="inlineStr">
        <is>
          <t>27大阪府</t>
        </is>
      </c>
      <c r="B957" s="23" t="inlineStr">
        <is>
          <t>私立</t>
        </is>
      </c>
      <c r="C957" s="23" t="n"/>
      <c r="D957" s="23" t="inlineStr">
        <is>
          <t>常翔啓光学園高等学校</t>
        </is>
      </c>
      <c r="E957" s="24" t="inlineStr">
        <is>
          <t>072-848-0521</t>
        </is>
      </c>
      <c r="F957" s="23" t="n"/>
      <c r="G957" s="25" t="inlineStr">
        <is>
          <t>普通科</t>
        </is>
      </c>
      <c r="H957" s="26" t="inlineStr">
        <is>
          <t>☐</t>
        </is>
      </c>
      <c r="I957" s="26" t="inlineStr">
        <is>
          <t>☐</t>
        </is>
      </c>
      <c r="J957" s="26" t="inlineStr">
        <is>
          <t>☐</t>
        </is>
      </c>
      <c r="K957" s="26" t="inlineStr">
        <is>
          <t>☐</t>
        </is>
      </c>
      <c r="L957" s="26" t="inlineStr">
        <is>
          <t>☐</t>
        </is>
      </c>
      <c r="M957" s="25" t="n"/>
      <c r="N957" s="27" t="n">
        <v>0</v>
      </c>
      <c r="O957" s="28" t="n"/>
      <c r="P957" s="23" t="n"/>
      <c r="Q957" s="29" t="n"/>
      <c r="R957" s="29" t="n"/>
      <c r="S957" s="23" t="n"/>
      <c r="T957" s="30" t="n"/>
      <c r="U957" s="31" t="inlineStr">
        <is>
          <t>高</t>
        </is>
      </c>
      <c r="V957" s="32" t="inlineStr">
        <is>
          <t>公式に代表と記載。一部サイトに072-807-6632の記載あり</t>
        </is>
      </c>
      <c r="W957" s="33" t="inlineStr">
        <is>
          <t>開く</t>
        </is>
      </c>
    </row>
    <row r="958" ht="30" customHeight="1">
      <c r="A958" s="23" t="inlineStr">
        <is>
          <t>27大阪府</t>
        </is>
      </c>
      <c r="B958" s="23" t="inlineStr">
        <is>
          <t>私立</t>
        </is>
      </c>
      <c r="C958" s="23" t="n"/>
      <c r="D958" s="23" t="inlineStr">
        <is>
          <t>城星学園高等学校</t>
        </is>
      </c>
      <c r="E958" s="24" t="inlineStr">
        <is>
          <t>06-6941-5977</t>
        </is>
      </c>
      <c r="F958" s="23" t="n"/>
      <c r="G958" s="25" t="inlineStr">
        <is>
          <t>普通科</t>
        </is>
      </c>
      <c r="H958" s="26" t="inlineStr">
        <is>
          <t>☐</t>
        </is>
      </c>
      <c r="I958" s="26" t="inlineStr">
        <is>
          <t>☐</t>
        </is>
      </c>
      <c r="J958" s="26" t="inlineStr">
        <is>
          <t>☐</t>
        </is>
      </c>
      <c r="K958" s="26" t="inlineStr">
        <is>
          <t>☐</t>
        </is>
      </c>
      <c r="L958" s="26" t="inlineStr">
        <is>
          <t>☐</t>
        </is>
      </c>
      <c r="M958" s="25" t="n"/>
      <c r="N958" s="27" t="n">
        <v>0</v>
      </c>
      <c r="O958" s="28" t="n"/>
      <c r="P958" s="23" t="n"/>
      <c r="Q958" s="29" t="n"/>
      <c r="R958" s="29" t="n"/>
      <c r="S958" s="23" t="n"/>
      <c r="T958" s="30" t="n"/>
      <c r="U958" s="31" t="inlineStr">
        <is>
          <t>高</t>
        </is>
      </c>
      <c r="V958" s="32" t="inlineStr">
        <is>
          <t>2022年4月に「ヴェリタス城星学園高等学校」へ校名変更</t>
        </is>
      </c>
      <c r="W958" s="33" t="inlineStr">
        <is>
          <t>開く</t>
        </is>
      </c>
    </row>
    <row r="959" ht="30" customHeight="1">
      <c r="A959" s="23" t="inlineStr">
        <is>
          <t>27大阪府</t>
        </is>
      </c>
      <c r="B959" s="23" t="inlineStr">
        <is>
          <t>私立</t>
        </is>
      </c>
      <c r="C959" s="23" t="n"/>
      <c r="D959" s="23" t="inlineStr">
        <is>
          <t>精華高等学校</t>
        </is>
      </c>
      <c r="E959" s="24" t="inlineStr">
        <is>
          <t>072-234-3391</t>
        </is>
      </c>
      <c r="F959" s="23" t="n"/>
      <c r="G959" s="25" t="inlineStr">
        <is>
          <t>普通科</t>
        </is>
      </c>
      <c r="H959" s="26" t="inlineStr">
        <is>
          <t>☐</t>
        </is>
      </c>
      <c r="I959" s="26" t="inlineStr">
        <is>
          <t>☐</t>
        </is>
      </c>
      <c r="J959" s="26" t="inlineStr">
        <is>
          <t>☐</t>
        </is>
      </c>
      <c r="K959" s="26" t="inlineStr">
        <is>
          <t>☐</t>
        </is>
      </c>
      <c r="L959" s="26" t="inlineStr">
        <is>
          <t>☐</t>
        </is>
      </c>
      <c r="M959" s="25" t="n"/>
      <c r="N959" s="27" t="n">
        <v>0</v>
      </c>
      <c r="O959" s="28" t="n"/>
      <c r="P959" s="23" t="n"/>
      <c r="Q959" s="29" t="n"/>
      <c r="R959" s="29" t="n"/>
      <c r="S959" s="23" t="n"/>
      <c r="T959" s="30" t="n"/>
      <c r="U959" s="31" t="inlineStr">
        <is>
          <t>高</t>
        </is>
      </c>
      <c r="V959" s="32" t="n"/>
      <c r="W959" s="33" t="inlineStr">
        <is>
          <t>開く</t>
        </is>
      </c>
    </row>
    <row r="960" ht="30" customHeight="1">
      <c r="A960" s="23" t="inlineStr">
        <is>
          <t>27大阪府</t>
        </is>
      </c>
      <c r="B960" s="23" t="inlineStr">
        <is>
          <t>私立</t>
        </is>
      </c>
      <c r="C960" s="23" t="n"/>
      <c r="D960" s="23" t="inlineStr">
        <is>
          <t>清教学園高等学校</t>
        </is>
      </c>
      <c r="E960" s="24" t="inlineStr">
        <is>
          <t>0721-62-6828</t>
        </is>
      </c>
      <c r="F960" s="23" t="n"/>
      <c r="G960" s="25" t="inlineStr">
        <is>
          <t>普通科</t>
        </is>
      </c>
      <c r="H960" s="26" t="inlineStr">
        <is>
          <t>☐</t>
        </is>
      </c>
      <c r="I960" s="26" t="inlineStr">
        <is>
          <t>☐</t>
        </is>
      </c>
      <c r="J960" s="26" t="inlineStr">
        <is>
          <t>☐</t>
        </is>
      </c>
      <c r="K960" s="26" t="inlineStr">
        <is>
          <t>☐</t>
        </is>
      </c>
      <c r="L960" s="26" t="inlineStr">
        <is>
          <t>☐</t>
        </is>
      </c>
      <c r="M960" s="25" t="n"/>
      <c r="N960" s="27" t="n">
        <v>0</v>
      </c>
      <c r="O960" s="28" t="n"/>
      <c r="P960" s="23" t="n"/>
      <c r="Q960" s="29" t="n"/>
      <c r="R960" s="29" t="n"/>
      <c r="S960" s="23" t="n"/>
      <c r="T960" s="30" t="n"/>
      <c r="U960" s="31" t="inlineStr">
        <is>
          <t>高</t>
        </is>
      </c>
      <c r="V960" s="32" t="inlineStr">
        <is>
          <t>代表番号（入試は0721-63-8568）</t>
        </is>
      </c>
      <c r="W960" s="33" t="inlineStr">
        <is>
          <t>開く</t>
        </is>
      </c>
    </row>
    <row r="961" ht="30" customHeight="1">
      <c r="A961" s="23" t="inlineStr">
        <is>
          <t>27大阪府</t>
        </is>
      </c>
      <c r="B961" s="23" t="inlineStr">
        <is>
          <t>私立</t>
        </is>
      </c>
      <c r="C961" s="23" t="n"/>
      <c r="D961" s="23" t="inlineStr">
        <is>
          <t>星翔高等学校</t>
        </is>
      </c>
      <c r="E961" s="24" t="inlineStr">
        <is>
          <t>06-6381-0220</t>
        </is>
      </c>
      <c r="F961" s="23" t="n"/>
      <c r="G961" s="25" t="inlineStr">
        <is>
          <t>普通科・専門学科</t>
        </is>
      </c>
      <c r="H961" s="26" t="inlineStr">
        <is>
          <t>☐</t>
        </is>
      </c>
      <c r="I961" s="26" t="inlineStr">
        <is>
          <t>☐</t>
        </is>
      </c>
      <c r="J961" s="26" t="inlineStr">
        <is>
          <t>☐</t>
        </is>
      </c>
      <c r="K961" s="26" t="inlineStr">
        <is>
          <t>☐</t>
        </is>
      </c>
      <c r="L961" s="26" t="inlineStr">
        <is>
          <t>☐</t>
        </is>
      </c>
      <c r="M961" s="25" t="n"/>
      <c r="N961" s="27" t="n">
        <v>0</v>
      </c>
      <c r="O961" s="28" t="n"/>
      <c r="P961" s="23" t="n"/>
      <c r="Q961" s="29" t="n"/>
      <c r="R961" s="29" t="n"/>
      <c r="S961" s="23" t="n"/>
      <c r="T961" s="30" t="n"/>
      <c r="U961" s="31" t="inlineStr">
        <is>
          <t>高</t>
        </is>
      </c>
      <c r="V961" s="32" t="n"/>
      <c r="W961" s="33" t="inlineStr">
        <is>
          <t>開く</t>
        </is>
      </c>
    </row>
    <row r="962" ht="30" customHeight="1">
      <c r="A962" s="23" t="inlineStr">
        <is>
          <t>27大阪府</t>
        </is>
      </c>
      <c r="B962" s="23" t="inlineStr">
        <is>
          <t>私立</t>
        </is>
      </c>
      <c r="C962" s="23" t="n"/>
      <c r="D962" s="23" t="inlineStr">
        <is>
          <t>清風高等学校</t>
        </is>
      </c>
      <c r="E962" s="24" t="inlineStr">
        <is>
          <t>06-6771-5757</t>
        </is>
      </c>
      <c r="F962" s="23" t="n"/>
      <c r="G962" s="25" t="inlineStr">
        <is>
          <t>普通科・専門学科</t>
        </is>
      </c>
      <c r="H962" s="26" t="inlineStr">
        <is>
          <t>☐</t>
        </is>
      </c>
      <c r="I962" s="26" t="inlineStr">
        <is>
          <t>☐</t>
        </is>
      </c>
      <c r="J962" s="26" t="inlineStr">
        <is>
          <t>☐</t>
        </is>
      </c>
      <c r="K962" s="26" t="inlineStr">
        <is>
          <t>☐</t>
        </is>
      </c>
      <c r="L962" s="26" t="inlineStr">
        <is>
          <t>☐</t>
        </is>
      </c>
      <c r="M962" s="25" t="n"/>
      <c r="N962" s="27" t="n">
        <v>0</v>
      </c>
      <c r="O962" s="28" t="n"/>
      <c r="P962" s="23" t="n"/>
      <c r="Q962" s="29" t="n"/>
      <c r="R962" s="29" t="n"/>
      <c r="S962" s="23" t="n"/>
      <c r="T962" s="30" t="n"/>
      <c r="U962" s="31" t="inlineStr">
        <is>
          <t>高</t>
        </is>
      </c>
      <c r="V962" s="32" t="n"/>
      <c r="W962" s="33" t="inlineStr">
        <is>
          <t>開く</t>
        </is>
      </c>
    </row>
    <row r="963" ht="30" customHeight="1">
      <c r="A963" s="23" t="inlineStr">
        <is>
          <t>27大阪府</t>
        </is>
      </c>
      <c r="B963" s="23" t="inlineStr">
        <is>
          <t>私立</t>
        </is>
      </c>
      <c r="C963" s="23" t="n"/>
      <c r="D963" s="23" t="inlineStr">
        <is>
          <t>清風南海高等学校</t>
        </is>
      </c>
      <c r="E963" s="24" t="inlineStr">
        <is>
          <t>072-261-7761</t>
        </is>
      </c>
      <c r="F963" s="23" t="n"/>
      <c r="G963" s="25" t="inlineStr">
        <is>
          <t>普通科</t>
        </is>
      </c>
      <c r="H963" s="26" t="inlineStr">
        <is>
          <t>☐</t>
        </is>
      </c>
      <c r="I963" s="26" t="inlineStr">
        <is>
          <t>☐</t>
        </is>
      </c>
      <c r="J963" s="26" t="inlineStr">
        <is>
          <t>☐</t>
        </is>
      </c>
      <c r="K963" s="26" t="inlineStr">
        <is>
          <t>☐</t>
        </is>
      </c>
      <c r="L963" s="26" t="inlineStr">
        <is>
          <t>☐</t>
        </is>
      </c>
      <c r="M963" s="25" t="n"/>
      <c r="N963" s="27" t="n">
        <v>0</v>
      </c>
      <c r="O963" s="28" t="n"/>
      <c r="P963" s="23" t="n"/>
      <c r="Q963" s="29" t="n"/>
      <c r="R963" s="29" t="n"/>
      <c r="S963" s="23" t="n"/>
      <c r="T963" s="30" t="n"/>
      <c r="U963" s="31" t="inlineStr">
        <is>
          <t>高</t>
        </is>
      </c>
      <c r="V963" s="32" t="inlineStr">
        <is>
          <t>中高共通の代表番号</t>
        </is>
      </c>
      <c r="W963" s="33" t="inlineStr">
        <is>
          <t>開く</t>
        </is>
      </c>
    </row>
    <row r="964" ht="30" customHeight="1">
      <c r="A964" s="23" t="inlineStr">
        <is>
          <t>27大阪府</t>
        </is>
      </c>
      <c r="B964" s="23" t="inlineStr">
        <is>
          <t>私立</t>
        </is>
      </c>
      <c r="C964" s="23" t="n"/>
      <c r="D964" s="23" t="inlineStr">
        <is>
          <t>清明学院高等学校</t>
        </is>
      </c>
      <c r="E964" s="24" t="inlineStr">
        <is>
          <t>06-6673-8181</t>
        </is>
      </c>
      <c r="F964" s="23" t="n"/>
      <c r="G964" s="25" t="inlineStr">
        <is>
          <t>普通科</t>
        </is>
      </c>
      <c r="H964" s="26" t="inlineStr">
        <is>
          <t>☐</t>
        </is>
      </c>
      <c r="I964" s="26" t="inlineStr">
        <is>
          <t>☐</t>
        </is>
      </c>
      <c r="J964" s="26" t="inlineStr">
        <is>
          <t>☐</t>
        </is>
      </c>
      <c r="K964" s="26" t="inlineStr">
        <is>
          <t>☐</t>
        </is>
      </c>
      <c r="L964" s="26" t="inlineStr">
        <is>
          <t>☐</t>
        </is>
      </c>
      <c r="M964" s="25" t="n"/>
      <c r="N964" s="27" t="n">
        <v>0</v>
      </c>
      <c r="O964" s="28" t="n"/>
      <c r="P964" s="23" t="n"/>
      <c r="Q964" s="29" t="n"/>
      <c r="R964" s="29" t="n"/>
      <c r="S964" s="23" t="n"/>
      <c r="T964" s="30" t="n"/>
      <c r="U964" s="31" t="inlineStr">
        <is>
          <t>高</t>
        </is>
      </c>
      <c r="V964" s="32" t="n"/>
      <c r="W964" s="33" t="inlineStr">
        <is>
          <t>開く</t>
        </is>
      </c>
    </row>
    <row r="965" ht="30" customHeight="1">
      <c r="A965" s="23" t="inlineStr">
        <is>
          <t>27大阪府</t>
        </is>
      </c>
      <c r="B965" s="23" t="inlineStr">
        <is>
          <t>私立</t>
        </is>
      </c>
      <c r="C965" s="23" t="n"/>
      <c r="D965" s="23" t="inlineStr">
        <is>
          <t>宣真高等学校</t>
        </is>
      </c>
      <c r="E965" s="24" t="inlineStr">
        <is>
          <t>072-761-8801</t>
        </is>
      </c>
      <c r="F965" s="23" t="n"/>
      <c r="G965" s="25" t="inlineStr">
        <is>
          <t>普通科</t>
        </is>
      </c>
      <c r="H965" s="26" t="inlineStr">
        <is>
          <t>☐</t>
        </is>
      </c>
      <c r="I965" s="26" t="inlineStr">
        <is>
          <t>☐</t>
        </is>
      </c>
      <c r="J965" s="26" t="inlineStr">
        <is>
          <t>☐</t>
        </is>
      </c>
      <c r="K965" s="26" t="inlineStr">
        <is>
          <t>☐</t>
        </is>
      </c>
      <c r="L965" s="26" t="inlineStr">
        <is>
          <t>☐</t>
        </is>
      </c>
      <c r="M965" s="25" t="n"/>
      <c r="N965" s="27" t="n">
        <v>0</v>
      </c>
      <c r="O965" s="28" t="n"/>
      <c r="P965" s="23" t="n"/>
      <c r="Q965" s="29" t="n"/>
      <c r="R965" s="29" t="n"/>
      <c r="S965" s="23" t="n"/>
      <c r="T965" s="30" t="n"/>
      <c r="U965" s="31" t="inlineStr">
        <is>
          <t>高</t>
        </is>
      </c>
      <c r="V965" s="32" t="inlineStr">
        <is>
          <t>代表番号（入試広報部直通は072-760-3020）</t>
        </is>
      </c>
      <c r="W965" s="33" t="inlineStr">
        <is>
          <t>開く</t>
        </is>
      </c>
    </row>
    <row r="966" ht="30" customHeight="1">
      <c r="A966" s="23" t="inlineStr">
        <is>
          <t>27大阪府</t>
        </is>
      </c>
      <c r="B966" s="23" t="inlineStr">
        <is>
          <t>私立</t>
        </is>
      </c>
      <c r="C966" s="23" t="n"/>
      <c r="D966" s="23" t="inlineStr">
        <is>
          <t>相愛高等学校</t>
        </is>
      </c>
      <c r="E966" s="24" t="inlineStr">
        <is>
          <t>06-6262-0621</t>
        </is>
      </c>
      <c r="F966" s="23" t="n"/>
      <c r="G966" s="25" t="inlineStr">
        <is>
          <t>普通科・専門学科</t>
        </is>
      </c>
      <c r="H966" s="26" t="inlineStr">
        <is>
          <t>☐</t>
        </is>
      </c>
      <c r="I966" s="26" t="inlineStr">
        <is>
          <t>☐</t>
        </is>
      </c>
      <c r="J966" s="26" t="inlineStr">
        <is>
          <t>☐</t>
        </is>
      </c>
      <c r="K966" s="26" t="inlineStr">
        <is>
          <t>☐</t>
        </is>
      </c>
      <c r="L966" s="26" t="inlineStr">
        <is>
          <t>☐</t>
        </is>
      </c>
      <c r="M966" s="25" t="n"/>
      <c r="N966" s="27" t="n">
        <v>0</v>
      </c>
      <c r="O966" s="28" t="n"/>
      <c r="P966" s="23" t="n"/>
      <c r="Q966" s="29" t="n"/>
      <c r="R966" s="29" t="n"/>
      <c r="S966" s="23" t="n"/>
      <c r="T966" s="30" t="n"/>
      <c r="U966" s="31" t="inlineStr">
        <is>
          <t>高</t>
        </is>
      </c>
      <c r="V966" s="32" t="n"/>
      <c r="W966" s="33" t="inlineStr">
        <is>
          <t>開く</t>
        </is>
      </c>
    </row>
    <row r="967" ht="30" customHeight="1">
      <c r="A967" s="23" t="inlineStr">
        <is>
          <t>27大阪府</t>
        </is>
      </c>
      <c r="B967" s="23" t="inlineStr">
        <is>
          <t>私立</t>
        </is>
      </c>
      <c r="C967" s="23" t="n"/>
      <c r="D967" s="23" t="inlineStr">
        <is>
          <t>太成学院大学高等学校</t>
        </is>
      </c>
      <c r="E967" s="24" t="inlineStr">
        <is>
          <t>072-871-1921</t>
        </is>
      </c>
      <c r="F967" s="23" t="n"/>
      <c r="G967" s="25" t="inlineStr">
        <is>
          <t>普通科・専門学科</t>
        </is>
      </c>
      <c r="H967" s="26" t="inlineStr">
        <is>
          <t>☐</t>
        </is>
      </c>
      <c r="I967" s="26" t="inlineStr">
        <is>
          <t>☐</t>
        </is>
      </c>
      <c r="J967" s="26" t="inlineStr">
        <is>
          <t>☐</t>
        </is>
      </c>
      <c r="K967" s="26" t="inlineStr">
        <is>
          <t>☐</t>
        </is>
      </c>
      <c r="L967" s="26" t="inlineStr">
        <is>
          <t>☐</t>
        </is>
      </c>
      <c r="M967" s="25" t="n"/>
      <c r="N967" s="27" t="n">
        <v>0</v>
      </c>
      <c r="O967" s="28" t="n"/>
      <c r="P967" s="23" t="n"/>
      <c r="Q967" s="29" t="n"/>
      <c r="R967" s="29" t="n"/>
      <c r="S967" s="23" t="n"/>
      <c r="T967" s="30" t="n"/>
      <c r="U967" s="31" t="inlineStr">
        <is>
          <t>高</t>
        </is>
      </c>
      <c r="V967" s="32" t="inlineStr">
        <is>
          <t>大東市公式サイトとも一致</t>
        </is>
      </c>
      <c r="W967" s="33" t="inlineStr">
        <is>
          <t>開く</t>
        </is>
      </c>
    </row>
    <row r="968" ht="30" customHeight="1">
      <c r="A968" s="23" t="inlineStr">
        <is>
          <t>27大阪府</t>
        </is>
      </c>
      <c r="B968" s="23" t="inlineStr">
        <is>
          <t>私立</t>
        </is>
      </c>
      <c r="C968" s="23" t="n"/>
      <c r="D968" s="23" t="inlineStr">
        <is>
          <t>高槻高等学校</t>
        </is>
      </c>
      <c r="E968" s="24" t="inlineStr">
        <is>
          <t>072-671-0001</t>
        </is>
      </c>
      <c r="F968" s="23" t="n"/>
      <c r="G968" s="25" t="inlineStr">
        <is>
          <t>普通科</t>
        </is>
      </c>
      <c r="H968" s="26" t="inlineStr">
        <is>
          <t>☐</t>
        </is>
      </c>
      <c r="I968" s="26" t="inlineStr">
        <is>
          <t>☐</t>
        </is>
      </c>
      <c r="J968" s="26" t="inlineStr">
        <is>
          <t>☐</t>
        </is>
      </c>
      <c r="K968" s="26" t="inlineStr">
        <is>
          <t>☐</t>
        </is>
      </c>
      <c r="L968" s="26" t="inlineStr">
        <is>
          <t>☐</t>
        </is>
      </c>
      <c r="M968" s="25" t="n"/>
      <c r="N968" s="27" t="n">
        <v>0</v>
      </c>
      <c r="O968" s="28" t="n"/>
      <c r="P968" s="23" t="n"/>
      <c r="Q968" s="29" t="n"/>
      <c r="R968" s="29" t="n"/>
      <c r="S968" s="23" t="n"/>
      <c r="T968" s="30" t="n"/>
      <c r="U968" s="34" t="inlineStr">
        <is>
          <t>中</t>
        </is>
      </c>
      <c r="V968" s="32" t="inlineStr">
        <is>
          <t>公式ページで番号未確認。マピオン・学校情報サイトで一致</t>
        </is>
      </c>
      <c r="W968" s="33" t="inlineStr">
        <is>
          <t>開く</t>
        </is>
      </c>
    </row>
    <row r="969" ht="30" customHeight="1">
      <c r="A969" s="23" t="inlineStr">
        <is>
          <t>27大阪府</t>
        </is>
      </c>
      <c r="B969" s="23" t="inlineStr">
        <is>
          <t>私立</t>
        </is>
      </c>
      <c r="C969" s="23" t="n"/>
      <c r="D969" s="23" t="inlineStr">
        <is>
          <t>大商学園高等学校</t>
        </is>
      </c>
      <c r="E969" s="24" t="inlineStr">
        <is>
          <t>06-6862-5223</t>
        </is>
      </c>
      <c r="F969" s="23" t="n"/>
      <c r="G969" s="25" t="inlineStr">
        <is>
          <t>普通科・専門学科</t>
        </is>
      </c>
      <c r="H969" s="26" t="inlineStr">
        <is>
          <t>☐</t>
        </is>
      </c>
      <c r="I969" s="26" t="inlineStr">
        <is>
          <t>☐</t>
        </is>
      </c>
      <c r="J969" s="26" t="inlineStr">
        <is>
          <t>☐</t>
        </is>
      </c>
      <c r="K969" s="26" t="inlineStr">
        <is>
          <t>☐</t>
        </is>
      </c>
      <c r="L969" s="26" t="inlineStr">
        <is>
          <t>☐</t>
        </is>
      </c>
      <c r="M969" s="25" t="n"/>
      <c r="N969" s="27" t="n">
        <v>0</v>
      </c>
      <c r="O969" s="28" t="n"/>
      <c r="P969" s="23" t="n"/>
      <c r="Q969" s="29" t="n"/>
      <c r="R969" s="29" t="n"/>
      <c r="S969" s="23" t="n"/>
      <c r="T969" s="30" t="n"/>
      <c r="U969" s="31" t="inlineStr">
        <is>
          <t>高</t>
        </is>
      </c>
      <c r="V969" s="32" t="n"/>
      <c r="W969" s="33" t="inlineStr">
        <is>
          <t>開く</t>
        </is>
      </c>
    </row>
    <row r="970" ht="30" customHeight="1">
      <c r="A970" s="23" t="inlineStr">
        <is>
          <t>27大阪府</t>
        </is>
      </c>
      <c r="B970" s="23" t="inlineStr">
        <is>
          <t>私立</t>
        </is>
      </c>
      <c r="C970" s="23" t="n"/>
      <c r="D970" s="23" t="inlineStr">
        <is>
          <t>帝塚山学院泉ヶ丘高等学校</t>
        </is>
      </c>
      <c r="E970" s="24" t="inlineStr">
        <is>
          <t>072-293-1221</t>
        </is>
      </c>
      <c r="F970" s="23" t="n"/>
      <c r="G970" s="25" t="inlineStr">
        <is>
          <t>普通科・専門学科</t>
        </is>
      </c>
      <c r="H970" s="26" t="inlineStr">
        <is>
          <t>☐</t>
        </is>
      </c>
      <c r="I970" s="26" t="inlineStr">
        <is>
          <t>☐</t>
        </is>
      </c>
      <c r="J970" s="26" t="inlineStr">
        <is>
          <t>☐</t>
        </is>
      </c>
      <c r="K970" s="26" t="inlineStr">
        <is>
          <t>☐</t>
        </is>
      </c>
      <c r="L970" s="26" t="inlineStr">
        <is>
          <t>☐</t>
        </is>
      </c>
      <c r="M970" s="25" t="n"/>
      <c r="N970" s="27" t="n">
        <v>0</v>
      </c>
      <c r="O970" s="28" t="n"/>
      <c r="P970" s="23" t="n"/>
      <c r="Q970" s="29" t="n"/>
      <c r="R970" s="29" t="n"/>
      <c r="S970" s="23" t="n"/>
      <c r="T970" s="30" t="n"/>
      <c r="U970" s="31" t="inlineStr">
        <is>
          <t>高</t>
        </is>
      </c>
      <c r="V970" s="32" t="n"/>
      <c r="W970" s="33" t="inlineStr">
        <is>
          <t>開く</t>
        </is>
      </c>
    </row>
    <row r="971" ht="30" customHeight="1">
      <c r="A971" s="23" t="inlineStr">
        <is>
          <t>27大阪府</t>
        </is>
      </c>
      <c r="B971" s="23" t="inlineStr">
        <is>
          <t>私立</t>
        </is>
      </c>
      <c r="C971" s="23" t="n"/>
      <c r="D971" s="23" t="inlineStr">
        <is>
          <t>帝塚山学院高等学校</t>
        </is>
      </c>
      <c r="E971" s="24" t="inlineStr">
        <is>
          <t>06-6672-1151</t>
        </is>
      </c>
      <c r="F971" s="23" t="n"/>
      <c r="G971" s="25" t="inlineStr">
        <is>
          <t>普通科</t>
        </is>
      </c>
      <c r="H971" s="26" t="inlineStr">
        <is>
          <t>☐</t>
        </is>
      </c>
      <c r="I971" s="26" t="inlineStr">
        <is>
          <t>☐</t>
        </is>
      </c>
      <c r="J971" s="26" t="inlineStr">
        <is>
          <t>☐</t>
        </is>
      </c>
      <c r="K971" s="26" t="inlineStr">
        <is>
          <t>☐</t>
        </is>
      </c>
      <c r="L971" s="26" t="inlineStr">
        <is>
          <t>☐</t>
        </is>
      </c>
      <c r="M971" s="25" t="n"/>
      <c r="N971" s="27" t="n">
        <v>0</v>
      </c>
      <c r="O971" s="28" t="n"/>
      <c r="P971" s="23" t="n"/>
      <c r="Q971" s="29" t="n"/>
      <c r="R971" s="29" t="n"/>
      <c r="S971" s="23" t="n"/>
      <c r="T971" s="30" t="n"/>
      <c r="U971" s="31" t="inlineStr">
        <is>
          <t>高</t>
        </is>
      </c>
      <c r="V971" s="32" t="inlineStr">
        <is>
          <t>学校法人の公式アクセスページに記載</t>
        </is>
      </c>
      <c r="W971" s="33" t="inlineStr">
        <is>
          <t>開く</t>
        </is>
      </c>
    </row>
    <row r="972" ht="30" customHeight="1">
      <c r="A972" s="23" t="inlineStr">
        <is>
          <t>27大阪府</t>
        </is>
      </c>
      <c r="B972" s="23" t="inlineStr">
        <is>
          <t>私立</t>
        </is>
      </c>
      <c r="C972" s="23" t="n"/>
      <c r="D972" s="23" t="inlineStr">
        <is>
          <t>天王寺学館高等学校</t>
        </is>
      </c>
      <c r="E972" s="24" t="inlineStr">
        <is>
          <t>06-6795-1860</t>
        </is>
      </c>
      <c r="F972" s="23" t="n"/>
      <c r="G972" s="25" t="inlineStr">
        <is>
          <t>総合学科</t>
        </is>
      </c>
      <c r="H972" s="26" t="inlineStr">
        <is>
          <t>☐</t>
        </is>
      </c>
      <c r="I972" s="26" t="inlineStr">
        <is>
          <t>☐</t>
        </is>
      </c>
      <c r="J972" s="26" t="inlineStr">
        <is>
          <t>☐</t>
        </is>
      </c>
      <c r="K972" s="26" t="inlineStr">
        <is>
          <t>☐</t>
        </is>
      </c>
      <c r="L972" s="26" t="inlineStr">
        <is>
          <t>☐</t>
        </is>
      </c>
      <c r="M972" s="25" t="n"/>
      <c r="N972" s="27" t="n">
        <v>0</v>
      </c>
      <c r="O972" s="28" t="n"/>
      <c r="P972" s="23" t="n"/>
      <c r="Q972" s="29" t="n"/>
      <c r="R972" s="29" t="n"/>
      <c r="S972" s="23" t="n"/>
      <c r="T972" s="30" t="n"/>
      <c r="U972" s="31" t="inlineStr">
        <is>
          <t>高</t>
        </is>
      </c>
      <c r="V972" s="32" t="inlineStr">
        <is>
          <t>通信制。2010年に平野区へ移転済み（旧番号06-6621-1860は古い情報）</t>
        </is>
      </c>
      <c r="W972" s="33" t="inlineStr">
        <is>
          <t>開く</t>
        </is>
      </c>
    </row>
    <row r="973" ht="30" customHeight="1">
      <c r="A973" s="23" t="inlineStr">
        <is>
          <t>27大阪府</t>
        </is>
      </c>
      <c r="B973" s="23" t="inlineStr">
        <is>
          <t>私立</t>
        </is>
      </c>
      <c r="C973" s="23" t="n"/>
      <c r="D973" s="23" t="inlineStr">
        <is>
          <t>東海大学付属大阪仰星高等学校</t>
        </is>
      </c>
      <c r="E973" s="24" t="inlineStr">
        <is>
          <t>072-849-7211</t>
        </is>
      </c>
      <c r="F973" s="23" t="n"/>
      <c r="G973" s="25" t="inlineStr">
        <is>
          <t>普通科</t>
        </is>
      </c>
      <c r="H973" s="26" t="inlineStr">
        <is>
          <t>☐</t>
        </is>
      </c>
      <c r="I973" s="26" t="inlineStr">
        <is>
          <t>☐</t>
        </is>
      </c>
      <c r="J973" s="26" t="inlineStr">
        <is>
          <t>☐</t>
        </is>
      </c>
      <c r="K973" s="26" t="inlineStr">
        <is>
          <t>☐</t>
        </is>
      </c>
      <c r="L973" s="26" t="inlineStr">
        <is>
          <t>☐</t>
        </is>
      </c>
      <c r="M973" s="25" t="n"/>
      <c r="N973" s="27" t="n">
        <v>0</v>
      </c>
      <c r="O973" s="28" t="n"/>
      <c r="P973" s="23" t="n"/>
      <c r="Q973" s="29" t="n"/>
      <c r="R973" s="29" t="n"/>
      <c r="S973" s="23" t="n"/>
      <c r="T973" s="30" t="n"/>
      <c r="U973" s="31" t="inlineStr">
        <is>
          <t>高</t>
        </is>
      </c>
      <c r="V973" s="32" t="n"/>
      <c r="W973" s="33" t="inlineStr">
        <is>
          <t>開く</t>
        </is>
      </c>
    </row>
    <row r="974" ht="30" customHeight="1">
      <c r="A974" s="23" t="inlineStr">
        <is>
          <t>27大阪府</t>
        </is>
      </c>
      <c r="B974" s="23" t="inlineStr">
        <is>
          <t>私立</t>
        </is>
      </c>
      <c r="C974" s="23" t="n"/>
      <c r="D974" s="23" t="inlineStr">
        <is>
          <t>同志社香里高等学校</t>
        </is>
      </c>
      <c r="E974" s="24" t="inlineStr">
        <is>
          <t>072-831-0285</t>
        </is>
      </c>
      <c r="F974" s="23" t="n"/>
      <c r="G974" s="25" t="inlineStr">
        <is>
          <t>普通科</t>
        </is>
      </c>
      <c r="H974" s="26" t="inlineStr">
        <is>
          <t>☐</t>
        </is>
      </c>
      <c r="I974" s="26" t="inlineStr">
        <is>
          <t>☐</t>
        </is>
      </c>
      <c r="J974" s="26" t="inlineStr">
        <is>
          <t>☐</t>
        </is>
      </c>
      <c r="K974" s="26" t="inlineStr">
        <is>
          <t>☐</t>
        </is>
      </c>
      <c r="L974" s="26" t="inlineStr">
        <is>
          <t>☐</t>
        </is>
      </c>
      <c r="M974" s="25" t="n"/>
      <c r="N974" s="27" t="n">
        <v>0</v>
      </c>
      <c r="O974" s="28" t="n"/>
      <c r="P974" s="23" t="n"/>
      <c r="Q974" s="29" t="n"/>
      <c r="R974" s="29" t="n"/>
      <c r="S974" s="23" t="n"/>
      <c r="T974" s="30" t="n"/>
      <c r="U974" s="31" t="inlineStr">
        <is>
          <t>高</t>
        </is>
      </c>
      <c r="V974" s="32" t="inlineStr">
        <is>
          <t>中高共通番号。寝屋川市サイトとも一致</t>
        </is>
      </c>
      <c r="W974" s="33" t="inlineStr">
        <is>
          <t>開く</t>
        </is>
      </c>
    </row>
    <row r="975" ht="30" customHeight="1">
      <c r="A975" s="23" t="inlineStr">
        <is>
          <t>27大阪府</t>
        </is>
      </c>
      <c r="B975" s="23" t="inlineStr">
        <is>
          <t>私立</t>
        </is>
      </c>
      <c r="C975" s="23" t="n"/>
      <c r="D975" s="23" t="inlineStr">
        <is>
          <t>長尾谷高等学校</t>
        </is>
      </c>
      <c r="E975" s="24" t="inlineStr">
        <is>
          <t>072-850-9111</t>
        </is>
      </c>
      <c r="F975" s="23" t="n"/>
      <c r="G975" s="25" t="inlineStr">
        <is>
          <t>普通科</t>
        </is>
      </c>
      <c r="H975" s="26" t="inlineStr">
        <is>
          <t>☐</t>
        </is>
      </c>
      <c r="I975" s="26" t="inlineStr">
        <is>
          <t>☐</t>
        </is>
      </c>
      <c r="J975" s="26" t="inlineStr">
        <is>
          <t>☐</t>
        </is>
      </c>
      <c r="K975" s="26" t="inlineStr">
        <is>
          <t>☐</t>
        </is>
      </c>
      <c r="L975" s="26" t="inlineStr">
        <is>
          <t>☐</t>
        </is>
      </c>
      <c r="M975" s="25" t="n"/>
      <c r="N975" s="27" t="n">
        <v>0</v>
      </c>
      <c r="O975" s="28" t="n"/>
      <c r="P975" s="23" t="n"/>
      <c r="Q975" s="29" t="n"/>
      <c r="R975" s="29" t="n"/>
      <c r="S975" s="23" t="n"/>
      <c r="T975" s="30" t="n"/>
      <c r="U975" s="31" t="inlineStr">
        <is>
          <t>高</t>
        </is>
      </c>
      <c r="V975" s="32" t="inlineStr">
        <is>
          <t>通信制・枚方本校（フリーダイヤル0120-750-150）</t>
        </is>
      </c>
      <c r="W975" s="33" t="inlineStr">
        <is>
          <t>開く</t>
        </is>
      </c>
    </row>
    <row r="976" ht="30" customHeight="1">
      <c r="A976" s="23" t="inlineStr">
        <is>
          <t>27大阪府</t>
        </is>
      </c>
      <c r="B976" s="23" t="inlineStr">
        <is>
          <t>私立</t>
        </is>
      </c>
      <c r="C976" s="23" t="n"/>
      <c r="D976" s="23" t="inlineStr">
        <is>
          <t>浪速高等学校</t>
        </is>
      </c>
      <c r="E976" s="24" t="inlineStr">
        <is>
          <t>06-6693-4031</t>
        </is>
      </c>
      <c r="F976" s="23" t="n"/>
      <c r="G976" s="25" t="inlineStr">
        <is>
          <t>普通科・専門学科</t>
        </is>
      </c>
      <c r="H976" s="26" t="inlineStr">
        <is>
          <t>☐</t>
        </is>
      </c>
      <c r="I976" s="26" t="inlineStr">
        <is>
          <t>☐</t>
        </is>
      </c>
      <c r="J976" s="26" t="inlineStr">
        <is>
          <t>☐</t>
        </is>
      </c>
      <c r="K976" s="26" t="inlineStr">
        <is>
          <t>☐</t>
        </is>
      </c>
      <c r="L976" s="26" t="inlineStr">
        <is>
          <t>☐</t>
        </is>
      </c>
      <c r="M976" s="25" t="n"/>
      <c r="N976" s="27" t="n">
        <v>0</v>
      </c>
      <c r="O976" s="28" t="n"/>
      <c r="P976" s="23" t="n"/>
      <c r="Q976" s="29" t="n"/>
      <c r="R976" s="29" t="n"/>
      <c r="S976" s="23" t="n"/>
      <c r="T976" s="30" t="n"/>
      <c r="U976" s="31" t="inlineStr">
        <is>
          <t>高</t>
        </is>
      </c>
      <c r="V976" s="32" t="inlineStr">
        <is>
          <t>代表番号。入試広報部は06-6693-0965</t>
        </is>
      </c>
      <c r="W976" s="33" t="inlineStr">
        <is>
          <t>開く</t>
        </is>
      </c>
    </row>
    <row r="977" ht="30" customHeight="1">
      <c r="A977" s="23" t="inlineStr">
        <is>
          <t>27大阪府</t>
        </is>
      </c>
      <c r="B977" s="23" t="inlineStr">
        <is>
          <t>私立</t>
        </is>
      </c>
      <c r="C977" s="23" t="n"/>
      <c r="D977" s="23" t="inlineStr">
        <is>
          <t>羽衣学園高等学校</t>
        </is>
      </c>
      <c r="E977" s="24" t="inlineStr">
        <is>
          <t>072-265-7561</t>
        </is>
      </c>
      <c r="F977" s="23" t="n"/>
      <c r="G977" s="25" t="inlineStr">
        <is>
          <t>普通科</t>
        </is>
      </c>
      <c r="H977" s="26" t="inlineStr">
        <is>
          <t>☐</t>
        </is>
      </c>
      <c r="I977" s="26" t="inlineStr">
        <is>
          <t>☐</t>
        </is>
      </c>
      <c r="J977" s="26" t="inlineStr">
        <is>
          <t>☐</t>
        </is>
      </c>
      <c r="K977" s="26" t="inlineStr">
        <is>
          <t>☐</t>
        </is>
      </c>
      <c r="L977" s="26" t="inlineStr">
        <is>
          <t>☐</t>
        </is>
      </c>
      <c r="M977" s="25" t="n"/>
      <c r="N977" s="27" t="n">
        <v>0</v>
      </c>
      <c r="O977" s="28" t="n"/>
      <c r="P977" s="23" t="n"/>
      <c r="Q977" s="29" t="n"/>
      <c r="R977" s="29" t="n"/>
      <c r="S977" s="23" t="n"/>
      <c r="T977" s="30" t="n"/>
      <c r="U977" s="31" t="inlineStr">
        <is>
          <t>高</t>
        </is>
      </c>
      <c r="V977" s="32" t="n"/>
      <c r="W977" s="33" t="inlineStr">
        <is>
          <t>開く</t>
        </is>
      </c>
    </row>
    <row r="978" ht="30" customHeight="1">
      <c r="A978" s="23" t="inlineStr">
        <is>
          <t>27大阪府</t>
        </is>
      </c>
      <c r="B978" s="23" t="inlineStr">
        <is>
          <t>私立</t>
        </is>
      </c>
      <c r="C978" s="23" t="n"/>
      <c r="D978" s="23" t="inlineStr">
        <is>
          <t>初芝富田林高等学校</t>
        </is>
      </c>
      <c r="E978" s="24" t="inlineStr">
        <is>
          <t>0721-34-1010</t>
        </is>
      </c>
      <c r="F978" s="23" t="n"/>
      <c r="G978" s="25" t="inlineStr">
        <is>
          <t>普通科</t>
        </is>
      </c>
      <c r="H978" s="26" t="inlineStr">
        <is>
          <t>☐</t>
        </is>
      </c>
      <c r="I978" s="26" t="inlineStr">
        <is>
          <t>☐</t>
        </is>
      </c>
      <c r="J978" s="26" t="inlineStr">
        <is>
          <t>☐</t>
        </is>
      </c>
      <c r="K978" s="26" t="inlineStr">
        <is>
          <t>☐</t>
        </is>
      </c>
      <c r="L978" s="26" t="inlineStr">
        <is>
          <t>☐</t>
        </is>
      </c>
      <c r="M978" s="25" t="n"/>
      <c r="N978" s="27" t="n">
        <v>0</v>
      </c>
      <c r="O978" s="28" t="n"/>
      <c r="P978" s="23" t="n"/>
      <c r="Q978" s="29" t="n"/>
      <c r="R978" s="29" t="n"/>
      <c r="S978" s="23" t="n"/>
      <c r="T978" s="30" t="n"/>
      <c r="U978" s="31" t="inlineStr">
        <is>
          <t>高</t>
        </is>
      </c>
      <c r="V978" s="32" t="inlineStr">
        <is>
          <t>2026年4月に「利晶学園高等学校」へ校名変更</t>
        </is>
      </c>
      <c r="W978" s="33" t="inlineStr">
        <is>
          <t>開く</t>
        </is>
      </c>
    </row>
    <row r="979" ht="30" customHeight="1">
      <c r="A979" s="23" t="inlineStr">
        <is>
          <t>27大阪府</t>
        </is>
      </c>
      <c r="B979" s="23" t="inlineStr">
        <is>
          <t>私立</t>
        </is>
      </c>
      <c r="C979" s="23" t="n"/>
      <c r="D979" s="23" t="inlineStr">
        <is>
          <t>阪南大学高等学校</t>
        </is>
      </c>
      <c r="E979" s="24" t="inlineStr">
        <is>
          <t>072-332-1221</t>
        </is>
      </c>
      <c r="F979" s="23" t="n"/>
      <c r="G979" s="25" t="inlineStr">
        <is>
          <t>普通科</t>
        </is>
      </c>
      <c r="H979" s="26" t="inlineStr">
        <is>
          <t>☐</t>
        </is>
      </c>
      <c r="I979" s="26" t="inlineStr">
        <is>
          <t>☐</t>
        </is>
      </c>
      <c r="J979" s="26" t="inlineStr">
        <is>
          <t>☐</t>
        </is>
      </c>
      <c r="K979" s="26" t="inlineStr">
        <is>
          <t>☐</t>
        </is>
      </c>
      <c r="L979" s="26" t="inlineStr">
        <is>
          <t>☐</t>
        </is>
      </c>
      <c r="M979" s="25" t="n"/>
      <c r="N979" s="27" t="n">
        <v>0</v>
      </c>
      <c r="O979" s="28" t="n"/>
      <c r="P979" s="23" t="n"/>
      <c r="Q979" s="29" t="n"/>
      <c r="R979" s="29" t="n"/>
      <c r="S979" s="23" t="n"/>
      <c r="T979" s="30" t="n"/>
      <c r="U979" s="31" t="inlineStr">
        <is>
          <t>高</t>
        </is>
      </c>
      <c r="V979" s="32" t="n"/>
      <c r="W979" s="33" t="inlineStr">
        <is>
          <t>開く</t>
        </is>
      </c>
    </row>
    <row r="980" ht="30" customHeight="1">
      <c r="A980" s="23" t="inlineStr">
        <is>
          <t>27大阪府</t>
        </is>
      </c>
      <c r="B980" s="23" t="inlineStr">
        <is>
          <t>私立</t>
        </is>
      </c>
      <c r="C980" s="23" t="n"/>
      <c r="D980" s="23" t="inlineStr">
        <is>
          <t>梅花高等学校</t>
        </is>
      </c>
      <c r="E980" s="24" t="inlineStr">
        <is>
          <t>06-6852-0001</t>
        </is>
      </c>
      <c r="F980" s="23" t="n"/>
      <c r="G980" s="25" t="inlineStr">
        <is>
          <t>普通科</t>
        </is>
      </c>
      <c r="H980" s="26" t="inlineStr">
        <is>
          <t>☐</t>
        </is>
      </c>
      <c r="I980" s="26" t="inlineStr">
        <is>
          <t>☐</t>
        </is>
      </c>
      <c r="J980" s="26" t="inlineStr">
        <is>
          <t>☐</t>
        </is>
      </c>
      <c r="K980" s="26" t="inlineStr">
        <is>
          <t>☐</t>
        </is>
      </c>
      <c r="L980" s="26" t="inlineStr">
        <is>
          <t>☐</t>
        </is>
      </c>
      <c r="M980" s="25" t="n"/>
      <c r="N980" s="27" t="n">
        <v>0</v>
      </c>
      <c r="O980" s="28" t="n"/>
      <c r="P980" s="23" t="n"/>
      <c r="Q980" s="29" t="n"/>
      <c r="R980" s="29" t="n"/>
      <c r="S980" s="23" t="n"/>
      <c r="T980" s="30" t="n"/>
      <c r="U980" s="31" t="inlineStr">
        <is>
          <t>高</t>
        </is>
      </c>
      <c r="V980" s="32" t="inlineStr">
        <is>
          <t>代表番号。入試広報部直通は06-6852-0002</t>
        </is>
      </c>
      <c r="W980" s="33" t="inlineStr">
        <is>
          <t>開く</t>
        </is>
      </c>
    </row>
    <row r="981" ht="30" customHeight="1">
      <c r="A981" s="23" t="inlineStr">
        <is>
          <t>27大阪府</t>
        </is>
      </c>
      <c r="B981" s="23" t="inlineStr">
        <is>
          <t>私立</t>
        </is>
      </c>
      <c r="C981" s="23" t="n"/>
      <c r="D981" s="23" t="inlineStr">
        <is>
          <t>東大阪大学柏原高等学校</t>
        </is>
      </c>
      <c r="E981" s="24" t="inlineStr">
        <is>
          <t>072-972-1565</t>
        </is>
      </c>
      <c r="F981" s="23" t="n"/>
      <c r="G981" s="25" t="inlineStr">
        <is>
          <t>普通科</t>
        </is>
      </c>
      <c r="H981" s="26" t="inlineStr">
        <is>
          <t>☐</t>
        </is>
      </c>
      <c r="I981" s="26" t="inlineStr">
        <is>
          <t>☐</t>
        </is>
      </c>
      <c r="J981" s="26" t="inlineStr">
        <is>
          <t>☐</t>
        </is>
      </c>
      <c r="K981" s="26" t="inlineStr">
        <is>
          <t>☐</t>
        </is>
      </c>
      <c r="L981" s="26" t="inlineStr">
        <is>
          <t>☐</t>
        </is>
      </c>
      <c r="M981" s="25" t="n"/>
      <c r="N981" s="27" t="n">
        <v>0</v>
      </c>
      <c r="O981" s="28" t="n"/>
      <c r="P981" s="23" t="n"/>
      <c r="Q981" s="29" t="n"/>
      <c r="R981" s="29" t="n"/>
      <c r="S981" s="23" t="n"/>
      <c r="T981" s="30" t="n"/>
      <c r="U981" s="34" t="inlineStr">
        <is>
          <t>中</t>
        </is>
      </c>
      <c r="V981" s="32" t="inlineStr">
        <is>
          <t>マピオン等の複数サイトで一致。公式サイトでは未確認</t>
        </is>
      </c>
      <c r="W981" s="33" t="inlineStr">
        <is>
          <t>開く</t>
        </is>
      </c>
    </row>
    <row r="982" ht="30" customHeight="1">
      <c r="A982" s="23" t="inlineStr">
        <is>
          <t>27大阪府</t>
        </is>
      </c>
      <c r="B982" s="23" t="inlineStr">
        <is>
          <t>私立</t>
        </is>
      </c>
      <c r="C982" s="23" t="n"/>
      <c r="D982" s="23" t="inlineStr">
        <is>
          <t>東大阪大学敬愛高等学校</t>
        </is>
      </c>
      <c r="E982" s="24" t="inlineStr">
        <is>
          <t>06-6782-2881</t>
        </is>
      </c>
      <c r="F982" s="23" t="n"/>
      <c r="G982" s="25" t="inlineStr">
        <is>
          <t>普通科</t>
        </is>
      </c>
      <c r="H982" s="26" t="inlineStr">
        <is>
          <t>☐</t>
        </is>
      </c>
      <c r="I982" s="26" t="inlineStr">
        <is>
          <t>☐</t>
        </is>
      </c>
      <c r="J982" s="26" t="inlineStr">
        <is>
          <t>☐</t>
        </is>
      </c>
      <c r="K982" s="26" t="inlineStr">
        <is>
          <t>☐</t>
        </is>
      </c>
      <c r="L982" s="26" t="inlineStr">
        <is>
          <t>☐</t>
        </is>
      </c>
      <c r="M982" s="25" t="n"/>
      <c r="N982" s="27" t="n">
        <v>0</v>
      </c>
      <c r="O982" s="28" t="n"/>
      <c r="P982" s="23" t="n"/>
      <c r="Q982" s="29" t="n"/>
      <c r="R982" s="29" t="n"/>
      <c r="S982" s="23" t="n"/>
      <c r="T982" s="30" t="n"/>
      <c r="U982" s="31" t="inlineStr">
        <is>
          <t>高</t>
        </is>
      </c>
      <c r="V982" s="32" t="n"/>
      <c r="W982" s="33" t="inlineStr">
        <is>
          <t>開く</t>
        </is>
      </c>
    </row>
    <row r="983" ht="30" customHeight="1">
      <c r="A983" s="23" t="inlineStr">
        <is>
          <t>27大阪府</t>
        </is>
      </c>
      <c r="B983" s="23" t="inlineStr">
        <is>
          <t>私立</t>
        </is>
      </c>
      <c r="C983" s="23" t="n"/>
      <c r="D983" s="23" t="inlineStr">
        <is>
          <t>東大谷高等学校</t>
        </is>
      </c>
      <c r="E983" s="24" t="inlineStr">
        <is>
          <t>072-289-8069</t>
        </is>
      </c>
      <c r="F983" s="23" t="n"/>
      <c r="G983" s="25" t="inlineStr">
        <is>
          <t>普通科</t>
        </is>
      </c>
      <c r="H983" s="26" t="inlineStr">
        <is>
          <t>☐</t>
        </is>
      </c>
      <c r="I983" s="26" t="inlineStr">
        <is>
          <t>☐</t>
        </is>
      </c>
      <c r="J983" s="26" t="inlineStr">
        <is>
          <t>☐</t>
        </is>
      </c>
      <c r="K983" s="26" t="inlineStr">
        <is>
          <t>☐</t>
        </is>
      </c>
      <c r="L983" s="26" t="inlineStr">
        <is>
          <t>☐</t>
        </is>
      </c>
      <c r="M983" s="25" t="n"/>
      <c r="N983" s="27" t="n">
        <v>0</v>
      </c>
      <c r="O983" s="28" t="n"/>
      <c r="P983" s="23" t="n"/>
      <c r="Q983" s="29" t="n"/>
      <c r="R983" s="29" t="n"/>
      <c r="S983" s="23" t="n"/>
      <c r="T983" s="30" t="n"/>
      <c r="U983" s="31" t="inlineStr">
        <is>
          <t>高</t>
        </is>
      </c>
      <c r="V983" s="32" t="inlineStr">
        <is>
          <t>2013年に堺市南区三原台へ移転済み。現所在地の番号</t>
        </is>
      </c>
      <c r="W983" s="33" t="inlineStr">
        <is>
          <t>開く</t>
        </is>
      </c>
    </row>
    <row r="984" ht="30" customHeight="1">
      <c r="A984" s="23" t="inlineStr">
        <is>
          <t>27大阪府</t>
        </is>
      </c>
      <c r="B984" s="23" t="inlineStr">
        <is>
          <t>私立</t>
        </is>
      </c>
      <c r="C984" s="23" t="n"/>
      <c r="D984" s="23" t="inlineStr">
        <is>
          <t>PL学園高等学校</t>
        </is>
      </c>
      <c r="E984" s="24" t="inlineStr">
        <is>
          <t>0721-24-5132</t>
        </is>
      </c>
      <c r="F984" s="23" t="n"/>
      <c r="G984" s="25" t="inlineStr">
        <is>
          <t>普通科</t>
        </is>
      </c>
      <c r="H984" s="26" t="inlineStr">
        <is>
          <t>☐</t>
        </is>
      </c>
      <c r="I984" s="26" t="inlineStr">
        <is>
          <t>☐</t>
        </is>
      </c>
      <c r="J984" s="26" t="inlineStr">
        <is>
          <t>☐</t>
        </is>
      </c>
      <c r="K984" s="26" t="inlineStr">
        <is>
          <t>☐</t>
        </is>
      </c>
      <c r="L984" s="26" t="inlineStr">
        <is>
          <t>☐</t>
        </is>
      </c>
      <c r="M984" s="25" t="n"/>
      <c r="N984" s="27" t="n">
        <v>0</v>
      </c>
      <c r="O984" s="28" t="n"/>
      <c r="P984" s="23" t="n"/>
      <c r="Q984" s="29" t="n"/>
      <c r="R984" s="29" t="n"/>
      <c r="S984" s="23" t="n"/>
      <c r="T984" s="30" t="n"/>
      <c r="U984" s="31" t="inlineStr">
        <is>
          <t>高</t>
        </is>
      </c>
      <c r="V984" s="32" t="inlineStr">
        <is>
          <t>富田林市の公式サイトでも番号が一致</t>
        </is>
      </c>
      <c r="W984" s="33" t="inlineStr">
        <is>
          <t>開く</t>
        </is>
      </c>
    </row>
    <row r="985" ht="30" customHeight="1">
      <c r="A985" s="23" t="inlineStr">
        <is>
          <t>27大阪府</t>
        </is>
      </c>
      <c r="B985" s="23" t="inlineStr">
        <is>
          <t>私立</t>
        </is>
      </c>
      <c r="C985" s="23" t="n"/>
      <c r="D985" s="23" t="inlineStr">
        <is>
          <t>プール学院高等学校</t>
        </is>
      </c>
      <c r="E985" s="24" t="inlineStr">
        <is>
          <t>06-6741-7005</t>
        </is>
      </c>
      <c r="F985" s="23" t="n"/>
      <c r="G985" s="25" t="inlineStr">
        <is>
          <t>普通科</t>
        </is>
      </c>
      <c r="H985" s="26" t="inlineStr">
        <is>
          <t>☐</t>
        </is>
      </c>
      <c r="I985" s="26" t="inlineStr">
        <is>
          <t>☐</t>
        </is>
      </c>
      <c r="J985" s="26" t="inlineStr">
        <is>
          <t>☐</t>
        </is>
      </c>
      <c r="K985" s="26" t="inlineStr">
        <is>
          <t>☐</t>
        </is>
      </c>
      <c r="L985" s="26" t="inlineStr">
        <is>
          <t>☐</t>
        </is>
      </c>
      <c r="M985" s="25" t="n"/>
      <c r="N985" s="27" t="n">
        <v>0</v>
      </c>
      <c r="O985" s="28" t="n"/>
      <c r="P985" s="23" t="n"/>
      <c r="Q985" s="29" t="n"/>
      <c r="R985" s="29" t="n"/>
      <c r="S985" s="23" t="n"/>
      <c r="T985" s="30" t="n"/>
      <c r="U985" s="31" t="inlineStr">
        <is>
          <t>高</t>
        </is>
      </c>
      <c r="V985" s="32" t="n"/>
      <c r="W985" s="33" t="inlineStr">
        <is>
          <t>開く</t>
        </is>
      </c>
    </row>
    <row r="986" ht="30" customHeight="1">
      <c r="A986" s="23" t="inlineStr">
        <is>
          <t>27大阪府</t>
        </is>
      </c>
      <c r="B986" s="23" t="inlineStr">
        <is>
          <t>私立</t>
        </is>
      </c>
      <c r="C986" s="23" t="n"/>
      <c r="D986" s="23" t="inlineStr">
        <is>
          <t>箕面学園高等学校</t>
        </is>
      </c>
      <c r="E986" s="24" t="inlineStr">
        <is>
          <t>072-723-6551</t>
        </is>
      </c>
      <c r="F986" s="23" t="n"/>
      <c r="G986" s="25" t="inlineStr">
        <is>
          <t>普通科</t>
        </is>
      </c>
      <c r="H986" s="26" t="inlineStr">
        <is>
          <t>☐</t>
        </is>
      </c>
      <c r="I986" s="26" t="inlineStr">
        <is>
          <t>☐</t>
        </is>
      </c>
      <c r="J986" s="26" t="inlineStr">
        <is>
          <t>☐</t>
        </is>
      </c>
      <c r="K986" s="26" t="inlineStr">
        <is>
          <t>☐</t>
        </is>
      </c>
      <c r="L986" s="26" t="inlineStr">
        <is>
          <t>☐</t>
        </is>
      </c>
      <c r="M986" s="25" t="n"/>
      <c r="N986" s="27" t="n">
        <v>0</v>
      </c>
      <c r="O986" s="28" t="n"/>
      <c r="P986" s="23" t="n"/>
      <c r="Q986" s="29" t="n"/>
      <c r="R986" s="29" t="n"/>
      <c r="S986" s="23" t="n"/>
      <c r="T986" s="30" t="n"/>
      <c r="U986" s="31" t="inlineStr">
        <is>
          <t>高</t>
        </is>
      </c>
      <c r="V986" s="32" t="inlineStr">
        <is>
          <t>代表番号</t>
        </is>
      </c>
      <c r="W986" s="33" t="inlineStr">
        <is>
          <t>開く</t>
        </is>
      </c>
    </row>
    <row r="987" ht="30" customHeight="1">
      <c r="A987" s="23" t="inlineStr">
        <is>
          <t>27大阪府</t>
        </is>
      </c>
      <c r="B987" s="23" t="inlineStr">
        <is>
          <t>私立</t>
        </is>
      </c>
      <c r="C987" s="23" t="n"/>
      <c r="D987" s="23" t="inlineStr">
        <is>
          <t>箕面自由学園高等学校</t>
        </is>
      </c>
      <c r="E987" s="24" t="inlineStr">
        <is>
          <t>06-6852-8110</t>
        </is>
      </c>
      <c r="F987" s="23" t="n"/>
      <c r="G987" s="25" t="inlineStr">
        <is>
          <t>普通科</t>
        </is>
      </c>
      <c r="H987" s="26" t="inlineStr">
        <is>
          <t>☐</t>
        </is>
      </c>
      <c r="I987" s="26" t="inlineStr">
        <is>
          <t>☐</t>
        </is>
      </c>
      <c r="J987" s="26" t="inlineStr">
        <is>
          <t>☐</t>
        </is>
      </c>
      <c r="K987" s="26" t="inlineStr">
        <is>
          <t>☐</t>
        </is>
      </c>
      <c r="L987" s="26" t="inlineStr">
        <is>
          <t>☐</t>
        </is>
      </c>
      <c r="M987" s="25" t="n"/>
      <c r="N987" s="27" t="n">
        <v>0</v>
      </c>
      <c r="O987" s="28" t="n"/>
      <c r="P987" s="23" t="n"/>
      <c r="Q987" s="29" t="n"/>
      <c r="R987" s="29" t="n"/>
      <c r="S987" s="23" t="n"/>
      <c r="T987" s="30" t="n"/>
      <c r="U987" s="31" t="inlineStr">
        <is>
          <t>高</t>
        </is>
      </c>
      <c r="V987" s="32" t="inlineStr">
        <is>
          <t>NAVITIMEには別番号（06-6852-7595）の記載あるが公式と不一致</t>
        </is>
      </c>
      <c r="W987" s="33" t="inlineStr">
        <is>
          <t>開く</t>
        </is>
      </c>
    </row>
    <row r="988" ht="30" customHeight="1">
      <c r="A988" s="23" t="inlineStr">
        <is>
          <t>27大阪府</t>
        </is>
      </c>
      <c r="B988" s="23" t="inlineStr">
        <is>
          <t>私立</t>
        </is>
      </c>
      <c r="C988" s="23" t="n"/>
      <c r="D988" s="23" t="inlineStr">
        <is>
          <t>明浄学院高等学校</t>
        </is>
      </c>
      <c r="E988" s="24" t="inlineStr">
        <is>
          <t>06-6623-0016</t>
        </is>
      </c>
      <c r="F988" s="23" t="n"/>
      <c r="G988" s="25" t="inlineStr">
        <is>
          <t>普通科</t>
        </is>
      </c>
      <c r="H988" s="26" t="inlineStr">
        <is>
          <t>☐</t>
        </is>
      </c>
      <c r="I988" s="26" t="inlineStr">
        <is>
          <t>☐</t>
        </is>
      </c>
      <c r="J988" s="26" t="inlineStr">
        <is>
          <t>☐</t>
        </is>
      </c>
      <c r="K988" s="26" t="inlineStr">
        <is>
          <t>☐</t>
        </is>
      </c>
      <c r="L988" s="26" t="inlineStr">
        <is>
          <t>☐</t>
        </is>
      </c>
      <c r="M988" s="25" t="n"/>
      <c r="N988" s="27" t="n">
        <v>0</v>
      </c>
      <c r="O988" s="28" t="n"/>
      <c r="P988" s="23" t="n"/>
      <c r="Q988" s="29" t="n"/>
      <c r="R988" s="29" t="n"/>
      <c r="S988" s="23" t="n"/>
      <c r="T988" s="30" t="n"/>
      <c r="U988" s="34" t="inlineStr">
        <is>
          <t>中</t>
        </is>
      </c>
      <c r="V988" s="32" t="inlineStr">
        <is>
          <t>文科省ユネスコスクールのページ等の複数サイトで一致。2024年に藍野高校と統合し共学化</t>
        </is>
      </c>
      <c r="W988" s="33" t="inlineStr">
        <is>
          <t>開く</t>
        </is>
      </c>
    </row>
    <row r="989" ht="30" customHeight="1">
      <c r="A989" s="23" t="inlineStr">
        <is>
          <t>27大阪府</t>
        </is>
      </c>
      <c r="B989" s="23" t="inlineStr">
        <is>
          <t>私立</t>
        </is>
      </c>
      <c r="C989" s="23" t="n"/>
      <c r="D989" s="23" t="inlineStr">
        <is>
          <t>明星高等学校（大阪府）</t>
        </is>
      </c>
      <c r="E989" s="24" t="inlineStr">
        <is>
          <t>06-6761-5606</t>
        </is>
      </c>
      <c r="F989" s="23" t="n"/>
      <c r="G989" s="25" t="inlineStr">
        <is>
          <t>普通科</t>
        </is>
      </c>
      <c r="H989" s="26" t="inlineStr">
        <is>
          <t>☐</t>
        </is>
      </c>
      <c r="I989" s="26" t="inlineStr">
        <is>
          <t>☐</t>
        </is>
      </c>
      <c r="J989" s="26" t="inlineStr">
        <is>
          <t>☐</t>
        </is>
      </c>
      <c r="K989" s="26" t="inlineStr">
        <is>
          <t>☐</t>
        </is>
      </c>
      <c r="L989" s="26" t="inlineStr">
        <is>
          <t>☐</t>
        </is>
      </c>
      <c r="M989" s="25" t="n"/>
      <c r="N989" s="27" t="n">
        <v>0</v>
      </c>
      <c r="O989" s="28" t="n"/>
      <c r="P989" s="23" t="n"/>
      <c r="Q989" s="29" t="n"/>
      <c r="R989" s="29" t="n"/>
      <c r="S989" s="23" t="n"/>
      <c r="T989" s="30" t="n"/>
      <c r="U989" s="31" t="inlineStr">
        <is>
          <t>高</t>
        </is>
      </c>
      <c r="V989" s="32" t="n"/>
      <c r="W989" s="33" t="inlineStr">
        <is>
          <t>開く</t>
        </is>
      </c>
    </row>
    <row r="990" ht="30" customHeight="1">
      <c r="A990" s="23" t="inlineStr">
        <is>
          <t>27大阪府</t>
        </is>
      </c>
      <c r="B990" s="23" t="inlineStr">
        <is>
          <t>私立</t>
        </is>
      </c>
      <c r="C990" s="23" t="n"/>
      <c r="D990" s="23" t="inlineStr">
        <is>
          <t>桃山学院高等学校</t>
        </is>
      </c>
      <c r="E990" s="24" t="inlineStr">
        <is>
          <t>06-6621-1181</t>
        </is>
      </c>
      <c r="F990" s="23" t="n"/>
      <c r="G990" s="25" t="inlineStr">
        <is>
          <t>普通科</t>
        </is>
      </c>
      <c r="H990" s="26" t="inlineStr">
        <is>
          <t>☐</t>
        </is>
      </c>
      <c r="I990" s="26" t="inlineStr">
        <is>
          <t>☐</t>
        </is>
      </c>
      <c r="J990" s="26" t="inlineStr">
        <is>
          <t>☐</t>
        </is>
      </c>
      <c r="K990" s="26" t="inlineStr">
        <is>
          <t>☐</t>
        </is>
      </c>
      <c r="L990" s="26" t="inlineStr">
        <is>
          <t>☐</t>
        </is>
      </c>
      <c r="M990" s="25" t="n"/>
      <c r="N990" s="27" t="n">
        <v>0</v>
      </c>
      <c r="O990" s="28" t="n"/>
      <c r="P990" s="23" t="n"/>
      <c r="Q990" s="29" t="n"/>
      <c r="R990" s="29" t="n"/>
      <c r="S990" s="23" t="n"/>
      <c r="T990" s="30" t="n"/>
      <c r="U990" s="31" t="inlineStr">
        <is>
          <t>高</t>
        </is>
      </c>
      <c r="V990" s="32" t="inlineStr">
        <is>
          <t>代表番号</t>
        </is>
      </c>
      <c r="W990" s="33" t="inlineStr">
        <is>
          <t>開く</t>
        </is>
      </c>
    </row>
    <row r="991" ht="30" customHeight="1">
      <c r="A991" s="23" t="inlineStr">
        <is>
          <t>27大阪府</t>
        </is>
      </c>
      <c r="B991" s="23" t="inlineStr">
        <is>
          <t>私立</t>
        </is>
      </c>
      <c r="C991" s="23" t="n"/>
      <c r="D991" s="23" t="inlineStr">
        <is>
          <t>八洲学園高等学校</t>
        </is>
      </c>
      <c r="E991" s="24" t="inlineStr">
        <is>
          <t>072-262-8281</t>
        </is>
      </c>
      <c r="F991" s="23" t="n"/>
      <c r="G991" s="25" t="inlineStr">
        <is>
          <t>普通科</t>
        </is>
      </c>
      <c r="H991" s="26" t="inlineStr">
        <is>
          <t>☐</t>
        </is>
      </c>
      <c r="I991" s="26" t="inlineStr">
        <is>
          <t>☐</t>
        </is>
      </c>
      <c r="J991" s="26" t="inlineStr">
        <is>
          <t>☐</t>
        </is>
      </c>
      <c r="K991" s="26" t="inlineStr">
        <is>
          <t>☐</t>
        </is>
      </c>
      <c r="L991" s="26" t="inlineStr">
        <is>
          <t>☐</t>
        </is>
      </c>
      <c r="M991" s="25" t="n"/>
      <c r="N991" s="27" t="n">
        <v>0</v>
      </c>
      <c r="O991" s="28" t="n"/>
      <c r="P991" s="23" t="n"/>
      <c r="Q991" s="29" t="n"/>
      <c r="R991" s="29" t="n"/>
      <c r="S991" s="23" t="n"/>
      <c r="T991" s="30" t="n"/>
      <c r="U991" s="31" t="inlineStr">
        <is>
          <t>高</t>
        </is>
      </c>
      <c r="V991" s="32" t="inlineStr">
        <is>
          <t>通信制・堺本校。堺本校二号館は072-262-5849</t>
        </is>
      </c>
      <c r="W991" s="33" t="inlineStr">
        <is>
          <t>開く</t>
        </is>
      </c>
    </row>
    <row r="992" ht="30" customHeight="1">
      <c r="A992" s="23" t="inlineStr">
        <is>
          <t>27大阪府</t>
        </is>
      </c>
      <c r="B992" s="23" t="inlineStr">
        <is>
          <t>私立</t>
        </is>
      </c>
      <c r="C992" s="23" t="n"/>
      <c r="D992" s="23" t="inlineStr">
        <is>
          <t>利晶学園大阪立命館高等学校</t>
        </is>
      </c>
      <c r="E992" s="24" t="inlineStr">
        <is>
          <t>072-235-3900</t>
        </is>
      </c>
      <c r="F992" s="23" t="n"/>
      <c r="G992" s="25" t="inlineStr">
        <is>
          <t>普通科・専門学科</t>
        </is>
      </c>
      <c r="H992" s="26" t="inlineStr">
        <is>
          <t>☐</t>
        </is>
      </c>
      <c r="I992" s="26" t="inlineStr">
        <is>
          <t>☐</t>
        </is>
      </c>
      <c r="J992" s="26" t="inlineStr">
        <is>
          <t>☐</t>
        </is>
      </c>
      <c r="K992" s="26" t="inlineStr">
        <is>
          <t>☐</t>
        </is>
      </c>
      <c r="L992" s="26" t="inlineStr">
        <is>
          <t>☐</t>
        </is>
      </c>
      <c r="M992" s="25" t="n"/>
      <c r="N992" s="27" t="n">
        <v>0</v>
      </c>
      <c r="O992" s="28" t="n"/>
      <c r="P992" s="23" t="n"/>
      <c r="Q992" s="29" t="n"/>
      <c r="R992" s="29" t="n"/>
      <c r="S992" s="23" t="n"/>
      <c r="T992" s="30" t="n"/>
      <c r="U992" s="31" t="inlineStr">
        <is>
          <t>高</t>
        </is>
      </c>
      <c r="V992" s="32" t="inlineStr">
        <is>
          <t>高校の番号。中学校は072-235-6400（旧校名は初芝立命館）</t>
        </is>
      </c>
      <c r="W992" s="33" t="inlineStr">
        <is>
          <t>開く</t>
        </is>
      </c>
    </row>
    <row r="993" ht="30" customHeight="1">
      <c r="A993" s="23" t="inlineStr">
        <is>
          <t>27大阪府</t>
        </is>
      </c>
      <c r="B993" s="23" t="inlineStr">
        <is>
          <t>私立</t>
        </is>
      </c>
      <c r="C993" s="23" t="n"/>
      <c r="D993" s="23" t="inlineStr">
        <is>
          <t>履正社高等学校</t>
        </is>
      </c>
      <c r="E993" s="24" t="inlineStr">
        <is>
          <t>06-6864-0456</t>
        </is>
      </c>
      <c r="F993" s="23" t="n"/>
      <c r="G993" s="25" t="inlineStr">
        <is>
          <t>普通科</t>
        </is>
      </c>
      <c r="H993" s="26" t="inlineStr">
        <is>
          <t>☐</t>
        </is>
      </c>
      <c r="I993" s="26" t="inlineStr">
        <is>
          <t>☐</t>
        </is>
      </c>
      <c r="J993" s="26" t="inlineStr">
        <is>
          <t>☐</t>
        </is>
      </c>
      <c r="K993" s="26" t="inlineStr">
        <is>
          <t>☐</t>
        </is>
      </c>
      <c r="L993" s="26" t="inlineStr">
        <is>
          <t>☐</t>
        </is>
      </c>
      <c r="M993" s="25" t="n"/>
      <c r="N993" s="27" t="n">
        <v>0</v>
      </c>
      <c r="O993" s="28" t="n"/>
      <c r="P993" s="23" t="n"/>
      <c r="Q993" s="29" t="n"/>
      <c r="R993" s="29" t="n"/>
      <c r="S993" s="23" t="n"/>
      <c r="T993" s="30" t="n"/>
      <c r="U993" s="31" t="inlineStr">
        <is>
          <t>高</t>
        </is>
      </c>
      <c r="V993" s="32" t="inlineStr">
        <is>
          <t>代表番号</t>
        </is>
      </c>
      <c r="W993" s="33" t="inlineStr">
        <is>
          <t>開く</t>
        </is>
      </c>
    </row>
    <row r="994" ht="30" customHeight="1">
      <c r="A994" s="23" t="inlineStr">
        <is>
          <t>27大阪府</t>
        </is>
      </c>
      <c r="B994" s="23" t="inlineStr">
        <is>
          <t>私立</t>
        </is>
      </c>
      <c r="C994" s="23" t="n"/>
      <c r="D994" s="23" t="inlineStr">
        <is>
          <t>YMCA学院高等学校</t>
        </is>
      </c>
      <c r="E994" s="24" t="inlineStr">
        <is>
          <t>06-6779-5690</t>
        </is>
      </c>
      <c r="F994" s="23" t="n"/>
      <c r="G994" s="25" t="inlineStr">
        <is>
          <t>総合学科</t>
        </is>
      </c>
      <c r="H994" s="26" t="inlineStr">
        <is>
          <t>☐</t>
        </is>
      </c>
      <c r="I994" s="26" t="inlineStr">
        <is>
          <t>☐</t>
        </is>
      </c>
      <c r="J994" s="26" t="inlineStr">
        <is>
          <t>☐</t>
        </is>
      </c>
      <c r="K994" s="26" t="inlineStr">
        <is>
          <t>☐</t>
        </is>
      </c>
      <c r="L994" s="26" t="inlineStr">
        <is>
          <t>☐</t>
        </is>
      </c>
      <c r="M994" s="25" t="n"/>
      <c r="N994" s="27" t="n">
        <v>0</v>
      </c>
      <c r="O994" s="28" t="n"/>
      <c r="P994" s="23" t="n"/>
      <c r="Q994" s="29" t="n"/>
      <c r="R994" s="29" t="n"/>
      <c r="S994" s="23" t="n"/>
      <c r="T994" s="30" t="n"/>
      <c r="U994" s="31" t="inlineStr">
        <is>
          <t>高</t>
        </is>
      </c>
      <c r="V994" s="32" t="inlineStr">
        <is>
          <t>通信制・単位制</t>
        </is>
      </c>
      <c r="W994" s="33" t="inlineStr">
        <is>
          <t>開く</t>
        </is>
      </c>
    </row>
    <row r="995" ht="30" customHeight="1">
      <c r="A995" s="23" t="inlineStr">
        <is>
          <t>27大阪府</t>
        </is>
      </c>
      <c r="B995" s="23" t="inlineStr">
        <is>
          <t>私立</t>
        </is>
      </c>
      <c r="C995" s="23" t="n"/>
      <c r="D995" s="23" t="inlineStr">
        <is>
          <t>早稲田大阪高等学校</t>
        </is>
      </c>
      <c r="E995" s="24" t="inlineStr">
        <is>
          <t>072-643-6363</t>
        </is>
      </c>
      <c r="F995" s="23" t="n"/>
      <c r="G995" s="25" t="inlineStr">
        <is>
          <t>普通科</t>
        </is>
      </c>
      <c r="H995" s="26" t="inlineStr">
        <is>
          <t>☐</t>
        </is>
      </c>
      <c r="I995" s="26" t="inlineStr">
        <is>
          <t>☐</t>
        </is>
      </c>
      <c r="J995" s="26" t="inlineStr">
        <is>
          <t>☐</t>
        </is>
      </c>
      <c r="K995" s="26" t="inlineStr">
        <is>
          <t>☐</t>
        </is>
      </c>
      <c r="L995" s="26" t="inlineStr">
        <is>
          <t>☐</t>
        </is>
      </c>
      <c r="M995" s="25" t="n"/>
      <c r="N995" s="27" t="n">
        <v>0</v>
      </c>
      <c r="O995" s="28" t="n"/>
      <c r="P995" s="23" t="n"/>
      <c r="Q995" s="29" t="n"/>
      <c r="R995" s="29" t="n"/>
      <c r="S995" s="23" t="n"/>
      <c r="T995" s="30" t="n"/>
      <c r="U995" s="31" t="inlineStr">
        <is>
          <t>高</t>
        </is>
      </c>
      <c r="V995" s="32" t="inlineStr">
        <is>
          <t>代表番号。入試広報部は072-640-5570、学校法人は072-643-6361</t>
        </is>
      </c>
      <c r="W995" s="33" t="inlineStr">
        <is>
          <t>開く</t>
        </is>
      </c>
    </row>
    <row r="996" ht="30" customHeight="1">
      <c r="A996" s="23" t="inlineStr">
        <is>
          <t>28兵庫県</t>
        </is>
      </c>
      <c r="B996" s="23" t="inlineStr">
        <is>
          <t>私立</t>
        </is>
      </c>
      <c r="C996" s="23" t="n"/>
      <c r="D996" s="23" t="inlineStr">
        <is>
          <t>相生学院高等学校</t>
        </is>
      </c>
      <c r="E996" s="24" t="inlineStr">
        <is>
          <t>0791-24-0100</t>
        </is>
      </c>
      <c r="F996" s="23" t="n"/>
      <c r="G996" s="25" t="inlineStr">
        <is>
          <t>普通科</t>
        </is>
      </c>
      <c r="H996" s="26" t="inlineStr">
        <is>
          <t>☐</t>
        </is>
      </c>
      <c r="I996" s="26" t="inlineStr">
        <is>
          <t>☐</t>
        </is>
      </c>
      <c r="J996" s="26" t="inlineStr">
        <is>
          <t>☐</t>
        </is>
      </c>
      <c r="K996" s="26" t="inlineStr">
        <is>
          <t>☐</t>
        </is>
      </c>
      <c r="L996" s="26" t="inlineStr">
        <is>
          <t>☐</t>
        </is>
      </c>
      <c r="M996" s="25" t="n"/>
      <c r="N996" s="27" t="n">
        <v>0</v>
      </c>
      <c r="O996" s="28" t="n"/>
      <c r="P996" s="23" t="n"/>
      <c r="Q996" s="29" t="n"/>
      <c r="R996" s="29" t="n"/>
      <c r="S996" s="23" t="n"/>
      <c r="T996" s="30" t="n"/>
      <c r="U996" s="34" t="inlineStr">
        <is>
          <t>中</t>
        </is>
      </c>
      <c r="V996" s="32" t="inlineStr">
        <is>
          <t>通信制・相生市の本校。公式未確認、複数サイトで一致。学習センターは別番号</t>
        </is>
      </c>
      <c r="W996" s="33" t="inlineStr">
        <is>
          <t>開く</t>
        </is>
      </c>
    </row>
    <row r="997" ht="30" customHeight="1">
      <c r="A997" s="23" t="inlineStr">
        <is>
          <t>28兵庫県</t>
        </is>
      </c>
      <c r="B997" s="23" t="inlineStr">
        <is>
          <t>私立</t>
        </is>
      </c>
      <c r="C997" s="23" t="n"/>
      <c r="D997" s="23" t="inlineStr">
        <is>
          <t>愛徳学園高等学校</t>
        </is>
      </c>
      <c r="E997" s="24" t="inlineStr">
        <is>
          <t>078-708-5353</t>
        </is>
      </c>
      <c r="F997" s="23" t="n"/>
      <c r="G997" s="25" t="inlineStr">
        <is>
          <t>普通科</t>
        </is>
      </c>
      <c r="H997" s="26" t="inlineStr">
        <is>
          <t>☐</t>
        </is>
      </c>
      <c r="I997" s="26" t="inlineStr">
        <is>
          <t>☐</t>
        </is>
      </c>
      <c r="J997" s="26" t="inlineStr">
        <is>
          <t>☐</t>
        </is>
      </c>
      <c r="K997" s="26" t="inlineStr">
        <is>
          <t>☐</t>
        </is>
      </c>
      <c r="L997" s="26" t="inlineStr">
        <is>
          <t>☐</t>
        </is>
      </c>
      <c r="M997" s="25" t="n"/>
      <c r="N997" s="27" t="n">
        <v>0</v>
      </c>
      <c r="O997" s="28" t="n"/>
      <c r="P997" s="23" t="n"/>
      <c r="Q997" s="29" t="n"/>
      <c r="R997" s="29" t="n"/>
      <c r="S997" s="23" t="n"/>
      <c r="T997" s="30" t="n"/>
      <c r="U997" s="31" t="inlineStr">
        <is>
          <t>高</t>
        </is>
      </c>
      <c r="V997" s="32" t="inlineStr">
        <is>
          <t>中高共通番号</t>
        </is>
      </c>
      <c r="W997" s="33" t="inlineStr">
        <is>
          <t>開く</t>
        </is>
      </c>
    </row>
    <row r="998" ht="30" customHeight="1">
      <c r="A998" s="23" t="inlineStr">
        <is>
          <t>28兵庫県</t>
        </is>
      </c>
      <c r="B998" s="23" t="inlineStr">
        <is>
          <t>私立</t>
        </is>
      </c>
      <c r="C998" s="23" t="n"/>
      <c r="D998" s="23" t="inlineStr">
        <is>
          <t>芦屋学園高等学校</t>
        </is>
      </c>
      <c r="E998" s="24" t="inlineStr">
        <is>
          <t>0797-31-0666</t>
        </is>
      </c>
      <c r="F998" s="23" t="n"/>
      <c r="G998" s="25" t="inlineStr">
        <is>
          <t>普通科・専門学科</t>
        </is>
      </c>
      <c r="H998" s="26" t="inlineStr">
        <is>
          <t>☐</t>
        </is>
      </c>
      <c r="I998" s="26" t="inlineStr">
        <is>
          <t>☐</t>
        </is>
      </c>
      <c r="J998" s="26" t="inlineStr">
        <is>
          <t>☐</t>
        </is>
      </c>
      <c r="K998" s="26" t="inlineStr">
        <is>
          <t>☐</t>
        </is>
      </c>
      <c r="L998" s="26" t="inlineStr">
        <is>
          <t>☐</t>
        </is>
      </c>
      <c r="M998" s="25" t="n"/>
      <c r="N998" s="27" t="n">
        <v>0</v>
      </c>
      <c r="O998" s="28" t="n"/>
      <c r="P998" s="23" t="n"/>
      <c r="Q998" s="29" t="n"/>
      <c r="R998" s="29" t="n"/>
      <c r="S998" s="23" t="n"/>
      <c r="T998" s="30" t="n"/>
      <c r="U998" s="31" t="inlineStr">
        <is>
          <t>高</t>
        </is>
      </c>
      <c r="V998" s="32" t="inlineStr">
        <is>
          <t>代表番号。入試対策室フリーダイヤル0120-898-075</t>
        </is>
      </c>
      <c r="W998" s="33" t="inlineStr">
        <is>
          <t>開く</t>
        </is>
      </c>
    </row>
    <row r="999" ht="30" customHeight="1">
      <c r="A999" s="23" t="inlineStr">
        <is>
          <t>28兵庫県</t>
        </is>
      </c>
      <c r="B999" s="23" t="inlineStr">
        <is>
          <t>私立</t>
        </is>
      </c>
      <c r="C999" s="23" t="n"/>
      <c r="D999" s="23" t="inlineStr">
        <is>
          <t>育英高等学校</t>
        </is>
      </c>
      <c r="E999" s="24" t="inlineStr">
        <is>
          <t>078-611-6001</t>
        </is>
      </c>
      <c r="F999" s="23" t="n"/>
      <c r="G999" s="25" t="inlineStr">
        <is>
          <t>普通科</t>
        </is>
      </c>
      <c r="H999" s="26" t="inlineStr">
        <is>
          <t>☐</t>
        </is>
      </c>
      <c r="I999" s="26" t="inlineStr">
        <is>
          <t>☐</t>
        </is>
      </c>
      <c r="J999" s="26" t="inlineStr">
        <is>
          <t>☐</t>
        </is>
      </c>
      <c r="K999" s="26" t="inlineStr">
        <is>
          <t>☐</t>
        </is>
      </c>
      <c r="L999" s="26" t="inlineStr">
        <is>
          <t>☐</t>
        </is>
      </c>
      <c r="M999" s="25" t="n"/>
      <c r="N999" s="27" t="n">
        <v>0</v>
      </c>
      <c r="O999" s="28" t="n"/>
      <c r="P999" s="23" t="n"/>
      <c r="Q999" s="29" t="n"/>
      <c r="R999" s="29" t="n"/>
      <c r="S999" s="23" t="n"/>
      <c r="T999" s="30" t="n"/>
      <c r="U999" s="31" t="inlineStr">
        <is>
          <t>高</t>
        </is>
      </c>
      <c r="V999" s="32" t="n"/>
      <c r="W999" s="33" t="inlineStr">
        <is>
          <t>開く</t>
        </is>
      </c>
    </row>
    <row r="1000" ht="30" customHeight="1">
      <c r="A1000" s="23" t="inlineStr">
        <is>
          <t>28兵庫県</t>
        </is>
      </c>
      <c r="B1000" s="23" t="inlineStr">
        <is>
          <t>私立</t>
        </is>
      </c>
      <c r="C1000" s="23" t="n"/>
      <c r="D1000" s="23" t="inlineStr">
        <is>
          <t>生野学園高等学校</t>
        </is>
      </c>
      <c r="E1000" s="24" t="inlineStr">
        <is>
          <t>079-679-3451</t>
        </is>
      </c>
      <c r="F1000" s="23" t="n"/>
      <c r="G1000" s="25" t="inlineStr">
        <is>
          <t>普通科</t>
        </is>
      </c>
      <c r="H1000" s="26" t="inlineStr">
        <is>
          <t>☐</t>
        </is>
      </c>
      <c r="I1000" s="26" t="inlineStr">
        <is>
          <t>☐</t>
        </is>
      </c>
      <c r="J1000" s="26" t="inlineStr">
        <is>
          <t>☐</t>
        </is>
      </c>
      <c r="K1000" s="26" t="inlineStr">
        <is>
          <t>☐</t>
        </is>
      </c>
      <c r="L1000" s="26" t="inlineStr">
        <is>
          <t>☐</t>
        </is>
      </c>
      <c r="M1000" s="25" t="n"/>
      <c r="N1000" s="27" t="n">
        <v>0</v>
      </c>
      <c r="O1000" s="28" t="n"/>
      <c r="P1000" s="23" t="n"/>
      <c r="Q1000" s="29" t="n"/>
      <c r="R1000" s="29" t="n"/>
      <c r="S1000" s="23" t="n"/>
      <c r="T1000" s="30" t="n"/>
      <c r="U1000" s="31" t="inlineStr">
        <is>
          <t>高</t>
        </is>
      </c>
      <c r="V1000" s="32" t="n"/>
      <c r="W1000" s="33" t="inlineStr">
        <is>
          <t>開く</t>
        </is>
      </c>
    </row>
    <row r="1001" ht="30" customHeight="1">
      <c r="A1001" s="23" t="inlineStr">
        <is>
          <t>28兵庫県</t>
        </is>
      </c>
      <c r="B1001" s="23" t="inlineStr">
        <is>
          <t>私立</t>
        </is>
      </c>
      <c r="C1001" s="23" t="n"/>
      <c r="D1001" s="23" t="inlineStr">
        <is>
          <t>市川高等学校（兵庫県）</t>
        </is>
      </c>
      <c r="E1001" s="24" t="inlineStr">
        <is>
          <t>0790-26-0751</t>
        </is>
      </c>
      <c r="F1001" s="23" t="n"/>
      <c r="G1001" s="25" t="inlineStr">
        <is>
          <t>普通科</t>
        </is>
      </c>
      <c r="H1001" s="26" t="inlineStr">
        <is>
          <t>☐</t>
        </is>
      </c>
      <c r="I1001" s="26" t="inlineStr">
        <is>
          <t>☐</t>
        </is>
      </c>
      <c r="J1001" s="26" t="inlineStr">
        <is>
          <t>☐</t>
        </is>
      </c>
      <c r="K1001" s="26" t="inlineStr">
        <is>
          <t>☐</t>
        </is>
      </c>
      <c r="L1001" s="26" t="inlineStr">
        <is>
          <t>☐</t>
        </is>
      </c>
      <c r="M1001" s="25" t="n"/>
      <c r="N1001" s="27" t="n">
        <v>0</v>
      </c>
      <c r="O1001" s="28" t="n"/>
      <c r="P1001" s="23" t="n"/>
      <c r="Q1001" s="29" t="n"/>
      <c r="R1001" s="29" t="n"/>
      <c r="S1001" s="23" t="n"/>
      <c r="T1001" s="30" t="n"/>
      <c r="U1001" s="31" t="inlineStr">
        <is>
          <t>高</t>
        </is>
      </c>
      <c r="V1001" s="32" t="inlineStr">
        <is>
          <t>代表番号</t>
        </is>
      </c>
      <c r="W1001" s="33" t="inlineStr">
        <is>
          <t>開く</t>
        </is>
      </c>
    </row>
    <row r="1002" ht="30" customHeight="1">
      <c r="A1002" s="23" t="inlineStr">
        <is>
          <t>28兵庫県</t>
        </is>
      </c>
      <c r="B1002" s="23" t="inlineStr">
        <is>
          <t>私立</t>
        </is>
      </c>
      <c r="C1002" s="23" t="n"/>
      <c r="D1002" s="23" t="inlineStr">
        <is>
          <t>関西学院高等部</t>
        </is>
      </c>
      <c r="E1002" s="24" t="inlineStr">
        <is>
          <t>0798-51-0975</t>
        </is>
      </c>
      <c r="F1002" s="23" t="n"/>
      <c r="G1002" s="25" t="inlineStr">
        <is>
          <t>普通科</t>
        </is>
      </c>
      <c r="H1002" s="26" t="inlineStr">
        <is>
          <t>☐</t>
        </is>
      </c>
      <c r="I1002" s="26" t="inlineStr">
        <is>
          <t>☐</t>
        </is>
      </c>
      <c r="J1002" s="26" t="inlineStr">
        <is>
          <t>☐</t>
        </is>
      </c>
      <c r="K1002" s="26" t="inlineStr">
        <is>
          <t>☐</t>
        </is>
      </c>
      <c r="L1002" s="26" t="inlineStr">
        <is>
          <t>☐</t>
        </is>
      </c>
      <c r="M1002" s="25" t="n"/>
      <c r="N1002" s="27" t="n">
        <v>0</v>
      </c>
      <c r="O1002" s="28" t="n"/>
      <c r="P1002" s="23" t="n"/>
      <c r="Q1002" s="29" t="n"/>
      <c r="R1002" s="29" t="n"/>
      <c r="S1002" s="23" t="n"/>
      <c r="T1002" s="30" t="n"/>
      <c r="U1002" s="31" t="inlineStr">
        <is>
          <t>高</t>
        </is>
      </c>
      <c r="V1002" s="32" t="inlineStr">
        <is>
          <t>高等部事務室</t>
        </is>
      </c>
      <c r="W1002" s="33" t="inlineStr">
        <is>
          <t>開く</t>
        </is>
      </c>
    </row>
    <row r="1003" ht="30" customHeight="1">
      <c r="A1003" s="23" t="inlineStr">
        <is>
          <t>28兵庫県</t>
        </is>
      </c>
      <c r="B1003" s="23" t="inlineStr">
        <is>
          <t>私立</t>
        </is>
      </c>
      <c r="C1003" s="23" t="n"/>
      <c r="D1003" s="23" t="inlineStr">
        <is>
          <t>近畿大学附属豊岡高等学校</t>
        </is>
      </c>
      <c r="E1003" s="24" t="inlineStr">
        <is>
          <t>0796-22-4305</t>
        </is>
      </c>
      <c r="F1003" s="23" t="n"/>
      <c r="G1003" s="25" t="inlineStr">
        <is>
          <t>普通科</t>
        </is>
      </c>
      <c r="H1003" s="26" t="inlineStr">
        <is>
          <t>☐</t>
        </is>
      </c>
      <c r="I1003" s="26" t="inlineStr">
        <is>
          <t>☐</t>
        </is>
      </c>
      <c r="J1003" s="26" t="inlineStr">
        <is>
          <t>☐</t>
        </is>
      </c>
      <c r="K1003" s="26" t="inlineStr">
        <is>
          <t>☐</t>
        </is>
      </c>
      <c r="L1003" s="26" t="inlineStr">
        <is>
          <t>☐</t>
        </is>
      </c>
      <c r="M1003" s="25" t="n"/>
      <c r="N1003" s="27" t="n">
        <v>0</v>
      </c>
      <c r="O1003" s="28" t="n"/>
      <c r="P1003" s="23" t="n"/>
      <c r="Q1003" s="29" t="n"/>
      <c r="R1003" s="29" t="n"/>
      <c r="S1003" s="23" t="n"/>
      <c r="T1003" s="30" t="n"/>
      <c r="U1003" s="31" t="inlineStr">
        <is>
          <t>高</t>
        </is>
      </c>
      <c r="V1003" s="32" t="inlineStr">
        <is>
          <t>中高共通番号</t>
        </is>
      </c>
      <c r="W1003" s="33" t="inlineStr">
        <is>
          <t>開く</t>
        </is>
      </c>
    </row>
    <row r="1004" ht="30" customHeight="1">
      <c r="A1004" s="23" t="inlineStr">
        <is>
          <t>28兵庫県</t>
        </is>
      </c>
      <c r="B1004" s="23" t="inlineStr">
        <is>
          <t>私立</t>
        </is>
      </c>
      <c r="C1004" s="23" t="n"/>
      <c r="D1004" s="23" t="inlineStr">
        <is>
          <t>啓明学院高等学校</t>
        </is>
      </c>
      <c r="E1004" s="24" t="inlineStr">
        <is>
          <t>078-741-1501</t>
        </is>
      </c>
      <c r="F1004" s="23" t="n"/>
      <c r="G1004" s="25" t="inlineStr">
        <is>
          <t>普通科</t>
        </is>
      </c>
      <c r="H1004" s="26" t="inlineStr">
        <is>
          <t>☐</t>
        </is>
      </c>
      <c r="I1004" s="26" t="inlineStr">
        <is>
          <t>☐</t>
        </is>
      </c>
      <c r="J1004" s="26" t="inlineStr">
        <is>
          <t>☐</t>
        </is>
      </c>
      <c r="K1004" s="26" t="inlineStr">
        <is>
          <t>☐</t>
        </is>
      </c>
      <c r="L1004" s="26" t="inlineStr">
        <is>
          <t>☐</t>
        </is>
      </c>
      <c r="M1004" s="25" t="n"/>
      <c r="N1004" s="27" t="n">
        <v>0</v>
      </c>
      <c r="O1004" s="28" t="n"/>
      <c r="P1004" s="23" t="n"/>
      <c r="Q1004" s="29" t="n"/>
      <c r="R1004" s="29" t="n"/>
      <c r="S1004" s="23" t="n"/>
      <c r="T1004" s="30" t="n"/>
      <c r="U1004" s="31" t="inlineStr">
        <is>
          <t>高</t>
        </is>
      </c>
      <c r="V1004" s="32" t="inlineStr">
        <is>
          <t>1サイトのみ078-741-1506と記載（誤記とみられる）</t>
        </is>
      </c>
      <c r="W1004" s="33" t="inlineStr">
        <is>
          <t>開く</t>
        </is>
      </c>
    </row>
    <row r="1005" ht="30" customHeight="1">
      <c r="A1005" s="23" t="inlineStr">
        <is>
          <t>28兵庫県</t>
        </is>
      </c>
      <c r="B1005" s="23" t="inlineStr">
        <is>
          <t>私立</t>
        </is>
      </c>
      <c r="C1005" s="23" t="n"/>
      <c r="D1005" s="23" t="inlineStr">
        <is>
          <t>賢明女子学院高等学校</t>
        </is>
      </c>
      <c r="E1005" s="24" t="inlineStr">
        <is>
          <t>079-223-8456</t>
        </is>
      </c>
      <c r="F1005" s="23" t="n"/>
      <c r="G1005" s="25" t="inlineStr">
        <is>
          <t>普通科</t>
        </is>
      </c>
      <c r="H1005" s="26" t="inlineStr">
        <is>
          <t>☐</t>
        </is>
      </c>
      <c r="I1005" s="26" t="inlineStr">
        <is>
          <t>☐</t>
        </is>
      </c>
      <c r="J1005" s="26" t="inlineStr">
        <is>
          <t>☐</t>
        </is>
      </c>
      <c r="K1005" s="26" t="inlineStr">
        <is>
          <t>☐</t>
        </is>
      </c>
      <c r="L1005" s="26" t="inlineStr">
        <is>
          <t>☐</t>
        </is>
      </c>
      <c r="M1005" s="25" t="n"/>
      <c r="N1005" s="27" t="n">
        <v>0</v>
      </c>
      <c r="O1005" s="28" t="n"/>
      <c r="P1005" s="23" t="n"/>
      <c r="Q1005" s="29" t="n"/>
      <c r="R1005" s="29" t="n"/>
      <c r="S1005" s="23" t="n"/>
      <c r="T1005" s="30" t="n"/>
      <c r="U1005" s="31" t="inlineStr">
        <is>
          <t>高</t>
        </is>
      </c>
      <c r="V1005" s="32" t="inlineStr">
        <is>
          <t>079-223-8458はFAX</t>
        </is>
      </c>
      <c r="W1005" s="33" t="inlineStr">
        <is>
          <t>開く</t>
        </is>
      </c>
    </row>
    <row r="1006" ht="30" customHeight="1">
      <c r="A1006" s="23" t="inlineStr">
        <is>
          <t>28兵庫県</t>
        </is>
      </c>
      <c r="B1006" s="23" t="inlineStr">
        <is>
          <t>私立</t>
        </is>
      </c>
      <c r="C1006" s="23" t="n"/>
      <c r="D1006" s="23" t="inlineStr">
        <is>
          <t>甲子園学院高等学校</t>
        </is>
      </c>
      <c r="E1006" s="24" t="inlineStr">
        <is>
          <t>0798-65-6100</t>
        </is>
      </c>
      <c r="F1006" s="23" t="n"/>
      <c r="G1006" s="25" t="inlineStr">
        <is>
          <t>普通科</t>
        </is>
      </c>
      <c r="H1006" s="26" t="inlineStr">
        <is>
          <t>☐</t>
        </is>
      </c>
      <c r="I1006" s="26" t="inlineStr">
        <is>
          <t>☐</t>
        </is>
      </c>
      <c r="J1006" s="26" t="inlineStr">
        <is>
          <t>☐</t>
        </is>
      </c>
      <c r="K1006" s="26" t="inlineStr">
        <is>
          <t>☐</t>
        </is>
      </c>
      <c r="L1006" s="26" t="inlineStr">
        <is>
          <t>☐</t>
        </is>
      </c>
      <c r="M1006" s="25" t="n"/>
      <c r="N1006" s="27" t="n">
        <v>0</v>
      </c>
      <c r="O1006" s="28" t="n"/>
      <c r="P1006" s="23" t="n"/>
      <c r="Q1006" s="29" t="n"/>
      <c r="R1006" s="29" t="n"/>
      <c r="S1006" s="23" t="n"/>
      <c r="T1006" s="30" t="n"/>
      <c r="U1006" s="31" t="inlineStr">
        <is>
          <t>高</t>
        </is>
      </c>
      <c r="V1006" s="32" t="inlineStr">
        <is>
          <t>中高直通。法人本部は0798-67-2100</t>
        </is>
      </c>
      <c r="W1006" s="33" t="inlineStr">
        <is>
          <t>開く</t>
        </is>
      </c>
    </row>
    <row r="1007" ht="30" customHeight="1">
      <c r="A1007" s="23" t="inlineStr">
        <is>
          <t>28兵庫県</t>
        </is>
      </c>
      <c r="B1007" s="23" t="inlineStr">
        <is>
          <t>私立</t>
        </is>
      </c>
      <c r="C1007" s="23" t="n"/>
      <c r="D1007" s="23" t="inlineStr">
        <is>
          <t>甲南高等学校</t>
        </is>
      </c>
      <c r="E1007" s="24" t="inlineStr">
        <is>
          <t>0797-31-0551</t>
        </is>
      </c>
      <c r="F1007" s="23" t="n"/>
      <c r="G1007" s="25" t="inlineStr">
        <is>
          <t>普通科</t>
        </is>
      </c>
      <c r="H1007" s="26" t="inlineStr">
        <is>
          <t>☐</t>
        </is>
      </c>
      <c r="I1007" s="26" t="inlineStr">
        <is>
          <t>☐</t>
        </is>
      </c>
      <c r="J1007" s="26" t="inlineStr">
        <is>
          <t>☐</t>
        </is>
      </c>
      <c r="K1007" s="26" t="inlineStr">
        <is>
          <t>☐</t>
        </is>
      </c>
      <c r="L1007" s="26" t="inlineStr">
        <is>
          <t>☐</t>
        </is>
      </c>
      <c r="M1007" s="25" t="n"/>
      <c r="N1007" s="27" t="n">
        <v>0</v>
      </c>
      <c r="O1007" s="28" t="n"/>
      <c r="P1007" s="23" t="n"/>
      <c r="Q1007" s="29" t="n"/>
      <c r="R1007" s="29" t="n"/>
      <c r="S1007" s="23" t="n"/>
      <c r="T1007" s="30" t="n"/>
      <c r="U1007" s="31" t="inlineStr">
        <is>
          <t>高</t>
        </is>
      </c>
      <c r="V1007" s="32" t="inlineStr">
        <is>
          <t>中高共通番号</t>
        </is>
      </c>
      <c r="W1007" s="33" t="inlineStr">
        <is>
          <t>開く</t>
        </is>
      </c>
    </row>
    <row r="1008" ht="30" customHeight="1">
      <c r="A1008" s="23" t="inlineStr">
        <is>
          <t>28兵庫県</t>
        </is>
      </c>
      <c r="B1008" s="23" t="inlineStr">
        <is>
          <t>私立</t>
        </is>
      </c>
      <c r="C1008" s="23" t="n"/>
      <c r="D1008" s="23" t="inlineStr">
        <is>
          <t>甲南女子高等学校</t>
        </is>
      </c>
      <c r="E1008" s="24" t="inlineStr">
        <is>
          <t>078-411-2531</t>
        </is>
      </c>
      <c r="F1008" s="23" t="n"/>
      <c r="G1008" s="25" t="inlineStr">
        <is>
          <t>普通科</t>
        </is>
      </c>
      <c r="H1008" s="26" t="inlineStr">
        <is>
          <t>☐</t>
        </is>
      </c>
      <c r="I1008" s="26" t="inlineStr">
        <is>
          <t>☐</t>
        </is>
      </c>
      <c r="J1008" s="26" t="inlineStr">
        <is>
          <t>☐</t>
        </is>
      </c>
      <c r="K1008" s="26" t="inlineStr">
        <is>
          <t>☐</t>
        </is>
      </c>
      <c r="L1008" s="26" t="inlineStr">
        <is>
          <t>☐</t>
        </is>
      </c>
      <c r="M1008" s="25" t="n"/>
      <c r="N1008" s="27" t="n">
        <v>0</v>
      </c>
      <c r="O1008" s="28" t="n"/>
      <c r="P1008" s="23" t="n"/>
      <c r="Q1008" s="29" t="n"/>
      <c r="R1008" s="29" t="n"/>
      <c r="S1008" s="23" t="n"/>
      <c r="T1008" s="30" t="n"/>
      <c r="U1008" s="31" t="inlineStr">
        <is>
          <t>高</t>
        </is>
      </c>
      <c r="V1008" s="32" t="inlineStr">
        <is>
          <t>中高共通番号</t>
        </is>
      </c>
      <c r="W1008" s="33" t="inlineStr">
        <is>
          <t>開く</t>
        </is>
      </c>
    </row>
    <row r="1009" ht="30" customHeight="1">
      <c r="A1009" s="23" t="inlineStr">
        <is>
          <t>28兵庫県</t>
        </is>
      </c>
      <c r="B1009" s="23" t="inlineStr">
        <is>
          <t>私立</t>
        </is>
      </c>
      <c r="C1009" s="23" t="n"/>
      <c r="D1009" s="23" t="inlineStr">
        <is>
          <t>神戸海星女子学院高等学校</t>
        </is>
      </c>
      <c r="E1009" s="24" t="inlineStr">
        <is>
          <t>078-801-5601</t>
        </is>
      </c>
      <c r="F1009" s="23" t="n"/>
      <c r="G1009" s="25" t="inlineStr">
        <is>
          <t>普通科</t>
        </is>
      </c>
      <c r="H1009" s="26" t="inlineStr">
        <is>
          <t>☐</t>
        </is>
      </c>
      <c r="I1009" s="26" t="inlineStr">
        <is>
          <t>☐</t>
        </is>
      </c>
      <c r="J1009" s="26" t="inlineStr">
        <is>
          <t>☐</t>
        </is>
      </c>
      <c r="K1009" s="26" t="inlineStr">
        <is>
          <t>☐</t>
        </is>
      </c>
      <c r="L1009" s="26" t="inlineStr">
        <is>
          <t>☐</t>
        </is>
      </c>
      <c r="M1009" s="25" t="n"/>
      <c r="N1009" s="27" t="n">
        <v>0</v>
      </c>
      <c r="O1009" s="28" t="n"/>
      <c r="P1009" s="23" t="n"/>
      <c r="Q1009" s="29" t="n"/>
      <c r="R1009" s="29" t="n"/>
      <c r="S1009" s="23" t="n"/>
      <c r="T1009" s="30" t="n"/>
      <c r="U1009" s="31" t="inlineStr">
        <is>
          <t>高</t>
        </is>
      </c>
      <c r="V1009" s="32" t="inlineStr">
        <is>
          <t>代表番号</t>
        </is>
      </c>
      <c r="W1009" s="33" t="inlineStr">
        <is>
          <t>開く</t>
        </is>
      </c>
    </row>
    <row r="1010" ht="30" customHeight="1">
      <c r="A1010" s="23" t="inlineStr">
        <is>
          <t>28兵庫県</t>
        </is>
      </c>
      <c r="B1010" s="23" t="inlineStr">
        <is>
          <t>私立</t>
        </is>
      </c>
      <c r="C1010" s="23" t="n"/>
      <c r="D1010" s="23" t="inlineStr">
        <is>
          <t>神戸学院大学附属高等学校</t>
        </is>
      </c>
      <c r="E1010" s="24" t="inlineStr">
        <is>
          <t>078-302-2016</t>
        </is>
      </c>
      <c r="F1010" s="23" t="n"/>
      <c r="G1010" s="25" t="inlineStr">
        <is>
          <t>普通科</t>
        </is>
      </c>
      <c r="H1010" s="26" t="inlineStr">
        <is>
          <t>☐</t>
        </is>
      </c>
      <c r="I1010" s="26" t="inlineStr">
        <is>
          <t>☐</t>
        </is>
      </c>
      <c r="J1010" s="26" t="inlineStr">
        <is>
          <t>☐</t>
        </is>
      </c>
      <c r="K1010" s="26" t="inlineStr">
        <is>
          <t>☐</t>
        </is>
      </c>
      <c r="L1010" s="26" t="inlineStr">
        <is>
          <t>☐</t>
        </is>
      </c>
      <c r="M1010" s="25" t="n"/>
      <c r="N1010" s="27" t="n">
        <v>0</v>
      </c>
      <c r="O1010" s="28" t="n"/>
      <c r="P1010" s="23" t="n"/>
      <c r="Q1010" s="29" t="n"/>
      <c r="R1010" s="29" t="n"/>
      <c r="S1010" s="23" t="n"/>
      <c r="T1010" s="30" t="n"/>
      <c r="U1010" s="31" t="inlineStr">
        <is>
          <t>高</t>
        </is>
      </c>
      <c r="V1010" s="32" t="inlineStr">
        <is>
          <t>2016年に中央区ポートアイランドへ移転済み（旧番号078-511-6004）</t>
        </is>
      </c>
      <c r="W1010" s="33" t="inlineStr">
        <is>
          <t>開く</t>
        </is>
      </c>
    </row>
    <row r="1011" ht="30" customHeight="1">
      <c r="A1011" s="23" t="inlineStr">
        <is>
          <t>28兵庫県</t>
        </is>
      </c>
      <c r="B1011" s="23" t="inlineStr">
        <is>
          <t>私立</t>
        </is>
      </c>
      <c r="C1011" s="23" t="n"/>
      <c r="D1011" s="23" t="inlineStr">
        <is>
          <t>神戸弘陵学園高等学校</t>
        </is>
      </c>
      <c r="E1011" s="24" t="inlineStr">
        <is>
          <t>078-593-3535</t>
        </is>
      </c>
      <c r="F1011" s="23" t="n"/>
      <c r="G1011" s="25" t="inlineStr">
        <is>
          <t>普通科</t>
        </is>
      </c>
      <c r="H1011" s="26" t="inlineStr">
        <is>
          <t>☐</t>
        </is>
      </c>
      <c r="I1011" s="26" t="inlineStr">
        <is>
          <t>☐</t>
        </is>
      </c>
      <c r="J1011" s="26" t="inlineStr">
        <is>
          <t>☐</t>
        </is>
      </c>
      <c r="K1011" s="26" t="inlineStr">
        <is>
          <t>☐</t>
        </is>
      </c>
      <c r="L1011" s="26" t="inlineStr">
        <is>
          <t>☐</t>
        </is>
      </c>
      <c r="M1011" s="25" t="n"/>
      <c r="N1011" s="27" t="n">
        <v>0</v>
      </c>
      <c r="O1011" s="28" t="n"/>
      <c r="P1011" s="23" t="n"/>
      <c r="Q1011" s="29" t="n"/>
      <c r="R1011" s="29" t="n"/>
      <c r="S1011" s="23" t="n"/>
      <c r="T1011" s="30" t="n"/>
      <c r="U1011" s="31" t="inlineStr">
        <is>
          <t>高</t>
        </is>
      </c>
      <c r="V1011" s="32" t="n"/>
      <c r="W1011" s="33" t="inlineStr">
        <is>
          <t>開く</t>
        </is>
      </c>
    </row>
    <row r="1012" ht="30" customHeight="1">
      <c r="A1012" s="23" t="inlineStr">
        <is>
          <t>28兵庫県</t>
        </is>
      </c>
      <c r="B1012" s="23" t="inlineStr">
        <is>
          <t>私立</t>
        </is>
      </c>
      <c r="C1012" s="23" t="n"/>
      <c r="D1012" s="23" t="inlineStr">
        <is>
          <t>神戸国際高等学校</t>
        </is>
      </c>
      <c r="E1012" s="24" t="inlineStr">
        <is>
          <t>078-731-4665</t>
        </is>
      </c>
      <c r="F1012" s="23" t="n"/>
      <c r="G1012" s="25" t="inlineStr">
        <is>
          <t>専門学科</t>
        </is>
      </c>
      <c r="H1012" s="26" t="inlineStr">
        <is>
          <t>☐</t>
        </is>
      </c>
      <c r="I1012" s="26" t="inlineStr">
        <is>
          <t>☐</t>
        </is>
      </c>
      <c r="J1012" s="26" t="inlineStr">
        <is>
          <t>☐</t>
        </is>
      </c>
      <c r="K1012" s="26" t="inlineStr">
        <is>
          <t>☐</t>
        </is>
      </c>
      <c r="L1012" s="26" t="inlineStr">
        <is>
          <t>☐</t>
        </is>
      </c>
      <c r="M1012" s="25" t="n"/>
      <c r="N1012" s="27" t="n">
        <v>0</v>
      </c>
      <c r="O1012" s="28" t="n"/>
      <c r="P1012" s="23" t="n"/>
      <c r="Q1012" s="29" t="n"/>
      <c r="R1012" s="29" t="n"/>
      <c r="S1012" s="23" t="n"/>
      <c r="T1012" s="30" t="n"/>
      <c r="U1012" s="31" t="inlineStr">
        <is>
          <t>高</t>
        </is>
      </c>
      <c r="V1012" s="32" t="n"/>
      <c r="W1012" s="33" t="inlineStr">
        <is>
          <t>開く</t>
        </is>
      </c>
    </row>
    <row r="1013" ht="30" customHeight="1">
      <c r="A1013" s="23" t="inlineStr">
        <is>
          <t>28兵庫県</t>
        </is>
      </c>
      <c r="B1013" s="23" t="inlineStr">
        <is>
          <t>私立</t>
        </is>
      </c>
      <c r="C1013" s="23" t="n"/>
      <c r="D1013" s="23" t="inlineStr">
        <is>
          <t>神戸国際大学附属高等学校</t>
        </is>
      </c>
      <c r="E1013" s="24" t="inlineStr">
        <is>
          <t>078-707-1001</t>
        </is>
      </c>
      <c r="F1013" s="23" t="n"/>
      <c r="G1013" s="25" t="inlineStr">
        <is>
          <t>普通科・専門学科</t>
        </is>
      </c>
      <c r="H1013" s="26" t="inlineStr">
        <is>
          <t>☐</t>
        </is>
      </c>
      <c r="I1013" s="26" t="inlineStr">
        <is>
          <t>☐</t>
        </is>
      </c>
      <c r="J1013" s="26" t="inlineStr">
        <is>
          <t>☐</t>
        </is>
      </c>
      <c r="K1013" s="26" t="inlineStr">
        <is>
          <t>☐</t>
        </is>
      </c>
      <c r="L1013" s="26" t="inlineStr">
        <is>
          <t>☐</t>
        </is>
      </c>
      <c r="M1013" s="25" t="n"/>
      <c r="N1013" s="27" t="n">
        <v>0</v>
      </c>
      <c r="O1013" s="28" t="n"/>
      <c r="P1013" s="23" t="n"/>
      <c r="Q1013" s="29" t="n"/>
      <c r="R1013" s="29" t="n"/>
      <c r="S1013" s="23" t="n"/>
      <c r="T1013" s="30" t="n"/>
      <c r="U1013" s="31" t="inlineStr">
        <is>
          <t>高</t>
        </is>
      </c>
      <c r="V1013" s="32" t="inlineStr">
        <is>
          <t>代表番号</t>
        </is>
      </c>
      <c r="W1013" s="33" t="inlineStr">
        <is>
          <t>開く</t>
        </is>
      </c>
    </row>
    <row r="1014" ht="30" customHeight="1">
      <c r="A1014" s="23" t="inlineStr">
        <is>
          <t>28兵庫県</t>
        </is>
      </c>
      <c r="B1014" s="23" t="inlineStr">
        <is>
          <t>私立</t>
        </is>
      </c>
      <c r="C1014" s="23" t="n"/>
      <c r="D1014" s="23" t="inlineStr">
        <is>
          <t>神戸女学院高等学部</t>
        </is>
      </c>
      <c r="E1014" s="24" t="inlineStr">
        <is>
          <t>0798-51-8570</t>
        </is>
      </c>
      <c r="F1014" s="23" t="n"/>
      <c r="G1014" s="25" t="inlineStr">
        <is>
          <t>普通科</t>
        </is>
      </c>
      <c r="H1014" s="26" t="inlineStr">
        <is>
          <t>☐</t>
        </is>
      </c>
      <c r="I1014" s="26" t="inlineStr">
        <is>
          <t>☐</t>
        </is>
      </c>
      <c r="J1014" s="26" t="inlineStr">
        <is>
          <t>☐</t>
        </is>
      </c>
      <c r="K1014" s="26" t="inlineStr">
        <is>
          <t>☐</t>
        </is>
      </c>
      <c r="L1014" s="26" t="inlineStr">
        <is>
          <t>☐</t>
        </is>
      </c>
      <c r="M1014" s="25" t="n"/>
      <c r="N1014" s="27" t="n">
        <v>0</v>
      </c>
      <c r="O1014" s="28" t="n"/>
      <c r="P1014" s="23" t="n"/>
      <c r="Q1014" s="29" t="n"/>
      <c r="R1014" s="29" t="n"/>
      <c r="S1014" s="23" t="n"/>
      <c r="T1014" s="30" t="n"/>
      <c r="U1014" s="31" t="inlineStr">
        <is>
          <t>高</t>
        </is>
      </c>
      <c r="V1014" s="32" t="inlineStr">
        <is>
          <t>中高共通の事務室代表（大学とは別番号）</t>
        </is>
      </c>
      <c r="W1014" s="33" t="inlineStr">
        <is>
          <t>開く</t>
        </is>
      </c>
    </row>
    <row r="1015" ht="30" customHeight="1">
      <c r="A1015" s="23" t="inlineStr">
        <is>
          <t>28兵庫県</t>
        </is>
      </c>
      <c r="B1015" s="23" t="inlineStr">
        <is>
          <t>私立</t>
        </is>
      </c>
      <c r="C1015" s="23" t="n"/>
      <c r="D1015" s="23" t="inlineStr">
        <is>
          <t>神戸星城高等学校</t>
        </is>
      </c>
      <c r="E1015" s="24" t="inlineStr">
        <is>
          <t>078-741-1860</t>
        </is>
      </c>
      <c r="F1015" s="23" t="n"/>
      <c r="G1015" s="25" t="inlineStr">
        <is>
          <t>専門学科</t>
        </is>
      </c>
      <c r="H1015" s="26" t="inlineStr">
        <is>
          <t>☐</t>
        </is>
      </c>
      <c r="I1015" s="26" t="inlineStr">
        <is>
          <t>☐</t>
        </is>
      </c>
      <c r="J1015" s="26" t="inlineStr">
        <is>
          <t>☐</t>
        </is>
      </c>
      <c r="K1015" s="26" t="inlineStr">
        <is>
          <t>☐</t>
        </is>
      </c>
      <c r="L1015" s="26" t="inlineStr">
        <is>
          <t>☐</t>
        </is>
      </c>
      <c r="M1015" s="25" t="n"/>
      <c r="N1015" s="27" t="n">
        <v>0</v>
      </c>
      <c r="O1015" s="28" t="n"/>
      <c r="P1015" s="23" t="n"/>
      <c r="Q1015" s="29" t="n"/>
      <c r="R1015" s="29" t="n"/>
      <c r="S1015" s="23" t="n"/>
      <c r="T1015" s="30" t="n"/>
      <c r="U1015" s="31" t="inlineStr">
        <is>
          <t>高</t>
        </is>
      </c>
      <c r="V1015" s="32" t="n"/>
      <c r="W1015" s="33" t="inlineStr">
        <is>
          <t>開く</t>
        </is>
      </c>
    </row>
    <row r="1016" ht="30" customHeight="1">
      <c r="A1016" s="23" t="inlineStr">
        <is>
          <t>28兵庫県</t>
        </is>
      </c>
      <c r="B1016" s="23" t="inlineStr">
        <is>
          <t>私立</t>
        </is>
      </c>
      <c r="C1016" s="23" t="n"/>
      <c r="D1016" s="23" t="inlineStr">
        <is>
          <t>神戸第一高等学校</t>
        </is>
      </c>
      <c r="E1016" s="24" t="inlineStr">
        <is>
          <t>078-242-4811</t>
        </is>
      </c>
      <c r="F1016" s="23" t="n"/>
      <c r="G1016" s="25" t="inlineStr">
        <is>
          <t>普通科・専門学科</t>
        </is>
      </c>
      <c r="H1016" s="26" t="inlineStr">
        <is>
          <t>☐</t>
        </is>
      </c>
      <c r="I1016" s="26" t="inlineStr">
        <is>
          <t>☐</t>
        </is>
      </c>
      <c r="J1016" s="26" t="inlineStr">
        <is>
          <t>☐</t>
        </is>
      </c>
      <c r="K1016" s="26" t="inlineStr">
        <is>
          <t>☐</t>
        </is>
      </c>
      <c r="L1016" s="26" t="inlineStr">
        <is>
          <t>☐</t>
        </is>
      </c>
      <c r="M1016" s="25" t="n"/>
      <c r="N1016" s="27" t="n">
        <v>0</v>
      </c>
      <c r="O1016" s="28" t="n"/>
      <c r="P1016" s="23" t="n"/>
      <c r="Q1016" s="29" t="n"/>
      <c r="R1016" s="29" t="n"/>
      <c r="S1016" s="23" t="n"/>
      <c r="T1016" s="30" t="n"/>
      <c r="U1016" s="31" t="inlineStr">
        <is>
          <t>高</t>
        </is>
      </c>
      <c r="V1016" s="32" t="n"/>
      <c r="W1016" s="33" t="inlineStr">
        <is>
          <t>開く</t>
        </is>
      </c>
    </row>
    <row r="1017" ht="30" customHeight="1">
      <c r="A1017" s="23" t="inlineStr">
        <is>
          <t>28兵庫県</t>
        </is>
      </c>
      <c r="B1017" s="23" t="inlineStr">
        <is>
          <t>私立</t>
        </is>
      </c>
      <c r="C1017" s="23" t="n"/>
      <c r="D1017" s="23" t="inlineStr">
        <is>
          <t>神戸常盤女子高等学校</t>
        </is>
      </c>
      <c r="E1017" s="24" t="inlineStr">
        <is>
          <t>078-691-0561</t>
        </is>
      </c>
      <c r="F1017" s="23" t="n"/>
      <c r="G1017" s="25" t="inlineStr">
        <is>
          <t>普通科・専門学科</t>
        </is>
      </c>
      <c r="H1017" s="26" t="inlineStr">
        <is>
          <t>☐</t>
        </is>
      </c>
      <c r="I1017" s="26" t="inlineStr">
        <is>
          <t>☐</t>
        </is>
      </c>
      <c r="J1017" s="26" t="inlineStr">
        <is>
          <t>☐</t>
        </is>
      </c>
      <c r="K1017" s="26" t="inlineStr">
        <is>
          <t>☐</t>
        </is>
      </c>
      <c r="L1017" s="26" t="inlineStr">
        <is>
          <t>☐</t>
        </is>
      </c>
      <c r="M1017" s="25" t="n"/>
      <c r="N1017" s="27" t="n">
        <v>0</v>
      </c>
      <c r="O1017" s="28" t="n"/>
      <c r="P1017" s="23" t="n"/>
      <c r="Q1017" s="29" t="n"/>
      <c r="R1017" s="29" t="n"/>
      <c r="S1017" s="23" t="n"/>
      <c r="T1017" s="30" t="n"/>
      <c r="U1017" s="31" t="inlineStr">
        <is>
          <t>高</t>
        </is>
      </c>
      <c r="V1017" s="32" t="n"/>
      <c r="W1017" s="33" t="inlineStr">
        <is>
          <t>開く</t>
        </is>
      </c>
    </row>
    <row r="1018" ht="30" customHeight="1">
      <c r="A1018" s="23" t="inlineStr">
        <is>
          <t>28兵庫県</t>
        </is>
      </c>
      <c r="B1018" s="23" t="inlineStr">
        <is>
          <t>私立</t>
        </is>
      </c>
      <c r="C1018" s="23" t="n"/>
      <c r="D1018" s="23" t="inlineStr">
        <is>
          <t>神戸野田高等学校</t>
        </is>
      </c>
      <c r="E1018" s="24" t="inlineStr">
        <is>
          <t>078-731-8015</t>
        </is>
      </c>
      <c r="F1018" s="23" t="n"/>
      <c r="G1018" s="25" t="inlineStr">
        <is>
          <t>普通科</t>
        </is>
      </c>
      <c r="H1018" s="26" t="inlineStr">
        <is>
          <t>☐</t>
        </is>
      </c>
      <c r="I1018" s="26" t="inlineStr">
        <is>
          <t>☐</t>
        </is>
      </c>
      <c r="J1018" s="26" t="inlineStr">
        <is>
          <t>☐</t>
        </is>
      </c>
      <c r="K1018" s="26" t="inlineStr">
        <is>
          <t>☐</t>
        </is>
      </c>
      <c r="L1018" s="26" t="inlineStr">
        <is>
          <t>☐</t>
        </is>
      </c>
      <c r="M1018" s="25" t="n"/>
      <c r="N1018" s="27" t="n">
        <v>0</v>
      </c>
      <c r="O1018" s="28" t="n"/>
      <c r="P1018" s="23" t="n"/>
      <c r="Q1018" s="29" t="n"/>
      <c r="R1018" s="29" t="n"/>
      <c r="S1018" s="23" t="n"/>
      <c r="T1018" s="30" t="n"/>
      <c r="U1018" s="31" t="inlineStr">
        <is>
          <t>高</t>
        </is>
      </c>
      <c r="V1018" s="32" t="n"/>
      <c r="W1018" s="33" t="inlineStr">
        <is>
          <t>開く</t>
        </is>
      </c>
    </row>
    <row r="1019" ht="30" customHeight="1">
      <c r="A1019" s="23" t="inlineStr">
        <is>
          <t>28兵庫県</t>
        </is>
      </c>
      <c r="B1019" s="23" t="inlineStr">
        <is>
          <t>私立</t>
        </is>
      </c>
      <c r="C1019" s="23" t="n"/>
      <c r="D1019" s="23" t="inlineStr">
        <is>
          <t>神戸山手グローバル高等学校</t>
        </is>
      </c>
      <c r="E1019" s="24" t="inlineStr">
        <is>
          <t>078-341-2133</t>
        </is>
      </c>
      <c r="F1019" s="23" t="n"/>
      <c r="G1019" s="25" t="inlineStr">
        <is>
          <t>普通科・専門学科</t>
        </is>
      </c>
      <c r="H1019" s="26" t="inlineStr">
        <is>
          <t>☐</t>
        </is>
      </c>
      <c r="I1019" s="26" t="inlineStr">
        <is>
          <t>☐</t>
        </is>
      </c>
      <c r="J1019" s="26" t="inlineStr">
        <is>
          <t>☐</t>
        </is>
      </c>
      <c r="K1019" s="26" t="inlineStr">
        <is>
          <t>☐</t>
        </is>
      </c>
      <c r="L1019" s="26" t="inlineStr">
        <is>
          <t>☐</t>
        </is>
      </c>
      <c r="M1019" s="25" t="n"/>
      <c r="N1019" s="27" t="n">
        <v>0</v>
      </c>
      <c r="O1019" s="28" t="n"/>
      <c r="P1019" s="23" t="n"/>
      <c r="Q1019" s="29" t="n"/>
      <c r="R1019" s="29" t="n"/>
      <c r="S1019" s="23" t="n"/>
      <c r="T1019" s="30" t="n"/>
      <c r="U1019" s="31" t="inlineStr">
        <is>
          <t>高</t>
        </is>
      </c>
      <c r="V1019" s="32" t="inlineStr">
        <is>
          <t>旧・神戸山手女子。2025年4月から共学化。中高共通番号</t>
        </is>
      </c>
      <c r="W1019" s="33" t="inlineStr">
        <is>
          <t>開く</t>
        </is>
      </c>
    </row>
    <row r="1020" ht="30" customHeight="1">
      <c r="A1020" s="23" t="inlineStr">
        <is>
          <t>28兵庫県</t>
        </is>
      </c>
      <c r="B1020" s="23" t="inlineStr">
        <is>
          <t>私立</t>
        </is>
      </c>
      <c r="C1020" s="23" t="n"/>
      <c r="D1020" s="23" t="inlineStr">
        <is>
          <t>神戸龍谷高等学校</t>
        </is>
      </c>
      <c r="E1020" s="24" t="inlineStr">
        <is>
          <t>078-241-0076</t>
        </is>
      </c>
      <c r="F1020" s="23" t="n"/>
      <c r="G1020" s="25" t="inlineStr">
        <is>
          <t>普通科</t>
        </is>
      </c>
      <c r="H1020" s="26" t="inlineStr">
        <is>
          <t>☐</t>
        </is>
      </c>
      <c r="I1020" s="26" t="inlineStr">
        <is>
          <t>☐</t>
        </is>
      </c>
      <c r="J1020" s="26" t="inlineStr">
        <is>
          <t>☐</t>
        </is>
      </c>
      <c r="K1020" s="26" t="inlineStr">
        <is>
          <t>☐</t>
        </is>
      </c>
      <c r="L1020" s="26" t="inlineStr">
        <is>
          <t>☐</t>
        </is>
      </c>
      <c r="M1020" s="25" t="n"/>
      <c r="N1020" s="27" t="n">
        <v>0</v>
      </c>
      <c r="O1020" s="28" t="n"/>
      <c r="P1020" s="23" t="n"/>
      <c r="Q1020" s="29" t="n"/>
      <c r="R1020" s="29" t="n"/>
      <c r="S1020" s="23" t="n"/>
      <c r="T1020" s="30" t="n"/>
      <c r="U1020" s="31" t="inlineStr">
        <is>
          <t>高</t>
        </is>
      </c>
      <c r="V1020" s="32" t="inlineStr">
        <is>
          <t>事務室の番号</t>
        </is>
      </c>
      <c r="W1020" s="33" t="inlineStr">
        <is>
          <t>開く</t>
        </is>
      </c>
    </row>
    <row r="1021" ht="30" customHeight="1">
      <c r="A1021" s="23" t="inlineStr">
        <is>
          <t>28兵庫県</t>
        </is>
      </c>
      <c r="B1021" s="23" t="inlineStr">
        <is>
          <t>私立</t>
        </is>
      </c>
      <c r="C1021" s="23" t="n"/>
      <c r="D1021" s="23" t="inlineStr">
        <is>
          <t>甲陽学院高等学校</t>
        </is>
      </c>
      <c r="E1021" s="24" t="inlineStr">
        <is>
          <t>0798-73-3011</t>
        </is>
      </c>
      <c r="F1021" s="23" t="n"/>
      <c r="G1021" s="25" t="inlineStr">
        <is>
          <t>普通科</t>
        </is>
      </c>
      <c r="H1021" s="26" t="inlineStr">
        <is>
          <t>☐</t>
        </is>
      </c>
      <c r="I1021" s="26" t="inlineStr">
        <is>
          <t>☐</t>
        </is>
      </c>
      <c r="J1021" s="26" t="inlineStr">
        <is>
          <t>☐</t>
        </is>
      </c>
      <c r="K1021" s="26" t="inlineStr">
        <is>
          <t>☐</t>
        </is>
      </c>
      <c r="L1021" s="26" t="inlineStr">
        <is>
          <t>☐</t>
        </is>
      </c>
      <c r="M1021" s="25" t="n"/>
      <c r="N1021" s="27" t="n">
        <v>0</v>
      </c>
      <c r="O1021" s="28" t="n"/>
      <c r="P1021" s="23" t="n"/>
      <c r="Q1021" s="29" t="n"/>
      <c r="R1021" s="29" t="n"/>
      <c r="S1021" s="23" t="n"/>
      <c r="T1021" s="30" t="n"/>
      <c r="U1021" s="31" t="inlineStr">
        <is>
          <t>高</t>
        </is>
      </c>
      <c r="V1021" s="32" t="inlineStr">
        <is>
          <t>中学校は別キャンパス（0798-33-5012）</t>
        </is>
      </c>
      <c r="W1021" s="33" t="inlineStr">
        <is>
          <t>開く</t>
        </is>
      </c>
    </row>
    <row r="1022" ht="30" customHeight="1">
      <c r="A1022" s="23" t="inlineStr">
        <is>
          <t>28兵庫県</t>
        </is>
      </c>
      <c r="B1022" s="23" t="inlineStr">
        <is>
          <t>私立</t>
        </is>
      </c>
      <c r="C1022" s="23" t="n"/>
      <c r="D1022" s="23" t="inlineStr">
        <is>
          <t>小林聖心女子学院高等学校</t>
        </is>
      </c>
      <c r="E1022" s="24" t="inlineStr">
        <is>
          <t>0797-71-7321</t>
        </is>
      </c>
      <c r="F1022" s="23" t="n"/>
      <c r="G1022" s="25" t="inlineStr">
        <is>
          <t>普通科</t>
        </is>
      </c>
      <c r="H1022" s="26" t="inlineStr">
        <is>
          <t>☐</t>
        </is>
      </c>
      <c r="I1022" s="26" t="inlineStr">
        <is>
          <t>☐</t>
        </is>
      </c>
      <c r="J1022" s="26" t="inlineStr">
        <is>
          <t>☐</t>
        </is>
      </c>
      <c r="K1022" s="26" t="inlineStr">
        <is>
          <t>☐</t>
        </is>
      </c>
      <c r="L1022" s="26" t="inlineStr">
        <is>
          <t>☐</t>
        </is>
      </c>
      <c r="M1022" s="25" t="n"/>
      <c r="N1022" s="27" t="n">
        <v>0</v>
      </c>
      <c r="O1022" s="28" t="n"/>
      <c r="P1022" s="23" t="n"/>
      <c r="Q1022" s="29" t="n"/>
      <c r="R1022" s="29" t="n"/>
      <c r="S1022" s="23" t="n"/>
      <c r="T1022" s="30" t="n"/>
      <c r="U1022" s="31" t="inlineStr">
        <is>
          <t>高</t>
        </is>
      </c>
      <c r="V1022" s="32" t="inlineStr">
        <is>
          <t>小中高の代表番号</t>
        </is>
      </c>
      <c r="W1022" s="33" t="inlineStr">
        <is>
          <t>開く</t>
        </is>
      </c>
    </row>
    <row r="1023" ht="30" customHeight="1">
      <c r="A1023" s="23" t="inlineStr">
        <is>
          <t>28兵庫県</t>
        </is>
      </c>
      <c r="B1023" s="23" t="inlineStr">
        <is>
          <t>私立</t>
        </is>
      </c>
      <c r="C1023" s="23" t="n"/>
      <c r="D1023" s="23" t="inlineStr">
        <is>
          <t>彩星工科高等学校</t>
        </is>
      </c>
      <c r="E1023" s="24" t="inlineStr">
        <is>
          <t>078-575-0230</t>
        </is>
      </c>
      <c r="F1023" s="23" t="n"/>
      <c r="G1023" s="25" t="inlineStr">
        <is>
          <t>普通科・専門学科</t>
        </is>
      </c>
      <c r="H1023" s="26" t="inlineStr">
        <is>
          <t>☐</t>
        </is>
      </c>
      <c r="I1023" s="26" t="inlineStr">
        <is>
          <t>☐</t>
        </is>
      </c>
      <c r="J1023" s="26" t="inlineStr">
        <is>
          <t>☐</t>
        </is>
      </c>
      <c r="K1023" s="26" t="inlineStr">
        <is>
          <t>☐</t>
        </is>
      </c>
      <c r="L1023" s="26" t="inlineStr">
        <is>
          <t>☐</t>
        </is>
      </c>
      <c r="M1023" s="25" t="n"/>
      <c r="N1023" s="27" t="n">
        <v>0</v>
      </c>
      <c r="O1023" s="28" t="n"/>
      <c r="P1023" s="23" t="n"/>
      <c r="Q1023" s="29" t="n"/>
      <c r="R1023" s="29" t="n"/>
      <c r="S1023" s="23" t="n"/>
      <c r="T1023" s="30" t="n"/>
      <c r="U1023" s="31" t="inlineStr">
        <is>
          <t>高</t>
        </is>
      </c>
      <c r="V1023" s="32" t="n"/>
      <c r="W1023" s="33" t="inlineStr">
        <is>
          <t>開く</t>
        </is>
      </c>
    </row>
    <row r="1024" ht="30" customHeight="1">
      <c r="A1024" s="23" t="inlineStr">
        <is>
          <t>28兵庫県</t>
        </is>
      </c>
      <c r="B1024" s="23" t="inlineStr">
        <is>
          <t>私立</t>
        </is>
      </c>
      <c r="C1024" s="23" t="n"/>
      <c r="D1024" s="23" t="inlineStr">
        <is>
          <t>三田学園高等学校</t>
        </is>
      </c>
      <c r="E1024" s="24" t="inlineStr">
        <is>
          <t>079-564-2291</t>
        </is>
      </c>
      <c r="F1024" s="23" t="n"/>
      <c r="G1024" s="25" t="inlineStr">
        <is>
          <t>普通科</t>
        </is>
      </c>
      <c r="H1024" s="26" t="inlineStr">
        <is>
          <t>☐</t>
        </is>
      </c>
      <c r="I1024" s="26" t="inlineStr">
        <is>
          <t>☐</t>
        </is>
      </c>
      <c r="J1024" s="26" t="inlineStr">
        <is>
          <t>☐</t>
        </is>
      </c>
      <c r="K1024" s="26" t="inlineStr">
        <is>
          <t>☐</t>
        </is>
      </c>
      <c r="L1024" s="26" t="inlineStr">
        <is>
          <t>☐</t>
        </is>
      </c>
      <c r="M1024" s="25" t="n"/>
      <c r="N1024" s="27" t="n">
        <v>0</v>
      </c>
      <c r="O1024" s="28" t="n"/>
      <c r="P1024" s="23" t="n"/>
      <c r="Q1024" s="29" t="n"/>
      <c r="R1024" s="29" t="n"/>
      <c r="S1024" s="23" t="n"/>
      <c r="T1024" s="30" t="n"/>
      <c r="U1024" s="31" t="inlineStr">
        <is>
          <t>高</t>
        </is>
      </c>
      <c r="V1024" s="32" t="n"/>
      <c r="W1024" s="33" t="inlineStr">
        <is>
          <t>開く</t>
        </is>
      </c>
    </row>
    <row r="1025" ht="30" customHeight="1">
      <c r="A1025" s="23" t="inlineStr">
        <is>
          <t>28兵庫県</t>
        </is>
      </c>
      <c r="B1025" s="23" t="inlineStr">
        <is>
          <t>私立</t>
        </is>
      </c>
      <c r="C1025" s="23" t="n"/>
      <c r="D1025" s="23" t="inlineStr">
        <is>
          <t>三田松聖高等学校</t>
        </is>
      </c>
      <c r="E1025" s="24" t="inlineStr">
        <is>
          <t>079-568-1001</t>
        </is>
      </c>
      <c r="F1025" s="23" t="n"/>
      <c r="G1025" s="25" t="inlineStr">
        <is>
          <t>普通科</t>
        </is>
      </c>
      <c r="H1025" s="26" t="inlineStr">
        <is>
          <t>☐</t>
        </is>
      </c>
      <c r="I1025" s="26" t="inlineStr">
        <is>
          <t>☐</t>
        </is>
      </c>
      <c r="J1025" s="26" t="inlineStr">
        <is>
          <t>☐</t>
        </is>
      </c>
      <c r="K1025" s="26" t="inlineStr">
        <is>
          <t>☐</t>
        </is>
      </c>
      <c r="L1025" s="26" t="inlineStr">
        <is>
          <t>☐</t>
        </is>
      </c>
      <c r="M1025" s="25" t="n"/>
      <c r="N1025" s="27" t="n">
        <v>0</v>
      </c>
      <c r="O1025" s="28" t="n"/>
      <c r="P1025" s="23" t="n"/>
      <c r="Q1025" s="29" t="n"/>
      <c r="R1025" s="29" t="n"/>
      <c r="S1025" s="23" t="n"/>
      <c r="T1025" s="30" t="n"/>
      <c r="U1025" s="31" t="inlineStr">
        <is>
          <t>高</t>
        </is>
      </c>
      <c r="V1025" s="32" t="n"/>
      <c r="W1025" s="33" t="inlineStr">
        <is>
          <t>開く</t>
        </is>
      </c>
    </row>
    <row r="1026" ht="30" customHeight="1">
      <c r="A1026" s="23" t="inlineStr">
        <is>
          <t>28兵庫県</t>
        </is>
      </c>
      <c r="B1026" s="23" t="inlineStr">
        <is>
          <t>私立</t>
        </is>
      </c>
      <c r="C1026" s="23" t="n"/>
      <c r="D1026" s="23" t="inlineStr">
        <is>
          <t>夙川高等学校</t>
        </is>
      </c>
      <c r="E1026" s="24" t="inlineStr">
        <is>
          <t>078-578-7226</t>
        </is>
      </c>
      <c r="F1026" s="23" t="n"/>
      <c r="G1026" s="25" t="inlineStr">
        <is>
          <t>普通科・専門学科</t>
        </is>
      </c>
      <c r="H1026" s="26" t="inlineStr">
        <is>
          <t>☐</t>
        </is>
      </c>
      <c r="I1026" s="26" t="inlineStr">
        <is>
          <t>☐</t>
        </is>
      </c>
      <c r="J1026" s="26" t="inlineStr">
        <is>
          <t>☐</t>
        </is>
      </c>
      <c r="K1026" s="26" t="inlineStr">
        <is>
          <t>☐</t>
        </is>
      </c>
      <c r="L1026" s="26" t="inlineStr">
        <is>
          <t>☐</t>
        </is>
      </c>
      <c r="M1026" s="25" t="n"/>
      <c r="N1026" s="27" t="n">
        <v>0</v>
      </c>
      <c r="O1026" s="28" t="n"/>
      <c r="P1026" s="23" t="n"/>
      <c r="Q1026" s="29" t="n"/>
      <c r="R1026" s="29" t="n"/>
      <c r="S1026" s="23" t="n"/>
      <c r="T1026" s="30" t="n"/>
      <c r="U1026" s="31" t="inlineStr">
        <is>
          <t>高</t>
        </is>
      </c>
      <c r="V1026" s="32" t="inlineStr">
        <is>
          <t>旧・夙川学院。2019年から須磨学園が運営、神戸市兵庫区に移転（西宮の旧番号0798-74-5061とは別）</t>
        </is>
      </c>
      <c r="W1026" s="33" t="inlineStr">
        <is>
          <t>開く</t>
        </is>
      </c>
    </row>
    <row r="1027" ht="30" customHeight="1">
      <c r="A1027" s="23" t="inlineStr">
        <is>
          <t>28兵庫県</t>
        </is>
      </c>
      <c r="B1027" s="23" t="inlineStr">
        <is>
          <t>私立</t>
        </is>
      </c>
      <c r="C1027" s="23" t="n"/>
      <c r="D1027" s="23" t="inlineStr">
        <is>
          <t>松蔭高等学校（兵庫県）</t>
        </is>
      </c>
      <c r="E1027" s="24" t="inlineStr">
        <is>
          <t>078-861-1105</t>
        </is>
      </c>
      <c r="F1027" s="23" t="n"/>
      <c r="G1027" s="25" t="inlineStr">
        <is>
          <t>普通科</t>
        </is>
      </c>
      <c r="H1027" s="26" t="inlineStr">
        <is>
          <t>☐</t>
        </is>
      </c>
      <c r="I1027" s="26" t="inlineStr">
        <is>
          <t>☐</t>
        </is>
      </c>
      <c r="J1027" s="26" t="inlineStr">
        <is>
          <t>☐</t>
        </is>
      </c>
      <c r="K1027" s="26" t="inlineStr">
        <is>
          <t>☐</t>
        </is>
      </c>
      <c r="L1027" s="26" t="inlineStr">
        <is>
          <t>☐</t>
        </is>
      </c>
      <c r="M1027" s="25" t="n"/>
      <c r="N1027" s="27" t="n">
        <v>0</v>
      </c>
      <c r="O1027" s="28" t="n"/>
      <c r="P1027" s="23" t="n"/>
      <c r="Q1027" s="29" t="n"/>
      <c r="R1027" s="29" t="n"/>
      <c r="S1027" s="23" t="n"/>
      <c r="T1027" s="30" t="n"/>
      <c r="U1027" s="31" t="inlineStr">
        <is>
          <t>高</t>
        </is>
      </c>
      <c r="V1027" s="32" t="n"/>
      <c r="W1027" s="33" t="inlineStr">
        <is>
          <t>開く</t>
        </is>
      </c>
    </row>
    <row r="1028" ht="30" customHeight="1">
      <c r="A1028" s="23" t="inlineStr">
        <is>
          <t>28兵庫県</t>
        </is>
      </c>
      <c r="B1028" s="23" t="inlineStr">
        <is>
          <t>私立</t>
        </is>
      </c>
      <c r="C1028" s="23" t="n"/>
      <c r="D1028" s="23" t="inlineStr">
        <is>
          <t>神港学園高等学校</t>
        </is>
      </c>
      <c r="E1028" s="24" t="inlineStr">
        <is>
          <t>078-241-3135</t>
        </is>
      </c>
      <c r="F1028" s="23" t="n"/>
      <c r="G1028" s="25" t="inlineStr">
        <is>
          <t>普通科</t>
        </is>
      </c>
      <c r="H1028" s="26" t="inlineStr">
        <is>
          <t>☐</t>
        </is>
      </c>
      <c r="I1028" s="26" t="inlineStr">
        <is>
          <t>☐</t>
        </is>
      </c>
      <c r="J1028" s="26" t="inlineStr">
        <is>
          <t>☐</t>
        </is>
      </c>
      <c r="K1028" s="26" t="inlineStr">
        <is>
          <t>☐</t>
        </is>
      </c>
      <c r="L1028" s="26" t="inlineStr">
        <is>
          <t>☐</t>
        </is>
      </c>
      <c r="M1028" s="25" t="n"/>
      <c r="N1028" s="27" t="n">
        <v>0</v>
      </c>
      <c r="O1028" s="28" t="n"/>
      <c r="P1028" s="23" t="n"/>
      <c r="Q1028" s="29" t="n"/>
      <c r="R1028" s="29" t="n"/>
      <c r="S1028" s="23" t="n"/>
      <c r="T1028" s="30" t="n"/>
      <c r="U1028" s="31" t="inlineStr">
        <is>
          <t>高</t>
        </is>
      </c>
      <c r="V1028" s="32" t="inlineStr">
        <is>
          <t>「神港学園神港高等学校」表記もあり</t>
        </is>
      </c>
      <c r="W1028" s="33" t="inlineStr">
        <is>
          <t>開く</t>
        </is>
      </c>
    </row>
    <row r="1029" ht="30" customHeight="1">
      <c r="A1029" s="23" t="inlineStr">
        <is>
          <t>28兵庫県</t>
        </is>
      </c>
      <c r="B1029" s="23" t="inlineStr">
        <is>
          <t>私立</t>
        </is>
      </c>
      <c r="C1029" s="23" t="n"/>
      <c r="D1029" s="23" t="inlineStr">
        <is>
          <t>親和女子高等学校</t>
        </is>
      </c>
      <c r="E1029" s="24" t="inlineStr">
        <is>
          <t>078-854-3800</t>
        </is>
      </c>
      <c r="F1029" s="23" t="n"/>
      <c r="G1029" s="25" t="inlineStr">
        <is>
          <t>普通科</t>
        </is>
      </c>
      <c r="H1029" s="26" t="inlineStr">
        <is>
          <t>☐</t>
        </is>
      </c>
      <c r="I1029" s="26" t="inlineStr">
        <is>
          <t>☐</t>
        </is>
      </c>
      <c r="J1029" s="26" t="inlineStr">
        <is>
          <t>☐</t>
        </is>
      </c>
      <c r="K1029" s="26" t="inlineStr">
        <is>
          <t>☐</t>
        </is>
      </c>
      <c r="L1029" s="26" t="inlineStr">
        <is>
          <t>☐</t>
        </is>
      </c>
      <c r="M1029" s="25" t="n"/>
      <c r="N1029" s="27" t="n">
        <v>0</v>
      </c>
      <c r="O1029" s="28" t="n"/>
      <c r="P1029" s="23" t="n"/>
      <c r="Q1029" s="29" t="n"/>
      <c r="R1029" s="29" t="n"/>
      <c r="S1029" s="23" t="n"/>
      <c r="T1029" s="30" t="n"/>
      <c r="U1029" s="31" t="inlineStr">
        <is>
          <t>高</t>
        </is>
      </c>
      <c r="V1029" s="32" t="n"/>
      <c r="W1029" s="33" t="inlineStr">
        <is>
          <t>開く</t>
        </is>
      </c>
    </row>
    <row r="1030" ht="30" customHeight="1">
      <c r="A1030" s="23" t="inlineStr">
        <is>
          <t>28兵庫県</t>
        </is>
      </c>
      <c r="B1030" s="23" t="inlineStr">
        <is>
          <t>私立</t>
        </is>
      </c>
      <c r="C1030" s="23" t="n"/>
      <c r="D1030" s="23" t="inlineStr">
        <is>
          <t>淳心学院高等学校</t>
        </is>
      </c>
      <c r="E1030" s="24" t="inlineStr">
        <is>
          <t>079-222-3581</t>
        </is>
      </c>
      <c r="F1030" s="23" t="n"/>
      <c r="G1030" s="25" t="inlineStr">
        <is>
          <t>普通科</t>
        </is>
      </c>
      <c r="H1030" s="26" t="inlineStr">
        <is>
          <t>☐</t>
        </is>
      </c>
      <c r="I1030" s="26" t="inlineStr">
        <is>
          <t>☐</t>
        </is>
      </c>
      <c r="J1030" s="26" t="inlineStr">
        <is>
          <t>☐</t>
        </is>
      </c>
      <c r="K1030" s="26" t="inlineStr">
        <is>
          <t>☐</t>
        </is>
      </c>
      <c r="L1030" s="26" t="inlineStr">
        <is>
          <t>☐</t>
        </is>
      </c>
      <c r="M1030" s="25" t="n"/>
      <c r="N1030" s="27" t="n">
        <v>0</v>
      </c>
      <c r="O1030" s="28" t="n"/>
      <c r="P1030" s="23" t="n"/>
      <c r="Q1030" s="29" t="n"/>
      <c r="R1030" s="29" t="n"/>
      <c r="S1030" s="23" t="n"/>
      <c r="T1030" s="30" t="n"/>
      <c r="U1030" s="31" t="inlineStr">
        <is>
          <t>高</t>
        </is>
      </c>
      <c r="V1030" s="32" t="n"/>
      <c r="W1030" s="33" t="inlineStr">
        <is>
          <t>開く</t>
        </is>
      </c>
    </row>
    <row r="1031" ht="30" customHeight="1">
      <c r="A1031" s="23" t="inlineStr">
        <is>
          <t>28兵庫県</t>
        </is>
      </c>
      <c r="B1031" s="23" t="inlineStr">
        <is>
          <t>私立</t>
        </is>
      </c>
      <c r="C1031" s="23" t="n"/>
      <c r="D1031" s="23" t="inlineStr">
        <is>
          <t>須磨学園高等学校</t>
        </is>
      </c>
      <c r="E1031" s="24" t="inlineStr">
        <is>
          <t>078-732-1968</t>
        </is>
      </c>
      <c r="F1031" s="23" t="n"/>
      <c r="G1031" s="25" t="inlineStr">
        <is>
          <t>普通科</t>
        </is>
      </c>
      <c r="H1031" s="26" t="inlineStr">
        <is>
          <t>☐</t>
        </is>
      </c>
      <c r="I1031" s="26" t="inlineStr">
        <is>
          <t>☐</t>
        </is>
      </c>
      <c r="J1031" s="26" t="inlineStr">
        <is>
          <t>☐</t>
        </is>
      </c>
      <c r="K1031" s="26" t="inlineStr">
        <is>
          <t>☐</t>
        </is>
      </c>
      <c r="L1031" s="26" t="inlineStr">
        <is>
          <t>☐</t>
        </is>
      </c>
      <c r="M1031" s="25" t="n"/>
      <c r="N1031" s="27" t="n">
        <v>0</v>
      </c>
      <c r="O1031" s="28" t="n"/>
      <c r="P1031" s="23" t="n"/>
      <c r="Q1031" s="29" t="n"/>
      <c r="R1031" s="29" t="n"/>
      <c r="S1031" s="23" t="n"/>
      <c r="T1031" s="30" t="n"/>
      <c r="U1031" s="31" t="inlineStr">
        <is>
          <t>高</t>
        </is>
      </c>
      <c r="V1031" s="32" t="n"/>
      <c r="W1031" s="33" t="inlineStr">
        <is>
          <t>開く</t>
        </is>
      </c>
    </row>
    <row r="1032" ht="30" customHeight="1">
      <c r="A1032" s="23" t="inlineStr">
        <is>
          <t>28兵庫県</t>
        </is>
      </c>
      <c r="B1032" s="23" t="inlineStr">
        <is>
          <t>私立</t>
        </is>
      </c>
      <c r="C1032" s="23" t="n"/>
      <c r="D1032" s="23" t="inlineStr">
        <is>
          <t>青楓館高等学院</t>
        </is>
      </c>
      <c r="E1032" s="24" t="inlineStr">
        <is>
          <t>078-915-0775</t>
        </is>
      </c>
      <c r="F1032" s="23" t="n"/>
      <c r="G1032" s="25" t="inlineStr">
        <is>
          <t>普通科</t>
        </is>
      </c>
      <c r="H1032" s="26" t="inlineStr">
        <is>
          <t>☐</t>
        </is>
      </c>
      <c r="I1032" s="26" t="inlineStr">
        <is>
          <t>☐</t>
        </is>
      </c>
      <c r="J1032" s="26" t="inlineStr">
        <is>
          <t>☐</t>
        </is>
      </c>
      <c r="K1032" s="26" t="inlineStr">
        <is>
          <t>☐</t>
        </is>
      </c>
      <c r="L1032" s="26" t="inlineStr">
        <is>
          <t>☐</t>
        </is>
      </c>
      <c r="M1032" s="25" t="n"/>
      <c r="N1032" s="27" t="n">
        <v>0</v>
      </c>
      <c r="O1032" s="28" t="n"/>
      <c r="P1032" s="23" t="n"/>
      <c r="Q1032" s="29" t="n"/>
      <c r="R1032" s="29" t="n"/>
      <c r="S1032" s="23" t="n"/>
      <c r="T1032" s="30" t="n"/>
      <c r="U1032" s="31" t="inlineStr">
        <is>
          <t>高</t>
        </is>
      </c>
      <c r="V1032" s="32" t="inlineStr">
        <is>
          <t>通信制・2023年開校。明石本校の入学・広報センター番号</t>
        </is>
      </c>
      <c r="W1032" s="33" t="inlineStr">
        <is>
          <t>開く</t>
        </is>
      </c>
    </row>
    <row r="1033" ht="30" customHeight="1">
      <c r="A1033" s="23" t="inlineStr">
        <is>
          <t>28兵庫県</t>
        </is>
      </c>
      <c r="B1033" s="23" t="inlineStr">
        <is>
          <t>私立</t>
        </is>
      </c>
      <c r="C1033" s="23" t="n"/>
      <c r="D1033" s="23" t="inlineStr">
        <is>
          <t>蒼開高等学校</t>
        </is>
      </c>
      <c r="E1033" s="24" t="inlineStr">
        <is>
          <t>0799-22-2552</t>
        </is>
      </c>
      <c r="F1033" s="23" t="n"/>
      <c r="G1033" s="25" t="inlineStr">
        <is>
          <t>普通科</t>
        </is>
      </c>
      <c r="H1033" s="26" t="inlineStr">
        <is>
          <t>☐</t>
        </is>
      </c>
      <c r="I1033" s="26" t="inlineStr">
        <is>
          <t>☐</t>
        </is>
      </c>
      <c r="J1033" s="26" t="inlineStr">
        <is>
          <t>☐</t>
        </is>
      </c>
      <c r="K1033" s="26" t="inlineStr">
        <is>
          <t>☐</t>
        </is>
      </c>
      <c r="L1033" s="26" t="inlineStr">
        <is>
          <t>☐</t>
        </is>
      </c>
      <c r="M1033" s="25" t="n"/>
      <c r="N1033" s="27" t="n">
        <v>0</v>
      </c>
      <c r="O1033" s="28" t="n"/>
      <c r="P1033" s="23" t="n"/>
      <c r="Q1033" s="29" t="n"/>
      <c r="R1033" s="29" t="n"/>
      <c r="S1033" s="23" t="n"/>
      <c r="T1033" s="30" t="n"/>
      <c r="U1033" s="31" t="inlineStr">
        <is>
          <t>高</t>
        </is>
      </c>
      <c r="V1033" s="32" t="inlineStr">
        <is>
          <t>中学校は0799-22-2551</t>
        </is>
      </c>
      <c r="W1033" s="33" t="inlineStr">
        <is>
          <t>開く</t>
        </is>
      </c>
    </row>
    <row r="1034" ht="30" customHeight="1">
      <c r="A1034" s="23" t="inlineStr">
        <is>
          <t>28兵庫県</t>
        </is>
      </c>
      <c r="B1034" s="23" t="inlineStr">
        <is>
          <t>私立</t>
        </is>
      </c>
      <c r="C1034" s="23" t="n"/>
      <c r="D1034" s="23" t="inlineStr">
        <is>
          <t>園田学園高等学校</t>
        </is>
      </c>
      <c r="E1034" s="24" t="inlineStr">
        <is>
          <t>06-6428-2242</t>
        </is>
      </c>
      <c r="F1034" s="23" t="n"/>
      <c r="G1034" s="25" t="inlineStr">
        <is>
          <t>普通科</t>
        </is>
      </c>
      <c r="H1034" s="26" t="inlineStr">
        <is>
          <t>☐</t>
        </is>
      </c>
      <c r="I1034" s="26" t="inlineStr">
        <is>
          <t>☐</t>
        </is>
      </c>
      <c r="J1034" s="26" t="inlineStr">
        <is>
          <t>☐</t>
        </is>
      </c>
      <c r="K1034" s="26" t="inlineStr">
        <is>
          <t>☐</t>
        </is>
      </c>
      <c r="L1034" s="26" t="inlineStr">
        <is>
          <t>☐</t>
        </is>
      </c>
      <c r="M1034" s="25" t="n"/>
      <c r="N1034" s="27" t="n">
        <v>0</v>
      </c>
      <c r="O1034" s="28" t="n"/>
      <c r="P1034" s="23" t="n"/>
      <c r="Q1034" s="29" t="n"/>
      <c r="R1034" s="29" t="n"/>
      <c r="S1034" s="23" t="n"/>
      <c r="T1034" s="30" t="n"/>
      <c r="U1034" s="31" t="inlineStr">
        <is>
          <t>高</t>
        </is>
      </c>
      <c r="V1034" s="32" t="inlineStr">
        <is>
          <t>尼崎市施設案内とも一致</t>
        </is>
      </c>
      <c r="W1034" s="33" t="inlineStr">
        <is>
          <t>開く</t>
        </is>
      </c>
    </row>
    <row r="1035" ht="30" customHeight="1">
      <c r="A1035" s="23" t="inlineStr">
        <is>
          <t>28兵庫県</t>
        </is>
      </c>
      <c r="B1035" s="23" t="inlineStr">
        <is>
          <t>私立</t>
        </is>
      </c>
      <c r="C1035" s="23" t="n"/>
      <c r="D1035" s="23" t="inlineStr">
        <is>
          <t>滝川高等学校</t>
        </is>
      </c>
      <c r="E1035" s="24" t="inlineStr">
        <is>
          <t>078-732-1625</t>
        </is>
      </c>
      <c r="F1035" s="23" t="n"/>
      <c r="G1035" s="25" t="inlineStr">
        <is>
          <t>普通科</t>
        </is>
      </c>
      <c r="H1035" s="26" t="inlineStr">
        <is>
          <t>☐</t>
        </is>
      </c>
      <c r="I1035" s="26" t="inlineStr">
        <is>
          <t>☐</t>
        </is>
      </c>
      <c r="J1035" s="26" t="inlineStr">
        <is>
          <t>☐</t>
        </is>
      </c>
      <c r="K1035" s="26" t="inlineStr">
        <is>
          <t>☐</t>
        </is>
      </c>
      <c r="L1035" s="26" t="inlineStr">
        <is>
          <t>☐</t>
        </is>
      </c>
      <c r="M1035" s="25" t="n"/>
      <c r="N1035" s="27" t="n">
        <v>0</v>
      </c>
      <c r="O1035" s="28" t="n"/>
      <c r="P1035" s="23" t="n"/>
      <c r="Q1035" s="29" t="n"/>
      <c r="R1035" s="29" t="n"/>
      <c r="S1035" s="23" t="n"/>
      <c r="T1035" s="30" t="n"/>
      <c r="U1035" s="31" t="inlineStr">
        <is>
          <t>高</t>
        </is>
      </c>
      <c r="V1035" s="32" t="inlineStr">
        <is>
          <t>代表番号</t>
        </is>
      </c>
      <c r="W1035" s="33" t="inlineStr">
        <is>
          <t>開く</t>
        </is>
      </c>
    </row>
    <row r="1036" ht="30" customHeight="1">
      <c r="A1036" s="23" t="inlineStr">
        <is>
          <t>28兵庫県</t>
        </is>
      </c>
      <c r="B1036" s="23" t="inlineStr">
        <is>
          <t>私立</t>
        </is>
      </c>
      <c r="C1036" s="23" t="n"/>
      <c r="D1036" s="23" t="inlineStr">
        <is>
          <t>滝川第二高等学校</t>
        </is>
      </c>
      <c r="E1036" s="24" t="inlineStr">
        <is>
          <t>078-961-2381</t>
        </is>
      </c>
      <c r="F1036" s="23" t="n"/>
      <c r="G1036" s="25" t="inlineStr">
        <is>
          <t>普通科</t>
        </is>
      </c>
      <c r="H1036" s="26" t="inlineStr">
        <is>
          <t>☐</t>
        </is>
      </c>
      <c r="I1036" s="26" t="inlineStr">
        <is>
          <t>☐</t>
        </is>
      </c>
      <c r="J1036" s="26" t="inlineStr">
        <is>
          <t>☐</t>
        </is>
      </c>
      <c r="K1036" s="26" t="inlineStr">
        <is>
          <t>☐</t>
        </is>
      </c>
      <c r="L1036" s="26" t="inlineStr">
        <is>
          <t>☐</t>
        </is>
      </c>
      <c r="M1036" s="25" t="n"/>
      <c r="N1036" s="27" t="n">
        <v>0</v>
      </c>
      <c r="O1036" s="28" t="n"/>
      <c r="P1036" s="23" t="n"/>
      <c r="Q1036" s="29" t="n"/>
      <c r="R1036" s="29" t="n"/>
      <c r="S1036" s="23" t="n"/>
      <c r="T1036" s="30" t="n"/>
      <c r="U1036" s="31" t="inlineStr">
        <is>
          <t>高</t>
        </is>
      </c>
      <c r="V1036" s="32" t="inlineStr">
        <is>
          <t>代表番号</t>
        </is>
      </c>
      <c r="W1036" s="33" t="inlineStr">
        <is>
          <t>開く</t>
        </is>
      </c>
    </row>
    <row r="1037" ht="30" customHeight="1">
      <c r="A1037" s="23" t="inlineStr">
        <is>
          <t>28兵庫県</t>
        </is>
      </c>
      <c r="B1037" s="23" t="inlineStr">
        <is>
          <t>私立</t>
        </is>
      </c>
      <c r="C1037" s="23" t="n"/>
      <c r="D1037" s="23" t="inlineStr">
        <is>
          <t>第一学院高等学校 養父本校</t>
        </is>
      </c>
      <c r="E1037" s="24" t="inlineStr">
        <is>
          <t>079-663-5100</t>
        </is>
      </c>
      <c r="F1037" s="23" t="n"/>
      <c r="G1037" s="25" t="inlineStr">
        <is>
          <t>総合学科</t>
        </is>
      </c>
      <c r="H1037" s="26" t="inlineStr">
        <is>
          <t>☐</t>
        </is>
      </c>
      <c r="I1037" s="26" t="inlineStr">
        <is>
          <t>☐</t>
        </is>
      </c>
      <c r="J1037" s="26" t="inlineStr">
        <is>
          <t>☐</t>
        </is>
      </c>
      <c r="K1037" s="26" t="inlineStr">
        <is>
          <t>☐</t>
        </is>
      </c>
      <c r="L1037" s="26" t="inlineStr">
        <is>
          <t>☐</t>
        </is>
      </c>
      <c r="M1037" s="25" t="n"/>
      <c r="N1037" s="27" t="n">
        <v>0</v>
      </c>
      <c r="O1037" s="28" t="n"/>
      <c r="P1037" s="23" t="n"/>
      <c r="Q1037" s="29" t="n"/>
      <c r="R1037" s="29" t="n"/>
      <c r="S1037" s="23" t="n"/>
      <c r="T1037" s="30" t="n"/>
      <c r="U1037" s="31" t="inlineStr">
        <is>
          <t>高</t>
        </is>
      </c>
      <c r="V1037" s="32" t="inlineStr">
        <is>
          <t>通信制・養父本校。フリーダイヤルは別</t>
        </is>
      </c>
      <c r="W1037" s="33" t="inlineStr">
        <is>
          <t>開く</t>
        </is>
      </c>
    </row>
    <row r="1038" ht="30" customHeight="1">
      <c r="A1038" s="23" t="inlineStr">
        <is>
          <t>28兵庫県</t>
        </is>
      </c>
      <c r="B1038" s="23" t="inlineStr">
        <is>
          <t>私立</t>
        </is>
      </c>
      <c r="C1038" s="23" t="n"/>
      <c r="D1038" s="23" t="inlineStr">
        <is>
          <t>東洋大学附属姫路高等学校</t>
        </is>
      </c>
      <c r="E1038" s="24" t="inlineStr">
        <is>
          <t>079-266-2626</t>
        </is>
      </c>
      <c r="F1038" s="23" t="n"/>
      <c r="G1038" s="25" t="inlineStr">
        <is>
          <t>普通科</t>
        </is>
      </c>
      <c r="H1038" s="26" t="inlineStr">
        <is>
          <t>☐</t>
        </is>
      </c>
      <c r="I1038" s="26" t="inlineStr">
        <is>
          <t>☐</t>
        </is>
      </c>
      <c r="J1038" s="26" t="inlineStr">
        <is>
          <t>☐</t>
        </is>
      </c>
      <c r="K1038" s="26" t="inlineStr">
        <is>
          <t>☐</t>
        </is>
      </c>
      <c r="L1038" s="26" t="inlineStr">
        <is>
          <t>☐</t>
        </is>
      </c>
      <c r="M1038" s="25" t="n"/>
      <c r="N1038" s="27" t="n">
        <v>0</v>
      </c>
      <c r="O1038" s="28" t="n"/>
      <c r="P1038" s="23" t="n"/>
      <c r="Q1038" s="29" t="n"/>
      <c r="R1038" s="29" t="n"/>
      <c r="S1038" s="23" t="n"/>
      <c r="T1038" s="30" t="n"/>
      <c r="U1038" s="31" t="inlineStr">
        <is>
          <t>高</t>
        </is>
      </c>
      <c r="V1038" s="32" t="inlineStr">
        <is>
          <t>中高共通番号</t>
        </is>
      </c>
      <c r="W1038" s="33" t="inlineStr">
        <is>
          <t>開く</t>
        </is>
      </c>
    </row>
    <row r="1039" ht="30" customHeight="1">
      <c r="A1039" s="23" t="inlineStr">
        <is>
          <t>28兵庫県</t>
        </is>
      </c>
      <c r="B1039" s="23" t="inlineStr">
        <is>
          <t>私立</t>
        </is>
      </c>
      <c r="C1039" s="23" t="n"/>
      <c r="D1039" s="23" t="inlineStr">
        <is>
          <t>灘高等学校</t>
        </is>
      </c>
      <c r="E1039" s="24" t="inlineStr">
        <is>
          <t>078-411-7234</t>
        </is>
      </c>
      <c r="F1039" s="23" t="n"/>
      <c r="G1039" s="25" t="inlineStr">
        <is>
          <t>普通科</t>
        </is>
      </c>
      <c r="H1039" s="26" t="inlineStr">
        <is>
          <t>☐</t>
        </is>
      </c>
      <c r="I1039" s="26" t="inlineStr">
        <is>
          <t>☐</t>
        </is>
      </c>
      <c r="J1039" s="26" t="inlineStr">
        <is>
          <t>☐</t>
        </is>
      </c>
      <c r="K1039" s="26" t="inlineStr">
        <is>
          <t>☐</t>
        </is>
      </c>
      <c r="L1039" s="26" t="inlineStr">
        <is>
          <t>☐</t>
        </is>
      </c>
      <c r="M1039" s="25" t="n"/>
      <c r="N1039" s="27" t="n">
        <v>0</v>
      </c>
      <c r="O1039" s="28" t="n"/>
      <c r="P1039" s="23" t="n"/>
      <c r="Q1039" s="29" t="n"/>
      <c r="R1039" s="29" t="n"/>
      <c r="S1039" s="23" t="n"/>
      <c r="T1039" s="30" t="n"/>
      <c r="U1039" s="31" t="inlineStr">
        <is>
          <t>高</t>
        </is>
      </c>
      <c r="V1039" s="32" t="inlineStr">
        <is>
          <t>高校事務室の番号</t>
        </is>
      </c>
      <c r="W1039" s="33" t="inlineStr">
        <is>
          <t>開く</t>
        </is>
      </c>
    </row>
    <row r="1040" ht="30" customHeight="1">
      <c r="A1040" s="23" t="inlineStr">
        <is>
          <t>28兵庫県</t>
        </is>
      </c>
      <c r="B1040" s="23" t="inlineStr">
        <is>
          <t>私立</t>
        </is>
      </c>
      <c r="C1040" s="23" t="n"/>
      <c r="D1040" s="23" t="inlineStr">
        <is>
          <t>仁川学院高等学校</t>
        </is>
      </c>
      <c r="E1040" s="24" t="inlineStr">
        <is>
          <t>0798-51-3621</t>
        </is>
      </c>
      <c r="F1040" s="23" t="n"/>
      <c r="G1040" s="25" t="inlineStr">
        <is>
          <t>普通科</t>
        </is>
      </c>
      <c r="H1040" s="26" t="inlineStr">
        <is>
          <t>☐</t>
        </is>
      </c>
      <c r="I1040" s="26" t="inlineStr">
        <is>
          <t>☐</t>
        </is>
      </c>
      <c r="J1040" s="26" t="inlineStr">
        <is>
          <t>☐</t>
        </is>
      </c>
      <c r="K1040" s="26" t="inlineStr">
        <is>
          <t>☐</t>
        </is>
      </c>
      <c r="L1040" s="26" t="inlineStr">
        <is>
          <t>☐</t>
        </is>
      </c>
      <c r="M1040" s="25" t="n"/>
      <c r="N1040" s="27" t="n">
        <v>0</v>
      </c>
      <c r="O1040" s="28" t="n"/>
      <c r="P1040" s="23" t="n"/>
      <c r="Q1040" s="29" t="n"/>
      <c r="R1040" s="29" t="n"/>
      <c r="S1040" s="23" t="n"/>
      <c r="T1040" s="30" t="n"/>
      <c r="U1040" s="31" t="inlineStr">
        <is>
          <t>高</t>
        </is>
      </c>
      <c r="V1040" s="32" t="inlineStr">
        <is>
          <t>学院事務局は0798-52-0551</t>
        </is>
      </c>
      <c r="W1040" s="33" t="inlineStr">
        <is>
          <t>開く</t>
        </is>
      </c>
    </row>
    <row r="1041" ht="30" customHeight="1">
      <c r="A1041" s="23" t="inlineStr">
        <is>
          <t>28兵庫県</t>
        </is>
      </c>
      <c r="B1041" s="23" t="inlineStr">
        <is>
          <t>私立</t>
        </is>
      </c>
      <c r="C1041" s="23" t="n"/>
      <c r="D1041" s="23" t="inlineStr">
        <is>
          <t>白陵高等学校</t>
        </is>
      </c>
      <c r="E1041" s="24" t="inlineStr">
        <is>
          <t>079-447-1675</t>
        </is>
      </c>
      <c r="F1041" s="23" t="n"/>
      <c r="G1041" s="25" t="inlineStr">
        <is>
          <t>普通科</t>
        </is>
      </c>
      <c r="H1041" s="26" t="inlineStr">
        <is>
          <t>☐</t>
        </is>
      </c>
      <c r="I1041" s="26" t="inlineStr">
        <is>
          <t>☐</t>
        </is>
      </c>
      <c r="J1041" s="26" t="inlineStr">
        <is>
          <t>☐</t>
        </is>
      </c>
      <c r="K1041" s="26" t="inlineStr">
        <is>
          <t>☐</t>
        </is>
      </c>
      <c r="L1041" s="26" t="inlineStr">
        <is>
          <t>☐</t>
        </is>
      </c>
      <c r="M1041" s="25" t="n"/>
      <c r="N1041" s="27" t="n">
        <v>0</v>
      </c>
      <c r="O1041" s="28" t="n"/>
      <c r="P1041" s="23" t="n"/>
      <c r="Q1041" s="29" t="n"/>
      <c r="R1041" s="29" t="n"/>
      <c r="S1041" s="23" t="n"/>
      <c r="T1041" s="30" t="n"/>
      <c r="U1041" s="31" t="inlineStr">
        <is>
          <t>高</t>
        </is>
      </c>
      <c r="V1041" s="32" t="inlineStr">
        <is>
          <t>中高共通番号</t>
        </is>
      </c>
      <c r="W1041" s="33" t="inlineStr">
        <is>
          <t>開く</t>
        </is>
      </c>
    </row>
    <row r="1042" ht="30" customHeight="1">
      <c r="A1042" s="23" t="inlineStr">
        <is>
          <t>28兵庫県</t>
        </is>
      </c>
      <c r="B1042" s="23" t="inlineStr">
        <is>
          <t>私立</t>
        </is>
      </c>
      <c r="C1042" s="23" t="n"/>
      <c r="D1042" s="23" t="inlineStr">
        <is>
          <t>日ノ本学園高等学校</t>
        </is>
      </c>
      <c r="E1042" s="24" t="inlineStr">
        <is>
          <t>079-232-5578</t>
        </is>
      </c>
      <c r="F1042" s="23" t="n"/>
      <c r="G1042" s="25" t="inlineStr">
        <is>
          <t>普通科</t>
        </is>
      </c>
      <c r="H1042" s="26" t="inlineStr">
        <is>
          <t>☐</t>
        </is>
      </c>
      <c r="I1042" s="26" t="inlineStr">
        <is>
          <t>☐</t>
        </is>
      </c>
      <c r="J1042" s="26" t="inlineStr">
        <is>
          <t>☐</t>
        </is>
      </c>
      <c r="K1042" s="26" t="inlineStr">
        <is>
          <t>☐</t>
        </is>
      </c>
      <c r="L1042" s="26" t="inlineStr">
        <is>
          <t>☐</t>
        </is>
      </c>
      <c r="M1042" s="25" t="n"/>
      <c r="N1042" s="27" t="n">
        <v>0</v>
      </c>
      <c r="O1042" s="28" t="n"/>
      <c r="P1042" s="23" t="n"/>
      <c r="Q1042" s="29" t="n"/>
      <c r="R1042" s="29" t="n"/>
      <c r="S1042" s="23" t="n"/>
      <c r="T1042" s="30" t="n"/>
      <c r="U1042" s="31" t="inlineStr">
        <is>
          <t>高</t>
        </is>
      </c>
      <c r="V1042" s="32" t="inlineStr">
        <is>
          <t>代表番号</t>
        </is>
      </c>
      <c r="W1042" s="33" t="inlineStr">
        <is>
          <t>開く</t>
        </is>
      </c>
    </row>
    <row r="1043" ht="30" customHeight="1">
      <c r="A1043" s="23" t="inlineStr">
        <is>
          <t>28兵庫県</t>
        </is>
      </c>
      <c r="B1043" s="23" t="inlineStr">
        <is>
          <t>私立</t>
        </is>
      </c>
      <c r="C1043" s="23" t="n"/>
      <c r="D1043" s="23" t="inlineStr">
        <is>
          <t>雲雀丘学園高等学校</t>
        </is>
      </c>
      <c r="E1043" s="24" t="inlineStr">
        <is>
          <t>072-759-1300</t>
        </is>
      </c>
      <c r="F1043" s="23" t="n"/>
      <c r="G1043" s="25" t="inlineStr">
        <is>
          <t>普通科</t>
        </is>
      </c>
      <c r="H1043" s="26" t="inlineStr">
        <is>
          <t>☐</t>
        </is>
      </c>
      <c r="I1043" s="26" t="inlineStr">
        <is>
          <t>☐</t>
        </is>
      </c>
      <c r="J1043" s="26" t="inlineStr">
        <is>
          <t>☐</t>
        </is>
      </c>
      <c r="K1043" s="26" t="inlineStr">
        <is>
          <t>☐</t>
        </is>
      </c>
      <c r="L1043" s="26" t="inlineStr">
        <is>
          <t>☐</t>
        </is>
      </c>
      <c r="M1043" s="25" t="n"/>
      <c r="N1043" s="27" t="n">
        <v>0</v>
      </c>
      <c r="O1043" s="28" t="n"/>
      <c r="P1043" s="23" t="n"/>
      <c r="Q1043" s="29" t="n"/>
      <c r="R1043" s="29" t="n"/>
      <c r="S1043" s="23" t="n"/>
      <c r="T1043" s="30" t="n"/>
      <c r="U1043" s="31" t="inlineStr">
        <is>
          <t>高</t>
        </is>
      </c>
      <c r="V1043" s="32" t="inlineStr">
        <is>
          <t>学園事務局は072-759-3000</t>
        </is>
      </c>
      <c r="W1043" s="33" t="inlineStr">
        <is>
          <t>開く</t>
        </is>
      </c>
    </row>
    <row r="1044" ht="30" customHeight="1">
      <c r="A1044" s="23" t="inlineStr">
        <is>
          <t>28兵庫県</t>
        </is>
      </c>
      <c r="B1044" s="23" t="inlineStr">
        <is>
          <t>私立</t>
        </is>
      </c>
      <c r="C1044" s="23" t="n"/>
      <c r="D1044" s="23" t="inlineStr">
        <is>
          <t>姫路女学院高等学校</t>
        </is>
      </c>
      <c r="E1044" s="24" t="inlineStr">
        <is>
          <t>079-224-1711</t>
        </is>
      </c>
      <c r="F1044" s="23" t="n"/>
      <c r="G1044" s="25" t="inlineStr">
        <is>
          <t>普通科・専門学科</t>
        </is>
      </c>
      <c r="H1044" s="26" t="inlineStr">
        <is>
          <t>☐</t>
        </is>
      </c>
      <c r="I1044" s="26" t="inlineStr">
        <is>
          <t>☐</t>
        </is>
      </c>
      <c r="J1044" s="26" t="inlineStr">
        <is>
          <t>☐</t>
        </is>
      </c>
      <c r="K1044" s="26" t="inlineStr">
        <is>
          <t>☐</t>
        </is>
      </c>
      <c r="L1044" s="26" t="inlineStr">
        <is>
          <t>☐</t>
        </is>
      </c>
      <c r="M1044" s="25" t="n"/>
      <c r="N1044" s="27" t="n">
        <v>0</v>
      </c>
      <c r="O1044" s="28" t="n"/>
      <c r="P1044" s="23" t="n"/>
      <c r="Q1044" s="29" t="n"/>
      <c r="R1044" s="29" t="n"/>
      <c r="S1044" s="23" t="n"/>
      <c r="T1044" s="30" t="n"/>
      <c r="U1044" s="31" t="inlineStr">
        <is>
          <t>高</t>
        </is>
      </c>
      <c r="V1044" s="32" t="n"/>
      <c r="W1044" s="33" t="inlineStr">
        <is>
          <t>開く</t>
        </is>
      </c>
    </row>
    <row r="1045" ht="30" customHeight="1">
      <c r="A1045" s="23" t="inlineStr">
        <is>
          <t>28兵庫県</t>
        </is>
      </c>
      <c r="B1045" s="23" t="inlineStr">
        <is>
          <t>私立</t>
        </is>
      </c>
      <c r="C1045" s="23" t="n"/>
      <c r="D1045" s="23" t="inlineStr">
        <is>
          <t>兵庫大学附属須磨ノ浦高等学校</t>
        </is>
      </c>
      <c r="E1045" s="24" t="inlineStr">
        <is>
          <t>078-735-7111</t>
        </is>
      </c>
      <c r="F1045" s="23" t="n"/>
      <c r="G1045" s="25" t="inlineStr">
        <is>
          <t>普通科</t>
        </is>
      </c>
      <c r="H1045" s="26" t="inlineStr">
        <is>
          <t>☐</t>
        </is>
      </c>
      <c r="I1045" s="26" t="inlineStr">
        <is>
          <t>☐</t>
        </is>
      </c>
      <c r="J1045" s="26" t="inlineStr">
        <is>
          <t>☐</t>
        </is>
      </c>
      <c r="K1045" s="26" t="inlineStr">
        <is>
          <t>☐</t>
        </is>
      </c>
      <c r="L1045" s="26" t="inlineStr">
        <is>
          <t>☐</t>
        </is>
      </c>
      <c r="M1045" s="25" t="n"/>
      <c r="N1045" s="27" t="n">
        <v>0</v>
      </c>
      <c r="O1045" s="28" t="n"/>
      <c r="P1045" s="23" t="n"/>
      <c r="Q1045" s="29" t="n"/>
      <c r="R1045" s="29" t="n"/>
      <c r="S1045" s="23" t="n"/>
      <c r="T1045" s="30" t="n"/>
      <c r="U1045" s="31" t="inlineStr">
        <is>
          <t>高</t>
        </is>
      </c>
      <c r="V1045" s="32" t="n"/>
      <c r="W1045" s="33" t="inlineStr">
        <is>
          <t>開く</t>
        </is>
      </c>
    </row>
    <row r="1046" ht="30" customHeight="1">
      <c r="A1046" s="23" t="inlineStr">
        <is>
          <t>28兵庫県</t>
        </is>
      </c>
      <c r="B1046" s="23" t="inlineStr">
        <is>
          <t>私立</t>
        </is>
      </c>
      <c r="C1046" s="23" t="n"/>
      <c r="D1046" s="23" t="inlineStr">
        <is>
          <t>報徳学園高等学校</t>
        </is>
      </c>
      <c r="E1046" s="24" t="inlineStr">
        <is>
          <t>0798-51-3021</t>
        </is>
      </c>
      <c r="F1046" s="23" t="n"/>
      <c r="G1046" s="25" t="inlineStr">
        <is>
          <t>普通科</t>
        </is>
      </c>
      <c r="H1046" s="26" t="inlineStr">
        <is>
          <t>☐</t>
        </is>
      </c>
      <c r="I1046" s="26" t="inlineStr">
        <is>
          <t>☐</t>
        </is>
      </c>
      <c r="J1046" s="26" t="inlineStr">
        <is>
          <t>☐</t>
        </is>
      </c>
      <c r="K1046" s="26" t="inlineStr">
        <is>
          <t>☐</t>
        </is>
      </c>
      <c r="L1046" s="26" t="inlineStr">
        <is>
          <t>☐</t>
        </is>
      </c>
      <c r="M1046" s="25" t="n"/>
      <c r="N1046" s="27" t="n">
        <v>0</v>
      </c>
      <c r="O1046" s="28" t="n"/>
      <c r="P1046" s="23" t="n"/>
      <c r="Q1046" s="29" t="n"/>
      <c r="R1046" s="29" t="n"/>
      <c r="S1046" s="23" t="n"/>
      <c r="T1046" s="30" t="n"/>
      <c r="U1046" s="31" t="inlineStr">
        <is>
          <t>高</t>
        </is>
      </c>
      <c r="V1046" s="32" t="n"/>
      <c r="W1046" s="33" t="inlineStr">
        <is>
          <t>開く</t>
        </is>
      </c>
    </row>
    <row r="1047" ht="30" customHeight="1">
      <c r="A1047" s="23" t="inlineStr">
        <is>
          <t>28兵庫県</t>
        </is>
      </c>
      <c r="B1047" s="23" t="inlineStr">
        <is>
          <t>私立</t>
        </is>
      </c>
      <c r="C1047" s="23" t="n"/>
      <c r="D1047" s="23" t="inlineStr">
        <is>
          <t>武庫川女子大学附属高等学校</t>
        </is>
      </c>
      <c r="E1047" s="24" t="inlineStr">
        <is>
          <t>0798-47-6436</t>
        </is>
      </c>
      <c r="F1047" s="23" t="n"/>
      <c r="G1047" s="25" t="inlineStr">
        <is>
          <t>普通科</t>
        </is>
      </c>
      <c r="H1047" s="26" t="inlineStr">
        <is>
          <t>☐</t>
        </is>
      </c>
      <c r="I1047" s="26" t="inlineStr">
        <is>
          <t>☐</t>
        </is>
      </c>
      <c r="J1047" s="26" t="inlineStr">
        <is>
          <t>☐</t>
        </is>
      </c>
      <c r="K1047" s="26" t="inlineStr">
        <is>
          <t>☐</t>
        </is>
      </c>
      <c r="L1047" s="26" t="inlineStr">
        <is>
          <t>☐</t>
        </is>
      </c>
      <c r="M1047" s="25" t="n"/>
      <c r="N1047" s="27" t="n">
        <v>0</v>
      </c>
      <c r="O1047" s="28" t="n"/>
      <c r="P1047" s="23" t="n"/>
      <c r="Q1047" s="29" t="n"/>
      <c r="R1047" s="29" t="n"/>
      <c r="S1047" s="23" t="n"/>
      <c r="T1047" s="30" t="n"/>
      <c r="U1047" s="31" t="inlineStr">
        <is>
          <t>高</t>
        </is>
      </c>
      <c r="V1047" s="32" t="inlineStr">
        <is>
          <t>2027年4月に「武庫川大学附属高等学校」へ校名変更予定（第三者情報）</t>
        </is>
      </c>
      <c r="W1047" s="33" t="inlineStr">
        <is>
          <t>開く</t>
        </is>
      </c>
    </row>
    <row r="1048" ht="30" customHeight="1">
      <c r="A1048" s="23" t="inlineStr">
        <is>
          <t>28兵庫県</t>
        </is>
      </c>
      <c r="B1048" s="23" t="inlineStr">
        <is>
          <t>私立</t>
        </is>
      </c>
      <c r="C1048" s="23" t="n"/>
      <c r="D1048" s="23" t="inlineStr">
        <is>
          <t>百合学院高等学校</t>
        </is>
      </c>
      <c r="E1048" s="24" t="inlineStr">
        <is>
          <t>06-6491-6298</t>
        </is>
      </c>
      <c r="F1048" s="23" t="n"/>
      <c r="G1048" s="25" t="inlineStr">
        <is>
          <t>普通科</t>
        </is>
      </c>
      <c r="H1048" s="26" t="inlineStr">
        <is>
          <t>☐</t>
        </is>
      </c>
      <c r="I1048" s="26" t="inlineStr">
        <is>
          <t>☐</t>
        </is>
      </c>
      <c r="J1048" s="26" t="inlineStr">
        <is>
          <t>☐</t>
        </is>
      </c>
      <c r="K1048" s="26" t="inlineStr">
        <is>
          <t>☐</t>
        </is>
      </c>
      <c r="L1048" s="26" t="inlineStr">
        <is>
          <t>☐</t>
        </is>
      </c>
      <c r="M1048" s="25" t="n"/>
      <c r="N1048" s="27" t="n">
        <v>0</v>
      </c>
      <c r="O1048" s="28" t="n"/>
      <c r="P1048" s="23" t="n"/>
      <c r="Q1048" s="29" t="n"/>
      <c r="R1048" s="29" t="n"/>
      <c r="S1048" s="23" t="n"/>
      <c r="T1048" s="30" t="n"/>
      <c r="U1048" s="34" t="inlineStr">
        <is>
          <t>中</t>
        </is>
      </c>
      <c r="V1048" s="32" t="inlineStr">
        <is>
          <t>公式未確認、複数サイトで一致</t>
        </is>
      </c>
      <c r="W1048" s="33" t="inlineStr">
        <is>
          <t>開く</t>
        </is>
      </c>
    </row>
    <row r="1049" ht="30" customHeight="1">
      <c r="A1049" s="23" t="inlineStr">
        <is>
          <t>28兵庫県</t>
        </is>
      </c>
      <c r="B1049" s="23" t="inlineStr">
        <is>
          <t>私立</t>
        </is>
      </c>
      <c r="C1049" s="23" t="n"/>
      <c r="D1049" s="23" t="inlineStr">
        <is>
          <t>六甲学院高等学校</t>
        </is>
      </c>
      <c r="E1049" s="24" t="inlineStr">
        <is>
          <t>078-871-4161</t>
        </is>
      </c>
      <c r="F1049" s="23" t="n"/>
      <c r="G1049" s="25" t="inlineStr">
        <is>
          <t>普通科</t>
        </is>
      </c>
      <c r="H1049" s="26" t="inlineStr">
        <is>
          <t>☐</t>
        </is>
      </c>
      <c r="I1049" s="26" t="inlineStr">
        <is>
          <t>☐</t>
        </is>
      </c>
      <c r="J1049" s="26" t="inlineStr">
        <is>
          <t>☐</t>
        </is>
      </c>
      <c r="K1049" s="26" t="inlineStr">
        <is>
          <t>☐</t>
        </is>
      </c>
      <c r="L1049" s="26" t="inlineStr">
        <is>
          <t>☐</t>
        </is>
      </c>
      <c r="M1049" s="25" t="n"/>
      <c r="N1049" s="27" t="n">
        <v>0</v>
      </c>
      <c r="O1049" s="28" t="n"/>
      <c r="P1049" s="23" t="n"/>
      <c r="Q1049" s="29" t="n"/>
      <c r="R1049" s="29" t="n"/>
      <c r="S1049" s="23" t="n"/>
      <c r="T1049" s="30" t="n"/>
      <c r="U1049" s="31" t="inlineStr">
        <is>
          <t>高</t>
        </is>
      </c>
      <c r="V1049" s="32" t="inlineStr">
        <is>
          <t>代表番号。中高共通</t>
        </is>
      </c>
      <c r="W1049" s="33" t="inlineStr">
        <is>
          <t>開く</t>
        </is>
      </c>
    </row>
    <row r="1050" ht="30" customHeight="1">
      <c r="A1050" s="23" t="inlineStr">
        <is>
          <t>29奈良県</t>
        </is>
      </c>
      <c r="B1050" s="23" t="inlineStr">
        <is>
          <t>私立</t>
        </is>
      </c>
      <c r="C1050" s="23" t="n"/>
      <c r="D1050" s="23" t="inlineStr">
        <is>
          <t>飛鳥未来高等学校</t>
        </is>
      </c>
      <c r="E1050" s="24" t="inlineStr">
        <is>
          <t>0743-61-0031</t>
        </is>
      </c>
      <c r="F1050" s="23" t="n"/>
      <c r="G1050" s="25" t="inlineStr">
        <is>
          <t>普通科</t>
        </is>
      </c>
      <c r="H1050" s="26" t="inlineStr">
        <is>
          <t>☐</t>
        </is>
      </c>
      <c r="I1050" s="26" t="inlineStr">
        <is>
          <t>☐</t>
        </is>
      </c>
      <c r="J1050" s="26" t="inlineStr">
        <is>
          <t>☐</t>
        </is>
      </c>
      <c r="K1050" s="26" t="inlineStr">
        <is>
          <t>☐</t>
        </is>
      </c>
      <c r="L1050" s="26" t="inlineStr">
        <is>
          <t>☐</t>
        </is>
      </c>
      <c r="M1050" s="25" t="n"/>
      <c r="N1050" s="27" t="n">
        <v>0</v>
      </c>
      <c r="O1050" s="28" t="n"/>
      <c r="P1050" s="23" t="n"/>
      <c r="Q1050" s="29" t="n"/>
      <c r="R1050" s="29" t="n"/>
      <c r="S1050" s="23" t="n"/>
      <c r="T1050" s="30" t="n"/>
      <c r="U1050" s="31" t="inlineStr">
        <is>
          <t>高</t>
        </is>
      </c>
      <c r="V1050" s="32" t="inlineStr">
        <is>
          <t>通信制・天理市の奈良本校の番号。他キャンパスは別番号</t>
        </is>
      </c>
      <c r="W1050" s="33" t="inlineStr">
        <is>
          <t>開く</t>
        </is>
      </c>
    </row>
    <row r="1051" ht="30" customHeight="1">
      <c r="A1051" s="23" t="inlineStr">
        <is>
          <t>29奈良県</t>
        </is>
      </c>
      <c r="B1051" s="23" t="inlineStr">
        <is>
          <t>私立</t>
        </is>
      </c>
      <c r="C1051" s="23" t="n"/>
      <c r="D1051" s="23" t="inlineStr">
        <is>
          <t>育英西高等学校</t>
        </is>
      </c>
      <c r="E1051" s="24" t="inlineStr">
        <is>
          <t>0742-47-0688</t>
        </is>
      </c>
      <c r="F1051" s="23" t="n"/>
      <c r="G1051" s="25" t="inlineStr">
        <is>
          <t>普通科</t>
        </is>
      </c>
      <c r="H1051" s="26" t="inlineStr">
        <is>
          <t>☐</t>
        </is>
      </c>
      <c r="I1051" s="26" t="inlineStr">
        <is>
          <t>☐</t>
        </is>
      </c>
      <c r="J1051" s="26" t="inlineStr">
        <is>
          <t>☐</t>
        </is>
      </c>
      <c r="K1051" s="26" t="inlineStr">
        <is>
          <t>☐</t>
        </is>
      </c>
      <c r="L1051" s="26" t="inlineStr">
        <is>
          <t>☐</t>
        </is>
      </c>
      <c r="M1051" s="25" t="n"/>
      <c r="N1051" s="27" t="n">
        <v>0</v>
      </c>
      <c r="O1051" s="28" t="n"/>
      <c r="P1051" s="23" t="n"/>
      <c r="Q1051" s="29" t="n"/>
      <c r="R1051" s="29" t="n"/>
      <c r="S1051" s="23" t="n"/>
      <c r="T1051" s="30" t="n"/>
      <c r="U1051" s="31" t="inlineStr">
        <is>
          <t>高</t>
        </is>
      </c>
      <c r="V1051" s="32" t="inlineStr">
        <is>
          <t>中高共通番号</t>
        </is>
      </c>
      <c r="W1051" s="33" t="inlineStr">
        <is>
          <t>開く</t>
        </is>
      </c>
    </row>
    <row r="1052" ht="30" customHeight="1">
      <c r="A1052" s="23" t="inlineStr">
        <is>
          <t>29奈良県</t>
        </is>
      </c>
      <c r="B1052" s="23" t="inlineStr">
        <is>
          <t>私立</t>
        </is>
      </c>
      <c r="C1052" s="23" t="n"/>
      <c r="D1052" s="23" t="inlineStr">
        <is>
          <t>橿原学院高等学校</t>
        </is>
      </c>
      <c r="E1052" s="24" t="inlineStr">
        <is>
          <t>0744-27-3242</t>
        </is>
      </c>
      <c r="F1052" s="23" t="n"/>
      <c r="G1052" s="25" t="inlineStr">
        <is>
          <t>普通科・専門学科</t>
        </is>
      </c>
      <c r="H1052" s="26" t="inlineStr">
        <is>
          <t>☐</t>
        </is>
      </c>
      <c r="I1052" s="26" t="inlineStr">
        <is>
          <t>☐</t>
        </is>
      </c>
      <c r="J1052" s="26" t="inlineStr">
        <is>
          <t>☐</t>
        </is>
      </c>
      <c r="K1052" s="26" t="inlineStr">
        <is>
          <t>☐</t>
        </is>
      </c>
      <c r="L1052" s="26" t="inlineStr">
        <is>
          <t>☐</t>
        </is>
      </c>
      <c r="M1052" s="25" t="n"/>
      <c r="N1052" s="27" t="n">
        <v>0</v>
      </c>
      <c r="O1052" s="28" t="n"/>
      <c r="P1052" s="23" t="n"/>
      <c r="Q1052" s="29" t="n"/>
      <c r="R1052" s="29" t="n"/>
      <c r="S1052" s="23" t="n"/>
      <c r="T1052" s="30" t="n"/>
      <c r="U1052" s="31" t="inlineStr">
        <is>
          <t>高</t>
        </is>
      </c>
      <c r="V1052" s="32" t="inlineStr">
        <is>
          <t>代表番号。一部サイトに0744-27-0742の記載あり（旧番号の可能性）</t>
        </is>
      </c>
      <c r="W1052" s="33" t="inlineStr">
        <is>
          <t>開く</t>
        </is>
      </c>
    </row>
    <row r="1053" ht="30" customHeight="1">
      <c r="A1053" s="23" t="inlineStr">
        <is>
          <t>29奈良県</t>
        </is>
      </c>
      <c r="B1053" s="23" t="inlineStr">
        <is>
          <t>私立</t>
        </is>
      </c>
      <c r="C1053" s="23" t="n"/>
      <c r="D1053" s="23" t="inlineStr">
        <is>
          <t>智辯学園高等学校</t>
        </is>
      </c>
      <c r="E1053" s="24" t="inlineStr">
        <is>
          <t>0747-22-3191</t>
        </is>
      </c>
      <c r="F1053" s="23" t="n"/>
      <c r="G1053" s="25" t="inlineStr">
        <is>
          <t>普通科</t>
        </is>
      </c>
      <c r="H1053" s="26" t="inlineStr">
        <is>
          <t>☐</t>
        </is>
      </c>
      <c r="I1053" s="26" t="inlineStr">
        <is>
          <t>☐</t>
        </is>
      </c>
      <c r="J1053" s="26" t="inlineStr">
        <is>
          <t>☐</t>
        </is>
      </c>
      <c r="K1053" s="26" t="inlineStr">
        <is>
          <t>☐</t>
        </is>
      </c>
      <c r="L1053" s="26" t="inlineStr">
        <is>
          <t>☐</t>
        </is>
      </c>
      <c r="M1053" s="25" t="n"/>
      <c r="N1053" s="27" t="n">
        <v>0</v>
      </c>
      <c r="O1053" s="28" t="n"/>
      <c r="P1053" s="23" t="n"/>
      <c r="Q1053" s="29" t="n"/>
      <c r="R1053" s="29" t="n"/>
      <c r="S1053" s="23" t="n"/>
      <c r="T1053" s="30" t="n"/>
      <c r="U1053" s="31" t="inlineStr">
        <is>
          <t>高</t>
        </is>
      </c>
      <c r="V1053" s="32" t="inlineStr">
        <is>
          <t>募集要項に代表として記載</t>
        </is>
      </c>
      <c r="W1053" s="33" t="inlineStr">
        <is>
          <t>開く</t>
        </is>
      </c>
    </row>
    <row r="1054" ht="30" customHeight="1">
      <c r="A1054" s="23" t="inlineStr">
        <is>
          <t>29奈良県</t>
        </is>
      </c>
      <c r="B1054" s="23" t="inlineStr">
        <is>
          <t>私立</t>
        </is>
      </c>
      <c r="C1054" s="23" t="n"/>
      <c r="D1054" s="23" t="inlineStr">
        <is>
          <t>智辯学園奈良カレッジ高等部</t>
        </is>
      </c>
      <c r="E1054" s="24" t="inlineStr">
        <is>
          <t>0745-79-1111</t>
        </is>
      </c>
      <c r="F1054" s="23" t="n"/>
      <c r="G1054" s="25" t="inlineStr">
        <is>
          <t>普通科</t>
        </is>
      </c>
      <c r="H1054" s="26" t="inlineStr">
        <is>
          <t>☐</t>
        </is>
      </c>
      <c r="I1054" s="26" t="inlineStr">
        <is>
          <t>☐</t>
        </is>
      </c>
      <c r="J1054" s="26" t="inlineStr">
        <is>
          <t>☐</t>
        </is>
      </c>
      <c r="K1054" s="26" t="inlineStr">
        <is>
          <t>☐</t>
        </is>
      </c>
      <c r="L1054" s="26" t="inlineStr">
        <is>
          <t>☐</t>
        </is>
      </c>
      <c r="M1054" s="25" t="n"/>
      <c r="N1054" s="27" t="n">
        <v>0</v>
      </c>
      <c r="O1054" s="28" t="n"/>
      <c r="P1054" s="23" t="n"/>
      <c r="Q1054" s="29" t="n"/>
      <c r="R1054" s="29" t="n"/>
      <c r="S1054" s="23" t="n"/>
      <c r="T1054" s="30" t="n"/>
      <c r="U1054" s="31" t="inlineStr">
        <is>
          <t>高</t>
        </is>
      </c>
      <c r="V1054" s="32" t="inlineStr">
        <is>
          <t>香芝市HP（2021年）は0745-76-2001を掲載</t>
        </is>
      </c>
      <c r="W1054" s="33" t="inlineStr">
        <is>
          <t>開く</t>
        </is>
      </c>
    </row>
    <row r="1055" ht="30" customHeight="1">
      <c r="A1055" s="23" t="inlineStr">
        <is>
          <t>29奈良県</t>
        </is>
      </c>
      <c r="B1055" s="23" t="inlineStr">
        <is>
          <t>私立</t>
        </is>
      </c>
      <c r="C1055" s="23" t="n"/>
      <c r="D1055" s="23" t="inlineStr">
        <is>
          <t>帝塚山高等学校</t>
        </is>
      </c>
      <c r="E1055" s="24" t="inlineStr">
        <is>
          <t>0742-41-4685</t>
        </is>
      </c>
      <c r="F1055" s="23" t="n"/>
      <c r="G1055" s="25" t="inlineStr">
        <is>
          <t>普通科</t>
        </is>
      </c>
      <c r="H1055" s="26" t="inlineStr">
        <is>
          <t>☐</t>
        </is>
      </c>
      <c r="I1055" s="26" t="inlineStr">
        <is>
          <t>☐</t>
        </is>
      </c>
      <c r="J1055" s="26" t="inlineStr">
        <is>
          <t>☐</t>
        </is>
      </c>
      <c r="K1055" s="26" t="inlineStr">
        <is>
          <t>☐</t>
        </is>
      </c>
      <c r="L1055" s="26" t="inlineStr">
        <is>
          <t>☐</t>
        </is>
      </c>
      <c r="M1055" s="25" t="n"/>
      <c r="N1055" s="27" t="n">
        <v>0</v>
      </c>
      <c r="O1055" s="28" t="n"/>
      <c r="P1055" s="23" t="n"/>
      <c r="Q1055" s="29" t="n"/>
      <c r="R1055" s="29" t="n"/>
      <c r="S1055" s="23" t="n"/>
      <c r="T1055" s="30" t="n"/>
      <c r="U1055" s="31" t="inlineStr">
        <is>
          <t>高</t>
        </is>
      </c>
      <c r="V1055" s="32" t="inlineStr">
        <is>
          <t>中高事務室の番号。学園代表は0742-43-4433</t>
        </is>
      </c>
      <c r="W1055" s="33" t="inlineStr">
        <is>
          <t>開く</t>
        </is>
      </c>
    </row>
    <row r="1056" ht="30" customHeight="1">
      <c r="A1056" s="23" t="inlineStr">
        <is>
          <t>29奈良県</t>
        </is>
      </c>
      <c r="B1056" s="23" t="inlineStr">
        <is>
          <t>私立</t>
        </is>
      </c>
      <c r="C1056" s="23" t="n"/>
      <c r="D1056" s="23" t="inlineStr">
        <is>
          <t>天理教校学園高等学校</t>
        </is>
      </c>
      <c r="E1056" s="24" t="n"/>
      <c r="F1056" s="23" t="n"/>
      <c r="G1056" s="25" t="inlineStr">
        <is>
          <t>普通科</t>
        </is>
      </c>
      <c r="H1056" s="26" t="inlineStr">
        <is>
          <t>☐</t>
        </is>
      </c>
      <c r="I1056" s="26" t="inlineStr">
        <is>
          <t>☐</t>
        </is>
      </c>
      <c r="J1056" s="26" t="inlineStr">
        <is>
          <t>☐</t>
        </is>
      </c>
      <c r="K1056" s="26" t="inlineStr">
        <is>
          <t>☐</t>
        </is>
      </c>
      <c r="L1056" s="26" t="inlineStr">
        <is>
          <t>☐</t>
        </is>
      </c>
      <c r="M1056" s="25" t="n"/>
      <c r="N1056" s="27" t="n">
        <v>0</v>
      </c>
      <c r="O1056" s="28" t="n"/>
      <c r="P1056" s="23" t="n"/>
      <c r="Q1056" s="29" t="n"/>
      <c r="R1056" s="29" t="n"/>
      <c r="S1056" s="23" t="n"/>
      <c r="T1056" s="30" t="n"/>
      <c r="U1056" s="35" t="inlineStr">
        <is>
          <t>要調査</t>
        </is>
      </c>
      <c r="V1056" s="32" t="inlineStr">
        <is>
          <t>【閉校】2023年3月31日に閉校。閉校前の代表は0743-63-1511。架電対象外</t>
        </is>
      </c>
      <c r="W1056" s="33" t="inlineStr">
        <is>
          <t>開く</t>
        </is>
      </c>
    </row>
    <row r="1057" ht="30" customHeight="1">
      <c r="A1057" s="23" t="inlineStr">
        <is>
          <t>29奈良県</t>
        </is>
      </c>
      <c r="B1057" s="23" t="inlineStr">
        <is>
          <t>私立</t>
        </is>
      </c>
      <c r="C1057" s="23" t="n"/>
      <c r="D1057" s="23" t="inlineStr">
        <is>
          <t>天理高等学校</t>
        </is>
      </c>
      <c r="E1057" s="24" t="inlineStr">
        <is>
          <t>0743-63-7691</t>
        </is>
      </c>
      <c r="F1057" s="23" t="n"/>
      <c r="G1057" s="25" t="inlineStr">
        <is>
          <t>普通科</t>
        </is>
      </c>
      <c r="H1057" s="26" t="inlineStr">
        <is>
          <t>☐</t>
        </is>
      </c>
      <c r="I1057" s="26" t="inlineStr">
        <is>
          <t>☐</t>
        </is>
      </c>
      <c r="J1057" s="26" t="inlineStr">
        <is>
          <t>☐</t>
        </is>
      </c>
      <c r="K1057" s="26" t="inlineStr">
        <is>
          <t>☐</t>
        </is>
      </c>
      <c r="L1057" s="26" t="inlineStr">
        <is>
          <t>☐</t>
        </is>
      </c>
      <c r="M1057" s="25" t="n"/>
      <c r="N1057" s="27" t="n">
        <v>0</v>
      </c>
      <c r="O1057" s="28" t="n"/>
      <c r="P1057" s="23" t="n"/>
      <c r="Q1057" s="29" t="n"/>
      <c r="R1057" s="29" t="n"/>
      <c r="S1057" s="23" t="n"/>
      <c r="T1057" s="30" t="n"/>
      <c r="U1057" s="31" t="inlineStr">
        <is>
          <t>高</t>
        </is>
      </c>
      <c r="V1057" s="32" t="inlineStr">
        <is>
          <t>全日制（第一部）の番号。定時制（第二部）は0743-63-7682</t>
        </is>
      </c>
      <c r="W1057" s="33" t="inlineStr">
        <is>
          <t>開く</t>
        </is>
      </c>
    </row>
    <row r="1058" ht="30" customHeight="1">
      <c r="A1058" s="23" t="inlineStr">
        <is>
          <t>29奈良県</t>
        </is>
      </c>
      <c r="B1058" s="23" t="inlineStr">
        <is>
          <t>私立</t>
        </is>
      </c>
      <c r="C1058" s="23" t="n"/>
      <c r="D1058" s="23" t="inlineStr">
        <is>
          <t>東大寺学園高等学校</t>
        </is>
      </c>
      <c r="E1058" s="24" t="inlineStr">
        <is>
          <t>0742-47-5511</t>
        </is>
      </c>
      <c r="F1058" s="23" t="n"/>
      <c r="G1058" s="25" t="inlineStr">
        <is>
          <t>普通科</t>
        </is>
      </c>
      <c r="H1058" s="26" t="inlineStr">
        <is>
          <t>☐</t>
        </is>
      </c>
      <c r="I1058" s="26" t="inlineStr">
        <is>
          <t>☐</t>
        </is>
      </c>
      <c r="J1058" s="26" t="inlineStr">
        <is>
          <t>☐</t>
        </is>
      </c>
      <c r="K1058" s="26" t="inlineStr">
        <is>
          <t>☐</t>
        </is>
      </c>
      <c r="L1058" s="26" t="inlineStr">
        <is>
          <t>☐</t>
        </is>
      </c>
      <c r="M1058" s="25" t="n"/>
      <c r="N1058" s="27" t="n">
        <v>0</v>
      </c>
      <c r="O1058" s="28" t="n"/>
      <c r="P1058" s="23" t="n"/>
      <c r="Q1058" s="29" t="n"/>
      <c r="R1058" s="29" t="n"/>
      <c r="S1058" s="23" t="n"/>
      <c r="T1058" s="30" t="n"/>
      <c r="U1058" s="31" t="inlineStr">
        <is>
          <t>高</t>
        </is>
      </c>
      <c r="V1058" s="32" t="inlineStr">
        <is>
          <t>中高共通番号</t>
        </is>
      </c>
      <c r="W1058" s="33" t="inlineStr">
        <is>
          <t>開く</t>
        </is>
      </c>
    </row>
    <row r="1059" ht="30" customHeight="1">
      <c r="A1059" s="23" t="inlineStr">
        <is>
          <t>29奈良県</t>
        </is>
      </c>
      <c r="B1059" s="23" t="inlineStr">
        <is>
          <t>私立</t>
        </is>
      </c>
      <c r="C1059" s="23" t="n"/>
      <c r="D1059" s="23" t="inlineStr">
        <is>
          <t>奈良育英高等学校</t>
        </is>
      </c>
      <c r="E1059" s="24" t="inlineStr">
        <is>
          <t>0742-26-2845</t>
        </is>
      </c>
      <c r="F1059" s="23" t="n"/>
      <c r="G1059" s="25" t="inlineStr">
        <is>
          <t>普通科</t>
        </is>
      </c>
      <c r="H1059" s="26" t="inlineStr">
        <is>
          <t>☐</t>
        </is>
      </c>
      <c r="I1059" s="26" t="inlineStr">
        <is>
          <t>☐</t>
        </is>
      </c>
      <c r="J1059" s="26" t="inlineStr">
        <is>
          <t>☐</t>
        </is>
      </c>
      <c r="K1059" s="26" t="inlineStr">
        <is>
          <t>☐</t>
        </is>
      </c>
      <c r="L1059" s="26" t="inlineStr">
        <is>
          <t>☐</t>
        </is>
      </c>
      <c r="M1059" s="25" t="n"/>
      <c r="N1059" s="27" t="n">
        <v>0</v>
      </c>
      <c r="O1059" s="28" t="n"/>
      <c r="P1059" s="23" t="n"/>
      <c r="Q1059" s="29" t="n"/>
      <c r="R1059" s="29" t="n"/>
      <c r="S1059" s="23" t="n"/>
      <c r="T1059" s="30" t="n"/>
      <c r="U1059" s="31" t="inlineStr">
        <is>
          <t>高</t>
        </is>
      </c>
      <c r="V1059" s="32" t="inlineStr">
        <is>
          <t>中高共通番号</t>
        </is>
      </c>
      <c r="W1059" s="33" t="inlineStr">
        <is>
          <t>開く</t>
        </is>
      </c>
    </row>
    <row r="1060" ht="30" customHeight="1">
      <c r="A1060" s="23" t="inlineStr">
        <is>
          <t>29奈良県</t>
        </is>
      </c>
      <c r="B1060" s="23" t="inlineStr">
        <is>
          <t>私立</t>
        </is>
      </c>
      <c r="C1060" s="23" t="n"/>
      <c r="D1060" s="23" t="inlineStr">
        <is>
          <t>奈良学園高等学校</t>
        </is>
      </c>
      <c r="E1060" s="24" t="inlineStr">
        <is>
          <t>0743-54-0351</t>
        </is>
      </c>
      <c r="F1060" s="23" t="n"/>
      <c r="G1060" s="25" t="inlineStr">
        <is>
          <t>普通科</t>
        </is>
      </c>
      <c r="H1060" s="26" t="inlineStr">
        <is>
          <t>☐</t>
        </is>
      </c>
      <c r="I1060" s="26" t="inlineStr">
        <is>
          <t>☐</t>
        </is>
      </c>
      <c r="J1060" s="26" t="inlineStr">
        <is>
          <t>☐</t>
        </is>
      </c>
      <c r="K1060" s="26" t="inlineStr">
        <is>
          <t>☐</t>
        </is>
      </c>
      <c r="L1060" s="26" t="inlineStr">
        <is>
          <t>☐</t>
        </is>
      </c>
      <c r="M1060" s="25" t="n"/>
      <c r="N1060" s="27" t="n">
        <v>0</v>
      </c>
      <c r="O1060" s="28" t="n"/>
      <c r="P1060" s="23" t="n"/>
      <c r="Q1060" s="29" t="n"/>
      <c r="R1060" s="29" t="n"/>
      <c r="S1060" s="23" t="n"/>
      <c r="T1060" s="30" t="n"/>
      <c r="U1060" s="31" t="inlineStr">
        <is>
          <t>高</t>
        </is>
      </c>
      <c r="V1060" s="32" t="inlineStr">
        <is>
          <t>中高共通番号</t>
        </is>
      </c>
      <c r="W1060" s="33" t="inlineStr">
        <is>
          <t>開く</t>
        </is>
      </c>
    </row>
    <row r="1061" ht="30" customHeight="1">
      <c r="A1061" s="23" t="inlineStr">
        <is>
          <t>29奈良県</t>
        </is>
      </c>
      <c r="B1061" s="23" t="inlineStr">
        <is>
          <t>私立</t>
        </is>
      </c>
      <c r="C1061" s="23" t="n"/>
      <c r="D1061" s="23" t="inlineStr">
        <is>
          <t>奈良学園登美ヶ丘高等学校</t>
        </is>
      </c>
      <c r="E1061" s="24" t="inlineStr">
        <is>
          <t>0742-93-5111</t>
        </is>
      </c>
      <c r="F1061" s="23" t="n"/>
      <c r="G1061" s="25" t="inlineStr">
        <is>
          <t>普通科</t>
        </is>
      </c>
      <c r="H1061" s="26" t="inlineStr">
        <is>
          <t>☐</t>
        </is>
      </c>
      <c r="I1061" s="26" t="inlineStr">
        <is>
          <t>☐</t>
        </is>
      </c>
      <c r="J1061" s="26" t="inlineStr">
        <is>
          <t>☐</t>
        </is>
      </c>
      <c r="K1061" s="26" t="inlineStr">
        <is>
          <t>☐</t>
        </is>
      </c>
      <c r="L1061" s="26" t="inlineStr">
        <is>
          <t>☐</t>
        </is>
      </c>
      <c r="M1061" s="25" t="n"/>
      <c r="N1061" s="27" t="n">
        <v>0</v>
      </c>
      <c r="O1061" s="28" t="n"/>
      <c r="P1061" s="23" t="n"/>
      <c r="Q1061" s="29" t="n"/>
      <c r="R1061" s="29" t="n"/>
      <c r="S1061" s="23" t="n"/>
      <c r="T1061" s="30" t="n"/>
      <c r="U1061" s="31" t="inlineStr">
        <is>
          <t>高</t>
        </is>
      </c>
      <c r="V1061" s="32" t="inlineStr">
        <is>
          <t>代表番号。地図サイトに0742-93-5500の記載あり</t>
        </is>
      </c>
      <c r="W1061" s="33" t="inlineStr">
        <is>
          <t>開く</t>
        </is>
      </c>
    </row>
    <row r="1062" ht="30" customHeight="1">
      <c r="A1062" s="23" t="inlineStr">
        <is>
          <t>29奈良県</t>
        </is>
      </c>
      <c r="B1062" s="23" t="inlineStr">
        <is>
          <t>私立</t>
        </is>
      </c>
      <c r="C1062" s="23" t="n"/>
      <c r="D1062" s="23" t="inlineStr">
        <is>
          <t>奈良女子高等学校</t>
        </is>
      </c>
      <c r="E1062" s="24" t="inlineStr">
        <is>
          <t>0742-33-3601</t>
        </is>
      </c>
      <c r="F1062" s="23" t="n"/>
      <c r="G1062" s="25" t="inlineStr">
        <is>
          <t>普通科</t>
        </is>
      </c>
      <c r="H1062" s="26" t="inlineStr">
        <is>
          <t>☐</t>
        </is>
      </c>
      <c r="I1062" s="26" t="inlineStr">
        <is>
          <t>☐</t>
        </is>
      </c>
      <c r="J1062" s="26" t="inlineStr">
        <is>
          <t>☐</t>
        </is>
      </c>
      <c r="K1062" s="26" t="inlineStr">
        <is>
          <t>☐</t>
        </is>
      </c>
      <c r="L1062" s="26" t="inlineStr">
        <is>
          <t>☐</t>
        </is>
      </c>
      <c r="M1062" s="25" t="n"/>
      <c r="N1062" s="27" t="n">
        <v>0</v>
      </c>
      <c r="O1062" s="28" t="n"/>
      <c r="P1062" s="23" t="n"/>
      <c r="Q1062" s="29" t="n"/>
      <c r="R1062" s="29" t="n"/>
      <c r="S1062" s="23" t="n"/>
      <c r="T1062" s="30" t="n"/>
      <c r="U1062" s="31" t="inlineStr">
        <is>
          <t>高</t>
        </is>
      </c>
      <c r="V1062" s="32" t="inlineStr">
        <is>
          <t>白藤学園。通信制課程も同じ番号</t>
        </is>
      </c>
      <c r="W1062" s="33" t="inlineStr">
        <is>
          <t>開く</t>
        </is>
      </c>
    </row>
    <row r="1063" ht="30" customHeight="1">
      <c r="A1063" s="23" t="inlineStr">
        <is>
          <t>29奈良県</t>
        </is>
      </c>
      <c r="B1063" s="23" t="inlineStr">
        <is>
          <t>私立</t>
        </is>
      </c>
      <c r="C1063" s="23" t="n"/>
      <c r="D1063" s="23" t="inlineStr">
        <is>
          <t>奈良大学附属高等学校</t>
        </is>
      </c>
      <c r="E1063" s="24" t="inlineStr">
        <is>
          <t>0742-41-8840</t>
        </is>
      </c>
      <c r="F1063" s="23" t="n"/>
      <c r="G1063" s="25" t="inlineStr">
        <is>
          <t>普通科</t>
        </is>
      </c>
      <c r="H1063" s="26" t="inlineStr">
        <is>
          <t>☐</t>
        </is>
      </c>
      <c r="I1063" s="26" t="inlineStr">
        <is>
          <t>☐</t>
        </is>
      </c>
      <c r="J1063" s="26" t="inlineStr">
        <is>
          <t>☐</t>
        </is>
      </c>
      <c r="K1063" s="26" t="inlineStr">
        <is>
          <t>☐</t>
        </is>
      </c>
      <c r="L1063" s="26" t="inlineStr">
        <is>
          <t>☐</t>
        </is>
      </c>
      <c r="M1063" s="25" t="n"/>
      <c r="N1063" s="27" t="n">
        <v>0</v>
      </c>
      <c r="O1063" s="28" t="n"/>
      <c r="P1063" s="23" t="n"/>
      <c r="Q1063" s="29" t="n"/>
      <c r="R1063" s="29" t="n"/>
      <c r="S1063" s="23" t="n"/>
      <c r="T1063" s="30" t="n"/>
      <c r="U1063" s="31" t="inlineStr">
        <is>
          <t>高</t>
        </is>
      </c>
      <c r="V1063" s="32" t="n"/>
      <c r="W1063" s="33" t="inlineStr">
        <is>
          <t>開く</t>
        </is>
      </c>
    </row>
    <row r="1064" ht="30" customHeight="1">
      <c r="A1064" s="23" t="inlineStr">
        <is>
          <t>29奈良県</t>
        </is>
      </c>
      <c r="B1064" s="23" t="inlineStr">
        <is>
          <t>私立</t>
        </is>
      </c>
      <c r="C1064" s="23" t="n"/>
      <c r="D1064" s="23" t="inlineStr">
        <is>
          <t>奈良文化高等学校</t>
        </is>
      </c>
      <c r="E1064" s="24" t="inlineStr">
        <is>
          <t>0745-22-8315</t>
        </is>
      </c>
      <c r="F1064" s="23" t="n"/>
      <c r="G1064" s="25" t="inlineStr">
        <is>
          <t>普通科・専門学科</t>
        </is>
      </c>
      <c r="H1064" s="26" t="inlineStr">
        <is>
          <t>☐</t>
        </is>
      </c>
      <c r="I1064" s="26" t="inlineStr">
        <is>
          <t>☐</t>
        </is>
      </c>
      <c r="J1064" s="26" t="inlineStr">
        <is>
          <t>☐</t>
        </is>
      </c>
      <c r="K1064" s="26" t="inlineStr">
        <is>
          <t>☐</t>
        </is>
      </c>
      <c r="L1064" s="26" t="inlineStr">
        <is>
          <t>☐</t>
        </is>
      </c>
      <c r="M1064" s="25" t="n"/>
      <c r="N1064" s="27" t="n">
        <v>0</v>
      </c>
      <c r="O1064" s="28" t="n"/>
      <c r="P1064" s="23" t="n"/>
      <c r="Q1064" s="29" t="n"/>
      <c r="R1064" s="29" t="n"/>
      <c r="S1064" s="23" t="n"/>
      <c r="T1064" s="30" t="n"/>
      <c r="U1064" s="31" t="inlineStr">
        <is>
          <t>高</t>
        </is>
      </c>
      <c r="V1064" s="32" t="inlineStr">
        <is>
          <t>法人ページには0745-22-8268も掲載</t>
        </is>
      </c>
      <c r="W1064" s="33" t="inlineStr">
        <is>
          <t>開く</t>
        </is>
      </c>
    </row>
    <row r="1065" ht="30" customHeight="1">
      <c r="A1065" s="23" t="inlineStr">
        <is>
          <t>29奈良県</t>
        </is>
      </c>
      <c r="B1065" s="23" t="inlineStr">
        <is>
          <t>私立</t>
        </is>
      </c>
      <c r="C1065" s="23" t="n"/>
      <c r="D1065" s="23" t="inlineStr">
        <is>
          <t>西大和学園高等学校</t>
        </is>
      </c>
      <c r="E1065" s="24" t="inlineStr">
        <is>
          <t>0745-73-6565</t>
        </is>
      </c>
      <c r="F1065" s="23" t="n"/>
      <c r="G1065" s="25" t="inlineStr">
        <is>
          <t>普通科</t>
        </is>
      </c>
      <c r="H1065" s="26" t="inlineStr">
        <is>
          <t>☐</t>
        </is>
      </c>
      <c r="I1065" s="26" t="inlineStr">
        <is>
          <t>☐</t>
        </is>
      </c>
      <c r="J1065" s="26" t="inlineStr">
        <is>
          <t>☐</t>
        </is>
      </c>
      <c r="K1065" s="26" t="inlineStr">
        <is>
          <t>☐</t>
        </is>
      </c>
      <c r="L1065" s="26" t="inlineStr">
        <is>
          <t>☐</t>
        </is>
      </c>
      <c r="M1065" s="25" t="n"/>
      <c r="N1065" s="27" t="n">
        <v>0</v>
      </c>
      <c r="O1065" s="28" t="n"/>
      <c r="P1065" s="23" t="n"/>
      <c r="Q1065" s="29" t="n"/>
      <c r="R1065" s="29" t="n"/>
      <c r="S1065" s="23" t="n"/>
      <c r="T1065" s="30" t="n"/>
      <c r="U1065" s="31" t="inlineStr">
        <is>
          <t>高</t>
        </is>
      </c>
      <c r="V1065" s="32" t="inlineStr">
        <is>
          <t>中高共通番号</t>
        </is>
      </c>
      <c r="W1065" s="33" t="inlineStr">
        <is>
          <t>開く</t>
        </is>
      </c>
    </row>
    <row r="1066" ht="30" customHeight="1">
      <c r="A1066" s="23" t="inlineStr">
        <is>
          <t>30和歌山県</t>
        </is>
      </c>
      <c r="B1066" s="23" t="inlineStr">
        <is>
          <t>私立</t>
        </is>
      </c>
      <c r="C1066" s="23" t="n"/>
      <c r="D1066" s="23" t="inlineStr">
        <is>
          <t>開智高等学校（和歌山県）</t>
        </is>
      </c>
      <c r="E1066" s="24" t="inlineStr">
        <is>
          <t>073-461-8080</t>
        </is>
      </c>
      <c r="F1066" s="23" t="n"/>
      <c r="G1066" s="25" t="inlineStr">
        <is>
          <t>普通科</t>
        </is>
      </c>
      <c r="H1066" s="26" t="inlineStr">
        <is>
          <t>☐</t>
        </is>
      </c>
      <c r="I1066" s="26" t="inlineStr">
        <is>
          <t>☐</t>
        </is>
      </c>
      <c r="J1066" s="26" t="inlineStr">
        <is>
          <t>☐</t>
        </is>
      </c>
      <c r="K1066" s="26" t="inlineStr">
        <is>
          <t>☐</t>
        </is>
      </c>
      <c r="L1066" s="26" t="inlineStr">
        <is>
          <t>☐</t>
        </is>
      </c>
      <c r="M1066" s="25" t="n"/>
      <c r="N1066" s="27" t="n">
        <v>0</v>
      </c>
      <c r="O1066" s="28" t="n"/>
      <c r="P1066" s="23" t="n"/>
      <c r="Q1066" s="29" t="n"/>
      <c r="R1066" s="29" t="n"/>
      <c r="S1066" s="23" t="n"/>
      <c r="T1066" s="30" t="n"/>
      <c r="U1066" s="31" t="inlineStr">
        <is>
          <t>高</t>
        </is>
      </c>
      <c r="V1066" s="32" t="inlineStr">
        <is>
          <t>中学校併設</t>
        </is>
      </c>
      <c r="W1066" s="33" t="inlineStr">
        <is>
          <t>開く</t>
        </is>
      </c>
    </row>
    <row r="1067" ht="30" customHeight="1">
      <c r="A1067" s="23" t="inlineStr">
        <is>
          <t>30和歌山県</t>
        </is>
      </c>
      <c r="B1067" s="23" t="inlineStr">
        <is>
          <t>私立</t>
        </is>
      </c>
      <c r="C1067" s="23" t="n"/>
      <c r="D1067" s="23" t="inlineStr">
        <is>
          <t>近畿大学附属新宮高等学校</t>
        </is>
      </c>
      <c r="E1067" s="24" t="inlineStr">
        <is>
          <t>0735-22-2005</t>
        </is>
      </c>
      <c r="F1067" s="23" t="n"/>
      <c r="G1067" s="25" t="inlineStr">
        <is>
          <t>普通科</t>
        </is>
      </c>
      <c r="H1067" s="26" t="inlineStr">
        <is>
          <t>☐</t>
        </is>
      </c>
      <c r="I1067" s="26" t="inlineStr">
        <is>
          <t>☐</t>
        </is>
      </c>
      <c r="J1067" s="26" t="inlineStr">
        <is>
          <t>☐</t>
        </is>
      </c>
      <c r="K1067" s="26" t="inlineStr">
        <is>
          <t>☐</t>
        </is>
      </c>
      <c r="L1067" s="26" t="inlineStr">
        <is>
          <t>☐</t>
        </is>
      </c>
      <c r="M1067" s="25" t="n"/>
      <c r="N1067" s="27" t="n">
        <v>0</v>
      </c>
      <c r="O1067" s="28" t="n"/>
      <c r="P1067" s="23" t="n"/>
      <c r="Q1067" s="29" t="n"/>
      <c r="R1067" s="29" t="n"/>
      <c r="S1067" s="23" t="n"/>
      <c r="T1067" s="30" t="n"/>
      <c r="U1067" s="31" t="inlineStr">
        <is>
          <t>高</t>
        </is>
      </c>
      <c r="V1067" s="32" t="inlineStr">
        <is>
          <t>中学校併設</t>
        </is>
      </c>
      <c r="W1067" s="33" t="inlineStr">
        <is>
          <t>開く</t>
        </is>
      </c>
    </row>
    <row r="1068" ht="30" customHeight="1">
      <c r="A1068" s="23" t="inlineStr">
        <is>
          <t>30和歌山県</t>
        </is>
      </c>
      <c r="B1068" s="23" t="inlineStr">
        <is>
          <t>私立</t>
        </is>
      </c>
      <c r="C1068" s="23" t="n"/>
      <c r="D1068" s="23" t="inlineStr">
        <is>
          <t>近畿大学附属和歌山高等学校</t>
        </is>
      </c>
      <c r="E1068" s="24" t="inlineStr">
        <is>
          <t>073-452-1161</t>
        </is>
      </c>
      <c r="F1068" s="23" t="n"/>
      <c r="G1068" s="25" t="inlineStr">
        <is>
          <t>普通科</t>
        </is>
      </c>
      <c r="H1068" s="26" t="inlineStr">
        <is>
          <t>☐</t>
        </is>
      </c>
      <c r="I1068" s="26" t="inlineStr">
        <is>
          <t>☐</t>
        </is>
      </c>
      <c r="J1068" s="26" t="inlineStr">
        <is>
          <t>☐</t>
        </is>
      </c>
      <c r="K1068" s="26" t="inlineStr">
        <is>
          <t>☐</t>
        </is>
      </c>
      <c r="L1068" s="26" t="inlineStr">
        <is>
          <t>☐</t>
        </is>
      </c>
      <c r="M1068" s="25" t="n"/>
      <c r="N1068" s="27" t="n">
        <v>0</v>
      </c>
      <c r="O1068" s="28" t="n"/>
      <c r="P1068" s="23" t="n"/>
      <c r="Q1068" s="29" t="n"/>
      <c r="R1068" s="29" t="n"/>
      <c r="S1068" s="23" t="n"/>
      <c r="T1068" s="30" t="n"/>
      <c r="U1068" s="31" t="inlineStr">
        <is>
          <t>高</t>
        </is>
      </c>
      <c r="V1068" s="32" t="inlineStr">
        <is>
          <t>中学校併設</t>
        </is>
      </c>
      <c r="W1068" s="33" t="inlineStr">
        <is>
          <t>開く</t>
        </is>
      </c>
    </row>
    <row r="1069" ht="30" customHeight="1">
      <c r="A1069" s="23" t="inlineStr">
        <is>
          <t>30和歌山県</t>
        </is>
      </c>
      <c r="B1069" s="23" t="inlineStr">
        <is>
          <t>私立</t>
        </is>
      </c>
      <c r="C1069" s="23" t="n"/>
      <c r="D1069" s="23" t="inlineStr">
        <is>
          <t>慶風高等学校</t>
        </is>
      </c>
      <c r="E1069" s="24" t="inlineStr">
        <is>
          <t>073-498-0100</t>
        </is>
      </c>
      <c r="F1069" s="23" t="n"/>
      <c r="G1069" s="25" t="inlineStr">
        <is>
          <t>普通科</t>
        </is>
      </c>
      <c r="H1069" s="26" t="inlineStr">
        <is>
          <t>☐</t>
        </is>
      </c>
      <c r="I1069" s="26" t="inlineStr">
        <is>
          <t>☐</t>
        </is>
      </c>
      <c r="J1069" s="26" t="inlineStr">
        <is>
          <t>☐</t>
        </is>
      </c>
      <c r="K1069" s="26" t="inlineStr">
        <is>
          <t>☐</t>
        </is>
      </c>
      <c r="L1069" s="26" t="inlineStr">
        <is>
          <t>☐</t>
        </is>
      </c>
      <c r="M1069" s="25" t="n"/>
      <c r="N1069" s="27" t="n">
        <v>0</v>
      </c>
      <c r="O1069" s="28" t="n"/>
      <c r="P1069" s="23" t="n"/>
      <c r="Q1069" s="29" t="n"/>
      <c r="R1069" s="29" t="n"/>
      <c r="S1069" s="23" t="n"/>
      <c r="T1069" s="30" t="n"/>
      <c r="U1069" s="31" t="inlineStr">
        <is>
          <t>高</t>
        </is>
      </c>
      <c r="V1069" s="32" t="inlineStr">
        <is>
          <t>通信制・紀美野町の本校。法人本部（和歌山市）は073-474-2828</t>
        </is>
      </c>
      <c r="W1069" s="33" t="inlineStr">
        <is>
          <t>開く</t>
        </is>
      </c>
    </row>
    <row r="1070" ht="30" customHeight="1">
      <c r="A1070" s="23" t="inlineStr">
        <is>
          <t>30和歌山県</t>
        </is>
      </c>
      <c r="B1070" s="23" t="inlineStr">
        <is>
          <t>私立</t>
        </is>
      </c>
      <c r="C1070" s="23" t="n"/>
      <c r="D1070" s="23" t="inlineStr">
        <is>
          <t>高野山高等学校</t>
        </is>
      </c>
      <c r="E1070" s="24" t="inlineStr">
        <is>
          <t>0736-56-2204</t>
        </is>
      </c>
      <c r="F1070" s="23" t="n"/>
      <c r="G1070" s="25" t="inlineStr">
        <is>
          <t>普通科・専門学科</t>
        </is>
      </c>
      <c r="H1070" s="26" t="inlineStr">
        <is>
          <t>☐</t>
        </is>
      </c>
      <c r="I1070" s="26" t="inlineStr">
        <is>
          <t>☐</t>
        </is>
      </c>
      <c r="J1070" s="26" t="inlineStr">
        <is>
          <t>☐</t>
        </is>
      </c>
      <c r="K1070" s="26" t="inlineStr">
        <is>
          <t>☐</t>
        </is>
      </c>
      <c r="L1070" s="26" t="inlineStr">
        <is>
          <t>☐</t>
        </is>
      </c>
      <c r="M1070" s="25" t="n"/>
      <c r="N1070" s="27" t="n">
        <v>0</v>
      </c>
      <c r="O1070" s="28" t="n"/>
      <c r="P1070" s="23" t="n"/>
      <c r="Q1070" s="29" t="n"/>
      <c r="R1070" s="29" t="n"/>
      <c r="S1070" s="23" t="n"/>
      <c r="T1070" s="30" t="n"/>
      <c r="U1070" s="31" t="inlineStr">
        <is>
          <t>高</t>
        </is>
      </c>
      <c r="V1070" s="32" t="n"/>
      <c r="W1070" s="33" t="inlineStr">
        <is>
          <t>開く</t>
        </is>
      </c>
    </row>
    <row r="1071" ht="30" customHeight="1">
      <c r="A1071" s="23" t="inlineStr">
        <is>
          <t>30和歌山県</t>
        </is>
      </c>
      <c r="B1071" s="23" t="inlineStr">
        <is>
          <t>私立</t>
        </is>
      </c>
      <c r="C1071" s="23" t="n"/>
      <c r="D1071" s="23" t="inlineStr">
        <is>
          <t>智辯学園和歌山高等学校</t>
        </is>
      </c>
      <c r="E1071" s="24" t="inlineStr">
        <is>
          <t>073-479-2811</t>
        </is>
      </c>
      <c r="F1071" s="23" t="n"/>
      <c r="G1071" s="25" t="inlineStr">
        <is>
          <t>普通科</t>
        </is>
      </c>
      <c r="H1071" s="26" t="inlineStr">
        <is>
          <t>☐</t>
        </is>
      </c>
      <c r="I1071" s="26" t="inlineStr">
        <is>
          <t>☐</t>
        </is>
      </c>
      <c r="J1071" s="26" t="inlineStr">
        <is>
          <t>☐</t>
        </is>
      </c>
      <c r="K1071" s="26" t="inlineStr">
        <is>
          <t>☐</t>
        </is>
      </c>
      <c r="L1071" s="26" t="inlineStr">
        <is>
          <t>☐</t>
        </is>
      </c>
      <c r="M1071" s="25" t="n"/>
      <c r="N1071" s="27" t="n">
        <v>0</v>
      </c>
      <c r="O1071" s="28" t="n"/>
      <c r="P1071" s="23" t="n"/>
      <c r="Q1071" s="29" t="n"/>
      <c r="R1071" s="29" t="n"/>
      <c r="S1071" s="23" t="n"/>
      <c r="T1071" s="30" t="n"/>
      <c r="U1071" s="31" t="inlineStr">
        <is>
          <t>高</t>
        </is>
      </c>
      <c r="V1071" s="32" t="inlineStr">
        <is>
          <t>中学校併設</t>
        </is>
      </c>
      <c r="W1071" s="33" t="inlineStr">
        <is>
          <t>開く</t>
        </is>
      </c>
    </row>
    <row r="1072" ht="30" customHeight="1">
      <c r="A1072" s="23" t="inlineStr">
        <is>
          <t>30和歌山県</t>
        </is>
      </c>
      <c r="B1072" s="23" t="inlineStr">
        <is>
          <t>私立</t>
        </is>
      </c>
      <c r="C1072" s="23" t="n"/>
      <c r="D1072" s="23" t="inlineStr">
        <is>
          <t>初芝橋本高等学校</t>
        </is>
      </c>
      <c r="E1072" s="24" t="inlineStr">
        <is>
          <t>0736-37-5600</t>
        </is>
      </c>
      <c r="F1072" s="23" t="n"/>
      <c r="G1072" s="25" t="inlineStr">
        <is>
          <t>普通科</t>
        </is>
      </c>
      <c r="H1072" s="26" t="inlineStr">
        <is>
          <t>☐</t>
        </is>
      </c>
      <c r="I1072" s="26" t="inlineStr">
        <is>
          <t>☐</t>
        </is>
      </c>
      <c r="J1072" s="26" t="inlineStr">
        <is>
          <t>☐</t>
        </is>
      </c>
      <c r="K1072" s="26" t="inlineStr">
        <is>
          <t>☐</t>
        </is>
      </c>
      <c r="L1072" s="26" t="inlineStr">
        <is>
          <t>☐</t>
        </is>
      </c>
      <c r="M1072" s="25" t="n"/>
      <c r="N1072" s="27" t="n">
        <v>0</v>
      </c>
      <c r="O1072" s="28" t="n"/>
      <c r="P1072" s="23" t="n"/>
      <c r="Q1072" s="29" t="n"/>
      <c r="R1072" s="29" t="n"/>
      <c r="S1072" s="23" t="n"/>
      <c r="T1072" s="30" t="n"/>
      <c r="U1072" s="31" t="inlineStr">
        <is>
          <t>高</t>
        </is>
      </c>
      <c r="V1072" s="32" t="inlineStr">
        <is>
          <t>2025年4月に運営法人が利晶学園へ改称（校名は変更なし）</t>
        </is>
      </c>
      <c r="W1072" s="33" t="inlineStr">
        <is>
          <t>開く</t>
        </is>
      </c>
    </row>
    <row r="1073" ht="30" customHeight="1">
      <c r="A1073" s="23" t="inlineStr">
        <is>
          <t>30和歌山県</t>
        </is>
      </c>
      <c r="B1073" s="23" t="inlineStr">
        <is>
          <t>私立</t>
        </is>
      </c>
      <c r="C1073" s="23" t="n"/>
      <c r="D1073" s="23" t="inlineStr">
        <is>
          <t>和歌山信愛高等学校</t>
        </is>
      </c>
      <c r="E1073" s="24" t="inlineStr">
        <is>
          <t>073-424-1141</t>
        </is>
      </c>
      <c r="F1073" s="23" t="n"/>
      <c r="G1073" s="25" t="inlineStr">
        <is>
          <t>普通科</t>
        </is>
      </c>
      <c r="H1073" s="26" t="inlineStr">
        <is>
          <t>☐</t>
        </is>
      </c>
      <c r="I1073" s="26" t="inlineStr">
        <is>
          <t>☐</t>
        </is>
      </c>
      <c r="J1073" s="26" t="inlineStr">
        <is>
          <t>☐</t>
        </is>
      </c>
      <c r="K1073" s="26" t="inlineStr">
        <is>
          <t>☐</t>
        </is>
      </c>
      <c r="L1073" s="26" t="inlineStr">
        <is>
          <t>☐</t>
        </is>
      </c>
      <c r="M1073" s="25" t="n"/>
      <c r="N1073" s="27" t="n">
        <v>0</v>
      </c>
      <c r="O1073" s="28" t="n"/>
      <c r="P1073" s="23" t="n"/>
      <c r="Q1073" s="29" t="n"/>
      <c r="R1073" s="29" t="n"/>
      <c r="S1073" s="23" t="n"/>
      <c r="T1073" s="30" t="n"/>
      <c r="U1073" s="31" t="inlineStr">
        <is>
          <t>高</t>
        </is>
      </c>
      <c r="V1073" s="32" t="inlineStr">
        <is>
          <t>中学校併設</t>
        </is>
      </c>
      <c r="W1073" s="33" t="inlineStr">
        <is>
          <t>開く</t>
        </is>
      </c>
    </row>
    <row r="1074" ht="30" customHeight="1">
      <c r="A1074" s="23" t="inlineStr">
        <is>
          <t>30和歌山県</t>
        </is>
      </c>
      <c r="B1074" s="23" t="inlineStr">
        <is>
          <t>私立</t>
        </is>
      </c>
      <c r="C1074" s="23" t="n"/>
      <c r="D1074" s="23" t="inlineStr">
        <is>
          <t>和歌山南陵高等学校</t>
        </is>
      </c>
      <c r="E1074" s="24" t="inlineStr">
        <is>
          <t>0738-53-0316</t>
        </is>
      </c>
      <c r="F1074" s="23" t="n"/>
      <c r="G1074" s="25" t="inlineStr">
        <is>
          <t>普通科</t>
        </is>
      </c>
      <c r="H1074" s="26" t="inlineStr">
        <is>
          <t>☐</t>
        </is>
      </c>
      <c r="I1074" s="26" t="inlineStr">
        <is>
          <t>☐</t>
        </is>
      </c>
      <c r="J1074" s="26" t="inlineStr">
        <is>
          <t>☐</t>
        </is>
      </c>
      <c r="K1074" s="26" t="inlineStr">
        <is>
          <t>☐</t>
        </is>
      </c>
      <c r="L1074" s="26" t="inlineStr">
        <is>
          <t>☐</t>
        </is>
      </c>
      <c r="M1074" s="25" t="n"/>
      <c r="N1074" s="27" t="n">
        <v>0</v>
      </c>
      <c r="O1074" s="28" t="n"/>
      <c r="P1074" s="23" t="n"/>
      <c r="Q1074" s="29" t="n"/>
      <c r="R1074" s="29" t="n"/>
      <c r="S1074" s="23" t="n"/>
      <c r="T1074" s="30" t="n"/>
      <c r="U1074" s="31" t="inlineStr">
        <is>
          <t>高</t>
        </is>
      </c>
      <c r="V1074" s="32" t="inlineStr">
        <is>
          <t>経営難で一時募集停止命令→2024年11月解除、募集再開済み</t>
        </is>
      </c>
      <c r="W1074" s="33" t="inlineStr">
        <is>
          <t>開く</t>
        </is>
      </c>
    </row>
    <row r="1075" ht="30" customHeight="1">
      <c r="A1075" s="23" t="inlineStr">
        <is>
          <t>31鳥取県</t>
        </is>
      </c>
      <c r="B1075" s="23" t="inlineStr">
        <is>
          <t>私立</t>
        </is>
      </c>
      <c r="C1075" s="23" t="n"/>
      <c r="D1075" s="23" t="inlineStr">
        <is>
          <t>倉吉北高等学校</t>
        </is>
      </c>
      <c r="E1075" s="24" t="inlineStr">
        <is>
          <t>0858-26-1351</t>
        </is>
      </c>
      <c r="F1075" s="23" t="n"/>
      <c r="G1075" s="25" t="inlineStr">
        <is>
          <t>普通科</t>
        </is>
      </c>
      <c r="H1075" s="26" t="inlineStr">
        <is>
          <t>☐</t>
        </is>
      </c>
      <c r="I1075" s="26" t="inlineStr">
        <is>
          <t>☐</t>
        </is>
      </c>
      <c r="J1075" s="26" t="inlineStr">
        <is>
          <t>☐</t>
        </is>
      </c>
      <c r="K1075" s="26" t="inlineStr">
        <is>
          <t>☐</t>
        </is>
      </c>
      <c r="L1075" s="26" t="inlineStr">
        <is>
          <t>☐</t>
        </is>
      </c>
      <c r="M1075" s="25" t="n"/>
      <c r="N1075" s="27" t="n">
        <v>0</v>
      </c>
      <c r="O1075" s="28" t="n"/>
      <c r="P1075" s="23" t="n"/>
      <c r="Q1075" s="29" t="n"/>
      <c r="R1075" s="29" t="n"/>
      <c r="S1075" s="23" t="n"/>
      <c r="T1075" s="30" t="n"/>
      <c r="U1075" s="31" t="inlineStr">
        <is>
          <t>高</t>
        </is>
      </c>
      <c r="V1075" s="32" t="n"/>
      <c r="W1075" s="33" t="inlineStr">
        <is>
          <t>開く</t>
        </is>
      </c>
    </row>
    <row r="1076" ht="30" customHeight="1">
      <c r="A1076" s="23" t="inlineStr">
        <is>
          <t>31鳥取県</t>
        </is>
      </c>
      <c r="B1076" s="23" t="inlineStr">
        <is>
          <t>私立</t>
        </is>
      </c>
      <c r="C1076" s="23" t="n"/>
      <c r="D1076" s="23" t="inlineStr">
        <is>
          <t>青翔開智高等学校</t>
        </is>
      </c>
      <c r="E1076" s="24" t="inlineStr">
        <is>
          <t>0857-30-5541</t>
        </is>
      </c>
      <c r="F1076" s="23" t="n"/>
      <c r="G1076" s="25" t="inlineStr">
        <is>
          <t>普通科</t>
        </is>
      </c>
      <c r="H1076" s="26" t="inlineStr">
        <is>
          <t>☐</t>
        </is>
      </c>
      <c r="I1076" s="26" t="inlineStr">
        <is>
          <t>☐</t>
        </is>
      </c>
      <c r="J1076" s="26" t="inlineStr">
        <is>
          <t>☐</t>
        </is>
      </c>
      <c r="K1076" s="26" t="inlineStr">
        <is>
          <t>☐</t>
        </is>
      </c>
      <c r="L1076" s="26" t="inlineStr">
        <is>
          <t>☐</t>
        </is>
      </c>
      <c r="M1076" s="25" t="n"/>
      <c r="N1076" s="27" t="n">
        <v>0</v>
      </c>
      <c r="O1076" s="28" t="n"/>
      <c r="P1076" s="23" t="n"/>
      <c r="Q1076" s="29" t="n"/>
      <c r="R1076" s="29" t="n"/>
      <c r="S1076" s="23" t="n"/>
      <c r="T1076" s="30" t="n"/>
      <c r="U1076" s="31" t="inlineStr">
        <is>
          <t>高</t>
        </is>
      </c>
      <c r="V1076" s="32" t="inlineStr">
        <is>
          <t>中高一貫校の代表番号</t>
        </is>
      </c>
      <c r="W1076" s="33" t="inlineStr">
        <is>
          <t>開く</t>
        </is>
      </c>
    </row>
    <row r="1077" ht="30" customHeight="1">
      <c r="A1077" s="23" t="inlineStr">
        <is>
          <t>31鳥取県</t>
        </is>
      </c>
      <c r="B1077" s="23" t="inlineStr">
        <is>
          <t>私立</t>
        </is>
      </c>
      <c r="C1077" s="23" t="n"/>
      <c r="D1077" s="23" t="inlineStr">
        <is>
          <t>鳥取敬愛高等学校</t>
        </is>
      </c>
      <c r="E1077" s="24" t="inlineStr">
        <is>
          <t>0857-22-8397</t>
        </is>
      </c>
      <c r="F1077" s="23" t="n"/>
      <c r="G1077" s="25" t="inlineStr">
        <is>
          <t>普通科</t>
        </is>
      </c>
      <c r="H1077" s="26" t="inlineStr">
        <is>
          <t>☐</t>
        </is>
      </c>
      <c r="I1077" s="26" t="inlineStr">
        <is>
          <t>☐</t>
        </is>
      </c>
      <c r="J1077" s="26" t="inlineStr">
        <is>
          <t>☐</t>
        </is>
      </c>
      <c r="K1077" s="26" t="inlineStr">
        <is>
          <t>☐</t>
        </is>
      </c>
      <c r="L1077" s="26" t="inlineStr">
        <is>
          <t>☐</t>
        </is>
      </c>
      <c r="M1077" s="25" t="n"/>
      <c r="N1077" s="27" t="n">
        <v>0</v>
      </c>
      <c r="O1077" s="28" t="n"/>
      <c r="P1077" s="23" t="n"/>
      <c r="Q1077" s="29" t="n"/>
      <c r="R1077" s="29" t="n"/>
      <c r="S1077" s="23" t="n"/>
      <c r="T1077" s="30" t="n"/>
      <c r="U1077" s="31" t="inlineStr">
        <is>
          <t>高</t>
        </is>
      </c>
      <c r="V1077" s="32" t="inlineStr">
        <is>
          <t>鳥取県資料でも一致</t>
        </is>
      </c>
      <c r="W1077" s="33" t="inlineStr">
        <is>
          <t>開く</t>
        </is>
      </c>
    </row>
    <row r="1078" ht="30" customHeight="1">
      <c r="A1078" s="23" t="inlineStr">
        <is>
          <t>31鳥取県</t>
        </is>
      </c>
      <c r="B1078" s="23" t="inlineStr">
        <is>
          <t>私立</t>
        </is>
      </c>
      <c r="C1078" s="23" t="n"/>
      <c r="D1078" s="23" t="inlineStr">
        <is>
          <t>鳥取城北高等学校</t>
        </is>
      </c>
      <c r="E1078" s="24" t="inlineStr">
        <is>
          <t>0857-23-3502</t>
        </is>
      </c>
      <c r="F1078" s="23" t="n"/>
      <c r="G1078" s="25" t="inlineStr">
        <is>
          <t>普通科</t>
        </is>
      </c>
      <c r="H1078" s="26" t="inlineStr">
        <is>
          <t>☐</t>
        </is>
      </c>
      <c r="I1078" s="26" t="inlineStr">
        <is>
          <t>☐</t>
        </is>
      </c>
      <c r="J1078" s="26" t="inlineStr">
        <is>
          <t>☐</t>
        </is>
      </c>
      <c r="K1078" s="26" t="inlineStr">
        <is>
          <t>☐</t>
        </is>
      </c>
      <c r="L1078" s="26" t="inlineStr">
        <is>
          <t>☐</t>
        </is>
      </c>
      <c r="M1078" s="25" t="n"/>
      <c r="N1078" s="27" t="n">
        <v>0</v>
      </c>
      <c r="O1078" s="28" t="n"/>
      <c r="P1078" s="23" t="n"/>
      <c r="Q1078" s="29" t="n"/>
      <c r="R1078" s="29" t="n"/>
      <c r="S1078" s="23" t="n"/>
      <c r="T1078" s="30" t="n"/>
      <c r="U1078" s="31" t="inlineStr">
        <is>
          <t>高</t>
        </is>
      </c>
      <c r="V1078" s="32" t="inlineStr">
        <is>
          <t>鳥取県資料でも一致</t>
        </is>
      </c>
      <c r="W1078" s="33" t="inlineStr">
        <is>
          <t>開く</t>
        </is>
      </c>
    </row>
    <row r="1079" ht="30" customHeight="1">
      <c r="A1079" s="23" t="inlineStr">
        <is>
          <t>31鳥取県</t>
        </is>
      </c>
      <c r="B1079" s="23" t="inlineStr">
        <is>
          <t>私立</t>
        </is>
      </c>
      <c r="C1079" s="23" t="n"/>
      <c r="D1079" s="23" t="inlineStr">
        <is>
          <t>湯梨浜学園高等学校</t>
        </is>
      </c>
      <c r="E1079" s="24" t="inlineStr">
        <is>
          <t>0858-48-6810</t>
        </is>
      </c>
      <c r="F1079" s="23" t="n"/>
      <c r="G1079" s="25" t="inlineStr">
        <is>
          <t>普通科</t>
        </is>
      </c>
      <c r="H1079" s="26" t="inlineStr">
        <is>
          <t>☐</t>
        </is>
      </c>
      <c r="I1079" s="26" t="inlineStr">
        <is>
          <t>☐</t>
        </is>
      </c>
      <c r="J1079" s="26" t="inlineStr">
        <is>
          <t>☐</t>
        </is>
      </c>
      <c r="K1079" s="26" t="inlineStr">
        <is>
          <t>☐</t>
        </is>
      </c>
      <c r="L1079" s="26" t="inlineStr">
        <is>
          <t>☐</t>
        </is>
      </c>
      <c r="M1079" s="25" t="n"/>
      <c r="N1079" s="27" t="n">
        <v>0</v>
      </c>
      <c r="O1079" s="28" t="n"/>
      <c r="P1079" s="23" t="n"/>
      <c r="Q1079" s="29" t="n"/>
      <c r="R1079" s="29" t="n"/>
      <c r="S1079" s="23" t="n"/>
      <c r="T1079" s="30" t="n"/>
      <c r="U1079" s="31" t="inlineStr">
        <is>
          <t>高</t>
        </is>
      </c>
      <c r="V1079" s="32" t="inlineStr">
        <is>
          <t>中高の代表番号。通信制課程の窓口は0858-32-2777</t>
        </is>
      </c>
      <c r="W1079" s="33" t="inlineStr">
        <is>
          <t>開く</t>
        </is>
      </c>
    </row>
    <row r="1080" ht="30" customHeight="1">
      <c r="A1080" s="23" t="inlineStr">
        <is>
          <t>31鳥取県</t>
        </is>
      </c>
      <c r="B1080" s="23" t="inlineStr">
        <is>
          <t>私立</t>
        </is>
      </c>
      <c r="C1080" s="23" t="n"/>
      <c r="D1080" s="23" t="inlineStr">
        <is>
          <t>米子北高等学校</t>
        </is>
      </c>
      <c r="E1080" s="24" t="inlineStr">
        <is>
          <t>0859-22-9371</t>
        </is>
      </c>
      <c r="F1080" s="23" t="n"/>
      <c r="G1080" s="25" t="inlineStr">
        <is>
          <t>普通科・専門学科</t>
        </is>
      </c>
      <c r="H1080" s="26" t="inlineStr">
        <is>
          <t>☐</t>
        </is>
      </c>
      <c r="I1080" s="26" t="inlineStr">
        <is>
          <t>☐</t>
        </is>
      </c>
      <c r="J1080" s="26" t="inlineStr">
        <is>
          <t>☐</t>
        </is>
      </c>
      <c r="K1080" s="26" t="inlineStr">
        <is>
          <t>☐</t>
        </is>
      </c>
      <c r="L1080" s="26" t="inlineStr">
        <is>
          <t>☐</t>
        </is>
      </c>
      <c r="M1080" s="25" t="n"/>
      <c r="N1080" s="27" t="n">
        <v>0</v>
      </c>
      <c r="O1080" s="28" t="n"/>
      <c r="P1080" s="23" t="n"/>
      <c r="Q1080" s="29" t="n"/>
      <c r="R1080" s="29" t="n"/>
      <c r="S1080" s="23" t="n"/>
      <c r="T1080" s="30" t="n"/>
      <c r="U1080" s="31" t="inlineStr">
        <is>
          <t>高</t>
        </is>
      </c>
      <c r="V1080" s="32" t="inlineStr">
        <is>
          <t>鳥取県資料でも一致</t>
        </is>
      </c>
      <c r="W1080" s="33" t="inlineStr">
        <is>
          <t>開く</t>
        </is>
      </c>
    </row>
    <row r="1081" ht="30" customHeight="1">
      <c r="A1081" s="23" t="inlineStr">
        <is>
          <t>31鳥取県</t>
        </is>
      </c>
      <c r="B1081" s="23" t="inlineStr">
        <is>
          <t>私立</t>
        </is>
      </c>
      <c r="C1081" s="23" t="n"/>
      <c r="D1081" s="23" t="inlineStr">
        <is>
          <t>米子松蔭高等学校</t>
        </is>
      </c>
      <c r="E1081" s="24" t="inlineStr">
        <is>
          <t>0859-27-0421</t>
        </is>
      </c>
      <c r="F1081" s="23" t="n"/>
      <c r="G1081" s="25" t="inlineStr">
        <is>
          <t>普通科</t>
        </is>
      </c>
      <c r="H1081" s="26" t="inlineStr">
        <is>
          <t>☐</t>
        </is>
      </c>
      <c r="I1081" s="26" t="inlineStr">
        <is>
          <t>☐</t>
        </is>
      </c>
      <c r="J1081" s="26" t="inlineStr">
        <is>
          <t>☐</t>
        </is>
      </c>
      <c r="K1081" s="26" t="inlineStr">
        <is>
          <t>☐</t>
        </is>
      </c>
      <c r="L1081" s="26" t="inlineStr">
        <is>
          <t>☐</t>
        </is>
      </c>
      <c r="M1081" s="25" t="n"/>
      <c r="N1081" s="27" t="n">
        <v>0</v>
      </c>
      <c r="O1081" s="28" t="n"/>
      <c r="P1081" s="23" t="n"/>
      <c r="Q1081" s="29" t="n"/>
      <c r="R1081" s="29" t="n"/>
      <c r="S1081" s="23" t="n"/>
      <c r="T1081" s="30" t="n"/>
      <c r="U1081" s="31" t="inlineStr">
        <is>
          <t>高</t>
        </is>
      </c>
      <c r="V1081" s="32" t="n"/>
      <c r="W1081" s="33" t="inlineStr">
        <is>
          <t>開く</t>
        </is>
      </c>
    </row>
    <row r="1082" ht="30" customHeight="1">
      <c r="A1082" s="23" t="inlineStr">
        <is>
          <t>31鳥取県</t>
        </is>
      </c>
      <c r="B1082" s="23" t="inlineStr">
        <is>
          <t>私立</t>
        </is>
      </c>
      <c r="C1082" s="23" t="n"/>
      <c r="D1082" s="23" t="inlineStr">
        <is>
          <t>米子北斗高等学校</t>
        </is>
      </c>
      <c r="E1082" s="24" t="inlineStr">
        <is>
          <t>0859-29-6000</t>
        </is>
      </c>
      <c r="F1082" s="23" t="n"/>
      <c r="G1082" s="25" t="inlineStr">
        <is>
          <t>普通科</t>
        </is>
      </c>
      <c r="H1082" s="26" t="inlineStr">
        <is>
          <t>☐</t>
        </is>
      </c>
      <c r="I1082" s="26" t="inlineStr">
        <is>
          <t>☐</t>
        </is>
      </c>
      <c r="J1082" s="26" t="inlineStr">
        <is>
          <t>☐</t>
        </is>
      </c>
      <c r="K1082" s="26" t="inlineStr">
        <is>
          <t>☐</t>
        </is>
      </c>
      <c r="L1082" s="26" t="inlineStr">
        <is>
          <t>☐</t>
        </is>
      </c>
      <c r="M1082" s="25" t="n"/>
      <c r="N1082" s="27" t="n">
        <v>0</v>
      </c>
      <c r="O1082" s="28" t="n"/>
      <c r="P1082" s="23" t="n"/>
      <c r="Q1082" s="29" t="n"/>
      <c r="R1082" s="29" t="n"/>
      <c r="S1082" s="23" t="n"/>
      <c r="T1082" s="30" t="n"/>
      <c r="U1082" s="34" t="inlineStr">
        <is>
          <t>中</t>
        </is>
      </c>
      <c r="V1082" s="32" t="inlineStr">
        <is>
          <t>公式未確認、複数サイトで一致</t>
        </is>
      </c>
      <c r="W1082" s="33" t="inlineStr">
        <is>
          <t>開く</t>
        </is>
      </c>
    </row>
    <row r="1083" ht="30" customHeight="1">
      <c r="A1083" s="23" t="inlineStr">
        <is>
          <t>32島根県</t>
        </is>
      </c>
      <c r="B1083" s="23" t="inlineStr">
        <is>
          <t>私立</t>
        </is>
      </c>
      <c r="C1083" s="23" t="n"/>
      <c r="D1083" s="23" t="inlineStr">
        <is>
          <t>出雲西高等学校</t>
        </is>
      </c>
      <c r="E1083" s="24" t="inlineStr">
        <is>
          <t>0853-21-1183</t>
        </is>
      </c>
      <c r="F1083" s="23" t="n"/>
      <c r="G1083" s="25" t="inlineStr">
        <is>
          <t>普通科</t>
        </is>
      </c>
      <c r="H1083" s="26" t="inlineStr">
        <is>
          <t>☐</t>
        </is>
      </c>
      <c r="I1083" s="26" t="inlineStr">
        <is>
          <t>☐</t>
        </is>
      </c>
      <c r="J1083" s="26" t="inlineStr">
        <is>
          <t>☐</t>
        </is>
      </c>
      <c r="K1083" s="26" t="inlineStr">
        <is>
          <t>☐</t>
        </is>
      </c>
      <c r="L1083" s="26" t="inlineStr">
        <is>
          <t>☐</t>
        </is>
      </c>
      <c r="M1083" s="25" t="n"/>
      <c r="N1083" s="27" t="n">
        <v>0</v>
      </c>
      <c r="O1083" s="28" t="n"/>
      <c r="P1083" s="23" t="n"/>
      <c r="Q1083" s="29" t="n"/>
      <c r="R1083" s="29" t="n"/>
      <c r="S1083" s="23" t="n"/>
      <c r="T1083" s="30" t="n"/>
      <c r="U1083" s="31" t="inlineStr">
        <is>
          <t>高</t>
        </is>
      </c>
      <c r="V1083" s="32" t="n"/>
      <c r="W1083" s="33" t="inlineStr">
        <is>
          <t>開く</t>
        </is>
      </c>
    </row>
    <row r="1084" ht="30" customHeight="1">
      <c r="A1084" s="23" t="inlineStr">
        <is>
          <t>32島根県</t>
        </is>
      </c>
      <c r="B1084" s="23" t="inlineStr">
        <is>
          <t>私立</t>
        </is>
      </c>
      <c r="C1084" s="23" t="n"/>
      <c r="D1084" s="23" t="inlineStr">
        <is>
          <t>出雲北陵高等学校</t>
        </is>
      </c>
      <c r="E1084" s="24" t="inlineStr">
        <is>
          <t>0853-21-1871</t>
        </is>
      </c>
      <c r="F1084" s="23" t="n"/>
      <c r="G1084" s="25" t="inlineStr">
        <is>
          <t>普通科</t>
        </is>
      </c>
      <c r="H1084" s="26" t="inlineStr">
        <is>
          <t>☐</t>
        </is>
      </c>
      <c r="I1084" s="26" t="inlineStr">
        <is>
          <t>☐</t>
        </is>
      </c>
      <c r="J1084" s="26" t="inlineStr">
        <is>
          <t>☐</t>
        </is>
      </c>
      <c r="K1084" s="26" t="inlineStr">
        <is>
          <t>☐</t>
        </is>
      </c>
      <c r="L1084" s="26" t="inlineStr">
        <is>
          <t>☐</t>
        </is>
      </c>
      <c r="M1084" s="25" t="n"/>
      <c r="N1084" s="27" t="n">
        <v>0</v>
      </c>
      <c r="O1084" s="28" t="n"/>
      <c r="P1084" s="23" t="n"/>
      <c r="Q1084" s="29" t="n"/>
      <c r="R1084" s="29" t="n"/>
      <c r="S1084" s="23" t="n"/>
      <c r="T1084" s="30" t="n"/>
      <c r="U1084" s="31" t="inlineStr">
        <is>
          <t>高</t>
        </is>
      </c>
      <c r="V1084" s="32" t="inlineStr">
        <is>
          <t>事務室（代表）。高校職員室は0853-21-1887</t>
        </is>
      </c>
      <c r="W1084" s="33" t="inlineStr">
        <is>
          <t>開く</t>
        </is>
      </c>
    </row>
    <row r="1085" ht="30" customHeight="1">
      <c r="A1085" s="23" t="inlineStr">
        <is>
          <t>32島根県</t>
        </is>
      </c>
      <c r="B1085" s="23" t="inlineStr">
        <is>
          <t>私立</t>
        </is>
      </c>
      <c r="C1085" s="23" t="n"/>
      <c r="D1085" s="23" t="inlineStr">
        <is>
          <t>石見智翠館高等学校</t>
        </is>
      </c>
      <c r="E1085" s="24" t="inlineStr">
        <is>
          <t>0855-52-2457</t>
        </is>
      </c>
      <c r="F1085" s="23" t="n"/>
      <c r="G1085" s="25" t="inlineStr">
        <is>
          <t>普通科</t>
        </is>
      </c>
      <c r="H1085" s="26" t="inlineStr">
        <is>
          <t>☐</t>
        </is>
      </c>
      <c r="I1085" s="26" t="inlineStr">
        <is>
          <t>☐</t>
        </is>
      </c>
      <c r="J1085" s="26" t="inlineStr">
        <is>
          <t>☐</t>
        </is>
      </c>
      <c r="K1085" s="26" t="inlineStr">
        <is>
          <t>☐</t>
        </is>
      </c>
      <c r="L1085" s="26" t="inlineStr">
        <is>
          <t>☐</t>
        </is>
      </c>
      <c r="M1085" s="25" t="n"/>
      <c r="N1085" s="27" t="n">
        <v>0</v>
      </c>
      <c r="O1085" s="28" t="n"/>
      <c r="P1085" s="23" t="n"/>
      <c r="Q1085" s="29" t="n"/>
      <c r="R1085" s="29" t="n"/>
      <c r="S1085" s="23" t="n"/>
      <c r="T1085" s="30" t="n"/>
      <c r="U1085" s="31" t="inlineStr">
        <is>
          <t>高</t>
        </is>
      </c>
      <c r="V1085" s="32" t="inlineStr">
        <is>
          <t>通信制の直通は0855-52-4955</t>
        </is>
      </c>
      <c r="W1085" s="33" t="inlineStr">
        <is>
          <t>開く</t>
        </is>
      </c>
    </row>
    <row r="1086" ht="30" customHeight="1">
      <c r="A1086" s="23" t="inlineStr">
        <is>
          <t>32島根県</t>
        </is>
      </c>
      <c r="B1086" s="23" t="inlineStr">
        <is>
          <t>私立</t>
        </is>
      </c>
      <c r="C1086" s="23" t="n"/>
      <c r="D1086" s="23" t="inlineStr">
        <is>
          <t>開星高等学校</t>
        </is>
      </c>
      <c r="E1086" s="24" t="inlineStr">
        <is>
          <t>0852-21-4915</t>
        </is>
      </c>
      <c r="F1086" s="23" t="n"/>
      <c r="G1086" s="25" t="inlineStr">
        <is>
          <t>普通科</t>
        </is>
      </c>
      <c r="H1086" s="26" t="inlineStr">
        <is>
          <t>☐</t>
        </is>
      </c>
      <c r="I1086" s="26" t="inlineStr">
        <is>
          <t>☐</t>
        </is>
      </c>
      <c r="J1086" s="26" t="inlineStr">
        <is>
          <t>☐</t>
        </is>
      </c>
      <c r="K1086" s="26" t="inlineStr">
        <is>
          <t>☐</t>
        </is>
      </c>
      <c r="L1086" s="26" t="inlineStr">
        <is>
          <t>☐</t>
        </is>
      </c>
      <c r="M1086" s="25" t="n"/>
      <c r="N1086" s="27" t="n">
        <v>0</v>
      </c>
      <c r="O1086" s="28" t="n"/>
      <c r="P1086" s="23" t="n"/>
      <c r="Q1086" s="29" t="n"/>
      <c r="R1086" s="29" t="n"/>
      <c r="S1086" s="23" t="n"/>
      <c r="T1086" s="30" t="n"/>
      <c r="U1086" s="31" t="inlineStr">
        <is>
          <t>高</t>
        </is>
      </c>
      <c r="V1086" s="32" t="n"/>
      <c r="W1086" s="33" t="inlineStr">
        <is>
          <t>開く</t>
        </is>
      </c>
    </row>
    <row r="1087" ht="30" customHeight="1">
      <c r="A1087" s="23" t="inlineStr">
        <is>
          <t>32島根県</t>
        </is>
      </c>
      <c r="B1087" s="23" t="inlineStr">
        <is>
          <t>私立</t>
        </is>
      </c>
      <c r="C1087" s="23" t="n"/>
      <c r="D1087" s="23" t="inlineStr">
        <is>
          <t>キリスト教愛真高等学校</t>
        </is>
      </c>
      <c r="E1087" s="24" t="inlineStr">
        <is>
          <t>0855-52-5795</t>
        </is>
      </c>
      <c r="F1087" s="23" t="n"/>
      <c r="G1087" s="25" t="inlineStr">
        <is>
          <t>普通科</t>
        </is>
      </c>
      <c r="H1087" s="26" t="inlineStr">
        <is>
          <t>☐</t>
        </is>
      </c>
      <c r="I1087" s="26" t="inlineStr">
        <is>
          <t>☐</t>
        </is>
      </c>
      <c r="J1087" s="26" t="inlineStr">
        <is>
          <t>☐</t>
        </is>
      </c>
      <c r="K1087" s="26" t="inlineStr">
        <is>
          <t>☐</t>
        </is>
      </c>
      <c r="L1087" s="26" t="inlineStr">
        <is>
          <t>☐</t>
        </is>
      </c>
      <c r="M1087" s="25" t="n"/>
      <c r="N1087" s="27" t="n">
        <v>0</v>
      </c>
      <c r="O1087" s="28" t="n"/>
      <c r="P1087" s="23" t="n"/>
      <c r="Q1087" s="29" t="n"/>
      <c r="R1087" s="29" t="n"/>
      <c r="S1087" s="23" t="n"/>
      <c r="T1087" s="30" t="n"/>
      <c r="U1087" s="31" t="inlineStr">
        <is>
          <t>高</t>
        </is>
      </c>
      <c r="V1087" s="32" t="n"/>
      <c r="W1087" s="33" t="inlineStr">
        <is>
          <t>開く</t>
        </is>
      </c>
    </row>
    <row r="1088" ht="30" customHeight="1">
      <c r="A1088" s="23" t="inlineStr">
        <is>
          <t>32島根県</t>
        </is>
      </c>
      <c r="B1088" s="23" t="inlineStr">
        <is>
          <t>私立</t>
        </is>
      </c>
      <c r="C1088" s="23" t="n"/>
      <c r="D1088" s="23" t="inlineStr">
        <is>
          <t>松徳学院高等学校</t>
        </is>
      </c>
      <c r="E1088" s="24" t="inlineStr">
        <is>
          <t>0852-21-5478</t>
        </is>
      </c>
      <c r="F1088" s="23" t="n"/>
      <c r="G1088" s="25" t="inlineStr">
        <is>
          <t>普通科</t>
        </is>
      </c>
      <c r="H1088" s="26" t="inlineStr">
        <is>
          <t>☐</t>
        </is>
      </c>
      <c r="I1088" s="26" t="inlineStr">
        <is>
          <t>☐</t>
        </is>
      </c>
      <c r="J1088" s="26" t="inlineStr">
        <is>
          <t>☐</t>
        </is>
      </c>
      <c r="K1088" s="26" t="inlineStr">
        <is>
          <t>☐</t>
        </is>
      </c>
      <c r="L1088" s="26" t="inlineStr">
        <is>
          <t>☐</t>
        </is>
      </c>
      <c r="M1088" s="25" t="n"/>
      <c r="N1088" s="27" t="n">
        <v>0</v>
      </c>
      <c r="O1088" s="28" t="n"/>
      <c r="P1088" s="23" t="n"/>
      <c r="Q1088" s="29" t="n"/>
      <c r="R1088" s="29" t="n"/>
      <c r="S1088" s="23" t="n"/>
      <c r="T1088" s="30" t="n"/>
      <c r="U1088" s="31" t="inlineStr">
        <is>
          <t>高</t>
        </is>
      </c>
      <c r="V1088" s="32" t="inlineStr">
        <is>
          <t>島根県資料では0852-21-5578も併記</t>
        </is>
      </c>
      <c r="W1088" s="33" t="inlineStr">
        <is>
          <t>開く</t>
        </is>
      </c>
    </row>
    <row r="1089" ht="30" customHeight="1">
      <c r="A1089" s="23" t="inlineStr">
        <is>
          <t>32島根県</t>
        </is>
      </c>
      <c r="B1089" s="23" t="inlineStr">
        <is>
          <t>私立</t>
        </is>
      </c>
      <c r="C1089" s="23" t="n"/>
      <c r="D1089" s="23" t="inlineStr">
        <is>
          <t>益田東高等学校</t>
        </is>
      </c>
      <c r="E1089" s="24" t="inlineStr">
        <is>
          <t>0856-23-3435</t>
        </is>
      </c>
      <c r="F1089" s="23" t="n"/>
      <c r="G1089" s="25" t="inlineStr">
        <is>
          <t>普通科</t>
        </is>
      </c>
      <c r="H1089" s="26" t="inlineStr">
        <is>
          <t>☐</t>
        </is>
      </c>
      <c r="I1089" s="26" t="inlineStr">
        <is>
          <t>☐</t>
        </is>
      </c>
      <c r="J1089" s="26" t="inlineStr">
        <is>
          <t>☐</t>
        </is>
      </c>
      <c r="K1089" s="26" t="inlineStr">
        <is>
          <t>☐</t>
        </is>
      </c>
      <c r="L1089" s="26" t="inlineStr">
        <is>
          <t>☐</t>
        </is>
      </c>
      <c r="M1089" s="25" t="n"/>
      <c r="N1089" s="27" t="n">
        <v>0</v>
      </c>
      <c r="O1089" s="28" t="n"/>
      <c r="P1089" s="23" t="n"/>
      <c r="Q1089" s="29" t="n"/>
      <c r="R1089" s="29" t="n"/>
      <c r="S1089" s="23" t="n"/>
      <c r="T1089" s="30" t="n"/>
      <c r="U1089" s="31" t="inlineStr">
        <is>
          <t>高</t>
        </is>
      </c>
      <c r="V1089" s="32" t="n"/>
      <c r="W1089" s="33" t="inlineStr">
        <is>
          <t>開く</t>
        </is>
      </c>
    </row>
    <row r="1090" ht="30" customHeight="1">
      <c r="A1090" s="23" t="inlineStr">
        <is>
          <t>32島根県</t>
        </is>
      </c>
      <c r="B1090" s="23" t="inlineStr">
        <is>
          <t>私立</t>
        </is>
      </c>
      <c r="C1090" s="23" t="n"/>
      <c r="D1090" s="23" t="inlineStr">
        <is>
          <t>松江西高等学校</t>
        </is>
      </c>
      <c r="E1090" s="24" t="inlineStr">
        <is>
          <t>0852-21-2925</t>
        </is>
      </c>
      <c r="F1090" s="23" t="n"/>
      <c r="G1090" s="25" t="inlineStr">
        <is>
          <t>普通科・専門学科</t>
        </is>
      </c>
      <c r="H1090" s="26" t="inlineStr">
        <is>
          <t>☐</t>
        </is>
      </c>
      <c r="I1090" s="26" t="inlineStr">
        <is>
          <t>☐</t>
        </is>
      </c>
      <c r="J1090" s="26" t="inlineStr">
        <is>
          <t>☐</t>
        </is>
      </c>
      <c r="K1090" s="26" t="inlineStr">
        <is>
          <t>☐</t>
        </is>
      </c>
      <c r="L1090" s="26" t="inlineStr">
        <is>
          <t>☐</t>
        </is>
      </c>
      <c r="M1090" s="25" t="n"/>
      <c r="N1090" s="27" t="n">
        <v>0</v>
      </c>
      <c r="O1090" s="28" t="n"/>
      <c r="P1090" s="23" t="n"/>
      <c r="Q1090" s="29" t="n"/>
      <c r="R1090" s="29" t="n"/>
      <c r="S1090" s="23" t="n"/>
      <c r="T1090" s="30" t="n"/>
      <c r="U1090" s="31" t="inlineStr">
        <is>
          <t>高</t>
        </is>
      </c>
      <c r="V1090" s="32" t="n"/>
      <c r="W1090" s="33" t="inlineStr">
        <is>
          <t>開く</t>
        </is>
      </c>
    </row>
    <row r="1091" ht="30" customHeight="1">
      <c r="A1091" s="23" t="inlineStr">
        <is>
          <t>32島根県</t>
        </is>
      </c>
      <c r="B1091" s="23" t="inlineStr">
        <is>
          <t>私立</t>
        </is>
      </c>
      <c r="C1091" s="23" t="n"/>
      <c r="D1091" s="23" t="inlineStr">
        <is>
          <t>明誠高等学校</t>
        </is>
      </c>
      <c r="E1091" s="24" t="inlineStr">
        <is>
          <t>0856-22-1052</t>
        </is>
      </c>
      <c r="F1091" s="23" t="n"/>
      <c r="G1091" s="25" t="inlineStr">
        <is>
          <t>普通科・専門学科</t>
        </is>
      </c>
      <c r="H1091" s="26" t="inlineStr">
        <is>
          <t>☐</t>
        </is>
      </c>
      <c r="I1091" s="26" t="inlineStr">
        <is>
          <t>☐</t>
        </is>
      </c>
      <c r="J1091" s="26" t="inlineStr">
        <is>
          <t>☐</t>
        </is>
      </c>
      <c r="K1091" s="26" t="inlineStr">
        <is>
          <t>☐</t>
        </is>
      </c>
      <c r="L1091" s="26" t="inlineStr">
        <is>
          <t>☐</t>
        </is>
      </c>
      <c r="M1091" s="25" t="n"/>
      <c r="N1091" s="27" t="n">
        <v>0</v>
      </c>
      <c r="O1091" s="28" t="n"/>
      <c r="P1091" s="23" t="n"/>
      <c r="Q1091" s="29" t="n"/>
      <c r="R1091" s="29" t="n"/>
      <c r="S1091" s="23" t="n"/>
      <c r="T1091" s="30" t="n"/>
      <c r="U1091" s="31" t="inlineStr">
        <is>
          <t>高</t>
        </is>
      </c>
      <c r="V1091" s="32" t="inlineStr">
        <is>
          <t>全日制の番号。通信制課程は0856-23-6877</t>
        </is>
      </c>
      <c r="W1091" s="33" t="inlineStr">
        <is>
          <t>開く</t>
        </is>
      </c>
    </row>
    <row r="1092" ht="30" customHeight="1">
      <c r="A1092" s="23" t="inlineStr">
        <is>
          <t>32島根県</t>
        </is>
      </c>
      <c r="B1092" s="23" t="inlineStr">
        <is>
          <t>私立</t>
        </is>
      </c>
      <c r="C1092" s="23" t="n"/>
      <c r="D1092" s="23" t="inlineStr">
        <is>
          <t>立正大学淞南高等学校</t>
        </is>
      </c>
      <c r="E1092" s="24" t="inlineStr">
        <is>
          <t>0852-21-9634</t>
        </is>
      </c>
      <c r="F1092" s="23" t="n"/>
      <c r="G1092" s="25" t="inlineStr">
        <is>
          <t>普通科</t>
        </is>
      </c>
      <c r="H1092" s="26" t="inlineStr">
        <is>
          <t>☐</t>
        </is>
      </c>
      <c r="I1092" s="26" t="inlineStr">
        <is>
          <t>☐</t>
        </is>
      </c>
      <c r="J1092" s="26" t="inlineStr">
        <is>
          <t>☐</t>
        </is>
      </c>
      <c r="K1092" s="26" t="inlineStr">
        <is>
          <t>☐</t>
        </is>
      </c>
      <c r="L1092" s="26" t="inlineStr">
        <is>
          <t>☐</t>
        </is>
      </c>
      <c r="M1092" s="25" t="n"/>
      <c r="N1092" s="27" t="n">
        <v>0</v>
      </c>
      <c r="O1092" s="28" t="n"/>
      <c r="P1092" s="23" t="n"/>
      <c r="Q1092" s="29" t="n"/>
      <c r="R1092" s="29" t="n"/>
      <c r="S1092" s="23" t="n"/>
      <c r="T1092" s="30" t="n"/>
      <c r="U1092" s="31" t="inlineStr">
        <is>
          <t>高</t>
        </is>
      </c>
      <c r="V1092" s="32" t="n"/>
      <c r="W1092" s="33" t="inlineStr">
        <is>
          <t>開く</t>
        </is>
      </c>
    </row>
    <row r="1093" ht="30" customHeight="1">
      <c r="A1093" s="23" t="inlineStr">
        <is>
          <t>33岡山県</t>
        </is>
      </c>
      <c r="B1093" s="23" t="inlineStr">
        <is>
          <t>私立</t>
        </is>
      </c>
      <c r="C1093" s="23" t="n"/>
      <c r="D1093" s="23" t="inlineStr">
        <is>
          <t>岡山学芸館高等学校</t>
        </is>
      </c>
      <c r="E1093" s="24" t="inlineStr">
        <is>
          <t>086-942-3864</t>
        </is>
      </c>
      <c r="F1093" s="23" t="n"/>
      <c r="G1093" s="25" t="inlineStr">
        <is>
          <t>普通科・専門学科</t>
        </is>
      </c>
      <c r="H1093" s="26" t="inlineStr">
        <is>
          <t>☐</t>
        </is>
      </c>
      <c r="I1093" s="26" t="inlineStr">
        <is>
          <t>☐</t>
        </is>
      </c>
      <c r="J1093" s="26" t="inlineStr">
        <is>
          <t>☐</t>
        </is>
      </c>
      <c r="K1093" s="26" t="inlineStr">
        <is>
          <t>☐</t>
        </is>
      </c>
      <c r="L1093" s="26" t="inlineStr">
        <is>
          <t>☐</t>
        </is>
      </c>
      <c r="M1093" s="25" t="n"/>
      <c r="N1093" s="27" t="n">
        <v>0</v>
      </c>
      <c r="O1093" s="28" t="n"/>
      <c r="P1093" s="23" t="n"/>
      <c r="Q1093" s="29" t="n"/>
      <c r="R1093" s="29" t="n"/>
      <c r="S1093" s="23" t="n"/>
      <c r="T1093" s="30" t="n"/>
      <c r="U1093" s="31" t="inlineStr">
        <is>
          <t>高</t>
        </is>
      </c>
      <c r="V1093" s="32" t="inlineStr">
        <is>
          <t>通信制課程も同じ番号</t>
        </is>
      </c>
      <c r="W1093" s="33" t="inlineStr">
        <is>
          <t>開く</t>
        </is>
      </c>
    </row>
    <row r="1094" ht="30" customHeight="1">
      <c r="A1094" s="23" t="inlineStr">
        <is>
          <t>33岡山県</t>
        </is>
      </c>
      <c r="B1094" s="23" t="inlineStr">
        <is>
          <t>私立</t>
        </is>
      </c>
      <c r="C1094" s="23" t="n"/>
      <c r="D1094" s="23" t="inlineStr">
        <is>
          <t>岡山県共生高等学校</t>
        </is>
      </c>
      <c r="E1094" s="24" t="inlineStr">
        <is>
          <t>0867-72-0526</t>
        </is>
      </c>
      <c r="F1094" s="23" t="n"/>
      <c r="G1094" s="25" t="inlineStr">
        <is>
          <t>普通科</t>
        </is>
      </c>
      <c r="H1094" s="26" t="inlineStr">
        <is>
          <t>☐</t>
        </is>
      </c>
      <c r="I1094" s="26" t="inlineStr">
        <is>
          <t>☐</t>
        </is>
      </c>
      <c r="J1094" s="26" t="inlineStr">
        <is>
          <t>☐</t>
        </is>
      </c>
      <c r="K1094" s="26" t="inlineStr">
        <is>
          <t>☐</t>
        </is>
      </c>
      <c r="L1094" s="26" t="inlineStr">
        <is>
          <t>☐</t>
        </is>
      </c>
      <c r="M1094" s="25" t="n"/>
      <c r="N1094" s="27" t="n">
        <v>0</v>
      </c>
      <c r="O1094" s="28" t="n"/>
      <c r="P1094" s="23" t="n"/>
      <c r="Q1094" s="29" t="n"/>
      <c r="R1094" s="29" t="n"/>
      <c r="S1094" s="23" t="n"/>
      <c r="T1094" s="30" t="n"/>
      <c r="U1094" s="31" t="inlineStr">
        <is>
          <t>高</t>
        </is>
      </c>
      <c r="V1094" s="32" t="inlineStr">
        <is>
          <t>0867-72-8032はFAX</t>
        </is>
      </c>
      <c r="W1094" s="33" t="inlineStr">
        <is>
          <t>開く</t>
        </is>
      </c>
    </row>
    <row r="1095" ht="30" customHeight="1">
      <c r="A1095" s="23" t="inlineStr">
        <is>
          <t>33岡山県</t>
        </is>
      </c>
      <c r="B1095" s="23" t="inlineStr">
        <is>
          <t>私立</t>
        </is>
      </c>
      <c r="C1095" s="23" t="n"/>
      <c r="D1095" s="23" t="inlineStr">
        <is>
          <t>岡山県作陽高等学校</t>
        </is>
      </c>
      <c r="E1095" s="24" t="inlineStr">
        <is>
          <t>086-441-1281</t>
        </is>
      </c>
      <c r="F1095" s="23" t="n"/>
      <c r="G1095" s="25" t="inlineStr">
        <is>
          <t>普通科</t>
        </is>
      </c>
      <c r="H1095" s="26" t="inlineStr">
        <is>
          <t>☐</t>
        </is>
      </c>
      <c r="I1095" s="26" t="inlineStr">
        <is>
          <t>☐</t>
        </is>
      </c>
      <c r="J1095" s="26" t="inlineStr">
        <is>
          <t>☐</t>
        </is>
      </c>
      <c r="K1095" s="26" t="inlineStr">
        <is>
          <t>☐</t>
        </is>
      </c>
      <c r="L1095" s="26" t="inlineStr">
        <is>
          <t>☐</t>
        </is>
      </c>
      <c r="M1095" s="25" t="n"/>
      <c r="N1095" s="27" t="n">
        <v>0</v>
      </c>
      <c r="O1095" s="28" t="n"/>
      <c r="P1095" s="23" t="n"/>
      <c r="Q1095" s="29" t="n"/>
      <c r="R1095" s="29" t="n"/>
      <c r="S1095" s="23" t="n"/>
      <c r="T1095" s="30" t="n"/>
      <c r="U1095" s="31" t="inlineStr">
        <is>
          <t>高</t>
        </is>
      </c>
      <c r="V1095" s="32" t="inlineStr">
        <is>
          <t>2023年4月に倉敷市玉島へ移転し「作陽学園高等学校」に校名変更。津山の旧番号0868-23-2188は使用不可の可能性</t>
        </is>
      </c>
      <c r="W1095" s="33" t="inlineStr">
        <is>
          <t>開く</t>
        </is>
      </c>
    </row>
    <row r="1096" ht="30" customHeight="1">
      <c r="A1096" s="23" t="inlineStr">
        <is>
          <t>33岡山県</t>
        </is>
      </c>
      <c r="B1096" s="23" t="inlineStr">
        <is>
          <t>私立</t>
        </is>
      </c>
      <c r="C1096" s="23" t="n"/>
      <c r="D1096" s="23" t="inlineStr">
        <is>
          <t>岡山県美作高等学校</t>
        </is>
      </c>
      <c r="E1096" s="24" t="inlineStr">
        <is>
          <t>0868-22-4838</t>
        </is>
      </c>
      <c r="F1096" s="23" t="n"/>
      <c r="G1096" s="25" t="inlineStr">
        <is>
          <t>普通科</t>
        </is>
      </c>
      <c r="H1096" s="26" t="inlineStr">
        <is>
          <t>☐</t>
        </is>
      </c>
      <c r="I1096" s="26" t="inlineStr">
        <is>
          <t>☐</t>
        </is>
      </c>
      <c r="J1096" s="26" t="inlineStr">
        <is>
          <t>☐</t>
        </is>
      </c>
      <c r="K1096" s="26" t="inlineStr">
        <is>
          <t>☐</t>
        </is>
      </c>
      <c r="L1096" s="26" t="inlineStr">
        <is>
          <t>☐</t>
        </is>
      </c>
      <c r="M1096" s="25" t="n"/>
      <c r="N1096" s="27" t="n">
        <v>0</v>
      </c>
      <c r="O1096" s="28" t="n"/>
      <c r="P1096" s="23" t="n"/>
      <c r="Q1096" s="29" t="n"/>
      <c r="R1096" s="29" t="n"/>
      <c r="S1096" s="23" t="n"/>
      <c r="T1096" s="30" t="n"/>
      <c r="U1096" s="31" t="inlineStr">
        <is>
          <t>高</t>
        </is>
      </c>
      <c r="V1096" s="32" t="inlineStr">
        <is>
          <t>全日制の番号。通信制課程は0868-23-3116</t>
        </is>
      </c>
      <c r="W1096" s="33" t="inlineStr">
        <is>
          <t>開く</t>
        </is>
      </c>
    </row>
    <row r="1097" ht="30" customHeight="1">
      <c r="A1097" s="23" t="inlineStr">
        <is>
          <t>33岡山県</t>
        </is>
      </c>
      <c r="B1097" s="23" t="inlineStr">
        <is>
          <t>私立</t>
        </is>
      </c>
      <c r="C1097" s="23" t="n"/>
      <c r="D1097" s="23" t="inlineStr">
        <is>
          <t>岡山高等学校</t>
        </is>
      </c>
      <c r="E1097" s="24" t="inlineStr">
        <is>
          <t>086-282-6336</t>
        </is>
      </c>
      <c r="F1097" s="23" t="n"/>
      <c r="G1097" s="25" t="inlineStr">
        <is>
          <t>普通科</t>
        </is>
      </c>
      <c r="H1097" s="26" t="inlineStr">
        <is>
          <t>☐</t>
        </is>
      </c>
      <c r="I1097" s="26" t="inlineStr">
        <is>
          <t>☐</t>
        </is>
      </c>
      <c r="J1097" s="26" t="inlineStr">
        <is>
          <t>☐</t>
        </is>
      </c>
      <c r="K1097" s="26" t="inlineStr">
        <is>
          <t>☐</t>
        </is>
      </c>
      <c r="L1097" s="26" t="inlineStr">
        <is>
          <t>☐</t>
        </is>
      </c>
      <c r="M1097" s="25" t="n"/>
      <c r="N1097" s="27" t="n">
        <v>0</v>
      </c>
      <c r="O1097" s="28" t="n"/>
      <c r="P1097" s="23" t="n"/>
      <c r="Q1097" s="29" t="n"/>
      <c r="R1097" s="29" t="n"/>
      <c r="S1097" s="23" t="n"/>
      <c r="T1097" s="30" t="n"/>
      <c r="U1097" s="31" t="inlineStr">
        <is>
          <t>高</t>
        </is>
      </c>
      <c r="V1097" s="32" t="inlineStr">
        <is>
          <t>中高一貫</t>
        </is>
      </c>
      <c r="W1097" s="33" t="inlineStr">
        <is>
          <t>開く</t>
        </is>
      </c>
    </row>
    <row r="1098" ht="30" customHeight="1">
      <c r="A1098" s="23" t="inlineStr">
        <is>
          <t>33岡山県</t>
        </is>
      </c>
      <c r="B1098" s="23" t="inlineStr">
        <is>
          <t>私立</t>
        </is>
      </c>
      <c r="C1098" s="23" t="n"/>
      <c r="D1098" s="23" t="inlineStr">
        <is>
          <t>おかやま山陽高等学校</t>
        </is>
      </c>
      <c r="E1098" s="24" t="inlineStr">
        <is>
          <t>0865-44-3100</t>
        </is>
      </c>
      <c r="F1098" s="23" t="n"/>
      <c r="G1098" s="25" t="inlineStr">
        <is>
          <t>普通科・専門学科</t>
        </is>
      </c>
      <c r="H1098" s="26" t="inlineStr">
        <is>
          <t>☐</t>
        </is>
      </c>
      <c r="I1098" s="26" t="inlineStr">
        <is>
          <t>☐</t>
        </is>
      </c>
      <c r="J1098" s="26" t="inlineStr">
        <is>
          <t>☐</t>
        </is>
      </c>
      <c r="K1098" s="26" t="inlineStr">
        <is>
          <t>☐</t>
        </is>
      </c>
      <c r="L1098" s="26" t="inlineStr">
        <is>
          <t>☐</t>
        </is>
      </c>
      <c r="M1098" s="25" t="n"/>
      <c r="N1098" s="27" t="n">
        <v>0</v>
      </c>
      <c r="O1098" s="28" t="n"/>
      <c r="P1098" s="23" t="n"/>
      <c r="Q1098" s="29" t="n"/>
      <c r="R1098" s="29" t="n"/>
      <c r="S1098" s="23" t="n"/>
      <c r="T1098" s="30" t="n"/>
      <c r="U1098" s="31" t="inlineStr">
        <is>
          <t>高</t>
        </is>
      </c>
      <c r="V1098" s="32" t="inlineStr">
        <is>
          <t>教員室直通は0865-44-7149</t>
        </is>
      </c>
      <c r="W1098" s="33" t="inlineStr">
        <is>
          <t>開く</t>
        </is>
      </c>
    </row>
    <row r="1099" ht="30" customHeight="1">
      <c r="A1099" s="23" t="inlineStr">
        <is>
          <t>33岡山県</t>
        </is>
      </c>
      <c r="B1099" s="23" t="inlineStr">
        <is>
          <t>私立</t>
        </is>
      </c>
      <c r="C1099" s="23" t="n"/>
      <c r="D1099" s="23" t="inlineStr">
        <is>
          <t>岡山商科大学附属高等学校</t>
        </is>
      </c>
      <c r="E1099" s="24" t="inlineStr">
        <is>
          <t>086-252-3407</t>
        </is>
      </c>
      <c r="F1099" s="23" t="n"/>
      <c r="G1099" s="25" t="inlineStr">
        <is>
          <t>専門学科・総合学科</t>
        </is>
      </c>
      <c r="H1099" s="26" t="inlineStr">
        <is>
          <t>☐</t>
        </is>
      </c>
      <c r="I1099" s="26" t="inlineStr">
        <is>
          <t>☐</t>
        </is>
      </c>
      <c r="J1099" s="26" t="inlineStr">
        <is>
          <t>☐</t>
        </is>
      </c>
      <c r="K1099" s="26" t="inlineStr">
        <is>
          <t>☐</t>
        </is>
      </c>
      <c r="L1099" s="26" t="inlineStr">
        <is>
          <t>☐</t>
        </is>
      </c>
      <c r="M1099" s="25" t="n"/>
      <c r="N1099" s="27" t="n">
        <v>0</v>
      </c>
      <c r="O1099" s="28" t="n"/>
      <c r="P1099" s="23" t="n"/>
      <c r="Q1099" s="29" t="n"/>
      <c r="R1099" s="29" t="n"/>
      <c r="S1099" s="23" t="n"/>
      <c r="T1099" s="30" t="n"/>
      <c r="U1099" s="31" t="inlineStr">
        <is>
          <t>高</t>
        </is>
      </c>
      <c r="V1099" s="32" t="n"/>
      <c r="W1099" s="33" t="inlineStr">
        <is>
          <t>開く</t>
        </is>
      </c>
    </row>
    <row r="1100" ht="30" customHeight="1">
      <c r="A1100" s="23" t="inlineStr">
        <is>
          <t>33岡山県</t>
        </is>
      </c>
      <c r="B1100" s="23" t="inlineStr">
        <is>
          <t>私立</t>
        </is>
      </c>
      <c r="C1100" s="23" t="n"/>
      <c r="D1100" s="23" t="inlineStr">
        <is>
          <t>岡山白陵高等学校</t>
        </is>
      </c>
      <c r="E1100" s="24" t="inlineStr">
        <is>
          <t>086-995-1255</t>
        </is>
      </c>
      <c r="F1100" s="23" t="n"/>
      <c r="G1100" s="25" t="inlineStr">
        <is>
          <t>普通科</t>
        </is>
      </c>
      <c r="H1100" s="26" t="inlineStr">
        <is>
          <t>☐</t>
        </is>
      </c>
      <c r="I1100" s="26" t="inlineStr">
        <is>
          <t>☐</t>
        </is>
      </c>
      <c r="J1100" s="26" t="inlineStr">
        <is>
          <t>☐</t>
        </is>
      </c>
      <c r="K1100" s="26" t="inlineStr">
        <is>
          <t>☐</t>
        </is>
      </c>
      <c r="L1100" s="26" t="inlineStr">
        <is>
          <t>☐</t>
        </is>
      </c>
      <c r="M1100" s="25" t="n"/>
      <c r="N1100" s="27" t="n">
        <v>0</v>
      </c>
      <c r="O1100" s="28" t="n"/>
      <c r="P1100" s="23" t="n"/>
      <c r="Q1100" s="29" t="n"/>
      <c r="R1100" s="29" t="n"/>
      <c r="S1100" s="23" t="n"/>
      <c r="T1100" s="30" t="n"/>
      <c r="U1100" s="31" t="inlineStr">
        <is>
          <t>高</t>
        </is>
      </c>
      <c r="V1100" s="32" t="inlineStr">
        <is>
          <t>中学校併設</t>
        </is>
      </c>
      <c r="W1100" s="33" t="inlineStr">
        <is>
          <t>開く</t>
        </is>
      </c>
    </row>
    <row r="1101" ht="30" customHeight="1">
      <c r="A1101" s="23" t="inlineStr">
        <is>
          <t>33岡山県</t>
        </is>
      </c>
      <c r="B1101" s="23" t="inlineStr">
        <is>
          <t>私立</t>
        </is>
      </c>
      <c r="C1101" s="23" t="n"/>
      <c r="D1101" s="23" t="inlineStr">
        <is>
          <t>岡山理科大学附属高等学校</t>
        </is>
      </c>
      <c r="E1101" s="24" t="inlineStr">
        <is>
          <t>086-256-8511</t>
        </is>
      </c>
      <c r="F1101" s="23" t="n"/>
      <c r="G1101" s="25" t="inlineStr">
        <is>
          <t>普通科</t>
        </is>
      </c>
      <c r="H1101" s="26" t="inlineStr">
        <is>
          <t>☐</t>
        </is>
      </c>
      <c r="I1101" s="26" t="inlineStr">
        <is>
          <t>☐</t>
        </is>
      </c>
      <c r="J1101" s="26" t="inlineStr">
        <is>
          <t>☐</t>
        </is>
      </c>
      <c r="K1101" s="26" t="inlineStr">
        <is>
          <t>☐</t>
        </is>
      </c>
      <c r="L1101" s="26" t="inlineStr">
        <is>
          <t>☐</t>
        </is>
      </c>
      <c r="M1101" s="25" t="n"/>
      <c r="N1101" s="27" t="n">
        <v>0</v>
      </c>
      <c r="O1101" s="28" t="n"/>
      <c r="P1101" s="23" t="n"/>
      <c r="Q1101" s="29" t="n"/>
      <c r="R1101" s="29" t="n"/>
      <c r="S1101" s="23" t="n"/>
      <c r="T1101" s="30" t="n"/>
      <c r="U1101" s="31" t="inlineStr">
        <is>
          <t>高</t>
        </is>
      </c>
      <c r="V1101" s="32" t="inlineStr">
        <is>
          <t>通信制課程直通は086-256-8562</t>
        </is>
      </c>
      <c r="W1101" s="33" t="inlineStr">
        <is>
          <t>開く</t>
        </is>
      </c>
    </row>
    <row r="1102" ht="30" customHeight="1">
      <c r="A1102" s="23" t="inlineStr">
        <is>
          <t>33岡山県</t>
        </is>
      </c>
      <c r="B1102" s="23" t="inlineStr">
        <is>
          <t>私立</t>
        </is>
      </c>
      <c r="C1102" s="23" t="n"/>
      <c r="D1102" s="23" t="inlineStr">
        <is>
          <t>岡山龍谷高等学校</t>
        </is>
      </c>
      <c r="E1102" s="24" t="inlineStr">
        <is>
          <t>0865-63-2525</t>
        </is>
      </c>
      <c r="F1102" s="23" t="n"/>
      <c r="G1102" s="25" t="inlineStr">
        <is>
          <t>普通科・専門学科</t>
        </is>
      </c>
      <c r="H1102" s="26" t="inlineStr">
        <is>
          <t>☐</t>
        </is>
      </c>
      <c r="I1102" s="26" t="inlineStr">
        <is>
          <t>☐</t>
        </is>
      </c>
      <c r="J1102" s="26" t="inlineStr">
        <is>
          <t>☐</t>
        </is>
      </c>
      <c r="K1102" s="26" t="inlineStr">
        <is>
          <t>☐</t>
        </is>
      </c>
      <c r="L1102" s="26" t="inlineStr">
        <is>
          <t>☐</t>
        </is>
      </c>
      <c r="M1102" s="25" t="n"/>
      <c r="N1102" s="27" t="n">
        <v>0</v>
      </c>
      <c r="O1102" s="28" t="n"/>
      <c r="P1102" s="23" t="n"/>
      <c r="Q1102" s="29" t="n"/>
      <c r="R1102" s="29" t="n"/>
      <c r="S1102" s="23" t="n"/>
      <c r="T1102" s="30" t="n"/>
      <c r="U1102" s="31" t="inlineStr">
        <is>
          <t>高</t>
        </is>
      </c>
      <c r="V1102" s="32" t="inlineStr">
        <is>
          <t>職員室は0865-63-2526</t>
        </is>
      </c>
      <c r="W1102" s="33" t="inlineStr">
        <is>
          <t>開く</t>
        </is>
      </c>
    </row>
    <row r="1103" ht="30" customHeight="1">
      <c r="A1103" s="23" t="inlineStr">
        <is>
          <t>33岡山県</t>
        </is>
      </c>
      <c r="B1103" s="23" t="inlineStr">
        <is>
          <t>私立</t>
        </is>
      </c>
      <c r="C1103" s="23" t="n"/>
      <c r="D1103" s="23" t="inlineStr">
        <is>
          <t>川崎医科大学附属高等学校</t>
        </is>
      </c>
      <c r="E1103" s="24" t="inlineStr">
        <is>
          <t>086-462-3666</t>
        </is>
      </c>
      <c r="F1103" s="23" t="n"/>
      <c r="G1103" s="25" t="inlineStr">
        <is>
          <t>普通科</t>
        </is>
      </c>
      <c r="H1103" s="26" t="inlineStr">
        <is>
          <t>☐</t>
        </is>
      </c>
      <c r="I1103" s="26" t="inlineStr">
        <is>
          <t>☐</t>
        </is>
      </c>
      <c r="J1103" s="26" t="inlineStr">
        <is>
          <t>☐</t>
        </is>
      </c>
      <c r="K1103" s="26" t="inlineStr">
        <is>
          <t>☐</t>
        </is>
      </c>
      <c r="L1103" s="26" t="inlineStr">
        <is>
          <t>☐</t>
        </is>
      </c>
      <c r="M1103" s="25" t="n"/>
      <c r="N1103" s="27" t="n">
        <v>0</v>
      </c>
      <c r="O1103" s="28" t="n"/>
      <c r="P1103" s="23" t="n"/>
      <c r="Q1103" s="29" t="n"/>
      <c r="R1103" s="29" t="n"/>
      <c r="S1103" s="23" t="n"/>
      <c r="T1103" s="30" t="n"/>
      <c r="U1103" s="31" t="inlineStr">
        <is>
          <t>高</t>
        </is>
      </c>
      <c r="V1103" s="32" t="n"/>
      <c r="W1103" s="33" t="inlineStr">
        <is>
          <t>開く</t>
        </is>
      </c>
    </row>
    <row r="1104" ht="30" customHeight="1">
      <c r="A1104" s="23" t="inlineStr">
        <is>
          <t>33岡山県</t>
        </is>
      </c>
      <c r="B1104" s="23" t="inlineStr">
        <is>
          <t>私立</t>
        </is>
      </c>
      <c r="C1104" s="23" t="n"/>
      <c r="D1104" s="23" t="inlineStr">
        <is>
          <t>関西高等学校</t>
        </is>
      </c>
      <c r="E1104" s="24" t="inlineStr">
        <is>
          <t>086-252-5121</t>
        </is>
      </c>
      <c r="F1104" s="23" t="n"/>
      <c r="G1104" s="25" t="inlineStr">
        <is>
          <t>普通科・専門学科</t>
        </is>
      </c>
      <c r="H1104" s="26" t="inlineStr">
        <is>
          <t>☐</t>
        </is>
      </c>
      <c r="I1104" s="26" t="inlineStr">
        <is>
          <t>☐</t>
        </is>
      </c>
      <c r="J1104" s="26" t="inlineStr">
        <is>
          <t>☐</t>
        </is>
      </c>
      <c r="K1104" s="26" t="inlineStr">
        <is>
          <t>☐</t>
        </is>
      </c>
      <c r="L1104" s="26" t="inlineStr">
        <is>
          <t>☐</t>
        </is>
      </c>
      <c r="M1104" s="25" t="n"/>
      <c r="N1104" s="27" t="n">
        <v>0</v>
      </c>
      <c r="O1104" s="28" t="n"/>
      <c r="P1104" s="23" t="n"/>
      <c r="Q1104" s="29" t="n"/>
      <c r="R1104" s="29" t="n"/>
      <c r="S1104" s="23" t="n"/>
      <c r="T1104" s="30" t="n"/>
      <c r="U1104" s="31" t="inlineStr">
        <is>
          <t>高</t>
        </is>
      </c>
      <c r="V1104" s="32" t="n"/>
      <c r="W1104" s="33" t="inlineStr">
        <is>
          <t>開く</t>
        </is>
      </c>
    </row>
    <row r="1105" ht="30" customHeight="1">
      <c r="A1105" s="23" t="inlineStr">
        <is>
          <t>33岡山県</t>
        </is>
      </c>
      <c r="B1105" s="23" t="inlineStr">
        <is>
          <t>私立</t>
        </is>
      </c>
      <c r="C1105" s="23" t="n"/>
      <c r="D1105" s="23" t="inlineStr">
        <is>
          <t>吉備高原学園高等学校</t>
        </is>
      </c>
      <c r="E1105" s="24" t="inlineStr">
        <is>
          <t>0866-56-8211</t>
        </is>
      </c>
      <c r="F1105" s="23" t="n"/>
      <c r="G1105" s="25" t="inlineStr">
        <is>
          <t>普通科</t>
        </is>
      </c>
      <c r="H1105" s="26" t="inlineStr">
        <is>
          <t>☐</t>
        </is>
      </c>
      <c r="I1105" s="26" t="inlineStr">
        <is>
          <t>☐</t>
        </is>
      </c>
      <c r="J1105" s="26" t="inlineStr">
        <is>
          <t>☐</t>
        </is>
      </c>
      <c r="K1105" s="26" t="inlineStr">
        <is>
          <t>☐</t>
        </is>
      </c>
      <c r="L1105" s="26" t="inlineStr">
        <is>
          <t>☐</t>
        </is>
      </c>
      <c r="M1105" s="25" t="n"/>
      <c r="N1105" s="27" t="n">
        <v>0</v>
      </c>
      <c r="O1105" s="28" t="n"/>
      <c r="P1105" s="23" t="n"/>
      <c r="Q1105" s="29" t="n"/>
      <c r="R1105" s="29" t="n"/>
      <c r="S1105" s="23" t="n"/>
      <c r="T1105" s="30" t="n"/>
      <c r="U1105" s="31" t="inlineStr">
        <is>
          <t>高</t>
        </is>
      </c>
      <c r="V1105" s="32" t="inlineStr">
        <is>
          <t>全寮制</t>
        </is>
      </c>
      <c r="W1105" s="33" t="inlineStr">
        <is>
          <t>開く</t>
        </is>
      </c>
    </row>
    <row r="1106" ht="30" customHeight="1">
      <c r="A1106" s="23" t="inlineStr">
        <is>
          <t>33岡山県</t>
        </is>
      </c>
      <c r="B1106" s="23" t="inlineStr">
        <is>
          <t>私立</t>
        </is>
      </c>
      <c r="C1106" s="23" t="n"/>
      <c r="D1106" s="23" t="inlineStr">
        <is>
          <t>倉敷高等学校</t>
        </is>
      </c>
      <c r="E1106" s="24" t="inlineStr">
        <is>
          <t>086-462-9000</t>
        </is>
      </c>
      <c r="F1106" s="23" t="n"/>
      <c r="G1106" s="25" t="inlineStr">
        <is>
          <t>普通科・専門学科</t>
        </is>
      </c>
      <c r="H1106" s="26" t="inlineStr">
        <is>
          <t>☐</t>
        </is>
      </c>
      <c r="I1106" s="26" t="inlineStr">
        <is>
          <t>☐</t>
        </is>
      </c>
      <c r="J1106" s="26" t="inlineStr">
        <is>
          <t>☐</t>
        </is>
      </c>
      <c r="K1106" s="26" t="inlineStr">
        <is>
          <t>☐</t>
        </is>
      </c>
      <c r="L1106" s="26" t="inlineStr">
        <is>
          <t>☐</t>
        </is>
      </c>
      <c r="M1106" s="25" t="n"/>
      <c r="N1106" s="27" t="n">
        <v>0</v>
      </c>
      <c r="O1106" s="28" t="n"/>
      <c r="P1106" s="23" t="n"/>
      <c r="Q1106" s="29" t="n"/>
      <c r="R1106" s="29" t="n"/>
      <c r="S1106" s="23" t="n"/>
      <c r="T1106" s="30" t="n"/>
      <c r="U1106" s="31" t="inlineStr">
        <is>
          <t>高</t>
        </is>
      </c>
      <c r="V1106" s="32" t="inlineStr">
        <is>
          <t>岡山県私学協会の一覧とも一致</t>
        </is>
      </c>
      <c r="W1106" s="33" t="inlineStr">
        <is>
          <t>開く</t>
        </is>
      </c>
    </row>
    <row r="1107" ht="30" customHeight="1">
      <c r="A1107" s="23" t="inlineStr">
        <is>
          <t>33岡山県</t>
        </is>
      </c>
      <c r="B1107" s="23" t="inlineStr">
        <is>
          <t>私立</t>
        </is>
      </c>
      <c r="C1107" s="23" t="n"/>
      <c r="D1107" s="23" t="inlineStr">
        <is>
          <t>倉敷翠松高等学校</t>
        </is>
      </c>
      <c r="E1107" s="24" t="inlineStr">
        <is>
          <t>086-422-3565</t>
        </is>
      </c>
      <c r="F1107" s="23" t="n"/>
      <c r="G1107" s="25" t="inlineStr">
        <is>
          <t>普通科・専門学科</t>
        </is>
      </c>
      <c r="H1107" s="26" t="inlineStr">
        <is>
          <t>☐</t>
        </is>
      </c>
      <c r="I1107" s="26" t="inlineStr">
        <is>
          <t>☐</t>
        </is>
      </c>
      <c r="J1107" s="26" t="inlineStr">
        <is>
          <t>☐</t>
        </is>
      </c>
      <c r="K1107" s="26" t="inlineStr">
        <is>
          <t>☐</t>
        </is>
      </c>
      <c r="L1107" s="26" t="inlineStr">
        <is>
          <t>☐</t>
        </is>
      </c>
      <c r="M1107" s="25" t="n"/>
      <c r="N1107" s="27" t="n">
        <v>0</v>
      </c>
      <c r="O1107" s="28" t="n"/>
      <c r="P1107" s="23" t="n"/>
      <c r="Q1107" s="29" t="n"/>
      <c r="R1107" s="29" t="n"/>
      <c r="S1107" s="23" t="n"/>
      <c r="T1107" s="30" t="n"/>
      <c r="U1107" s="31" t="inlineStr">
        <is>
          <t>高</t>
        </is>
      </c>
      <c r="V1107" s="32" t="inlineStr">
        <is>
          <t>教務室086-422-3570、専攻科086-427-0941</t>
        </is>
      </c>
      <c r="W1107" s="33" t="inlineStr">
        <is>
          <t>開く</t>
        </is>
      </c>
    </row>
    <row r="1108" ht="30" customHeight="1">
      <c r="A1108" s="23" t="inlineStr">
        <is>
          <t>33岡山県</t>
        </is>
      </c>
      <c r="B1108" s="23" t="inlineStr">
        <is>
          <t>私立</t>
        </is>
      </c>
      <c r="C1108" s="23" t="n"/>
      <c r="D1108" s="23" t="inlineStr">
        <is>
          <t>興譲館高等学校</t>
        </is>
      </c>
      <c r="E1108" s="24" t="inlineStr">
        <is>
          <t>0866-62-0124</t>
        </is>
      </c>
      <c r="F1108" s="23" t="n"/>
      <c r="G1108" s="25" t="inlineStr">
        <is>
          <t>普通科</t>
        </is>
      </c>
      <c r="H1108" s="26" t="inlineStr">
        <is>
          <t>☐</t>
        </is>
      </c>
      <c r="I1108" s="26" t="inlineStr">
        <is>
          <t>☐</t>
        </is>
      </c>
      <c r="J1108" s="26" t="inlineStr">
        <is>
          <t>☐</t>
        </is>
      </c>
      <c r="K1108" s="26" t="inlineStr">
        <is>
          <t>☐</t>
        </is>
      </c>
      <c r="L1108" s="26" t="inlineStr">
        <is>
          <t>☐</t>
        </is>
      </c>
      <c r="M1108" s="25" t="n"/>
      <c r="N1108" s="27" t="n">
        <v>0</v>
      </c>
      <c r="O1108" s="28" t="n"/>
      <c r="P1108" s="23" t="n"/>
      <c r="Q1108" s="29" t="n"/>
      <c r="R1108" s="29" t="n"/>
      <c r="S1108" s="23" t="n"/>
      <c r="T1108" s="30" t="n"/>
      <c r="U1108" s="31" t="inlineStr">
        <is>
          <t>高</t>
        </is>
      </c>
      <c r="V1108" s="32" t="inlineStr">
        <is>
          <t>井原市の本校。通信制課程は0120-445033</t>
        </is>
      </c>
      <c r="W1108" s="33" t="inlineStr">
        <is>
          <t>開く</t>
        </is>
      </c>
    </row>
    <row r="1109" ht="30" customHeight="1">
      <c r="A1109" s="23" t="inlineStr">
        <is>
          <t>33岡山県</t>
        </is>
      </c>
      <c r="B1109" s="23" t="inlineStr">
        <is>
          <t>私立</t>
        </is>
      </c>
      <c r="C1109" s="23" t="n"/>
      <c r="D1109" s="23" t="inlineStr">
        <is>
          <t>金光学園高等学校</t>
        </is>
      </c>
      <c r="E1109" s="24" t="inlineStr">
        <is>
          <t>0865-42-3131</t>
        </is>
      </c>
      <c r="F1109" s="23" t="n"/>
      <c r="G1109" s="25" t="inlineStr">
        <is>
          <t>普通科</t>
        </is>
      </c>
      <c r="H1109" s="26" t="inlineStr">
        <is>
          <t>☐</t>
        </is>
      </c>
      <c r="I1109" s="26" t="inlineStr">
        <is>
          <t>☐</t>
        </is>
      </c>
      <c r="J1109" s="26" t="inlineStr">
        <is>
          <t>☐</t>
        </is>
      </c>
      <c r="K1109" s="26" t="inlineStr">
        <is>
          <t>☐</t>
        </is>
      </c>
      <c r="L1109" s="26" t="inlineStr">
        <is>
          <t>☐</t>
        </is>
      </c>
      <c r="M1109" s="25" t="n"/>
      <c r="N1109" s="27" t="n">
        <v>0</v>
      </c>
      <c r="O1109" s="28" t="n"/>
      <c r="P1109" s="23" t="n"/>
      <c r="Q1109" s="29" t="n"/>
      <c r="R1109" s="29" t="n"/>
      <c r="S1109" s="23" t="n"/>
      <c r="T1109" s="30" t="n"/>
      <c r="U1109" s="31" t="inlineStr">
        <is>
          <t>高</t>
        </is>
      </c>
      <c r="V1109" s="32" t="inlineStr">
        <is>
          <t>中高共通番号</t>
        </is>
      </c>
      <c r="W1109" s="33" t="inlineStr">
        <is>
          <t>開く</t>
        </is>
      </c>
    </row>
    <row r="1110" ht="30" customHeight="1">
      <c r="A1110" s="23" t="inlineStr">
        <is>
          <t>33岡山県</t>
        </is>
      </c>
      <c r="B1110" s="23" t="inlineStr">
        <is>
          <t>私立</t>
        </is>
      </c>
      <c r="C1110" s="23" t="n"/>
      <c r="D1110" s="23" t="inlineStr">
        <is>
          <t>山陽学園高等学校</t>
        </is>
      </c>
      <c r="E1110" s="24" t="inlineStr">
        <is>
          <t>086-272-1181</t>
        </is>
      </c>
      <c r="F1110" s="23" t="n"/>
      <c r="G1110" s="25" t="inlineStr">
        <is>
          <t>普通科</t>
        </is>
      </c>
      <c r="H1110" s="26" t="inlineStr">
        <is>
          <t>☐</t>
        </is>
      </c>
      <c r="I1110" s="26" t="inlineStr">
        <is>
          <t>☐</t>
        </is>
      </c>
      <c r="J1110" s="26" t="inlineStr">
        <is>
          <t>☐</t>
        </is>
      </c>
      <c r="K1110" s="26" t="inlineStr">
        <is>
          <t>☐</t>
        </is>
      </c>
      <c r="L1110" s="26" t="inlineStr">
        <is>
          <t>☐</t>
        </is>
      </c>
      <c r="M1110" s="25" t="n"/>
      <c r="N1110" s="27" t="n">
        <v>0</v>
      </c>
      <c r="O1110" s="28" t="n"/>
      <c r="P1110" s="23" t="n"/>
      <c r="Q1110" s="29" t="n"/>
      <c r="R1110" s="29" t="n"/>
      <c r="S1110" s="23" t="n"/>
      <c r="T1110" s="30" t="n"/>
      <c r="U1110" s="31" t="inlineStr">
        <is>
          <t>高</t>
        </is>
      </c>
      <c r="V1110" s="32" t="inlineStr">
        <is>
          <t>中高共通番号</t>
        </is>
      </c>
      <c r="W1110" s="33" t="inlineStr">
        <is>
          <t>開く</t>
        </is>
      </c>
    </row>
    <row r="1111" ht="30" customHeight="1">
      <c r="A1111" s="23" t="inlineStr">
        <is>
          <t>33岡山県</t>
        </is>
      </c>
      <c r="B1111" s="23" t="inlineStr">
        <is>
          <t>私立</t>
        </is>
      </c>
      <c r="C1111" s="23" t="n"/>
      <c r="D1111" s="23" t="inlineStr">
        <is>
          <t>就実高等学校</t>
        </is>
      </c>
      <c r="E1111" s="24" t="inlineStr">
        <is>
          <t>086-225-1326</t>
        </is>
      </c>
      <c r="F1111" s="23" t="n"/>
      <c r="G1111" s="25" t="inlineStr">
        <is>
          <t>普通科</t>
        </is>
      </c>
      <c r="H1111" s="26" t="inlineStr">
        <is>
          <t>☐</t>
        </is>
      </c>
      <c r="I1111" s="26" t="inlineStr">
        <is>
          <t>☐</t>
        </is>
      </c>
      <c r="J1111" s="26" t="inlineStr">
        <is>
          <t>☐</t>
        </is>
      </c>
      <c r="K1111" s="26" t="inlineStr">
        <is>
          <t>☐</t>
        </is>
      </c>
      <c r="L1111" s="26" t="inlineStr">
        <is>
          <t>☐</t>
        </is>
      </c>
      <c r="M1111" s="25" t="n"/>
      <c r="N1111" s="27" t="n">
        <v>0</v>
      </c>
      <c r="O1111" s="28" t="n"/>
      <c r="P1111" s="23" t="n"/>
      <c r="Q1111" s="29" t="n"/>
      <c r="R1111" s="29" t="n"/>
      <c r="S1111" s="23" t="n"/>
      <c r="T1111" s="30" t="n"/>
      <c r="U1111" s="31" t="inlineStr">
        <is>
          <t>高</t>
        </is>
      </c>
      <c r="V1111" s="32" t="n"/>
      <c r="W1111" s="33" t="inlineStr">
        <is>
          <t>開く</t>
        </is>
      </c>
    </row>
    <row r="1112" ht="30" customHeight="1">
      <c r="A1112" s="23" t="inlineStr">
        <is>
          <t>33岡山県</t>
        </is>
      </c>
      <c r="B1112" s="23" t="inlineStr">
        <is>
          <t>私立</t>
        </is>
      </c>
      <c r="C1112" s="23" t="n"/>
      <c r="D1112" s="23" t="inlineStr">
        <is>
          <t>清心女子高等学校（岡山県）</t>
        </is>
      </c>
      <c r="E1112" s="24" t="inlineStr">
        <is>
          <t>086-462-1661</t>
        </is>
      </c>
      <c r="F1112" s="23" t="n"/>
      <c r="G1112" s="25" t="inlineStr">
        <is>
          <t>普通科</t>
        </is>
      </c>
      <c r="H1112" s="26" t="inlineStr">
        <is>
          <t>☐</t>
        </is>
      </c>
      <c r="I1112" s="26" t="inlineStr">
        <is>
          <t>☐</t>
        </is>
      </c>
      <c r="J1112" s="26" t="inlineStr">
        <is>
          <t>☐</t>
        </is>
      </c>
      <c r="K1112" s="26" t="inlineStr">
        <is>
          <t>☐</t>
        </is>
      </c>
      <c r="L1112" s="26" t="inlineStr">
        <is>
          <t>☐</t>
        </is>
      </c>
      <c r="M1112" s="25" t="n"/>
      <c r="N1112" s="27" t="n">
        <v>0</v>
      </c>
      <c r="O1112" s="28" t="n"/>
      <c r="P1112" s="23" t="n"/>
      <c r="Q1112" s="29" t="n"/>
      <c r="R1112" s="29" t="n"/>
      <c r="S1112" s="23" t="n"/>
      <c r="T1112" s="30" t="n"/>
      <c r="U1112" s="31" t="inlineStr">
        <is>
          <t>高</t>
        </is>
      </c>
      <c r="V1112" s="32" t="inlineStr">
        <is>
          <t>ノートルダム清心学園（倉敷市）。中学校併設</t>
        </is>
      </c>
      <c r="W1112" s="33" t="inlineStr">
        <is>
          <t>開く</t>
        </is>
      </c>
    </row>
    <row r="1113" ht="30" customHeight="1">
      <c r="A1113" s="23" t="inlineStr">
        <is>
          <t>33岡山県</t>
        </is>
      </c>
      <c r="B1113" s="23" t="inlineStr">
        <is>
          <t>私立</t>
        </is>
      </c>
      <c r="C1113" s="23" t="n"/>
      <c r="D1113" s="23" t="inlineStr">
        <is>
          <t>創志学園高等学校</t>
        </is>
      </c>
      <c r="E1113" s="24" t="inlineStr">
        <is>
          <t>086-252-2101</t>
        </is>
      </c>
      <c r="F1113" s="23" t="n"/>
      <c r="G1113" s="25" t="inlineStr">
        <is>
          <t>普通科・専門学科</t>
        </is>
      </c>
      <c r="H1113" s="26" t="inlineStr">
        <is>
          <t>☐</t>
        </is>
      </c>
      <c r="I1113" s="26" t="inlineStr">
        <is>
          <t>☐</t>
        </is>
      </c>
      <c r="J1113" s="26" t="inlineStr">
        <is>
          <t>☐</t>
        </is>
      </c>
      <c r="K1113" s="26" t="inlineStr">
        <is>
          <t>☐</t>
        </is>
      </c>
      <c r="L1113" s="26" t="inlineStr">
        <is>
          <t>☐</t>
        </is>
      </c>
      <c r="M1113" s="25" t="n"/>
      <c r="N1113" s="27" t="n">
        <v>0</v>
      </c>
      <c r="O1113" s="28" t="n"/>
      <c r="P1113" s="23" t="n"/>
      <c r="Q1113" s="29" t="n"/>
      <c r="R1113" s="29" t="n"/>
      <c r="S1113" s="23" t="n"/>
      <c r="T1113" s="30" t="n"/>
      <c r="U1113" s="31" t="inlineStr">
        <is>
          <t>高</t>
        </is>
      </c>
      <c r="V1113" s="32" t="inlineStr">
        <is>
          <t>入試広報室は0120-151752</t>
        </is>
      </c>
      <c r="W1113" s="33" t="inlineStr">
        <is>
          <t>開く</t>
        </is>
      </c>
    </row>
    <row r="1114" ht="30" customHeight="1">
      <c r="A1114" s="23" t="inlineStr">
        <is>
          <t>33岡山県</t>
        </is>
      </c>
      <c r="B1114" s="23" t="inlineStr">
        <is>
          <t>私立</t>
        </is>
      </c>
      <c r="C1114" s="23" t="n"/>
      <c r="D1114" s="23" t="inlineStr">
        <is>
          <t>方谷學舎高等学校</t>
        </is>
      </c>
      <c r="E1114" s="24" t="inlineStr">
        <is>
          <t>0866-22-2205</t>
        </is>
      </c>
      <c r="F1114" s="23" t="n"/>
      <c r="G1114" s="25" t="inlineStr">
        <is>
          <t>普通科</t>
        </is>
      </c>
      <c r="H1114" s="26" t="inlineStr">
        <is>
          <t>☐</t>
        </is>
      </c>
      <c r="I1114" s="26" t="inlineStr">
        <is>
          <t>☐</t>
        </is>
      </c>
      <c r="J1114" s="26" t="inlineStr">
        <is>
          <t>☐</t>
        </is>
      </c>
      <c r="K1114" s="26" t="inlineStr">
        <is>
          <t>☐</t>
        </is>
      </c>
      <c r="L1114" s="26" t="inlineStr">
        <is>
          <t>☐</t>
        </is>
      </c>
      <c r="M1114" s="25" t="n"/>
      <c r="N1114" s="27" t="n">
        <v>0</v>
      </c>
      <c r="O1114" s="28" t="n"/>
      <c r="P1114" s="23" t="n"/>
      <c r="Q1114" s="29" t="n"/>
      <c r="R1114" s="29" t="n"/>
      <c r="S1114" s="23" t="n"/>
      <c r="T1114" s="30" t="n"/>
      <c r="U1114" s="31" t="inlineStr">
        <is>
          <t>高</t>
        </is>
      </c>
      <c r="V1114" s="32" t="inlineStr">
        <is>
          <t>2023年6月に「岡山県高梁日新高等学校」から校名変更。事務室番号（教務室は0866-56-0015）</t>
        </is>
      </c>
      <c r="W1114" s="33" t="inlineStr">
        <is>
          <t>開く</t>
        </is>
      </c>
    </row>
    <row r="1115" ht="30" customHeight="1">
      <c r="A1115" s="23" t="inlineStr">
        <is>
          <t>33岡山県</t>
        </is>
      </c>
      <c r="B1115" s="23" t="inlineStr">
        <is>
          <t>私立</t>
        </is>
      </c>
      <c r="C1115" s="23" t="n"/>
      <c r="D1115" s="23" t="inlineStr">
        <is>
          <t>明誠学院高等学校</t>
        </is>
      </c>
      <c r="E1115" s="24" t="inlineStr">
        <is>
          <t>086-252-5247</t>
        </is>
      </c>
      <c r="F1115" s="23" t="n"/>
      <c r="G1115" s="25" t="inlineStr">
        <is>
          <t>普通科</t>
        </is>
      </c>
      <c r="H1115" s="26" t="inlineStr">
        <is>
          <t>☐</t>
        </is>
      </c>
      <c r="I1115" s="26" t="inlineStr">
        <is>
          <t>☐</t>
        </is>
      </c>
      <c r="J1115" s="26" t="inlineStr">
        <is>
          <t>☐</t>
        </is>
      </c>
      <c r="K1115" s="26" t="inlineStr">
        <is>
          <t>☐</t>
        </is>
      </c>
      <c r="L1115" s="26" t="inlineStr">
        <is>
          <t>☐</t>
        </is>
      </c>
      <c r="M1115" s="25" t="n"/>
      <c r="N1115" s="27" t="n">
        <v>0</v>
      </c>
      <c r="O1115" s="28" t="n"/>
      <c r="P1115" s="23" t="n"/>
      <c r="Q1115" s="29" t="n"/>
      <c r="R1115" s="29" t="n"/>
      <c r="S1115" s="23" t="n"/>
      <c r="T1115" s="30" t="n"/>
      <c r="U1115" s="31" t="inlineStr">
        <is>
          <t>高</t>
        </is>
      </c>
      <c r="V1115" s="32" t="n"/>
      <c r="W1115" s="33" t="inlineStr">
        <is>
          <t>開く</t>
        </is>
      </c>
    </row>
    <row r="1116" ht="30" customHeight="1">
      <c r="A1116" s="23" t="inlineStr">
        <is>
          <t>34広島県</t>
        </is>
      </c>
      <c r="B1116" s="23" t="inlineStr">
        <is>
          <t>私立</t>
        </is>
      </c>
      <c r="C1116" s="23" t="n"/>
      <c r="D1116" s="23" t="inlineStr">
        <is>
          <t>AICJ高等学校</t>
        </is>
      </c>
      <c r="E1116" s="24" t="inlineStr">
        <is>
          <t>082-832-5037</t>
        </is>
      </c>
      <c r="F1116" s="23" t="n"/>
      <c r="G1116" s="25" t="inlineStr">
        <is>
          <t>普通科</t>
        </is>
      </c>
      <c r="H1116" s="26" t="inlineStr">
        <is>
          <t>☐</t>
        </is>
      </c>
      <c r="I1116" s="26" t="inlineStr">
        <is>
          <t>☐</t>
        </is>
      </c>
      <c r="J1116" s="26" t="inlineStr">
        <is>
          <t>☐</t>
        </is>
      </c>
      <c r="K1116" s="26" t="inlineStr">
        <is>
          <t>☐</t>
        </is>
      </c>
      <c r="L1116" s="26" t="inlineStr">
        <is>
          <t>☐</t>
        </is>
      </c>
      <c r="M1116" s="25" t="n"/>
      <c r="N1116" s="27" t="n">
        <v>0</v>
      </c>
      <c r="O1116" s="28" t="n"/>
      <c r="P1116" s="23" t="n"/>
      <c r="Q1116" s="29" t="n"/>
      <c r="R1116" s="29" t="n"/>
      <c r="S1116" s="23" t="n"/>
      <c r="T1116" s="30" t="n"/>
      <c r="U1116" s="31" t="inlineStr">
        <is>
          <t>高</t>
        </is>
      </c>
      <c r="V1116" s="32" t="inlineStr">
        <is>
          <t>一部サイトに旧番号らしい082-874-3081の記載あり</t>
        </is>
      </c>
      <c r="W1116" s="33" t="inlineStr">
        <is>
          <t>開く</t>
        </is>
      </c>
    </row>
    <row r="1117" ht="30" customHeight="1">
      <c r="A1117" s="23" t="inlineStr">
        <is>
          <t>34広島県</t>
        </is>
      </c>
      <c r="B1117" s="23" t="inlineStr">
        <is>
          <t>私立</t>
        </is>
      </c>
      <c r="C1117" s="23" t="n"/>
      <c r="D1117" s="23" t="inlineStr">
        <is>
          <t>盈進高等学校</t>
        </is>
      </c>
      <c r="E1117" s="24" t="inlineStr">
        <is>
          <t>084-955-2333</t>
        </is>
      </c>
      <c r="F1117" s="23" t="n"/>
      <c r="G1117" s="25" t="inlineStr">
        <is>
          <t>普通科</t>
        </is>
      </c>
      <c r="H1117" s="26" t="inlineStr">
        <is>
          <t>☐</t>
        </is>
      </c>
      <c r="I1117" s="26" t="inlineStr">
        <is>
          <t>☐</t>
        </is>
      </c>
      <c r="J1117" s="26" t="inlineStr">
        <is>
          <t>☐</t>
        </is>
      </c>
      <c r="K1117" s="26" t="inlineStr">
        <is>
          <t>☐</t>
        </is>
      </c>
      <c r="L1117" s="26" t="inlineStr">
        <is>
          <t>☐</t>
        </is>
      </c>
      <c r="M1117" s="25" t="n"/>
      <c r="N1117" s="27" t="n">
        <v>0</v>
      </c>
      <c r="O1117" s="28" t="n"/>
      <c r="P1117" s="23" t="n"/>
      <c r="Q1117" s="29" t="n"/>
      <c r="R1117" s="29" t="n"/>
      <c r="S1117" s="23" t="n"/>
      <c r="T1117" s="30" t="n"/>
      <c r="U1117" s="31" t="inlineStr">
        <is>
          <t>高</t>
        </is>
      </c>
      <c r="V1117" s="32" t="inlineStr">
        <is>
          <t>中高共通の代表番号</t>
        </is>
      </c>
      <c r="W1117" s="33" t="inlineStr">
        <is>
          <t>開く</t>
        </is>
      </c>
    </row>
    <row r="1118" ht="30" customHeight="1">
      <c r="A1118" s="23" t="inlineStr">
        <is>
          <t>34広島県</t>
        </is>
      </c>
      <c r="B1118" s="23" t="inlineStr">
        <is>
          <t>私立</t>
        </is>
      </c>
      <c r="C1118" s="23" t="n"/>
      <c r="D1118" s="23" t="inlineStr">
        <is>
          <t>英数学館高等学校</t>
        </is>
      </c>
      <c r="E1118" s="24" t="inlineStr">
        <is>
          <t>084-941-4115</t>
        </is>
      </c>
      <c r="F1118" s="23" t="n"/>
      <c r="G1118" s="25" t="inlineStr">
        <is>
          <t>普通科</t>
        </is>
      </c>
      <c r="H1118" s="26" t="inlineStr">
        <is>
          <t>☐</t>
        </is>
      </c>
      <c r="I1118" s="26" t="inlineStr">
        <is>
          <t>☐</t>
        </is>
      </c>
      <c r="J1118" s="26" t="inlineStr">
        <is>
          <t>☐</t>
        </is>
      </c>
      <c r="K1118" s="26" t="inlineStr">
        <is>
          <t>☐</t>
        </is>
      </c>
      <c r="L1118" s="26" t="inlineStr">
        <is>
          <t>☐</t>
        </is>
      </c>
      <c r="M1118" s="25" t="n"/>
      <c r="N1118" s="27" t="n">
        <v>0</v>
      </c>
      <c r="O1118" s="28" t="n"/>
      <c r="P1118" s="23" t="n"/>
      <c r="Q1118" s="29" t="n"/>
      <c r="R1118" s="29" t="n"/>
      <c r="S1118" s="23" t="n"/>
      <c r="T1118" s="30" t="n"/>
      <c r="U1118" s="31" t="inlineStr">
        <is>
          <t>高</t>
        </is>
      </c>
      <c r="V1118" s="32" t="inlineStr">
        <is>
          <t>一部サイトに084-941-4117の記載あり（旧番号か）</t>
        </is>
      </c>
      <c r="W1118" s="33" t="inlineStr">
        <is>
          <t>開く</t>
        </is>
      </c>
    </row>
    <row r="1119" ht="30" customHeight="1">
      <c r="A1119" s="23" t="inlineStr">
        <is>
          <t>34広島県</t>
        </is>
      </c>
      <c r="B1119" s="23" t="inlineStr">
        <is>
          <t>私立</t>
        </is>
      </c>
      <c r="C1119" s="23" t="n"/>
      <c r="D1119" s="23" t="inlineStr">
        <is>
          <t>尾道高等学校</t>
        </is>
      </c>
      <c r="E1119" s="24" t="inlineStr">
        <is>
          <t>0848-20-6612</t>
        </is>
      </c>
      <c r="F1119" s="23" t="n"/>
      <c r="G1119" s="25" t="inlineStr">
        <is>
          <t>普通科・専門学科</t>
        </is>
      </c>
      <c r="H1119" s="26" t="inlineStr">
        <is>
          <t>☐</t>
        </is>
      </c>
      <c r="I1119" s="26" t="inlineStr">
        <is>
          <t>☐</t>
        </is>
      </c>
      <c r="J1119" s="26" t="inlineStr">
        <is>
          <t>☐</t>
        </is>
      </c>
      <c r="K1119" s="26" t="inlineStr">
        <is>
          <t>☐</t>
        </is>
      </c>
      <c r="L1119" s="26" t="inlineStr">
        <is>
          <t>☐</t>
        </is>
      </c>
      <c r="M1119" s="25" t="n"/>
      <c r="N1119" s="27" t="n">
        <v>0</v>
      </c>
      <c r="O1119" s="28" t="n"/>
      <c r="P1119" s="23" t="n"/>
      <c r="Q1119" s="29" t="n"/>
      <c r="R1119" s="29" t="n"/>
      <c r="S1119" s="23" t="n"/>
      <c r="T1119" s="30" t="n"/>
      <c r="U1119" s="31" t="inlineStr">
        <is>
          <t>高</t>
        </is>
      </c>
      <c r="V1119" s="32" t="inlineStr">
        <is>
          <t>2009年に向島町へ移転。旧番号0848-23-2311が残るサイトあり</t>
        </is>
      </c>
      <c r="W1119" s="33" t="inlineStr">
        <is>
          <t>開く</t>
        </is>
      </c>
    </row>
    <row r="1120" ht="30" customHeight="1">
      <c r="A1120" s="23" t="inlineStr">
        <is>
          <t>34広島県</t>
        </is>
      </c>
      <c r="B1120" s="23" t="inlineStr">
        <is>
          <t>私立</t>
        </is>
      </c>
      <c r="C1120" s="23" t="n"/>
      <c r="D1120" s="23" t="inlineStr">
        <is>
          <t>近畿大学附属広島高等学校東広島校</t>
        </is>
      </c>
      <c r="E1120" s="24" t="inlineStr">
        <is>
          <t>082-434-7111</t>
        </is>
      </c>
      <c r="F1120" s="23" t="n"/>
      <c r="G1120" s="25" t="inlineStr">
        <is>
          <t>普通科</t>
        </is>
      </c>
      <c r="H1120" s="26" t="inlineStr">
        <is>
          <t>☐</t>
        </is>
      </c>
      <c r="I1120" s="26" t="inlineStr">
        <is>
          <t>☐</t>
        </is>
      </c>
      <c r="J1120" s="26" t="inlineStr">
        <is>
          <t>☐</t>
        </is>
      </c>
      <c r="K1120" s="26" t="inlineStr">
        <is>
          <t>☐</t>
        </is>
      </c>
      <c r="L1120" s="26" t="inlineStr">
        <is>
          <t>☐</t>
        </is>
      </c>
      <c r="M1120" s="25" t="n"/>
      <c r="N1120" s="27" t="n">
        <v>0</v>
      </c>
      <c r="O1120" s="28" t="n"/>
      <c r="P1120" s="23" t="n"/>
      <c r="Q1120" s="29" t="n"/>
      <c r="R1120" s="29" t="n"/>
      <c r="S1120" s="23" t="n"/>
      <c r="T1120" s="30" t="n"/>
      <c r="U1120" s="31" t="inlineStr">
        <is>
          <t>高</t>
        </is>
      </c>
      <c r="V1120" s="32" t="n"/>
      <c r="W1120" s="33" t="inlineStr">
        <is>
          <t>開く</t>
        </is>
      </c>
    </row>
    <row r="1121" ht="30" customHeight="1">
      <c r="A1121" s="23" t="inlineStr">
        <is>
          <t>34広島県</t>
        </is>
      </c>
      <c r="B1121" s="23" t="inlineStr">
        <is>
          <t>私立</t>
        </is>
      </c>
      <c r="C1121" s="23" t="n"/>
      <c r="D1121" s="23" t="inlineStr">
        <is>
          <t>近畿大学附属広島高等学校福山校</t>
        </is>
      </c>
      <c r="E1121" s="24" t="inlineStr">
        <is>
          <t>084-951-2695</t>
        </is>
      </c>
      <c r="F1121" s="23" t="n"/>
      <c r="G1121" s="25" t="inlineStr">
        <is>
          <t>普通科</t>
        </is>
      </c>
      <c r="H1121" s="26" t="inlineStr">
        <is>
          <t>☐</t>
        </is>
      </c>
      <c r="I1121" s="26" t="inlineStr">
        <is>
          <t>☐</t>
        </is>
      </c>
      <c r="J1121" s="26" t="inlineStr">
        <is>
          <t>☐</t>
        </is>
      </c>
      <c r="K1121" s="26" t="inlineStr">
        <is>
          <t>☐</t>
        </is>
      </c>
      <c r="L1121" s="26" t="inlineStr">
        <is>
          <t>☐</t>
        </is>
      </c>
      <c r="M1121" s="25" t="n"/>
      <c r="N1121" s="27" t="n">
        <v>0</v>
      </c>
      <c r="O1121" s="28" t="n"/>
      <c r="P1121" s="23" t="n"/>
      <c r="Q1121" s="29" t="n"/>
      <c r="R1121" s="29" t="n"/>
      <c r="S1121" s="23" t="n"/>
      <c r="T1121" s="30" t="n"/>
      <c r="U1121" s="31" t="inlineStr">
        <is>
          <t>高</t>
        </is>
      </c>
      <c r="V1121" s="32" t="inlineStr">
        <is>
          <t>旧称は近畿大学附属福山高等学校</t>
        </is>
      </c>
      <c r="W1121" s="33" t="inlineStr">
        <is>
          <t>開く</t>
        </is>
      </c>
    </row>
    <row r="1122" ht="30" customHeight="1">
      <c r="A1122" s="23" t="inlineStr">
        <is>
          <t>34広島県</t>
        </is>
      </c>
      <c r="B1122" s="23" t="inlineStr">
        <is>
          <t>私立</t>
        </is>
      </c>
      <c r="C1122" s="23" t="n"/>
      <c r="D1122" s="23" t="inlineStr">
        <is>
          <t>銀河学院高等学校</t>
        </is>
      </c>
      <c r="E1122" s="24" t="inlineStr">
        <is>
          <t>084-941-9292</t>
        </is>
      </c>
      <c r="F1122" s="23" t="n"/>
      <c r="G1122" s="25" t="inlineStr">
        <is>
          <t>普通科</t>
        </is>
      </c>
      <c r="H1122" s="26" t="inlineStr">
        <is>
          <t>☐</t>
        </is>
      </c>
      <c r="I1122" s="26" t="inlineStr">
        <is>
          <t>☐</t>
        </is>
      </c>
      <c r="J1122" s="26" t="inlineStr">
        <is>
          <t>☐</t>
        </is>
      </c>
      <c r="K1122" s="26" t="inlineStr">
        <is>
          <t>☐</t>
        </is>
      </c>
      <c r="L1122" s="26" t="inlineStr">
        <is>
          <t>☐</t>
        </is>
      </c>
      <c r="M1122" s="25" t="n"/>
      <c r="N1122" s="27" t="n">
        <v>0</v>
      </c>
      <c r="O1122" s="28" t="n"/>
      <c r="P1122" s="23" t="n"/>
      <c r="Q1122" s="29" t="n"/>
      <c r="R1122" s="29" t="n"/>
      <c r="S1122" s="23" t="n"/>
      <c r="T1122" s="30" t="n"/>
      <c r="U1122" s="31" t="inlineStr">
        <is>
          <t>高</t>
        </is>
      </c>
      <c r="V1122" s="32" t="inlineStr">
        <is>
          <t>公式（法人事務室）に記載、複数サイトも一致</t>
        </is>
      </c>
      <c r="W1122" s="33" t="inlineStr">
        <is>
          <t>開く</t>
        </is>
      </c>
    </row>
    <row r="1123" ht="30" customHeight="1">
      <c r="A1123" s="23" t="inlineStr">
        <is>
          <t>34広島県</t>
        </is>
      </c>
      <c r="B1123" s="23" t="inlineStr">
        <is>
          <t>私立</t>
        </is>
      </c>
      <c r="C1123" s="23" t="n"/>
      <c r="D1123" s="23" t="inlineStr">
        <is>
          <t>呉青山高等学校</t>
        </is>
      </c>
      <c r="E1123" s="24" t="inlineStr">
        <is>
          <t>0823-32-1721</t>
        </is>
      </c>
      <c r="F1123" s="23" t="n"/>
      <c r="G1123" s="25" t="inlineStr">
        <is>
          <t>普通科</t>
        </is>
      </c>
      <c r="H1123" s="26" t="inlineStr">
        <is>
          <t>☐</t>
        </is>
      </c>
      <c r="I1123" s="26" t="inlineStr">
        <is>
          <t>☐</t>
        </is>
      </c>
      <c r="J1123" s="26" t="inlineStr">
        <is>
          <t>☐</t>
        </is>
      </c>
      <c r="K1123" s="26" t="inlineStr">
        <is>
          <t>☐</t>
        </is>
      </c>
      <c r="L1123" s="26" t="inlineStr">
        <is>
          <t>☐</t>
        </is>
      </c>
      <c r="M1123" s="25" t="n"/>
      <c r="N1123" s="27" t="n">
        <v>0</v>
      </c>
      <c r="O1123" s="28" t="n"/>
      <c r="P1123" s="23" t="n"/>
      <c r="Q1123" s="29" t="n"/>
      <c r="R1123" s="29" t="n"/>
      <c r="S1123" s="23" t="n"/>
      <c r="T1123" s="30" t="n"/>
      <c r="U1123" s="31" t="inlineStr">
        <is>
          <t>高</t>
        </is>
      </c>
      <c r="V1123" s="32" t="inlineStr">
        <is>
          <t>2027年4月に「星の杜広島中学校・高等学校」へ校名変更予定</t>
        </is>
      </c>
      <c r="W1123" s="33" t="inlineStr">
        <is>
          <t>開く</t>
        </is>
      </c>
    </row>
    <row r="1124" ht="30" customHeight="1">
      <c r="A1124" s="23" t="inlineStr">
        <is>
          <t>34広島県</t>
        </is>
      </c>
      <c r="B1124" s="23" t="inlineStr">
        <is>
          <t>私立</t>
        </is>
      </c>
      <c r="C1124" s="23" t="n"/>
      <c r="D1124" s="23" t="inlineStr">
        <is>
          <t>広陵高等学校</t>
        </is>
      </c>
      <c r="E1124" s="24" t="inlineStr">
        <is>
          <t>082-848-1321</t>
        </is>
      </c>
      <c r="F1124" s="23" t="n"/>
      <c r="G1124" s="25" t="inlineStr">
        <is>
          <t>普通科</t>
        </is>
      </c>
      <c r="H1124" s="26" t="inlineStr">
        <is>
          <t>☐</t>
        </is>
      </c>
      <c r="I1124" s="26" t="inlineStr">
        <is>
          <t>☐</t>
        </is>
      </c>
      <c r="J1124" s="26" t="inlineStr">
        <is>
          <t>☐</t>
        </is>
      </c>
      <c r="K1124" s="26" t="inlineStr">
        <is>
          <t>☐</t>
        </is>
      </c>
      <c r="L1124" s="26" t="inlineStr">
        <is>
          <t>☐</t>
        </is>
      </c>
      <c r="M1124" s="25" t="n"/>
      <c r="N1124" s="27" t="n">
        <v>0</v>
      </c>
      <c r="O1124" s="28" t="n"/>
      <c r="P1124" s="23" t="n"/>
      <c r="Q1124" s="29" t="n"/>
      <c r="R1124" s="29" t="n"/>
      <c r="S1124" s="23" t="n"/>
      <c r="T1124" s="30" t="n"/>
      <c r="U1124" s="31" t="inlineStr">
        <is>
          <t>高</t>
        </is>
      </c>
      <c r="V1124" s="32" t="n"/>
      <c r="W1124" s="33" t="inlineStr">
        <is>
          <t>開く</t>
        </is>
      </c>
    </row>
    <row r="1125" ht="30" customHeight="1">
      <c r="A1125" s="23" t="inlineStr">
        <is>
          <t>34広島県</t>
        </is>
      </c>
      <c r="B1125" s="23" t="inlineStr">
        <is>
          <t>私立</t>
        </is>
      </c>
      <c r="C1125" s="23" t="n"/>
      <c r="D1125" s="23" t="inlineStr">
        <is>
          <t>呉港高等学校</t>
        </is>
      </c>
      <c r="E1125" s="24" t="inlineStr">
        <is>
          <t>0823-71-9163</t>
        </is>
      </c>
      <c r="F1125" s="23" t="n"/>
      <c r="G1125" s="25" t="inlineStr">
        <is>
          <t>普通科・専門学科</t>
        </is>
      </c>
      <c r="H1125" s="26" t="inlineStr">
        <is>
          <t>☐</t>
        </is>
      </c>
      <c r="I1125" s="26" t="inlineStr">
        <is>
          <t>☐</t>
        </is>
      </c>
      <c r="J1125" s="26" t="inlineStr">
        <is>
          <t>☐</t>
        </is>
      </c>
      <c r="K1125" s="26" t="inlineStr">
        <is>
          <t>☐</t>
        </is>
      </c>
      <c r="L1125" s="26" t="inlineStr">
        <is>
          <t>☐</t>
        </is>
      </c>
      <c r="M1125" s="25" t="n"/>
      <c r="N1125" s="27" t="n">
        <v>0</v>
      </c>
      <c r="O1125" s="28" t="n"/>
      <c r="P1125" s="23" t="n"/>
      <c r="Q1125" s="29" t="n"/>
      <c r="R1125" s="29" t="n"/>
      <c r="S1125" s="23" t="n"/>
      <c r="T1125" s="30" t="n"/>
      <c r="U1125" s="31" t="inlineStr">
        <is>
          <t>高</t>
        </is>
      </c>
      <c r="V1125" s="32" t="n"/>
      <c r="W1125" s="33" t="inlineStr">
        <is>
          <t>開く</t>
        </is>
      </c>
    </row>
    <row r="1126" ht="30" customHeight="1">
      <c r="A1126" s="23" t="inlineStr">
        <is>
          <t>34広島県</t>
        </is>
      </c>
      <c r="B1126" s="23" t="inlineStr">
        <is>
          <t>私立</t>
        </is>
      </c>
      <c r="C1126" s="23" t="n"/>
      <c r="D1126" s="23" t="inlineStr">
        <is>
          <t>山陽高等学校</t>
        </is>
      </c>
      <c r="E1126" s="24" t="inlineStr">
        <is>
          <t>082-232-9156</t>
        </is>
      </c>
      <c r="F1126" s="23" t="n"/>
      <c r="G1126" s="25" t="inlineStr">
        <is>
          <t>普通科・専門学科</t>
        </is>
      </c>
      <c r="H1126" s="26" t="inlineStr">
        <is>
          <t>☐</t>
        </is>
      </c>
      <c r="I1126" s="26" t="inlineStr">
        <is>
          <t>☐</t>
        </is>
      </c>
      <c r="J1126" s="26" t="inlineStr">
        <is>
          <t>☐</t>
        </is>
      </c>
      <c r="K1126" s="26" t="inlineStr">
        <is>
          <t>☐</t>
        </is>
      </c>
      <c r="L1126" s="26" t="inlineStr">
        <is>
          <t>☐</t>
        </is>
      </c>
      <c r="M1126" s="25" t="n"/>
      <c r="N1126" s="27" t="n">
        <v>0</v>
      </c>
      <c r="O1126" s="28" t="n"/>
      <c r="P1126" s="23" t="n"/>
      <c r="Q1126" s="29" t="n"/>
      <c r="R1126" s="29" t="n"/>
      <c r="S1126" s="23" t="n"/>
      <c r="T1126" s="30" t="n"/>
      <c r="U1126" s="31" t="inlineStr">
        <is>
          <t>高</t>
        </is>
      </c>
      <c r="V1126" s="32" t="inlineStr">
        <is>
          <t>正式名は広島山陽学園山陽高等学校</t>
        </is>
      </c>
      <c r="W1126" s="33" t="inlineStr">
        <is>
          <t>開く</t>
        </is>
      </c>
    </row>
    <row r="1127" ht="30" customHeight="1">
      <c r="A1127" s="23" t="inlineStr">
        <is>
          <t>34広島県</t>
        </is>
      </c>
      <c r="B1127" s="23" t="inlineStr">
        <is>
          <t>私立</t>
        </is>
      </c>
      <c r="C1127" s="23" t="n"/>
      <c r="D1127" s="23" t="inlineStr">
        <is>
          <t>山陽女学園高等部</t>
        </is>
      </c>
      <c r="E1127" s="24" t="inlineStr">
        <is>
          <t>0829-32-2222</t>
        </is>
      </c>
      <c r="F1127" s="23" t="n"/>
      <c r="G1127" s="25" t="inlineStr">
        <is>
          <t>普通科・専門学科</t>
        </is>
      </c>
      <c r="H1127" s="26" t="inlineStr">
        <is>
          <t>☐</t>
        </is>
      </c>
      <c r="I1127" s="26" t="inlineStr">
        <is>
          <t>☐</t>
        </is>
      </c>
      <c r="J1127" s="26" t="inlineStr">
        <is>
          <t>☐</t>
        </is>
      </c>
      <c r="K1127" s="26" t="inlineStr">
        <is>
          <t>☐</t>
        </is>
      </c>
      <c r="L1127" s="26" t="inlineStr">
        <is>
          <t>☐</t>
        </is>
      </c>
      <c r="M1127" s="25" t="n"/>
      <c r="N1127" s="27" t="n">
        <v>0</v>
      </c>
      <c r="O1127" s="28" t="n"/>
      <c r="P1127" s="23" t="n"/>
      <c r="Q1127" s="29" t="n"/>
      <c r="R1127" s="29" t="n"/>
      <c r="S1127" s="23" t="n"/>
      <c r="T1127" s="30" t="n"/>
      <c r="U1127" s="31" t="inlineStr">
        <is>
          <t>高</t>
        </is>
      </c>
      <c r="V1127" s="32" t="inlineStr">
        <is>
          <t>通信制リアライズコースは0829-32-3330</t>
        </is>
      </c>
      <c r="W1127" s="33" t="inlineStr">
        <is>
          <t>開く</t>
        </is>
      </c>
    </row>
    <row r="1128" ht="30" customHeight="1">
      <c r="A1128" s="23" t="inlineStr">
        <is>
          <t>34広島県</t>
        </is>
      </c>
      <c r="B1128" s="23" t="inlineStr">
        <is>
          <t>私立</t>
        </is>
      </c>
      <c r="C1128" s="23" t="n"/>
      <c r="D1128" s="23" t="inlineStr">
        <is>
          <t>清水ヶ丘高等学校</t>
        </is>
      </c>
      <c r="E1128" s="24" t="inlineStr">
        <is>
          <t>0823-23-1520</t>
        </is>
      </c>
      <c r="F1128" s="23" t="n"/>
      <c r="G1128" s="25" t="inlineStr">
        <is>
          <t>普通科・専門学科</t>
        </is>
      </c>
      <c r="H1128" s="26" t="inlineStr">
        <is>
          <t>☐</t>
        </is>
      </c>
      <c r="I1128" s="26" t="inlineStr">
        <is>
          <t>☐</t>
        </is>
      </c>
      <c r="J1128" s="26" t="inlineStr">
        <is>
          <t>☐</t>
        </is>
      </c>
      <c r="K1128" s="26" t="inlineStr">
        <is>
          <t>☐</t>
        </is>
      </c>
      <c r="L1128" s="26" t="inlineStr">
        <is>
          <t>☐</t>
        </is>
      </c>
      <c r="M1128" s="25" t="n"/>
      <c r="N1128" s="27" t="n">
        <v>0</v>
      </c>
      <c r="O1128" s="28" t="n"/>
      <c r="P1128" s="23" t="n"/>
      <c r="Q1128" s="29" t="n"/>
      <c r="R1128" s="29" t="n"/>
      <c r="S1128" s="23" t="n"/>
      <c r="T1128" s="30" t="n"/>
      <c r="U1128" s="31" t="inlineStr">
        <is>
          <t>高</t>
        </is>
      </c>
      <c r="V1128" s="32" t="inlineStr">
        <is>
          <t>法人事務局は0823-22-0012</t>
        </is>
      </c>
      <c r="W1128" s="33" t="inlineStr">
        <is>
          <t>開く</t>
        </is>
      </c>
    </row>
    <row r="1129" ht="30" customHeight="1">
      <c r="A1129" s="23" t="inlineStr">
        <is>
          <t>34広島県</t>
        </is>
      </c>
      <c r="B1129" s="23" t="inlineStr">
        <is>
          <t>私立</t>
        </is>
      </c>
      <c r="C1129" s="23" t="n"/>
      <c r="D1129" s="23" t="inlineStr">
        <is>
          <t>修道高等学校</t>
        </is>
      </c>
      <c r="E1129" s="24" t="inlineStr">
        <is>
          <t>082-241-8291</t>
        </is>
      </c>
      <c r="F1129" s="23" t="n"/>
      <c r="G1129" s="25" t="inlineStr">
        <is>
          <t>普通科</t>
        </is>
      </c>
      <c r="H1129" s="26" t="inlineStr">
        <is>
          <t>☐</t>
        </is>
      </c>
      <c r="I1129" s="26" t="inlineStr">
        <is>
          <t>☐</t>
        </is>
      </c>
      <c r="J1129" s="26" t="inlineStr">
        <is>
          <t>☐</t>
        </is>
      </c>
      <c r="K1129" s="26" t="inlineStr">
        <is>
          <t>☐</t>
        </is>
      </c>
      <c r="L1129" s="26" t="inlineStr">
        <is>
          <t>☐</t>
        </is>
      </c>
      <c r="M1129" s="25" t="n"/>
      <c r="N1129" s="27" t="n">
        <v>0</v>
      </c>
      <c r="O1129" s="28" t="n"/>
      <c r="P1129" s="23" t="n"/>
      <c r="Q1129" s="29" t="n"/>
      <c r="R1129" s="29" t="n"/>
      <c r="S1129" s="23" t="n"/>
      <c r="T1129" s="30" t="n"/>
      <c r="U1129" s="31" t="inlineStr">
        <is>
          <t>高</t>
        </is>
      </c>
      <c r="V1129" s="32" t="inlineStr">
        <is>
          <t>中高共通の代表番号</t>
        </is>
      </c>
      <c r="W1129" s="33" t="inlineStr">
        <is>
          <t>開く</t>
        </is>
      </c>
    </row>
    <row r="1130" ht="30" customHeight="1">
      <c r="A1130" s="23" t="inlineStr">
        <is>
          <t>34広島県</t>
        </is>
      </c>
      <c r="B1130" s="23" t="inlineStr">
        <is>
          <t>私立</t>
        </is>
      </c>
      <c r="C1130" s="23" t="n"/>
      <c r="D1130" s="23" t="inlineStr">
        <is>
          <t>進徳女子高等学校</t>
        </is>
      </c>
      <c r="E1130" s="24" t="inlineStr">
        <is>
          <t>082-251-6431</t>
        </is>
      </c>
      <c r="F1130" s="23" t="n"/>
      <c r="G1130" s="25" t="inlineStr">
        <is>
          <t>普通科・専門学科</t>
        </is>
      </c>
      <c r="H1130" s="26" t="inlineStr">
        <is>
          <t>☐</t>
        </is>
      </c>
      <c r="I1130" s="26" t="inlineStr">
        <is>
          <t>☐</t>
        </is>
      </c>
      <c r="J1130" s="26" t="inlineStr">
        <is>
          <t>☐</t>
        </is>
      </c>
      <c r="K1130" s="26" t="inlineStr">
        <is>
          <t>☐</t>
        </is>
      </c>
      <c r="L1130" s="26" t="inlineStr">
        <is>
          <t>☐</t>
        </is>
      </c>
      <c r="M1130" s="25" t="n"/>
      <c r="N1130" s="27" t="n">
        <v>0</v>
      </c>
      <c r="O1130" s="28" t="n"/>
      <c r="P1130" s="23" t="n"/>
      <c r="Q1130" s="29" t="n"/>
      <c r="R1130" s="29" t="n"/>
      <c r="S1130" s="23" t="n"/>
      <c r="T1130" s="30" t="n"/>
      <c r="U1130" s="31" t="inlineStr">
        <is>
          <t>高</t>
        </is>
      </c>
      <c r="V1130" s="32" t="n"/>
      <c r="W1130" s="33" t="inlineStr">
        <is>
          <t>開く</t>
        </is>
      </c>
    </row>
    <row r="1131" ht="30" customHeight="1">
      <c r="A1131" s="23" t="inlineStr">
        <is>
          <t>34広島県</t>
        </is>
      </c>
      <c r="B1131" s="23" t="inlineStr">
        <is>
          <t>私立</t>
        </is>
      </c>
      <c r="C1131" s="23" t="n"/>
      <c r="D1131" s="23" t="inlineStr">
        <is>
          <t>如水館高等学校</t>
        </is>
      </c>
      <c r="E1131" s="24" t="inlineStr">
        <is>
          <t>0848-63-2423</t>
        </is>
      </c>
      <c r="F1131" s="23" t="n"/>
      <c r="G1131" s="25" t="inlineStr">
        <is>
          <t>普通科</t>
        </is>
      </c>
      <c r="H1131" s="26" t="inlineStr">
        <is>
          <t>☐</t>
        </is>
      </c>
      <c r="I1131" s="26" t="inlineStr">
        <is>
          <t>☐</t>
        </is>
      </c>
      <c r="J1131" s="26" t="inlineStr">
        <is>
          <t>☐</t>
        </is>
      </c>
      <c r="K1131" s="26" t="inlineStr">
        <is>
          <t>☐</t>
        </is>
      </c>
      <c r="L1131" s="26" t="inlineStr">
        <is>
          <t>☐</t>
        </is>
      </c>
      <c r="M1131" s="25" t="n"/>
      <c r="N1131" s="27" t="n">
        <v>0</v>
      </c>
      <c r="O1131" s="28" t="n"/>
      <c r="P1131" s="23" t="n"/>
      <c r="Q1131" s="29" t="n"/>
      <c r="R1131" s="29" t="n"/>
      <c r="S1131" s="23" t="n"/>
      <c r="T1131" s="30" t="n"/>
      <c r="U1131" s="31" t="inlineStr">
        <is>
          <t>高</t>
        </is>
      </c>
      <c r="V1131" s="32" t="n"/>
      <c r="W1131" s="33" t="inlineStr">
        <is>
          <t>開く</t>
        </is>
      </c>
    </row>
    <row r="1132" ht="30" customHeight="1">
      <c r="A1132" s="23" t="inlineStr">
        <is>
          <t>34広島県</t>
        </is>
      </c>
      <c r="B1132" s="23" t="inlineStr">
        <is>
          <t>私立</t>
        </is>
      </c>
      <c r="C1132" s="23" t="n"/>
      <c r="D1132" s="23" t="inlineStr">
        <is>
          <t>崇徳高等学校</t>
        </is>
      </c>
      <c r="E1132" s="24" t="inlineStr">
        <is>
          <t>082-237-9331</t>
        </is>
      </c>
      <c r="F1132" s="23" t="n"/>
      <c r="G1132" s="25" t="inlineStr">
        <is>
          <t>普通科</t>
        </is>
      </c>
      <c r="H1132" s="26" t="inlineStr">
        <is>
          <t>☐</t>
        </is>
      </c>
      <c r="I1132" s="26" t="inlineStr">
        <is>
          <t>☐</t>
        </is>
      </c>
      <c r="J1132" s="26" t="inlineStr">
        <is>
          <t>☐</t>
        </is>
      </c>
      <c r="K1132" s="26" t="inlineStr">
        <is>
          <t>☐</t>
        </is>
      </c>
      <c r="L1132" s="26" t="inlineStr">
        <is>
          <t>☐</t>
        </is>
      </c>
      <c r="M1132" s="25" t="n"/>
      <c r="N1132" s="27" t="n">
        <v>0</v>
      </c>
      <c r="O1132" s="28" t="n"/>
      <c r="P1132" s="23" t="n"/>
      <c r="Q1132" s="29" t="n"/>
      <c r="R1132" s="29" t="n"/>
      <c r="S1132" s="23" t="n"/>
      <c r="T1132" s="30" t="n"/>
      <c r="U1132" s="31" t="inlineStr">
        <is>
          <t>高</t>
        </is>
      </c>
      <c r="V1132" s="32" t="n"/>
      <c r="W1132" s="33" t="inlineStr">
        <is>
          <t>開く</t>
        </is>
      </c>
    </row>
    <row r="1133" ht="30" customHeight="1">
      <c r="A1133" s="23" t="inlineStr">
        <is>
          <t>34広島県</t>
        </is>
      </c>
      <c r="B1133" s="23" t="inlineStr">
        <is>
          <t>私立</t>
        </is>
      </c>
      <c r="C1133" s="23" t="n"/>
      <c r="D1133" s="23" t="inlineStr">
        <is>
          <t>武田高等学校</t>
        </is>
      </c>
      <c r="E1133" s="24" t="inlineStr">
        <is>
          <t>0823-82-2331</t>
        </is>
      </c>
      <c r="F1133" s="23" t="n"/>
      <c r="G1133" s="25" t="inlineStr">
        <is>
          <t>普通科</t>
        </is>
      </c>
      <c r="H1133" s="26" t="inlineStr">
        <is>
          <t>☐</t>
        </is>
      </c>
      <c r="I1133" s="26" t="inlineStr">
        <is>
          <t>☐</t>
        </is>
      </c>
      <c r="J1133" s="26" t="inlineStr">
        <is>
          <t>☐</t>
        </is>
      </c>
      <c r="K1133" s="26" t="inlineStr">
        <is>
          <t>☐</t>
        </is>
      </c>
      <c r="L1133" s="26" t="inlineStr">
        <is>
          <t>☐</t>
        </is>
      </c>
      <c r="M1133" s="25" t="n"/>
      <c r="N1133" s="27" t="n">
        <v>0</v>
      </c>
      <c r="O1133" s="28" t="n"/>
      <c r="P1133" s="23" t="n"/>
      <c r="Q1133" s="29" t="n"/>
      <c r="R1133" s="29" t="n"/>
      <c r="S1133" s="23" t="n"/>
      <c r="T1133" s="30" t="n"/>
      <c r="U1133" s="31" t="inlineStr">
        <is>
          <t>高</t>
        </is>
      </c>
      <c r="V1133" s="32" t="n"/>
      <c r="W1133" s="33" t="inlineStr">
        <is>
          <t>開く</t>
        </is>
      </c>
    </row>
    <row r="1134" ht="30" customHeight="1">
      <c r="A1134" s="23" t="inlineStr">
        <is>
          <t>34広島県</t>
        </is>
      </c>
      <c r="B1134" s="23" t="inlineStr">
        <is>
          <t>私立</t>
        </is>
      </c>
      <c r="C1134" s="23" t="n"/>
      <c r="D1134" s="23" t="inlineStr">
        <is>
          <t>東林館高等学校</t>
        </is>
      </c>
      <c r="E1134" s="24" t="inlineStr">
        <is>
          <t>084-923-4543</t>
        </is>
      </c>
      <c r="F1134" s="23" t="n"/>
      <c r="G1134" s="25" t="inlineStr">
        <is>
          <t>普通科</t>
        </is>
      </c>
      <c r="H1134" s="26" t="inlineStr">
        <is>
          <t>☐</t>
        </is>
      </c>
      <c r="I1134" s="26" t="inlineStr">
        <is>
          <t>☐</t>
        </is>
      </c>
      <c r="J1134" s="26" t="inlineStr">
        <is>
          <t>☐</t>
        </is>
      </c>
      <c r="K1134" s="26" t="inlineStr">
        <is>
          <t>☐</t>
        </is>
      </c>
      <c r="L1134" s="26" t="inlineStr">
        <is>
          <t>☐</t>
        </is>
      </c>
      <c r="M1134" s="25" t="n"/>
      <c r="N1134" s="27" t="n">
        <v>0</v>
      </c>
      <c r="O1134" s="28" t="n"/>
      <c r="P1134" s="23" t="n"/>
      <c r="Q1134" s="29" t="n"/>
      <c r="R1134" s="29" t="n"/>
      <c r="S1134" s="23" t="n"/>
      <c r="T1134" s="30" t="n"/>
      <c r="U1134" s="31" t="inlineStr">
        <is>
          <t>高</t>
        </is>
      </c>
      <c r="V1134" s="32" t="inlineStr">
        <is>
          <t>通信制。2010年に本校を神石高原町から福山市へ移転。旧番号0847-85-2041が残るサイトあり</t>
        </is>
      </c>
      <c r="W1134" s="33" t="inlineStr">
        <is>
          <t>開く</t>
        </is>
      </c>
    </row>
    <row r="1135" ht="30" customHeight="1">
      <c r="A1135" s="23" t="inlineStr">
        <is>
          <t>34広島県</t>
        </is>
      </c>
      <c r="B1135" s="23" t="inlineStr">
        <is>
          <t>私立</t>
        </is>
      </c>
      <c r="C1135" s="23" t="n"/>
      <c r="D1135" s="23" t="inlineStr">
        <is>
          <t>並木学院高等学校</t>
        </is>
      </c>
      <c r="E1135" s="24" t="inlineStr">
        <is>
          <t>082-241-9066</t>
        </is>
      </c>
      <c r="F1135" s="23" t="n"/>
      <c r="G1135" s="25" t="inlineStr">
        <is>
          <t>普通科</t>
        </is>
      </c>
      <c r="H1135" s="26" t="inlineStr">
        <is>
          <t>☐</t>
        </is>
      </c>
      <c r="I1135" s="26" t="inlineStr">
        <is>
          <t>☐</t>
        </is>
      </c>
      <c r="J1135" s="26" t="inlineStr">
        <is>
          <t>☐</t>
        </is>
      </c>
      <c r="K1135" s="26" t="inlineStr">
        <is>
          <t>☐</t>
        </is>
      </c>
      <c r="L1135" s="26" t="inlineStr">
        <is>
          <t>☐</t>
        </is>
      </c>
      <c r="M1135" s="25" t="n"/>
      <c r="N1135" s="27" t="n">
        <v>0</v>
      </c>
      <c r="O1135" s="28" t="n"/>
      <c r="P1135" s="23" t="n"/>
      <c r="Q1135" s="29" t="n"/>
      <c r="R1135" s="29" t="n"/>
      <c r="S1135" s="23" t="n"/>
      <c r="T1135" s="30" t="n"/>
      <c r="U1135" s="31" t="inlineStr">
        <is>
          <t>高</t>
        </is>
      </c>
      <c r="V1135" s="32" t="inlineStr">
        <is>
          <t>FAXは082-241-5211</t>
        </is>
      </c>
      <c r="W1135" s="33" t="inlineStr">
        <is>
          <t>開く</t>
        </is>
      </c>
    </row>
    <row r="1136" ht="30" customHeight="1">
      <c r="A1136" s="23" t="inlineStr">
        <is>
          <t>34広島県</t>
        </is>
      </c>
      <c r="B1136" s="23" t="inlineStr">
        <is>
          <t>私立</t>
        </is>
      </c>
      <c r="C1136" s="23" t="n"/>
      <c r="D1136" s="23" t="inlineStr">
        <is>
          <t>ノートルダム清心高等学校</t>
        </is>
      </c>
      <c r="E1136" s="24" t="inlineStr">
        <is>
          <t>082-271-1724</t>
        </is>
      </c>
      <c r="F1136" s="23" t="n"/>
      <c r="G1136" s="25" t="inlineStr">
        <is>
          <t>普通科</t>
        </is>
      </c>
      <c r="H1136" s="26" t="inlineStr">
        <is>
          <t>☐</t>
        </is>
      </c>
      <c r="I1136" s="26" t="inlineStr">
        <is>
          <t>☐</t>
        </is>
      </c>
      <c r="J1136" s="26" t="inlineStr">
        <is>
          <t>☐</t>
        </is>
      </c>
      <c r="K1136" s="26" t="inlineStr">
        <is>
          <t>☐</t>
        </is>
      </c>
      <c r="L1136" s="26" t="inlineStr">
        <is>
          <t>☐</t>
        </is>
      </c>
      <c r="M1136" s="25" t="n"/>
      <c r="N1136" s="27" t="n">
        <v>0</v>
      </c>
      <c r="O1136" s="28" t="n"/>
      <c r="P1136" s="23" t="n"/>
      <c r="Q1136" s="29" t="n"/>
      <c r="R1136" s="29" t="n"/>
      <c r="S1136" s="23" t="n"/>
      <c r="T1136" s="30" t="n"/>
      <c r="U1136" s="31" t="inlineStr">
        <is>
          <t>高</t>
        </is>
      </c>
      <c r="V1136" s="32" t="inlineStr">
        <is>
          <t>中高共通番号</t>
        </is>
      </c>
      <c r="W1136" s="33" t="inlineStr">
        <is>
          <t>開く</t>
        </is>
      </c>
    </row>
    <row r="1137" ht="30" customHeight="1">
      <c r="A1137" s="23" t="inlineStr">
        <is>
          <t>34広島県</t>
        </is>
      </c>
      <c r="B1137" s="23" t="inlineStr">
        <is>
          <t>私立</t>
        </is>
      </c>
      <c r="C1137" s="23" t="n"/>
      <c r="D1137" s="23" t="inlineStr">
        <is>
          <t>比治山学園高等学校</t>
        </is>
      </c>
      <c r="E1137" s="24" t="inlineStr">
        <is>
          <t>082-251-4478</t>
        </is>
      </c>
      <c r="F1137" s="23" t="n"/>
      <c r="G1137" s="25" t="inlineStr">
        <is>
          <t>普通科</t>
        </is>
      </c>
      <c r="H1137" s="26" t="inlineStr">
        <is>
          <t>☐</t>
        </is>
      </c>
      <c r="I1137" s="26" t="inlineStr">
        <is>
          <t>☐</t>
        </is>
      </c>
      <c r="J1137" s="26" t="inlineStr">
        <is>
          <t>☐</t>
        </is>
      </c>
      <c r="K1137" s="26" t="inlineStr">
        <is>
          <t>☐</t>
        </is>
      </c>
      <c r="L1137" s="26" t="inlineStr">
        <is>
          <t>☐</t>
        </is>
      </c>
      <c r="M1137" s="25" t="n"/>
      <c r="N1137" s="27" t="n">
        <v>0</v>
      </c>
      <c r="O1137" s="28" t="n"/>
      <c r="P1137" s="23" t="n"/>
      <c r="Q1137" s="29" t="n"/>
      <c r="R1137" s="29" t="n"/>
      <c r="S1137" s="23" t="n"/>
      <c r="T1137" s="30" t="n"/>
      <c r="U1137" s="31" t="inlineStr">
        <is>
          <t>高</t>
        </is>
      </c>
      <c r="V1137" s="32" t="inlineStr">
        <is>
          <t>旧・比治山女子。2026年4月に共学化・校名変更。新サイト https://www.hijiyama-h.ed.jp/</t>
        </is>
      </c>
      <c r="W1137" s="33" t="inlineStr">
        <is>
          <t>開く</t>
        </is>
      </c>
    </row>
    <row r="1138" ht="30" customHeight="1">
      <c r="A1138" s="23" t="inlineStr">
        <is>
          <t>34広島県</t>
        </is>
      </c>
      <c r="B1138" s="23" t="inlineStr">
        <is>
          <t>私立</t>
        </is>
      </c>
      <c r="C1138" s="23" t="n"/>
      <c r="D1138" s="23" t="inlineStr">
        <is>
          <t>広島学院高等学校</t>
        </is>
      </c>
      <c r="E1138" s="24" t="inlineStr">
        <is>
          <t>082-271-0241</t>
        </is>
      </c>
      <c r="F1138" s="23" t="n"/>
      <c r="G1138" s="25" t="inlineStr">
        <is>
          <t>普通科</t>
        </is>
      </c>
      <c r="H1138" s="26" t="inlineStr">
        <is>
          <t>☐</t>
        </is>
      </c>
      <c r="I1138" s="26" t="inlineStr">
        <is>
          <t>☐</t>
        </is>
      </c>
      <c r="J1138" s="26" t="inlineStr">
        <is>
          <t>☐</t>
        </is>
      </c>
      <c r="K1138" s="26" t="inlineStr">
        <is>
          <t>☐</t>
        </is>
      </c>
      <c r="L1138" s="26" t="inlineStr">
        <is>
          <t>☐</t>
        </is>
      </c>
      <c r="M1138" s="25" t="n"/>
      <c r="N1138" s="27" t="n">
        <v>0</v>
      </c>
      <c r="O1138" s="28" t="n"/>
      <c r="P1138" s="23" t="n"/>
      <c r="Q1138" s="29" t="n"/>
      <c r="R1138" s="29" t="n"/>
      <c r="S1138" s="23" t="n"/>
      <c r="T1138" s="30" t="n"/>
      <c r="U1138" s="31" t="inlineStr">
        <is>
          <t>高</t>
        </is>
      </c>
      <c r="V1138" s="32" t="inlineStr">
        <is>
          <t>中高共通番号</t>
        </is>
      </c>
      <c r="W1138" s="33" t="inlineStr">
        <is>
          <t>開く</t>
        </is>
      </c>
    </row>
    <row r="1139" ht="30" customHeight="1">
      <c r="A1139" s="23" t="inlineStr">
        <is>
          <t>34広島県</t>
        </is>
      </c>
      <c r="B1139" s="23" t="inlineStr">
        <is>
          <t>私立</t>
        </is>
      </c>
      <c r="C1139" s="23" t="n"/>
      <c r="D1139" s="23" t="inlineStr">
        <is>
          <t>広島工業大学高等学校</t>
        </is>
      </c>
      <c r="E1139" s="24" t="inlineStr">
        <is>
          <t>082-277-9205</t>
        </is>
      </c>
      <c r="F1139" s="23" t="n"/>
      <c r="G1139" s="25" t="inlineStr">
        <is>
          <t>普通科</t>
        </is>
      </c>
      <c r="H1139" s="26" t="inlineStr">
        <is>
          <t>☐</t>
        </is>
      </c>
      <c r="I1139" s="26" t="inlineStr">
        <is>
          <t>☐</t>
        </is>
      </c>
      <c r="J1139" s="26" t="inlineStr">
        <is>
          <t>☐</t>
        </is>
      </c>
      <c r="K1139" s="26" t="inlineStr">
        <is>
          <t>☐</t>
        </is>
      </c>
      <c r="L1139" s="26" t="inlineStr">
        <is>
          <t>☐</t>
        </is>
      </c>
      <c r="M1139" s="25" t="n"/>
      <c r="N1139" s="27" t="n">
        <v>0</v>
      </c>
      <c r="O1139" s="28" t="n"/>
      <c r="P1139" s="23" t="n"/>
      <c r="Q1139" s="29" t="n"/>
      <c r="R1139" s="29" t="n"/>
      <c r="S1139" s="23" t="n"/>
      <c r="T1139" s="30" t="n"/>
      <c r="U1139" s="31" t="inlineStr">
        <is>
          <t>高</t>
        </is>
      </c>
      <c r="V1139" s="32" t="inlineStr">
        <is>
          <t>全日制（西区）。通信制（安佐南区）は082-849-6755</t>
        </is>
      </c>
      <c r="W1139" s="33" t="inlineStr">
        <is>
          <t>開く</t>
        </is>
      </c>
    </row>
    <row r="1140" ht="30" customHeight="1">
      <c r="A1140" s="23" t="inlineStr">
        <is>
          <t>34広島県</t>
        </is>
      </c>
      <c r="B1140" s="23" t="inlineStr">
        <is>
          <t>私立</t>
        </is>
      </c>
      <c r="C1140" s="23" t="n"/>
      <c r="D1140" s="23" t="inlineStr">
        <is>
          <t>広島国際学院高等学校</t>
        </is>
      </c>
      <c r="E1140" s="24" t="inlineStr">
        <is>
          <t>082-823-3401</t>
        </is>
      </c>
      <c r="F1140" s="23" t="n"/>
      <c r="G1140" s="25" t="inlineStr">
        <is>
          <t>普通科・総合学科</t>
        </is>
      </c>
      <c r="H1140" s="26" t="inlineStr">
        <is>
          <t>☐</t>
        </is>
      </c>
      <c r="I1140" s="26" t="inlineStr">
        <is>
          <t>☐</t>
        </is>
      </c>
      <c r="J1140" s="26" t="inlineStr">
        <is>
          <t>☐</t>
        </is>
      </c>
      <c r="K1140" s="26" t="inlineStr">
        <is>
          <t>☐</t>
        </is>
      </c>
      <c r="L1140" s="26" t="inlineStr">
        <is>
          <t>☐</t>
        </is>
      </c>
      <c r="M1140" s="25" t="n"/>
      <c r="N1140" s="27" t="n">
        <v>0</v>
      </c>
      <c r="O1140" s="28" t="n"/>
      <c r="P1140" s="23" t="n"/>
      <c r="Q1140" s="29" t="n"/>
      <c r="R1140" s="29" t="n"/>
      <c r="S1140" s="23" t="n"/>
      <c r="T1140" s="30" t="n"/>
      <c r="U1140" s="31" t="inlineStr">
        <is>
          <t>高</t>
        </is>
      </c>
      <c r="V1140" s="32" t="inlineStr">
        <is>
          <t>全日制（海田町）。通信制の中野キャンパスは082-820-2515</t>
        </is>
      </c>
      <c r="W1140" s="33" t="inlineStr">
        <is>
          <t>開く</t>
        </is>
      </c>
    </row>
    <row r="1141" ht="30" customHeight="1">
      <c r="A1141" s="23" t="inlineStr">
        <is>
          <t>34広島県</t>
        </is>
      </c>
      <c r="B1141" s="23" t="inlineStr">
        <is>
          <t>私立</t>
        </is>
      </c>
      <c r="C1141" s="23" t="n"/>
      <c r="D1141" s="23" t="inlineStr">
        <is>
          <t>広島桜が丘高等学校</t>
        </is>
      </c>
      <c r="E1141" s="24" t="inlineStr">
        <is>
          <t>082-262-0128</t>
        </is>
      </c>
      <c r="F1141" s="23" t="n"/>
      <c r="G1141" s="25" t="inlineStr">
        <is>
          <t>普通科</t>
        </is>
      </c>
      <c r="H1141" s="26" t="inlineStr">
        <is>
          <t>☐</t>
        </is>
      </c>
      <c r="I1141" s="26" t="inlineStr">
        <is>
          <t>☐</t>
        </is>
      </c>
      <c r="J1141" s="26" t="inlineStr">
        <is>
          <t>☐</t>
        </is>
      </c>
      <c r="K1141" s="26" t="inlineStr">
        <is>
          <t>☐</t>
        </is>
      </c>
      <c r="L1141" s="26" t="inlineStr">
        <is>
          <t>☐</t>
        </is>
      </c>
      <c r="M1141" s="25" t="n"/>
      <c r="N1141" s="27" t="n">
        <v>0</v>
      </c>
      <c r="O1141" s="28" t="n"/>
      <c r="P1141" s="23" t="n"/>
      <c r="Q1141" s="29" t="n"/>
      <c r="R1141" s="29" t="n"/>
      <c r="S1141" s="23" t="n"/>
      <c r="T1141" s="30" t="n"/>
      <c r="U1141" s="34" t="inlineStr">
        <is>
          <t>中</t>
        </is>
      </c>
      <c r="V1141" s="32" t="inlineStr">
        <is>
          <t>公式未確認、複数サイトで一致</t>
        </is>
      </c>
      <c r="W1141" s="33" t="inlineStr">
        <is>
          <t>開く</t>
        </is>
      </c>
    </row>
    <row r="1142" ht="30" customHeight="1">
      <c r="A1142" s="23" t="inlineStr">
        <is>
          <t>34広島県</t>
        </is>
      </c>
      <c r="B1142" s="23" t="inlineStr">
        <is>
          <t>私立</t>
        </is>
      </c>
      <c r="C1142" s="23" t="n"/>
      <c r="D1142" s="23" t="inlineStr">
        <is>
          <t>広島三育学院高等学校</t>
        </is>
      </c>
      <c r="E1142" s="24" t="inlineStr">
        <is>
          <t>0847-33-0311</t>
        </is>
      </c>
      <c r="F1142" s="23" t="n"/>
      <c r="G1142" s="25" t="inlineStr">
        <is>
          <t>普通科</t>
        </is>
      </c>
      <c r="H1142" s="26" t="inlineStr">
        <is>
          <t>☐</t>
        </is>
      </c>
      <c r="I1142" s="26" t="inlineStr">
        <is>
          <t>☐</t>
        </is>
      </c>
      <c r="J1142" s="26" t="inlineStr">
        <is>
          <t>☐</t>
        </is>
      </c>
      <c r="K1142" s="26" t="inlineStr">
        <is>
          <t>☐</t>
        </is>
      </c>
      <c r="L1142" s="26" t="inlineStr">
        <is>
          <t>☐</t>
        </is>
      </c>
      <c r="M1142" s="25" t="n"/>
      <c r="N1142" s="27" t="n">
        <v>0</v>
      </c>
      <c r="O1142" s="28" t="n"/>
      <c r="P1142" s="23" t="n"/>
      <c r="Q1142" s="29" t="n"/>
      <c r="R1142" s="29" t="n"/>
      <c r="S1142" s="23" t="n"/>
      <c r="T1142" s="30" t="n"/>
      <c r="U1142" s="31" t="inlineStr">
        <is>
          <t>高</t>
        </is>
      </c>
      <c r="V1142" s="32" t="n"/>
      <c r="W1142" s="33" t="inlineStr">
        <is>
          <t>開く</t>
        </is>
      </c>
    </row>
    <row r="1143" ht="30" customHeight="1">
      <c r="A1143" s="23" t="inlineStr">
        <is>
          <t>34広島県</t>
        </is>
      </c>
      <c r="B1143" s="23" t="inlineStr">
        <is>
          <t>私立</t>
        </is>
      </c>
      <c r="C1143" s="23" t="n"/>
      <c r="D1143" s="23" t="inlineStr">
        <is>
          <t>広島修道大学ひろしま協創高等学校</t>
        </is>
      </c>
      <c r="E1143" s="24" t="inlineStr">
        <is>
          <t>082-278-1101</t>
        </is>
      </c>
      <c r="F1143" s="23" t="n"/>
      <c r="G1143" s="25" t="inlineStr">
        <is>
          <t>普通科</t>
        </is>
      </c>
      <c r="H1143" s="26" t="inlineStr">
        <is>
          <t>☐</t>
        </is>
      </c>
      <c r="I1143" s="26" t="inlineStr">
        <is>
          <t>☐</t>
        </is>
      </c>
      <c r="J1143" s="26" t="inlineStr">
        <is>
          <t>☐</t>
        </is>
      </c>
      <c r="K1143" s="26" t="inlineStr">
        <is>
          <t>☐</t>
        </is>
      </c>
      <c r="L1143" s="26" t="inlineStr">
        <is>
          <t>☐</t>
        </is>
      </c>
      <c r="M1143" s="25" t="n"/>
      <c r="N1143" s="27" t="n">
        <v>0</v>
      </c>
      <c r="O1143" s="28" t="n"/>
      <c r="P1143" s="23" t="n"/>
      <c r="Q1143" s="29" t="n"/>
      <c r="R1143" s="29" t="n"/>
      <c r="S1143" s="23" t="n"/>
      <c r="T1143" s="30" t="n"/>
      <c r="U1143" s="31" t="inlineStr">
        <is>
          <t>高</t>
        </is>
      </c>
      <c r="V1143" s="32" t="n"/>
      <c r="W1143" s="33" t="inlineStr">
        <is>
          <t>開く</t>
        </is>
      </c>
    </row>
    <row r="1144" ht="30" customHeight="1">
      <c r="A1144" s="23" t="inlineStr">
        <is>
          <t>34広島県</t>
        </is>
      </c>
      <c r="B1144" s="23" t="inlineStr">
        <is>
          <t>私立</t>
        </is>
      </c>
      <c r="C1144" s="23" t="n"/>
      <c r="D1144" s="23" t="inlineStr">
        <is>
          <t>広島翔洋高等学校</t>
        </is>
      </c>
      <c r="E1144" s="24" t="inlineStr">
        <is>
          <t>082-884-1616</t>
        </is>
      </c>
      <c r="F1144" s="23" t="n"/>
      <c r="G1144" s="25" t="inlineStr">
        <is>
          <t>普通科・専門学科</t>
        </is>
      </c>
      <c r="H1144" s="26" t="inlineStr">
        <is>
          <t>☐</t>
        </is>
      </c>
      <c r="I1144" s="26" t="inlineStr">
        <is>
          <t>☐</t>
        </is>
      </c>
      <c r="J1144" s="26" t="inlineStr">
        <is>
          <t>☐</t>
        </is>
      </c>
      <c r="K1144" s="26" t="inlineStr">
        <is>
          <t>☐</t>
        </is>
      </c>
      <c r="L1144" s="26" t="inlineStr">
        <is>
          <t>☐</t>
        </is>
      </c>
      <c r="M1144" s="25" t="n"/>
      <c r="N1144" s="27" t="n">
        <v>0</v>
      </c>
      <c r="O1144" s="28" t="n"/>
      <c r="P1144" s="23" t="n"/>
      <c r="Q1144" s="29" t="n"/>
      <c r="R1144" s="29" t="n"/>
      <c r="S1144" s="23" t="n"/>
      <c r="T1144" s="30" t="n"/>
      <c r="U1144" s="31" t="inlineStr">
        <is>
          <t>高</t>
        </is>
      </c>
      <c r="V1144" s="32" t="n"/>
      <c r="W1144" s="33" t="inlineStr">
        <is>
          <t>開く</t>
        </is>
      </c>
    </row>
    <row r="1145" ht="30" customHeight="1">
      <c r="A1145" s="23" t="inlineStr">
        <is>
          <t>34広島県</t>
        </is>
      </c>
      <c r="B1145" s="23" t="inlineStr">
        <is>
          <t>私立</t>
        </is>
      </c>
      <c r="C1145" s="23" t="n"/>
      <c r="D1145" s="23" t="inlineStr">
        <is>
          <t>広島新庄高等学校</t>
        </is>
      </c>
      <c r="E1145" s="24" t="inlineStr">
        <is>
          <t>0826-82-2323</t>
        </is>
      </c>
      <c r="F1145" s="23" t="n"/>
      <c r="G1145" s="25" t="inlineStr">
        <is>
          <t>普通科</t>
        </is>
      </c>
      <c r="H1145" s="26" t="inlineStr">
        <is>
          <t>☐</t>
        </is>
      </c>
      <c r="I1145" s="26" t="inlineStr">
        <is>
          <t>☐</t>
        </is>
      </c>
      <c r="J1145" s="26" t="inlineStr">
        <is>
          <t>☐</t>
        </is>
      </c>
      <c r="K1145" s="26" t="inlineStr">
        <is>
          <t>☐</t>
        </is>
      </c>
      <c r="L1145" s="26" t="inlineStr">
        <is>
          <t>☐</t>
        </is>
      </c>
      <c r="M1145" s="25" t="n"/>
      <c r="N1145" s="27" t="n">
        <v>0</v>
      </c>
      <c r="O1145" s="28" t="n"/>
      <c r="P1145" s="23" t="n"/>
      <c r="Q1145" s="29" t="n"/>
      <c r="R1145" s="29" t="n"/>
      <c r="S1145" s="23" t="n"/>
      <c r="T1145" s="30" t="n"/>
      <c r="U1145" s="31" t="inlineStr">
        <is>
          <t>高</t>
        </is>
      </c>
      <c r="V1145" s="32" t="n"/>
      <c r="W1145" s="33" t="inlineStr">
        <is>
          <t>開く</t>
        </is>
      </c>
    </row>
    <row r="1146" ht="30" customHeight="1">
      <c r="A1146" s="23" t="inlineStr">
        <is>
          <t>34広島県</t>
        </is>
      </c>
      <c r="B1146" s="23" t="inlineStr">
        <is>
          <t>私立</t>
        </is>
      </c>
      <c r="C1146" s="23" t="n"/>
      <c r="D1146" s="23" t="inlineStr">
        <is>
          <t>広島城北高等学校</t>
        </is>
      </c>
      <c r="E1146" s="24" t="inlineStr">
        <is>
          <t>082-229-0111</t>
        </is>
      </c>
      <c r="F1146" s="23" t="n"/>
      <c r="G1146" s="25" t="inlineStr">
        <is>
          <t>普通科</t>
        </is>
      </c>
      <c r="H1146" s="26" t="inlineStr">
        <is>
          <t>☐</t>
        </is>
      </c>
      <c r="I1146" s="26" t="inlineStr">
        <is>
          <t>☐</t>
        </is>
      </c>
      <c r="J1146" s="26" t="inlineStr">
        <is>
          <t>☐</t>
        </is>
      </c>
      <c r="K1146" s="26" t="inlineStr">
        <is>
          <t>☐</t>
        </is>
      </c>
      <c r="L1146" s="26" t="inlineStr">
        <is>
          <t>☐</t>
        </is>
      </c>
      <c r="M1146" s="25" t="n"/>
      <c r="N1146" s="27" t="n">
        <v>0</v>
      </c>
      <c r="O1146" s="28" t="n"/>
      <c r="P1146" s="23" t="n"/>
      <c r="Q1146" s="29" t="n"/>
      <c r="R1146" s="29" t="n"/>
      <c r="S1146" s="23" t="n"/>
      <c r="T1146" s="30" t="n"/>
      <c r="U1146" s="31" t="inlineStr">
        <is>
          <t>高</t>
        </is>
      </c>
      <c r="V1146" s="32" t="n"/>
      <c r="W1146" s="33" t="inlineStr">
        <is>
          <t>開く</t>
        </is>
      </c>
    </row>
    <row r="1147" ht="30" customHeight="1">
      <c r="A1147" s="23" t="inlineStr">
        <is>
          <t>34広島県</t>
        </is>
      </c>
      <c r="B1147" s="23" t="inlineStr">
        <is>
          <t>私立</t>
        </is>
      </c>
      <c r="C1147" s="23" t="n"/>
      <c r="D1147" s="23" t="inlineStr">
        <is>
          <t>広島女学院高等学校</t>
        </is>
      </c>
      <c r="E1147" s="24" t="inlineStr">
        <is>
          <t>082-228-4131</t>
        </is>
      </c>
      <c r="F1147" s="23" t="n"/>
      <c r="G1147" s="25" t="inlineStr">
        <is>
          <t>普通科</t>
        </is>
      </c>
      <c r="H1147" s="26" t="inlineStr">
        <is>
          <t>☐</t>
        </is>
      </c>
      <c r="I1147" s="26" t="inlineStr">
        <is>
          <t>☐</t>
        </is>
      </c>
      <c r="J1147" s="26" t="inlineStr">
        <is>
          <t>☐</t>
        </is>
      </c>
      <c r="K1147" s="26" t="inlineStr">
        <is>
          <t>☐</t>
        </is>
      </c>
      <c r="L1147" s="26" t="inlineStr">
        <is>
          <t>☐</t>
        </is>
      </c>
      <c r="M1147" s="25" t="n"/>
      <c r="N1147" s="27" t="n">
        <v>0</v>
      </c>
      <c r="O1147" s="28" t="n"/>
      <c r="P1147" s="23" t="n"/>
      <c r="Q1147" s="29" t="n"/>
      <c r="R1147" s="29" t="n"/>
      <c r="S1147" s="23" t="n"/>
      <c r="T1147" s="30" t="n"/>
      <c r="U1147" s="31" t="inlineStr">
        <is>
          <t>高</t>
        </is>
      </c>
      <c r="V1147" s="32" t="n"/>
      <c r="W1147" s="33" t="inlineStr">
        <is>
          <t>開く</t>
        </is>
      </c>
    </row>
    <row r="1148" ht="30" customHeight="1">
      <c r="A1148" s="23" t="inlineStr">
        <is>
          <t>34広島県</t>
        </is>
      </c>
      <c r="B1148" s="23" t="inlineStr">
        <is>
          <t>私立</t>
        </is>
      </c>
      <c r="C1148" s="23" t="n"/>
      <c r="D1148" s="23" t="inlineStr">
        <is>
          <t>広島県瀬戸内高等学校</t>
        </is>
      </c>
      <c r="E1148" s="24" t="inlineStr">
        <is>
          <t>082-261-1296</t>
        </is>
      </c>
      <c r="F1148" s="23" t="n"/>
      <c r="G1148" s="25" t="inlineStr">
        <is>
          <t>普通科</t>
        </is>
      </c>
      <c r="H1148" s="26" t="inlineStr">
        <is>
          <t>☐</t>
        </is>
      </c>
      <c r="I1148" s="26" t="inlineStr">
        <is>
          <t>☐</t>
        </is>
      </c>
      <c r="J1148" s="26" t="inlineStr">
        <is>
          <t>☐</t>
        </is>
      </c>
      <c r="K1148" s="26" t="inlineStr">
        <is>
          <t>☐</t>
        </is>
      </c>
      <c r="L1148" s="26" t="inlineStr">
        <is>
          <t>☐</t>
        </is>
      </c>
      <c r="M1148" s="25" t="n"/>
      <c r="N1148" s="27" t="n">
        <v>0</v>
      </c>
      <c r="O1148" s="28" t="n"/>
      <c r="P1148" s="23" t="n"/>
      <c r="Q1148" s="29" t="n"/>
      <c r="R1148" s="29" t="n"/>
      <c r="S1148" s="23" t="n"/>
      <c r="T1148" s="30" t="n"/>
      <c r="U1148" s="31" t="inlineStr">
        <is>
          <t>高</t>
        </is>
      </c>
      <c r="V1148" s="32" t="inlineStr">
        <is>
          <t>公式では入試広報部の番号として掲載。082-261-1298とするサイトもあり</t>
        </is>
      </c>
      <c r="W1148" s="33" t="inlineStr">
        <is>
          <t>開く</t>
        </is>
      </c>
    </row>
    <row r="1149" ht="30" customHeight="1">
      <c r="A1149" s="23" t="inlineStr">
        <is>
          <t>34広島県</t>
        </is>
      </c>
      <c r="B1149" s="23" t="inlineStr">
        <is>
          <t>私立</t>
        </is>
      </c>
      <c r="C1149" s="23" t="n"/>
      <c r="D1149" s="23" t="inlineStr">
        <is>
          <t>広島なぎさ高等学校</t>
        </is>
      </c>
      <c r="E1149" s="24" t="inlineStr">
        <is>
          <t>082-921-2137</t>
        </is>
      </c>
      <c r="F1149" s="23" t="n"/>
      <c r="G1149" s="25" t="inlineStr">
        <is>
          <t>普通科</t>
        </is>
      </c>
      <c r="H1149" s="26" t="inlineStr">
        <is>
          <t>☐</t>
        </is>
      </c>
      <c r="I1149" s="26" t="inlineStr">
        <is>
          <t>☐</t>
        </is>
      </c>
      <c r="J1149" s="26" t="inlineStr">
        <is>
          <t>☐</t>
        </is>
      </c>
      <c r="K1149" s="26" t="inlineStr">
        <is>
          <t>☐</t>
        </is>
      </c>
      <c r="L1149" s="26" t="inlineStr">
        <is>
          <t>☐</t>
        </is>
      </c>
      <c r="M1149" s="25" t="n"/>
      <c r="N1149" s="27" t="n">
        <v>0</v>
      </c>
      <c r="O1149" s="28" t="n"/>
      <c r="P1149" s="23" t="n"/>
      <c r="Q1149" s="29" t="n"/>
      <c r="R1149" s="29" t="n"/>
      <c r="S1149" s="23" t="n"/>
      <c r="T1149" s="30" t="n"/>
      <c r="U1149" s="31" t="inlineStr">
        <is>
          <t>高</t>
        </is>
      </c>
      <c r="V1149" s="32" t="n"/>
      <c r="W1149" s="33" t="inlineStr">
        <is>
          <t>開く</t>
        </is>
      </c>
    </row>
    <row r="1150" ht="30" customHeight="1">
      <c r="A1150" s="23" t="inlineStr">
        <is>
          <t>34広島県</t>
        </is>
      </c>
      <c r="B1150" s="23" t="inlineStr">
        <is>
          <t>私立</t>
        </is>
      </c>
      <c r="C1150" s="23" t="n"/>
      <c r="D1150" s="23" t="inlineStr">
        <is>
          <t>広島文教大学附属高等学校</t>
        </is>
      </c>
      <c r="E1150" s="24" t="inlineStr">
        <is>
          <t>082-814-3192</t>
        </is>
      </c>
      <c r="F1150" s="23" t="n"/>
      <c r="G1150" s="25" t="inlineStr">
        <is>
          <t>普通科</t>
        </is>
      </c>
      <c r="H1150" s="26" t="inlineStr">
        <is>
          <t>☐</t>
        </is>
      </c>
      <c r="I1150" s="26" t="inlineStr">
        <is>
          <t>☐</t>
        </is>
      </c>
      <c r="J1150" s="26" t="inlineStr">
        <is>
          <t>☐</t>
        </is>
      </c>
      <c r="K1150" s="26" t="inlineStr">
        <is>
          <t>☐</t>
        </is>
      </c>
      <c r="L1150" s="26" t="inlineStr">
        <is>
          <t>☐</t>
        </is>
      </c>
      <c r="M1150" s="25" t="n"/>
      <c r="N1150" s="27" t="n">
        <v>0</v>
      </c>
      <c r="O1150" s="28" t="n"/>
      <c r="P1150" s="23" t="n"/>
      <c r="Q1150" s="29" t="n"/>
      <c r="R1150" s="29" t="n"/>
      <c r="S1150" s="23" t="n"/>
      <c r="T1150" s="30" t="n"/>
      <c r="U1150" s="31" t="inlineStr">
        <is>
          <t>高</t>
        </is>
      </c>
      <c r="V1150" s="32" t="n"/>
      <c r="W1150" s="33" t="inlineStr">
        <is>
          <t>開く</t>
        </is>
      </c>
    </row>
    <row r="1151" ht="30" customHeight="1">
      <c r="A1151" s="23" t="inlineStr">
        <is>
          <t>34広島県</t>
        </is>
      </c>
      <c r="B1151" s="23" t="inlineStr">
        <is>
          <t>私立</t>
        </is>
      </c>
      <c r="C1151" s="23" t="n"/>
      <c r="D1151" s="23" t="inlineStr">
        <is>
          <t>福山暁の星女子高等学校</t>
        </is>
      </c>
      <c r="E1151" s="24" t="inlineStr">
        <is>
          <t>084-922-1682</t>
        </is>
      </c>
      <c r="F1151" s="23" t="n"/>
      <c r="G1151" s="25" t="inlineStr">
        <is>
          <t>普通科</t>
        </is>
      </c>
      <c r="H1151" s="26" t="inlineStr">
        <is>
          <t>☐</t>
        </is>
      </c>
      <c r="I1151" s="26" t="inlineStr">
        <is>
          <t>☐</t>
        </is>
      </c>
      <c r="J1151" s="26" t="inlineStr">
        <is>
          <t>☐</t>
        </is>
      </c>
      <c r="K1151" s="26" t="inlineStr">
        <is>
          <t>☐</t>
        </is>
      </c>
      <c r="L1151" s="26" t="inlineStr">
        <is>
          <t>☐</t>
        </is>
      </c>
      <c r="M1151" s="25" t="n"/>
      <c r="N1151" s="27" t="n">
        <v>0</v>
      </c>
      <c r="O1151" s="28" t="n"/>
      <c r="P1151" s="23" t="n"/>
      <c r="Q1151" s="29" t="n"/>
      <c r="R1151" s="29" t="n"/>
      <c r="S1151" s="23" t="n"/>
      <c r="T1151" s="30" t="n"/>
      <c r="U1151" s="31" t="inlineStr">
        <is>
          <t>高</t>
        </is>
      </c>
      <c r="V1151" s="32" t="n"/>
      <c r="W1151" s="33" t="inlineStr">
        <is>
          <t>開く</t>
        </is>
      </c>
    </row>
    <row r="1152" ht="30" customHeight="1">
      <c r="A1152" s="23" t="inlineStr">
        <is>
          <t>34広島県</t>
        </is>
      </c>
      <c r="B1152" s="23" t="inlineStr">
        <is>
          <t>私立</t>
        </is>
      </c>
      <c r="C1152" s="23" t="n"/>
      <c r="D1152" s="23" t="inlineStr">
        <is>
          <t>安田女子高等学校</t>
        </is>
      </c>
      <c r="E1152" s="24" t="inlineStr">
        <is>
          <t>082-221-3304</t>
        </is>
      </c>
      <c r="F1152" s="23" t="n"/>
      <c r="G1152" s="25" t="inlineStr">
        <is>
          <t>普通科</t>
        </is>
      </c>
      <c r="H1152" s="26" t="inlineStr">
        <is>
          <t>☐</t>
        </is>
      </c>
      <c r="I1152" s="26" t="inlineStr">
        <is>
          <t>☐</t>
        </is>
      </c>
      <c r="J1152" s="26" t="inlineStr">
        <is>
          <t>☐</t>
        </is>
      </c>
      <c r="K1152" s="26" t="inlineStr">
        <is>
          <t>☐</t>
        </is>
      </c>
      <c r="L1152" s="26" t="inlineStr">
        <is>
          <t>☐</t>
        </is>
      </c>
      <c r="M1152" s="25" t="n"/>
      <c r="N1152" s="27" t="n">
        <v>0</v>
      </c>
      <c r="O1152" s="28" t="n"/>
      <c r="P1152" s="23" t="n"/>
      <c r="Q1152" s="29" t="n"/>
      <c r="R1152" s="29" t="n"/>
      <c r="S1152" s="23" t="n"/>
      <c r="T1152" s="30" t="n"/>
      <c r="U1152" s="31" t="inlineStr">
        <is>
          <t>高</t>
        </is>
      </c>
      <c r="V1152" s="32" t="inlineStr">
        <is>
          <t>高校部の番号。中学部は082-221-3362</t>
        </is>
      </c>
      <c r="W1152" s="33" t="inlineStr">
        <is>
          <t>開く</t>
        </is>
      </c>
    </row>
    <row r="1153" ht="30" customHeight="1">
      <c r="A1153" s="23" t="inlineStr">
        <is>
          <t>35山口県</t>
        </is>
      </c>
      <c r="B1153" s="23" t="inlineStr">
        <is>
          <t>私立</t>
        </is>
      </c>
      <c r="C1153" s="23" t="n"/>
      <c r="D1153" s="23" t="inlineStr">
        <is>
          <t>宇部鴻城高等学校</t>
        </is>
      </c>
      <c r="E1153" s="24" t="inlineStr">
        <is>
          <t>0836-41-8109</t>
        </is>
      </c>
      <c r="F1153" s="23" t="n"/>
      <c r="G1153" s="25" t="inlineStr">
        <is>
          <t>普通科・専門学科</t>
        </is>
      </c>
      <c r="H1153" s="26" t="inlineStr">
        <is>
          <t>☐</t>
        </is>
      </c>
      <c r="I1153" s="26" t="inlineStr">
        <is>
          <t>☐</t>
        </is>
      </c>
      <c r="J1153" s="26" t="inlineStr">
        <is>
          <t>☐</t>
        </is>
      </c>
      <c r="K1153" s="26" t="inlineStr">
        <is>
          <t>☐</t>
        </is>
      </c>
      <c r="L1153" s="26" t="inlineStr">
        <is>
          <t>☐</t>
        </is>
      </c>
      <c r="M1153" s="25" t="n"/>
      <c r="N1153" s="27" t="n">
        <v>0</v>
      </c>
      <c r="O1153" s="28" t="n"/>
      <c r="P1153" s="23" t="n"/>
      <c r="Q1153" s="29" t="n"/>
      <c r="R1153" s="29" t="n"/>
      <c r="S1153" s="23" t="n"/>
      <c r="T1153" s="30" t="n"/>
      <c r="U1153" s="31" t="inlineStr">
        <is>
          <t>高</t>
        </is>
      </c>
      <c r="V1153" s="32" t="n"/>
      <c r="W1153" s="33" t="inlineStr">
        <is>
          <t>開く</t>
        </is>
      </c>
    </row>
    <row r="1154" ht="30" customHeight="1">
      <c r="A1154" s="23" t="inlineStr">
        <is>
          <t>35山口県</t>
        </is>
      </c>
      <c r="B1154" s="23" t="inlineStr">
        <is>
          <t>私立</t>
        </is>
      </c>
      <c r="C1154" s="23" t="n"/>
      <c r="D1154" s="23" t="inlineStr">
        <is>
          <t>宇部フロンティア大学付属香川高等学校</t>
        </is>
      </c>
      <c r="E1154" s="24" t="inlineStr">
        <is>
          <t>0836-35-9574</t>
        </is>
      </c>
      <c r="F1154" s="23" t="n"/>
      <c r="G1154" s="25" t="inlineStr">
        <is>
          <t>普通科・専門学科</t>
        </is>
      </c>
      <c r="H1154" s="26" t="inlineStr">
        <is>
          <t>☐</t>
        </is>
      </c>
      <c r="I1154" s="26" t="inlineStr">
        <is>
          <t>☐</t>
        </is>
      </c>
      <c r="J1154" s="26" t="inlineStr">
        <is>
          <t>☐</t>
        </is>
      </c>
      <c r="K1154" s="26" t="inlineStr">
        <is>
          <t>☐</t>
        </is>
      </c>
      <c r="L1154" s="26" t="inlineStr">
        <is>
          <t>☐</t>
        </is>
      </c>
      <c r="M1154" s="25" t="n"/>
      <c r="N1154" s="27" t="n">
        <v>0</v>
      </c>
      <c r="O1154" s="28" t="n"/>
      <c r="P1154" s="23" t="n"/>
      <c r="Q1154" s="29" t="n"/>
      <c r="R1154" s="29" t="n"/>
      <c r="S1154" s="23" t="n"/>
      <c r="T1154" s="30" t="n"/>
      <c r="U1154" s="31" t="inlineStr">
        <is>
          <t>高</t>
        </is>
      </c>
      <c r="V1154" s="32" t="inlineStr">
        <is>
          <t>普通科職員室0836-35-9578、専門部職員室0836-35-9583</t>
        </is>
      </c>
      <c r="W1154" s="33" t="inlineStr">
        <is>
          <t>開く</t>
        </is>
      </c>
    </row>
    <row r="1155" ht="30" customHeight="1">
      <c r="A1155" s="23" t="inlineStr">
        <is>
          <t>35山口県</t>
        </is>
      </c>
      <c r="B1155" s="23" t="inlineStr">
        <is>
          <t>私立</t>
        </is>
      </c>
      <c r="C1155" s="23" t="n"/>
      <c r="D1155" s="23" t="inlineStr">
        <is>
          <t>慶進高等学校</t>
        </is>
      </c>
      <c r="E1155" s="24" t="inlineStr">
        <is>
          <t>0836-34-1111</t>
        </is>
      </c>
      <c r="F1155" s="23" t="n"/>
      <c r="G1155" s="25" t="inlineStr">
        <is>
          <t>普通科</t>
        </is>
      </c>
      <c r="H1155" s="26" t="inlineStr">
        <is>
          <t>☐</t>
        </is>
      </c>
      <c r="I1155" s="26" t="inlineStr">
        <is>
          <t>☐</t>
        </is>
      </c>
      <c r="J1155" s="26" t="inlineStr">
        <is>
          <t>☐</t>
        </is>
      </c>
      <c r="K1155" s="26" t="inlineStr">
        <is>
          <t>☐</t>
        </is>
      </c>
      <c r="L1155" s="26" t="inlineStr">
        <is>
          <t>☐</t>
        </is>
      </c>
      <c r="M1155" s="25" t="n"/>
      <c r="N1155" s="27" t="n">
        <v>0</v>
      </c>
      <c r="O1155" s="28" t="n"/>
      <c r="P1155" s="23" t="n"/>
      <c r="Q1155" s="29" t="n"/>
      <c r="R1155" s="29" t="n"/>
      <c r="S1155" s="23" t="n"/>
      <c r="T1155" s="30" t="n"/>
      <c r="U1155" s="31" t="inlineStr">
        <is>
          <t>高</t>
        </is>
      </c>
      <c r="V1155" s="32" t="n"/>
      <c r="W1155" s="33" t="inlineStr">
        <is>
          <t>開く</t>
        </is>
      </c>
    </row>
    <row r="1156" ht="30" customHeight="1">
      <c r="A1156" s="23" t="inlineStr">
        <is>
          <t>35山口県</t>
        </is>
      </c>
      <c r="B1156" s="23" t="inlineStr">
        <is>
          <t>私立</t>
        </is>
      </c>
      <c r="C1156" s="23" t="n"/>
      <c r="D1156" s="23" t="inlineStr">
        <is>
          <t>ザビエル高等学校</t>
        </is>
      </c>
      <c r="E1156" s="24" t="inlineStr">
        <is>
          <t>0836-83-3587</t>
        </is>
      </c>
      <c r="F1156" s="23" t="n"/>
      <c r="G1156" s="25" t="inlineStr">
        <is>
          <t>普通科</t>
        </is>
      </c>
      <c r="H1156" s="26" t="inlineStr">
        <is>
          <t>☐</t>
        </is>
      </c>
      <c r="I1156" s="26" t="inlineStr">
        <is>
          <t>☐</t>
        </is>
      </c>
      <c r="J1156" s="26" t="inlineStr">
        <is>
          <t>☐</t>
        </is>
      </c>
      <c r="K1156" s="26" t="inlineStr">
        <is>
          <t>☐</t>
        </is>
      </c>
      <c r="L1156" s="26" t="inlineStr">
        <is>
          <t>☐</t>
        </is>
      </c>
      <c r="M1156" s="25" t="n"/>
      <c r="N1156" s="27" t="n">
        <v>0</v>
      </c>
      <c r="O1156" s="28" t="n"/>
      <c r="P1156" s="23" t="n"/>
      <c r="Q1156" s="29" t="n"/>
      <c r="R1156" s="29" t="n"/>
      <c r="S1156" s="23" t="n"/>
      <c r="T1156" s="30" t="n"/>
      <c r="U1156" s="31" t="inlineStr">
        <is>
          <t>高</t>
        </is>
      </c>
      <c r="V1156" s="32" t="inlineStr">
        <is>
          <t>正式表記は「サビエル高等学校」</t>
        </is>
      </c>
      <c r="W1156" s="33" t="inlineStr">
        <is>
          <t>開く</t>
        </is>
      </c>
    </row>
    <row r="1157" ht="30" customHeight="1">
      <c r="A1157" s="23" t="inlineStr">
        <is>
          <t>35山口県</t>
        </is>
      </c>
      <c r="B1157" s="23" t="inlineStr">
        <is>
          <t>私立</t>
        </is>
      </c>
      <c r="C1157" s="23" t="n"/>
      <c r="D1157" s="23" t="inlineStr">
        <is>
          <t>下関国際高等学校</t>
        </is>
      </c>
      <c r="E1157" s="24" t="inlineStr">
        <is>
          <t>083-256-2321</t>
        </is>
      </c>
      <c r="F1157" s="23" t="n"/>
      <c r="G1157" s="25" t="inlineStr">
        <is>
          <t>普通科・専門学科</t>
        </is>
      </c>
      <c r="H1157" s="26" t="inlineStr">
        <is>
          <t>☐</t>
        </is>
      </c>
      <c r="I1157" s="26" t="inlineStr">
        <is>
          <t>☐</t>
        </is>
      </c>
      <c r="J1157" s="26" t="inlineStr">
        <is>
          <t>☐</t>
        </is>
      </c>
      <c r="K1157" s="26" t="inlineStr">
        <is>
          <t>☐</t>
        </is>
      </c>
      <c r="L1157" s="26" t="inlineStr">
        <is>
          <t>☐</t>
        </is>
      </c>
      <c r="M1157" s="25" t="n"/>
      <c r="N1157" s="27" t="n">
        <v>0</v>
      </c>
      <c r="O1157" s="28" t="n"/>
      <c r="P1157" s="23" t="n"/>
      <c r="Q1157" s="29" t="n"/>
      <c r="R1157" s="29" t="n"/>
      <c r="S1157" s="23" t="n"/>
      <c r="T1157" s="30" t="n"/>
      <c r="U1157" s="31" t="inlineStr">
        <is>
          <t>高</t>
        </is>
      </c>
      <c r="V1157" s="32" t="n"/>
      <c r="W1157" s="33" t="inlineStr">
        <is>
          <t>開く</t>
        </is>
      </c>
    </row>
    <row r="1158" ht="30" customHeight="1">
      <c r="A1158" s="23" t="inlineStr">
        <is>
          <t>35山口県</t>
        </is>
      </c>
      <c r="B1158" s="23" t="inlineStr">
        <is>
          <t>私立</t>
        </is>
      </c>
      <c r="C1158" s="23" t="n"/>
      <c r="D1158" s="23" t="inlineStr">
        <is>
          <t>下関短期大学付属高等学校</t>
        </is>
      </c>
      <c r="E1158" s="24" t="inlineStr">
        <is>
          <t>083-232-3785</t>
        </is>
      </c>
      <c r="F1158" s="23" t="n"/>
      <c r="G1158" s="25" t="inlineStr">
        <is>
          <t>普通科・専門学科</t>
        </is>
      </c>
      <c r="H1158" s="26" t="inlineStr">
        <is>
          <t>☐</t>
        </is>
      </c>
      <c r="I1158" s="26" t="inlineStr">
        <is>
          <t>☐</t>
        </is>
      </c>
      <c r="J1158" s="26" t="inlineStr">
        <is>
          <t>☐</t>
        </is>
      </c>
      <c r="K1158" s="26" t="inlineStr">
        <is>
          <t>☐</t>
        </is>
      </c>
      <c r="L1158" s="26" t="inlineStr">
        <is>
          <t>☐</t>
        </is>
      </c>
      <c r="M1158" s="25" t="n"/>
      <c r="N1158" s="27" t="n">
        <v>0</v>
      </c>
      <c r="O1158" s="28" t="n"/>
      <c r="P1158" s="23" t="n"/>
      <c r="Q1158" s="29" t="n"/>
      <c r="R1158" s="29" t="n"/>
      <c r="S1158" s="23" t="n"/>
      <c r="T1158" s="30" t="n"/>
      <c r="U1158" s="31" t="inlineStr">
        <is>
          <t>高</t>
        </is>
      </c>
      <c r="V1158" s="32" t="inlineStr">
        <is>
          <t>短大の番号（083-223-0339）とは別</t>
        </is>
      </c>
      <c r="W1158" s="33" t="inlineStr">
        <is>
          <t>開く</t>
        </is>
      </c>
    </row>
    <row r="1159" ht="30" customHeight="1">
      <c r="A1159" s="23" t="inlineStr">
        <is>
          <t>35山口県</t>
        </is>
      </c>
      <c r="B1159" s="23" t="inlineStr">
        <is>
          <t>私立</t>
        </is>
      </c>
      <c r="C1159" s="23" t="n"/>
      <c r="D1159" s="23" t="inlineStr">
        <is>
          <t>誠英高等学校</t>
        </is>
      </c>
      <c r="E1159" s="24" t="inlineStr">
        <is>
          <t>0835-38-5252</t>
        </is>
      </c>
      <c r="F1159" s="23" t="n"/>
      <c r="G1159" s="25" t="inlineStr">
        <is>
          <t>普通科・専門学科</t>
        </is>
      </c>
      <c r="H1159" s="26" t="inlineStr">
        <is>
          <t>☐</t>
        </is>
      </c>
      <c r="I1159" s="26" t="inlineStr">
        <is>
          <t>☐</t>
        </is>
      </c>
      <c r="J1159" s="26" t="inlineStr">
        <is>
          <t>☐</t>
        </is>
      </c>
      <c r="K1159" s="26" t="inlineStr">
        <is>
          <t>☐</t>
        </is>
      </c>
      <c r="L1159" s="26" t="inlineStr">
        <is>
          <t>☐</t>
        </is>
      </c>
      <c r="M1159" s="25" t="n"/>
      <c r="N1159" s="27" t="n">
        <v>0</v>
      </c>
      <c r="O1159" s="28" t="n"/>
      <c r="P1159" s="23" t="n"/>
      <c r="Q1159" s="29" t="n"/>
      <c r="R1159" s="29" t="n"/>
      <c r="S1159" s="23" t="n"/>
      <c r="T1159" s="30" t="n"/>
      <c r="U1159" s="31" t="inlineStr">
        <is>
          <t>高</t>
        </is>
      </c>
      <c r="V1159" s="32" t="inlineStr">
        <is>
          <t>通信制課程は0835-38-6161（第三者サイト）</t>
        </is>
      </c>
      <c r="W1159" s="33" t="inlineStr">
        <is>
          <t>開く</t>
        </is>
      </c>
    </row>
    <row r="1160" ht="30" customHeight="1">
      <c r="A1160" s="23" t="inlineStr">
        <is>
          <t>35山口県</t>
        </is>
      </c>
      <c r="B1160" s="23" t="inlineStr">
        <is>
          <t>私立</t>
        </is>
      </c>
      <c r="C1160" s="23" t="n"/>
      <c r="D1160" s="23" t="inlineStr">
        <is>
          <t>精華学園高等学校</t>
        </is>
      </c>
      <c r="E1160" s="24" t="inlineStr">
        <is>
          <t>083-976-8833</t>
        </is>
      </c>
      <c r="F1160" s="23" t="n"/>
      <c r="G1160" s="25" t="inlineStr">
        <is>
          <t>普通科</t>
        </is>
      </c>
      <c r="H1160" s="26" t="inlineStr">
        <is>
          <t>☐</t>
        </is>
      </c>
      <c r="I1160" s="26" t="inlineStr">
        <is>
          <t>☐</t>
        </is>
      </c>
      <c r="J1160" s="26" t="inlineStr">
        <is>
          <t>☐</t>
        </is>
      </c>
      <c r="K1160" s="26" t="inlineStr">
        <is>
          <t>☐</t>
        </is>
      </c>
      <c r="L1160" s="26" t="inlineStr">
        <is>
          <t>☐</t>
        </is>
      </c>
      <c r="M1160" s="25" t="n"/>
      <c r="N1160" s="27" t="n">
        <v>0</v>
      </c>
      <c r="O1160" s="28" t="n"/>
      <c r="P1160" s="23" t="n"/>
      <c r="Q1160" s="29" t="n"/>
      <c r="R1160" s="29" t="n"/>
      <c r="S1160" s="23" t="n"/>
      <c r="T1160" s="30" t="n"/>
      <c r="U1160" s="31" t="inlineStr">
        <is>
          <t>高</t>
        </is>
      </c>
      <c r="V1160" s="32" t="inlineStr">
        <is>
          <t>広域通信制・山口本校</t>
        </is>
      </c>
      <c r="W1160" s="33" t="inlineStr">
        <is>
          <t>開く</t>
        </is>
      </c>
    </row>
    <row r="1161" ht="30" customHeight="1">
      <c r="A1161" s="23" t="inlineStr">
        <is>
          <t>35山口県</t>
        </is>
      </c>
      <c r="B1161" s="23" t="inlineStr">
        <is>
          <t>私立</t>
        </is>
      </c>
      <c r="C1161" s="23" t="n"/>
      <c r="D1161" s="23" t="inlineStr">
        <is>
          <t>聖光高等学校</t>
        </is>
      </c>
      <c r="E1161" s="24" t="inlineStr">
        <is>
          <t>0833-72-1187</t>
        </is>
      </c>
      <c r="F1161" s="23" t="n"/>
      <c r="G1161" s="25" t="inlineStr">
        <is>
          <t>普通科・専門学科</t>
        </is>
      </c>
      <c r="H1161" s="26" t="inlineStr">
        <is>
          <t>☐</t>
        </is>
      </c>
      <c r="I1161" s="26" t="inlineStr">
        <is>
          <t>☐</t>
        </is>
      </c>
      <c r="J1161" s="26" t="inlineStr">
        <is>
          <t>☐</t>
        </is>
      </c>
      <c r="K1161" s="26" t="inlineStr">
        <is>
          <t>☐</t>
        </is>
      </c>
      <c r="L1161" s="26" t="inlineStr">
        <is>
          <t>☐</t>
        </is>
      </c>
      <c r="M1161" s="25" t="n"/>
      <c r="N1161" s="27" t="n">
        <v>0</v>
      </c>
      <c r="O1161" s="28" t="n"/>
      <c r="P1161" s="23" t="n"/>
      <c r="Q1161" s="29" t="n"/>
      <c r="R1161" s="29" t="n"/>
      <c r="S1161" s="23" t="n"/>
      <c r="T1161" s="30" t="n"/>
      <c r="U1161" s="31" t="inlineStr">
        <is>
          <t>高</t>
        </is>
      </c>
      <c r="V1161" s="32" t="inlineStr">
        <is>
          <t>通信制は0833-72-7070（第三者サイト）</t>
        </is>
      </c>
      <c r="W1161" s="33" t="inlineStr">
        <is>
          <t>開く</t>
        </is>
      </c>
    </row>
    <row r="1162" ht="30" customHeight="1">
      <c r="A1162" s="23" t="inlineStr">
        <is>
          <t>35山口県</t>
        </is>
      </c>
      <c r="B1162" s="23" t="inlineStr">
        <is>
          <t>私立</t>
        </is>
      </c>
      <c r="C1162" s="23" t="n"/>
      <c r="D1162" s="23" t="inlineStr">
        <is>
          <t>成進高等学校</t>
        </is>
      </c>
      <c r="E1162" s="24" t="inlineStr">
        <is>
          <t>0837-52-1350</t>
        </is>
      </c>
      <c r="F1162" s="23" t="n"/>
      <c r="G1162" s="25" t="inlineStr">
        <is>
          <t>普通科・専門学科</t>
        </is>
      </c>
      <c r="H1162" s="26" t="inlineStr">
        <is>
          <t>☐</t>
        </is>
      </c>
      <c r="I1162" s="26" t="inlineStr">
        <is>
          <t>☐</t>
        </is>
      </c>
      <c r="J1162" s="26" t="inlineStr">
        <is>
          <t>☐</t>
        </is>
      </c>
      <c r="K1162" s="26" t="inlineStr">
        <is>
          <t>☐</t>
        </is>
      </c>
      <c r="L1162" s="26" t="inlineStr">
        <is>
          <t>☐</t>
        </is>
      </c>
      <c r="M1162" s="25" t="n"/>
      <c r="N1162" s="27" t="n">
        <v>0</v>
      </c>
      <c r="O1162" s="28" t="n"/>
      <c r="P1162" s="23" t="n"/>
      <c r="Q1162" s="29" t="n"/>
      <c r="R1162" s="29" t="n"/>
      <c r="S1162" s="23" t="n"/>
      <c r="T1162" s="30" t="n"/>
      <c r="U1162" s="31" t="inlineStr">
        <is>
          <t>高</t>
        </is>
      </c>
      <c r="V1162" s="32" t="n"/>
      <c r="W1162" s="33" t="inlineStr">
        <is>
          <t>開く</t>
        </is>
      </c>
    </row>
    <row r="1163" ht="30" customHeight="1">
      <c r="A1163" s="23" t="inlineStr">
        <is>
          <t>35山口県</t>
        </is>
      </c>
      <c r="B1163" s="23" t="inlineStr">
        <is>
          <t>私立</t>
        </is>
      </c>
      <c r="C1163" s="23" t="n"/>
      <c r="D1163" s="23" t="inlineStr">
        <is>
          <t>高川学園高等学校</t>
        </is>
      </c>
      <c r="E1163" s="24" t="inlineStr">
        <is>
          <t>0835-33-0101</t>
        </is>
      </c>
      <c r="F1163" s="23" t="n"/>
      <c r="G1163" s="25" t="inlineStr">
        <is>
          <t>普通科</t>
        </is>
      </c>
      <c r="H1163" s="26" t="inlineStr">
        <is>
          <t>☐</t>
        </is>
      </c>
      <c r="I1163" s="26" t="inlineStr">
        <is>
          <t>☐</t>
        </is>
      </c>
      <c r="J1163" s="26" t="inlineStr">
        <is>
          <t>☐</t>
        </is>
      </c>
      <c r="K1163" s="26" t="inlineStr">
        <is>
          <t>☐</t>
        </is>
      </c>
      <c r="L1163" s="26" t="inlineStr">
        <is>
          <t>☐</t>
        </is>
      </c>
      <c r="M1163" s="25" t="n"/>
      <c r="N1163" s="27" t="n">
        <v>0</v>
      </c>
      <c r="O1163" s="28" t="n"/>
      <c r="P1163" s="23" t="n"/>
      <c r="Q1163" s="29" t="n"/>
      <c r="R1163" s="29" t="n"/>
      <c r="S1163" s="23" t="n"/>
      <c r="T1163" s="30" t="n"/>
      <c r="U1163" s="31" t="inlineStr">
        <is>
          <t>高</t>
        </is>
      </c>
      <c r="V1163" s="32" t="n"/>
      <c r="W1163" s="33" t="inlineStr">
        <is>
          <t>開く</t>
        </is>
      </c>
    </row>
    <row r="1164" ht="30" customHeight="1">
      <c r="A1164" s="23" t="inlineStr">
        <is>
          <t>35山口県</t>
        </is>
      </c>
      <c r="B1164" s="23" t="inlineStr">
        <is>
          <t>私立</t>
        </is>
      </c>
      <c r="C1164" s="23" t="n"/>
      <c r="D1164" s="23" t="inlineStr">
        <is>
          <t>高水高等学校</t>
        </is>
      </c>
      <c r="E1164" s="24" t="inlineStr">
        <is>
          <t>0827-31-7191</t>
        </is>
      </c>
      <c r="F1164" s="23" t="n"/>
      <c r="G1164" s="25" t="inlineStr">
        <is>
          <t>普通科</t>
        </is>
      </c>
      <c r="H1164" s="26" t="inlineStr">
        <is>
          <t>☐</t>
        </is>
      </c>
      <c r="I1164" s="26" t="inlineStr">
        <is>
          <t>☐</t>
        </is>
      </c>
      <c r="J1164" s="26" t="inlineStr">
        <is>
          <t>☐</t>
        </is>
      </c>
      <c r="K1164" s="26" t="inlineStr">
        <is>
          <t>☐</t>
        </is>
      </c>
      <c r="L1164" s="26" t="inlineStr">
        <is>
          <t>☐</t>
        </is>
      </c>
      <c r="M1164" s="25" t="n"/>
      <c r="N1164" s="27" t="n">
        <v>0</v>
      </c>
      <c r="O1164" s="28" t="n"/>
      <c r="P1164" s="23" t="n"/>
      <c r="Q1164" s="29" t="n"/>
      <c r="R1164" s="29" t="n"/>
      <c r="S1164" s="23" t="n"/>
      <c r="T1164" s="30" t="n"/>
      <c r="U1164" s="31" t="inlineStr">
        <is>
          <t>高</t>
        </is>
      </c>
      <c r="V1164" s="32" t="inlineStr">
        <is>
          <t>中高共通番号</t>
        </is>
      </c>
      <c r="W1164" s="33" t="inlineStr">
        <is>
          <t>開く</t>
        </is>
      </c>
    </row>
    <row r="1165" ht="30" customHeight="1">
      <c r="A1165" s="23" t="inlineStr">
        <is>
          <t>35山口県</t>
        </is>
      </c>
      <c r="B1165" s="23" t="inlineStr">
        <is>
          <t>私立</t>
        </is>
      </c>
      <c r="C1165" s="23" t="n"/>
      <c r="D1165" s="23" t="inlineStr">
        <is>
          <t>中村女子高等学校</t>
        </is>
      </c>
      <c r="E1165" s="24" t="inlineStr">
        <is>
          <t>083-922-0418</t>
        </is>
      </c>
      <c r="F1165" s="23" t="n"/>
      <c r="G1165" s="25" t="inlineStr">
        <is>
          <t>普通科・専門学科</t>
        </is>
      </c>
      <c r="H1165" s="26" t="inlineStr">
        <is>
          <t>☐</t>
        </is>
      </c>
      <c r="I1165" s="26" t="inlineStr">
        <is>
          <t>☐</t>
        </is>
      </c>
      <c r="J1165" s="26" t="inlineStr">
        <is>
          <t>☐</t>
        </is>
      </c>
      <c r="K1165" s="26" t="inlineStr">
        <is>
          <t>☐</t>
        </is>
      </c>
      <c r="L1165" s="26" t="inlineStr">
        <is>
          <t>☐</t>
        </is>
      </c>
      <c r="M1165" s="25" t="n"/>
      <c r="N1165" s="27" t="n">
        <v>0</v>
      </c>
      <c r="O1165" s="28" t="n"/>
      <c r="P1165" s="23" t="n"/>
      <c r="Q1165" s="29" t="n"/>
      <c r="R1165" s="29" t="n"/>
      <c r="S1165" s="23" t="n"/>
      <c r="T1165" s="30" t="n"/>
      <c r="U1165" s="31" t="inlineStr">
        <is>
          <t>高</t>
        </is>
      </c>
      <c r="V1165" s="32" t="inlineStr">
        <is>
          <t>現校名は山口中村学園高等学校（2025年度から共学化）。専攻科は083-928-1331</t>
        </is>
      </c>
      <c r="W1165" s="33" t="inlineStr">
        <is>
          <t>開く</t>
        </is>
      </c>
    </row>
    <row r="1166" ht="30" customHeight="1">
      <c r="A1166" s="23" t="inlineStr">
        <is>
          <t>35山口県</t>
        </is>
      </c>
      <c r="B1166" s="23" t="inlineStr">
        <is>
          <t>私立</t>
        </is>
      </c>
      <c r="C1166" s="23" t="n"/>
      <c r="D1166" s="23" t="inlineStr">
        <is>
          <t>長門高等学校</t>
        </is>
      </c>
      <c r="E1166" s="24" t="inlineStr">
        <is>
          <t>0837-22-2944</t>
        </is>
      </c>
      <c r="F1166" s="23" t="n"/>
      <c r="G1166" s="25" t="inlineStr">
        <is>
          <t>普通科・専門学科</t>
        </is>
      </c>
      <c r="H1166" s="26" t="inlineStr">
        <is>
          <t>☐</t>
        </is>
      </c>
      <c r="I1166" s="26" t="inlineStr">
        <is>
          <t>☐</t>
        </is>
      </c>
      <c r="J1166" s="26" t="inlineStr">
        <is>
          <t>☐</t>
        </is>
      </c>
      <c r="K1166" s="26" t="inlineStr">
        <is>
          <t>☐</t>
        </is>
      </c>
      <c r="L1166" s="26" t="inlineStr">
        <is>
          <t>☐</t>
        </is>
      </c>
      <c r="M1166" s="25" t="n"/>
      <c r="N1166" s="27" t="n">
        <v>0</v>
      </c>
      <c r="O1166" s="28" t="n"/>
      <c r="P1166" s="23" t="n"/>
      <c r="Q1166" s="29" t="n"/>
      <c r="R1166" s="29" t="n"/>
      <c r="S1166" s="23" t="n"/>
      <c r="T1166" s="30" t="n"/>
      <c r="U1166" s="31" t="inlineStr">
        <is>
          <t>高</t>
        </is>
      </c>
      <c r="V1166" s="32" t="n"/>
      <c r="W1166" s="33" t="inlineStr">
        <is>
          <t>開く</t>
        </is>
      </c>
    </row>
    <row r="1167" ht="30" customHeight="1">
      <c r="A1167" s="23" t="inlineStr">
        <is>
          <t>35山口県</t>
        </is>
      </c>
      <c r="B1167" s="23" t="inlineStr">
        <is>
          <t>私立</t>
        </is>
      </c>
      <c r="C1167" s="23" t="n"/>
      <c r="D1167" s="23" t="inlineStr">
        <is>
          <t>野田学園高等学校</t>
        </is>
      </c>
      <c r="E1167" s="24" t="inlineStr">
        <is>
          <t>083-922-5000</t>
        </is>
      </c>
      <c r="F1167" s="23" t="n"/>
      <c r="G1167" s="25" t="inlineStr">
        <is>
          <t>普通科</t>
        </is>
      </c>
      <c r="H1167" s="26" t="inlineStr">
        <is>
          <t>☐</t>
        </is>
      </c>
      <c r="I1167" s="26" t="inlineStr">
        <is>
          <t>☐</t>
        </is>
      </c>
      <c r="J1167" s="26" t="inlineStr">
        <is>
          <t>☐</t>
        </is>
      </c>
      <c r="K1167" s="26" t="inlineStr">
        <is>
          <t>☐</t>
        </is>
      </c>
      <c r="L1167" s="26" t="inlineStr">
        <is>
          <t>☐</t>
        </is>
      </c>
      <c r="M1167" s="25" t="n"/>
      <c r="N1167" s="27" t="n">
        <v>0</v>
      </c>
      <c r="O1167" s="28" t="n"/>
      <c r="P1167" s="23" t="n"/>
      <c r="Q1167" s="29" t="n"/>
      <c r="R1167" s="29" t="n"/>
      <c r="S1167" s="23" t="n"/>
      <c r="T1167" s="30" t="n"/>
      <c r="U1167" s="31" t="inlineStr">
        <is>
          <t>高</t>
        </is>
      </c>
      <c r="V1167" s="32" t="n"/>
      <c r="W1167" s="33" t="inlineStr">
        <is>
          <t>開く</t>
        </is>
      </c>
    </row>
    <row r="1168" ht="30" customHeight="1">
      <c r="A1168" s="23" t="inlineStr">
        <is>
          <t>35山口県</t>
        </is>
      </c>
      <c r="B1168" s="23" t="inlineStr">
        <is>
          <t>私立</t>
        </is>
      </c>
      <c r="C1168" s="23" t="n"/>
      <c r="D1168" s="23" t="inlineStr">
        <is>
          <t>萩光塩学院高等学校</t>
        </is>
      </c>
      <c r="E1168" s="24" t="inlineStr">
        <is>
          <t>0838-22-0782</t>
        </is>
      </c>
      <c r="F1168" s="23" t="n"/>
      <c r="G1168" s="25" t="inlineStr">
        <is>
          <t>普通科</t>
        </is>
      </c>
      <c r="H1168" s="26" t="inlineStr">
        <is>
          <t>☐</t>
        </is>
      </c>
      <c r="I1168" s="26" t="inlineStr">
        <is>
          <t>☐</t>
        </is>
      </c>
      <c r="J1168" s="26" t="inlineStr">
        <is>
          <t>☐</t>
        </is>
      </c>
      <c r="K1168" s="26" t="inlineStr">
        <is>
          <t>☐</t>
        </is>
      </c>
      <c r="L1168" s="26" t="inlineStr">
        <is>
          <t>☐</t>
        </is>
      </c>
      <c r="M1168" s="25" t="n"/>
      <c r="N1168" s="27" t="n">
        <v>0</v>
      </c>
      <c r="O1168" s="28" t="n"/>
      <c r="P1168" s="23" t="n"/>
      <c r="Q1168" s="29" t="n"/>
      <c r="R1168" s="29" t="n"/>
      <c r="S1168" s="23" t="n"/>
      <c r="T1168" s="30" t="n"/>
      <c r="U1168" s="31" t="inlineStr">
        <is>
          <t>高</t>
        </is>
      </c>
      <c r="V1168" s="32" t="inlineStr">
        <is>
          <t>小中高共通の代表番号（法人サイトでも一致）</t>
        </is>
      </c>
      <c r="W1168" s="33" t="inlineStr">
        <is>
          <t>開く</t>
        </is>
      </c>
    </row>
    <row r="1169" ht="30" customHeight="1">
      <c r="A1169" s="23" t="inlineStr">
        <is>
          <t>35山口県</t>
        </is>
      </c>
      <c r="B1169" s="23" t="inlineStr">
        <is>
          <t>私立</t>
        </is>
      </c>
      <c r="C1169" s="23" t="n"/>
      <c r="D1169" s="23" t="inlineStr">
        <is>
          <t>早鞆高等学校</t>
        </is>
      </c>
      <c r="E1169" s="24" t="inlineStr">
        <is>
          <t>083-231-0080</t>
        </is>
      </c>
      <c r="F1169" s="23" t="n"/>
      <c r="G1169" s="25" t="inlineStr">
        <is>
          <t>普通科・専門学科</t>
        </is>
      </c>
      <c r="H1169" s="26" t="inlineStr">
        <is>
          <t>☐</t>
        </is>
      </c>
      <c r="I1169" s="26" t="inlineStr">
        <is>
          <t>☐</t>
        </is>
      </c>
      <c r="J1169" s="26" t="inlineStr">
        <is>
          <t>☐</t>
        </is>
      </c>
      <c r="K1169" s="26" t="inlineStr">
        <is>
          <t>☐</t>
        </is>
      </c>
      <c r="L1169" s="26" t="inlineStr">
        <is>
          <t>☐</t>
        </is>
      </c>
      <c r="M1169" s="25" t="n"/>
      <c r="N1169" s="27" t="n">
        <v>0</v>
      </c>
      <c r="O1169" s="28" t="n"/>
      <c r="P1169" s="23" t="n"/>
      <c r="Q1169" s="29" t="n"/>
      <c r="R1169" s="29" t="n"/>
      <c r="S1169" s="23" t="n"/>
      <c r="T1169" s="30" t="n"/>
      <c r="U1169" s="31" t="inlineStr">
        <is>
          <t>高</t>
        </is>
      </c>
      <c r="V1169" s="32" t="n"/>
      <c r="W1169" s="33" t="inlineStr">
        <is>
          <t>開く</t>
        </is>
      </c>
    </row>
    <row r="1170" ht="30" customHeight="1">
      <c r="A1170" s="23" t="inlineStr">
        <is>
          <t>35山口県</t>
        </is>
      </c>
      <c r="B1170" s="23" t="inlineStr">
        <is>
          <t>私立</t>
        </is>
      </c>
      <c r="C1170" s="23" t="n"/>
      <c r="D1170" s="23" t="inlineStr">
        <is>
          <t>梅光学院高等学校</t>
        </is>
      </c>
      <c r="E1170" s="24" t="inlineStr">
        <is>
          <t>083-227-1200</t>
        </is>
      </c>
      <c r="F1170" s="23" t="n"/>
      <c r="G1170" s="25" t="inlineStr">
        <is>
          <t>普通科・専門学科</t>
        </is>
      </c>
      <c r="H1170" s="26" t="inlineStr">
        <is>
          <t>☐</t>
        </is>
      </c>
      <c r="I1170" s="26" t="inlineStr">
        <is>
          <t>☐</t>
        </is>
      </c>
      <c r="J1170" s="26" t="inlineStr">
        <is>
          <t>☐</t>
        </is>
      </c>
      <c r="K1170" s="26" t="inlineStr">
        <is>
          <t>☐</t>
        </is>
      </c>
      <c r="L1170" s="26" t="inlineStr">
        <is>
          <t>☐</t>
        </is>
      </c>
      <c r="M1170" s="25" t="n"/>
      <c r="N1170" s="27" t="n">
        <v>0</v>
      </c>
      <c r="O1170" s="28" t="n"/>
      <c r="P1170" s="23" t="n"/>
      <c r="Q1170" s="29" t="n"/>
      <c r="R1170" s="29" t="n"/>
      <c r="S1170" s="23" t="n"/>
      <c r="T1170" s="30" t="n"/>
      <c r="U1170" s="31" t="inlineStr">
        <is>
          <t>高</t>
        </is>
      </c>
      <c r="V1170" s="32" t="inlineStr">
        <is>
          <t>法人本部は083-227-1000</t>
        </is>
      </c>
      <c r="W1170" s="33" t="inlineStr">
        <is>
          <t>開く</t>
        </is>
      </c>
    </row>
    <row r="1171" ht="30" customHeight="1">
      <c r="A1171" s="23" t="inlineStr">
        <is>
          <t>35山口県</t>
        </is>
      </c>
      <c r="B1171" s="23" t="inlineStr">
        <is>
          <t>私立</t>
        </is>
      </c>
      <c r="C1171" s="23" t="n"/>
      <c r="D1171" s="23" t="inlineStr">
        <is>
          <t>柳井学園高等学校</t>
        </is>
      </c>
      <c r="E1171" s="24" t="inlineStr">
        <is>
          <t>0820-22-0214</t>
        </is>
      </c>
      <c r="F1171" s="23" t="n"/>
      <c r="G1171" s="25" t="inlineStr">
        <is>
          <t>普通科・専門学科</t>
        </is>
      </c>
      <c r="H1171" s="26" t="inlineStr">
        <is>
          <t>☐</t>
        </is>
      </c>
      <c r="I1171" s="26" t="inlineStr">
        <is>
          <t>☐</t>
        </is>
      </c>
      <c r="J1171" s="26" t="inlineStr">
        <is>
          <t>☐</t>
        </is>
      </c>
      <c r="K1171" s="26" t="inlineStr">
        <is>
          <t>☐</t>
        </is>
      </c>
      <c r="L1171" s="26" t="inlineStr">
        <is>
          <t>☐</t>
        </is>
      </c>
      <c r="M1171" s="25" t="n"/>
      <c r="N1171" s="27" t="n">
        <v>0</v>
      </c>
      <c r="O1171" s="28" t="n"/>
      <c r="P1171" s="23" t="n"/>
      <c r="Q1171" s="29" t="n"/>
      <c r="R1171" s="29" t="n"/>
      <c r="S1171" s="23" t="n"/>
      <c r="T1171" s="30" t="n"/>
      <c r="U1171" s="31" t="inlineStr">
        <is>
          <t>高</t>
        </is>
      </c>
      <c r="V1171" s="32" t="n"/>
      <c r="W1171" s="33" t="inlineStr">
        <is>
          <t>開く</t>
        </is>
      </c>
    </row>
    <row r="1172" ht="30" customHeight="1">
      <c r="A1172" s="23" t="inlineStr">
        <is>
          <t>35山口県</t>
        </is>
      </c>
      <c r="B1172" s="23" t="inlineStr">
        <is>
          <t>私立</t>
        </is>
      </c>
      <c r="C1172" s="23" t="n"/>
      <c r="D1172" s="23" t="inlineStr">
        <is>
          <t>山口県鴻城高等学校</t>
        </is>
      </c>
      <c r="E1172" s="24" t="inlineStr">
        <is>
          <t>083-972-0307</t>
        </is>
      </c>
      <c r="F1172" s="23" t="n"/>
      <c r="G1172" s="25" t="inlineStr">
        <is>
          <t>普通科・専門学科</t>
        </is>
      </c>
      <c r="H1172" s="26" t="inlineStr">
        <is>
          <t>☐</t>
        </is>
      </c>
      <c r="I1172" s="26" t="inlineStr">
        <is>
          <t>☐</t>
        </is>
      </c>
      <c r="J1172" s="26" t="inlineStr">
        <is>
          <t>☐</t>
        </is>
      </c>
      <c r="K1172" s="26" t="inlineStr">
        <is>
          <t>☐</t>
        </is>
      </c>
      <c r="L1172" s="26" t="inlineStr">
        <is>
          <t>☐</t>
        </is>
      </c>
      <c r="M1172" s="25" t="n"/>
      <c r="N1172" s="27" t="n">
        <v>0</v>
      </c>
      <c r="O1172" s="28" t="n"/>
      <c r="P1172" s="23" t="n"/>
      <c r="Q1172" s="29" t="n"/>
      <c r="R1172" s="29" t="n"/>
      <c r="S1172" s="23" t="n"/>
      <c r="T1172" s="30" t="n"/>
      <c r="U1172" s="31" t="inlineStr">
        <is>
          <t>高</t>
        </is>
      </c>
      <c r="V1172" s="32" t="inlineStr">
        <is>
          <t>衛生看護専攻科（宇部市）は別番号</t>
        </is>
      </c>
      <c r="W1172" s="33" t="inlineStr">
        <is>
          <t>開く</t>
        </is>
      </c>
    </row>
    <row r="1173" ht="30" customHeight="1">
      <c r="A1173" s="23" t="inlineStr">
        <is>
          <t>35山口県</t>
        </is>
      </c>
      <c r="B1173" s="23" t="inlineStr">
        <is>
          <t>私立</t>
        </is>
      </c>
      <c r="C1173" s="23" t="n"/>
      <c r="D1173" s="23" t="inlineStr">
        <is>
          <t>山口県桜ケ丘高等学校</t>
        </is>
      </c>
      <c r="E1173" s="24" t="inlineStr">
        <is>
          <t>0834-21-0331</t>
        </is>
      </c>
      <c r="F1173" s="23" t="n"/>
      <c r="G1173" s="25" t="inlineStr">
        <is>
          <t>普通科・専門学科</t>
        </is>
      </c>
      <c r="H1173" s="26" t="inlineStr">
        <is>
          <t>☐</t>
        </is>
      </c>
      <c r="I1173" s="26" t="inlineStr">
        <is>
          <t>☐</t>
        </is>
      </c>
      <c r="J1173" s="26" t="inlineStr">
        <is>
          <t>☐</t>
        </is>
      </c>
      <c r="K1173" s="26" t="inlineStr">
        <is>
          <t>☐</t>
        </is>
      </c>
      <c r="L1173" s="26" t="inlineStr">
        <is>
          <t>☐</t>
        </is>
      </c>
      <c r="M1173" s="25" t="n"/>
      <c r="N1173" s="27" t="n">
        <v>0</v>
      </c>
      <c r="O1173" s="28" t="n"/>
      <c r="P1173" s="23" t="n"/>
      <c r="Q1173" s="29" t="n"/>
      <c r="R1173" s="29" t="n"/>
      <c r="S1173" s="23" t="n"/>
      <c r="T1173" s="30" t="n"/>
      <c r="U1173" s="31" t="inlineStr">
        <is>
          <t>高</t>
        </is>
      </c>
      <c r="V1173" s="32" t="inlineStr">
        <is>
          <t>晃英館コースは0834-33-3131</t>
        </is>
      </c>
      <c r="W1173" s="33" t="inlineStr">
        <is>
          <t>開く</t>
        </is>
      </c>
    </row>
    <row r="1174" ht="30" customHeight="1">
      <c r="A1174" s="23" t="inlineStr">
        <is>
          <t>36徳島県</t>
        </is>
      </c>
      <c r="B1174" s="23" t="inlineStr">
        <is>
          <t>私立</t>
        </is>
      </c>
      <c r="C1174" s="23" t="n"/>
      <c r="D1174" s="23" t="inlineStr">
        <is>
          <t>香蘭高等学校</t>
        </is>
      </c>
      <c r="E1174" s="24" t="inlineStr">
        <is>
          <t>088-652-5044</t>
        </is>
      </c>
      <c r="F1174" s="23" t="n"/>
      <c r="G1174" s="25" t="inlineStr">
        <is>
          <t>普通科</t>
        </is>
      </c>
      <c r="H1174" s="26" t="inlineStr">
        <is>
          <t>☐</t>
        </is>
      </c>
      <c r="I1174" s="26" t="inlineStr">
        <is>
          <t>☐</t>
        </is>
      </c>
      <c r="J1174" s="26" t="inlineStr">
        <is>
          <t>☐</t>
        </is>
      </c>
      <c r="K1174" s="26" t="inlineStr">
        <is>
          <t>☐</t>
        </is>
      </c>
      <c r="L1174" s="26" t="inlineStr">
        <is>
          <t>☐</t>
        </is>
      </c>
      <c r="M1174" s="25" t="n"/>
      <c r="N1174" s="27" t="n">
        <v>0</v>
      </c>
      <c r="O1174" s="28" t="n"/>
      <c r="P1174" s="23" t="n"/>
      <c r="Q1174" s="29" t="n"/>
      <c r="R1174" s="29" t="n"/>
      <c r="S1174" s="23" t="n"/>
      <c r="T1174" s="30" t="n"/>
      <c r="U1174" s="31" t="inlineStr">
        <is>
          <t>高</t>
        </is>
      </c>
      <c r="V1174" s="32" t="inlineStr">
        <is>
          <t>徳島県私立学校一覧でも一致</t>
        </is>
      </c>
      <c r="W1174" s="33" t="inlineStr">
        <is>
          <t>開く</t>
        </is>
      </c>
    </row>
    <row r="1175" ht="30" customHeight="1">
      <c r="A1175" s="23" t="inlineStr">
        <is>
          <t>36徳島県</t>
        </is>
      </c>
      <c r="B1175" s="23" t="inlineStr">
        <is>
          <t>私立</t>
        </is>
      </c>
      <c r="C1175" s="23" t="n"/>
      <c r="D1175" s="23" t="inlineStr">
        <is>
          <t>生光学園高等学校</t>
        </is>
      </c>
      <c r="E1175" s="24" t="inlineStr">
        <is>
          <t>088-641-1032</t>
        </is>
      </c>
      <c r="F1175" s="23" t="n"/>
      <c r="G1175" s="25" t="inlineStr">
        <is>
          <t>普通科</t>
        </is>
      </c>
      <c r="H1175" s="26" t="inlineStr">
        <is>
          <t>☐</t>
        </is>
      </c>
      <c r="I1175" s="26" t="inlineStr">
        <is>
          <t>☐</t>
        </is>
      </c>
      <c r="J1175" s="26" t="inlineStr">
        <is>
          <t>☐</t>
        </is>
      </c>
      <c r="K1175" s="26" t="inlineStr">
        <is>
          <t>☐</t>
        </is>
      </c>
      <c r="L1175" s="26" t="inlineStr">
        <is>
          <t>☐</t>
        </is>
      </c>
      <c r="M1175" s="25" t="n"/>
      <c r="N1175" s="27" t="n">
        <v>0</v>
      </c>
      <c r="O1175" s="28" t="n"/>
      <c r="P1175" s="23" t="n"/>
      <c r="Q1175" s="29" t="n"/>
      <c r="R1175" s="29" t="n"/>
      <c r="S1175" s="23" t="n"/>
      <c r="T1175" s="30" t="n"/>
      <c r="U1175" s="31" t="inlineStr">
        <is>
          <t>高</t>
        </is>
      </c>
      <c r="V1175" s="32" t="inlineStr">
        <is>
          <t>代表番号</t>
        </is>
      </c>
      <c r="W1175" s="33" t="inlineStr">
        <is>
          <t>開く</t>
        </is>
      </c>
    </row>
    <row r="1176" ht="30" customHeight="1">
      <c r="A1176" s="23" t="inlineStr">
        <is>
          <t>36徳島県</t>
        </is>
      </c>
      <c r="B1176" s="23" t="inlineStr">
        <is>
          <t>私立</t>
        </is>
      </c>
      <c r="C1176" s="23" t="n"/>
      <c r="D1176" s="23" t="inlineStr">
        <is>
          <t>徳島文理高等学校</t>
        </is>
      </c>
      <c r="E1176" s="24" t="inlineStr">
        <is>
          <t>088-626-1225</t>
        </is>
      </c>
      <c r="F1176" s="23" t="n"/>
      <c r="G1176" s="25" t="inlineStr">
        <is>
          <t>普通科</t>
        </is>
      </c>
      <c r="H1176" s="26" t="inlineStr">
        <is>
          <t>☐</t>
        </is>
      </c>
      <c r="I1176" s="26" t="inlineStr">
        <is>
          <t>☐</t>
        </is>
      </c>
      <c r="J1176" s="26" t="inlineStr">
        <is>
          <t>☐</t>
        </is>
      </c>
      <c r="K1176" s="26" t="inlineStr">
        <is>
          <t>☐</t>
        </is>
      </c>
      <c r="L1176" s="26" t="inlineStr">
        <is>
          <t>☐</t>
        </is>
      </c>
      <c r="M1176" s="25" t="n"/>
      <c r="N1176" s="27" t="n">
        <v>0</v>
      </c>
      <c r="O1176" s="28" t="n"/>
      <c r="P1176" s="23" t="n"/>
      <c r="Q1176" s="29" t="n"/>
      <c r="R1176" s="29" t="n"/>
      <c r="S1176" s="23" t="n"/>
      <c r="T1176" s="30" t="n"/>
      <c r="U1176" s="31" t="inlineStr">
        <is>
          <t>高</t>
        </is>
      </c>
      <c r="V1176" s="32" t="inlineStr">
        <is>
          <t>中高共通番号</t>
        </is>
      </c>
      <c r="W1176" s="33" t="inlineStr">
        <is>
          <t>開く</t>
        </is>
      </c>
    </row>
    <row r="1177" ht="30" customHeight="1">
      <c r="A1177" s="23" t="inlineStr">
        <is>
          <t>37香川県</t>
        </is>
      </c>
      <c r="B1177" s="23" t="inlineStr">
        <is>
          <t>私立</t>
        </is>
      </c>
      <c r="C1177" s="23" t="n"/>
      <c r="D1177" s="23" t="inlineStr">
        <is>
          <t>英明高等学校</t>
        </is>
      </c>
      <c r="E1177" s="24" t="inlineStr">
        <is>
          <t>087-833-3737</t>
        </is>
      </c>
      <c r="F1177" s="23" t="n"/>
      <c r="G1177" s="25" t="inlineStr">
        <is>
          <t>普通科</t>
        </is>
      </c>
      <c r="H1177" s="26" t="inlineStr">
        <is>
          <t>☐</t>
        </is>
      </c>
      <c r="I1177" s="26" t="inlineStr">
        <is>
          <t>☐</t>
        </is>
      </c>
      <c r="J1177" s="26" t="inlineStr">
        <is>
          <t>☐</t>
        </is>
      </c>
      <c r="K1177" s="26" t="inlineStr">
        <is>
          <t>☐</t>
        </is>
      </c>
      <c r="L1177" s="26" t="inlineStr">
        <is>
          <t>☐</t>
        </is>
      </c>
      <c r="M1177" s="25" t="n"/>
      <c r="N1177" s="27" t="n">
        <v>0</v>
      </c>
      <c r="O1177" s="28" t="n"/>
      <c r="P1177" s="23" t="n"/>
      <c r="Q1177" s="29" t="n"/>
      <c r="R1177" s="29" t="n"/>
      <c r="S1177" s="23" t="n"/>
      <c r="T1177" s="30" t="n"/>
      <c r="U1177" s="34" t="inlineStr">
        <is>
          <t>中</t>
        </is>
      </c>
      <c r="V1177" s="32" t="inlineStr">
        <is>
          <t>公式未確認。香川県私立中高連合会・複数サイトで一致。通信制課程も同じ番号</t>
        </is>
      </c>
      <c r="W1177" s="33" t="inlineStr">
        <is>
          <t>開く</t>
        </is>
      </c>
    </row>
    <row r="1178" ht="30" customHeight="1">
      <c r="A1178" s="23" t="inlineStr">
        <is>
          <t>37香川県</t>
        </is>
      </c>
      <c r="B1178" s="23" t="inlineStr">
        <is>
          <t>私立</t>
        </is>
      </c>
      <c r="C1178" s="23" t="n"/>
      <c r="D1178" s="23" t="inlineStr">
        <is>
          <t>大手前高松高等学校</t>
        </is>
      </c>
      <c r="E1178" s="24" t="inlineStr">
        <is>
          <t>087-867-5970</t>
        </is>
      </c>
      <c r="F1178" s="23" t="n"/>
      <c r="G1178" s="25" t="inlineStr">
        <is>
          <t>普通科</t>
        </is>
      </c>
      <c r="H1178" s="26" t="inlineStr">
        <is>
          <t>☐</t>
        </is>
      </c>
      <c r="I1178" s="26" t="inlineStr">
        <is>
          <t>☐</t>
        </is>
      </c>
      <c r="J1178" s="26" t="inlineStr">
        <is>
          <t>☐</t>
        </is>
      </c>
      <c r="K1178" s="26" t="inlineStr">
        <is>
          <t>☐</t>
        </is>
      </c>
      <c r="L1178" s="26" t="inlineStr">
        <is>
          <t>☐</t>
        </is>
      </c>
      <c r="M1178" s="25" t="n"/>
      <c r="N1178" s="27" t="n">
        <v>0</v>
      </c>
      <c r="O1178" s="28" t="n"/>
      <c r="P1178" s="23" t="n"/>
      <c r="Q1178" s="29" t="n"/>
      <c r="R1178" s="29" t="n"/>
      <c r="S1178" s="23" t="n"/>
      <c r="T1178" s="30" t="n"/>
      <c r="U1178" s="31" t="inlineStr">
        <is>
          <t>高</t>
        </is>
      </c>
      <c r="V1178" s="32" t="n"/>
      <c r="W1178" s="33" t="inlineStr">
        <is>
          <t>開く</t>
        </is>
      </c>
    </row>
    <row r="1179" ht="30" customHeight="1">
      <c r="A1179" s="23" t="inlineStr">
        <is>
          <t>37香川県</t>
        </is>
      </c>
      <c r="B1179" s="23" t="inlineStr">
        <is>
          <t>私立</t>
        </is>
      </c>
      <c r="C1179" s="23" t="n"/>
      <c r="D1179" s="23" t="inlineStr">
        <is>
          <t>大手前丸亀高等学校</t>
        </is>
      </c>
      <c r="E1179" s="24" t="inlineStr">
        <is>
          <t>0877-23-3161</t>
        </is>
      </c>
      <c r="F1179" s="23" t="n"/>
      <c r="G1179" s="25" t="inlineStr">
        <is>
          <t>普通科</t>
        </is>
      </c>
      <c r="H1179" s="26" t="inlineStr">
        <is>
          <t>☐</t>
        </is>
      </c>
      <c r="I1179" s="26" t="inlineStr">
        <is>
          <t>☐</t>
        </is>
      </c>
      <c r="J1179" s="26" t="inlineStr">
        <is>
          <t>☐</t>
        </is>
      </c>
      <c r="K1179" s="26" t="inlineStr">
        <is>
          <t>☐</t>
        </is>
      </c>
      <c r="L1179" s="26" t="inlineStr">
        <is>
          <t>☐</t>
        </is>
      </c>
      <c r="M1179" s="25" t="n"/>
      <c r="N1179" s="27" t="n">
        <v>0</v>
      </c>
      <c r="O1179" s="28" t="n"/>
      <c r="P1179" s="23" t="n"/>
      <c r="Q1179" s="29" t="n"/>
      <c r="R1179" s="29" t="n"/>
      <c r="S1179" s="23" t="n"/>
      <c r="T1179" s="30" t="n"/>
      <c r="U1179" s="31" t="inlineStr">
        <is>
          <t>高</t>
        </is>
      </c>
      <c r="V1179" s="32" t="n"/>
      <c r="W1179" s="33" t="inlineStr">
        <is>
          <t>開く</t>
        </is>
      </c>
    </row>
    <row r="1180" ht="30" customHeight="1">
      <c r="A1180" s="23" t="inlineStr">
        <is>
          <t>37香川県</t>
        </is>
      </c>
      <c r="B1180" s="23" t="inlineStr">
        <is>
          <t>私立</t>
        </is>
      </c>
      <c r="C1180" s="23" t="n"/>
      <c r="D1180" s="23" t="inlineStr">
        <is>
          <t>香川県藤井高等学校</t>
        </is>
      </c>
      <c r="E1180" s="24" t="inlineStr">
        <is>
          <t>0877-22-2328</t>
        </is>
      </c>
      <c r="F1180" s="23" t="n"/>
      <c r="G1180" s="25" t="inlineStr">
        <is>
          <t>普通科・専門学科</t>
        </is>
      </c>
      <c r="H1180" s="26" t="inlineStr">
        <is>
          <t>☐</t>
        </is>
      </c>
      <c r="I1180" s="26" t="inlineStr">
        <is>
          <t>☐</t>
        </is>
      </c>
      <c r="J1180" s="26" t="inlineStr">
        <is>
          <t>☐</t>
        </is>
      </c>
      <c r="K1180" s="26" t="inlineStr">
        <is>
          <t>☐</t>
        </is>
      </c>
      <c r="L1180" s="26" t="inlineStr">
        <is>
          <t>☐</t>
        </is>
      </c>
      <c r="M1180" s="25" t="n"/>
      <c r="N1180" s="27" t="n">
        <v>0</v>
      </c>
      <c r="O1180" s="28" t="n"/>
      <c r="P1180" s="23" t="n"/>
      <c r="Q1180" s="29" t="n"/>
      <c r="R1180" s="29" t="n"/>
      <c r="S1180" s="23" t="n"/>
      <c r="T1180" s="30" t="n"/>
      <c r="U1180" s="31" t="inlineStr">
        <is>
          <t>高</t>
        </is>
      </c>
      <c r="V1180" s="32" t="inlineStr">
        <is>
          <t>2026年度から「蓬莱高等学校」に校名変更（法人も蓬莱学園に改称）</t>
        </is>
      </c>
      <c r="W1180" s="33" t="inlineStr">
        <is>
          <t>開く</t>
        </is>
      </c>
    </row>
    <row r="1181" ht="30" customHeight="1">
      <c r="A1181" s="23" t="inlineStr">
        <is>
          <t>37香川県</t>
        </is>
      </c>
      <c r="B1181" s="23" t="inlineStr">
        <is>
          <t>私立</t>
        </is>
      </c>
      <c r="C1181" s="23" t="n"/>
      <c r="D1181" s="23" t="inlineStr">
        <is>
          <t>香川誠陵高等学校</t>
        </is>
      </c>
      <c r="E1181" s="24" t="inlineStr">
        <is>
          <t>087-881-7800</t>
        </is>
      </c>
      <c r="F1181" s="23" t="n"/>
      <c r="G1181" s="25" t="inlineStr">
        <is>
          <t>普通科</t>
        </is>
      </c>
      <c r="H1181" s="26" t="inlineStr">
        <is>
          <t>☐</t>
        </is>
      </c>
      <c r="I1181" s="26" t="inlineStr">
        <is>
          <t>☐</t>
        </is>
      </c>
      <c r="J1181" s="26" t="inlineStr">
        <is>
          <t>☐</t>
        </is>
      </c>
      <c r="K1181" s="26" t="inlineStr">
        <is>
          <t>☐</t>
        </is>
      </c>
      <c r="L1181" s="26" t="inlineStr">
        <is>
          <t>☐</t>
        </is>
      </c>
      <c r="M1181" s="25" t="n"/>
      <c r="N1181" s="27" t="n">
        <v>0</v>
      </c>
      <c r="O1181" s="28" t="n"/>
      <c r="P1181" s="23" t="n"/>
      <c r="Q1181" s="29" t="n"/>
      <c r="R1181" s="29" t="n"/>
      <c r="S1181" s="23" t="n"/>
      <c r="T1181" s="30" t="n"/>
      <c r="U1181" s="31" t="inlineStr">
        <is>
          <t>高</t>
        </is>
      </c>
      <c r="V1181" s="32" t="inlineStr">
        <is>
          <t>中高共通番号</t>
        </is>
      </c>
      <c r="W1181" s="33" t="inlineStr">
        <is>
          <t>開く</t>
        </is>
      </c>
    </row>
    <row r="1182" ht="30" customHeight="1">
      <c r="A1182" s="23" t="inlineStr">
        <is>
          <t>37香川県</t>
        </is>
      </c>
      <c r="B1182" s="23" t="inlineStr">
        <is>
          <t>私立</t>
        </is>
      </c>
      <c r="C1182" s="23" t="n"/>
      <c r="D1182" s="23" t="inlineStr">
        <is>
          <t>坂出第一高等学校</t>
        </is>
      </c>
      <c r="E1182" s="24" t="inlineStr">
        <is>
          <t>0877-46-2157</t>
        </is>
      </c>
      <c r="F1182" s="23" t="n"/>
      <c r="G1182" s="25" t="inlineStr">
        <is>
          <t>普通科・専門学科</t>
        </is>
      </c>
      <c r="H1182" s="26" t="inlineStr">
        <is>
          <t>☐</t>
        </is>
      </c>
      <c r="I1182" s="26" t="inlineStr">
        <is>
          <t>☐</t>
        </is>
      </c>
      <c r="J1182" s="26" t="inlineStr">
        <is>
          <t>☐</t>
        </is>
      </c>
      <c r="K1182" s="26" t="inlineStr">
        <is>
          <t>☐</t>
        </is>
      </c>
      <c r="L1182" s="26" t="inlineStr">
        <is>
          <t>☐</t>
        </is>
      </c>
      <c r="M1182" s="25" t="n"/>
      <c r="N1182" s="27" t="n">
        <v>0</v>
      </c>
      <c r="O1182" s="28" t="n"/>
      <c r="P1182" s="23" t="n"/>
      <c r="Q1182" s="29" t="n"/>
      <c r="R1182" s="29" t="n"/>
      <c r="S1182" s="23" t="n"/>
      <c r="T1182" s="30" t="n"/>
      <c r="U1182" s="31" t="inlineStr">
        <is>
          <t>高</t>
        </is>
      </c>
      <c r="V1182" s="32" t="n"/>
      <c r="W1182" s="33" t="inlineStr">
        <is>
          <t>開く</t>
        </is>
      </c>
    </row>
    <row r="1183" ht="30" customHeight="1">
      <c r="A1183" s="23" t="inlineStr">
        <is>
          <t>37香川県</t>
        </is>
      </c>
      <c r="B1183" s="23" t="inlineStr">
        <is>
          <t>私立</t>
        </is>
      </c>
      <c r="C1183" s="23" t="n"/>
      <c r="D1183" s="23" t="inlineStr">
        <is>
          <t>四国学院大学香川西高等学校</t>
        </is>
      </c>
      <c r="E1183" s="24" t="inlineStr">
        <is>
          <t>0875-72-5193</t>
        </is>
      </c>
      <c r="F1183" s="23" t="n"/>
      <c r="G1183" s="25" t="inlineStr">
        <is>
          <t>普通科・専門学科</t>
        </is>
      </c>
      <c r="H1183" s="26" t="inlineStr">
        <is>
          <t>☐</t>
        </is>
      </c>
      <c r="I1183" s="26" t="inlineStr">
        <is>
          <t>☐</t>
        </is>
      </c>
      <c r="J1183" s="26" t="inlineStr">
        <is>
          <t>☐</t>
        </is>
      </c>
      <c r="K1183" s="26" t="inlineStr">
        <is>
          <t>☐</t>
        </is>
      </c>
      <c r="L1183" s="26" t="inlineStr">
        <is>
          <t>☐</t>
        </is>
      </c>
      <c r="M1183" s="25" t="n"/>
      <c r="N1183" s="27" t="n">
        <v>0</v>
      </c>
      <c r="O1183" s="28" t="n"/>
      <c r="P1183" s="23" t="n"/>
      <c r="Q1183" s="29" t="n"/>
      <c r="R1183" s="29" t="n"/>
      <c r="S1183" s="23" t="n"/>
      <c r="T1183" s="30" t="n"/>
      <c r="U1183" s="31" t="inlineStr">
        <is>
          <t>高</t>
        </is>
      </c>
      <c r="V1183" s="32" t="inlineStr">
        <is>
          <t>三豊市HPとも一致</t>
        </is>
      </c>
      <c r="W1183" s="33" t="inlineStr">
        <is>
          <t>開く</t>
        </is>
      </c>
    </row>
    <row r="1184" ht="30" customHeight="1">
      <c r="A1184" s="23" t="inlineStr">
        <is>
          <t>37香川県</t>
        </is>
      </c>
      <c r="B1184" s="23" t="inlineStr">
        <is>
          <t>私立</t>
        </is>
      </c>
      <c r="C1184" s="23" t="n"/>
      <c r="D1184" s="23" t="inlineStr">
        <is>
          <t>尽誠学園高等学校</t>
        </is>
      </c>
      <c r="E1184" s="24" t="inlineStr">
        <is>
          <t>0877-62-1515</t>
        </is>
      </c>
      <c r="F1184" s="23" t="n"/>
      <c r="G1184" s="25" t="inlineStr">
        <is>
          <t>普通科・専門学科</t>
        </is>
      </c>
      <c r="H1184" s="26" t="inlineStr">
        <is>
          <t>☐</t>
        </is>
      </c>
      <c r="I1184" s="26" t="inlineStr">
        <is>
          <t>☐</t>
        </is>
      </c>
      <c r="J1184" s="26" t="inlineStr">
        <is>
          <t>☐</t>
        </is>
      </c>
      <c r="K1184" s="26" t="inlineStr">
        <is>
          <t>☐</t>
        </is>
      </c>
      <c r="L1184" s="26" t="inlineStr">
        <is>
          <t>☐</t>
        </is>
      </c>
      <c r="M1184" s="25" t="n"/>
      <c r="N1184" s="27" t="n">
        <v>0</v>
      </c>
      <c r="O1184" s="28" t="n"/>
      <c r="P1184" s="23" t="n"/>
      <c r="Q1184" s="29" t="n"/>
      <c r="R1184" s="29" t="n"/>
      <c r="S1184" s="23" t="n"/>
      <c r="T1184" s="30" t="n"/>
      <c r="U1184" s="31" t="inlineStr">
        <is>
          <t>高</t>
        </is>
      </c>
      <c r="V1184" s="32" t="inlineStr">
        <is>
          <t>県私立中高連合会とも一致。法人本部は0877-63-1717</t>
        </is>
      </c>
      <c r="W1184" s="33" t="inlineStr">
        <is>
          <t>開く</t>
        </is>
      </c>
    </row>
    <row r="1185" ht="30" customHeight="1">
      <c r="A1185" s="23" t="inlineStr">
        <is>
          <t>37香川県</t>
        </is>
      </c>
      <c r="B1185" s="23" t="inlineStr">
        <is>
          <t>私立</t>
        </is>
      </c>
      <c r="C1185" s="23" t="n"/>
      <c r="D1185" s="23" t="inlineStr">
        <is>
          <t>高松中央高等学校</t>
        </is>
      </c>
      <c r="E1185" s="24" t="inlineStr">
        <is>
          <t>087-831-1291</t>
        </is>
      </c>
      <c r="F1185" s="23" t="n"/>
      <c r="G1185" s="25" t="inlineStr">
        <is>
          <t>普通科・専門学科</t>
        </is>
      </c>
      <c r="H1185" s="26" t="inlineStr">
        <is>
          <t>☐</t>
        </is>
      </c>
      <c r="I1185" s="26" t="inlineStr">
        <is>
          <t>☐</t>
        </is>
      </c>
      <c r="J1185" s="26" t="inlineStr">
        <is>
          <t>☐</t>
        </is>
      </c>
      <c r="K1185" s="26" t="inlineStr">
        <is>
          <t>☐</t>
        </is>
      </c>
      <c r="L1185" s="26" t="inlineStr">
        <is>
          <t>☐</t>
        </is>
      </c>
      <c r="M1185" s="25" t="n"/>
      <c r="N1185" s="27" t="n">
        <v>0</v>
      </c>
      <c r="O1185" s="28" t="n"/>
      <c r="P1185" s="23" t="n"/>
      <c r="Q1185" s="29" t="n"/>
      <c r="R1185" s="29" t="n"/>
      <c r="S1185" s="23" t="n"/>
      <c r="T1185" s="30" t="n"/>
      <c r="U1185" s="31" t="inlineStr">
        <is>
          <t>高</t>
        </is>
      </c>
      <c r="V1185" s="32" t="inlineStr">
        <is>
          <t>全日制の番号。通信制課程は087-812-5285</t>
        </is>
      </c>
      <c r="W1185" s="33" t="inlineStr">
        <is>
          <t>開く</t>
        </is>
      </c>
    </row>
    <row r="1186" ht="30" customHeight="1">
      <c r="A1186" s="23" t="inlineStr">
        <is>
          <t>37香川県</t>
        </is>
      </c>
      <c r="B1186" s="23" t="inlineStr">
        <is>
          <t>私立</t>
        </is>
      </c>
      <c r="C1186" s="23" t="n"/>
      <c r="D1186" s="23" t="inlineStr">
        <is>
          <t>藤井学園寒川高等学校</t>
        </is>
      </c>
      <c r="E1186" s="24" t="inlineStr">
        <is>
          <t>0879-43-2571</t>
        </is>
      </c>
      <c r="F1186" s="23" t="n"/>
      <c r="G1186" s="25" t="inlineStr">
        <is>
          <t>普通科・専門学科</t>
        </is>
      </c>
      <c r="H1186" s="26" t="inlineStr">
        <is>
          <t>☐</t>
        </is>
      </c>
      <c r="I1186" s="26" t="inlineStr">
        <is>
          <t>☐</t>
        </is>
      </c>
      <c r="J1186" s="26" t="inlineStr">
        <is>
          <t>☐</t>
        </is>
      </c>
      <c r="K1186" s="26" t="inlineStr">
        <is>
          <t>☐</t>
        </is>
      </c>
      <c r="L1186" s="26" t="inlineStr">
        <is>
          <t>☐</t>
        </is>
      </c>
      <c r="M1186" s="25" t="n"/>
      <c r="N1186" s="27" t="n">
        <v>0</v>
      </c>
      <c r="O1186" s="28" t="n"/>
      <c r="P1186" s="23" t="n"/>
      <c r="Q1186" s="29" t="n"/>
      <c r="R1186" s="29" t="n"/>
      <c r="S1186" s="23" t="n"/>
      <c r="T1186" s="30" t="n"/>
      <c r="U1186" s="31" t="inlineStr">
        <is>
          <t>高</t>
        </is>
      </c>
      <c r="V1186" s="32" t="inlineStr">
        <is>
          <t>法人名は2026年に蓬莱学園へ改称</t>
        </is>
      </c>
      <c r="W1186" s="33" t="inlineStr">
        <is>
          <t>開く</t>
        </is>
      </c>
    </row>
    <row r="1187" ht="30" customHeight="1">
      <c r="A1187" s="23" t="inlineStr">
        <is>
          <t>38愛媛県</t>
        </is>
      </c>
      <c r="B1187" s="23" t="inlineStr">
        <is>
          <t>私立</t>
        </is>
      </c>
      <c r="C1187" s="23" t="n"/>
      <c r="D1187" s="23" t="inlineStr">
        <is>
          <t>愛光高等学校</t>
        </is>
      </c>
      <c r="E1187" s="24" t="inlineStr">
        <is>
          <t>089-922-8980</t>
        </is>
      </c>
      <c r="F1187" s="23" t="n"/>
      <c r="G1187" s="25" t="inlineStr">
        <is>
          <t>普通科</t>
        </is>
      </c>
      <c r="H1187" s="26" t="inlineStr">
        <is>
          <t>☐</t>
        </is>
      </c>
      <c r="I1187" s="26" t="inlineStr">
        <is>
          <t>☐</t>
        </is>
      </c>
      <c r="J1187" s="26" t="inlineStr">
        <is>
          <t>☐</t>
        </is>
      </c>
      <c r="K1187" s="26" t="inlineStr">
        <is>
          <t>☐</t>
        </is>
      </c>
      <c r="L1187" s="26" t="inlineStr">
        <is>
          <t>☐</t>
        </is>
      </c>
      <c r="M1187" s="25" t="n"/>
      <c r="N1187" s="27" t="n">
        <v>0</v>
      </c>
      <c r="O1187" s="28" t="n"/>
      <c r="P1187" s="23" t="n"/>
      <c r="Q1187" s="29" t="n"/>
      <c r="R1187" s="29" t="n"/>
      <c r="S1187" s="23" t="n"/>
      <c r="T1187" s="30" t="n"/>
      <c r="U1187" s="31" t="inlineStr">
        <is>
          <t>高</t>
        </is>
      </c>
      <c r="V1187" s="32" t="inlineStr">
        <is>
          <t>中高共通番号</t>
        </is>
      </c>
      <c r="W1187" s="33" t="inlineStr">
        <is>
          <t>開く</t>
        </is>
      </c>
    </row>
    <row r="1188" ht="30" customHeight="1">
      <c r="A1188" s="23" t="inlineStr">
        <is>
          <t>38愛媛県</t>
        </is>
      </c>
      <c r="B1188" s="23" t="inlineStr">
        <is>
          <t>私立</t>
        </is>
      </c>
      <c r="C1188" s="23" t="n"/>
      <c r="D1188" s="23" t="inlineStr">
        <is>
          <t>今治精華高等学校</t>
        </is>
      </c>
      <c r="E1188" s="24" t="inlineStr">
        <is>
          <t>0898-32-7100</t>
        </is>
      </c>
      <c r="F1188" s="23" t="n"/>
      <c r="G1188" s="25" t="inlineStr">
        <is>
          <t>普通科・専門学科</t>
        </is>
      </c>
      <c r="H1188" s="26" t="inlineStr">
        <is>
          <t>☐</t>
        </is>
      </c>
      <c r="I1188" s="26" t="inlineStr">
        <is>
          <t>☐</t>
        </is>
      </c>
      <c r="J1188" s="26" t="inlineStr">
        <is>
          <t>☐</t>
        </is>
      </c>
      <c r="K1188" s="26" t="inlineStr">
        <is>
          <t>☐</t>
        </is>
      </c>
      <c r="L1188" s="26" t="inlineStr">
        <is>
          <t>☐</t>
        </is>
      </c>
      <c r="M1188" s="25" t="n"/>
      <c r="N1188" s="27" t="n">
        <v>0</v>
      </c>
      <c r="O1188" s="28" t="n"/>
      <c r="P1188" s="23" t="n"/>
      <c r="Q1188" s="29" t="n"/>
      <c r="R1188" s="29" t="n"/>
      <c r="S1188" s="23" t="n"/>
      <c r="T1188" s="30" t="n"/>
      <c r="U1188" s="31" t="inlineStr">
        <is>
          <t>高</t>
        </is>
      </c>
      <c r="V1188" s="32" t="inlineStr">
        <is>
          <t>一部サイトに0898-32-7260の記載あり（旧情報の可能性）</t>
        </is>
      </c>
      <c r="W1188" s="33" t="inlineStr">
        <is>
          <t>開く</t>
        </is>
      </c>
    </row>
    <row r="1189" ht="30" customHeight="1">
      <c r="A1189" s="23" t="inlineStr">
        <is>
          <t>38愛媛県</t>
        </is>
      </c>
      <c r="B1189" s="23" t="inlineStr">
        <is>
          <t>私立</t>
        </is>
      </c>
      <c r="C1189" s="23" t="n"/>
      <c r="D1189" s="23" t="inlineStr">
        <is>
          <t>FC今治高等学校 里山校</t>
        </is>
      </c>
      <c r="E1189" s="24" t="inlineStr">
        <is>
          <t>0898-22-1230</t>
        </is>
      </c>
      <c r="F1189" s="23" t="n"/>
      <c r="G1189" s="25" t="n"/>
      <c r="H1189" s="26" t="inlineStr">
        <is>
          <t>☐</t>
        </is>
      </c>
      <c r="I1189" s="26" t="inlineStr">
        <is>
          <t>☐</t>
        </is>
      </c>
      <c r="J1189" s="26" t="inlineStr">
        <is>
          <t>☐</t>
        </is>
      </c>
      <c r="K1189" s="26" t="inlineStr">
        <is>
          <t>☐</t>
        </is>
      </c>
      <c r="L1189" s="26" t="inlineStr">
        <is>
          <t>☐</t>
        </is>
      </c>
      <c r="M1189" s="25" t="n"/>
      <c r="N1189" s="27" t="n">
        <v>0</v>
      </c>
      <c r="O1189" s="28" t="n"/>
      <c r="P1189" s="23" t="n"/>
      <c r="Q1189" s="29" t="n"/>
      <c r="R1189" s="29" t="n"/>
      <c r="S1189" s="23" t="n"/>
      <c r="T1189" s="30" t="n"/>
      <c r="U1189" s="34" t="inlineStr">
        <is>
          <t>中</t>
        </is>
      </c>
      <c r="V1189" s="32" t="inlineStr">
        <is>
          <t>公式未確認。複数サイト・公式Facebookで一致。2024年に今治明徳高校矢田分校から改称</t>
        </is>
      </c>
      <c r="W1189" s="33" t="inlineStr">
        <is>
          <t>開く</t>
        </is>
      </c>
    </row>
    <row r="1190" ht="30" customHeight="1">
      <c r="A1190" s="23" t="inlineStr">
        <is>
          <t>38愛媛県</t>
        </is>
      </c>
      <c r="B1190" s="23" t="inlineStr">
        <is>
          <t>私立</t>
        </is>
      </c>
      <c r="C1190" s="23" t="n"/>
      <c r="D1190" s="23" t="inlineStr">
        <is>
          <t>FC今治高等学校 明徳校</t>
        </is>
      </c>
      <c r="E1190" s="24" t="inlineStr">
        <is>
          <t>0898-22-6767</t>
        </is>
      </c>
      <c r="F1190" s="23" t="n"/>
      <c r="G1190" s="25" t="inlineStr">
        <is>
          <t>普通科</t>
        </is>
      </c>
      <c r="H1190" s="26" t="inlineStr">
        <is>
          <t>☐</t>
        </is>
      </c>
      <c r="I1190" s="26" t="inlineStr">
        <is>
          <t>☐</t>
        </is>
      </c>
      <c r="J1190" s="26" t="inlineStr">
        <is>
          <t>☐</t>
        </is>
      </c>
      <c r="K1190" s="26" t="inlineStr">
        <is>
          <t>☐</t>
        </is>
      </c>
      <c r="L1190" s="26" t="inlineStr">
        <is>
          <t>☐</t>
        </is>
      </c>
      <c r="M1190" s="25" t="n"/>
      <c r="N1190" s="27" t="n">
        <v>0</v>
      </c>
      <c r="O1190" s="28" t="n"/>
      <c r="P1190" s="23" t="n"/>
      <c r="Q1190" s="29" t="n"/>
      <c r="R1190" s="29" t="n"/>
      <c r="S1190" s="23" t="n"/>
      <c r="T1190" s="30" t="n"/>
      <c r="U1190" s="31" t="inlineStr">
        <is>
          <t>高</t>
        </is>
      </c>
      <c r="V1190" s="32" t="inlineStr">
        <is>
          <t>旧・今治明徳高校本校（2024年改称）</t>
        </is>
      </c>
      <c r="W1190" s="33" t="inlineStr">
        <is>
          <t>開く</t>
        </is>
      </c>
    </row>
    <row r="1191" ht="30" customHeight="1">
      <c r="A1191" s="23" t="inlineStr">
        <is>
          <t>38愛媛県</t>
        </is>
      </c>
      <c r="B1191" s="23" t="inlineStr">
        <is>
          <t>私立</t>
        </is>
      </c>
      <c r="C1191" s="23" t="n"/>
      <c r="D1191" s="23" t="inlineStr">
        <is>
          <t>済美高等学校（愛媛県）</t>
        </is>
      </c>
      <c r="E1191" s="24" t="inlineStr">
        <is>
          <t>089-943-4185</t>
        </is>
      </c>
      <c r="F1191" s="23" t="n"/>
      <c r="G1191" s="25" t="inlineStr">
        <is>
          <t>普通科・専門学科</t>
        </is>
      </c>
      <c r="H1191" s="26" t="inlineStr">
        <is>
          <t>☐</t>
        </is>
      </c>
      <c r="I1191" s="26" t="inlineStr">
        <is>
          <t>☐</t>
        </is>
      </c>
      <c r="J1191" s="26" t="inlineStr">
        <is>
          <t>☐</t>
        </is>
      </c>
      <c r="K1191" s="26" t="inlineStr">
        <is>
          <t>☐</t>
        </is>
      </c>
      <c r="L1191" s="26" t="inlineStr">
        <is>
          <t>☐</t>
        </is>
      </c>
      <c r="M1191" s="25" t="n"/>
      <c r="N1191" s="27" t="n">
        <v>0</v>
      </c>
      <c r="O1191" s="28" t="n"/>
      <c r="P1191" s="23" t="n"/>
      <c r="Q1191" s="29" t="n"/>
      <c r="R1191" s="29" t="n"/>
      <c r="S1191" s="23" t="n"/>
      <c r="T1191" s="30" t="n"/>
      <c r="U1191" s="31" t="inlineStr">
        <is>
          <t>高</t>
        </is>
      </c>
      <c r="V1191" s="32" t="inlineStr">
        <is>
          <t>電話受付は平日7:30-16:55、土曜7:30-13:00</t>
        </is>
      </c>
      <c r="W1191" s="33" t="inlineStr">
        <is>
          <t>開く</t>
        </is>
      </c>
    </row>
    <row r="1192" ht="30" customHeight="1">
      <c r="A1192" s="23" t="inlineStr">
        <is>
          <t>38愛媛県</t>
        </is>
      </c>
      <c r="B1192" s="23" t="inlineStr">
        <is>
          <t>私立</t>
        </is>
      </c>
      <c r="C1192" s="23" t="n"/>
      <c r="D1192" s="23" t="inlineStr">
        <is>
          <t>聖カタリナ学園高等学校</t>
        </is>
      </c>
      <c r="E1192" s="24" t="inlineStr">
        <is>
          <t>089-933-3291</t>
        </is>
      </c>
      <c r="F1192" s="23" t="n"/>
      <c r="G1192" s="25" t="inlineStr">
        <is>
          <t>普通科・専門学科・総合学科</t>
        </is>
      </c>
      <c r="H1192" s="26" t="inlineStr">
        <is>
          <t>☐</t>
        </is>
      </c>
      <c r="I1192" s="26" t="inlineStr">
        <is>
          <t>☐</t>
        </is>
      </c>
      <c r="J1192" s="26" t="inlineStr">
        <is>
          <t>☐</t>
        </is>
      </c>
      <c r="K1192" s="26" t="inlineStr">
        <is>
          <t>☐</t>
        </is>
      </c>
      <c r="L1192" s="26" t="inlineStr">
        <is>
          <t>☐</t>
        </is>
      </c>
      <c r="M1192" s="25" t="n"/>
      <c r="N1192" s="27" t="n">
        <v>0</v>
      </c>
      <c r="O1192" s="28" t="n"/>
      <c r="P1192" s="23" t="n"/>
      <c r="Q1192" s="29" t="n"/>
      <c r="R1192" s="29" t="n"/>
      <c r="S1192" s="23" t="n"/>
      <c r="T1192" s="30" t="n"/>
      <c r="U1192" s="31" t="inlineStr">
        <is>
          <t>高</t>
        </is>
      </c>
      <c r="V1192" s="32" t="n"/>
      <c r="W1192" s="33" t="inlineStr">
        <is>
          <t>開く</t>
        </is>
      </c>
    </row>
    <row r="1193" ht="30" customHeight="1">
      <c r="A1193" s="23" t="inlineStr">
        <is>
          <t>38愛媛県</t>
        </is>
      </c>
      <c r="B1193" s="23" t="inlineStr">
        <is>
          <t>私立</t>
        </is>
      </c>
      <c r="C1193" s="23" t="n"/>
      <c r="D1193" s="23" t="inlineStr">
        <is>
          <t>帝京第五高等学校</t>
        </is>
      </c>
      <c r="E1193" s="24" t="inlineStr">
        <is>
          <t>0893-25-0511</t>
        </is>
      </c>
      <c r="F1193" s="23" t="n"/>
      <c r="G1193" s="25" t="inlineStr">
        <is>
          <t>普通科・専門学科・総合学科</t>
        </is>
      </c>
      <c r="H1193" s="26" t="inlineStr">
        <is>
          <t>☐</t>
        </is>
      </c>
      <c r="I1193" s="26" t="inlineStr">
        <is>
          <t>☐</t>
        </is>
      </c>
      <c r="J1193" s="26" t="inlineStr">
        <is>
          <t>☐</t>
        </is>
      </c>
      <c r="K1193" s="26" t="inlineStr">
        <is>
          <t>☐</t>
        </is>
      </c>
      <c r="L1193" s="26" t="inlineStr">
        <is>
          <t>☐</t>
        </is>
      </c>
      <c r="M1193" s="25" t="n"/>
      <c r="N1193" s="27" t="n">
        <v>0</v>
      </c>
      <c r="O1193" s="28" t="n"/>
      <c r="P1193" s="23" t="n"/>
      <c r="Q1193" s="29" t="n"/>
      <c r="R1193" s="29" t="n"/>
      <c r="S1193" s="23" t="n"/>
      <c r="T1193" s="30" t="n"/>
      <c r="U1193" s="31" t="inlineStr">
        <is>
          <t>高</t>
        </is>
      </c>
      <c r="V1193" s="32" t="inlineStr">
        <is>
          <t>代表番号。職員室0893-25-0566、通信制0893-57-6850</t>
        </is>
      </c>
      <c r="W1193" s="33" t="inlineStr">
        <is>
          <t>開く</t>
        </is>
      </c>
    </row>
    <row r="1194" ht="30" customHeight="1">
      <c r="A1194" s="23" t="inlineStr">
        <is>
          <t>38愛媛県</t>
        </is>
      </c>
      <c r="B1194" s="23" t="inlineStr">
        <is>
          <t>私立</t>
        </is>
      </c>
      <c r="C1194" s="23" t="n"/>
      <c r="D1194" s="23" t="inlineStr">
        <is>
          <t>新田高等学校</t>
        </is>
      </c>
      <c r="E1194" s="24" t="inlineStr">
        <is>
          <t>089-951-0188</t>
        </is>
      </c>
      <c r="F1194" s="23" t="n"/>
      <c r="G1194" s="25" t="inlineStr">
        <is>
          <t>普通科・専門学科</t>
        </is>
      </c>
      <c r="H1194" s="26" t="inlineStr">
        <is>
          <t>☐</t>
        </is>
      </c>
      <c r="I1194" s="26" t="inlineStr">
        <is>
          <t>☐</t>
        </is>
      </c>
      <c r="J1194" s="26" t="inlineStr">
        <is>
          <t>☐</t>
        </is>
      </c>
      <c r="K1194" s="26" t="inlineStr">
        <is>
          <t>☐</t>
        </is>
      </c>
      <c r="L1194" s="26" t="inlineStr">
        <is>
          <t>☐</t>
        </is>
      </c>
      <c r="M1194" s="25" t="n"/>
      <c r="N1194" s="27" t="n">
        <v>0</v>
      </c>
      <c r="O1194" s="28" t="n"/>
      <c r="P1194" s="23" t="n"/>
      <c r="Q1194" s="29" t="n"/>
      <c r="R1194" s="29" t="n"/>
      <c r="S1194" s="23" t="n"/>
      <c r="T1194" s="30" t="n"/>
      <c r="U1194" s="31" t="inlineStr">
        <is>
          <t>高</t>
        </is>
      </c>
      <c r="V1194" s="32" t="n"/>
      <c r="W1194" s="33" t="inlineStr">
        <is>
          <t>開く</t>
        </is>
      </c>
    </row>
    <row r="1195" ht="30" customHeight="1">
      <c r="A1195" s="23" t="inlineStr">
        <is>
          <t>38愛媛県</t>
        </is>
      </c>
      <c r="B1195" s="23" t="inlineStr">
        <is>
          <t>私立</t>
        </is>
      </c>
      <c r="C1195" s="23" t="n"/>
      <c r="D1195" s="23" t="inlineStr">
        <is>
          <t>日本ウェルネス高等学校</t>
        </is>
      </c>
      <c r="E1195" s="24" t="inlineStr">
        <is>
          <t>0897-74-1356</t>
        </is>
      </c>
      <c r="F1195" s="23" t="n"/>
      <c r="G1195" s="25" t="inlineStr">
        <is>
          <t>普通科</t>
        </is>
      </c>
      <c r="H1195" s="26" t="inlineStr">
        <is>
          <t>☐</t>
        </is>
      </c>
      <c r="I1195" s="26" t="inlineStr">
        <is>
          <t>☐</t>
        </is>
      </c>
      <c r="J1195" s="26" t="inlineStr">
        <is>
          <t>☐</t>
        </is>
      </c>
      <c r="K1195" s="26" t="inlineStr">
        <is>
          <t>☐</t>
        </is>
      </c>
      <c r="L1195" s="26" t="inlineStr">
        <is>
          <t>☐</t>
        </is>
      </c>
      <c r="M1195" s="25" t="n"/>
      <c r="N1195" s="27" t="n">
        <v>0</v>
      </c>
      <c r="O1195" s="28" t="n"/>
      <c r="P1195" s="23" t="n"/>
      <c r="Q1195" s="29" t="n"/>
      <c r="R1195" s="29" t="n"/>
      <c r="S1195" s="23" t="n"/>
      <c r="T1195" s="30" t="n"/>
      <c r="U1195" s="31" t="inlineStr">
        <is>
          <t>高</t>
        </is>
      </c>
      <c r="V1195" s="32" t="inlineStr">
        <is>
          <t>通信制・今治本校（大三島町）。総合案内は東京03-3938-7500</t>
        </is>
      </c>
      <c r="W1195" s="33" t="inlineStr">
        <is>
          <t>開く</t>
        </is>
      </c>
    </row>
    <row r="1196" ht="30" customHeight="1">
      <c r="A1196" s="23" t="inlineStr">
        <is>
          <t>38愛媛県</t>
        </is>
      </c>
      <c r="B1196" s="23" t="inlineStr">
        <is>
          <t>私立</t>
        </is>
      </c>
      <c r="C1196" s="23" t="n"/>
      <c r="D1196" s="23" t="inlineStr">
        <is>
          <t>松山学院高等学校</t>
        </is>
      </c>
      <c r="E1196" s="24" t="inlineStr">
        <is>
          <t>089-976-4343</t>
        </is>
      </c>
      <c r="F1196" s="23" t="n"/>
      <c r="G1196" s="25" t="inlineStr">
        <is>
          <t>普通科・専門学科</t>
        </is>
      </c>
      <c r="H1196" s="26" t="inlineStr">
        <is>
          <t>☐</t>
        </is>
      </c>
      <c r="I1196" s="26" t="inlineStr">
        <is>
          <t>☐</t>
        </is>
      </c>
      <c r="J1196" s="26" t="inlineStr">
        <is>
          <t>☐</t>
        </is>
      </c>
      <c r="K1196" s="26" t="inlineStr">
        <is>
          <t>☐</t>
        </is>
      </c>
      <c r="L1196" s="26" t="inlineStr">
        <is>
          <t>☐</t>
        </is>
      </c>
      <c r="M1196" s="25" t="n"/>
      <c r="N1196" s="27" t="n">
        <v>0</v>
      </c>
      <c r="O1196" s="28" t="n"/>
      <c r="P1196" s="23" t="n"/>
      <c r="Q1196" s="29" t="n"/>
      <c r="R1196" s="29" t="n"/>
      <c r="S1196" s="23" t="n"/>
      <c r="T1196" s="30" t="n"/>
      <c r="U1196" s="31" t="inlineStr">
        <is>
          <t>高</t>
        </is>
      </c>
      <c r="V1196" s="32" t="n"/>
      <c r="W1196" s="33" t="inlineStr">
        <is>
          <t>開く</t>
        </is>
      </c>
    </row>
    <row r="1197" ht="30" customHeight="1">
      <c r="A1197" s="23" t="inlineStr">
        <is>
          <t>38愛媛県</t>
        </is>
      </c>
      <c r="B1197" s="23" t="inlineStr">
        <is>
          <t>私立</t>
        </is>
      </c>
      <c r="C1197" s="23" t="n"/>
      <c r="D1197" s="23" t="inlineStr">
        <is>
          <t>松山東雲高等学校</t>
        </is>
      </c>
      <c r="E1197" s="24" t="inlineStr">
        <is>
          <t>089-941-4136</t>
        </is>
      </c>
      <c r="F1197" s="23" t="n"/>
      <c r="G1197" s="25" t="inlineStr">
        <is>
          <t>普通科</t>
        </is>
      </c>
      <c r="H1197" s="26" t="inlineStr">
        <is>
          <t>☐</t>
        </is>
      </c>
      <c r="I1197" s="26" t="inlineStr">
        <is>
          <t>☐</t>
        </is>
      </c>
      <c r="J1197" s="26" t="inlineStr">
        <is>
          <t>☐</t>
        </is>
      </c>
      <c r="K1197" s="26" t="inlineStr">
        <is>
          <t>☐</t>
        </is>
      </c>
      <c r="L1197" s="26" t="inlineStr">
        <is>
          <t>☐</t>
        </is>
      </c>
      <c r="M1197" s="25" t="n"/>
      <c r="N1197" s="27" t="n">
        <v>0</v>
      </c>
      <c r="O1197" s="28" t="n"/>
      <c r="P1197" s="23" t="n"/>
      <c r="Q1197" s="29" t="n"/>
      <c r="R1197" s="29" t="n"/>
      <c r="S1197" s="23" t="n"/>
      <c r="T1197" s="30" t="n"/>
      <c r="U1197" s="31" t="inlineStr">
        <is>
          <t>高</t>
        </is>
      </c>
      <c r="V1197" s="32" t="inlineStr">
        <is>
          <t>中高の番号。学園代表は089-931-6211</t>
        </is>
      </c>
      <c r="W1197" s="33" t="inlineStr">
        <is>
          <t>開く</t>
        </is>
      </c>
    </row>
    <row r="1198" ht="30" customHeight="1">
      <c r="A1198" s="23" t="inlineStr">
        <is>
          <t>38愛媛県</t>
        </is>
      </c>
      <c r="B1198" s="23" t="inlineStr">
        <is>
          <t>私立</t>
        </is>
      </c>
      <c r="C1198" s="23" t="n"/>
      <c r="D1198" s="23" t="inlineStr">
        <is>
          <t>松山聖陵高等学校</t>
        </is>
      </c>
      <c r="E1198" s="24" t="inlineStr">
        <is>
          <t>089-924-8783</t>
        </is>
      </c>
      <c r="F1198" s="23" t="n"/>
      <c r="G1198" s="25" t="inlineStr">
        <is>
          <t>普通科・専門学科</t>
        </is>
      </c>
      <c r="H1198" s="26" t="inlineStr">
        <is>
          <t>☐</t>
        </is>
      </c>
      <c r="I1198" s="26" t="inlineStr">
        <is>
          <t>☐</t>
        </is>
      </c>
      <c r="J1198" s="26" t="inlineStr">
        <is>
          <t>☐</t>
        </is>
      </c>
      <c r="K1198" s="26" t="inlineStr">
        <is>
          <t>☐</t>
        </is>
      </c>
      <c r="L1198" s="26" t="inlineStr">
        <is>
          <t>☐</t>
        </is>
      </c>
      <c r="M1198" s="25" t="n"/>
      <c r="N1198" s="27" t="n">
        <v>0</v>
      </c>
      <c r="O1198" s="28" t="n"/>
      <c r="P1198" s="23" t="n"/>
      <c r="Q1198" s="29" t="n"/>
      <c r="R1198" s="29" t="n"/>
      <c r="S1198" s="23" t="n"/>
      <c r="T1198" s="30" t="n"/>
      <c r="U1198" s="31" t="inlineStr">
        <is>
          <t>高</t>
        </is>
      </c>
      <c r="V1198" s="32" t="inlineStr">
        <is>
          <t>事務室の電話対応は8:00-16:30</t>
        </is>
      </c>
      <c r="W1198" s="33" t="inlineStr">
        <is>
          <t>開く</t>
        </is>
      </c>
    </row>
    <row r="1199" ht="30" customHeight="1">
      <c r="A1199" s="23" t="inlineStr">
        <is>
          <t>38愛媛県</t>
        </is>
      </c>
      <c r="B1199" s="23" t="inlineStr">
        <is>
          <t>私立</t>
        </is>
      </c>
      <c r="C1199" s="23" t="n"/>
      <c r="D1199" s="23" t="inlineStr">
        <is>
          <t>未来高等学校</t>
        </is>
      </c>
      <c r="E1199" s="24" t="inlineStr">
        <is>
          <t>089-947-4447</t>
        </is>
      </c>
      <c r="F1199" s="23" t="n"/>
      <c r="G1199" s="25" t="inlineStr">
        <is>
          <t>普通科</t>
        </is>
      </c>
      <c r="H1199" s="26" t="inlineStr">
        <is>
          <t>☐</t>
        </is>
      </c>
      <c r="I1199" s="26" t="inlineStr">
        <is>
          <t>☐</t>
        </is>
      </c>
      <c r="J1199" s="26" t="inlineStr">
        <is>
          <t>☐</t>
        </is>
      </c>
      <c r="K1199" s="26" t="inlineStr">
        <is>
          <t>☐</t>
        </is>
      </c>
      <c r="L1199" s="26" t="inlineStr">
        <is>
          <t>☐</t>
        </is>
      </c>
      <c r="M1199" s="25" t="n"/>
      <c r="N1199" s="27" t="n">
        <v>0</v>
      </c>
      <c r="O1199" s="28" t="n"/>
      <c r="P1199" s="23" t="n"/>
      <c r="Q1199" s="29" t="n"/>
      <c r="R1199" s="29" t="n"/>
      <c r="S1199" s="23" t="n"/>
      <c r="T1199" s="30" t="n"/>
      <c r="U1199" s="31" t="inlineStr">
        <is>
          <t>高</t>
        </is>
      </c>
      <c r="V1199" s="32" t="inlineStr">
        <is>
          <t>通信制・松山本校。フリーダイヤル0120-89-4447</t>
        </is>
      </c>
      <c r="W1199" s="33" t="inlineStr">
        <is>
          <t>開く</t>
        </is>
      </c>
    </row>
    <row r="1200" ht="30" customHeight="1">
      <c r="A1200" s="23" t="inlineStr">
        <is>
          <t>38愛媛県</t>
        </is>
      </c>
      <c r="B1200" s="23" t="inlineStr">
        <is>
          <t>私立</t>
        </is>
      </c>
      <c r="C1200" s="23" t="n"/>
      <c r="D1200" s="23" t="inlineStr">
        <is>
          <t>未来高等学校 新居浜分校</t>
        </is>
      </c>
      <c r="E1200" s="24" t="inlineStr">
        <is>
          <t>0897-34-9555</t>
        </is>
      </c>
      <c r="F1200" s="23" t="n"/>
      <c r="G1200" s="25" t="inlineStr">
        <is>
          <t>普通科</t>
        </is>
      </c>
      <c r="H1200" s="26" t="inlineStr">
        <is>
          <t>☐</t>
        </is>
      </c>
      <c r="I1200" s="26" t="inlineStr">
        <is>
          <t>☐</t>
        </is>
      </c>
      <c r="J1200" s="26" t="inlineStr">
        <is>
          <t>☐</t>
        </is>
      </c>
      <c r="K1200" s="26" t="inlineStr">
        <is>
          <t>☐</t>
        </is>
      </c>
      <c r="L1200" s="26" t="inlineStr">
        <is>
          <t>☐</t>
        </is>
      </c>
      <c r="M1200" s="25" t="n"/>
      <c r="N1200" s="27" t="n">
        <v>0</v>
      </c>
      <c r="O1200" s="28" t="n"/>
      <c r="P1200" s="23" t="n"/>
      <c r="Q1200" s="29" t="n"/>
      <c r="R1200" s="29" t="n"/>
      <c r="S1200" s="23" t="n"/>
      <c r="T1200" s="30" t="n"/>
      <c r="U1200" s="31" t="inlineStr">
        <is>
          <t>高</t>
        </is>
      </c>
      <c r="V1200" s="32" t="inlineStr">
        <is>
          <t>通信制・新居浜校</t>
        </is>
      </c>
      <c r="W1200" s="33" t="inlineStr">
        <is>
          <t>開く</t>
        </is>
      </c>
    </row>
    <row r="1201" ht="30" customHeight="1">
      <c r="A1201" s="23" t="inlineStr">
        <is>
          <t>39高知県</t>
        </is>
      </c>
      <c r="B1201" s="23" t="inlineStr">
        <is>
          <t>私立</t>
        </is>
      </c>
      <c r="C1201" s="23" t="n"/>
      <c r="D1201" s="23" t="inlineStr">
        <is>
          <t>高知学芸高等学校</t>
        </is>
      </c>
      <c r="E1201" s="24" t="inlineStr">
        <is>
          <t>088-844-1831</t>
        </is>
      </c>
      <c r="F1201" s="23" t="n"/>
      <c r="G1201" s="25" t="inlineStr">
        <is>
          <t>普通科</t>
        </is>
      </c>
      <c r="H1201" s="26" t="inlineStr">
        <is>
          <t>☐</t>
        </is>
      </c>
      <c r="I1201" s="26" t="inlineStr">
        <is>
          <t>☐</t>
        </is>
      </c>
      <c r="J1201" s="26" t="inlineStr">
        <is>
          <t>☐</t>
        </is>
      </c>
      <c r="K1201" s="26" t="inlineStr">
        <is>
          <t>☐</t>
        </is>
      </c>
      <c r="L1201" s="26" t="inlineStr">
        <is>
          <t>☐</t>
        </is>
      </c>
      <c r="M1201" s="25" t="n"/>
      <c r="N1201" s="27" t="n">
        <v>0</v>
      </c>
      <c r="O1201" s="28" t="n"/>
      <c r="P1201" s="23" t="n"/>
      <c r="Q1201" s="29" t="n"/>
      <c r="R1201" s="29" t="n"/>
      <c r="S1201" s="23" t="n"/>
      <c r="T1201" s="30" t="n"/>
      <c r="U1201" s="31" t="inlineStr">
        <is>
          <t>高</t>
        </is>
      </c>
      <c r="V1201" s="32" t="inlineStr">
        <is>
          <t>中高一体。公式の入試案内ページ（渉外部）に掲載、私学連合会とも一致</t>
        </is>
      </c>
      <c r="W1201" s="33" t="inlineStr">
        <is>
          <t>開く</t>
        </is>
      </c>
    </row>
    <row r="1202" ht="30" customHeight="1">
      <c r="A1202" s="23" t="inlineStr">
        <is>
          <t>39高知県</t>
        </is>
      </c>
      <c r="B1202" s="23" t="inlineStr">
        <is>
          <t>私立</t>
        </is>
      </c>
      <c r="C1202" s="23" t="n"/>
      <c r="D1202" s="23" t="inlineStr">
        <is>
          <t>高知高等学校</t>
        </is>
      </c>
      <c r="E1202" s="24" t="inlineStr">
        <is>
          <t>088-840-1111</t>
        </is>
      </c>
      <c r="F1202" s="23" t="n"/>
      <c r="G1202" s="25" t="inlineStr">
        <is>
          <t>普通科</t>
        </is>
      </c>
      <c r="H1202" s="26" t="inlineStr">
        <is>
          <t>☐</t>
        </is>
      </c>
      <c r="I1202" s="26" t="inlineStr">
        <is>
          <t>☐</t>
        </is>
      </c>
      <c r="J1202" s="26" t="inlineStr">
        <is>
          <t>☐</t>
        </is>
      </c>
      <c r="K1202" s="26" t="inlineStr">
        <is>
          <t>☐</t>
        </is>
      </c>
      <c r="L1202" s="26" t="inlineStr">
        <is>
          <t>☐</t>
        </is>
      </c>
      <c r="M1202" s="25" t="n"/>
      <c r="N1202" s="27" t="n">
        <v>0</v>
      </c>
      <c r="O1202" s="28" t="n"/>
      <c r="P1202" s="23" t="n"/>
      <c r="Q1202" s="29" t="n"/>
      <c r="R1202" s="29" t="n"/>
      <c r="S1202" s="23" t="n"/>
      <c r="T1202" s="30" t="n"/>
      <c r="U1202" s="31" t="inlineStr">
        <is>
          <t>高</t>
        </is>
      </c>
      <c r="V1202" s="32" t="inlineStr">
        <is>
          <t>高知中学高等学校（高知学園）</t>
        </is>
      </c>
      <c r="W1202" s="33" t="inlineStr">
        <is>
          <t>開く</t>
        </is>
      </c>
    </row>
    <row r="1203" ht="30" customHeight="1">
      <c r="A1203" s="23" t="inlineStr">
        <is>
          <t>39高知県</t>
        </is>
      </c>
      <c r="B1203" s="23" t="inlineStr">
        <is>
          <t>私立</t>
        </is>
      </c>
      <c r="C1203" s="23" t="n"/>
      <c r="D1203" s="23" t="inlineStr">
        <is>
          <t>高知中央高等学校</t>
        </is>
      </c>
      <c r="E1203" s="24" t="inlineStr">
        <is>
          <t>088-866-3166</t>
        </is>
      </c>
      <c r="F1203" s="23" t="n"/>
      <c r="G1203" s="25" t="inlineStr">
        <is>
          <t>普通科・専門学科</t>
        </is>
      </c>
      <c r="H1203" s="26" t="inlineStr">
        <is>
          <t>☐</t>
        </is>
      </c>
      <c r="I1203" s="26" t="inlineStr">
        <is>
          <t>☐</t>
        </is>
      </c>
      <c r="J1203" s="26" t="inlineStr">
        <is>
          <t>☐</t>
        </is>
      </c>
      <c r="K1203" s="26" t="inlineStr">
        <is>
          <t>☐</t>
        </is>
      </c>
      <c r="L1203" s="26" t="inlineStr">
        <is>
          <t>☐</t>
        </is>
      </c>
      <c r="M1203" s="25" t="n"/>
      <c r="N1203" s="27" t="n">
        <v>0</v>
      </c>
      <c r="O1203" s="28" t="n"/>
      <c r="P1203" s="23" t="n"/>
      <c r="Q1203" s="29" t="n"/>
      <c r="R1203" s="29" t="n"/>
      <c r="S1203" s="23" t="n"/>
      <c r="T1203" s="30" t="n"/>
      <c r="U1203" s="31" t="inlineStr">
        <is>
          <t>高</t>
        </is>
      </c>
      <c r="V1203" s="32" t="n"/>
      <c r="W1203" s="33" t="inlineStr">
        <is>
          <t>開く</t>
        </is>
      </c>
    </row>
    <row r="1204" ht="30" customHeight="1">
      <c r="A1204" s="23" t="inlineStr">
        <is>
          <t>39高知県</t>
        </is>
      </c>
      <c r="B1204" s="23" t="inlineStr">
        <is>
          <t>私立</t>
        </is>
      </c>
      <c r="C1204" s="23" t="n"/>
      <c r="D1204" s="23" t="inlineStr">
        <is>
          <t>清和女子高等学校</t>
        </is>
      </c>
      <c r="E1204" s="24" t="inlineStr">
        <is>
          <t>088-863-1200</t>
        </is>
      </c>
      <c r="F1204" s="23" t="n"/>
      <c r="G1204" s="25" t="inlineStr">
        <is>
          <t>普通科</t>
        </is>
      </c>
      <c r="H1204" s="26" t="inlineStr">
        <is>
          <t>☐</t>
        </is>
      </c>
      <c r="I1204" s="26" t="inlineStr">
        <is>
          <t>☐</t>
        </is>
      </c>
      <c r="J1204" s="26" t="inlineStr">
        <is>
          <t>☐</t>
        </is>
      </c>
      <c r="K1204" s="26" t="inlineStr">
        <is>
          <t>☐</t>
        </is>
      </c>
      <c r="L1204" s="26" t="inlineStr">
        <is>
          <t>☐</t>
        </is>
      </c>
      <c r="M1204" s="25" t="n"/>
      <c r="N1204" s="27" t="n">
        <v>0</v>
      </c>
      <c r="O1204" s="28" t="n"/>
      <c r="P1204" s="23" t="n"/>
      <c r="Q1204" s="29" t="n"/>
      <c r="R1204" s="29" t="n"/>
      <c r="S1204" s="23" t="n"/>
      <c r="T1204" s="30" t="n"/>
      <c r="U1204" s="31" t="inlineStr">
        <is>
          <t>高</t>
        </is>
      </c>
      <c r="V1204" s="32" t="inlineStr">
        <is>
          <t>清和女子中高等学校</t>
        </is>
      </c>
      <c r="W1204" s="33" t="inlineStr">
        <is>
          <t>開く</t>
        </is>
      </c>
    </row>
    <row r="1205" ht="30" customHeight="1">
      <c r="A1205" s="23" t="inlineStr">
        <is>
          <t>39高知県</t>
        </is>
      </c>
      <c r="B1205" s="23" t="inlineStr">
        <is>
          <t>私立</t>
        </is>
      </c>
      <c r="C1205" s="23" t="n"/>
      <c r="D1205" s="23" t="inlineStr">
        <is>
          <t>太平洋学園高等学校</t>
        </is>
      </c>
      <c r="E1205" s="24" t="inlineStr">
        <is>
          <t>088-822-3584</t>
        </is>
      </c>
      <c r="F1205" s="23" t="n"/>
      <c r="G1205" s="25" t="inlineStr">
        <is>
          <t>総合学科</t>
        </is>
      </c>
      <c r="H1205" s="26" t="inlineStr">
        <is>
          <t>☐</t>
        </is>
      </c>
      <c r="I1205" s="26" t="inlineStr">
        <is>
          <t>☐</t>
        </is>
      </c>
      <c r="J1205" s="26" t="inlineStr">
        <is>
          <t>☐</t>
        </is>
      </c>
      <c r="K1205" s="26" t="inlineStr">
        <is>
          <t>☐</t>
        </is>
      </c>
      <c r="L1205" s="26" t="inlineStr">
        <is>
          <t>☐</t>
        </is>
      </c>
      <c r="M1205" s="25" t="n"/>
      <c r="N1205" s="27" t="n">
        <v>0</v>
      </c>
      <c r="O1205" s="28" t="n"/>
      <c r="P1205" s="23" t="n"/>
      <c r="Q1205" s="29" t="n"/>
      <c r="R1205" s="29" t="n"/>
      <c r="S1205" s="23" t="n"/>
      <c r="T1205" s="30" t="n"/>
      <c r="U1205" s="31" t="inlineStr">
        <is>
          <t>高</t>
        </is>
      </c>
      <c r="V1205" s="32" t="inlineStr">
        <is>
          <t>通信制・定時制あり。088-822-3585も掲載（FAX兼用の可能性）</t>
        </is>
      </c>
      <c r="W1205" s="33" t="inlineStr">
        <is>
          <t>開く</t>
        </is>
      </c>
    </row>
    <row r="1206" ht="30" customHeight="1">
      <c r="A1206" s="23" t="inlineStr">
        <is>
          <t>39高知県</t>
        </is>
      </c>
      <c r="B1206" s="23" t="inlineStr">
        <is>
          <t>私立</t>
        </is>
      </c>
      <c r="C1206" s="23" t="n"/>
      <c r="D1206" s="23" t="inlineStr">
        <is>
          <t>土佐高等学校</t>
        </is>
      </c>
      <c r="E1206" s="24" t="inlineStr">
        <is>
          <t>088-833-4394</t>
        </is>
      </c>
      <c r="F1206" s="23" t="n"/>
      <c r="G1206" s="25" t="inlineStr">
        <is>
          <t>普通科</t>
        </is>
      </c>
      <c r="H1206" s="26" t="inlineStr">
        <is>
          <t>☐</t>
        </is>
      </c>
      <c r="I1206" s="26" t="inlineStr">
        <is>
          <t>☐</t>
        </is>
      </c>
      <c r="J1206" s="26" t="inlineStr">
        <is>
          <t>☐</t>
        </is>
      </c>
      <c r="K1206" s="26" t="inlineStr">
        <is>
          <t>☐</t>
        </is>
      </c>
      <c r="L1206" s="26" t="inlineStr">
        <is>
          <t>☐</t>
        </is>
      </c>
      <c r="M1206" s="25" t="n"/>
      <c r="N1206" s="27" t="n">
        <v>0</v>
      </c>
      <c r="O1206" s="28" t="n"/>
      <c r="P1206" s="23" t="n"/>
      <c r="Q1206" s="29" t="n"/>
      <c r="R1206" s="29" t="n"/>
      <c r="S1206" s="23" t="n"/>
      <c r="T1206" s="30" t="n"/>
      <c r="U1206" s="31" t="inlineStr">
        <is>
          <t>高</t>
        </is>
      </c>
      <c r="V1206" s="32" t="inlineStr">
        <is>
          <t>中高共通番号</t>
        </is>
      </c>
      <c r="W1206" s="33" t="inlineStr">
        <is>
          <t>開く</t>
        </is>
      </c>
    </row>
    <row r="1207" ht="30" customHeight="1">
      <c r="A1207" s="23" t="inlineStr">
        <is>
          <t>39高知県</t>
        </is>
      </c>
      <c r="B1207" s="23" t="inlineStr">
        <is>
          <t>私立</t>
        </is>
      </c>
      <c r="C1207" s="23" t="n"/>
      <c r="D1207" s="23" t="inlineStr">
        <is>
          <t>土佐塾高等学校</t>
        </is>
      </c>
      <c r="E1207" s="24" t="inlineStr">
        <is>
          <t>088-831-1717</t>
        </is>
      </c>
      <c r="F1207" s="23" t="n"/>
      <c r="G1207" s="25" t="inlineStr">
        <is>
          <t>普通科</t>
        </is>
      </c>
      <c r="H1207" s="26" t="inlineStr">
        <is>
          <t>☐</t>
        </is>
      </c>
      <c r="I1207" s="26" t="inlineStr">
        <is>
          <t>☐</t>
        </is>
      </c>
      <c r="J1207" s="26" t="inlineStr">
        <is>
          <t>☐</t>
        </is>
      </c>
      <c r="K1207" s="26" t="inlineStr">
        <is>
          <t>☐</t>
        </is>
      </c>
      <c r="L1207" s="26" t="inlineStr">
        <is>
          <t>☐</t>
        </is>
      </c>
      <c r="M1207" s="25" t="n"/>
      <c r="N1207" s="27" t="n">
        <v>0</v>
      </c>
      <c r="O1207" s="28" t="n"/>
      <c r="P1207" s="23" t="n"/>
      <c r="Q1207" s="29" t="n"/>
      <c r="R1207" s="29" t="n"/>
      <c r="S1207" s="23" t="n"/>
      <c r="T1207" s="30" t="n"/>
      <c r="U1207" s="31" t="inlineStr">
        <is>
          <t>高</t>
        </is>
      </c>
      <c r="V1207" s="32" t="inlineStr">
        <is>
          <t>中高共通番号</t>
        </is>
      </c>
      <c r="W1207" s="33" t="inlineStr">
        <is>
          <t>開く</t>
        </is>
      </c>
    </row>
    <row r="1208" ht="30" customHeight="1">
      <c r="A1208" s="23" t="inlineStr">
        <is>
          <t>39高知県</t>
        </is>
      </c>
      <c r="B1208" s="23" t="inlineStr">
        <is>
          <t>私立</t>
        </is>
      </c>
      <c r="C1208" s="23" t="n"/>
      <c r="D1208" s="23" t="inlineStr">
        <is>
          <t>土佐女子高等学校</t>
        </is>
      </c>
      <c r="E1208" s="24" t="inlineStr">
        <is>
          <t>088-875-3111</t>
        </is>
      </c>
      <c r="F1208" s="23" t="n"/>
      <c r="G1208" s="25" t="inlineStr">
        <is>
          <t>普通科</t>
        </is>
      </c>
      <c r="H1208" s="26" t="inlineStr">
        <is>
          <t>☐</t>
        </is>
      </c>
      <c r="I1208" s="26" t="inlineStr">
        <is>
          <t>☐</t>
        </is>
      </c>
      <c r="J1208" s="26" t="inlineStr">
        <is>
          <t>☐</t>
        </is>
      </c>
      <c r="K1208" s="26" t="inlineStr">
        <is>
          <t>☐</t>
        </is>
      </c>
      <c r="L1208" s="26" t="inlineStr">
        <is>
          <t>☐</t>
        </is>
      </c>
      <c r="M1208" s="25" t="n"/>
      <c r="N1208" s="27" t="n">
        <v>0</v>
      </c>
      <c r="O1208" s="28" t="n"/>
      <c r="P1208" s="23" t="n"/>
      <c r="Q1208" s="29" t="n"/>
      <c r="R1208" s="29" t="n"/>
      <c r="S1208" s="23" t="n"/>
      <c r="T1208" s="30" t="n"/>
      <c r="U1208" s="31" t="inlineStr">
        <is>
          <t>高</t>
        </is>
      </c>
      <c r="V1208" s="32" t="inlineStr">
        <is>
          <t>088-873-1670は寄宿舎の番号</t>
        </is>
      </c>
      <c r="W1208" s="33" t="inlineStr">
        <is>
          <t>開く</t>
        </is>
      </c>
    </row>
    <row r="1209" ht="30" customHeight="1">
      <c r="A1209" s="23" t="inlineStr">
        <is>
          <t>39高知県</t>
        </is>
      </c>
      <c r="B1209" s="23" t="inlineStr">
        <is>
          <t>私立</t>
        </is>
      </c>
      <c r="C1209" s="23" t="n"/>
      <c r="D1209" s="23" t="inlineStr">
        <is>
          <t>明徳義塾高等学校</t>
        </is>
      </c>
      <c r="E1209" s="24" t="inlineStr">
        <is>
          <t>088-856-1211</t>
        </is>
      </c>
      <c r="F1209" s="23" t="n"/>
      <c r="G1209" s="25" t="inlineStr">
        <is>
          <t>普通科</t>
        </is>
      </c>
      <c r="H1209" s="26" t="inlineStr">
        <is>
          <t>☐</t>
        </is>
      </c>
      <c r="I1209" s="26" t="inlineStr">
        <is>
          <t>☐</t>
        </is>
      </c>
      <c r="J1209" s="26" t="inlineStr">
        <is>
          <t>☐</t>
        </is>
      </c>
      <c r="K1209" s="26" t="inlineStr">
        <is>
          <t>☐</t>
        </is>
      </c>
      <c r="L1209" s="26" t="inlineStr">
        <is>
          <t>☐</t>
        </is>
      </c>
      <c r="M1209" s="25" t="n"/>
      <c r="N1209" s="27" t="n">
        <v>0</v>
      </c>
      <c r="O1209" s="28" t="n"/>
      <c r="P1209" s="23" t="n"/>
      <c r="Q1209" s="29" t="n"/>
      <c r="R1209" s="29" t="n"/>
      <c r="S1209" s="23" t="n"/>
      <c r="T1209" s="30" t="n"/>
      <c r="U1209" s="31" t="inlineStr">
        <is>
          <t>高</t>
        </is>
      </c>
      <c r="V1209" s="32" t="inlineStr">
        <is>
          <t>本校（堂ノ浦キャンパス）。須崎市公式ページとも一致</t>
        </is>
      </c>
      <c r="W1209" s="33" t="inlineStr">
        <is>
          <t>開く</t>
        </is>
      </c>
    </row>
    <row r="1210" ht="30" customHeight="1">
      <c r="A1210" s="23" t="inlineStr">
        <is>
          <t>40福岡県</t>
        </is>
      </c>
      <c r="B1210" s="23" t="inlineStr">
        <is>
          <t>私立</t>
        </is>
      </c>
      <c r="C1210" s="23" t="n"/>
      <c r="D1210" s="23" t="inlineStr">
        <is>
          <t>飯塚高等学校</t>
        </is>
      </c>
      <c r="E1210" s="24" t="inlineStr">
        <is>
          <t>0948-22-6571</t>
        </is>
      </c>
      <c r="F1210" s="23" t="n"/>
      <c r="G1210" s="25" t="inlineStr">
        <is>
          <t>普通科・専門学科・総合学科</t>
        </is>
      </c>
      <c r="H1210" s="26" t="inlineStr">
        <is>
          <t>☐</t>
        </is>
      </c>
      <c r="I1210" s="26" t="inlineStr">
        <is>
          <t>☐</t>
        </is>
      </c>
      <c r="J1210" s="26" t="inlineStr">
        <is>
          <t>☐</t>
        </is>
      </c>
      <c r="K1210" s="26" t="inlineStr">
        <is>
          <t>☐</t>
        </is>
      </c>
      <c r="L1210" s="26" t="inlineStr">
        <is>
          <t>☐</t>
        </is>
      </c>
      <c r="M1210" s="25" t="n"/>
      <c r="N1210" s="27" t="n">
        <v>0</v>
      </c>
      <c r="O1210" s="28" t="n"/>
      <c r="P1210" s="23" t="n"/>
      <c r="Q1210" s="29" t="n"/>
      <c r="R1210" s="29" t="n"/>
      <c r="S1210" s="23" t="n"/>
      <c r="T1210" s="30" t="n"/>
      <c r="U1210" s="31" t="inlineStr">
        <is>
          <t>高</t>
        </is>
      </c>
      <c r="V1210" s="32" t="n"/>
      <c r="W1210" s="33" t="inlineStr">
        <is>
          <t>開く</t>
        </is>
      </c>
    </row>
    <row r="1211" ht="30" customHeight="1">
      <c r="A1211" s="23" t="inlineStr">
        <is>
          <t>40福岡県</t>
        </is>
      </c>
      <c r="B1211" s="23" t="inlineStr">
        <is>
          <t>私立</t>
        </is>
      </c>
      <c r="C1211" s="23" t="n"/>
      <c r="D1211" s="23" t="inlineStr">
        <is>
          <t>大牟田高等学校</t>
        </is>
      </c>
      <c r="E1211" s="24" t="inlineStr">
        <is>
          <t>0944-53-5011</t>
        </is>
      </c>
      <c r="F1211" s="23" t="n"/>
      <c r="G1211" s="25" t="inlineStr">
        <is>
          <t>普通科・専門学科・総合学科</t>
        </is>
      </c>
      <c r="H1211" s="26" t="inlineStr">
        <is>
          <t>☐</t>
        </is>
      </c>
      <c r="I1211" s="26" t="inlineStr">
        <is>
          <t>☐</t>
        </is>
      </c>
      <c r="J1211" s="26" t="inlineStr">
        <is>
          <t>☐</t>
        </is>
      </c>
      <c r="K1211" s="26" t="inlineStr">
        <is>
          <t>☐</t>
        </is>
      </c>
      <c r="L1211" s="26" t="inlineStr">
        <is>
          <t>☐</t>
        </is>
      </c>
      <c r="M1211" s="25" t="n"/>
      <c r="N1211" s="27" t="n">
        <v>0</v>
      </c>
      <c r="O1211" s="28" t="n"/>
      <c r="P1211" s="23" t="n"/>
      <c r="Q1211" s="29" t="n"/>
      <c r="R1211" s="29" t="n"/>
      <c r="S1211" s="23" t="n"/>
      <c r="T1211" s="30" t="n"/>
      <c r="U1211" s="31" t="inlineStr">
        <is>
          <t>高</t>
        </is>
      </c>
      <c r="V1211" s="32" t="inlineStr">
        <is>
          <t>併設の大牟田中は0944-53-5335</t>
        </is>
      </c>
      <c r="W1211" s="33" t="inlineStr">
        <is>
          <t>開く</t>
        </is>
      </c>
    </row>
    <row r="1212" ht="30" customHeight="1">
      <c r="A1212" s="23" t="inlineStr">
        <is>
          <t>40福岡県</t>
        </is>
      </c>
      <c r="B1212" s="23" t="inlineStr">
        <is>
          <t>私立</t>
        </is>
      </c>
      <c r="C1212" s="23" t="n"/>
      <c r="D1212" s="23" t="inlineStr">
        <is>
          <t>沖学園高等学校</t>
        </is>
      </c>
      <c r="E1212" s="24" t="inlineStr">
        <is>
          <t>092-431-1868</t>
        </is>
      </c>
      <c r="F1212" s="23" t="n"/>
      <c r="G1212" s="25" t="inlineStr">
        <is>
          <t>普通科・専門学科</t>
        </is>
      </c>
      <c r="H1212" s="26" t="inlineStr">
        <is>
          <t>☐</t>
        </is>
      </c>
      <c r="I1212" s="26" t="inlineStr">
        <is>
          <t>☐</t>
        </is>
      </c>
      <c r="J1212" s="26" t="inlineStr">
        <is>
          <t>☐</t>
        </is>
      </c>
      <c r="K1212" s="26" t="inlineStr">
        <is>
          <t>☐</t>
        </is>
      </c>
      <c r="L1212" s="26" t="inlineStr">
        <is>
          <t>☐</t>
        </is>
      </c>
      <c r="M1212" s="25" t="n"/>
      <c r="N1212" s="27" t="n">
        <v>0</v>
      </c>
      <c r="O1212" s="28" t="n"/>
      <c r="P1212" s="23" t="n"/>
      <c r="Q1212" s="29" t="n"/>
      <c r="R1212" s="29" t="n"/>
      <c r="S1212" s="23" t="n"/>
      <c r="T1212" s="30" t="n"/>
      <c r="U1212" s="31" t="inlineStr">
        <is>
          <t>高</t>
        </is>
      </c>
      <c r="V1212" s="32" t="n"/>
      <c r="W1212" s="33" t="inlineStr">
        <is>
          <t>開く</t>
        </is>
      </c>
    </row>
    <row r="1213" ht="30" customHeight="1">
      <c r="A1213" s="23" t="inlineStr">
        <is>
          <t>40福岡県</t>
        </is>
      </c>
      <c r="B1213" s="23" t="inlineStr">
        <is>
          <t>私立</t>
        </is>
      </c>
      <c r="C1213" s="23" t="n"/>
      <c r="D1213" s="23" t="inlineStr">
        <is>
          <t>折尾愛真高等学校</t>
        </is>
      </c>
      <c r="E1213" s="24" t="inlineStr">
        <is>
          <t>093-602-2100</t>
        </is>
      </c>
      <c r="F1213" s="23" t="n"/>
      <c r="G1213" s="25" t="inlineStr">
        <is>
          <t>普通科・専門学科</t>
        </is>
      </c>
      <c r="H1213" s="26" t="inlineStr">
        <is>
          <t>☐</t>
        </is>
      </c>
      <c r="I1213" s="26" t="inlineStr">
        <is>
          <t>☐</t>
        </is>
      </c>
      <c r="J1213" s="26" t="inlineStr">
        <is>
          <t>☐</t>
        </is>
      </c>
      <c r="K1213" s="26" t="inlineStr">
        <is>
          <t>☐</t>
        </is>
      </c>
      <c r="L1213" s="26" t="inlineStr">
        <is>
          <t>☐</t>
        </is>
      </c>
      <c r="M1213" s="25" t="n"/>
      <c r="N1213" s="27" t="n">
        <v>0</v>
      </c>
      <c r="O1213" s="28" t="n"/>
      <c r="P1213" s="23" t="n"/>
      <c r="Q1213" s="29" t="n"/>
      <c r="R1213" s="29" t="n"/>
      <c r="S1213" s="23" t="n"/>
      <c r="T1213" s="30" t="n"/>
      <c r="U1213" s="31" t="inlineStr">
        <is>
          <t>高</t>
        </is>
      </c>
      <c r="V1213" s="32" t="n"/>
      <c r="W1213" s="33" t="inlineStr">
        <is>
          <t>開く</t>
        </is>
      </c>
    </row>
    <row r="1214" ht="30" customHeight="1">
      <c r="A1214" s="23" t="inlineStr">
        <is>
          <t>40福岡県</t>
        </is>
      </c>
      <c r="B1214" s="23" t="inlineStr">
        <is>
          <t>私立</t>
        </is>
      </c>
      <c r="C1214" s="23" t="n"/>
      <c r="D1214" s="23" t="inlineStr">
        <is>
          <t>希望が丘高等学校</t>
        </is>
      </c>
      <c r="E1214" s="24" t="inlineStr">
        <is>
          <t>093-245-0481</t>
        </is>
      </c>
      <c r="F1214" s="23" t="n"/>
      <c r="G1214" s="25" t="inlineStr">
        <is>
          <t>専門学科・総合学科</t>
        </is>
      </c>
      <c r="H1214" s="26" t="inlineStr">
        <is>
          <t>☐</t>
        </is>
      </c>
      <c r="I1214" s="26" t="inlineStr">
        <is>
          <t>☐</t>
        </is>
      </c>
      <c r="J1214" s="26" t="inlineStr">
        <is>
          <t>☐</t>
        </is>
      </c>
      <c r="K1214" s="26" t="inlineStr">
        <is>
          <t>☐</t>
        </is>
      </c>
      <c r="L1214" s="26" t="inlineStr">
        <is>
          <t>☐</t>
        </is>
      </c>
      <c r="M1214" s="25" t="n"/>
      <c r="N1214" s="27" t="n">
        <v>0</v>
      </c>
      <c r="O1214" s="28" t="n"/>
      <c r="P1214" s="23" t="n"/>
      <c r="Q1214" s="29" t="n"/>
      <c r="R1214" s="29" t="n"/>
      <c r="S1214" s="23" t="n"/>
      <c r="T1214" s="30" t="n"/>
      <c r="U1214" s="31" t="inlineStr">
        <is>
          <t>高</t>
        </is>
      </c>
      <c r="V1214" s="32" t="n"/>
      <c r="W1214" s="33" t="inlineStr">
        <is>
          <t>開く</t>
        </is>
      </c>
    </row>
    <row r="1215" ht="30" customHeight="1">
      <c r="A1215" s="23" t="inlineStr">
        <is>
          <t>40福岡県</t>
        </is>
      </c>
      <c r="B1215" s="23" t="inlineStr">
        <is>
          <t>私立</t>
        </is>
      </c>
      <c r="C1215" s="23" t="n"/>
      <c r="D1215" s="23" t="inlineStr">
        <is>
          <t>九州国際大学付属高等学校</t>
        </is>
      </c>
      <c r="E1215" s="24" t="inlineStr">
        <is>
          <t>093-671-8443</t>
        </is>
      </c>
      <c r="F1215" s="23" t="n"/>
      <c r="G1215" s="25" t="inlineStr">
        <is>
          <t>普通科</t>
        </is>
      </c>
      <c r="H1215" s="26" t="inlineStr">
        <is>
          <t>☐</t>
        </is>
      </c>
      <c r="I1215" s="26" t="inlineStr">
        <is>
          <t>☐</t>
        </is>
      </c>
      <c r="J1215" s="26" t="inlineStr">
        <is>
          <t>☐</t>
        </is>
      </c>
      <c r="K1215" s="26" t="inlineStr">
        <is>
          <t>☐</t>
        </is>
      </c>
      <c r="L1215" s="26" t="inlineStr">
        <is>
          <t>☐</t>
        </is>
      </c>
      <c r="M1215" s="25" t="n"/>
      <c r="N1215" s="27" t="n">
        <v>0</v>
      </c>
      <c r="O1215" s="28" t="n"/>
      <c r="P1215" s="23" t="n"/>
      <c r="Q1215" s="29" t="n"/>
      <c r="R1215" s="29" t="n"/>
      <c r="S1215" s="23" t="n"/>
      <c r="T1215" s="30" t="n"/>
      <c r="U1215" s="31" t="inlineStr">
        <is>
          <t>高</t>
        </is>
      </c>
      <c r="V1215" s="32" t="inlineStr">
        <is>
          <t>第三者サイトに0120-411-945の記載あり（未確認）</t>
        </is>
      </c>
      <c r="W1215" s="33" t="inlineStr">
        <is>
          <t>開く</t>
        </is>
      </c>
    </row>
    <row r="1216" ht="30" customHeight="1">
      <c r="A1216" s="23" t="inlineStr">
        <is>
          <t>40福岡県</t>
        </is>
      </c>
      <c r="B1216" s="23" t="inlineStr">
        <is>
          <t>私立</t>
        </is>
      </c>
      <c r="C1216" s="23" t="n"/>
      <c r="D1216" s="23" t="inlineStr">
        <is>
          <t>九州産業大学付属九州高等学校</t>
        </is>
      </c>
      <c r="E1216" s="24" t="inlineStr">
        <is>
          <t>092-681-0461</t>
        </is>
      </c>
      <c r="F1216" s="23" t="n"/>
      <c r="G1216" s="25" t="inlineStr">
        <is>
          <t>普通科・専門学科</t>
        </is>
      </c>
      <c r="H1216" s="26" t="inlineStr">
        <is>
          <t>☐</t>
        </is>
      </c>
      <c r="I1216" s="26" t="inlineStr">
        <is>
          <t>☐</t>
        </is>
      </c>
      <c r="J1216" s="26" t="inlineStr">
        <is>
          <t>☐</t>
        </is>
      </c>
      <c r="K1216" s="26" t="inlineStr">
        <is>
          <t>☐</t>
        </is>
      </c>
      <c r="L1216" s="26" t="inlineStr">
        <is>
          <t>☐</t>
        </is>
      </c>
      <c r="M1216" s="25" t="n"/>
      <c r="N1216" s="27" t="n">
        <v>0</v>
      </c>
      <c r="O1216" s="28" t="n"/>
      <c r="P1216" s="23" t="n"/>
      <c r="Q1216" s="29" t="n"/>
      <c r="R1216" s="29" t="n"/>
      <c r="S1216" s="23" t="n"/>
      <c r="T1216" s="30" t="n"/>
      <c r="U1216" s="31" t="inlineStr">
        <is>
          <t>高</t>
        </is>
      </c>
      <c r="V1216" s="32" t="n"/>
      <c r="W1216" s="33" t="inlineStr">
        <is>
          <t>開く</t>
        </is>
      </c>
    </row>
    <row r="1217" ht="30" customHeight="1">
      <c r="A1217" s="23" t="inlineStr">
        <is>
          <t>40福岡県</t>
        </is>
      </c>
      <c r="B1217" s="23" t="inlineStr">
        <is>
          <t>私立</t>
        </is>
      </c>
      <c r="C1217" s="23" t="n"/>
      <c r="D1217" s="23" t="inlineStr">
        <is>
          <t>九州産業大学付属九州産業高等学校</t>
        </is>
      </c>
      <c r="E1217" s="24" t="inlineStr">
        <is>
          <t>092-923-3030</t>
        </is>
      </c>
      <c r="F1217" s="23" t="n"/>
      <c r="G1217" s="25" t="inlineStr">
        <is>
          <t>普通科・専門学科</t>
        </is>
      </c>
      <c r="H1217" s="26" t="inlineStr">
        <is>
          <t>☐</t>
        </is>
      </c>
      <c r="I1217" s="26" t="inlineStr">
        <is>
          <t>☐</t>
        </is>
      </c>
      <c r="J1217" s="26" t="inlineStr">
        <is>
          <t>☐</t>
        </is>
      </c>
      <c r="K1217" s="26" t="inlineStr">
        <is>
          <t>☐</t>
        </is>
      </c>
      <c r="L1217" s="26" t="inlineStr">
        <is>
          <t>☐</t>
        </is>
      </c>
      <c r="M1217" s="25" t="n"/>
      <c r="N1217" s="27" t="n">
        <v>0</v>
      </c>
      <c r="O1217" s="28" t="n"/>
      <c r="P1217" s="23" t="n"/>
      <c r="Q1217" s="29" t="n"/>
      <c r="R1217" s="29" t="n"/>
      <c r="S1217" s="23" t="n"/>
      <c r="T1217" s="30" t="n"/>
      <c r="U1217" s="31" t="inlineStr">
        <is>
          <t>高</t>
        </is>
      </c>
      <c r="V1217" s="32" t="inlineStr">
        <is>
          <t>事務室092-923-3031の記載あり</t>
        </is>
      </c>
      <c r="W1217" s="33" t="inlineStr">
        <is>
          <t>開く</t>
        </is>
      </c>
    </row>
    <row r="1218" ht="30" customHeight="1">
      <c r="A1218" s="23" t="inlineStr">
        <is>
          <t>40福岡県</t>
        </is>
      </c>
      <c r="B1218" s="23" t="inlineStr">
        <is>
          <t>私立</t>
        </is>
      </c>
      <c r="C1218" s="23" t="n"/>
      <c r="D1218" s="23" t="inlineStr">
        <is>
          <t>近畿大学附属福岡高等学校</t>
        </is>
      </c>
      <c r="E1218" s="24" t="inlineStr">
        <is>
          <t>0948-22-2597</t>
        </is>
      </c>
      <c r="F1218" s="23" t="n"/>
      <c r="G1218" s="25" t="inlineStr">
        <is>
          <t>普通科・専門学科</t>
        </is>
      </c>
      <c r="H1218" s="26" t="inlineStr">
        <is>
          <t>☐</t>
        </is>
      </c>
      <c r="I1218" s="26" t="inlineStr">
        <is>
          <t>☐</t>
        </is>
      </c>
      <c r="J1218" s="26" t="inlineStr">
        <is>
          <t>☐</t>
        </is>
      </c>
      <c r="K1218" s="26" t="inlineStr">
        <is>
          <t>☐</t>
        </is>
      </c>
      <c r="L1218" s="26" t="inlineStr">
        <is>
          <t>☐</t>
        </is>
      </c>
      <c r="M1218" s="25" t="n"/>
      <c r="N1218" s="27" t="n">
        <v>0</v>
      </c>
      <c r="O1218" s="28" t="n"/>
      <c r="P1218" s="23" t="n"/>
      <c r="Q1218" s="29" t="n"/>
      <c r="R1218" s="29" t="n"/>
      <c r="S1218" s="23" t="n"/>
      <c r="T1218" s="30" t="n"/>
      <c r="U1218" s="31" t="inlineStr">
        <is>
          <t>高</t>
        </is>
      </c>
      <c r="V1218" s="32" t="inlineStr">
        <is>
          <t>全日制の番号。通信制は0948-22-5655</t>
        </is>
      </c>
      <c r="W1218" s="33" t="inlineStr">
        <is>
          <t>開く</t>
        </is>
      </c>
    </row>
    <row r="1219" ht="30" customHeight="1">
      <c r="A1219" s="23" t="inlineStr">
        <is>
          <t>40福岡県</t>
        </is>
      </c>
      <c r="B1219" s="23" t="inlineStr">
        <is>
          <t>私立</t>
        </is>
      </c>
      <c r="C1219" s="23" t="n"/>
      <c r="D1219" s="23" t="inlineStr">
        <is>
          <t>仰星学園高等学校</t>
        </is>
      </c>
      <c r="E1219" s="24" t="inlineStr">
        <is>
          <t>093-663-6037</t>
        </is>
      </c>
      <c r="F1219" s="23" t="n"/>
      <c r="G1219" s="25" t="inlineStr">
        <is>
          <t>普通科</t>
        </is>
      </c>
      <c r="H1219" s="26" t="inlineStr">
        <is>
          <t>☐</t>
        </is>
      </c>
      <c r="I1219" s="26" t="inlineStr">
        <is>
          <t>☐</t>
        </is>
      </c>
      <c r="J1219" s="26" t="inlineStr">
        <is>
          <t>☐</t>
        </is>
      </c>
      <c r="K1219" s="26" t="inlineStr">
        <is>
          <t>☐</t>
        </is>
      </c>
      <c r="L1219" s="26" t="inlineStr">
        <is>
          <t>☐</t>
        </is>
      </c>
      <c r="M1219" s="25" t="n"/>
      <c r="N1219" s="27" t="n">
        <v>0</v>
      </c>
      <c r="O1219" s="28" t="n"/>
      <c r="P1219" s="23" t="n"/>
      <c r="Q1219" s="29" t="n"/>
      <c r="R1219" s="29" t="n"/>
      <c r="S1219" s="23" t="n"/>
      <c r="T1219" s="30" t="n"/>
      <c r="U1219" s="31" t="inlineStr">
        <is>
          <t>高</t>
        </is>
      </c>
      <c r="V1219" s="32" t="inlineStr">
        <is>
          <t>入試広報は093-661-8001</t>
        </is>
      </c>
      <c r="W1219" s="33" t="inlineStr">
        <is>
          <t>開く</t>
        </is>
      </c>
    </row>
    <row r="1220" ht="30" customHeight="1">
      <c r="A1220" s="23" t="inlineStr">
        <is>
          <t>40福岡県</t>
        </is>
      </c>
      <c r="B1220" s="23" t="inlineStr">
        <is>
          <t>私立</t>
        </is>
      </c>
      <c r="C1220" s="23" t="n"/>
      <c r="D1220" s="23" t="inlineStr">
        <is>
          <t>久留米学園高等学校</t>
        </is>
      </c>
      <c r="E1220" s="24" t="inlineStr">
        <is>
          <t>0942-34-4535</t>
        </is>
      </c>
      <c r="F1220" s="23" t="n"/>
      <c r="G1220" s="25" t="inlineStr">
        <is>
          <t>普通科・総合学科</t>
        </is>
      </c>
      <c r="H1220" s="26" t="inlineStr">
        <is>
          <t>☐</t>
        </is>
      </c>
      <c r="I1220" s="26" t="inlineStr">
        <is>
          <t>☐</t>
        </is>
      </c>
      <c r="J1220" s="26" t="inlineStr">
        <is>
          <t>☐</t>
        </is>
      </c>
      <c r="K1220" s="26" t="inlineStr">
        <is>
          <t>☐</t>
        </is>
      </c>
      <c r="L1220" s="26" t="inlineStr">
        <is>
          <t>☐</t>
        </is>
      </c>
      <c r="M1220" s="25" t="n"/>
      <c r="N1220" s="27" t="n">
        <v>0</v>
      </c>
      <c r="O1220" s="28" t="n"/>
      <c r="P1220" s="23" t="n"/>
      <c r="Q1220" s="29" t="n"/>
      <c r="R1220" s="29" t="n"/>
      <c r="S1220" s="23" t="n"/>
      <c r="T1220" s="30" t="n"/>
      <c r="U1220" s="31" t="inlineStr">
        <is>
          <t>高</t>
        </is>
      </c>
      <c r="V1220" s="32" t="n"/>
      <c r="W1220" s="33" t="inlineStr">
        <is>
          <t>開く</t>
        </is>
      </c>
    </row>
    <row r="1221" ht="30" customHeight="1">
      <c r="A1221" s="23" t="inlineStr">
        <is>
          <t>40福岡県</t>
        </is>
      </c>
      <c r="B1221" s="23" t="inlineStr">
        <is>
          <t>私立</t>
        </is>
      </c>
      <c r="C1221" s="23" t="n"/>
      <c r="D1221" s="23" t="inlineStr">
        <is>
          <t>久留米信愛高等学校</t>
        </is>
      </c>
      <c r="E1221" s="24" t="inlineStr">
        <is>
          <t>0942-43-4533</t>
        </is>
      </c>
      <c r="F1221" s="23" t="n"/>
      <c r="G1221" s="25" t="inlineStr">
        <is>
          <t>普通科</t>
        </is>
      </c>
      <c r="H1221" s="26" t="inlineStr">
        <is>
          <t>☐</t>
        </is>
      </c>
      <c r="I1221" s="26" t="inlineStr">
        <is>
          <t>☐</t>
        </is>
      </c>
      <c r="J1221" s="26" t="inlineStr">
        <is>
          <t>☐</t>
        </is>
      </c>
      <c r="K1221" s="26" t="inlineStr">
        <is>
          <t>☐</t>
        </is>
      </c>
      <c r="L1221" s="26" t="inlineStr">
        <is>
          <t>☐</t>
        </is>
      </c>
      <c r="M1221" s="25" t="n"/>
      <c r="N1221" s="27" t="n">
        <v>0</v>
      </c>
      <c r="O1221" s="28" t="n"/>
      <c r="P1221" s="23" t="n"/>
      <c r="Q1221" s="29" t="n"/>
      <c r="R1221" s="29" t="n"/>
      <c r="S1221" s="23" t="n"/>
      <c r="T1221" s="30" t="n"/>
      <c r="U1221" s="31" t="inlineStr">
        <is>
          <t>高</t>
        </is>
      </c>
      <c r="V1221" s="32" t="inlineStr">
        <is>
          <t>中高（全日制）の番号。学院代表0942-43-4531、通信制0942-43-4532</t>
        </is>
      </c>
      <c r="W1221" s="33" t="inlineStr">
        <is>
          <t>開く</t>
        </is>
      </c>
    </row>
    <row r="1222" ht="30" customHeight="1">
      <c r="A1222" s="23" t="inlineStr">
        <is>
          <t>40福岡県</t>
        </is>
      </c>
      <c r="B1222" s="23" t="inlineStr">
        <is>
          <t>私立</t>
        </is>
      </c>
      <c r="C1222" s="23" t="n"/>
      <c r="D1222" s="23" t="inlineStr">
        <is>
          <t>久留米大学附設高等学校</t>
        </is>
      </c>
      <c r="E1222" s="24" t="inlineStr">
        <is>
          <t>0942-44-2222</t>
        </is>
      </c>
      <c r="F1222" s="23" t="n"/>
      <c r="G1222" s="25" t="inlineStr">
        <is>
          <t>普通科</t>
        </is>
      </c>
      <c r="H1222" s="26" t="inlineStr">
        <is>
          <t>☐</t>
        </is>
      </c>
      <c r="I1222" s="26" t="inlineStr">
        <is>
          <t>☐</t>
        </is>
      </c>
      <c r="J1222" s="26" t="inlineStr">
        <is>
          <t>☐</t>
        </is>
      </c>
      <c r="K1222" s="26" t="inlineStr">
        <is>
          <t>☐</t>
        </is>
      </c>
      <c r="L1222" s="26" t="inlineStr">
        <is>
          <t>☐</t>
        </is>
      </c>
      <c r="M1222" s="25" t="n"/>
      <c r="N1222" s="27" t="n">
        <v>0</v>
      </c>
      <c r="O1222" s="28" t="n"/>
      <c r="P1222" s="23" t="n"/>
      <c r="Q1222" s="29" t="n"/>
      <c r="R1222" s="29" t="n"/>
      <c r="S1222" s="23" t="n"/>
      <c r="T1222" s="30" t="n"/>
      <c r="U1222" s="31" t="inlineStr">
        <is>
          <t>高</t>
        </is>
      </c>
      <c r="V1222" s="32" t="inlineStr">
        <is>
          <t>中高共通の事務室代表</t>
        </is>
      </c>
      <c r="W1222" s="33" t="inlineStr">
        <is>
          <t>開く</t>
        </is>
      </c>
    </row>
    <row r="1223" ht="30" customHeight="1">
      <c r="A1223" s="23" t="inlineStr">
        <is>
          <t>40福岡県</t>
        </is>
      </c>
      <c r="B1223" s="23" t="inlineStr">
        <is>
          <t>私立</t>
        </is>
      </c>
      <c r="C1223" s="23" t="n"/>
      <c r="D1223" s="23" t="inlineStr">
        <is>
          <t>敬愛高等学校</t>
        </is>
      </c>
      <c r="E1223" s="24" t="inlineStr">
        <is>
          <t>093-381-3537</t>
        </is>
      </c>
      <c r="F1223" s="23" t="n"/>
      <c r="G1223" s="25" t="inlineStr">
        <is>
          <t>普通科</t>
        </is>
      </c>
      <c r="H1223" s="26" t="inlineStr">
        <is>
          <t>☐</t>
        </is>
      </c>
      <c r="I1223" s="26" t="inlineStr">
        <is>
          <t>☐</t>
        </is>
      </c>
      <c r="J1223" s="26" t="inlineStr">
        <is>
          <t>☐</t>
        </is>
      </c>
      <c r="K1223" s="26" t="inlineStr">
        <is>
          <t>☐</t>
        </is>
      </c>
      <c r="L1223" s="26" t="inlineStr">
        <is>
          <t>☐</t>
        </is>
      </c>
      <c r="M1223" s="25" t="n"/>
      <c r="N1223" s="27" t="n">
        <v>0</v>
      </c>
      <c r="O1223" s="28" t="n"/>
      <c r="P1223" s="23" t="n"/>
      <c r="Q1223" s="29" t="n"/>
      <c r="R1223" s="29" t="n"/>
      <c r="S1223" s="23" t="n"/>
      <c r="T1223" s="30" t="n"/>
      <c r="U1223" s="31" t="inlineStr">
        <is>
          <t>高</t>
        </is>
      </c>
      <c r="V1223" s="32" t="n"/>
      <c r="W1223" s="33" t="inlineStr">
        <is>
          <t>開く</t>
        </is>
      </c>
    </row>
    <row r="1224" ht="30" customHeight="1">
      <c r="A1224" s="23" t="inlineStr">
        <is>
          <t>40福岡県</t>
        </is>
      </c>
      <c r="B1224" s="23" t="inlineStr">
        <is>
          <t>私立</t>
        </is>
      </c>
      <c r="C1224" s="23" t="n"/>
      <c r="D1224" s="23" t="inlineStr">
        <is>
          <t>慶成高等学校</t>
        </is>
      </c>
      <c r="E1224" s="24" t="inlineStr">
        <is>
          <t>093-561-1331</t>
        </is>
      </c>
      <c r="F1224" s="23" t="n"/>
      <c r="G1224" s="25" t="inlineStr">
        <is>
          <t>普通科・専門学科</t>
        </is>
      </c>
      <c r="H1224" s="26" t="inlineStr">
        <is>
          <t>☐</t>
        </is>
      </c>
      <c r="I1224" s="26" t="inlineStr">
        <is>
          <t>☐</t>
        </is>
      </c>
      <c r="J1224" s="26" t="inlineStr">
        <is>
          <t>☐</t>
        </is>
      </c>
      <c r="K1224" s="26" t="inlineStr">
        <is>
          <t>☐</t>
        </is>
      </c>
      <c r="L1224" s="26" t="inlineStr">
        <is>
          <t>☐</t>
        </is>
      </c>
      <c r="M1224" s="25" t="n"/>
      <c r="N1224" s="27" t="n">
        <v>0</v>
      </c>
      <c r="O1224" s="28" t="n"/>
      <c r="P1224" s="23" t="n"/>
      <c r="Q1224" s="29" t="n"/>
      <c r="R1224" s="29" t="n"/>
      <c r="S1224" s="23" t="n"/>
      <c r="T1224" s="30" t="n"/>
      <c r="U1224" s="31" t="inlineStr">
        <is>
          <t>高</t>
        </is>
      </c>
      <c r="V1224" s="32" t="n"/>
      <c r="W1224" s="33" t="inlineStr">
        <is>
          <t>開く</t>
        </is>
      </c>
    </row>
    <row r="1225" ht="30" customHeight="1">
      <c r="A1225" s="23" t="inlineStr">
        <is>
          <t>40福岡県</t>
        </is>
      </c>
      <c r="B1225" s="23" t="inlineStr">
        <is>
          <t>私立</t>
        </is>
      </c>
      <c r="C1225" s="23" t="n"/>
      <c r="D1225" s="23" t="inlineStr">
        <is>
          <t>高稜高等学校</t>
        </is>
      </c>
      <c r="E1225" s="24" t="inlineStr">
        <is>
          <t>093-791-3911</t>
        </is>
      </c>
      <c r="F1225" s="23" t="n"/>
      <c r="G1225" s="25" t="inlineStr">
        <is>
          <t>普通科</t>
        </is>
      </c>
      <c r="H1225" s="26" t="inlineStr">
        <is>
          <t>☐</t>
        </is>
      </c>
      <c r="I1225" s="26" t="inlineStr">
        <is>
          <t>☐</t>
        </is>
      </c>
      <c r="J1225" s="26" t="inlineStr">
        <is>
          <t>☐</t>
        </is>
      </c>
      <c r="K1225" s="26" t="inlineStr">
        <is>
          <t>☐</t>
        </is>
      </c>
      <c r="L1225" s="26" t="inlineStr">
        <is>
          <t>☐</t>
        </is>
      </c>
      <c r="M1225" s="25" t="n"/>
      <c r="N1225" s="27" t="n">
        <v>0</v>
      </c>
      <c r="O1225" s="28" t="n"/>
      <c r="P1225" s="23" t="n"/>
      <c r="Q1225" s="29" t="n"/>
      <c r="R1225" s="29" t="n"/>
      <c r="S1225" s="23" t="n"/>
      <c r="T1225" s="30" t="n"/>
      <c r="U1225" s="31" t="inlineStr">
        <is>
          <t>高</t>
        </is>
      </c>
      <c r="V1225" s="32" t="n"/>
      <c r="W1225" s="33" t="inlineStr">
        <is>
          <t>開く</t>
        </is>
      </c>
    </row>
    <row r="1226" ht="30" customHeight="1">
      <c r="A1226" s="23" t="inlineStr">
        <is>
          <t>40福岡県</t>
        </is>
      </c>
      <c r="B1226" s="23" t="inlineStr">
        <is>
          <t>私立</t>
        </is>
      </c>
      <c r="C1226" s="23" t="n"/>
      <c r="D1226" s="23" t="inlineStr">
        <is>
          <t>真颯館高等学校</t>
        </is>
      </c>
      <c r="E1226" s="24" t="inlineStr">
        <is>
          <t>093-561-1231</t>
        </is>
      </c>
      <c r="F1226" s="23" t="n"/>
      <c r="G1226" s="25" t="inlineStr">
        <is>
          <t>普通科・専門学科</t>
        </is>
      </c>
      <c r="H1226" s="26" t="inlineStr">
        <is>
          <t>☐</t>
        </is>
      </c>
      <c r="I1226" s="26" t="inlineStr">
        <is>
          <t>☐</t>
        </is>
      </c>
      <c r="J1226" s="26" t="inlineStr">
        <is>
          <t>☐</t>
        </is>
      </c>
      <c r="K1226" s="26" t="inlineStr">
        <is>
          <t>☐</t>
        </is>
      </c>
      <c r="L1226" s="26" t="inlineStr">
        <is>
          <t>☐</t>
        </is>
      </c>
      <c r="M1226" s="25" t="n"/>
      <c r="N1226" s="27" t="n">
        <v>0</v>
      </c>
      <c r="O1226" s="28" t="n"/>
      <c r="P1226" s="23" t="n"/>
      <c r="Q1226" s="29" t="n"/>
      <c r="R1226" s="29" t="n"/>
      <c r="S1226" s="23" t="n"/>
      <c r="T1226" s="30" t="n"/>
      <c r="U1226" s="31" t="inlineStr">
        <is>
          <t>高</t>
        </is>
      </c>
      <c r="V1226" s="32" t="n"/>
      <c r="W1226" s="33" t="inlineStr">
        <is>
          <t>開く</t>
        </is>
      </c>
    </row>
    <row r="1227" ht="30" customHeight="1">
      <c r="A1227" s="23" t="inlineStr">
        <is>
          <t>40福岡県</t>
        </is>
      </c>
      <c r="B1227" s="23" t="inlineStr">
        <is>
          <t>私立</t>
        </is>
      </c>
      <c r="C1227" s="23" t="n"/>
      <c r="D1227" s="23" t="inlineStr">
        <is>
          <t>純真高等学校</t>
        </is>
      </c>
      <c r="E1227" s="24" t="inlineStr">
        <is>
          <t>092-541-9710</t>
        </is>
      </c>
      <c r="F1227" s="23" t="n"/>
      <c r="G1227" s="25" t="inlineStr">
        <is>
          <t>普通科・専門学科</t>
        </is>
      </c>
      <c r="H1227" s="26" t="inlineStr">
        <is>
          <t>☐</t>
        </is>
      </c>
      <c r="I1227" s="26" t="inlineStr">
        <is>
          <t>☐</t>
        </is>
      </c>
      <c r="J1227" s="26" t="inlineStr">
        <is>
          <t>☐</t>
        </is>
      </c>
      <c r="K1227" s="26" t="inlineStr">
        <is>
          <t>☐</t>
        </is>
      </c>
      <c r="L1227" s="26" t="inlineStr">
        <is>
          <t>☐</t>
        </is>
      </c>
      <c r="M1227" s="25" t="n"/>
      <c r="N1227" s="27" t="n">
        <v>0</v>
      </c>
      <c r="O1227" s="28" t="n"/>
      <c r="P1227" s="23" t="n"/>
      <c r="Q1227" s="29" t="n"/>
      <c r="R1227" s="29" t="n"/>
      <c r="S1227" s="23" t="n"/>
      <c r="T1227" s="30" t="n"/>
      <c r="U1227" s="31" t="inlineStr">
        <is>
          <t>高</t>
        </is>
      </c>
      <c r="V1227" s="32" t="inlineStr">
        <is>
          <t>法人は092-541-1511</t>
        </is>
      </c>
      <c r="W1227" s="33" t="inlineStr">
        <is>
          <t>開く</t>
        </is>
      </c>
    </row>
    <row r="1228" ht="30" customHeight="1">
      <c r="A1228" s="23" t="inlineStr">
        <is>
          <t>40福岡県</t>
        </is>
      </c>
      <c r="B1228" s="23" t="inlineStr">
        <is>
          <t>私立</t>
        </is>
      </c>
      <c r="C1228" s="23" t="n"/>
      <c r="D1228" s="23" t="inlineStr">
        <is>
          <t>自由ケ丘高等学校</t>
        </is>
      </c>
      <c r="E1228" s="24" t="inlineStr">
        <is>
          <t>093-693-3090</t>
        </is>
      </c>
      <c r="F1228" s="23" t="n"/>
      <c r="G1228" s="25" t="inlineStr">
        <is>
          <t>普通科</t>
        </is>
      </c>
      <c r="H1228" s="26" t="inlineStr">
        <is>
          <t>☐</t>
        </is>
      </c>
      <c r="I1228" s="26" t="inlineStr">
        <is>
          <t>☐</t>
        </is>
      </c>
      <c r="J1228" s="26" t="inlineStr">
        <is>
          <t>☐</t>
        </is>
      </c>
      <c r="K1228" s="26" t="inlineStr">
        <is>
          <t>☐</t>
        </is>
      </c>
      <c r="L1228" s="26" t="inlineStr">
        <is>
          <t>☐</t>
        </is>
      </c>
      <c r="M1228" s="25" t="n"/>
      <c r="N1228" s="27" t="n">
        <v>0</v>
      </c>
      <c r="O1228" s="28" t="n"/>
      <c r="P1228" s="23" t="n"/>
      <c r="Q1228" s="29" t="n"/>
      <c r="R1228" s="29" t="n"/>
      <c r="S1228" s="23" t="n"/>
      <c r="T1228" s="30" t="n"/>
      <c r="U1228" s="31" t="inlineStr">
        <is>
          <t>高</t>
        </is>
      </c>
      <c r="V1228" s="32" t="inlineStr">
        <is>
          <t>事務室093-693-3030の記載あり</t>
        </is>
      </c>
      <c r="W1228" s="33" t="inlineStr">
        <is>
          <t>開く</t>
        </is>
      </c>
    </row>
    <row r="1229" ht="30" customHeight="1">
      <c r="A1229" s="23" t="inlineStr">
        <is>
          <t>40福岡県</t>
        </is>
      </c>
      <c r="B1229" s="23" t="inlineStr">
        <is>
          <t>私立</t>
        </is>
      </c>
      <c r="C1229" s="23" t="n"/>
      <c r="D1229" s="23" t="inlineStr">
        <is>
          <t>上智福岡高等学校</t>
        </is>
      </c>
      <c r="E1229" s="24" t="inlineStr">
        <is>
          <t>092-712-7181</t>
        </is>
      </c>
      <c r="F1229" s="23" t="n"/>
      <c r="G1229" s="25" t="inlineStr">
        <is>
          <t>普通科</t>
        </is>
      </c>
      <c r="H1229" s="26" t="inlineStr">
        <is>
          <t>☐</t>
        </is>
      </c>
      <c r="I1229" s="26" t="inlineStr">
        <is>
          <t>☐</t>
        </is>
      </c>
      <c r="J1229" s="26" t="inlineStr">
        <is>
          <t>☐</t>
        </is>
      </c>
      <c r="K1229" s="26" t="inlineStr">
        <is>
          <t>☐</t>
        </is>
      </c>
      <c r="L1229" s="26" t="inlineStr">
        <is>
          <t>☐</t>
        </is>
      </c>
      <c r="M1229" s="25" t="n"/>
      <c r="N1229" s="27" t="n">
        <v>0</v>
      </c>
      <c r="O1229" s="28" t="n"/>
      <c r="P1229" s="23" t="n"/>
      <c r="Q1229" s="29" t="n"/>
      <c r="R1229" s="29" t="n"/>
      <c r="S1229" s="23" t="n"/>
      <c r="T1229" s="30" t="n"/>
      <c r="U1229" s="31" t="inlineStr">
        <is>
          <t>高</t>
        </is>
      </c>
      <c r="V1229" s="32" t="inlineStr">
        <is>
          <t>中高共通番号</t>
        </is>
      </c>
      <c r="W1229" s="33" t="inlineStr">
        <is>
          <t>開く</t>
        </is>
      </c>
    </row>
    <row r="1230" ht="30" customHeight="1">
      <c r="A1230" s="23" t="inlineStr">
        <is>
          <t>40福岡県</t>
        </is>
      </c>
      <c r="B1230" s="23" t="inlineStr">
        <is>
          <t>私立</t>
        </is>
      </c>
      <c r="C1230" s="23" t="n"/>
      <c r="D1230" s="23" t="inlineStr">
        <is>
          <t>精華女子高等学校</t>
        </is>
      </c>
      <c r="E1230" s="24" t="inlineStr">
        <is>
          <t>092-431-1434</t>
        </is>
      </c>
      <c r="F1230" s="23" t="n"/>
      <c r="G1230" s="25" t="inlineStr">
        <is>
          <t>普通科・専門学科</t>
        </is>
      </c>
      <c r="H1230" s="26" t="inlineStr">
        <is>
          <t>☐</t>
        </is>
      </c>
      <c r="I1230" s="26" t="inlineStr">
        <is>
          <t>☐</t>
        </is>
      </c>
      <c r="J1230" s="26" t="inlineStr">
        <is>
          <t>☐</t>
        </is>
      </c>
      <c r="K1230" s="26" t="inlineStr">
        <is>
          <t>☐</t>
        </is>
      </c>
      <c r="L1230" s="26" t="inlineStr">
        <is>
          <t>☐</t>
        </is>
      </c>
      <c r="M1230" s="25" t="n"/>
      <c r="N1230" s="27" t="n">
        <v>0</v>
      </c>
      <c r="O1230" s="28" t="n"/>
      <c r="P1230" s="23" t="n"/>
      <c r="Q1230" s="29" t="n"/>
      <c r="R1230" s="29" t="n"/>
      <c r="S1230" s="23" t="n"/>
      <c r="T1230" s="30" t="n"/>
      <c r="U1230" s="31" t="inlineStr">
        <is>
          <t>高</t>
        </is>
      </c>
      <c r="V1230" s="32" t="n"/>
      <c r="W1230" s="33" t="inlineStr">
        <is>
          <t>開く</t>
        </is>
      </c>
    </row>
    <row r="1231" ht="30" customHeight="1">
      <c r="A1231" s="23" t="inlineStr">
        <is>
          <t>40福岡県</t>
        </is>
      </c>
      <c r="B1231" s="23" t="inlineStr">
        <is>
          <t>私立</t>
        </is>
      </c>
      <c r="C1231" s="23" t="n"/>
      <c r="D1231" s="23" t="inlineStr">
        <is>
          <t>誠修高等学校</t>
        </is>
      </c>
      <c r="E1231" s="24" t="inlineStr">
        <is>
          <t>0944-55-2344</t>
        </is>
      </c>
      <c r="F1231" s="23" t="n"/>
      <c r="G1231" s="25" t="inlineStr">
        <is>
          <t>普通科・専門学科</t>
        </is>
      </c>
      <c r="H1231" s="26" t="inlineStr">
        <is>
          <t>☐</t>
        </is>
      </c>
      <c r="I1231" s="26" t="inlineStr">
        <is>
          <t>☐</t>
        </is>
      </c>
      <c r="J1231" s="26" t="inlineStr">
        <is>
          <t>☐</t>
        </is>
      </c>
      <c r="K1231" s="26" t="inlineStr">
        <is>
          <t>☐</t>
        </is>
      </c>
      <c r="L1231" s="26" t="inlineStr">
        <is>
          <t>☐</t>
        </is>
      </c>
      <c r="M1231" s="25" t="n"/>
      <c r="N1231" s="27" t="n">
        <v>0</v>
      </c>
      <c r="O1231" s="28" t="n"/>
      <c r="P1231" s="23" t="n"/>
      <c r="Q1231" s="29" t="n"/>
      <c r="R1231" s="29" t="n"/>
      <c r="S1231" s="23" t="n"/>
      <c r="T1231" s="30" t="n"/>
      <c r="U1231" s="31" t="inlineStr">
        <is>
          <t>高</t>
        </is>
      </c>
      <c r="V1231" s="32" t="n"/>
      <c r="W1231" s="33" t="inlineStr">
        <is>
          <t>開く</t>
        </is>
      </c>
    </row>
    <row r="1232" ht="30" customHeight="1">
      <c r="A1232" s="23" t="inlineStr">
        <is>
          <t>40福岡県</t>
        </is>
      </c>
      <c r="B1232" s="23" t="inlineStr">
        <is>
          <t>私立</t>
        </is>
      </c>
      <c r="C1232" s="23" t="n"/>
      <c r="D1232" s="23" t="inlineStr">
        <is>
          <t>西南学院高等学校</t>
        </is>
      </c>
      <c r="E1232" s="24" t="inlineStr">
        <is>
          <t>092-841-1317</t>
        </is>
      </c>
      <c r="F1232" s="23" t="n"/>
      <c r="G1232" s="25" t="inlineStr">
        <is>
          <t>普通科</t>
        </is>
      </c>
      <c r="H1232" s="26" t="inlineStr">
        <is>
          <t>☐</t>
        </is>
      </c>
      <c r="I1232" s="26" t="inlineStr">
        <is>
          <t>☐</t>
        </is>
      </c>
      <c r="J1232" s="26" t="inlineStr">
        <is>
          <t>☐</t>
        </is>
      </c>
      <c r="K1232" s="26" t="inlineStr">
        <is>
          <t>☐</t>
        </is>
      </c>
      <c r="L1232" s="26" t="inlineStr">
        <is>
          <t>☐</t>
        </is>
      </c>
      <c r="M1232" s="25" t="n"/>
      <c r="N1232" s="27" t="n">
        <v>0</v>
      </c>
      <c r="O1232" s="28" t="n"/>
      <c r="P1232" s="23" t="n"/>
      <c r="Q1232" s="29" t="n"/>
      <c r="R1232" s="29" t="n"/>
      <c r="S1232" s="23" t="n"/>
      <c r="T1232" s="30" t="n"/>
      <c r="U1232" s="31" t="inlineStr">
        <is>
          <t>高</t>
        </is>
      </c>
      <c r="V1232" s="32" t="inlineStr">
        <is>
          <t>中高共通番号</t>
        </is>
      </c>
      <c r="W1232" s="33" t="inlineStr">
        <is>
          <t>開く</t>
        </is>
      </c>
    </row>
    <row r="1233" ht="30" customHeight="1">
      <c r="A1233" s="23" t="inlineStr">
        <is>
          <t>40福岡県</t>
        </is>
      </c>
      <c r="B1233" s="23" t="inlineStr">
        <is>
          <t>私立</t>
        </is>
      </c>
      <c r="C1233" s="23" t="n"/>
      <c r="D1233" s="23" t="inlineStr">
        <is>
          <t>西南女学院高等学校</t>
        </is>
      </c>
      <c r="E1233" s="24" t="inlineStr">
        <is>
          <t>093-583-5800</t>
        </is>
      </c>
      <c r="F1233" s="23" t="n"/>
      <c r="G1233" s="25" t="inlineStr">
        <is>
          <t>普通科</t>
        </is>
      </c>
      <c r="H1233" s="26" t="inlineStr">
        <is>
          <t>☐</t>
        </is>
      </c>
      <c r="I1233" s="26" t="inlineStr">
        <is>
          <t>☐</t>
        </is>
      </c>
      <c r="J1233" s="26" t="inlineStr">
        <is>
          <t>☐</t>
        </is>
      </c>
      <c r="K1233" s="26" t="inlineStr">
        <is>
          <t>☐</t>
        </is>
      </c>
      <c r="L1233" s="26" t="inlineStr">
        <is>
          <t>☐</t>
        </is>
      </c>
      <c r="M1233" s="25" t="n"/>
      <c r="N1233" s="27" t="n">
        <v>0</v>
      </c>
      <c r="O1233" s="28" t="n"/>
      <c r="P1233" s="23" t="n"/>
      <c r="Q1233" s="29" t="n"/>
      <c r="R1233" s="29" t="n"/>
      <c r="S1233" s="23" t="n"/>
      <c r="T1233" s="30" t="n"/>
      <c r="U1233" s="31" t="inlineStr">
        <is>
          <t>高</t>
        </is>
      </c>
      <c r="V1233" s="32" t="inlineStr">
        <is>
          <t>中高共通番号。gakkou.netは093-583-5848と記載</t>
        </is>
      </c>
      <c r="W1233" s="33" t="inlineStr">
        <is>
          <t>開く</t>
        </is>
      </c>
    </row>
    <row r="1234" ht="30" customHeight="1">
      <c r="A1234" s="23" t="inlineStr">
        <is>
          <t>40福岡県</t>
        </is>
      </c>
      <c r="B1234" s="23" t="inlineStr">
        <is>
          <t>私立</t>
        </is>
      </c>
      <c r="C1234" s="23" t="n"/>
      <c r="D1234" s="23" t="inlineStr">
        <is>
          <t>星琳高等学校</t>
        </is>
      </c>
      <c r="E1234" s="24" t="inlineStr">
        <is>
          <t>093-631-5350</t>
        </is>
      </c>
      <c r="F1234" s="23" t="n"/>
      <c r="G1234" s="25" t="inlineStr">
        <is>
          <t>普通科・専門学科</t>
        </is>
      </c>
      <c r="H1234" s="26" t="inlineStr">
        <is>
          <t>☐</t>
        </is>
      </c>
      <c r="I1234" s="26" t="inlineStr">
        <is>
          <t>☐</t>
        </is>
      </c>
      <c r="J1234" s="26" t="inlineStr">
        <is>
          <t>☐</t>
        </is>
      </c>
      <c r="K1234" s="26" t="inlineStr">
        <is>
          <t>☐</t>
        </is>
      </c>
      <c r="L1234" s="26" t="inlineStr">
        <is>
          <t>☐</t>
        </is>
      </c>
      <c r="M1234" s="25" t="n"/>
      <c r="N1234" s="27" t="n">
        <v>0</v>
      </c>
      <c r="O1234" s="28" t="n"/>
      <c r="P1234" s="23" t="n"/>
      <c r="Q1234" s="29" t="n"/>
      <c r="R1234" s="29" t="n"/>
      <c r="S1234" s="23" t="n"/>
      <c r="T1234" s="30" t="n"/>
      <c r="U1234" s="31" t="inlineStr">
        <is>
          <t>高</t>
        </is>
      </c>
      <c r="V1234" s="32" t="n"/>
      <c r="W1234" s="33" t="inlineStr">
        <is>
          <t>開く</t>
        </is>
      </c>
    </row>
    <row r="1235" ht="30" customHeight="1">
      <c r="A1235" s="23" t="inlineStr">
        <is>
          <t>40福岡県</t>
        </is>
      </c>
      <c r="B1235" s="23" t="inlineStr">
        <is>
          <t>私立</t>
        </is>
      </c>
      <c r="C1235" s="23" t="n"/>
      <c r="D1235" s="23" t="inlineStr">
        <is>
          <t>第一薬科大学付属高等学校</t>
        </is>
      </c>
      <c r="E1235" s="24" t="inlineStr">
        <is>
          <t>092-541-0167</t>
        </is>
      </c>
      <c r="F1235" s="23" t="n"/>
      <c r="G1235" s="25" t="inlineStr">
        <is>
          <t>普通科・専門学科</t>
        </is>
      </c>
      <c r="H1235" s="26" t="inlineStr">
        <is>
          <t>☐</t>
        </is>
      </c>
      <c r="I1235" s="26" t="inlineStr">
        <is>
          <t>☐</t>
        </is>
      </c>
      <c r="J1235" s="26" t="inlineStr">
        <is>
          <t>☐</t>
        </is>
      </c>
      <c r="K1235" s="26" t="inlineStr">
        <is>
          <t>☐</t>
        </is>
      </c>
      <c r="L1235" s="26" t="inlineStr">
        <is>
          <t>☐</t>
        </is>
      </c>
      <c r="M1235" s="25" t="n"/>
      <c r="N1235" s="27" t="n">
        <v>0</v>
      </c>
      <c r="O1235" s="28" t="n"/>
      <c r="P1235" s="23" t="n"/>
      <c r="Q1235" s="29" t="n"/>
      <c r="R1235" s="29" t="n"/>
      <c r="S1235" s="23" t="n"/>
      <c r="T1235" s="30" t="n"/>
      <c r="U1235" s="34" t="inlineStr">
        <is>
          <t>中</t>
        </is>
      </c>
      <c r="V1235" s="32" t="inlineStr">
        <is>
          <t>公式未確認、複数サイトで一致。通信制福岡キャンパスは092-562-4749</t>
        </is>
      </c>
      <c r="W1235" s="33" t="inlineStr">
        <is>
          <t>開く</t>
        </is>
      </c>
    </row>
    <row r="1236" ht="30" customHeight="1">
      <c r="A1236" s="23" t="inlineStr">
        <is>
          <t>40福岡県</t>
        </is>
      </c>
      <c r="B1236" s="23" t="inlineStr">
        <is>
          <t>私立</t>
        </is>
      </c>
      <c r="C1236" s="23" t="n"/>
      <c r="D1236" s="23" t="inlineStr">
        <is>
          <t>立花高等学校</t>
        </is>
      </c>
      <c r="E1236" s="24" t="inlineStr">
        <is>
          <t>092-606-2792</t>
        </is>
      </c>
      <c r="F1236" s="23" t="n"/>
      <c r="G1236" s="25" t="inlineStr">
        <is>
          <t>普通科</t>
        </is>
      </c>
      <c r="H1236" s="26" t="inlineStr">
        <is>
          <t>☐</t>
        </is>
      </c>
      <c r="I1236" s="26" t="inlineStr">
        <is>
          <t>☐</t>
        </is>
      </c>
      <c r="J1236" s="26" t="inlineStr">
        <is>
          <t>☐</t>
        </is>
      </c>
      <c r="K1236" s="26" t="inlineStr">
        <is>
          <t>☐</t>
        </is>
      </c>
      <c r="L1236" s="26" t="inlineStr">
        <is>
          <t>☐</t>
        </is>
      </c>
      <c r="M1236" s="25" t="n"/>
      <c r="N1236" s="27" t="n">
        <v>0</v>
      </c>
      <c r="O1236" s="28" t="n"/>
      <c r="P1236" s="23" t="n"/>
      <c r="Q1236" s="29" t="n"/>
      <c r="R1236" s="29" t="n"/>
      <c r="S1236" s="23" t="n"/>
      <c r="T1236" s="30" t="n"/>
      <c r="U1236" s="31" t="inlineStr">
        <is>
          <t>高</t>
        </is>
      </c>
      <c r="V1236" s="32" t="n"/>
      <c r="W1236" s="33" t="inlineStr">
        <is>
          <t>開く</t>
        </is>
      </c>
    </row>
    <row r="1237" ht="30" customHeight="1">
      <c r="A1237" s="23" t="inlineStr">
        <is>
          <t>40福岡県</t>
        </is>
      </c>
      <c r="B1237" s="23" t="inlineStr">
        <is>
          <t>私立</t>
        </is>
      </c>
      <c r="C1237" s="23" t="n"/>
      <c r="D1237" s="23" t="inlineStr">
        <is>
          <t>筑紫女学園高等学校</t>
        </is>
      </c>
      <c r="E1237" s="24" t="inlineStr">
        <is>
          <t>092-771-3066</t>
        </is>
      </c>
      <c r="F1237" s="23" t="n"/>
      <c r="G1237" s="25" t="inlineStr">
        <is>
          <t>普通科</t>
        </is>
      </c>
      <c r="H1237" s="26" t="inlineStr">
        <is>
          <t>☐</t>
        </is>
      </c>
      <c r="I1237" s="26" t="inlineStr">
        <is>
          <t>☐</t>
        </is>
      </c>
      <c r="J1237" s="26" t="inlineStr">
        <is>
          <t>☐</t>
        </is>
      </c>
      <c r="K1237" s="26" t="inlineStr">
        <is>
          <t>☐</t>
        </is>
      </c>
      <c r="L1237" s="26" t="inlineStr">
        <is>
          <t>☐</t>
        </is>
      </c>
      <c r="M1237" s="25" t="n"/>
      <c r="N1237" s="27" t="n">
        <v>0</v>
      </c>
      <c r="O1237" s="28" t="n"/>
      <c r="P1237" s="23" t="n"/>
      <c r="Q1237" s="29" t="n"/>
      <c r="R1237" s="29" t="n"/>
      <c r="S1237" s="23" t="n"/>
      <c r="T1237" s="30" t="n"/>
      <c r="U1237" s="31" t="inlineStr">
        <is>
          <t>高</t>
        </is>
      </c>
      <c r="V1237" s="32" t="n"/>
      <c r="W1237" s="33" t="inlineStr">
        <is>
          <t>開く</t>
        </is>
      </c>
    </row>
    <row r="1238" ht="30" customHeight="1">
      <c r="A1238" s="23" t="inlineStr">
        <is>
          <t>40福岡県</t>
        </is>
      </c>
      <c r="B1238" s="23" t="inlineStr">
        <is>
          <t>私立</t>
        </is>
      </c>
      <c r="C1238" s="23" t="n"/>
      <c r="D1238" s="23" t="inlineStr">
        <is>
          <t>筑紫台高等学校</t>
        </is>
      </c>
      <c r="E1238" s="24" t="inlineStr">
        <is>
          <t>092-923-0010</t>
        </is>
      </c>
      <c r="F1238" s="23" t="n"/>
      <c r="G1238" s="25" t="inlineStr">
        <is>
          <t>普通科・専門学科・総合学科</t>
        </is>
      </c>
      <c r="H1238" s="26" t="inlineStr">
        <is>
          <t>☐</t>
        </is>
      </c>
      <c r="I1238" s="26" t="inlineStr">
        <is>
          <t>☐</t>
        </is>
      </c>
      <c r="J1238" s="26" t="inlineStr">
        <is>
          <t>☐</t>
        </is>
      </c>
      <c r="K1238" s="26" t="inlineStr">
        <is>
          <t>☐</t>
        </is>
      </c>
      <c r="L1238" s="26" t="inlineStr">
        <is>
          <t>☐</t>
        </is>
      </c>
      <c r="M1238" s="25" t="n"/>
      <c r="N1238" s="27" t="n">
        <v>0</v>
      </c>
      <c r="O1238" s="28" t="n"/>
      <c r="P1238" s="23" t="n"/>
      <c r="Q1238" s="29" t="n"/>
      <c r="R1238" s="29" t="n"/>
      <c r="S1238" s="23" t="n"/>
      <c r="T1238" s="30" t="n"/>
      <c r="U1238" s="31" t="inlineStr">
        <is>
          <t>高</t>
        </is>
      </c>
      <c r="V1238" s="32" t="n"/>
      <c r="W1238" s="33" t="inlineStr">
        <is>
          <t>開く</t>
        </is>
      </c>
    </row>
    <row r="1239" ht="30" customHeight="1">
      <c r="A1239" s="23" t="inlineStr">
        <is>
          <t>40福岡県</t>
        </is>
      </c>
      <c r="B1239" s="23" t="inlineStr">
        <is>
          <t>私立</t>
        </is>
      </c>
      <c r="C1239" s="23" t="n"/>
      <c r="D1239" s="23" t="inlineStr">
        <is>
          <t>筑陽学園高等学校</t>
        </is>
      </c>
      <c r="E1239" s="24" t="inlineStr">
        <is>
          <t>092-922-7361</t>
        </is>
      </c>
      <c r="F1239" s="23" t="n"/>
      <c r="G1239" s="25" t="inlineStr">
        <is>
          <t>普通科・専門学科</t>
        </is>
      </c>
      <c r="H1239" s="26" t="inlineStr">
        <is>
          <t>☐</t>
        </is>
      </c>
      <c r="I1239" s="26" t="inlineStr">
        <is>
          <t>☐</t>
        </is>
      </c>
      <c r="J1239" s="26" t="inlineStr">
        <is>
          <t>☐</t>
        </is>
      </c>
      <c r="K1239" s="26" t="inlineStr">
        <is>
          <t>☐</t>
        </is>
      </c>
      <c r="L1239" s="26" t="inlineStr">
        <is>
          <t>☐</t>
        </is>
      </c>
      <c r="M1239" s="25" t="n"/>
      <c r="N1239" s="27" t="n">
        <v>0</v>
      </c>
      <c r="O1239" s="28" t="n"/>
      <c r="P1239" s="23" t="n"/>
      <c r="Q1239" s="29" t="n"/>
      <c r="R1239" s="29" t="n"/>
      <c r="S1239" s="23" t="n"/>
      <c r="T1239" s="30" t="n"/>
      <c r="U1239" s="31" t="inlineStr">
        <is>
          <t>高</t>
        </is>
      </c>
      <c r="V1239" s="32" t="n"/>
      <c r="W1239" s="33" t="inlineStr">
        <is>
          <t>開く</t>
        </is>
      </c>
    </row>
    <row r="1240" ht="30" customHeight="1">
      <c r="A1240" s="23" t="inlineStr">
        <is>
          <t>40福岡県</t>
        </is>
      </c>
      <c r="B1240" s="23" t="inlineStr">
        <is>
          <t>私立</t>
        </is>
      </c>
      <c r="C1240" s="23" t="n"/>
      <c r="D1240" s="23" t="inlineStr">
        <is>
          <t>東海大学付属福岡高等学校</t>
        </is>
      </c>
      <c r="E1240" s="24" t="inlineStr">
        <is>
          <t>0940-32-3311</t>
        </is>
      </c>
      <c r="F1240" s="23" t="n"/>
      <c r="G1240" s="25" t="inlineStr">
        <is>
          <t>普通科</t>
        </is>
      </c>
      <c r="H1240" s="26" t="inlineStr">
        <is>
          <t>☐</t>
        </is>
      </c>
      <c r="I1240" s="26" t="inlineStr">
        <is>
          <t>☐</t>
        </is>
      </c>
      <c r="J1240" s="26" t="inlineStr">
        <is>
          <t>☐</t>
        </is>
      </c>
      <c r="K1240" s="26" t="inlineStr">
        <is>
          <t>☐</t>
        </is>
      </c>
      <c r="L1240" s="26" t="inlineStr">
        <is>
          <t>☐</t>
        </is>
      </c>
      <c r="M1240" s="25" t="n"/>
      <c r="N1240" s="27" t="n">
        <v>0</v>
      </c>
      <c r="O1240" s="28" t="n"/>
      <c r="P1240" s="23" t="n"/>
      <c r="Q1240" s="29" t="n"/>
      <c r="R1240" s="29" t="n"/>
      <c r="S1240" s="23" t="n"/>
      <c r="T1240" s="30" t="n"/>
      <c r="U1240" s="31" t="inlineStr">
        <is>
          <t>高</t>
        </is>
      </c>
      <c r="V1240" s="32" t="n"/>
      <c r="W1240" s="33" t="inlineStr">
        <is>
          <t>開く</t>
        </is>
      </c>
    </row>
    <row r="1241" ht="30" customHeight="1">
      <c r="A1241" s="23" t="inlineStr">
        <is>
          <t>40福岡県</t>
        </is>
      </c>
      <c r="B1241" s="23" t="inlineStr">
        <is>
          <t>私立</t>
        </is>
      </c>
      <c r="C1241" s="23" t="n"/>
      <c r="D1241" s="23" t="inlineStr">
        <is>
          <t>常磐高等学校（福岡県）</t>
        </is>
      </c>
      <c r="E1241" s="24" t="inlineStr">
        <is>
          <t>093-961-2334</t>
        </is>
      </c>
      <c r="F1241" s="23" t="n"/>
      <c r="G1241" s="25" t="inlineStr">
        <is>
          <t>普通科</t>
        </is>
      </c>
      <c r="H1241" s="26" t="inlineStr">
        <is>
          <t>☐</t>
        </is>
      </c>
      <c r="I1241" s="26" t="inlineStr">
        <is>
          <t>☐</t>
        </is>
      </c>
      <c r="J1241" s="26" t="inlineStr">
        <is>
          <t>☐</t>
        </is>
      </c>
      <c r="K1241" s="26" t="inlineStr">
        <is>
          <t>☐</t>
        </is>
      </c>
      <c r="L1241" s="26" t="inlineStr">
        <is>
          <t>☐</t>
        </is>
      </c>
      <c r="M1241" s="25" t="n"/>
      <c r="N1241" s="27" t="n">
        <v>0</v>
      </c>
      <c r="O1241" s="28" t="n"/>
      <c r="P1241" s="23" t="n"/>
      <c r="Q1241" s="29" t="n"/>
      <c r="R1241" s="29" t="n"/>
      <c r="S1241" s="23" t="n"/>
      <c r="T1241" s="30" t="n"/>
      <c r="U1241" s="31" t="inlineStr">
        <is>
          <t>高</t>
        </is>
      </c>
      <c r="V1241" s="32" t="n"/>
      <c r="W1241" s="33" t="inlineStr">
        <is>
          <t>開く</t>
        </is>
      </c>
    </row>
    <row r="1242" ht="30" customHeight="1">
      <c r="A1242" s="23" t="inlineStr">
        <is>
          <t>40福岡県</t>
        </is>
      </c>
      <c r="B1242" s="23" t="inlineStr">
        <is>
          <t>私立</t>
        </is>
      </c>
      <c r="C1242" s="23" t="n"/>
      <c r="D1242" s="23" t="inlineStr">
        <is>
          <t>中村学園高等学校</t>
        </is>
      </c>
      <c r="E1242" s="24" t="inlineStr">
        <is>
          <t>092-831-0981</t>
        </is>
      </c>
      <c r="F1242" s="23" t="n"/>
      <c r="G1242" s="25" t="inlineStr">
        <is>
          <t>普通科</t>
        </is>
      </c>
      <c r="H1242" s="26" t="inlineStr">
        <is>
          <t>☐</t>
        </is>
      </c>
      <c r="I1242" s="26" t="inlineStr">
        <is>
          <t>☐</t>
        </is>
      </c>
      <c r="J1242" s="26" t="inlineStr">
        <is>
          <t>☐</t>
        </is>
      </c>
      <c r="K1242" s="26" t="inlineStr">
        <is>
          <t>☐</t>
        </is>
      </c>
      <c r="L1242" s="26" t="inlineStr">
        <is>
          <t>☐</t>
        </is>
      </c>
      <c r="M1242" s="25" t="n"/>
      <c r="N1242" s="27" t="n">
        <v>0</v>
      </c>
      <c r="O1242" s="28" t="n"/>
      <c r="P1242" s="23" t="n"/>
      <c r="Q1242" s="29" t="n"/>
      <c r="R1242" s="29" t="n"/>
      <c r="S1242" s="23" t="n"/>
      <c r="T1242" s="30" t="n"/>
      <c r="U1242" s="31" t="inlineStr">
        <is>
          <t>高</t>
        </is>
      </c>
      <c r="V1242" s="32" t="inlineStr">
        <is>
          <t>旧・中村学園女子。2026年4月に共学化・改称</t>
        </is>
      </c>
      <c r="W1242" s="33" t="inlineStr">
        <is>
          <t>開く</t>
        </is>
      </c>
    </row>
    <row r="1243" ht="30" customHeight="1">
      <c r="A1243" s="23" t="inlineStr">
        <is>
          <t>40福岡県</t>
        </is>
      </c>
      <c r="B1243" s="23" t="inlineStr">
        <is>
          <t>私立</t>
        </is>
      </c>
      <c r="C1243" s="23" t="n"/>
      <c r="D1243" s="23" t="inlineStr">
        <is>
          <t>中村学園三陽高等学校</t>
        </is>
      </c>
      <c r="E1243" s="24" t="inlineStr">
        <is>
          <t>092-882-6611</t>
        </is>
      </c>
      <c r="F1243" s="23" t="n"/>
      <c r="G1243" s="25" t="inlineStr">
        <is>
          <t>普通科</t>
        </is>
      </c>
      <c r="H1243" s="26" t="inlineStr">
        <is>
          <t>☐</t>
        </is>
      </c>
      <c r="I1243" s="26" t="inlineStr">
        <is>
          <t>☐</t>
        </is>
      </c>
      <c r="J1243" s="26" t="inlineStr">
        <is>
          <t>☐</t>
        </is>
      </c>
      <c r="K1243" s="26" t="inlineStr">
        <is>
          <t>☐</t>
        </is>
      </c>
      <c r="L1243" s="26" t="inlineStr">
        <is>
          <t>☐</t>
        </is>
      </c>
      <c r="M1243" s="25" t="n"/>
      <c r="N1243" s="27" t="n">
        <v>0</v>
      </c>
      <c r="O1243" s="28" t="n"/>
      <c r="P1243" s="23" t="n"/>
      <c r="Q1243" s="29" t="n"/>
      <c r="R1243" s="29" t="n"/>
      <c r="S1243" s="23" t="n"/>
      <c r="T1243" s="30" t="n"/>
      <c r="U1243" s="31" t="inlineStr">
        <is>
          <t>高</t>
        </is>
      </c>
      <c r="V1243" s="32" t="inlineStr">
        <is>
          <t>【募集停止】2026年度から生徒募集停止、2028年3月末閉校予定</t>
        </is>
      </c>
      <c r="W1243" s="33" t="inlineStr">
        <is>
          <t>開く</t>
        </is>
      </c>
    </row>
    <row r="1244" ht="30" customHeight="1">
      <c r="A1244" s="23" t="inlineStr">
        <is>
          <t>40福岡県</t>
        </is>
      </c>
      <c r="B1244" s="23" t="inlineStr">
        <is>
          <t>私立</t>
        </is>
      </c>
      <c r="C1244" s="23" t="n"/>
      <c r="D1244" s="23" t="inlineStr">
        <is>
          <t>西日本短期大学附属高等学校</t>
        </is>
      </c>
      <c r="E1244" s="24" t="inlineStr">
        <is>
          <t>0943-23-5662</t>
        </is>
      </c>
      <c r="F1244" s="23" t="n"/>
      <c r="G1244" s="25" t="inlineStr">
        <is>
          <t>普通科</t>
        </is>
      </c>
      <c r="H1244" s="26" t="inlineStr">
        <is>
          <t>☐</t>
        </is>
      </c>
      <c r="I1244" s="26" t="inlineStr">
        <is>
          <t>☐</t>
        </is>
      </c>
      <c r="J1244" s="26" t="inlineStr">
        <is>
          <t>☐</t>
        </is>
      </c>
      <c r="K1244" s="26" t="inlineStr">
        <is>
          <t>☐</t>
        </is>
      </c>
      <c r="L1244" s="26" t="inlineStr">
        <is>
          <t>☐</t>
        </is>
      </c>
      <c r="M1244" s="25" t="n"/>
      <c r="N1244" s="27" t="n">
        <v>0</v>
      </c>
      <c r="O1244" s="28" t="n"/>
      <c r="P1244" s="23" t="n"/>
      <c r="Q1244" s="29" t="n"/>
      <c r="R1244" s="29" t="n"/>
      <c r="S1244" s="23" t="n"/>
      <c r="T1244" s="30" t="n"/>
      <c r="U1244" s="31" t="inlineStr">
        <is>
          <t>高</t>
        </is>
      </c>
      <c r="V1244" s="32" t="inlineStr">
        <is>
          <t>立志館（特進）は0943-23-5913</t>
        </is>
      </c>
      <c r="W1244" s="33" t="inlineStr">
        <is>
          <t>開く</t>
        </is>
      </c>
    </row>
    <row r="1245" ht="30" customHeight="1">
      <c r="A1245" s="23" t="inlineStr">
        <is>
          <t>40福岡県</t>
        </is>
      </c>
      <c r="B1245" s="23" t="inlineStr">
        <is>
          <t>私立</t>
        </is>
      </c>
      <c r="C1245" s="23" t="n"/>
      <c r="D1245" s="23" t="inlineStr">
        <is>
          <t>博多高等学校</t>
        </is>
      </c>
      <c r="E1245" s="24" t="inlineStr">
        <is>
          <t>092-681-0331</t>
        </is>
      </c>
      <c r="F1245" s="23" t="n"/>
      <c r="G1245" s="25" t="inlineStr">
        <is>
          <t>普通科・専門学科</t>
        </is>
      </c>
      <c r="H1245" s="26" t="inlineStr">
        <is>
          <t>☐</t>
        </is>
      </c>
      <c r="I1245" s="26" t="inlineStr">
        <is>
          <t>☐</t>
        </is>
      </c>
      <c r="J1245" s="26" t="inlineStr">
        <is>
          <t>☐</t>
        </is>
      </c>
      <c r="K1245" s="26" t="inlineStr">
        <is>
          <t>☐</t>
        </is>
      </c>
      <c r="L1245" s="26" t="inlineStr">
        <is>
          <t>☐</t>
        </is>
      </c>
      <c r="M1245" s="25" t="n"/>
      <c r="N1245" s="27" t="n">
        <v>0</v>
      </c>
      <c r="O1245" s="28" t="n"/>
      <c r="P1245" s="23" t="n"/>
      <c r="Q1245" s="29" t="n"/>
      <c r="R1245" s="29" t="n"/>
      <c r="S1245" s="23" t="n"/>
      <c r="T1245" s="30" t="n"/>
      <c r="U1245" s="31" t="inlineStr">
        <is>
          <t>高</t>
        </is>
      </c>
      <c r="V1245" s="32" t="n"/>
      <c r="W1245" s="33" t="inlineStr">
        <is>
          <t>開く</t>
        </is>
      </c>
    </row>
    <row r="1246" ht="30" customHeight="1">
      <c r="A1246" s="23" t="inlineStr">
        <is>
          <t>40福岡県</t>
        </is>
      </c>
      <c r="B1246" s="23" t="inlineStr">
        <is>
          <t>私立</t>
        </is>
      </c>
      <c r="C1246" s="23" t="n"/>
      <c r="D1246" s="23" t="inlineStr">
        <is>
          <t>博多女子高等学校</t>
        </is>
      </c>
      <c r="E1246" s="24" t="inlineStr">
        <is>
          <t>092-651-1465</t>
        </is>
      </c>
      <c r="F1246" s="23" t="n"/>
      <c r="G1246" s="25" t="inlineStr">
        <is>
          <t>普通科・専門学科</t>
        </is>
      </c>
      <c r="H1246" s="26" t="inlineStr">
        <is>
          <t>☐</t>
        </is>
      </c>
      <c r="I1246" s="26" t="inlineStr">
        <is>
          <t>☐</t>
        </is>
      </c>
      <c r="J1246" s="26" t="inlineStr">
        <is>
          <t>☐</t>
        </is>
      </c>
      <c r="K1246" s="26" t="inlineStr">
        <is>
          <t>☐</t>
        </is>
      </c>
      <c r="L1246" s="26" t="inlineStr">
        <is>
          <t>☐</t>
        </is>
      </c>
      <c r="M1246" s="25" t="n"/>
      <c r="N1246" s="27" t="n">
        <v>0</v>
      </c>
      <c r="O1246" s="28" t="n"/>
      <c r="P1246" s="23" t="n"/>
      <c r="Q1246" s="29" t="n"/>
      <c r="R1246" s="29" t="n"/>
      <c r="S1246" s="23" t="n"/>
      <c r="T1246" s="30" t="n"/>
      <c r="U1246" s="31" t="inlineStr">
        <is>
          <t>高</t>
        </is>
      </c>
      <c r="V1246" s="32" t="n"/>
      <c r="W1246" s="33" t="inlineStr">
        <is>
          <t>開く</t>
        </is>
      </c>
    </row>
    <row r="1247" ht="30" customHeight="1">
      <c r="A1247" s="23" t="inlineStr">
        <is>
          <t>40福岡県</t>
        </is>
      </c>
      <c r="B1247" s="23" t="inlineStr">
        <is>
          <t>私立</t>
        </is>
      </c>
      <c r="C1247" s="23" t="n"/>
      <c r="D1247" s="23" t="inlineStr">
        <is>
          <t>東筑紫学園高等学校</t>
        </is>
      </c>
      <c r="E1247" s="24" t="inlineStr">
        <is>
          <t>093-571-0488</t>
        </is>
      </c>
      <c r="F1247" s="23" t="n"/>
      <c r="G1247" s="25" t="inlineStr">
        <is>
          <t>普通科・専門学科</t>
        </is>
      </c>
      <c r="H1247" s="26" t="inlineStr">
        <is>
          <t>☐</t>
        </is>
      </c>
      <c r="I1247" s="26" t="inlineStr">
        <is>
          <t>☐</t>
        </is>
      </c>
      <c r="J1247" s="26" t="inlineStr">
        <is>
          <t>☐</t>
        </is>
      </c>
      <c r="K1247" s="26" t="inlineStr">
        <is>
          <t>☐</t>
        </is>
      </c>
      <c r="L1247" s="26" t="inlineStr">
        <is>
          <t>☐</t>
        </is>
      </c>
      <c r="M1247" s="25" t="n"/>
      <c r="N1247" s="27" t="n">
        <v>0</v>
      </c>
      <c r="O1247" s="28" t="n"/>
      <c r="P1247" s="23" t="n"/>
      <c r="Q1247" s="29" t="n"/>
      <c r="R1247" s="29" t="n"/>
      <c r="S1247" s="23" t="n"/>
      <c r="T1247" s="30" t="n"/>
      <c r="U1247" s="31" t="inlineStr">
        <is>
          <t>高</t>
        </is>
      </c>
      <c r="V1247" s="32" t="n"/>
      <c r="W1247" s="33" t="inlineStr">
        <is>
          <t>開く</t>
        </is>
      </c>
    </row>
    <row r="1248" ht="30" customHeight="1">
      <c r="A1248" s="23" t="inlineStr">
        <is>
          <t>40福岡県</t>
        </is>
      </c>
      <c r="B1248" s="23" t="inlineStr">
        <is>
          <t>私立</t>
        </is>
      </c>
      <c r="C1248" s="23" t="n"/>
      <c r="D1248" s="23" t="inlineStr">
        <is>
          <t>東福岡高等学校</t>
        </is>
      </c>
      <c r="E1248" s="24" t="inlineStr">
        <is>
          <t>092-411-3702</t>
        </is>
      </c>
      <c r="F1248" s="23" t="n"/>
      <c r="G1248" s="25" t="inlineStr">
        <is>
          <t>普通科</t>
        </is>
      </c>
      <c r="H1248" s="26" t="inlineStr">
        <is>
          <t>☐</t>
        </is>
      </c>
      <c r="I1248" s="26" t="inlineStr">
        <is>
          <t>☐</t>
        </is>
      </c>
      <c r="J1248" s="26" t="inlineStr">
        <is>
          <t>☐</t>
        </is>
      </c>
      <c r="K1248" s="26" t="inlineStr">
        <is>
          <t>☐</t>
        </is>
      </c>
      <c r="L1248" s="26" t="inlineStr">
        <is>
          <t>☐</t>
        </is>
      </c>
      <c r="M1248" s="25" t="n"/>
      <c r="N1248" s="27" t="n">
        <v>0</v>
      </c>
      <c r="O1248" s="28" t="n"/>
      <c r="P1248" s="23" t="n"/>
      <c r="Q1248" s="29" t="n"/>
      <c r="R1248" s="29" t="n"/>
      <c r="S1248" s="23" t="n"/>
      <c r="T1248" s="30" t="n"/>
      <c r="U1248" s="31" t="inlineStr">
        <is>
          <t>高</t>
        </is>
      </c>
      <c r="V1248" s="32" t="inlineStr">
        <is>
          <t>2025年度から男女共学</t>
        </is>
      </c>
      <c r="W1248" s="33" t="inlineStr">
        <is>
          <t>開く</t>
        </is>
      </c>
    </row>
    <row r="1249" ht="30" customHeight="1">
      <c r="A1249" s="23" t="inlineStr">
        <is>
          <t>40福岡県</t>
        </is>
      </c>
      <c r="B1249" s="23" t="inlineStr">
        <is>
          <t>私立</t>
        </is>
      </c>
      <c r="C1249" s="23" t="n"/>
      <c r="D1249" s="23" t="inlineStr">
        <is>
          <t>福岡海星女子学院高等学校</t>
        </is>
      </c>
      <c r="E1249" s="24" t="inlineStr">
        <is>
          <t>092-565-4950</t>
        </is>
      </c>
      <c r="F1249" s="23" t="n"/>
      <c r="G1249" s="25" t="inlineStr">
        <is>
          <t>普通科</t>
        </is>
      </c>
      <c r="H1249" s="26" t="inlineStr">
        <is>
          <t>☐</t>
        </is>
      </c>
      <c r="I1249" s="26" t="inlineStr">
        <is>
          <t>☐</t>
        </is>
      </c>
      <c r="J1249" s="26" t="inlineStr">
        <is>
          <t>☐</t>
        </is>
      </c>
      <c r="K1249" s="26" t="inlineStr">
        <is>
          <t>☐</t>
        </is>
      </c>
      <c r="L1249" s="26" t="inlineStr">
        <is>
          <t>☐</t>
        </is>
      </c>
      <c r="M1249" s="25" t="n"/>
      <c r="N1249" s="27" t="n">
        <v>0</v>
      </c>
      <c r="O1249" s="28" t="n"/>
      <c r="P1249" s="23" t="n"/>
      <c r="Q1249" s="29" t="n"/>
      <c r="R1249" s="29" t="n"/>
      <c r="S1249" s="23" t="n"/>
      <c r="T1249" s="30" t="n"/>
      <c r="U1249" s="31" t="inlineStr">
        <is>
          <t>高</t>
        </is>
      </c>
      <c r="V1249" s="32" t="n"/>
      <c r="W1249" s="33" t="inlineStr">
        <is>
          <t>開く</t>
        </is>
      </c>
    </row>
    <row r="1250" ht="30" customHeight="1">
      <c r="A1250" s="23" t="inlineStr">
        <is>
          <t>40福岡県</t>
        </is>
      </c>
      <c r="B1250" s="23" t="inlineStr">
        <is>
          <t>私立</t>
        </is>
      </c>
      <c r="C1250" s="23" t="n"/>
      <c r="D1250" s="23" t="inlineStr">
        <is>
          <t>福岡キャリア i 高等学校</t>
        </is>
      </c>
      <c r="E1250" s="24" t="inlineStr">
        <is>
          <t>0944-72-5216</t>
        </is>
      </c>
      <c r="F1250" s="23" t="n"/>
      <c r="G1250" s="25" t="inlineStr">
        <is>
          <t>専門学科</t>
        </is>
      </c>
      <c r="H1250" s="26" t="inlineStr">
        <is>
          <t>☐</t>
        </is>
      </c>
      <c r="I1250" s="26" t="inlineStr">
        <is>
          <t>☐</t>
        </is>
      </c>
      <c r="J1250" s="26" t="inlineStr">
        <is>
          <t>☐</t>
        </is>
      </c>
      <c r="K1250" s="26" t="inlineStr">
        <is>
          <t>☐</t>
        </is>
      </c>
      <c r="L1250" s="26" t="inlineStr">
        <is>
          <t>☐</t>
        </is>
      </c>
      <c r="M1250" s="25" t="n"/>
      <c r="N1250" s="27" t="n">
        <v>0</v>
      </c>
      <c r="O1250" s="28" t="n"/>
      <c r="P1250" s="23" t="n"/>
      <c r="Q1250" s="29" t="n"/>
      <c r="R1250" s="29" t="n"/>
      <c r="S1250" s="23" t="n"/>
      <c r="T1250" s="30" t="n"/>
      <c r="U1250" s="31" t="inlineStr">
        <is>
          <t>高</t>
        </is>
      </c>
      <c r="V1250" s="32" t="inlineStr">
        <is>
          <t>2026年4月に杉森高等学校から校名変更（番号は同じ）</t>
        </is>
      </c>
      <c r="W1250" s="33" t="inlineStr">
        <is>
          <t>開く</t>
        </is>
      </c>
    </row>
    <row r="1251" ht="30" customHeight="1">
      <c r="A1251" s="23" t="inlineStr">
        <is>
          <t>40福岡県</t>
        </is>
      </c>
      <c r="B1251" s="23" t="inlineStr">
        <is>
          <t>私立</t>
        </is>
      </c>
      <c r="C1251" s="23" t="n"/>
      <c r="D1251" s="23" t="inlineStr">
        <is>
          <t>福岡工業大学附属城東高等学校</t>
        </is>
      </c>
      <c r="E1251" s="24" t="inlineStr">
        <is>
          <t>092-606-0724</t>
        </is>
      </c>
      <c r="F1251" s="23" t="n"/>
      <c r="G1251" s="25" t="inlineStr">
        <is>
          <t>普通科・専門学科</t>
        </is>
      </c>
      <c r="H1251" s="26" t="inlineStr">
        <is>
          <t>☐</t>
        </is>
      </c>
      <c r="I1251" s="26" t="inlineStr">
        <is>
          <t>☐</t>
        </is>
      </c>
      <c r="J1251" s="26" t="inlineStr">
        <is>
          <t>☐</t>
        </is>
      </c>
      <c r="K1251" s="26" t="inlineStr">
        <is>
          <t>☐</t>
        </is>
      </c>
      <c r="L1251" s="26" t="inlineStr">
        <is>
          <t>☐</t>
        </is>
      </c>
      <c r="M1251" s="25" t="n"/>
      <c r="N1251" s="27" t="n">
        <v>0</v>
      </c>
      <c r="O1251" s="28" t="n"/>
      <c r="P1251" s="23" t="n"/>
      <c r="Q1251" s="29" t="n"/>
      <c r="R1251" s="29" t="n"/>
      <c r="S1251" s="23" t="n"/>
      <c r="T1251" s="30" t="n"/>
      <c r="U1251" s="31" t="inlineStr">
        <is>
          <t>高</t>
        </is>
      </c>
      <c r="V1251" s="32" t="inlineStr">
        <is>
          <t>事務室番号。職員室は092-606-0797</t>
        </is>
      </c>
      <c r="W1251" s="33" t="inlineStr">
        <is>
          <t>開く</t>
        </is>
      </c>
    </row>
    <row r="1252" ht="30" customHeight="1">
      <c r="A1252" s="23" t="inlineStr">
        <is>
          <t>40福岡県</t>
        </is>
      </c>
      <c r="B1252" s="23" t="inlineStr">
        <is>
          <t>私立</t>
        </is>
      </c>
      <c r="C1252" s="23" t="n"/>
      <c r="D1252" s="23" t="inlineStr">
        <is>
          <t>福岡常葉高等学校</t>
        </is>
      </c>
      <c r="E1252" s="24" t="inlineStr">
        <is>
          <t>092-926-0731</t>
        </is>
      </c>
      <c r="F1252" s="23" t="n"/>
      <c r="G1252" s="25" t="inlineStr">
        <is>
          <t>普通科・専門学科</t>
        </is>
      </c>
      <c r="H1252" s="26" t="inlineStr">
        <is>
          <t>☐</t>
        </is>
      </c>
      <c r="I1252" s="26" t="inlineStr">
        <is>
          <t>☐</t>
        </is>
      </c>
      <c r="J1252" s="26" t="inlineStr">
        <is>
          <t>☐</t>
        </is>
      </c>
      <c r="K1252" s="26" t="inlineStr">
        <is>
          <t>☐</t>
        </is>
      </c>
      <c r="L1252" s="26" t="inlineStr">
        <is>
          <t>☐</t>
        </is>
      </c>
      <c r="M1252" s="25" t="n"/>
      <c r="N1252" s="27" t="n">
        <v>0</v>
      </c>
      <c r="O1252" s="28" t="n"/>
      <c r="P1252" s="23" t="n"/>
      <c r="Q1252" s="29" t="n"/>
      <c r="R1252" s="29" t="n"/>
      <c r="S1252" s="23" t="n"/>
      <c r="T1252" s="30" t="n"/>
      <c r="U1252" s="31" t="inlineStr">
        <is>
          <t>高</t>
        </is>
      </c>
      <c r="V1252" s="32" t="n"/>
      <c r="W1252" s="33" t="inlineStr">
        <is>
          <t>開く</t>
        </is>
      </c>
    </row>
    <row r="1253" ht="30" customHeight="1">
      <c r="A1253" s="23" t="inlineStr">
        <is>
          <t>40福岡県</t>
        </is>
      </c>
      <c r="B1253" s="23" t="inlineStr">
        <is>
          <t>私立</t>
        </is>
      </c>
      <c r="C1253" s="23" t="n"/>
      <c r="D1253" s="23" t="inlineStr">
        <is>
          <t>福岡女学院高等学校</t>
        </is>
      </c>
      <c r="E1253" s="24" t="inlineStr">
        <is>
          <t>092-575-2470</t>
        </is>
      </c>
      <c r="F1253" s="23" t="n"/>
      <c r="G1253" s="25" t="inlineStr">
        <is>
          <t>普通科・専門学科</t>
        </is>
      </c>
      <c r="H1253" s="26" t="inlineStr">
        <is>
          <t>☐</t>
        </is>
      </c>
      <c r="I1253" s="26" t="inlineStr">
        <is>
          <t>☐</t>
        </is>
      </c>
      <c r="J1253" s="26" t="inlineStr">
        <is>
          <t>☐</t>
        </is>
      </c>
      <c r="K1253" s="26" t="inlineStr">
        <is>
          <t>☐</t>
        </is>
      </c>
      <c r="L1253" s="26" t="inlineStr">
        <is>
          <t>☐</t>
        </is>
      </c>
      <c r="M1253" s="25" t="n"/>
      <c r="N1253" s="27" t="n">
        <v>0</v>
      </c>
      <c r="O1253" s="28" t="n"/>
      <c r="P1253" s="23" t="n"/>
      <c r="Q1253" s="29" t="n"/>
      <c r="R1253" s="29" t="n"/>
      <c r="S1253" s="23" t="n"/>
      <c r="T1253" s="30" t="n"/>
      <c r="U1253" s="31" t="inlineStr">
        <is>
          <t>高</t>
        </is>
      </c>
      <c r="V1253" s="32" t="inlineStr">
        <is>
          <t>中高事務室番号。法人本部代表は092-581-1492</t>
        </is>
      </c>
      <c r="W1253" s="33" t="inlineStr">
        <is>
          <t>開く</t>
        </is>
      </c>
    </row>
    <row r="1254" ht="30" customHeight="1">
      <c r="A1254" s="23" t="inlineStr">
        <is>
          <t>40福岡県</t>
        </is>
      </c>
      <c r="B1254" s="23" t="inlineStr">
        <is>
          <t>私立</t>
        </is>
      </c>
      <c r="C1254" s="23" t="n"/>
      <c r="D1254" s="23" t="inlineStr">
        <is>
          <t>福岡女子商業高等学校</t>
        </is>
      </c>
      <c r="E1254" s="24" t="inlineStr">
        <is>
          <t>092-952-2231</t>
        </is>
      </c>
      <c r="F1254" s="23" t="n"/>
      <c r="G1254" s="25" t="inlineStr">
        <is>
          <t>専門学科</t>
        </is>
      </c>
      <c r="H1254" s="26" t="inlineStr">
        <is>
          <t>☐</t>
        </is>
      </c>
      <c r="I1254" s="26" t="inlineStr">
        <is>
          <t>☐</t>
        </is>
      </c>
      <c r="J1254" s="26" t="inlineStr">
        <is>
          <t>☐</t>
        </is>
      </c>
      <c r="K1254" s="26" t="inlineStr">
        <is>
          <t>☐</t>
        </is>
      </c>
      <c r="L1254" s="26" t="inlineStr">
        <is>
          <t>☐</t>
        </is>
      </c>
      <c r="M1254" s="25" t="n"/>
      <c r="N1254" s="27" t="n">
        <v>0</v>
      </c>
      <c r="O1254" s="28" t="n"/>
      <c r="P1254" s="23" t="n"/>
      <c r="Q1254" s="29" t="n"/>
      <c r="R1254" s="29" t="n"/>
      <c r="S1254" s="23" t="n"/>
      <c r="T1254" s="30" t="n"/>
      <c r="U1254" s="31" t="inlineStr">
        <is>
          <t>高</t>
        </is>
      </c>
      <c r="V1254" s="32" t="n"/>
      <c r="W1254" s="33" t="inlineStr">
        <is>
          <t>開く</t>
        </is>
      </c>
    </row>
    <row r="1255" ht="30" customHeight="1">
      <c r="A1255" s="23" t="inlineStr">
        <is>
          <t>40福岡県</t>
        </is>
      </c>
      <c r="B1255" s="23" t="inlineStr">
        <is>
          <t>私立</t>
        </is>
      </c>
      <c r="C1255" s="23" t="n"/>
      <c r="D1255" s="23" t="inlineStr">
        <is>
          <t>福岡第一高等学校</t>
        </is>
      </c>
      <c r="E1255" s="24" t="inlineStr">
        <is>
          <t>092-541-0165</t>
        </is>
      </c>
      <c r="F1255" s="23" t="n"/>
      <c r="G1255" s="25" t="inlineStr">
        <is>
          <t>普通科・専門学科</t>
        </is>
      </c>
      <c r="H1255" s="26" t="inlineStr">
        <is>
          <t>☐</t>
        </is>
      </c>
      <c r="I1255" s="26" t="inlineStr">
        <is>
          <t>☐</t>
        </is>
      </c>
      <c r="J1255" s="26" t="inlineStr">
        <is>
          <t>☐</t>
        </is>
      </c>
      <c r="K1255" s="26" t="inlineStr">
        <is>
          <t>☐</t>
        </is>
      </c>
      <c r="L1255" s="26" t="inlineStr">
        <is>
          <t>☐</t>
        </is>
      </c>
      <c r="M1255" s="25" t="n"/>
      <c r="N1255" s="27" t="n">
        <v>0</v>
      </c>
      <c r="O1255" s="28" t="n"/>
      <c r="P1255" s="23" t="n"/>
      <c r="Q1255" s="29" t="n"/>
      <c r="R1255" s="29" t="n"/>
      <c r="S1255" s="23" t="n"/>
      <c r="T1255" s="30" t="n"/>
      <c r="U1255" s="31" t="inlineStr">
        <is>
          <t>高</t>
        </is>
      </c>
      <c r="V1255" s="32" t="inlineStr">
        <is>
          <t>非通知発信はつながらない設定</t>
        </is>
      </c>
      <c r="W1255" s="33" t="inlineStr">
        <is>
          <t>開く</t>
        </is>
      </c>
    </row>
    <row r="1256" ht="30" customHeight="1">
      <c r="A1256" s="23" t="inlineStr">
        <is>
          <t>40福岡県</t>
        </is>
      </c>
      <c r="B1256" s="23" t="inlineStr">
        <is>
          <t>私立</t>
        </is>
      </c>
      <c r="C1256" s="23" t="n"/>
      <c r="D1256" s="23" t="inlineStr">
        <is>
          <t>福岡大学附属大濠高等学校</t>
        </is>
      </c>
      <c r="E1256" s="24" t="inlineStr">
        <is>
          <t>092-771-0731</t>
        </is>
      </c>
      <c r="F1256" s="23" t="n"/>
      <c r="G1256" s="25" t="inlineStr">
        <is>
          <t>普通科</t>
        </is>
      </c>
      <c r="H1256" s="26" t="inlineStr">
        <is>
          <t>☐</t>
        </is>
      </c>
      <c r="I1256" s="26" t="inlineStr">
        <is>
          <t>☐</t>
        </is>
      </c>
      <c r="J1256" s="26" t="inlineStr">
        <is>
          <t>☐</t>
        </is>
      </c>
      <c r="K1256" s="26" t="inlineStr">
        <is>
          <t>☐</t>
        </is>
      </c>
      <c r="L1256" s="26" t="inlineStr">
        <is>
          <t>☐</t>
        </is>
      </c>
      <c r="M1256" s="25" t="n"/>
      <c r="N1256" s="27" t="n">
        <v>0</v>
      </c>
      <c r="O1256" s="28" t="n"/>
      <c r="P1256" s="23" t="n"/>
      <c r="Q1256" s="29" t="n"/>
      <c r="R1256" s="29" t="n"/>
      <c r="S1256" s="23" t="n"/>
      <c r="T1256" s="30" t="n"/>
      <c r="U1256" s="31" t="inlineStr">
        <is>
          <t>高</t>
        </is>
      </c>
      <c r="V1256" s="32" t="inlineStr">
        <is>
          <t>高校の番号。中学は092-712-5828</t>
        </is>
      </c>
      <c r="W1256" s="33" t="inlineStr">
        <is>
          <t>開く</t>
        </is>
      </c>
    </row>
    <row r="1257" ht="30" customHeight="1">
      <c r="A1257" s="23" t="inlineStr">
        <is>
          <t>40福岡県</t>
        </is>
      </c>
      <c r="B1257" s="23" t="inlineStr">
        <is>
          <t>私立</t>
        </is>
      </c>
      <c r="C1257" s="23" t="n"/>
      <c r="D1257" s="23" t="inlineStr">
        <is>
          <t>福岡大学附属若葉高等学校</t>
        </is>
      </c>
      <c r="E1257" s="24" t="inlineStr">
        <is>
          <t>092-771-1981</t>
        </is>
      </c>
      <c r="F1257" s="23" t="n"/>
      <c r="G1257" s="25" t="inlineStr">
        <is>
          <t>普通科</t>
        </is>
      </c>
      <c r="H1257" s="26" t="inlineStr">
        <is>
          <t>☐</t>
        </is>
      </c>
      <c r="I1257" s="26" t="inlineStr">
        <is>
          <t>☐</t>
        </is>
      </c>
      <c r="J1257" s="26" t="inlineStr">
        <is>
          <t>☐</t>
        </is>
      </c>
      <c r="K1257" s="26" t="inlineStr">
        <is>
          <t>☐</t>
        </is>
      </c>
      <c r="L1257" s="26" t="inlineStr">
        <is>
          <t>☐</t>
        </is>
      </c>
      <c r="M1257" s="25" t="n"/>
      <c r="N1257" s="27" t="n">
        <v>0</v>
      </c>
      <c r="O1257" s="28" t="n"/>
      <c r="P1257" s="23" t="n"/>
      <c r="Q1257" s="29" t="n"/>
      <c r="R1257" s="29" t="n"/>
      <c r="S1257" s="23" t="n"/>
      <c r="T1257" s="30" t="n"/>
      <c r="U1257" s="31" t="inlineStr">
        <is>
          <t>高</t>
        </is>
      </c>
      <c r="V1257" s="32" t="inlineStr">
        <is>
          <t>事務室番号</t>
        </is>
      </c>
      <c r="W1257" s="33" t="inlineStr">
        <is>
          <t>開く</t>
        </is>
      </c>
    </row>
    <row r="1258" ht="30" customHeight="1">
      <c r="A1258" s="23" t="inlineStr">
        <is>
          <t>40福岡県</t>
        </is>
      </c>
      <c r="B1258" s="23" t="inlineStr">
        <is>
          <t>私立</t>
        </is>
      </c>
      <c r="C1258" s="23" t="n"/>
      <c r="D1258" s="23" t="inlineStr">
        <is>
          <t>福岡雙葉高等学校</t>
        </is>
      </c>
      <c r="E1258" s="24" t="inlineStr">
        <is>
          <t>092-531-0438</t>
        </is>
      </c>
      <c r="F1258" s="23" t="n"/>
      <c r="G1258" s="25" t="inlineStr">
        <is>
          <t>普通科</t>
        </is>
      </c>
      <c r="H1258" s="26" t="inlineStr">
        <is>
          <t>☐</t>
        </is>
      </c>
      <c r="I1258" s="26" t="inlineStr">
        <is>
          <t>☐</t>
        </is>
      </c>
      <c r="J1258" s="26" t="inlineStr">
        <is>
          <t>☐</t>
        </is>
      </c>
      <c r="K1258" s="26" t="inlineStr">
        <is>
          <t>☐</t>
        </is>
      </c>
      <c r="L1258" s="26" t="inlineStr">
        <is>
          <t>☐</t>
        </is>
      </c>
      <c r="M1258" s="25" t="n"/>
      <c r="N1258" s="27" t="n">
        <v>0</v>
      </c>
      <c r="O1258" s="28" t="n"/>
      <c r="P1258" s="23" t="n"/>
      <c r="Q1258" s="29" t="n"/>
      <c r="R1258" s="29" t="n"/>
      <c r="S1258" s="23" t="n"/>
      <c r="T1258" s="30" t="n"/>
      <c r="U1258" s="31" t="inlineStr">
        <is>
          <t>高</t>
        </is>
      </c>
      <c r="V1258" s="32" t="inlineStr">
        <is>
          <t>中高共通番号</t>
        </is>
      </c>
      <c r="W1258" s="33" t="inlineStr">
        <is>
          <t>開く</t>
        </is>
      </c>
    </row>
    <row r="1259" ht="30" customHeight="1">
      <c r="A1259" s="23" t="inlineStr">
        <is>
          <t>40福岡県</t>
        </is>
      </c>
      <c r="B1259" s="23" t="inlineStr">
        <is>
          <t>私立</t>
        </is>
      </c>
      <c r="C1259" s="23" t="n"/>
      <c r="D1259" s="23" t="inlineStr">
        <is>
          <t>福岡舞鶴高等学校</t>
        </is>
      </c>
      <c r="E1259" s="24" t="inlineStr">
        <is>
          <t>092-806-3334</t>
        </is>
      </c>
      <c r="F1259" s="23" t="n"/>
      <c r="G1259" s="25" t="inlineStr">
        <is>
          <t>普通科</t>
        </is>
      </c>
      <c r="H1259" s="26" t="inlineStr">
        <is>
          <t>☐</t>
        </is>
      </c>
      <c r="I1259" s="26" t="inlineStr">
        <is>
          <t>☐</t>
        </is>
      </c>
      <c r="J1259" s="26" t="inlineStr">
        <is>
          <t>☐</t>
        </is>
      </c>
      <c r="K1259" s="26" t="inlineStr">
        <is>
          <t>☐</t>
        </is>
      </c>
      <c r="L1259" s="26" t="inlineStr">
        <is>
          <t>☐</t>
        </is>
      </c>
      <c r="M1259" s="25" t="n"/>
      <c r="N1259" s="27" t="n">
        <v>0</v>
      </c>
      <c r="O1259" s="28" t="n"/>
      <c r="P1259" s="23" t="n"/>
      <c r="Q1259" s="29" t="n"/>
      <c r="R1259" s="29" t="n"/>
      <c r="S1259" s="23" t="n"/>
      <c r="T1259" s="30" t="n"/>
      <c r="U1259" s="31" t="inlineStr">
        <is>
          <t>高</t>
        </is>
      </c>
      <c r="V1259" s="32" t="n"/>
      <c r="W1259" s="33" t="inlineStr">
        <is>
          <t>開く</t>
        </is>
      </c>
    </row>
    <row r="1260" ht="30" customHeight="1">
      <c r="A1260" s="23" t="inlineStr">
        <is>
          <t>40福岡県</t>
        </is>
      </c>
      <c r="B1260" s="23" t="inlineStr">
        <is>
          <t>私立</t>
        </is>
      </c>
      <c r="C1260" s="23" t="n"/>
      <c r="D1260" s="23" t="inlineStr">
        <is>
          <t>福智高等学校</t>
        </is>
      </c>
      <c r="E1260" s="24" t="inlineStr">
        <is>
          <t>0947-42-4711</t>
        </is>
      </c>
      <c r="F1260" s="23" t="n"/>
      <c r="G1260" s="25" t="inlineStr">
        <is>
          <t>普通科・専門学科</t>
        </is>
      </c>
      <c r="H1260" s="26" t="inlineStr">
        <is>
          <t>☐</t>
        </is>
      </c>
      <c r="I1260" s="26" t="inlineStr">
        <is>
          <t>☐</t>
        </is>
      </c>
      <c r="J1260" s="26" t="inlineStr">
        <is>
          <t>☐</t>
        </is>
      </c>
      <c r="K1260" s="26" t="inlineStr">
        <is>
          <t>☐</t>
        </is>
      </c>
      <c r="L1260" s="26" t="inlineStr">
        <is>
          <t>☐</t>
        </is>
      </c>
      <c r="M1260" s="25" t="n"/>
      <c r="N1260" s="27" t="n">
        <v>0</v>
      </c>
      <c r="O1260" s="28" t="n"/>
      <c r="P1260" s="23" t="n"/>
      <c r="Q1260" s="29" t="n"/>
      <c r="R1260" s="29" t="n"/>
      <c r="S1260" s="23" t="n"/>
      <c r="T1260" s="30" t="n"/>
      <c r="U1260" s="31" t="inlineStr">
        <is>
          <t>高</t>
        </is>
      </c>
      <c r="V1260" s="32" t="n"/>
      <c r="W1260" s="33" t="inlineStr">
        <is>
          <t>開く</t>
        </is>
      </c>
    </row>
    <row r="1261" ht="30" customHeight="1">
      <c r="A1261" s="23" t="inlineStr">
        <is>
          <t>40福岡県</t>
        </is>
      </c>
      <c r="B1261" s="23" t="inlineStr">
        <is>
          <t>私立</t>
        </is>
      </c>
      <c r="C1261" s="23" t="n"/>
      <c r="D1261" s="23" t="inlineStr">
        <is>
          <t>豊国学園高等学校</t>
        </is>
      </c>
      <c r="E1261" s="24" t="inlineStr">
        <is>
          <t>093-371-3037</t>
        </is>
      </c>
      <c r="F1261" s="23" t="n"/>
      <c r="G1261" s="25" t="inlineStr">
        <is>
          <t>普通科・専門学科</t>
        </is>
      </c>
      <c r="H1261" s="26" t="inlineStr">
        <is>
          <t>☐</t>
        </is>
      </c>
      <c r="I1261" s="26" t="inlineStr">
        <is>
          <t>☐</t>
        </is>
      </c>
      <c r="J1261" s="26" t="inlineStr">
        <is>
          <t>☐</t>
        </is>
      </c>
      <c r="K1261" s="26" t="inlineStr">
        <is>
          <t>☐</t>
        </is>
      </c>
      <c r="L1261" s="26" t="inlineStr">
        <is>
          <t>☐</t>
        </is>
      </c>
      <c r="M1261" s="25" t="n"/>
      <c r="N1261" s="27" t="n">
        <v>0</v>
      </c>
      <c r="O1261" s="28" t="n"/>
      <c r="P1261" s="23" t="n"/>
      <c r="Q1261" s="29" t="n"/>
      <c r="R1261" s="29" t="n"/>
      <c r="S1261" s="23" t="n"/>
      <c r="T1261" s="30" t="n"/>
      <c r="U1261" s="31" t="inlineStr">
        <is>
          <t>高</t>
        </is>
      </c>
      <c r="V1261" s="32" t="n"/>
      <c r="W1261" s="33" t="inlineStr">
        <is>
          <t>開く</t>
        </is>
      </c>
    </row>
    <row r="1262" ht="30" customHeight="1">
      <c r="A1262" s="23" t="inlineStr">
        <is>
          <t>40福岡県</t>
        </is>
      </c>
      <c r="B1262" s="23" t="inlineStr">
        <is>
          <t>私立</t>
        </is>
      </c>
      <c r="C1262" s="23" t="n"/>
      <c r="D1262" s="23" t="inlineStr">
        <is>
          <t>美萩野女子高等学校</t>
        </is>
      </c>
      <c r="E1262" s="24" t="inlineStr">
        <is>
          <t>093-921-1331</t>
        </is>
      </c>
      <c r="F1262" s="23" t="n"/>
      <c r="G1262" s="25" t="inlineStr">
        <is>
          <t>普通科・専門学科</t>
        </is>
      </c>
      <c r="H1262" s="26" t="inlineStr">
        <is>
          <t>☐</t>
        </is>
      </c>
      <c r="I1262" s="26" t="inlineStr">
        <is>
          <t>☐</t>
        </is>
      </c>
      <c r="J1262" s="26" t="inlineStr">
        <is>
          <t>☐</t>
        </is>
      </c>
      <c r="K1262" s="26" t="inlineStr">
        <is>
          <t>☐</t>
        </is>
      </c>
      <c r="L1262" s="26" t="inlineStr">
        <is>
          <t>☐</t>
        </is>
      </c>
      <c r="M1262" s="25" t="n"/>
      <c r="N1262" s="27" t="n">
        <v>0</v>
      </c>
      <c r="O1262" s="28" t="n"/>
      <c r="P1262" s="23" t="n"/>
      <c r="Q1262" s="29" t="n"/>
      <c r="R1262" s="29" t="n"/>
      <c r="S1262" s="23" t="n"/>
      <c r="T1262" s="30" t="n"/>
      <c r="U1262" s="31" t="inlineStr">
        <is>
          <t>高</t>
        </is>
      </c>
      <c r="V1262" s="32" t="n"/>
      <c r="W1262" s="33" t="inlineStr">
        <is>
          <t>開く</t>
        </is>
      </c>
    </row>
    <row r="1263" ht="30" customHeight="1">
      <c r="A1263" s="23" t="inlineStr">
        <is>
          <t>40福岡県</t>
        </is>
      </c>
      <c r="B1263" s="23" t="inlineStr">
        <is>
          <t>私立</t>
        </is>
      </c>
      <c r="C1263" s="23" t="n"/>
      <c r="D1263" s="23" t="inlineStr">
        <is>
          <t>明光学園高等学校</t>
        </is>
      </c>
      <c r="E1263" s="24" t="inlineStr">
        <is>
          <t>0944-58-0907</t>
        </is>
      </c>
      <c r="F1263" s="23" t="n"/>
      <c r="G1263" s="25" t="inlineStr">
        <is>
          <t>普通科</t>
        </is>
      </c>
      <c r="H1263" s="26" t="inlineStr">
        <is>
          <t>☐</t>
        </is>
      </c>
      <c r="I1263" s="26" t="inlineStr">
        <is>
          <t>☐</t>
        </is>
      </c>
      <c r="J1263" s="26" t="inlineStr">
        <is>
          <t>☐</t>
        </is>
      </c>
      <c r="K1263" s="26" t="inlineStr">
        <is>
          <t>☐</t>
        </is>
      </c>
      <c r="L1263" s="26" t="inlineStr">
        <is>
          <t>☐</t>
        </is>
      </c>
      <c r="M1263" s="25" t="n"/>
      <c r="N1263" s="27" t="n">
        <v>0</v>
      </c>
      <c r="O1263" s="28" t="n"/>
      <c r="P1263" s="23" t="n"/>
      <c r="Q1263" s="29" t="n"/>
      <c r="R1263" s="29" t="n"/>
      <c r="S1263" s="23" t="n"/>
      <c r="T1263" s="30" t="n"/>
      <c r="U1263" s="31" t="inlineStr">
        <is>
          <t>高</t>
        </is>
      </c>
      <c r="V1263" s="32" t="n"/>
      <c r="W1263" s="33" t="inlineStr">
        <is>
          <t>開く</t>
        </is>
      </c>
    </row>
    <row r="1264" ht="30" customHeight="1">
      <c r="A1264" s="23" t="inlineStr">
        <is>
          <t>40福岡県</t>
        </is>
      </c>
      <c r="B1264" s="23" t="inlineStr">
        <is>
          <t>私立</t>
        </is>
      </c>
      <c r="C1264" s="23" t="n"/>
      <c r="D1264" s="23" t="inlineStr">
        <is>
          <t>明治学園高等学校</t>
        </is>
      </c>
      <c r="E1264" s="24" t="inlineStr">
        <is>
          <t>093-881-2861</t>
        </is>
      </c>
      <c r="F1264" s="23" t="n"/>
      <c r="G1264" s="25" t="inlineStr">
        <is>
          <t>普通科</t>
        </is>
      </c>
      <c r="H1264" s="26" t="inlineStr">
        <is>
          <t>☐</t>
        </is>
      </c>
      <c r="I1264" s="26" t="inlineStr">
        <is>
          <t>☐</t>
        </is>
      </c>
      <c r="J1264" s="26" t="inlineStr">
        <is>
          <t>☐</t>
        </is>
      </c>
      <c r="K1264" s="26" t="inlineStr">
        <is>
          <t>☐</t>
        </is>
      </c>
      <c r="L1264" s="26" t="inlineStr">
        <is>
          <t>☐</t>
        </is>
      </c>
      <c r="M1264" s="25" t="n"/>
      <c r="N1264" s="27" t="n">
        <v>0</v>
      </c>
      <c r="O1264" s="28" t="n"/>
      <c r="P1264" s="23" t="n"/>
      <c r="Q1264" s="29" t="n"/>
      <c r="R1264" s="29" t="n"/>
      <c r="S1264" s="23" t="n"/>
      <c r="T1264" s="30" t="n"/>
      <c r="U1264" s="31" t="inlineStr">
        <is>
          <t>高</t>
        </is>
      </c>
      <c r="V1264" s="32" t="inlineStr">
        <is>
          <t>中高共通番号</t>
        </is>
      </c>
      <c r="W1264" s="33" t="inlineStr">
        <is>
          <t>開く</t>
        </is>
      </c>
    </row>
    <row r="1265" ht="30" customHeight="1">
      <c r="A1265" s="23" t="inlineStr">
        <is>
          <t>40福岡県</t>
        </is>
      </c>
      <c r="B1265" s="23" t="inlineStr">
        <is>
          <t>私立</t>
        </is>
      </c>
      <c r="C1265" s="23" t="n"/>
      <c r="D1265" s="23" t="inlineStr">
        <is>
          <t>明蓬館高等学校</t>
        </is>
      </c>
      <c r="E1265" s="24" t="inlineStr">
        <is>
          <t>0947-49-5111</t>
        </is>
      </c>
      <c r="F1265" s="23" t="n"/>
      <c r="G1265" s="25" t="inlineStr">
        <is>
          <t>普通科</t>
        </is>
      </c>
      <c r="H1265" s="26" t="inlineStr">
        <is>
          <t>☐</t>
        </is>
      </c>
      <c r="I1265" s="26" t="inlineStr">
        <is>
          <t>☐</t>
        </is>
      </c>
      <c r="J1265" s="26" t="inlineStr">
        <is>
          <t>☐</t>
        </is>
      </c>
      <c r="K1265" s="26" t="inlineStr">
        <is>
          <t>☐</t>
        </is>
      </c>
      <c r="L1265" s="26" t="inlineStr">
        <is>
          <t>☐</t>
        </is>
      </c>
      <c r="M1265" s="25" t="n"/>
      <c r="N1265" s="27" t="n">
        <v>0</v>
      </c>
      <c r="O1265" s="28" t="n"/>
      <c r="P1265" s="23" t="n"/>
      <c r="Q1265" s="29" t="n"/>
      <c r="R1265" s="29" t="n"/>
      <c r="S1265" s="23" t="n"/>
      <c r="T1265" s="30" t="n"/>
      <c r="U1265" s="31" t="inlineStr">
        <is>
          <t>高</t>
        </is>
      </c>
      <c r="V1265" s="32" t="inlineStr">
        <is>
          <t>通信制・川崎町の本校。入学相談はフリーダイヤル別途</t>
        </is>
      </c>
      <c r="W1265" s="33" t="inlineStr">
        <is>
          <t>開く</t>
        </is>
      </c>
    </row>
    <row r="1266" ht="30" customHeight="1">
      <c r="A1266" s="23" t="inlineStr">
        <is>
          <t>40福岡県</t>
        </is>
      </c>
      <c r="B1266" s="23" t="inlineStr">
        <is>
          <t>私立</t>
        </is>
      </c>
      <c r="C1266" s="23" t="n"/>
      <c r="D1266" s="23" t="inlineStr">
        <is>
          <t>柳川高等学校</t>
        </is>
      </c>
      <c r="E1266" s="24" t="inlineStr">
        <is>
          <t>0944-73-3333</t>
        </is>
      </c>
      <c r="F1266" s="23" t="n"/>
      <c r="G1266" s="25" t="inlineStr">
        <is>
          <t>普通科・専門学科</t>
        </is>
      </c>
      <c r="H1266" s="26" t="inlineStr">
        <is>
          <t>☐</t>
        </is>
      </c>
      <c r="I1266" s="26" t="inlineStr">
        <is>
          <t>☐</t>
        </is>
      </c>
      <c r="J1266" s="26" t="inlineStr">
        <is>
          <t>☐</t>
        </is>
      </c>
      <c r="K1266" s="26" t="inlineStr">
        <is>
          <t>☐</t>
        </is>
      </c>
      <c r="L1266" s="26" t="inlineStr">
        <is>
          <t>☐</t>
        </is>
      </c>
      <c r="M1266" s="25" t="n"/>
      <c r="N1266" s="27" t="n">
        <v>0</v>
      </c>
      <c r="O1266" s="28" t="n"/>
      <c r="P1266" s="23" t="n"/>
      <c r="Q1266" s="29" t="n"/>
      <c r="R1266" s="29" t="n"/>
      <c r="S1266" s="23" t="n"/>
      <c r="T1266" s="30" t="n"/>
      <c r="U1266" s="31" t="inlineStr">
        <is>
          <t>高</t>
        </is>
      </c>
      <c r="V1266" s="32" t="n"/>
      <c r="W1266" s="33" t="inlineStr">
        <is>
          <t>開く</t>
        </is>
      </c>
    </row>
    <row r="1267" ht="30" customHeight="1">
      <c r="A1267" s="23" t="inlineStr">
        <is>
          <t>40福岡県</t>
        </is>
      </c>
      <c r="B1267" s="23" t="inlineStr">
        <is>
          <t>私立</t>
        </is>
      </c>
      <c r="C1267" s="23" t="n"/>
      <c r="D1267" s="23" t="inlineStr">
        <is>
          <t>大和青藍高等学校</t>
        </is>
      </c>
      <c r="E1267" s="24" t="inlineStr">
        <is>
          <t>0949-22-0533</t>
        </is>
      </c>
      <c r="F1267" s="23" t="n"/>
      <c r="G1267" s="25" t="inlineStr">
        <is>
          <t>普通科・専門学科</t>
        </is>
      </c>
      <c r="H1267" s="26" t="inlineStr">
        <is>
          <t>☐</t>
        </is>
      </c>
      <c r="I1267" s="26" t="inlineStr">
        <is>
          <t>☐</t>
        </is>
      </c>
      <c r="J1267" s="26" t="inlineStr">
        <is>
          <t>☐</t>
        </is>
      </c>
      <c r="K1267" s="26" t="inlineStr">
        <is>
          <t>☐</t>
        </is>
      </c>
      <c r="L1267" s="26" t="inlineStr">
        <is>
          <t>☐</t>
        </is>
      </c>
      <c r="M1267" s="25" t="n"/>
      <c r="N1267" s="27" t="n">
        <v>0</v>
      </c>
      <c r="O1267" s="28" t="n"/>
      <c r="P1267" s="23" t="n"/>
      <c r="Q1267" s="29" t="n"/>
      <c r="R1267" s="29" t="n"/>
      <c r="S1267" s="23" t="n"/>
      <c r="T1267" s="30" t="n"/>
      <c r="U1267" s="31" t="inlineStr">
        <is>
          <t>高</t>
        </is>
      </c>
      <c r="V1267" s="32" t="n"/>
      <c r="W1267" s="33" t="inlineStr">
        <is>
          <t>開く</t>
        </is>
      </c>
    </row>
    <row r="1268" ht="30" customHeight="1">
      <c r="A1268" s="23" t="inlineStr">
        <is>
          <t>40福岡県</t>
        </is>
      </c>
      <c r="B1268" s="23" t="inlineStr">
        <is>
          <t>私立</t>
        </is>
      </c>
      <c r="C1268" s="23" t="n"/>
      <c r="D1268" s="23" t="inlineStr">
        <is>
          <t>八女学院高等学校</t>
        </is>
      </c>
      <c r="E1268" s="24" t="inlineStr">
        <is>
          <t>0943-23-5111</t>
        </is>
      </c>
      <c r="F1268" s="23" t="n"/>
      <c r="G1268" s="25" t="inlineStr">
        <is>
          <t>普通科</t>
        </is>
      </c>
      <c r="H1268" s="26" t="inlineStr">
        <is>
          <t>☐</t>
        </is>
      </c>
      <c r="I1268" s="26" t="inlineStr">
        <is>
          <t>☐</t>
        </is>
      </c>
      <c r="J1268" s="26" t="inlineStr">
        <is>
          <t>☐</t>
        </is>
      </c>
      <c r="K1268" s="26" t="inlineStr">
        <is>
          <t>☐</t>
        </is>
      </c>
      <c r="L1268" s="26" t="inlineStr">
        <is>
          <t>☐</t>
        </is>
      </c>
      <c r="M1268" s="25" t="n"/>
      <c r="N1268" s="27" t="n">
        <v>0</v>
      </c>
      <c r="O1268" s="28" t="n"/>
      <c r="P1268" s="23" t="n"/>
      <c r="Q1268" s="29" t="n"/>
      <c r="R1268" s="29" t="n"/>
      <c r="S1268" s="23" t="n"/>
      <c r="T1268" s="30" t="n"/>
      <c r="U1268" s="31" t="inlineStr">
        <is>
          <t>高</t>
        </is>
      </c>
      <c r="V1268" s="32" t="n"/>
      <c r="W1268" s="33" t="inlineStr">
        <is>
          <t>開く</t>
        </is>
      </c>
    </row>
    <row r="1269" ht="30" customHeight="1">
      <c r="A1269" s="23" t="inlineStr">
        <is>
          <t>40福岡県</t>
        </is>
      </c>
      <c r="B1269" s="23" t="inlineStr">
        <is>
          <t>私立</t>
        </is>
      </c>
      <c r="C1269" s="23" t="n"/>
      <c r="D1269" s="23" t="inlineStr">
        <is>
          <t>祐誠高等学校</t>
        </is>
      </c>
      <c r="E1269" s="24" t="inlineStr">
        <is>
          <t>0942-22-1238</t>
        </is>
      </c>
      <c r="F1269" s="23" t="n"/>
      <c r="G1269" s="25" t="inlineStr">
        <is>
          <t>普通科・専門学科</t>
        </is>
      </c>
      <c r="H1269" s="26" t="inlineStr">
        <is>
          <t>☐</t>
        </is>
      </c>
      <c r="I1269" s="26" t="inlineStr">
        <is>
          <t>☐</t>
        </is>
      </c>
      <c r="J1269" s="26" t="inlineStr">
        <is>
          <t>☐</t>
        </is>
      </c>
      <c r="K1269" s="26" t="inlineStr">
        <is>
          <t>☐</t>
        </is>
      </c>
      <c r="L1269" s="26" t="inlineStr">
        <is>
          <t>☐</t>
        </is>
      </c>
      <c r="M1269" s="25" t="n"/>
      <c r="N1269" s="27" t="n">
        <v>0</v>
      </c>
      <c r="O1269" s="28" t="n"/>
      <c r="P1269" s="23" t="n"/>
      <c r="Q1269" s="29" t="n"/>
      <c r="R1269" s="29" t="n"/>
      <c r="S1269" s="23" t="n"/>
      <c r="T1269" s="30" t="n"/>
      <c r="U1269" s="31" t="inlineStr">
        <is>
          <t>高</t>
        </is>
      </c>
      <c r="V1269" s="32" t="n"/>
      <c r="W1269" s="33" t="inlineStr">
        <is>
          <t>開く</t>
        </is>
      </c>
    </row>
    <row r="1270" ht="30" customHeight="1">
      <c r="A1270" s="23" t="inlineStr">
        <is>
          <t>41佐賀県</t>
        </is>
      </c>
      <c r="B1270" s="23" t="inlineStr">
        <is>
          <t>私立</t>
        </is>
      </c>
      <c r="C1270" s="23" t="n"/>
      <c r="D1270" s="23" t="inlineStr">
        <is>
          <t>敬徳高等学校</t>
        </is>
      </c>
      <c r="E1270" s="24" t="inlineStr">
        <is>
          <t>0955-22-6191</t>
        </is>
      </c>
      <c r="F1270" s="23" t="n"/>
      <c r="G1270" s="25" t="inlineStr">
        <is>
          <t>普通科・専門学科</t>
        </is>
      </c>
      <c r="H1270" s="26" t="inlineStr">
        <is>
          <t>☐</t>
        </is>
      </c>
      <c r="I1270" s="26" t="inlineStr">
        <is>
          <t>☐</t>
        </is>
      </c>
      <c r="J1270" s="26" t="inlineStr">
        <is>
          <t>☐</t>
        </is>
      </c>
      <c r="K1270" s="26" t="inlineStr">
        <is>
          <t>☐</t>
        </is>
      </c>
      <c r="L1270" s="26" t="inlineStr">
        <is>
          <t>☐</t>
        </is>
      </c>
      <c r="M1270" s="25" t="n"/>
      <c r="N1270" s="27" t="n">
        <v>0</v>
      </c>
      <c r="O1270" s="28" t="n"/>
      <c r="P1270" s="23" t="n"/>
      <c r="Q1270" s="29" t="n"/>
      <c r="R1270" s="29" t="n"/>
      <c r="S1270" s="23" t="n"/>
      <c r="T1270" s="30" t="n"/>
      <c r="U1270" s="31" t="inlineStr">
        <is>
          <t>高</t>
        </is>
      </c>
      <c r="V1270" s="32" t="inlineStr">
        <is>
          <t>全日制直通。通信制は0955-29-8571</t>
        </is>
      </c>
      <c r="W1270" s="33" t="inlineStr">
        <is>
          <t>開く</t>
        </is>
      </c>
    </row>
    <row r="1271" ht="30" customHeight="1">
      <c r="A1271" s="23" t="inlineStr">
        <is>
          <t>41佐賀県</t>
        </is>
      </c>
      <c r="B1271" s="23" t="inlineStr">
        <is>
          <t>私立</t>
        </is>
      </c>
      <c r="C1271" s="23" t="n"/>
      <c r="D1271" s="23" t="inlineStr">
        <is>
          <t>弘学館高等学校</t>
        </is>
      </c>
      <c r="E1271" s="24" t="inlineStr">
        <is>
          <t>0952-98-2161</t>
        </is>
      </c>
      <c r="F1271" s="23" t="n"/>
      <c r="G1271" s="25" t="inlineStr">
        <is>
          <t>普通科</t>
        </is>
      </c>
      <c r="H1271" s="26" t="inlineStr">
        <is>
          <t>☐</t>
        </is>
      </c>
      <c r="I1271" s="26" t="inlineStr">
        <is>
          <t>☐</t>
        </is>
      </c>
      <c r="J1271" s="26" t="inlineStr">
        <is>
          <t>☐</t>
        </is>
      </c>
      <c r="K1271" s="26" t="inlineStr">
        <is>
          <t>☐</t>
        </is>
      </c>
      <c r="L1271" s="26" t="inlineStr">
        <is>
          <t>☐</t>
        </is>
      </c>
      <c r="M1271" s="25" t="n"/>
      <c r="N1271" s="27" t="n">
        <v>0</v>
      </c>
      <c r="O1271" s="28" t="n"/>
      <c r="P1271" s="23" t="n"/>
      <c r="Q1271" s="29" t="n"/>
      <c r="R1271" s="29" t="n"/>
      <c r="S1271" s="23" t="n"/>
      <c r="T1271" s="30" t="n"/>
      <c r="U1271" s="31" t="inlineStr">
        <is>
          <t>高</t>
        </is>
      </c>
      <c r="V1271" s="32" t="inlineStr">
        <is>
          <t>中高共通。学寮は0952-98-2162</t>
        </is>
      </c>
      <c r="W1271" s="33" t="inlineStr">
        <is>
          <t>開く</t>
        </is>
      </c>
    </row>
    <row r="1272" ht="30" customHeight="1">
      <c r="A1272" s="23" t="inlineStr">
        <is>
          <t>41佐賀県</t>
        </is>
      </c>
      <c r="B1272" s="23" t="inlineStr">
        <is>
          <t>私立</t>
        </is>
      </c>
      <c r="C1272" s="23" t="n"/>
      <c r="D1272" s="23" t="inlineStr">
        <is>
          <t>佐賀学園高等学校</t>
        </is>
      </c>
      <c r="E1272" s="24" t="inlineStr">
        <is>
          <t>0952-30-4281</t>
        </is>
      </c>
      <c r="F1272" s="23" t="n"/>
      <c r="G1272" s="25" t="inlineStr">
        <is>
          <t>普通科・専門学科</t>
        </is>
      </c>
      <c r="H1272" s="26" t="inlineStr">
        <is>
          <t>☐</t>
        </is>
      </c>
      <c r="I1272" s="26" t="inlineStr">
        <is>
          <t>☐</t>
        </is>
      </c>
      <c r="J1272" s="26" t="inlineStr">
        <is>
          <t>☐</t>
        </is>
      </c>
      <c r="K1272" s="26" t="inlineStr">
        <is>
          <t>☐</t>
        </is>
      </c>
      <c r="L1272" s="26" t="inlineStr">
        <is>
          <t>☐</t>
        </is>
      </c>
      <c r="M1272" s="25" t="n"/>
      <c r="N1272" s="27" t="n">
        <v>0</v>
      </c>
      <c r="O1272" s="28" t="n"/>
      <c r="P1272" s="23" t="n"/>
      <c r="Q1272" s="29" t="n"/>
      <c r="R1272" s="29" t="n"/>
      <c r="S1272" s="23" t="n"/>
      <c r="T1272" s="30" t="n"/>
      <c r="U1272" s="31" t="inlineStr">
        <is>
          <t>高</t>
        </is>
      </c>
      <c r="V1272" s="32" t="inlineStr">
        <is>
          <t>成穎中学校と併設</t>
        </is>
      </c>
      <c r="W1272" s="33" t="inlineStr">
        <is>
          <t>開く</t>
        </is>
      </c>
    </row>
    <row r="1273" ht="30" customHeight="1">
      <c r="A1273" s="23" t="inlineStr">
        <is>
          <t>41佐賀県</t>
        </is>
      </c>
      <c r="B1273" s="23" t="inlineStr">
        <is>
          <t>私立</t>
        </is>
      </c>
      <c r="C1273" s="23" t="n"/>
      <c r="D1273" s="23" t="inlineStr">
        <is>
          <t>佐賀女子短期大学付属佐賀女子高等学校</t>
        </is>
      </c>
      <c r="E1273" s="24" t="inlineStr">
        <is>
          <t>0952-24-5341</t>
        </is>
      </c>
      <c r="F1273" s="23" t="n"/>
      <c r="G1273" s="25" t="inlineStr">
        <is>
          <t>普通科・専門学科</t>
        </is>
      </c>
      <c r="H1273" s="26" t="inlineStr">
        <is>
          <t>☐</t>
        </is>
      </c>
      <c r="I1273" s="26" t="inlineStr">
        <is>
          <t>☐</t>
        </is>
      </c>
      <c r="J1273" s="26" t="inlineStr">
        <is>
          <t>☐</t>
        </is>
      </c>
      <c r="K1273" s="26" t="inlineStr">
        <is>
          <t>☐</t>
        </is>
      </c>
      <c r="L1273" s="26" t="inlineStr">
        <is>
          <t>☐</t>
        </is>
      </c>
      <c r="M1273" s="25" t="n"/>
      <c r="N1273" s="27" t="n">
        <v>0</v>
      </c>
      <c r="O1273" s="28" t="n"/>
      <c r="P1273" s="23" t="n"/>
      <c r="Q1273" s="29" t="n"/>
      <c r="R1273" s="29" t="n"/>
      <c r="S1273" s="23" t="n"/>
      <c r="T1273" s="30" t="n"/>
      <c r="U1273" s="31" t="inlineStr">
        <is>
          <t>高</t>
        </is>
      </c>
      <c r="V1273" s="32" t="inlineStr">
        <is>
          <t>衛生看護科は別所在地（本庄町）</t>
        </is>
      </c>
      <c r="W1273" s="33" t="inlineStr">
        <is>
          <t>開く</t>
        </is>
      </c>
    </row>
    <row r="1274" ht="30" customHeight="1">
      <c r="A1274" s="23" t="inlineStr">
        <is>
          <t>41佐賀県</t>
        </is>
      </c>
      <c r="B1274" s="23" t="inlineStr">
        <is>
          <t>私立</t>
        </is>
      </c>
      <c r="C1274" s="23" t="n"/>
      <c r="D1274" s="23" t="inlineStr">
        <is>
          <t>佐賀清和高等学校</t>
        </is>
      </c>
      <c r="E1274" s="24" t="inlineStr">
        <is>
          <t>0952-37-5400</t>
        </is>
      </c>
      <c r="F1274" s="23" t="n"/>
      <c r="G1274" s="25" t="inlineStr">
        <is>
          <t>普通科・専門学科</t>
        </is>
      </c>
      <c r="H1274" s="26" t="inlineStr">
        <is>
          <t>☐</t>
        </is>
      </c>
      <c r="I1274" s="26" t="inlineStr">
        <is>
          <t>☐</t>
        </is>
      </c>
      <c r="J1274" s="26" t="inlineStr">
        <is>
          <t>☐</t>
        </is>
      </c>
      <c r="K1274" s="26" t="inlineStr">
        <is>
          <t>☐</t>
        </is>
      </c>
      <c r="L1274" s="26" t="inlineStr">
        <is>
          <t>☐</t>
        </is>
      </c>
      <c r="M1274" s="25" t="n"/>
      <c r="N1274" s="27" t="n">
        <v>0</v>
      </c>
      <c r="O1274" s="28" t="n"/>
      <c r="P1274" s="23" t="n"/>
      <c r="Q1274" s="29" t="n"/>
      <c r="R1274" s="29" t="n"/>
      <c r="S1274" s="23" t="n"/>
      <c r="T1274" s="30" t="n"/>
      <c r="U1274" s="31" t="inlineStr">
        <is>
          <t>高</t>
        </is>
      </c>
      <c r="V1274" s="32" t="inlineStr">
        <is>
          <t>中高共通番号</t>
        </is>
      </c>
      <c r="W1274" s="33" t="inlineStr">
        <is>
          <t>開く</t>
        </is>
      </c>
    </row>
    <row r="1275" ht="30" customHeight="1">
      <c r="A1275" s="23" t="inlineStr">
        <is>
          <t>41佐賀県</t>
        </is>
      </c>
      <c r="B1275" s="23" t="inlineStr">
        <is>
          <t>私立</t>
        </is>
      </c>
      <c r="C1275" s="23" t="n"/>
      <c r="D1275" s="23" t="inlineStr">
        <is>
          <t>東明館高等学校</t>
        </is>
      </c>
      <c r="E1275" s="24" t="inlineStr">
        <is>
          <t>0942-92-5775</t>
        </is>
      </c>
      <c r="F1275" s="23" t="n"/>
      <c r="G1275" s="25" t="inlineStr">
        <is>
          <t>普通科</t>
        </is>
      </c>
      <c r="H1275" s="26" t="inlineStr">
        <is>
          <t>☐</t>
        </is>
      </c>
      <c r="I1275" s="26" t="inlineStr">
        <is>
          <t>☐</t>
        </is>
      </c>
      <c r="J1275" s="26" t="inlineStr">
        <is>
          <t>☐</t>
        </is>
      </c>
      <c r="K1275" s="26" t="inlineStr">
        <is>
          <t>☐</t>
        </is>
      </c>
      <c r="L1275" s="26" t="inlineStr">
        <is>
          <t>☐</t>
        </is>
      </c>
      <c r="M1275" s="25" t="n"/>
      <c r="N1275" s="27" t="n">
        <v>0</v>
      </c>
      <c r="O1275" s="28" t="n"/>
      <c r="P1275" s="23" t="n"/>
      <c r="Q1275" s="29" t="n"/>
      <c r="R1275" s="29" t="n"/>
      <c r="S1275" s="23" t="n"/>
      <c r="T1275" s="30" t="n"/>
      <c r="U1275" s="31" t="inlineStr">
        <is>
          <t>高</t>
        </is>
      </c>
      <c r="V1275" s="32" t="inlineStr">
        <is>
          <t>中高共通番号</t>
        </is>
      </c>
      <c r="W1275" s="33" t="inlineStr">
        <is>
          <t>開く</t>
        </is>
      </c>
    </row>
    <row r="1276" ht="30" customHeight="1">
      <c r="A1276" s="23" t="inlineStr">
        <is>
          <t>41佐賀県</t>
        </is>
      </c>
      <c r="B1276" s="23" t="inlineStr">
        <is>
          <t>私立</t>
        </is>
      </c>
      <c r="C1276" s="23" t="n"/>
      <c r="D1276" s="23" t="inlineStr">
        <is>
          <t>北陵高等学校</t>
        </is>
      </c>
      <c r="E1276" s="24" t="inlineStr">
        <is>
          <t>0952-30-8676</t>
        </is>
      </c>
      <c r="F1276" s="23" t="n"/>
      <c r="G1276" s="25" t="inlineStr">
        <is>
          <t>専門学科</t>
        </is>
      </c>
      <c r="H1276" s="26" t="inlineStr">
        <is>
          <t>☐</t>
        </is>
      </c>
      <c r="I1276" s="26" t="inlineStr">
        <is>
          <t>☐</t>
        </is>
      </c>
      <c r="J1276" s="26" t="inlineStr">
        <is>
          <t>☐</t>
        </is>
      </c>
      <c r="K1276" s="26" t="inlineStr">
        <is>
          <t>☐</t>
        </is>
      </c>
      <c r="L1276" s="26" t="inlineStr">
        <is>
          <t>☐</t>
        </is>
      </c>
      <c r="M1276" s="25" t="n"/>
      <c r="N1276" s="27" t="n">
        <v>0</v>
      </c>
      <c r="O1276" s="28" t="n"/>
      <c r="P1276" s="23" t="n"/>
      <c r="Q1276" s="29" t="n"/>
      <c r="R1276" s="29" t="n"/>
      <c r="S1276" s="23" t="n"/>
      <c r="T1276" s="30" t="n"/>
      <c r="U1276" s="31" t="inlineStr">
        <is>
          <t>高</t>
        </is>
      </c>
      <c r="V1276" s="32" t="inlineStr">
        <is>
          <t>法人本部は0952-30-5422</t>
        </is>
      </c>
      <c r="W1276" s="33" t="inlineStr">
        <is>
          <t>開く</t>
        </is>
      </c>
    </row>
    <row r="1277" ht="30" customHeight="1">
      <c r="A1277" s="23" t="inlineStr">
        <is>
          <t>41佐賀県</t>
        </is>
      </c>
      <c r="B1277" s="23" t="inlineStr">
        <is>
          <t>私立</t>
        </is>
      </c>
      <c r="C1277" s="23" t="n"/>
      <c r="D1277" s="23" t="inlineStr">
        <is>
          <t>龍谷高等学校</t>
        </is>
      </c>
      <c r="E1277" s="24" t="inlineStr">
        <is>
          <t>0952-24-2244</t>
        </is>
      </c>
      <c r="F1277" s="23" t="n"/>
      <c r="G1277" s="25" t="inlineStr">
        <is>
          <t>普通科</t>
        </is>
      </c>
      <c r="H1277" s="26" t="inlineStr">
        <is>
          <t>☐</t>
        </is>
      </c>
      <c r="I1277" s="26" t="inlineStr">
        <is>
          <t>☐</t>
        </is>
      </c>
      <c r="J1277" s="26" t="inlineStr">
        <is>
          <t>☐</t>
        </is>
      </c>
      <c r="K1277" s="26" t="inlineStr">
        <is>
          <t>☐</t>
        </is>
      </c>
      <c r="L1277" s="26" t="inlineStr">
        <is>
          <t>☐</t>
        </is>
      </c>
      <c r="M1277" s="25" t="n"/>
      <c r="N1277" s="27" t="n">
        <v>0</v>
      </c>
      <c r="O1277" s="28" t="n"/>
      <c r="P1277" s="23" t="n"/>
      <c r="Q1277" s="29" t="n"/>
      <c r="R1277" s="29" t="n"/>
      <c r="S1277" s="23" t="n"/>
      <c r="T1277" s="30" t="n"/>
      <c r="U1277" s="31" t="inlineStr">
        <is>
          <t>高</t>
        </is>
      </c>
      <c r="V1277" s="32" t="inlineStr">
        <is>
          <t>中高共通番号</t>
        </is>
      </c>
      <c r="W1277" s="33" t="inlineStr">
        <is>
          <t>開く</t>
        </is>
      </c>
    </row>
    <row r="1278" ht="30" customHeight="1">
      <c r="A1278" s="23" t="inlineStr">
        <is>
          <t>41佐賀県</t>
        </is>
      </c>
      <c r="B1278" s="23" t="inlineStr">
        <is>
          <t>私立</t>
        </is>
      </c>
      <c r="C1278" s="23" t="n"/>
      <c r="D1278" s="23" t="inlineStr">
        <is>
          <t>早稲田佐賀高等学校</t>
        </is>
      </c>
      <c r="E1278" s="24" t="inlineStr">
        <is>
          <t>0955-58-9000</t>
        </is>
      </c>
      <c r="F1278" s="23" t="n"/>
      <c r="G1278" s="25" t="inlineStr">
        <is>
          <t>普通科</t>
        </is>
      </c>
      <c r="H1278" s="26" t="inlineStr">
        <is>
          <t>☐</t>
        </is>
      </c>
      <c r="I1278" s="26" t="inlineStr">
        <is>
          <t>☐</t>
        </is>
      </c>
      <c r="J1278" s="26" t="inlineStr">
        <is>
          <t>☐</t>
        </is>
      </c>
      <c r="K1278" s="26" t="inlineStr">
        <is>
          <t>☐</t>
        </is>
      </c>
      <c r="L1278" s="26" t="inlineStr">
        <is>
          <t>☐</t>
        </is>
      </c>
      <c r="M1278" s="25" t="n"/>
      <c r="N1278" s="27" t="n">
        <v>0</v>
      </c>
      <c r="O1278" s="28" t="n"/>
      <c r="P1278" s="23" t="n"/>
      <c r="Q1278" s="29" t="n"/>
      <c r="R1278" s="29" t="n"/>
      <c r="S1278" s="23" t="n"/>
      <c r="T1278" s="30" t="n"/>
      <c r="U1278" s="31" t="inlineStr">
        <is>
          <t>高</t>
        </is>
      </c>
      <c r="V1278" s="32" t="inlineStr">
        <is>
          <t>中高共通。唐津市HPとも一致</t>
        </is>
      </c>
      <c r="W1278" s="33" t="inlineStr">
        <is>
          <t>開く</t>
        </is>
      </c>
    </row>
    <row r="1279" ht="30" customHeight="1">
      <c r="A1279" s="23" t="inlineStr">
        <is>
          <t>42長崎県</t>
        </is>
      </c>
      <c r="B1279" s="23" t="inlineStr">
        <is>
          <t>私立</t>
        </is>
      </c>
      <c r="C1279" s="23" t="n"/>
      <c r="D1279" s="23" t="inlineStr">
        <is>
          <t>海星高等学校（長崎県）</t>
        </is>
      </c>
      <c r="E1279" s="24" t="inlineStr">
        <is>
          <t>095-826-7321</t>
        </is>
      </c>
      <c r="F1279" s="23" t="n"/>
      <c r="G1279" s="25" t="inlineStr">
        <is>
          <t>普通科</t>
        </is>
      </c>
      <c r="H1279" s="26" t="inlineStr">
        <is>
          <t>☐</t>
        </is>
      </c>
      <c r="I1279" s="26" t="inlineStr">
        <is>
          <t>☐</t>
        </is>
      </c>
      <c r="J1279" s="26" t="inlineStr">
        <is>
          <t>☐</t>
        </is>
      </c>
      <c r="K1279" s="26" t="inlineStr">
        <is>
          <t>☐</t>
        </is>
      </c>
      <c r="L1279" s="26" t="inlineStr">
        <is>
          <t>☐</t>
        </is>
      </c>
      <c r="M1279" s="25" t="n"/>
      <c r="N1279" s="27" t="n">
        <v>0</v>
      </c>
      <c r="O1279" s="28" t="n"/>
      <c r="P1279" s="23" t="n"/>
      <c r="Q1279" s="29" t="n"/>
      <c r="R1279" s="29" t="n"/>
      <c r="S1279" s="23" t="n"/>
      <c r="T1279" s="30" t="n"/>
      <c r="U1279" s="31" t="inlineStr">
        <is>
          <t>高</t>
        </is>
      </c>
      <c r="V1279" s="32" t="inlineStr">
        <is>
          <t>ステラマリス直通095-821-0705は別番号</t>
        </is>
      </c>
      <c r="W1279" s="33" t="inlineStr">
        <is>
          <t>開く</t>
        </is>
      </c>
    </row>
    <row r="1280" ht="30" customHeight="1">
      <c r="A1280" s="23" t="inlineStr">
        <is>
          <t>42長崎県</t>
        </is>
      </c>
      <c r="B1280" s="23" t="inlineStr">
        <is>
          <t>私立</t>
        </is>
      </c>
      <c r="C1280" s="23" t="n"/>
      <c r="D1280" s="23" t="inlineStr">
        <is>
          <t>活水高等学校</t>
        </is>
      </c>
      <c r="E1280" s="24" t="inlineStr">
        <is>
          <t>095-861-5176</t>
        </is>
      </c>
      <c r="F1280" s="23" t="n"/>
      <c r="G1280" s="25" t="inlineStr">
        <is>
          <t>普通科・専門学科</t>
        </is>
      </c>
      <c r="H1280" s="26" t="inlineStr">
        <is>
          <t>☐</t>
        </is>
      </c>
      <c r="I1280" s="26" t="inlineStr">
        <is>
          <t>☐</t>
        </is>
      </c>
      <c r="J1280" s="26" t="inlineStr">
        <is>
          <t>☐</t>
        </is>
      </c>
      <c r="K1280" s="26" t="inlineStr">
        <is>
          <t>☐</t>
        </is>
      </c>
      <c r="L1280" s="26" t="inlineStr">
        <is>
          <t>☐</t>
        </is>
      </c>
      <c r="M1280" s="25" t="n"/>
      <c r="N1280" s="27" t="n">
        <v>0</v>
      </c>
      <c r="O1280" s="28" t="n"/>
      <c r="P1280" s="23" t="n"/>
      <c r="Q1280" s="29" t="n"/>
      <c r="R1280" s="29" t="n"/>
      <c r="S1280" s="23" t="n"/>
      <c r="T1280" s="30" t="n"/>
      <c r="U1280" s="31" t="inlineStr">
        <is>
          <t>高</t>
        </is>
      </c>
      <c r="V1280" s="32" t="n"/>
      <c r="W1280" s="33" t="inlineStr">
        <is>
          <t>開く</t>
        </is>
      </c>
    </row>
    <row r="1281" ht="30" customHeight="1">
      <c r="A1281" s="23" t="inlineStr">
        <is>
          <t>42長崎県</t>
        </is>
      </c>
      <c r="B1281" s="23" t="inlineStr">
        <is>
          <t>私立</t>
        </is>
      </c>
      <c r="C1281" s="23" t="n"/>
      <c r="D1281" s="23" t="inlineStr">
        <is>
          <t>九州文化学園高等学校</t>
        </is>
      </c>
      <c r="E1281" s="24" t="inlineStr">
        <is>
          <t>0956-26-2323</t>
        </is>
      </c>
      <c r="F1281" s="23" t="n"/>
      <c r="G1281" s="25" t="inlineStr">
        <is>
          <t>普通科・専門学科</t>
        </is>
      </c>
      <c r="H1281" s="26" t="inlineStr">
        <is>
          <t>☐</t>
        </is>
      </c>
      <c r="I1281" s="26" t="inlineStr">
        <is>
          <t>☐</t>
        </is>
      </c>
      <c r="J1281" s="26" t="inlineStr">
        <is>
          <t>☐</t>
        </is>
      </c>
      <c r="K1281" s="26" t="inlineStr">
        <is>
          <t>☐</t>
        </is>
      </c>
      <c r="L1281" s="26" t="inlineStr">
        <is>
          <t>☐</t>
        </is>
      </c>
      <c r="M1281" s="25" t="n"/>
      <c r="N1281" s="27" t="n">
        <v>0</v>
      </c>
      <c r="O1281" s="28" t="n"/>
      <c r="P1281" s="23" t="n"/>
      <c r="Q1281" s="29" t="n"/>
      <c r="R1281" s="29" t="n"/>
      <c r="S1281" s="23" t="n"/>
      <c r="T1281" s="30" t="n"/>
      <c r="U1281" s="31" t="inlineStr">
        <is>
          <t>高</t>
        </is>
      </c>
      <c r="V1281" s="32" t="inlineStr">
        <is>
          <t>事務室番号。職員室0956-26-2325</t>
        </is>
      </c>
      <c r="W1281" s="33" t="inlineStr">
        <is>
          <t>開く</t>
        </is>
      </c>
    </row>
    <row r="1282" ht="30" customHeight="1">
      <c r="A1282" s="23" t="inlineStr">
        <is>
          <t>42長崎県</t>
        </is>
      </c>
      <c r="B1282" s="23" t="inlineStr">
        <is>
          <t>私立</t>
        </is>
      </c>
      <c r="C1282" s="23" t="n"/>
      <c r="D1282" s="23" t="inlineStr">
        <is>
          <t>瓊浦高等学校</t>
        </is>
      </c>
      <c r="E1282" s="24" t="inlineStr">
        <is>
          <t>095-826-1261</t>
        </is>
      </c>
      <c r="F1282" s="23" t="n"/>
      <c r="G1282" s="25" t="inlineStr">
        <is>
          <t>普通科・専門学科</t>
        </is>
      </c>
      <c r="H1282" s="26" t="inlineStr">
        <is>
          <t>☐</t>
        </is>
      </c>
      <c r="I1282" s="26" t="inlineStr">
        <is>
          <t>☐</t>
        </is>
      </c>
      <c r="J1282" s="26" t="inlineStr">
        <is>
          <t>☐</t>
        </is>
      </c>
      <c r="K1282" s="26" t="inlineStr">
        <is>
          <t>☐</t>
        </is>
      </c>
      <c r="L1282" s="26" t="inlineStr">
        <is>
          <t>☐</t>
        </is>
      </c>
      <c r="M1282" s="25" t="n"/>
      <c r="N1282" s="27" t="n">
        <v>0</v>
      </c>
      <c r="O1282" s="28" t="n"/>
      <c r="P1282" s="23" t="n"/>
      <c r="Q1282" s="29" t="n"/>
      <c r="R1282" s="29" t="n"/>
      <c r="S1282" s="23" t="n"/>
      <c r="T1282" s="30" t="n"/>
      <c r="U1282" s="34" t="inlineStr">
        <is>
          <t>中</t>
        </is>
      </c>
      <c r="V1282" s="32" t="inlineStr">
        <is>
          <t>公式未確認、複数サイトで一致</t>
        </is>
      </c>
      <c r="W1282" s="33" t="inlineStr">
        <is>
          <t>開く</t>
        </is>
      </c>
    </row>
    <row r="1283" ht="30" customHeight="1">
      <c r="A1283" s="23" t="inlineStr">
        <is>
          <t>42長崎県</t>
        </is>
      </c>
      <c r="B1283" s="23" t="inlineStr">
        <is>
          <t>私立</t>
        </is>
      </c>
      <c r="C1283" s="23" t="n"/>
      <c r="D1283" s="23" t="inlineStr">
        <is>
          <t>向陽高等学校</t>
        </is>
      </c>
      <c r="E1283" s="24" t="inlineStr">
        <is>
          <t>0957-53-1110</t>
        </is>
      </c>
      <c r="F1283" s="23" t="n"/>
      <c r="G1283" s="25" t="inlineStr">
        <is>
          <t>普通科・専門学科</t>
        </is>
      </c>
      <c r="H1283" s="26" t="inlineStr">
        <is>
          <t>☐</t>
        </is>
      </c>
      <c r="I1283" s="26" t="inlineStr">
        <is>
          <t>☐</t>
        </is>
      </c>
      <c r="J1283" s="26" t="inlineStr">
        <is>
          <t>☐</t>
        </is>
      </c>
      <c r="K1283" s="26" t="inlineStr">
        <is>
          <t>☐</t>
        </is>
      </c>
      <c r="L1283" s="26" t="inlineStr">
        <is>
          <t>☐</t>
        </is>
      </c>
      <c r="M1283" s="25" t="n"/>
      <c r="N1283" s="27" t="n">
        <v>0</v>
      </c>
      <c r="O1283" s="28" t="n"/>
      <c r="P1283" s="23" t="n"/>
      <c r="Q1283" s="29" t="n"/>
      <c r="R1283" s="29" t="n"/>
      <c r="S1283" s="23" t="n"/>
      <c r="T1283" s="30" t="n"/>
      <c r="U1283" s="31" t="inlineStr">
        <is>
          <t>高</t>
        </is>
      </c>
      <c r="V1283" s="32" t="inlineStr">
        <is>
          <t>大村市サイトとも一致。職員室0957-53-9767</t>
        </is>
      </c>
      <c r="W1283" s="33" t="inlineStr">
        <is>
          <t>開く</t>
        </is>
      </c>
    </row>
    <row r="1284" ht="30" customHeight="1">
      <c r="A1284" s="23" t="inlineStr">
        <is>
          <t>42長崎県</t>
        </is>
      </c>
      <c r="B1284" s="23" t="inlineStr">
        <is>
          <t>私立</t>
        </is>
      </c>
      <c r="C1284" s="23" t="n"/>
      <c r="D1284" s="23" t="inlineStr">
        <is>
          <t>西海学園高等学校</t>
        </is>
      </c>
      <c r="E1284" s="24" t="inlineStr">
        <is>
          <t>0956-23-6161</t>
        </is>
      </c>
      <c r="F1284" s="23" t="n"/>
      <c r="G1284" s="25" t="inlineStr">
        <is>
          <t>普通科</t>
        </is>
      </c>
      <c r="H1284" s="26" t="inlineStr">
        <is>
          <t>☐</t>
        </is>
      </c>
      <c r="I1284" s="26" t="inlineStr">
        <is>
          <t>☐</t>
        </is>
      </c>
      <c r="J1284" s="26" t="inlineStr">
        <is>
          <t>☐</t>
        </is>
      </c>
      <c r="K1284" s="26" t="inlineStr">
        <is>
          <t>☐</t>
        </is>
      </c>
      <c r="L1284" s="26" t="inlineStr">
        <is>
          <t>☐</t>
        </is>
      </c>
      <c r="M1284" s="25" t="n"/>
      <c r="N1284" s="27" t="n">
        <v>0</v>
      </c>
      <c r="O1284" s="28" t="n"/>
      <c r="P1284" s="23" t="n"/>
      <c r="Q1284" s="29" t="n"/>
      <c r="R1284" s="29" t="n"/>
      <c r="S1284" s="23" t="n"/>
      <c r="T1284" s="30" t="n"/>
      <c r="U1284" s="31" t="inlineStr">
        <is>
          <t>高</t>
        </is>
      </c>
      <c r="V1284" s="32" t="n"/>
      <c r="W1284" s="33" t="inlineStr">
        <is>
          <t>開く</t>
        </is>
      </c>
    </row>
    <row r="1285" ht="30" customHeight="1">
      <c r="A1285" s="23" t="inlineStr">
        <is>
          <t>42長崎県</t>
        </is>
      </c>
      <c r="B1285" s="23" t="inlineStr">
        <is>
          <t>私立</t>
        </is>
      </c>
      <c r="C1285" s="23" t="n"/>
      <c r="D1285" s="23" t="inlineStr">
        <is>
          <t>佐世保実業高等学校</t>
        </is>
      </c>
      <c r="E1285" s="24" t="inlineStr">
        <is>
          <t>0956-48-8881</t>
        </is>
      </c>
      <c r="F1285" s="23" t="n"/>
      <c r="G1285" s="25" t="inlineStr">
        <is>
          <t>専門学科</t>
        </is>
      </c>
      <c r="H1285" s="26" t="inlineStr">
        <is>
          <t>☐</t>
        </is>
      </c>
      <c r="I1285" s="26" t="inlineStr">
        <is>
          <t>☐</t>
        </is>
      </c>
      <c r="J1285" s="26" t="inlineStr">
        <is>
          <t>☐</t>
        </is>
      </c>
      <c r="K1285" s="26" t="inlineStr">
        <is>
          <t>☐</t>
        </is>
      </c>
      <c r="L1285" s="26" t="inlineStr">
        <is>
          <t>☐</t>
        </is>
      </c>
      <c r="M1285" s="25" t="n"/>
      <c r="N1285" s="27" t="n">
        <v>0</v>
      </c>
      <c r="O1285" s="28" t="n"/>
      <c r="P1285" s="23" t="n"/>
      <c r="Q1285" s="29" t="n"/>
      <c r="R1285" s="29" t="n"/>
      <c r="S1285" s="23" t="n"/>
      <c r="T1285" s="30" t="n"/>
      <c r="U1285" s="31" t="inlineStr">
        <is>
          <t>高</t>
        </is>
      </c>
      <c r="V1285" s="32" t="inlineStr">
        <is>
          <t>代表番号。教務室0956-48-8883</t>
        </is>
      </c>
      <c r="W1285" s="33" t="inlineStr">
        <is>
          <t>開く</t>
        </is>
      </c>
    </row>
    <row r="1286" ht="30" customHeight="1">
      <c r="A1286" s="23" t="inlineStr">
        <is>
          <t>42長崎県</t>
        </is>
      </c>
      <c r="B1286" s="23" t="inlineStr">
        <is>
          <t>私立</t>
        </is>
      </c>
      <c r="C1286" s="23" t="n"/>
      <c r="D1286" s="23" t="inlineStr">
        <is>
          <t>佐世保女子高等学校</t>
        </is>
      </c>
      <c r="E1286" s="24" t="inlineStr">
        <is>
          <t>0956-22-4349</t>
        </is>
      </c>
      <c r="F1286" s="23" t="n"/>
      <c r="G1286" s="25" t="inlineStr">
        <is>
          <t>普通科</t>
        </is>
      </c>
      <c r="H1286" s="26" t="inlineStr">
        <is>
          <t>☐</t>
        </is>
      </c>
      <c r="I1286" s="26" t="inlineStr">
        <is>
          <t>☐</t>
        </is>
      </c>
      <c r="J1286" s="26" t="inlineStr">
        <is>
          <t>☐</t>
        </is>
      </c>
      <c r="K1286" s="26" t="inlineStr">
        <is>
          <t>☐</t>
        </is>
      </c>
      <c r="L1286" s="26" t="inlineStr">
        <is>
          <t>☐</t>
        </is>
      </c>
      <c r="M1286" s="25" t="n"/>
      <c r="N1286" s="27" t="n">
        <v>0</v>
      </c>
      <c r="O1286" s="28" t="n"/>
      <c r="P1286" s="23" t="n"/>
      <c r="Q1286" s="29" t="n"/>
      <c r="R1286" s="29" t="n"/>
      <c r="S1286" s="23" t="n"/>
      <c r="T1286" s="30" t="n"/>
      <c r="U1286" s="34" t="inlineStr">
        <is>
          <t>中</t>
        </is>
      </c>
      <c r="V1286" s="32" t="inlineStr">
        <is>
          <t>正式名は久田学園佐世保女子高等学校。公式未確認、複数資料で一致</t>
        </is>
      </c>
      <c r="W1286" s="33" t="inlineStr">
        <is>
          <t>開く</t>
        </is>
      </c>
    </row>
    <row r="1287" ht="30" customHeight="1">
      <c r="A1287" s="23" t="inlineStr">
        <is>
          <t>42長崎県</t>
        </is>
      </c>
      <c r="B1287" s="23" t="inlineStr">
        <is>
          <t>私立</t>
        </is>
      </c>
      <c r="C1287" s="23" t="n"/>
      <c r="D1287" s="23" t="inlineStr">
        <is>
          <t>島原中央高等学校</t>
        </is>
      </c>
      <c r="E1287" s="24" t="inlineStr">
        <is>
          <t>0957-62-2435</t>
        </is>
      </c>
      <c r="F1287" s="23" t="n"/>
      <c r="G1287" s="25" t="inlineStr">
        <is>
          <t>普通科</t>
        </is>
      </c>
      <c r="H1287" s="26" t="inlineStr">
        <is>
          <t>☐</t>
        </is>
      </c>
      <c r="I1287" s="26" t="inlineStr">
        <is>
          <t>☐</t>
        </is>
      </c>
      <c r="J1287" s="26" t="inlineStr">
        <is>
          <t>☐</t>
        </is>
      </c>
      <c r="K1287" s="26" t="inlineStr">
        <is>
          <t>☐</t>
        </is>
      </c>
      <c r="L1287" s="26" t="inlineStr">
        <is>
          <t>☐</t>
        </is>
      </c>
      <c r="M1287" s="25" t="n"/>
      <c r="N1287" s="27" t="n">
        <v>0</v>
      </c>
      <c r="O1287" s="28" t="n"/>
      <c r="P1287" s="23" t="n"/>
      <c r="Q1287" s="29" t="n"/>
      <c r="R1287" s="29" t="n"/>
      <c r="S1287" s="23" t="n"/>
      <c r="T1287" s="30" t="n"/>
      <c r="U1287" s="31" t="inlineStr">
        <is>
          <t>高</t>
        </is>
      </c>
      <c r="V1287" s="32" t="n"/>
      <c r="W1287" s="33" t="inlineStr">
        <is>
          <t>開く</t>
        </is>
      </c>
    </row>
    <row r="1288" ht="30" customHeight="1">
      <c r="A1288" s="23" t="inlineStr">
        <is>
          <t>42長崎県</t>
        </is>
      </c>
      <c r="B1288" s="23" t="inlineStr">
        <is>
          <t>私立</t>
        </is>
      </c>
      <c r="C1288" s="23" t="n"/>
      <c r="D1288" s="23" t="inlineStr">
        <is>
          <t>純心女子高等学校</t>
        </is>
      </c>
      <c r="E1288" s="24" t="inlineStr">
        <is>
          <t>095-844-1175</t>
        </is>
      </c>
      <c r="F1288" s="23" t="n"/>
      <c r="G1288" s="25" t="inlineStr">
        <is>
          <t>普通科</t>
        </is>
      </c>
      <c r="H1288" s="26" t="inlineStr">
        <is>
          <t>☐</t>
        </is>
      </c>
      <c r="I1288" s="26" t="inlineStr">
        <is>
          <t>☐</t>
        </is>
      </c>
      <c r="J1288" s="26" t="inlineStr">
        <is>
          <t>☐</t>
        </is>
      </c>
      <c r="K1288" s="26" t="inlineStr">
        <is>
          <t>☐</t>
        </is>
      </c>
      <c r="L1288" s="26" t="inlineStr">
        <is>
          <t>☐</t>
        </is>
      </c>
      <c r="M1288" s="25" t="n"/>
      <c r="N1288" s="27" t="n">
        <v>0</v>
      </c>
      <c r="O1288" s="28" t="n"/>
      <c r="P1288" s="23" t="n"/>
      <c r="Q1288" s="29" t="n"/>
      <c r="R1288" s="29" t="n"/>
      <c r="S1288" s="23" t="n"/>
      <c r="T1288" s="30" t="n"/>
      <c r="U1288" s="31" t="inlineStr">
        <is>
          <t>高</t>
        </is>
      </c>
      <c r="V1288" s="32" t="inlineStr">
        <is>
          <t>中高共通の代表番号</t>
        </is>
      </c>
      <c r="W1288" s="33" t="inlineStr">
        <is>
          <t>開く</t>
        </is>
      </c>
    </row>
    <row r="1289" ht="30" customHeight="1">
      <c r="A1289" s="23" t="inlineStr">
        <is>
          <t>42長崎県</t>
        </is>
      </c>
      <c r="B1289" s="23" t="inlineStr">
        <is>
          <t>私立</t>
        </is>
      </c>
      <c r="C1289" s="23" t="n"/>
      <c r="D1289" s="23" t="inlineStr">
        <is>
          <t>青雲高等学校</t>
        </is>
      </c>
      <c r="E1289" s="24" t="inlineStr">
        <is>
          <t>095-882-0678</t>
        </is>
      </c>
      <c r="F1289" s="23" t="n"/>
      <c r="G1289" s="25" t="inlineStr">
        <is>
          <t>普通科</t>
        </is>
      </c>
      <c r="H1289" s="26" t="inlineStr">
        <is>
          <t>☐</t>
        </is>
      </c>
      <c r="I1289" s="26" t="inlineStr">
        <is>
          <t>☐</t>
        </is>
      </c>
      <c r="J1289" s="26" t="inlineStr">
        <is>
          <t>☐</t>
        </is>
      </c>
      <c r="K1289" s="26" t="inlineStr">
        <is>
          <t>☐</t>
        </is>
      </c>
      <c r="L1289" s="26" t="inlineStr">
        <is>
          <t>☐</t>
        </is>
      </c>
      <c r="M1289" s="25" t="n"/>
      <c r="N1289" s="27" t="n">
        <v>0</v>
      </c>
      <c r="O1289" s="28" t="n"/>
      <c r="P1289" s="23" t="n"/>
      <c r="Q1289" s="29" t="n"/>
      <c r="R1289" s="29" t="n"/>
      <c r="S1289" s="23" t="n"/>
      <c r="T1289" s="30" t="n"/>
      <c r="U1289" s="31" t="inlineStr">
        <is>
          <t>高</t>
        </is>
      </c>
      <c r="V1289" s="32" t="inlineStr">
        <is>
          <t>中高共通の代表番号</t>
        </is>
      </c>
      <c r="W1289" s="33" t="inlineStr">
        <is>
          <t>開く</t>
        </is>
      </c>
    </row>
    <row r="1290" ht="30" customHeight="1">
      <c r="A1290" s="23" t="inlineStr">
        <is>
          <t>42長崎県</t>
        </is>
      </c>
      <c r="B1290" s="23" t="inlineStr">
        <is>
          <t>私立</t>
        </is>
      </c>
      <c r="C1290" s="23" t="n"/>
      <c r="D1290" s="23" t="inlineStr">
        <is>
          <t>精道三川台高等学校</t>
        </is>
      </c>
      <c r="E1290" s="24" t="inlineStr">
        <is>
          <t>095-845-6161</t>
        </is>
      </c>
      <c r="F1290" s="23" t="n"/>
      <c r="G1290" s="25" t="inlineStr">
        <is>
          <t>普通科</t>
        </is>
      </c>
      <c r="H1290" s="26" t="inlineStr">
        <is>
          <t>☐</t>
        </is>
      </c>
      <c r="I1290" s="26" t="inlineStr">
        <is>
          <t>☐</t>
        </is>
      </c>
      <c r="J1290" s="26" t="inlineStr">
        <is>
          <t>☐</t>
        </is>
      </c>
      <c r="K1290" s="26" t="inlineStr">
        <is>
          <t>☐</t>
        </is>
      </c>
      <c r="L1290" s="26" t="inlineStr">
        <is>
          <t>☐</t>
        </is>
      </c>
      <c r="M1290" s="25" t="n"/>
      <c r="N1290" s="27" t="n">
        <v>0</v>
      </c>
      <c r="O1290" s="28" t="n"/>
      <c r="P1290" s="23" t="n"/>
      <c r="Q1290" s="29" t="n"/>
      <c r="R1290" s="29" t="n"/>
      <c r="S1290" s="23" t="n"/>
      <c r="T1290" s="30" t="n"/>
      <c r="U1290" s="31" t="inlineStr">
        <is>
          <t>高</t>
        </is>
      </c>
      <c r="V1290" s="32" t="inlineStr">
        <is>
          <t>中高一貫。FAXは095-845-6166</t>
        </is>
      </c>
      <c r="W1290" s="33" t="inlineStr">
        <is>
          <t>開く</t>
        </is>
      </c>
    </row>
    <row r="1291" ht="30" customHeight="1">
      <c r="A1291" s="23" t="inlineStr">
        <is>
          <t>42長崎県</t>
        </is>
      </c>
      <c r="B1291" s="23" t="inlineStr">
        <is>
          <t>私立</t>
        </is>
      </c>
      <c r="C1291" s="23" t="n"/>
      <c r="D1291" s="23" t="inlineStr">
        <is>
          <t>聖母の騎士高等学校</t>
        </is>
      </c>
      <c r="E1291" s="24" t="inlineStr">
        <is>
          <t>095-823-4523</t>
        </is>
      </c>
      <c r="F1291" s="23" t="n"/>
      <c r="G1291" s="25" t="inlineStr">
        <is>
          <t>普通科</t>
        </is>
      </c>
      <c r="H1291" s="26" t="inlineStr">
        <is>
          <t>☐</t>
        </is>
      </c>
      <c r="I1291" s="26" t="inlineStr">
        <is>
          <t>☐</t>
        </is>
      </c>
      <c r="J1291" s="26" t="inlineStr">
        <is>
          <t>☐</t>
        </is>
      </c>
      <c r="K1291" s="26" t="inlineStr">
        <is>
          <t>☐</t>
        </is>
      </c>
      <c r="L1291" s="26" t="inlineStr">
        <is>
          <t>☐</t>
        </is>
      </c>
      <c r="M1291" s="25" t="n"/>
      <c r="N1291" s="27" t="n">
        <v>0</v>
      </c>
      <c r="O1291" s="28" t="n"/>
      <c r="P1291" s="23" t="n"/>
      <c r="Q1291" s="29" t="n"/>
      <c r="R1291" s="29" t="n"/>
      <c r="S1291" s="23" t="n"/>
      <c r="T1291" s="30" t="n"/>
      <c r="U1291" s="31" t="inlineStr">
        <is>
          <t>高</t>
        </is>
      </c>
      <c r="V1291" s="32" t="n"/>
      <c r="W1291" s="33" t="inlineStr">
        <is>
          <t>開く</t>
        </is>
      </c>
    </row>
    <row r="1292" ht="30" customHeight="1">
      <c r="A1292" s="23" t="inlineStr">
        <is>
          <t>42長崎県</t>
        </is>
      </c>
      <c r="B1292" s="23" t="inlineStr">
        <is>
          <t>私立</t>
        </is>
      </c>
      <c r="C1292" s="23" t="n"/>
      <c r="D1292" s="23" t="inlineStr">
        <is>
          <t>聖和女子学院高等学校</t>
        </is>
      </c>
      <c r="E1292" s="24" t="inlineStr">
        <is>
          <t>0956-22-7380</t>
        </is>
      </c>
      <c r="F1292" s="23" t="n"/>
      <c r="G1292" s="25" t="inlineStr">
        <is>
          <t>普通科・専門学科</t>
        </is>
      </c>
      <c r="H1292" s="26" t="inlineStr">
        <is>
          <t>☐</t>
        </is>
      </c>
      <c r="I1292" s="26" t="inlineStr">
        <is>
          <t>☐</t>
        </is>
      </c>
      <c r="J1292" s="26" t="inlineStr">
        <is>
          <t>☐</t>
        </is>
      </c>
      <c r="K1292" s="26" t="inlineStr">
        <is>
          <t>☐</t>
        </is>
      </c>
      <c r="L1292" s="26" t="inlineStr">
        <is>
          <t>☐</t>
        </is>
      </c>
      <c r="M1292" s="25" t="n"/>
      <c r="N1292" s="27" t="n">
        <v>0</v>
      </c>
      <c r="O1292" s="28" t="n"/>
      <c r="P1292" s="23" t="n"/>
      <c r="Q1292" s="29" t="n"/>
      <c r="R1292" s="29" t="n"/>
      <c r="S1292" s="23" t="n"/>
      <c r="T1292" s="30" t="n"/>
      <c r="U1292" s="31" t="inlineStr">
        <is>
          <t>高</t>
        </is>
      </c>
      <c r="V1292" s="32" t="inlineStr">
        <is>
          <t>事務室番号。教務室は0956-23-9643</t>
        </is>
      </c>
      <c r="W1292" s="33" t="inlineStr">
        <is>
          <t>開く</t>
        </is>
      </c>
    </row>
    <row r="1293" ht="30" customHeight="1">
      <c r="A1293" s="23" t="inlineStr">
        <is>
          <t>42長崎県</t>
        </is>
      </c>
      <c r="B1293" s="23" t="inlineStr">
        <is>
          <t>私立</t>
        </is>
      </c>
      <c r="C1293" s="23" t="n"/>
      <c r="D1293" s="23" t="inlineStr">
        <is>
          <t>創成館高等学校</t>
        </is>
      </c>
      <c r="E1293" s="24" t="inlineStr">
        <is>
          <t>0957-25-1225</t>
        </is>
      </c>
      <c r="F1293" s="23" t="n"/>
      <c r="G1293" s="25" t="inlineStr">
        <is>
          <t>普通科・専門学科</t>
        </is>
      </c>
      <c r="H1293" s="26" t="inlineStr">
        <is>
          <t>☐</t>
        </is>
      </c>
      <c r="I1293" s="26" t="inlineStr">
        <is>
          <t>☐</t>
        </is>
      </c>
      <c r="J1293" s="26" t="inlineStr">
        <is>
          <t>☐</t>
        </is>
      </c>
      <c r="K1293" s="26" t="inlineStr">
        <is>
          <t>☐</t>
        </is>
      </c>
      <c r="L1293" s="26" t="inlineStr">
        <is>
          <t>☐</t>
        </is>
      </c>
      <c r="M1293" s="25" t="n"/>
      <c r="N1293" s="27" t="n">
        <v>0</v>
      </c>
      <c r="O1293" s="28" t="n"/>
      <c r="P1293" s="23" t="n"/>
      <c r="Q1293" s="29" t="n"/>
      <c r="R1293" s="29" t="n"/>
      <c r="S1293" s="23" t="n"/>
      <c r="T1293" s="30" t="n"/>
      <c r="U1293" s="31" t="inlineStr">
        <is>
          <t>高</t>
        </is>
      </c>
      <c r="V1293" s="32" t="inlineStr">
        <is>
          <t>諫早市の施設情報とも一致</t>
        </is>
      </c>
      <c r="W1293" s="33" t="inlineStr">
        <is>
          <t>開く</t>
        </is>
      </c>
    </row>
    <row r="1294" ht="30" customHeight="1">
      <c r="A1294" s="23" t="inlineStr">
        <is>
          <t>42長崎県</t>
        </is>
      </c>
      <c r="B1294" s="23" t="inlineStr">
        <is>
          <t>私立</t>
        </is>
      </c>
      <c r="C1294" s="23" t="n"/>
      <c r="D1294" s="23" t="inlineStr">
        <is>
          <t>鎮西学院高等学校</t>
        </is>
      </c>
      <c r="E1294" s="24" t="inlineStr">
        <is>
          <t>0957-25-1234</t>
        </is>
      </c>
      <c r="F1294" s="23" t="n"/>
      <c r="G1294" s="25" t="inlineStr">
        <is>
          <t>普通科・専門学科</t>
        </is>
      </c>
      <c r="H1294" s="26" t="inlineStr">
        <is>
          <t>☐</t>
        </is>
      </c>
      <c r="I1294" s="26" t="inlineStr">
        <is>
          <t>☐</t>
        </is>
      </c>
      <c r="J1294" s="26" t="inlineStr">
        <is>
          <t>☐</t>
        </is>
      </c>
      <c r="K1294" s="26" t="inlineStr">
        <is>
          <t>☐</t>
        </is>
      </c>
      <c r="L1294" s="26" t="inlineStr">
        <is>
          <t>☐</t>
        </is>
      </c>
      <c r="M1294" s="25" t="n"/>
      <c r="N1294" s="27" t="n">
        <v>0</v>
      </c>
      <c r="O1294" s="28" t="n"/>
      <c r="P1294" s="23" t="n"/>
      <c r="Q1294" s="29" t="n"/>
      <c r="R1294" s="29" t="n"/>
      <c r="S1294" s="23" t="n"/>
      <c r="T1294" s="30" t="n"/>
      <c r="U1294" s="31" t="inlineStr">
        <is>
          <t>高</t>
        </is>
      </c>
      <c r="V1294" s="32" t="n"/>
      <c r="W1294" s="33" t="inlineStr">
        <is>
          <t>開く</t>
        </is>
      </c>
    </row>
    <row r="1295" ht="30" customHeight="1">
      <c r="A1295" s="23" t="inlineStr">
        <is>
          <t>42長崎県</t>
        </is>
      </c>
      <c r="B1295" s="23" t="inlineStr">
        <is>
          <t>私立</t>
        </is>
      </c>
      <c r="C1295" s="23" t="n"/>
      <c r="D1295" s="23" t="inlineStr">
        <is>
          <t>長崎玉成高等学校</t>
        </is>
      </c>
      <c r="E1295" s="24" t="inlineStr">
        <is>
          <t>095-826-6321</t>
        </is>
      </c>
      <c r="F1295" s="23" t="n"/>
      <c r="G1295" s="25" t="inlineStr">
        <is>
          <t>普通科・専門学科</t>
        </is>
      </c>
      <c r="H1295" s="26" t="inlineStr">
        <is>
          <t>☐</t>
        </is>
      </c>
      <c r="I1295" s="26" t="inlineStr">
        <is>
          <t>☐</t>
        </is>
      </c>
      <c r="J1295" s="26" t="inlineStr">
        <is>
          <t>☐</t>
        </is>
      </c>
      <c r="K1295" s="26" t="inlineStr">
        <is>
          <t>☐</t>
        </is>
      </c>
      <c r="L1295" s="26" t="inlineStr">
        <is>
          <t>☐</t>
        </is>
      </c>
      <c r="M1295" s="25" t="n"/>
      <c r="N1295" s="27" t="n">
        <v>0</v>
      </c>
      <c r="O1295" s="28" t="n"/>
      <c r="P1295" s="23" t="n"/>
      <c r="Q1295" s="29" t="n"/>
      <c r="R1295" s="29" t="n"/>
      <c r="S1295" s="23" t="n"/>
      <c r="T1295" s="30" t="n"/>
      <c r="U1295" s="31" t="inlineStr">
        <is>
          <t>高</t>
        </is>
      </c>
      <c r="V1295" s="32" t="inlineStr">
        <is>
          <t>一部サイトの095-826-6322は誤記とみられる</t>
        </is>
      </c>
      <c r="W1295" s="33" t="inlineStr">
        <is>
          <t>開く</t>
        </is>
      </c>
    </row>
    <row r="1296" ht="30" customHeight="1">
      <c r="A1296" s="23" t="inlineStr">
        <is>
          <t>42長崎県</t>
        </is>
      </c>
      <c r="B1296" s="23" t="inlineStr">
        <is>
          <t>私立</t>
        </is>
      </c>
      <c r="C1296" s="23" t="n"/>
      <c r="D1296" s="23" t="inlineStr">
        <is>
          <t>長崎女子高等学校</t>
        </is>
      </c>
      <c r="E1296" s="24" t="inlineStr">
        <is>
          <t>095-826-4321</t>
        </is>
      </c>
      <c r="F1296" s="23" t="n"/>
      <c r="G1296" s="25" t="inlineStr">
        <is>
          <t>普通科</t>
        </is>
      </c>
      <c r="H1296" s="26" t="inlineStr">
        <is>
          <t>☐</t>
        </is>
      </c>
      <c r="I1296" s="26" t="inlineStr">
        <is>
          <t>☐</t>
        </is>
      </c>
      <c r="J1296" s="26" t="inlineStr">
        <is>
          <t>☐</t>
        </is>
      </c>
      <c r="K1296" s="26" t="inlineStr">
        <is>
          <t>☐</t>
        </is>
      </c>
      <c r="L1296" s="26" t="inlineStr">
        <is>
          <t>☐</t>
        </is>
      </c>
      <c r="M1296" s="25" t="n"/>
      <c r="N1296" s="27" t="n">
        <v>0</v>
      </c>
      <c r="O1296" s="28" t="n"/>
      <c r="P1296" s="23" t="n"/>
      <c r="Q1296" s="29" t="n"/>
      <c r="R1296" s="29" t="n"/>
      <c r="S1296" s="23" t="n"/>
      <c r="T1296" s="30" t="n"/>
      <c r="U1296" s="31" t="inlineStr">
        <is>
          <t>高</t>
        </is>
      </c>
      <c r="V1296" s="32" t="inlineStr">
        <is>
          <t>2026年4月に「鶴鳴高等学校」へ校名変更（女子校のまま）</t>
        </is>
      </c>
      <c r="W1296" s="33" t="inlineStr">
        <is>
          <t>開く</t>
        </is>
      </c>
    </row>
    <row r="1297" ht="30" customHeight="1">
      <c r="A1297" s="23" t="inlineStr">
        <is>
          <t>42長崎県</t>
        </is>
      </c>
      <c r="B1297" s="23" t="inlineStr">
        <is>
          <t>私立</t>
        </is>
      </c>
      <c r="C1297" s="23" t="n"/>
      <c r="D1297" s="23" t="inlineStr">
        <is>
          <t>長崎女子商業高等学校</t>
        </is>
      </c>
      <c r="E1297" s="24" t="inlineStr">
        <is>
          <t>095-824-2701</t>
        </is>
      </c>
      <c r="F1297" s="23" t="n"/>
      <c r="G1297" s="25" t="inlineStr">
        <is>
          <t>専門学科</t>
        </is>
      </c>
      <c r="H1297" s="26" t="inlineStr">
        <is>
          <t>☐</t>
        </is>
      </c>
      <c r="I1297" s="26" t="inlineStr">
        <is>
          <t>☐</t>
        </is>
      </c>
      <c r="J1297" s="26" t="inlineStr">
        <is>
          <t>☐</t>
        </is>
      </c>
      <c r="K1297" s="26" t="inlineStr">
        <is>
          <t>☐</t>
        </is>
      </c>
      <c r="L1297" s="26" t="inlineStr">
        <is>
          <t>☐</t>
        </is>
      </c>
      <c r="M1297" s="25" t="n"/>
      <c r="N1297" s="27" t="n">
        <v>0</v>
      </c>
      <c r="O1297" s="28" t="n"/>
      <c r="P1297" s="23" t="n"/>
      <c r="Q1297" s="29" t="n"/>
      <c r="R1297" s="29" t="n"/>
      <c r="S1297" s="23" t="n"/>
      <c r="T1297" s="30" t="n"/>
      <c r="U1297" s="31" t="inlineStr">
        <is>
          <t>高</t>
        </is>
      </c>
      <c r="V1297" s="32" t="n"/>
      <c r="W1297" s="33" t="inlineStr">
        <is>
          <t>開く</t>
        </is>
      </c>
    </row>
    <row r="1298" ht="30" customHeight="1">
      <c r="A1298" s="23" t="inlineStr">
        <is>
          <t>42長崎県</t>
        </is>
      </c>
      <c r="B1298" s="23" t="inlineStr">
        <is>
          <t>私立</t>
        </is>
      </c>
      <c r="C1298" s="23" t="n"/>
      <c r="D1298" s="23" t="inlineStr">
        <is>
          <t>長崎総合科学大学附属高等学校</t>
        </is>
      </c>
      <c r="E1298" s="24" t="inlineStr">
        <is>
          <t>095-838-2413</t>
        </is>
      </c>
      <c r="F1298" s="23" t="n"/>
      <c r="G1298" s="25" t="inlineStr">
        <is>
          <t>普通科</t>
        </is>
      </c>
      <c r="H1298" s="26" t="inlineStr">
        <is>
          <t>☐</t>
        </is>
      </c>
      <c r="I1298" s="26" t="inlineStr">
        <is>
          <t>☐</t>
        </is>
      </c>
      <c r="J1298" s="26" t="inlineStr">
        <is>
          <t>☐</t>
        </is>
      </c>
      <c r="K1298" s="26" t="inlineStr">
        <is>
          <t>☐</t>
        </is>
      </c>
      <c r="L1298" s="26" t="inlineStr">
        <is>
          <t>☐</t>
        </is>
      </c>
      <c r="M1298" s="25" t="n"/>
      <c r="N1298" s="27" t="n">
        <v>0</v>
      </c>
      <c r="O1298" s="28" t="n"/>
      <c r="P1298" s="23" t="n"/>
      <c r="Q1298" s="29" t="n"/>
      <c r="R1298" s="29" t="n"/>
      <c r="S1298" s="23" t="n"/>
      <c r="T1298" s="30" t="n"/>
      <c r="U1298" s="34" t="inlineStr">
        <is>
          <t>中</t>
        </is>
      </c>
      <c r="V1298" s="32" t="inlineStr">
        <is>
          <t>私学協会一覧の番号。公式に095-838-2364/2414もあり用途不明。大学サイトでは附属高校事務室095-838-2254</t>
        </is>
      </c>
      <c r="W1298" s="33" t="inlineStr">
        <is>
          <t>開く</t>
        </is>
      </c>
    </row>
    <row r="1299" ht="30" customHeight="1">
      <c r="A1299" s="23" t="inlineStr">
        <is>
          <t>42長崎県</t>
        </is>
      </c>
      <c r="B1299" s="23" t="inlineStr">
        <is>
          <t>私立</t>
        </is>
      </c>
      <c r="C1299" s="23" t="n"/>
      <c r="D1299" s="23" t="inlineStr">
        <is>
          <t>長崎南山高等学校</t>
        </is>
      </c>
      <c r="E1299" s="24" t="inlineStr">
        <is>
          <t>095-844-1572</t>
        </is>
      </c>
      <c r="F1299" s="23" t="n"/>
      <c r="G1299" s="25" t="inlineStr">
        <is>
          <t>普通科</t>
        </is>
      </c>
      <c r="H1299" s="26" t="inlineStr">
        <is>
          <t>☐</t>
        </is>
      </c>
      <c r="I1299" s="26" t="inlineStr">
        <is>
          <t>☐</t>
        </is>
      </c>
      <c r="J1299" s="26" t="inlineStr">
        <is>
          <t>☐</t>
        </is>
      </c>
      <c r="K1299" s="26" t="inlineStr">
        <is>
          <t>☐</t>
        </is>
      </c>
      <c r="L1299" s="26" t="inlineStr">
        <is>
          <t>☐</t>
        </is>
      </c>
      <c r="M1299" s="25" t="n"/>
      <c r="N1299" s="27" t="n">
        <v>0</v>
      </c>
      <c r="O1299" s="28" t="n"/>
      <c r="P1299" s="23" t="n"/>
      <c r="Q1299" s="29" t="n"/>
      <c r="R1299" s="29" t="n"/>
      <c r="S1299" s="23" t="n"/>
      <c r="T1299" s="30" t="n"/>
      <c r="U1299" s="31" t="inlineStr">
        <is>
          <t>高</t>
        </is>
      </c>
      <c r="V1299" s="32" t="n"/>
      <c r="W1299" s="33" t="inlineStr">
        <is>
          <t>開く</t>
        </is>
      </c>
    </row>
    <row r="1300" ht="30" customHeight="1">
      <c r="A1300" s="23" t="inlineStr">
        <is>
          <t>42長崎県</t>
        </is>
      </c>
      <c r="B1300" s="23" t="inlineStr">
        <is>
          <t>私立</t>
        </is>
      </c>
      <c r="C1300" s="23" t="n"/>
      <c r="D1300" s="23" t="inlineStr">
        <is>
          <t>長崎日本大学高等学校</t>
        </is>
      </c>
      <c r="E1300" s="24" t="inlineStr">
        <is>
          <t>0957-26-0061</t>
        </is>
      </c>
      <c r="F1300" s="23" t="n"/>
      <c r="G1300" s="25" t="inlineStr">
        <is>
          <t>普通科・専門学科</t>
        </is>
      </c>
      <c r="H1300" s="26" t="inlineStr">
        <is>
          <t>☐</t>
        </is>
      </c>
      <c r="I1300" s="26" t="inlineStr">
        <is>
          <t>☐</t>
        </is>
      </c>
      <c r="J1300" s="26" t="inlineStr">
        <is>
          <t>☐</t>
        </is>
      </c>
      <c r="K1300" s="26" t="inlineStr">
        <is>
          <t>☐</t>
        </is>
      </c>
      <c r="L1300" s="26" t="inlineStr">
        <is>
          <t>☐</t>
        </is>
      </c>
      <c r="M1300" s="25" t="n"/>
      <c r="N1300" s="27" t="n">
        <v>0</v>
      </c>
      <c r="O1300" s="28" t="n"/>
      <c r="P1300" s="23" t="n"/>
      <c r="Q1300" s="29" t="n"/>
      <c r="R1300" s="29" t="n"/>
      <c r="S1300" s="23" t="n"/>
      <c r="T1300" s="30" t="n"/>
      <c r="U1300" s="31" t="inlineStr">
        <is>
          <t>高</t>
        </is>
      </c>
      <c r="V1300" s="32" t="n"/>
      <c r="W1300" s="33" t="inlineStr">
        <is>
          <t>開く</t>
        </is>
      </c>
    </row>
    <row r="1301" ht="30" customHeight="1">
      <c r="A1301" s="23" t="inlineStr">
        <is>
          <t>43熊本県</t>
        </is>
      </c>
      <c r="B1301" s="23" t="inlineStr">
        <is>
          <t>私立</t>
        </is>
      </c>
      <c r="C1301" s="23" t="n"/>
      <c r="D1301" s="23" t="inlineStr">
        <is>
          <t>有明高等学校</t>
        </is>
      </c>
      <c r="E1301" s="24" t="inlineStr">
        <is>
          <t>0968-63-0545</t>
        </is>
      </c>
      <c r="F1301" s="23" t="n"/>
      <c r="G1301" s="25" t="inlineStr">
        <is>
          <t>普通科・専門学科</t>
        </is>
      </c>
      <c r="H1301" s="26" t="inlineStr">
        <is>
          <t>☐</t>
        </is>
      </c>
      <c r="I1301" s="26" t="inlineStr">
        <is>
          <t>☐</t>
        </is>
      </c>
      <c r="J1301" s="26" t="inlineStr">
        <is>
          <t>☐</t>
        </is>
      </c>
      <c r="K1301" s="26" t="inlineStr">
        <is>
          <t>☐</t>
        </is>
      </c>
      <c r="L1301" s="26" t="inlineStr">
        <is>
          <t>☐</t>
        </is>
      </c>
      <c r="M1301" s="25" t="n"/>
      <c r="N1301" s="27" t="n">
        <v>0</v>
      </c>
      <c r="O1301" s="28" t="n"/>
      <c r="P1301" s="23" t="n"/>
      <c r="Q1301" s="29" t="n"/>
      <c r="R1301" s="29" t="n"/>
      <c r="S1301" s="23" t="n"/>
      <c r="T1301" s="30" t="n"/>
      <c r="U1301" s="31" t="inlineStr">
        <is>
          <t>高</t>
        </is>
      </c>
      <c r="V1301" s="32" t="inlineStr">
        <is>
          <t>職員室0968-63-0958、衛生看護専攻科0968-63-0546</t>
        </is>
      </c>
      <c r="W1301" s="33" t="inlineStr">
        <is>
          <t>開く</t>
        </is>
      </c>
    </row>
    <row r="1302" ht="30" customHeight="1">
      <c r="A1302" s="23" t="inlineStr">
        <is>
          <t>43熊本県</t>
        </is>
      </c>
      <c r="B1302" s="23" t="inlineStr">
        <is>
          <t>私立</t>
        </is>
      </c>
      <c r="C1302" s="23" t="n"/>
      <c r="D1302" s="23" t="inlineStr">
        <is>
          <t>開新高等学校</t>
        </is>
      </c>
      <c r="E1302" s="24" t="inlineStr">
        <is>
          <t>096-366-1201</t>
        </is>
      </c>
      <c r="F1302" s="23" t="n"/>
      <c r="G1302" s="25" t="inlineStr">
        <is>
          <t>普通科・専門学科・総合学科</t>
        </is>
      </c>
      <c r="H1302" s="26" t="inlineStr">
        <is>
          <t>☐</t>
        </is>
      </c>
      <c r="I1302" s="26" t="inlineStr">
        <is>
          <t>☐</t>
        </is>
      </c>
      <c r="J1302" s="26" t="inlineStr">
        <is>
          <t>☐</t>
        </is>
      </c>
      <c r="K1302" s="26" t="inlineStr">
        <is>
          <t>☐</t>
        </is>
      </c>
      <c r="L1302" s="26" t="inlineStr">
        <is>
          <t>☐</t>
        </is>
      </c>
      <c r="M1302" s="25" t="n"/>
      <c r="N1302" s="27" t="n">
        <v>0</v>
      </c>
      <c r="O1302" s="28" t="n"/>
      <c r="P1302" s="23" t="n"/>
      <c r="Q1302" s="29" t="n"/>
      <c r="R1302" s="29" t="n"/>
      <c r="S1302" s="23" t="n"/>
      <c r="T1302" s="30" t="n"/>
      <c r="U1302" s="31" t="inlineStr">
        <is>
          <t>高</t>
        </is>
      </c>
      <c r="V1302" s="32" t="n"/>
      <c r="W1302" s="33" t="inlineStr">
        <is>
          <t>開く</t>
        </is>
      </c>
    </row>
    <row r="1303" ht="30" customHeight="1">
      <c r="A1303" s="23" t="inlineStr">
        <is>
          <t>43熊本県</t>
        </is>
      </c>
      <c r="B1303" s="23" t="inlineStr">
        <is>
          <t>私立</t>
        </is>
      </c>
      <c r="C1303" s="23" t="n"/>
      <c r="D1303" s="23" t="inlineStr">
        <is>
          <t>菊池女子高等学校</t>
        </is>
      </c>
      <c r="E1303" s="24" t="inlineStr">
        <is>
          <t>0968-25-3032</t>
        </is>
      </c>
      <c r="F1303" s="23" t="n"/>
      <c r="G1303" s="25" t="inlineStr">
        <is>
          <t>普通科・専門学科</t>
        </is>
      </c>
      <c r="H1303" s="26" t="inlineStr">
        <is>
          <t>☐</t>
        </is>
      </c>
      <c r="I1303" s="26" t="inlineStr">
        <is>
          <t>☐</t>
        </is>
      </c>
      <c r="J1303" s="26" t="inlineStr">
        <is>
          <t>☐</t>
        </is>
      </c>
      <c r="K1303" s="26" t="inlineStr">
        <is>
          <t>☐</t>
        </is>
      </c>
      <c r="L1303" s="26" t="inlineStr">
        <is>
          <t>☐</t>
        </is>
      </c>
      <c r="M1303" s="25" t="n"/>
      <c r="N1303" s="27" t="n">
        <v>0</v>
      </c>
      <c r="O1303" s="28" t="n"/>
      <c r="P1303" s="23" t="n"/>
      <c r="Q1303" s="29" t="n"/>
      <c r="R1303" s="29" t="n"/>
      <c r="S1303" s="23" t="n"/>
      <c r="T1303" s="30" t="n"/>
      <c r="U1303" s="31" t="inlineStr">
        <is>
          <t>高</t>
        </is>
      </c>
      <c r="V1303" s="32" t="inlineStr">
        <is>
          <t>2026年9月に「菊女北辰高等学校」へ校名変更（男子も受入れ）</t>
        </is>
      </c>
      <c r="W1303" s="33" t="inlineStr">
        <is>
          <t>開く</t>
        </is>
      </c>
    </row>
    <row r="1304" ht="30" customHeight="1">
      <c r="A1304" s="23" t="inlineStr">
        <is>
          <t>43熊本県</t>
        </is>
      </c>
      <c r="B1304" s="23" t="inlineStr">
        <is>
          <t>私立</t>
        </is>
      </c>
      <c r="C1304" s="23" t="n"/>
      <c r="D1304" s="23" t="inlineStr">
        <is>
          <t>九州学院高等学校</t>
        </is>
      </c>
      <c r="E1304" s="24" t="inlineStr">
        <is>
          <t>096-364-6134</t>
        </is>
      </c>
      <c r="F1304" s="23" t="n"/>
      <c r="G1304" s="25" t="inlineStr">
        <is>
          <t>普通科</t>
        </is>
      </c>
      <c r="H1304" s="26" t="inlineStr">
        <is>
          <t>☐</t>
        </is>
      </c>
      <c r="I1304" s="26" t="inlineStr">
        <is>
          <t>☐</t>
        </is>
      </c>
      <c r="J1304" s="26" t="inlineStr">
        <is>
          <t>☐</t>
        </is>
      </c>
      <c r="K1304" s="26" t="inlineStr">
        <is>
          <t>☐</t>
        </is>
      </c>
      <c r="L1304" s="26" t="inlineStr">
        <is>
          <t>☐</t>
        </is>
      </c>
      <c r="M1304" s="25" t="n"/>
      <c r="N1304" s="27" t="n">
        <v>0</v>
      </c>
      <c r="O1304" s="28" t="n"/>
      <c r="P1304" s="23" t="n"/>
      <c r="Q1304" s="29" t="n"/>
      <c r="R1304" s="29" t="n"/>
      <c r="S1304" s="23" t="n"/>
      <c r="T1304" s="30" t="n"/>
      <c r="U1304" s="31" t="inlineStr">
        <is>
          <t>高</t>
        </is>
      </c>
      <c r="V1304" s="32" t="n"/>
      <c r="W1304" s="33" t="inlineStr">
        <is>
          <t>開く</t>
        </is>
      </c>
    </row>
    <row r="1305" ht="30" customHeight="1">
      <c r="A1305" s="23" t="inlineStr">
        <is>
          <t>43熊本県</t>
        </is>
      </c>
      <c r="B1305" s="23" t="inlineStr">
        <is>
          <t>私立</t>
        </is>
      </c>
      <c r="C1305" s="23" t="n"/>
      <c r="D1305" s="23" t="inlineStr">
        <is>
          <t>熊本学園大学付属高等学校</t>
        </is>
      </c>
      <c r="E1305" s="24" t="inlineStr">
        <is>
          <t>096-371-2551</t>
        </is>
      </c>
      <c r="F1305" s="23" t="n"/>
      <c r="G1305" s="25" t="inlineStr">
        <is>
          <t>普通科</t>
        </is>
      </c>
      <c r="H1305" s="26" t="inlineStr">
        <is>
          <t>☐</t>
        </is>
      </c>
      <c r="I1305" s="26" t="inlineStr">
        <is>
          <t>☐</t>
        </is>
      </c>
      <c r="J1305" s="26" t="inlineStr">
        <is>
          <t>☐</t>
        </is>
      </c>
      <c r="K1305" s="26" t="inlineStr">
        <is>
          <t>☐</t>
        </is>
      </c>
      <c r="L1305" s="26" t="inlineStr">
        <is>
          <t>☐</t>
        </is>
      </c>
      <c r="M1305" s="25" t="n"/>
      <c r="N1305" s="27" t="n">
        <v>0</v>
      </c>
      <c r="O1305" s="28" t="n"/>
      <c r="P1305" s="23" t="n"/>
      <c r="Q1305" s="29" t="n"/>
      <c r="R1305" s="29" t="n"/>
      <c r="S1305" s="23" t="n"/>
      <c r="T1305" s="30" t="n"/>
      <c r="U1305" s="31" t="inlineStr">
        <is>
          <t>高</t>
        </is>
      </c>
      <c r="V1305" s="32" t="inlineStr">
        <is>
          <t>付属中学校は096-364-2316</t>
        </is>
      </c>
      <c r="W1305" s="33" t="inlineStr">
        <is>
          <t>開く</t>
        </is>
      </c>
    </row>
    <row r="1306" ht="30" customHeight="1">
      <c r="A1306" s="23" t="inlineStr">
        <is>
          <t>43熊本県</t>
        </is>
      </c>
      <c r="B1306" s="23" t="inlineStr">
        <is>
          <t>私立</t>
        </is>
      </c>
      <c r="C1306" s="23" t="n"/>
      <c r="D1306" s="23" t="inlineStr">
        <is>
          <t>熊本国府高等学校</t>
        </is>
      </c>
      <c r="E1306" s="24" t="inlineStr">
        <is>
          <t>096-366-1276</t>
        </is>
      </c>
      <c r="F1306" s="23" t="n"/>
      <c r="G1306" s="25" t="inlineStr">
        <is>
          <t>普通科・専門学科</t>
        </is>
      </c>
      <c r="H1306" s="26" t="inlineStr">
        <is>
          <t>☐</t>
        </is>
      </c>
      <c r="I1306" s="26" t="inlineStr">
        <is>
          <t>☐</t>
        </is>
      </c>
      <c r="J1306" s="26" t="inlineStr">
        <is>
          <t>☐</t>
        </is>
      </c>
      <c r="K1306" s="26" t="inlineStr">
        <is>
          <t>☐</t>
        </is>
      </c>
      <c r="L1306" s="26" t="inlineStr">
        <is>
          <t>☐</t>
        </is>
      </c>
      <c r="M1306" s="25" t="n"/>
      <c r="N1306" s="27" t="n">
        <v>0</v>
      </c>
      <c r="O1306" s="28" t="n"/>
      <c r="P1306" s="23" t="n"/>
      <c r="Q1306" s="29" t="n"/>
      <c r="R1306" s="29" t="n"/>
      <c r="S1306" s="23" t="n"/>
      <c r="T1306" s="30" t="n"/>
      <c r="U1306" s="31" t="inlineStr">
        <is>
          <t>高</t>
        </is>
      </c>
      <c r="V1306" s="32" t="n"/>
      <c r="W1306" s="33" t="inlineStr">
        <is>
          <t>開く</t>
        </is>
      </c>
    </row>
    <row r="1307" ht="30" customHeight="1">
      <c r="A1307" s="23" t="inlineStr">
        <is>
          <t>43熊本県</t>
        </is>
      </c>
      <c r="B1307" s="23" t="inlineStr">
        <is>
          <t>私立</t>
        </is>
      </c>
      <c r="C1307" s="23" t="n"/>
      <c r="D1307" s="23" t="inlineStr">
        <is>
          <t>熊本信愛女学院高等学校</t>
        </is>
      </c>
      <c r="E1307" s="24" t="inlineStr">
        <is>
          <t>096-354-5355</t>
        </is>
      </c>
      <c r="F1307" s="23" t="n"/>
      <c r="G1307" s="25" t="inlineStr">
        <is>
          <t>普通科</t>
        </is>
      </c>
      <c r="H1307" s="26" t="inlineStr">
        <is>
          <t>☐</t>
        </is>
      </c>
      <c r="I1307" s="26" t="inlineStr">
        <is>
          <t>☐</t>
        </is>
      </c>
      <c r="J1307" s="26" t="inlineStr">
        <is>
          <t>☐</t>
        </is>
      </c>
      <c r="K1307" s="26" t="inlineStr">
        <is>
          <t>☐</t>
        </is>
      </c>
      <c r="L1307" s="26" t="inlineStr">
        <is>
          <t>☐</t>
        </is>
      </c>
      <c r="M1307" s="25" t="n"/>
      <c r="N1307" s="27" t="n">
        <v>0</v>
      </c>
      <c r="O1307" s="28" t="n"/>
      <c r="P1307" s="23" t="n"/>
      <c r="Q1307" s="29" t="n"/>
      <c r="R1307" s="29" t="n"/>
      <c r="S1307" s="23" t="n"/>
      <c r="T1307" s="30" t="n"/>
      <c r="U1307" s="31" t="inlineStr">
        <is>
          <t>高</t>
        </is>
      </c>
      <c r="V1307" s="32" t="n"/>
      <c r="W1307" s="33" t="inlineStr">
        <is>
          <t>開く</t>
        </is>
      </c>
    </row>
    <row r="1308" ht="30" customHeight="1">
      <c r="A1308" s="23" t="inlineStr">
        <is>
          <t>43熊本県</t>
        </is>
      </c>
      <c r="B1308" s="23" t="inlineStr">
        <is>
          <t>私立</t>
        </is>
      </c>
      <c r="C1308" s="23" t="n"/>
      <c r="D1308" s="23" t="inlineStr">
        <is>
          <t>くまもと清陵高等学校</t>
        </is>
      </c>
      <c r="E1308" s="24" t="inlineStr">
        <is>
          <t>0967-63-8251</t>
        </is>
      </c>
      <c r="F1308" s="23" t="n"/>
      <c r="G1308" s="25" t="inlineStr">
        <is>
          <t>普通科</t>
        </is>
      </c>
      <c r="H1308" s="26" t="inlineStr">
        <is>
          <t>☐</t>
        </is>
      </c>
      <c r="I1308" s="26" t="inlineStr">
        <is>
          <t>☐</t>
        </is>
      </c>
      <c r="J1308" s="26" t="inlineStr">
        <is>
          <t>☐</t>
        </is>
      </c>
      <c r="K1308" s="26" t="inlineStr">
        <is>
          <t>☐</t>
        </is>
      </c>
      <c r="L1308" s="26" t="inlineStr">
        <is>
          <t>☐</t>
        </is>
      </c>
      <c r="M1308" s="25" t="n"/>
      <c r="N1308" s="27" t="n">
        <v>0</v>
      </c>
      <c r="O1308" s="28" t="n"/>
      <c r="P1308" s="23" t="n"/>
      <c r="Q1308" s="29" t="n"/>
      <c r="R1308" s="29" t="n"/>
      <c r="S1308" s="23" t="n"/>
      <c r="T1308" s="30" t="n"/>
      <c r="U1308" s="31" t="inlineStr">
        <is>
          <t>高</t>
        </is>
      </c>
      <c r="V1308" s="32" t="inlineStr">
        <is>
          <t>通信制・南阿蘇村の本校</t>
        </is>
      </c>
      <c r="W1308" s="33" t="inlineStr">
        <is>
          <t>開く</t>
        </is>
      </c>
    </row>
    <row r="1309" ht="30" customHeight="1">
      <c r="A1309" s="23" t="inlineStr">
        <is>
          <t>43熊本県</t>
        </is>
      </c>
      <c r="B1309" s="23" t="inlineStr">
        <is>
          <t>私立</t>
        </is>
      </c>
      <c r="C1309" s="23" t="n"/>
      <c r="D1309" s="23" t="inlineStr">
        <is>
          <t>熊本中央高等学校</t>
        </is>
      </c>
      <c r="E1309" s="24" t="inlineStr">
        <is>
          <t>096-354-2333</t>
        </is>
      </c>
      <c r="F1309" s="23" t="n"/>
      <c r="G1309" s="25" t="inlineStr">
        <is>
          <t>普通科・専門学科</t>
        </is>
      </c>
      <c r="H1309" s="26" t="inlineStr">
        <is>
          <t>☐</t>
        </is>
      </c>
      <c r="I1309" s="26" t="inlineStr">
        <is>
          <t>☐</t>
        </is>
      </c>
      <c r="J1309" s="26" t="inlineStr">
        <is>
          <t>☐</t>
        </is>
      </c>
      <c r="K1309" s="26" t="inlineStr">
        <is>
          <t>☐</t>
        </is>
      </c>
      <c r="L1309" s="26" t="inlineStr">
        <is>
          <t>☐</t>
        </is>
      </c>
      <c r="M1309" s="25" t="n"/>
      <c r="N1309" s="27" t="n">
        <v>0</v>
      </c>
      <c r="O1309" s="28" t="n"/>
      <c r="P1309" s="23" t="n"/>
      <c r="Q1309" s="29" t="n"/>
      <c r="R1309" s="29" t="n"/>
      <c r="S1309" s="23" t="n"/>
      <c r="T1309" s="30" t="n"/>
      <c r="U1309" s="31" t="inlineStr">
        <is>
          <t>高</t>
        </is>
      </c>
      <c r="V1309" s="32" t="inlineStr">
        <is>
          <t>看護専攻科は096-354-2337</t>
        </is>
      </c>
      <c r="W1309" s="33" t="inlineStr">
        <is>
          <t>開く</t>
        </is>
      </c>
    </row>
    <row r="1310" ht="30" customHeight="1">
      <c r="A1310" s="23" t="inlineStr">
        <is>
          <t>43熊本県</t>
        </is>
      </c>
      <c r="B1310" s="23" t="inlineStr">
        <is>
          <t>私立</t>
        </is>
      </c>
      <c r="C1310" s="23" t="n"/>
      <c r="D1310" s="23" t="inlineStr">
        <is>
          <t>熊本マリスト学園高等学校</t>
        </is>
      </c>
      <c r="E1310" s="24" t="inlineStr">
        <is>
          <t>096-368-2131</t>
        </is>
      </c>
      <c r="F1310" s="23" t="n"/>
      <c r="G1310" s="25" t="inlineStr">
        <is>
          <t>普通科</t>
        </is>
      </c>
      <c r="H1310" s="26" t="inlineStr">
        <is>
          <t>☐</t>
        </is>
      </c>
      <c r="I1310" s="26" t="inlineStr">
        <is>
          <t>☐</t>
        </is>
      </c>
      <c r="J1310" s="26" t="inlineStr">
        <is>
          <t>☐</t>
        </is>
      </c>
      <c r="K1310" s="26" t="inlineStr">
        <is>
          <t>☐</t>
        </is>
      </c>
      <c r="L1310" s="26" t="inlineStr">
        <is>
          <t>☐</t>
        </is>
      </c>
      <c r="M1310" s="25" t="n"/>
      <c r="N1310" s="27" t="n">
        <v>0</v>
      </c>
      <c r="O1310" s="28" t="n"/>
      <c r="P1310" s="23" t="n"/>
      <c r="Q1310" s="29" t="n"/>
      <c r="R1310" s="29" t="n"/>
      <c r="S1310" s="23" t="n"/>
      <c r="T1310" s="30" t="n"/>
      <c r="U1310" s="31" t="inlineStr">
        <is>
          <t>高</t>
        </is>
      </c>
      <c r="V1310" s="32" t="inlineStr">
        <is>
          <t>中高共通番号</t>
        </is>
      </c>
      <c r="W1310" s="33" t="inlineStr">
        <is>
          <t>開く</t>
        </is>
      </c>
    </row>
    <row r="1311" ht="30" customHeight="1">
      <c r="A1311" s="23" t="inlineStr">
        <is>
          <t>43熊本県</t>
        </is>
      </c>
      <c r="B1311" s="23" t="inlineStr">
        <is>
          <t>私立</t>
        </is>
      </c>
      <c r="C1311" s="23" t="n"/>
      <c r="D1311" s="23" t="inlineStr">
        <is>
          <t>慶誠高等学校</t>
        </is>
      </c>
      <c r="E1311" s="24" t="inlineStr">
        <is>
          <t>096-366-0128</t>
        </is>
      </c>
      <c r="F1311" s="23" t="n"/>
      <c r="G1311" s="25" t="inlineStr">
        <is>
          <t>普通科・専門学科</t>
        </is>
      </c>
      <c r="H1311" s="26" t="inlineStr">
        <is>
          <t>☐</t>
        </is>
      </c>
      <c r="I1311" s="26" t="inlineStr">
        <is>
          <t>☐</t>
        </is>
      </c>
      <c r="J1311" s="26" t="inlineStr">
        <is>
          <t>☐</t>
        </is>
      </c>
      <c r="K1311" s="26" t="inlineStr">
        <is>
          <t>☐</t>
        </is>
      </c>
      <c r="L1311" s="26" t="inlineStr">
        <is>
          <t>☐</t>
        </is>
      </c>
      <c r="M1311" s="25" t="n"/>
      <c r="N1311" s="27" t="n">
        <v>0</v>
      </c>
      <c r="O1311" s="28" t="n"/>
      <c r="P1311" s="23" t="n"/>
      <c r="Q1311" s="29" t="n"/>
      <c r="R1311" s="29" t="n"/>
      <c r="S1311" s="23" t="n"/>
      <c r="T1311" s="30" t="n"/>
      <c r="U1311" s="31" t="inlineStr">
        <is>
          <t>高</t>
        </is>
      </c>
      <c r="V1311" s="32" t="n"/>
      <c r="W1311" s="33" t="inlineStr">
        <is>
          <t>開く</t>
        </is>
      </c>
    </row>
    <row r="1312" ht="30" customHeight="1">
      <c r="A1312" s="23" t="inlineStr">
        <is>
          <t>43熊本県</t>
        </is>
      </c>
      <c r="B1312" s="23" t="inlineStr">
        <is>
          <t>私立</t>
        </is>
      </c>
      <c r="C1312" s="23" t="n"/>
      <c r="D1312" s="23" t="inlineStr">
        <is>
          <t>秀岳館高等学校</t>
        </is>
      </c>
      <c r="E1312" s="24" t="inlineStr">
        <is>
          <t>0965-33-5134</t>
        </is>
      </c>
      <c r="F1312" s="23" t="n"/>
      <c r="G1312" s="25" t="inlineStr">
        <is>
          <t>普通科・専門学科</t>
        </is>
      </c>
      <c r="H1312" s="26" t="inlineStr">
        <is>
          <t>☐</t>
        </is>
      </c>
      <c r="I1312" s="26" t="inlineStr">
        <is>
          <t>☐</t>
        </is>
      </c>
      <c r="J1312" s="26" t="inlineStr">
        <is>
          <t>☐</t>
        </is>
      </c>
      <c r="K1312" s="26" t="inlineStr">
        <is>
          <t>☐</t>
        </is>
      </c>
      <c r="L1312" s="26" t="inlineStr">
        <is>
          <t>☐</t>
        </is>
      </c>
      <c r="M1312" s="25" t="n"/>
      <c r="N1312" s="27" t="n">
        <v>0</v>
      </c>
      <c r="O1312" s="28" t="n"/>
      <c r="P1312" s="23" t="n"/>
      <c r="Q1312" s="29" t="n"/>
      <c r="R1312" s="29" t="n"/>
      <c r="S1312" s="23" t="n"/>
      <c r="T1312" s="30" t="n"/>
      <c r="U1312" s="31" t="inlineStr">
        <is>
          <t>高</t>
        </is>
      </c>
      <c r="V1312" s="32" t="n"/>
      <c r="W1312" s="33" t="inlineStr">
        <is>
          <t>開く</t>
        </is>
      </c>
    </row>
    <row r="1313" ht="30" customHeight="1">
      <c r="A1313" s="23" t="inlineStr">
        <is>
          <t>43熊本県</t>
        </is>
      </c>
      <c r="B1313" s="23" t="inlineStr">
        <is>
          <t>私立</t>
        </is>
      </c>
      <c r="C1313" s="23" t="n"/>
      <c r="D1313" s="23" t="inlineStr">
        <is>
          <t>尚絅高等学校</t>
        </is>
      </c>
      <c r="E1313" s="24" t="inlineStr">
        <is>
          <t>096-366-0295</t>
        </is>
      </c>
      <c r="F1313" s="23" t="n"/>
      <c r="G1313" s="25" t="inlineStr">
        <is>
          <t>普通科</t>
        </is>
      </c>
      <c r="H1313" s="26" t="inlineStr">
        <is>
          <t>☐</t>
        </is>
      </c>
      <c r="I1313" s="26" t="inlineStr">
        <is>
          <t>☐</t>
        </is>
      </c>
      <c r="J1313" s="26" t="inlineStr">
        <is>
          <t>☐</t>
        </is>
      </c>
      <c r="K1313" s="26" t="inlineStr">
        <is>
          <t>☐</t>
        </is>
      </c>
      <c r="L1313" s="26" t="inlineStr">
        <is>
          <t>☐</t>
        </is>
      </c>
      <c r="M1313" s="25" t="n"/>
      <c r="N1313" s="27" t="n">
        <v>0</v>
      </c>
      <c r="O1313" s="28" t="n"/>
      <c r="P1313" s="23" t="n"/>
      <c r="Q1313" s="29" t="n"/>
      <c r="R1313" s="29" t="n"/>
      <c r="S1313" s="23" t="n"/>
      <c r="T1313" s="30" t="n"/>
      <c r="U1313" s="31" t="inlineStr">
        <is>
          <t>高</t>
        </is>
      </c>
      <c r="V1313" s="32" t="inlineStr">
        <is>
          <t>中高共通。学園事務局は096-364-0116</t>
        </is>
      </c>
      <c r="W1313" s="33" t="inlineStr">
        <is>
          <t>開く</t>
        </is>
      </c>
    </row>
    <row r="1314" ht="30" customHeight="1">
      <c r="A1314" s="23" t="inlineStr">
        <is>
          <t>43熊本県</t>
        </is>
      </c>
      <c r="B1314" s="23" t="inlineStr">
        <is>
          <t>私立</t>
        </is>
      </c>
      <c r="C1314" s="23" t="n"/>
      <c r="D1314" s="23" t="inlineStr">
        <is>
          <t>真和高等学校</t>
        </is>
      </c>
      <c r="E1314" s="24" t="inlineStr">
        <is>
          <t>096-364-8176</t>
        </is>
      </c>
      <c r="F1314" s="23" t="n"/>
      <c r="G1314" s="25" t="inlineStr">
        <is>
          <t>普通科</t>
        </is>
      </c>
      <c r="H1314" s="26" t="inlineStr">
        <is>
          <t>☐</t>
        </is>
      </c>
      <c r="I1314" s="26" t="inlineStr">
        <is>
          <t>☐</t>
        </is>
      </c>
      <c r="J1314" s="26" t="inlineStr">
        <is>
          <t>☐</t>
        </is>
      </c>
      <c r="K1314" s="26" t="inlineStr">
        <is>
          <t>☐</t>
        </is>
      </c>
      <c r="L1314" s="26" t="inlineStr">
        <is>
          <t>☐</t>
        </is>
      </c>
      <c r="M1314" s="25" t="n"/>
      <c r="N1314" s="27" t="n">
        <v>0</v>
      </c>
      <c r="O1314" s="28" t="n"/>
      <c r="P1314" s="23" t="n"/>
      <c r="Q1314" s="29" t="n"/>
      <c r="R1314" s="29" t="n"/>
      <c r="S1314" s="23" t="n"/>
      <c r="T1314" s="30" t="n"/>
      <c r="U1314" s="31" t="inlineStr">
        <is>
          <t>高</t>
        </is>
      </c>
      <c r="V1314" s="32" t="inlineStr">
        <is>
          <t>鎮西高校と同じ番号（鎮西学園の受付）。職員室096-366-6177の掲載もあり</t>
        </is>
      </c>
      <c r="W1314" s="33" t="inlineStr">
        <is>
          <t>開く</t>
        </is>
      </c>
    </row>
    <row r="1315" ht="30" customHeight="1">
      <c r="A1315" s="23" t="inlineStr">
        <is>
          <t>43熊本県</t>
        </is>
      </c>
      <c r="B1315" s="23" t="inlineStr">
        <is>
          <t>私立</t>
        </is>
      </c>
      <c r="C1315" s="23" t="n"/>
      <c r="D1315" s="23" t="inlineStr">
        <is>
          <t>城北高等学校（熊本県）</t>
        </is>
      </c>
      <c r="E1315" s="24" t="inlineStr">
        <is>
          <t>0968-44-8111</t>
        </is>
      </c>
      <c r="F1315" s="23" t="n"/>
      <c r="G1315" s="25" t="inlineStr">
        <is>
          <t>普通科・専門学科</t>
        </is>
      </c>
      <c r="H1315" s="26" t="inlineStr">
        <is>
          <t>☐</t>
        </is>
      </c>
      <c r="I1315" s="26" t="inlineStr">
        <is>
          <t>☐</t>
        </is>
      </c>
      <c r="J1315" s="26" t="inlineStr">
        <is>
          <t>☐</t>
        </is>
      </c>
      <c r="K1315" s="26" t="inlineStr">
        <is>
          <t>☐</t>
        </is>
      </c>
      <c r="L1315" s="26" t="inlineStr">
        <is>
          <t>☐</t>
        </is>
      </c>
      <c r="M1315" s="25" t="n"/>
      <c r="N1315" s="27" t="n">
        <v>0</v>
      </c>
      <c r="O1315" s="28" t="n"/>
      <c r="P1315" s="23" t="n"/>
      <c r="Q1315" s="29" t="n"/>
      <c r="R1315" s="29" t="n"/>
      <c r="S1315" s="23" t="n"/>
      <c r="T1315" s="30" t="n"/>
      <c r="U1315" s="31" t="inlineStr">
        <is>
          <t>高</t>
        </is>
      </c>
      <c r="V1315" s="32" t="n"/>
      <c r="W1315" s="33" t="inlineStr">
        <is>
          <t>開く</t>
        </is>
      </c>
    </row>
    <row r="1316" ht="30" customHeight="1">
      <c r="A1316" s="23" t="inlineStr">
        <is>
          <t>43熊本県</t>
        </is>
      </c>
      <c r="B1316" s="23" t="inlineStr">
        <is>
          <t>私立</t>
        </is>
      </c>
      <c r="C1316" s="23" t="n"/>
      <c r="D1316" s="23" t="inlineStr">
        <is>
          <t>専修大学熊本玉名高等学校</t>
        </is>
      </c>
      <c r="E1316" s="24" t="inlineStr">
        <is>
          <t>0968-72-4151</t>
        </is>
      </c>
      <c r="F1316" s="23" t="n"/>
      <c r="G1316" s="25" t="inlineStr">
        <is>
          <t>普通科・専門学科</t>
        </is>
      </c>
      <c r="H1316" s="26" t="inlineStr">
        <is>
          <t>☐</t>
        </is>
      </c>
      <c r="I1316" s="26" t="inlineStr">
        <is>
          <t>☐</t>
        </is>
      </c>
      <c r="J1316" s="26" t="inlineStr">
        <is>
          <t>☐</t>
        </is>
      </c>
      <c r="K1316" s="26" t="inlineStr">
        <is>
          <t>☐</t>
        </is>
      </c>
      <c r="L1316" s="26" t="inlineStr">
        <is>
          <t>☐</t>
        </is>
      </c>
      <c r="M1316" s="25" t="n"/>
      <c r="N1316" s="27" t="n">
        <v>0</v>
      </c>
      <c r="O1316" s="28" t="n"/>
      <c r="P1316" s="23" t="n"/>
      <c r="Q1316" s="29" t="n"/>
      <c r="R1316" s="29" t="n"/>
      <c r="S1316" s="23" t="n"/>
      <c r="T1316" s="30" t="n"/>
      <c r="U1316" s="31" t="inlineStr">
        <is>
          <t>高</t>
        </is>
      </c>
      <c r="V1316" s="32" t="n"/>
      <c r="W1316" s="33" t="inlineStr">
        <is>
          <t>開く</t>
        </is>
      </c>
    </row>
    <row r="1317" ht="30" customHeight="1">
      <c r="A1317" s="23" t="inlineStr">
        <is>
          <t>43熊本県</t>
        </is>
      </c>
      <c r="B1317" s="23" t="inlineStr">
        <is>
          <t>私立</t>
        </is>
      </c>
      <c r="C1317" s="23" t="n"/>
      <c r="D1317" s="23" t="inlineStr">
        <is>
          <t>玉名女子高等学校</t>
        </is>
      </c>
      <c r="E1317" s="24" t="inlineStr">
        <is>
          <t>0968-72-5161</t>
        </is>
      </c>
      <c r="F1317" s="23" t="n"/>
      <c r="G1317" s="25" t="inlineStr">
        <is>
          <t>普通科・専門学科</t>
        </is>
      </c>
      <c r="H1317" s="26" t="inlineStr">
        <is>
          <t>☐</t>
        </is>
      </c>
      <c r="I1317" s="26" t="inlineStr">
        <is>
          <t>☐</t>
        </is>
      </c>
      <c r="J1317" s="26" t="inlineStr">
        <is>
          <t>☐</t>
        </is>
      </c>
      <c r="K1317" s="26" t="inlineStr">
        <is>
          <t>☐</t>
        </is>
      </c>
      <c r="L1317" s="26" t="inlineStr">
        <is>
          <t>☐</t>
        </is>
      </c>
      <c r="M1317" s="25" t="n"/>
      <c r="N1317" s="27" t="n">
        <v>0</v>
      </c>
      <c r="O1317" s="28" t="n"/>
      <c r="P1317" s="23" t="n"/>
      <c r="Q1317" s="29" t="n"/>
      <c r="R1317" s="29" t="n"/>
      <c r="S1317" s="23" t="n"/>
      <c r="T1317" s="30" t="n"/>
      <c r="U1317" s="31" t="inlineStr">
        <is>
          <t>高</t>
        </is>
      </c>
      <c r="V1317" s="32" t="n"/>
      <c r="W1317" s="33" t="inlineStr">
        <is>
          <t>開く</t>
        </is>
      </c>
    </row>
    <row r="1318" ht="30" customHeight="1">
      <c r="A1318" s="23" t="inlineStr">
        <is>
          <t>43熊本県</t>
        </is>
      </c>
      <c r="B1318" s="23" t="inlineStr">
        <is>
          <t>私立</t>
        </is>
      </c>
      <c r="C1318" s="23" t="n"/>
      <c r="D1318" s="23" t="inlineStr">
        <is>
          <t>鎮西高等学校</t>
        </is>
      </c>
      <c r="E1318" s="24" t="inlineStr">
        <is>
          <t>096-364-8176</t>
        </is>
      </c>
      <c r="F1318" s="23" t="n"/>
      <c r="G1318" s="25" t="inlineStr">
        <is>
          <t>普通科</t>
        </is>
      </c>
      <c r="H1318" s="26" t="inlineStr">
        <is>
          <t>☐</t>
        </is>
      </c>
      <c r="I1318" s="26" t="inlineStr">
        <is>
          <t>☐</t>
        </is>
      </c>
      <c r="J1318" s="26" t="inlineStr">
        <is>
          <t>☐</t>
        </is>
      </c>
      <c r="K1318" s="26" t="inlineStr">
        <is>
          <t>☐</t>
        </is>
      </c>
      <c r="L1318" s="26" t="inlineStr">
        <is>
          <t>☐</t>
        </is>
      </c>
      <c r="M1318" s="25" t="n"/>
      <c r="N1318" s="27" t="n">
        <v>0</v>
      </c>
      <c r="O1318" s="28" t="n"/>
      <c r="P1318" s="23" t="n"/>
      <c r="Q1318" s="29" t="n"/>
      <c r="R1318" s="29" t="n"/>
      <c r="S1318" s="23" t="n"/>
      <c r="T1318" s="30" t="n"/>
      <c r="U1318" s="31" t="inlineStr">
        <is>
          <t>高</t>
        </is>
      </c>
      <c r="V1318" s="32" t="inlineStr">
        <is>
          <t>真和中高と同じ番号（鎮西学園）</t>
        </is>
      </c>
      <c r="W1318" s="33" t="inlineStr">
        <is>
          <t>開く</t>
        </is>
      </c>
    </row>
    <row r="1319" ht="30" customHeight="1">
      <c r="A1319" s="23" t="inlineStr">
        <is>
          <t>43熊本県</t>
        </is>
      </c>
      <c r="B1319" s="23" t="inlineStr">
        <is>
          <t>私立</t>
        </is>
      </c>
      <c r="C1319" s="23" t="n"/>
      <c r="D1319" s="23" t="inlineStr">
        <is>
          <t>東海大学付属熊本星翔高等学校</t>
        </is>
      </c>
      <c r="E1319" s="24" t="inlineStr">
        <is>
          <t>096-382-1146</t>
        </is>
      </c>
      <c r="F1319" s="23" t="n"/>
      <c r="G1319" s="25" t="inlineStr">
        <is>
          <t>普通科</t>
        </is>
      </c>
      <c r="H1319" s="26" t="inlineStr">
        <is>
          <t>☐</t>
        </is>
      </c>
      <c r="I1319" s="26" t="inlineStr">
        <is>
          <t>☐</t>
        </is>
      </c>
      <c r="J1319" s="26" t="inlineStr">
        <is>
          <t>☐</t>
        </is>
      </c>
      <c r="K1319" s="26" t="inlineStr">
        <is>
          <t>☐</t>
        </is>
      </c>
      <c r="L1319" s="26" t="inlineStr">
        <is>
          <t>☐</t>
        </is>
      </c>
      <c r="M1319" s="25" t="n"/>
      <c r="N1319" s="27" t="n">
        <v>0</v>
      </c>
      <c r="O1319" s="28" t="n"/>
      <c r="P1319" s="23" t="n"/>
      <c r="Q1319" s="29" t="n"/>
      <c r="R1319" s="29" t="n"/>
      <c r="S1319" s="23" t="n"/>
      <c r="T1319" s="30" t="n"/>
      <c r="U1319" s="31" t="inlineStr">
        <is>
          <t>高</t>
        </is>
      </c>
      <c r="V1319" s="32" t="n"/>
      <c r="W1319" s="33" t="inlineStr">
        <is>
          <t>開く</t>
        </is>
      </c>
    </row>
    <row r="1320" ht="30" customHeight="1">
      <c r="A1320" s="23" t="inlineStr">
        <is>
          <t>43熊本県</t>
        </is>
      </c>
      <c r="B1320" s="23" t="inlineStr">
        <is>
          <t>私立</t>
        </is>
      </c>
      <c r="C1320" s="23" t="n"/>
      <c r="D1320" s="23" t="inlineStr">
        <is>
          <t>一ツ葉高等学校</t>
        </is>
      </c>
      <c r="E1320" s="24" t="inlineStr">
        <is>
          <t>0967-72-3344</t>
        </is>
      </c>
      <c r="F1320" s="23" t="n"/>
      <c r="G1320" s="25" t="inlineStr">
        <is>
          <t>普通科</t>
        </is>
      </c>
      <c r="H1320" s="26" t="inlineStr">
        <is>
          <t>☐</t>
        </is>
      </c>
      <c r="I1320" s="26" t="inlineStr">
        <is>
          <t>☐</t>
        </is>
      </c>
      <c r="J1320" s="26" t="inlineStr">
        <is>
          <t>☐</t>
        </is>
      </c>
      <c r="K1320" s="26" t="inlineStr">
        <is>
          <t>☐</t>
        </is>
      </c>
      <c r="L1320" s="26" t="inlineStr">
        <is>
          <t>☐</t>
        </is>
      </c>
      <c r="M1320" s="25" t="n"/>
      <c r="N1320" s="27" t="n">
        <v>0</v>
      </c>
      <c r="O1320" s="28" t="n"/>
      <c r="P1320" s="23" t="n"/>
      <c r="Q1320" s="29" t="n"/>
      <c r="R1320" s="29" t="n"/>
      <c r="S1320" s="23" t="n"/>
      <c r="T1320" s="30" t="n"/>
      <c r="U1320" s="31" t="inlineStr">
        <is>
          <t>高</t>
        </is>
      </c>
      <c r="V1320" s="32" t="inlineStr">
        <is>
          <t>通信制・山都町の本校。フリーダイヤル0120-277-128</t>
        </is>
      </c>
      <c r="W1320" s="33" t="inlineStr">
        <is>
          <t>開く</t>
        </is>
      </c>
    </row>
    <row r="1321" ht="30" customHeight="1">
      <c r="A1321" s="23" t="inlineStr">
        <is>
          <t>43熊本県</t>
        </is>
      </c>
      <c r="B1321" s="23" t="inlineStr">
        <is>
          <t>私立</t>
        </is>
      </c>
      <c r="C1321" s="23" t="n"/>
      <c r="D1321" s="23" t="inlineStr">
        <is>
          <t>文徳高等学校</t>
        </is>
      </c>
      <c r="E1321" s="24" t="inlineStr">
        <is>
          <t>096-354-6416</t>
        </is>
      </c>
      <c r="F1321" s="23" t="n"/>
      <c r="G1321" s="25" t="inlineStr">
        <is>
          <t>普通科・専門学科</t>
        </is>
      </c>
      <c r="H1321" s="26" t="inlineStr">
        <is>
          <t>☐</t>
        </is>
      </c>
      <c r="I1321" s="26" t="inlineStr">
        <is>
          <t>☐</t>
        </is>
      </c>
      <c r="J1321" s="26" t="inlineStr">
        <is>
          <t>☐</t>
        </is>
      </c>
      <c r="K1321" s="26" t="inlineStr">
        <is>
          <t>☐</t>
        </is>
      </c>
      <c r="L1321" s="26" t="inlineStr">
        <is>
          <t>☐</t>
        </is>
      </c>
      <c r="M1321" s="25" t="n"/>
      <c r="N1321" s="27" t="n">
        <v>0</v>
      </c>
      <c r="O1321" s="28" t="n"/>
      <c r="P1321" s="23" t="n"/>
      <c r="Q1321" s="29" t="n"/>
      <c r="R1321" s="29" t="n"/>
      <c r="S1321" s="23" t="n"/>
      <c r="T1321" s="30" t="n"/>
      <c r="U1321" s="31" t="inlineStr">
        <is>
          <t>高</t>
        </is>
      </c>
      <c r="V1321" s="32" t="inlineStr">
        <is>
          <t>文徳中学校は096-323-6677</t>
        </is>
      </c>
      <c r="W1321" s="33" t="inlineStr">
        <is>
          <t>開く</t>
        </is>
      </c>
    </row>
    <row r="1322" ht="30" customHeight="1">
      <c r="A1322" s="23" t="inlineStr">
        <is>
          <t>43熊本県</t>
        </is>
      </c>
      <c r="B1322" s="23" t="inlineStr">
        <is>
          <t>私立</t>
        </is>
      </c>
      <c r="C1322" s="23" t="n"/>
      <c r="D1322" s="23" t="inlineStr">
        <is>
          <t>八代白百合学園高等学校</t>
        </is>
      </c>
      <c r="E1322" s="24" t="inlineStr">
        <is>
          <t>0965-32-2354</t>
        </is>
      </c>
      <c r="F1322" s="23" t="n"/>
      <c r="G1322" s="25" t="inlineStr">
        <is>
          <t>普通科</t>
        </is>
      </c>
      <c r="H1322" s="26" t="inlineStr">
        <is>
          <t>☐</t>
        </is>
      </c>
      <c r="I1322" s="26" t="inlineStr">
        <is>
          <t>☐</t>
        </is>
      </c>
      <c r="J1322" s="26" t="inlineStr">
        <is>
          <t>☐</t>
        </is>
      </c>
      <c r="K1322" s="26" t="inlineStr">
        <is>
          <t>☐</t>
        </is>
      </c>
      <c r="L1322" s="26" t="inlineStr">
        <is>
          <t>☐</t>
        </is>
      </c>
      <c r="M1322" s="25" t="n"/>
      <c r="N1322" s="27" t="n">
        <v>0</v>
      </c>
      <c r="O1322" s="28" t="n"/>
      <c r="P1322" s="23" t="n"/>
      <c r="Q1322" s="29" t="n"/>
      <c r="R1322" s="29" t="n"/>
      <c r="S1322" s="23" t="n"/>
      <c r="T1322" s="30" t="n"/>
      <c r="U1322" s="31" t="inlineStr">
        <is>
          <t>高</t>
        </is>
      </c>
      <c r="V1322" s="32" t="n"/>
      <c r="W1322" s="33" t="inlineStr">
        <is>
          <t>開く</t>
        </is>
      </c>
    </row>
    <row r="1323" ht="30" customHeight="1">
      <c r="A1323" s="23" t="inlineStr">
        <is>
          <t>43熊本県</t>
        </is>
      </c>
      <c r="B1323" s="23" t="inlineStr">
        <is>
          <t>私立</t>
        </is>
      </c>
      <c r="C1323" s="23" t="n"/>
      <c r="D1323" s="23" t="inlineStr">
        <is>
          <t>勇志国際高等学校</t>
        </is>
      </c>
      <c r="E1323" s="24" t="inlineStr">
        <is>
          <t>0969-67-3911</t>
        </is>
      </c>
      <c r="F1323" s="23" t="n"/>
      <c r="G1323" s="25" t="inlineStr">
        <is>
          <t>普通科</t>
        </is>
      </c>
      <c r="H1323" s="26" t="inlineStr">
        <is>
          <t>☐</t>
        </is>
      </c>
      <c r="I1323" s="26" t="inlineStr">
        <is>
          <t>☐</t>
        </is>
      </c>
      <c r="J1323" s="26" t="inlineStr">
        <is>
          <t>☐</t>
        </is>
      </c>
      <c r="K1323" s="26" t="inlineStr">
        <is>
          <t>☐</t>
        </is>
      </c>
      <c r="L1323" s="26" t="inlineStr">
        <is>
          <t>☐</t>
        </is>
      </c>
      <c r="M1323" s="25" t="n"/>
      <c r="N1323" s="27" t="n">
        <v>0</v>
      </c>
      <c r="O1323" s="28" t="n"/>
      <c r="P1323" s="23" t="n"/>
      <c r="Q1323" s="29" t="n"/>
      <c r="R1323" s="29" t="n"/>
      <c r="S1323" s="23" t="n"/>
      <c r="T1323" s="30" t="n"/>
      <c r="U1323" s="34" t="inlineStr">
        <is>
          <t>中</t>
        </is>
      </c>
      <c r="V1323" s="32" t="inlineStr">
        <is>
          <t>通信制・天草市の本校。現公式はフリーダイヤル0120-593-135を案内</t>
        </is>
      </c>
      <c r="W1323" s="33" t="inlineStr">
        <is>
          <t>開く</t>
        </is>
      </c>
    </row>
    <row r="1324" ht="30" customHeight="1">
      <c r="A1324" s="23" t="inlineStr">
        <is>
          <t>43熊本県</t>
        </is>
      </c>
      <c r="B1324" s="23" t="inlineStr">
        <is>
          <t>私立</t>
        </is>
      </c>
      <c r="C1324" s="23" t="n"/>
      <c r="D1324" s="23" t="inlineStr">
        <is>
          <t>ルーテル学院高等学校</t>
        </is>
      </c>
      <c r="E1324" s="24" t="inlineStr">
        <is>
          <t>096-343-3246</t>
        </is>
      </c>
      <c r="F1324" s="23" t="n"/>
      <c r="G1324" s="25" t="inlineStr">
        <is>
          <t>普通科</t>
        </is>
      </c>
      <c r="H1324" s="26" t="inlineStr">
        <is>
          <t>☐</t>
        </is>
      </c>
      <c r="I1324" s="26" t="inlineStr">
        <is>
          <t>☐</t>
        </is>
      </c>
      <c r="J1324" s="26" t="inlineStr">
        <is>
          <t>☐</t>
        </is>
      </c>
      <c r="K1324" s="26" t="inlineStr">
        <is>
          <t>☐</t>
        </is>
      </c>
      <c r="L1324" s="26" t="inlineStr">
        <is>
          <t>☐</t>
        </is>
      </c>
      <c r="M1324" s="25" t="n"/>
      <c r="N1324" s="27" t="n">
        <v>0</v>
      </c>
      <c r="O1324" s="28" t="n"/>
      <c r="P1324" s="23" t="n"/>
      <c r="Q1324" s="29" t="n"/>
      <c r="R1324" s="29" t="n"/>
      <c r="S1324" s="23" t="n"/>
      <c r="T1324" s="30" t="n"/>
      <c r="U1324" s="31" t="inlineStr">
        <is>
          <t>高</t>
        </is>
      </c>
      <c r="V1324" s="32" t="inlineStr">
        <is>
          <t>中高共通。法人事務局は096-343-3111</t>
        </is>
      </c>
      <c r="W1324" s="33" t="inlineStr">
        <is>
          <t>開く</t>
        </is>
      </c>
    </row>
    <row r="1325" ht="30" customHeight="1">
      <c r="A1325" s="23" t="inlineStr">
        <is>
          <t>44大分県</t>
        </is>
      </c>
      <c r="B1325" s="23" t="inlineStr">
        <is>
          <t>私立</t>
        </is>
      </c>
      <c r="C1325" s="23" t="n"/>
      <c r="D1325" s="23" t="inlineStr">
        <is>
          <t>稲葉学園高等学校</t>
        </is>
      </c>
      <c r="E1325" s="24" t="inlineStr">
        <is>
          <t>0974-63-3223</t>
        </is>
      </c>
      <c r="F1325" s="23" t="n"/>
      <c r="G1325" s="25" t="inlineStr">
        <is>
          <t>普通科</t>
        </is>
      </c>
      <c r="H1325" s="26" t="inlineStr">
        <is>
          <t>☐</t>
        </is>
      </c>
      <c r="I1325" s="26" t="inlineStr">
        <is>
          <t>☐</t>
        </is>
      </c>
      <c r="J1325" s="26" t="inlineStr">
        <is>
          <t>☐</t>
        </is>
      </c>
      <c r="K1325" s="26" t="inlineStr">
        <is>
          <t>☐</t>
        </is>
      </c>
      <c r="L1325" s="26" t="inlineStr">
        <is>
          <t>☐</t>
        </is>
      </c>
      <c r="M1325" s="25" t="n"/>
      <c r="N1325" s="27" t="n">
        <v>0</v>
      </c>
      <c r="O1325" s="28" t="n"/>
      <c r="P1325" s="23" t="n"/>
      <c r="Q1325" s="29" t="n"/>
      <c r="R1325" s="29" t="n"/>
      <c r="S1325" s="23" t="n"/>
      <c r="T1325" s="30" t="n"/>
      <c r="U1325" s="31" t="inlineStr">
        <is>
          <t>高</t>
        </is>
      </c>
      <c r="V1325" s="32" t="inlineStr">
        <is>
          <t>旧・竹田南高等学校。NAVITIMEは0974-63-3613を掲載</t>
        </is>
      </c>
      <c r="W1325" s="33" t="inlineStr">
        <is>
          <t>開く</t>
        </is>
      </c>
    </row>
    <row r="1326" ht="30" customHeight="1">
      <c r="A1326" s="23" t="inlineStr">
        <is>
          <t>44大分県</t>
        </is>
      </c>
      <c r="B1326" s="23" t="inlineStr">
        <is>
          <t>私立</t>
        </is>
      </c>
      <c r="C1326" s="23" t="n"/>
      <c r="D1326" s="23" t="inlineStr">
        <is>
          <t>岩田高等学校</t>
        </is>
      </c>
      <c r="E1326" s="24" t="inlineStr">
        <is>
          <t>097-558-3007</t>
        </is>
      </c>
      <c r="F1326" s="23" t="n"/>
      <c r="G1326" s="25" t="inlineStr">
        <is>
          <t>普通科</t>
        </is>
      </c>
      <c r="H1326" s="26" t="inlineStr">
        <is>
          <t>☐</t>
        </is>
      </c>
      <c r="I1326" s="26" t="inlineStr">
        <is>
          <t>☐</t>
        </is>
      </c>
      <c r="J1326" s="26" t="inlineStr">
        <is>
          <t>☐</t>
        </is>
      </c>
      <c r="K1326" s="26" t="inlineStr">
        <is>
          <t>☐</t>
        </is>
      </c>
      <c r="L1326" s="26" t="inlineStr">
        <is>
          <t>☐</t>
        </is>
      </c>
      <c r="M1326" s="25" t="n"/>
      <c r="N1326" s="27" t="n">
        <v>0</v>
      </c>
      <c r="O1326" s="28" t="n"/>
      <c r="P1326" s="23" t="n"/>
      <c r="Q1326" s="29" t="n"/>
      <c r="R1326" s="29" t="n"/>
      <c r="S1326" s="23" t="n"/>
      <c r="T1326" s="30" t="n"/>
      <c r="U1326" s="31" t="inlineStr">
        <is>
          <t>高</t>
        </is>
      </c>
      <c r="V1326" s="32" t="inlineStr">
        <is>
          <t>中高共通番号</t>
        </is>
      </c>
      <c r="W1326" s="33" t="inlineStr">
        <is>
          <t>開く</t>
        </is>
      </c>
    </row>
    <row r="1327" ht="30" customHeight="1">
      <c r="A1327" s="23" t="inlineStr">
        <is>
          <t>44大分県</t>
        </is>
      </c>
      <c r="B1327" s="23" t="inlineStr">
        <is>
          <t>私立</t>
        </is>
      </c>
      <c r="C1327" s="23" t="n"/>
      <c r="D1327" s="23" t="inlineStr">
        <is>
          <t>大分高等学校</t>
        </is>
      </c>
      <c r="E1327" s="24" t="inlineStr">
        <is>
          <t>097-551-1101</t>
        </is>
      </c>
      <c r="F1327" s="23" t="n"/>
      <c r="G1327" s="25" t="inlineStr">
        <is>
          <t>普通科・専門学科</t>
        </is>
      </c>
      <c r="H1327" s="26" t="inlineStr">
        <is>
          <t>☐</t>
        </is>
      </c>
      <c r="I1327" s="26" t="inlineStr">
        <is>
          <t>☐</t>
        </is>
      </c>
      <c r="J1327" s="26" t="inlineStr">
        <is>
          <t>☐</t>
        </is>
      </c>
      <c r="K1327" s="26" t="inlineStr">
        <is>
          <t>☐</t>
        </is>
      </c>
      <c r="L1327" s="26" t="inlineStr">
        <is>
          <t>☐</t>
        </is>
      </c>
      <c r="M1327" s="25" t="n"/>
      <c r="N1327" s="27" t="n">
        <v>0</v>
      </c>
      <c r="O1327" s="28" t="n"/>
      <c r="P1327" s="23" t="n"/>
      <c r="Q1327" s="29" t="n"/>
      <c r="R1327" s="29" t="n"/>
      <c r="S1327" s="23" t="n"/>
      <c r="T1327" s="30" t="n"/>
      <c r="U1327" s="31" t="inlineStr">
        <is>
          <t>高</t>
        </is>
      </c>
      <c r="V1327" s="32" t="inlineStr">
        <is>
          <t>大分中学校を併設</t>
        </is>
      </c>
      <c r="W1327" s="33" t="inlineStr">
        <is>
          <t>開く</t>
        </is>
      </c>
    </row>
    <row r="1328" ht="30" customHeight="1">
      <c r="A1328" s="23" t="inlineStr">
        <is>
          <t>44大分県</t>
        </is>
      </c>
      <c r="B1328" s="23" t="inlineStr">
        <is>
          <t>私立</t>
        </is>
      </c>
      <c r="C1328" s="23" t="n"/>
      <c r="D1328" s="23" t="inlineStr">
        <is>
          <t>大分国際情報高等学校</t>
        </is>
      </c>
      <c r="E1328" s="24" t="inlineStr">
        <is>
          <t>097-558-3734</t>
        </is>
      </c>
      <c r="F1328" s="23" t="n"/>
      <c r="G1328" s="25" t="inlineStr">
        <is>
          <t>普通科</t>
        </is>
      </c>
      <c r="H1328" s="26" t="inlineStr">
        <is>
          <t>☐</t>
        </is>
      </c>
      <c r="I1328" s="26" t="inlineStr">
        <is>
          <t>☐</t>
        </is>
      </c>
      <c r="J1328" s="26" t="inlineStr">
        <is>
          <t>☐</t>
        </is>
      </c>
      <c r="K1328" s="26" t="inlineStr">
        <is>
          <t>☐</t>
        </is>
      </c>
      <c r="L1328" s="26" t="inlineStr">
        <is>
          <t>☐</t>
        </is>
      </c>
      <c r="M1328" s="25" t="n"/>
      <c r="N1328" s="27" t="n">
        <v>0</v>
      </c>
      <c r="O1328" s="28" t="n"/>
      <c r="P1328" s="23" t="n"/>
      <c r="Q1328" s="29" t="n"/>
      <c r="R1328" s="29" t="n"/>
      <c r="S1328" s="23" t="n"/>
      <c r="T1328" s="30" t="n"/>
      <c r="U1328" s="31" t="inlineStr">
        <is>
          <t>高</t>
        </is>
      </c>
      <c r="V1328" s="32" t="n"/>
      <c r="W1328" s="33" t="inlineStr">
        <is>
          <t>開く</t>
        </is>
      </c>
    </row>
    <row r="1329" ht="30" customHeight="1">
      <c r="A1329" s="23" t="inlineStr">
        <is>
          <t>44大分県</t>
        </is>
      </c>
      <c r="B1329" s="23" t="inlineStr">
        <is>
          <t>私立</t>
        </is>
      </c>
      <c r="C1329" s="23" t="n"/>
      <c r="D1329" s="23" t="inlineStr">
        <is>
          <t>大分東明高等学校</t>
        </is>
      </c>
      <c r="E1329" s="24" t="inlineStr">
        <is>
          <t>097-535-0201</t>
        </is>
      </c>
      <c r="F1329" s="23" t="n"/>
      <c r="G1329" s="25" t="inlineStr">
        <is>
          <t>普通科・専門学科</t>
        </is>
      </c>
      <c r="H1329" s="26" t="inlineStr">
        <is>
          <t>☐</t>
        </is>
      </c>
      <c r="I1329" s="26" t="inlineStr">
        <is>
          <t>☐</t>
        </is>
      </c>
      <c r="J1329" s="26" t="inlineStr">
        <is>
          <t>☐</t>
        </is>
      </c>
      <c r="K1329" s="26" t="inlineStr">
        <is>
          <t>☐</t>
        </is>
      </c>
      <c r="L1329" s="26" t="inlineStr">
        <is>
          <t>☐</t>
        </is>
      </c>
      <c r="M1329" s="25" t="n"/>
      <c r="N1329" s="27" t="n">
        <v>0</v>
      </c>
      <c r="O1329" s="28" t="n"/>
      <c r="P1329" s="23" t="n"/>
      <c r="Q1329" s="29" t="n"/>
      <c r="R1329" s="29" t="n"/>
      <c r="S1329" s="23" t="n"/>
      <c r="T1329" s="30" t="n"/>
      <c r="U1329" s="31" t="inlineStr">
        <is>
          <t>高</t>
        </is>
      </c>
      <c r="V1329" s="32" t="inlineStr">
        <is>
          <t>法人（平松学園）代表と同じ番号</t>
        </is>
      </c>
      <c r="W1329" s="33" t="inlineStr">
        <is>
          <t>開く</t>
        </is>
      </c>
    </row>
    <row r="1330" ht="30" customHeight="1">
      <c r="A1330" s="23" t="inlineStr">
        <is>
          <t>44大分県</t>
        </is>
      </c>
      <c r="B1330" s="23" t="inlineStr">
        <is>
          <t>私立</t>
        </is>
      </c>
      <c r="C1330" s="23" t="n"/>
      <c r="D1330" s="23" t="inlineStr">
        <is>
          <t>昭和学園高等学校</t>
        </is>
      </c>
      <c r="E1330" s="24" t="inlineStr">
        <is>
          <t>0973-22-7420</t>
        </is>
      </c>
      <c r="F1330" s="23" t="n"/>
      <c r="G1330" s="25" t="inlineStr">
        <is>
          <t>普通科・専門学科</t>
        </is>
      </c>
      <c r="H1330" s="26" t="inlineStr">
        <is>
          <t>☐</t>
        </is>
      </c>
      <c r="I1330" s="26" t="inlineStr">
        <is>
          <t>☐</t>
        </is>
      </c>
      <c r="J1330" s="26" t="inlineStr">
        <is>
          <t>☐</t>
        </is>
      </c>
      <c r="K1330" s="26" t="inlineStr">
        <is>
          <t>☐</t>
        </is>
      </c>
      <c r="L1330" s="26" t="inlineStr">
        <is>
          <t>☐</t>
        </is>
      </c>
      <c r="M1330" s="25" t="n"/>
      <c r="N1330" s="27" t="n">
        <v>0</v>
      </c>
      <c r="O1330" s="28" t="n"/>
      <c r="P1330" s="23" t="n"/>
      <c r="Q1330" s="29" t="n"/>
      <c r="R1330" s="29" t="n"/>
      <c r="S1330" s="23" t="n"/>
      <c r="T1330" s="30" t="n"/>
      <c r="U1330" s="31" t="inlineStr">
        <is>
          <t>高</t>
        </is>
      </c>
      <c r="V1330" s="32" t="inlineStr">
        <is>
          <t>事務室番号</t>
        </is>
      </c>
      <c r="W1330" s="33" t="inlineStr">
        <is>
          <t>開く</t>
        </is>
      </c>
    </row>
    <row r="1331" ht="30" customHeight="1">
      <c r="A1331" s="23" t="inlineStr">
        <is>
          <t>44大分県</t>
        </is>
      </c>
      <c r="B1331" s="23" t="inlineStr">
        <is>
          <t>私立</t>
        </is>
      </c>
      <c r="C1331" s="23" t="n"/>
      <c r="D1331" s="23" t="inlineStr">
        <is>
          <t>藤蔭高等学校</t>
        </is>
      </c>
      <c r="E1331" s="24" t="inlineStr">
        <is>
          <t>0973-24-2737</t>
        </is>
      </c>
      <c r="F1331" s="23" t="n"/>
      <c r="G1331" s="25" t="inlineStr">
        <is>
          <t>普通科・専門学科</t>
        </is>
      </c>
      <c r="H1331" s="26" t="inlineStr">
        <is>
          <t>☐</t>
        </is>
      </c>
      <c r="I1331" s="26" t="inlineStr">
        <is>
          <t>☐</t>
        </is>
      </c>
      <c r="J1331" s="26" t="inlineStr">
        <is>
          <t>☐</t>
        </is>
      </c>
      <c r="K1331" s="26" t="inlineStr">
        <is>
          <t>☐</t>
        </is>
      </c>
      <c r="L1331" s="26" t="inlineStr">
        <is>
          <t>☐</t>
        </is>
      </c>
      <c r="M1331" s="25" t="n"/>
      <c r="N1331" s="27" t="n">
        <v>0</v>
      </c>
      <c r="O1331" s="28" t="n"/>
      <c r="P1331" s="23" t="n"/>
      <c r="Q1331" s="29" t="n"/>
      <c r="R1331" s="29" t="n"/>
      <c r="S1331" s="23" t="n"/>
      <c r="T1331" s="30" t="n"/>
      <c r="U1331" s="31" t="inlineStr">
        <is>
          <t>高</t>
        </is>
      </c>
      <c r="V1331" s="32" t="inlineStr">
        <is>
          <t>通信制課程は0973-23-6655</t>
        </is>
      </c>
      <c r="W1331" s="33" t="inlineStr">
        <is>
          <t>開く</t>
        </is>
      </c>
    </row>
    <row r="1332" ht="30" customHeight="1">
      <c r="A1332" s="23" t="inlineStr">
        <is>
          <t>44大分県</t>
        </is>
      </c>
      <c r="B1332" s="23" t="inlineStr">
        <is>
          <t>私立</t>
        </is>
      </c>
      <c r="C1332" s="23" t="n"/>
      <c r="D1332" s="23" t="inlineStr">
        <is>
          <t>日本文理大学附属高等学校</t>
        </is>
      </c>
      <c r="E1332" s="24" t="inlineStr">
        <is>
          <t>0972-22-3501</t>
        </is>
      </c>
      <c r="F1332" s="23" t="n"/>
      <c r="G1332" s="25" t="inlineStr">
        <is>
          <t>普通科・専門学科</t>
        </is>
      </c>
      <c r="H1332" s="26" t="inlineStr">
        <is>
          <t>☐</t>
        </is>
      </c>
      <c r="I1332" s="26" t="inlineStr">
        <is>
          <t>☐</t>
        </is>
      </c>
      <c r="J1332" s="26" t="inlineStr">
        <is>
          <t>☐</t>
        </is>
      </c>
      <c r="K1332" s="26" t="inlineStr">
        <is>
          <t>☐</t>
        </is>
      </c>
      <c r="L1332" s="26" t="inlineStr">
        <is>
          <t>☐</t>
        </is>
      </c>
      <c r="M1332" s="25" t="n"/>
      <c r="N1332" s="27" t="n">
        <v>0</v>
      </c>
      <c r="O1332" s="28" t="n"/>
      <c r="P1332" s="23" t="n"/>
      <c r="Q1332" s="29" t="n"/>
      <c r="R1332" s="29" t="n"/>
      <c r="S1332" s="23" t="n"/>
      <c r="T1332" s="30" t="n"/>
      <c r="U1332" s="31" t="inlineStr">
        <is>
          <t>高</t>
        </is>
      </c>
      <c r="V1332" s="32" t="n"/>
      <c r="W1332" s="33" t="inlineStr">
        <is>
          <t>開く</t>
        </is>
      </c>
    </row>
    <row r="1333" ht="30" customHeight="1">
      <c r="A1333" s="23" t="inlineStr">
        <is>
          <t>44大分県</t>
        </is>
      </c>
      <c r="B1333" s="23" t="inlineStr">
        <is>
          <t>私立</t>
        </is>
      </c>
      <c r="C1333" s="23" t="n"/>
      <c r="D1333" s="23" t="inlineStr">
        <is>
          <t>東九州龍谷高等学校</t>
        </is>
      </c>
      <c r="E1333" s="24" t="inlineStr">
        <is>
          <t>0979-22-0416</t>
        </is>
      </c>
      <c r="F1333" s="23" t="n"/>
      <c r="G1333" s="25" t="inlineStr">
        <is>
          <t>普通科・専門学科</t>
        </is>
      </c>
      <c r="H1333" s="26" t="inlineStr">
        <is>
          <t>☐</t>
        </is>
      </c>
      <c r="I1333" s="26" t="inlineStr">
        <is>
          <t>☐</t>
        </is>
      </c>
      <c r="J1333" s="26" t="inlineStr">
        <is>
          <t>☐</t>
        </is>
      </c>
      <c r="K1333" s="26" t="inlineStr">
        <is>
          <t>☐</t>
        </is>
      </c>
      <c r="L1333" s="26" t="inlineStr">
        <is>
          <t>☐</t>
        </is>
      </c>
      <c r="M1333" s="25" t="n"/>
      <c r="N1333" s="27" t="n">
        <v>0</v>
      </c>
      <c r="O1333" s="28" t="n"/>
      <c r="P1333" s="23" t="n"/>
      <c r="Q1333" s="29" t="n"/>
      <c r="R1333" s="29" t="n"/>
      <c r="S1333" s="23" t="n"/>
      <c r="T1333" s="30" t="n"/>
      <c r="U1333" s="31" t="inlineStr">
        <is>
          <t>高</t>
        </is>
      </c>
      <c r="V1333" s="32" t="inlineStr">
        <is>
          <t>事務室番号。職員室は0979-22-2555</t>
        </is>
      </c>
      <c r="W1333" s="33" t="inlineStr">
        <is>
          <t>開く</t>
        </is>
      </c>
    </row>
    <row r="1334" ht="30" customHeight="1">
      <c r="A1334" s="23" t="inlineStr">
        <is>
          <t>44大分県</t>
        </is>
      </c>
      <c r="B1334" s="23" t="inlineStr">
        <is>
          <t>私立</t>
        </is>
      </c>
      <c r="C1334" s="23" t="n"/>
      <c r="D1334" s="23" t="inlineStr">
        <is>
          <t>福徳学院高等学校</t>
        </is>
      </c>
      <c r="E1334" s="24" t="inlineStr">
        <is>
          <t>097-544-3551</t>
        </is>
      </c>
      <c r="F1334" s="23" t="n"/>
      <c r="G1334" s="25" t="inlineStr">
        <is>
          <t>普通科・専門学科</t>
        </is>
      </c>
      <c r="H1334" s="26" t="inlineStr">
        <is>
          <t>☐</t>
        </is>
      </c>
      <c r="I1334" s="26" t="inlineStr">
        <is>
          <t>☐</t>
        </is>
      </c>
      <c r="J1334" s="26" t="inlineStr">
        <is>
          <t>☐</t>
        </is>
      </c>
      <c r="K1334" s="26" t="inlineStr">
        <is>
          <t>☐</t>
        </is>
      </c>
      <c r="L1334" s="26" t="inlineStr">
        <is>
          <t>☐</t>
        </is>
      </c>
      <c r="M1334" s="25" t="n"/>
      <c r="N1334" s="27" t="n">
        <v>0</v>
      </c>
      <c r="O1334" s="28" t="n"/>
      <c r="P1334" s="23" t="n"/>
      <c r="Q1334" s="29" t="n"/>
      <c r="R1334" s="29" t="n"/>
      <c r="S1334" s="23" t="n"/>
      <c r="T1334" s="30" t="n"/>
      <c r="U1334" s="31" t="inlineStr">
        <is>
          <t>高</t>
        </is>
      </c>
      <c r="V1334" s="32" t="n"/>
      <c r="W1334" s="33" t="inlineStr">
        <is>
          <t>開く</t>
        </is>
      </c>
    </row>
    <row r="1335" ht="30" customHeight="1">
      <c r="A1335" s="23" t="inlineStr">
        <is>
          <t>44大分県</t>
        </is>
      </c>
      <c r="B1335" s="23" t="inlineStr">
        <is>
          <t>私立</t>
        </is>
      </c>
      <c r="C1335" s="23" t="n"/>
      <c r="D1335" s="23" t="inlineStr">
        <is>
          <t>別府溝部学園高等学校</t>
        </is>
      </c>
      <c r="E1335" s="24" t="inlineStr">
        <is>
          <t>0977-67-6908</t>
        </is>
      </c>
      <c r="F1335" s="23" t="n"/>
      <c r="G1335" s="25" t="inlineStr">
        <is>
          <t>普通科・専門学科</t>
        </is>
      </c>
      <c r="H1335" s="26" t="inlineStr">
        <is>
          <t>☐</t>
        </is>
      </c>
      <c r="I1335" s="26" t="inlineStr">
        <is>
          <t>☐</t>
        </is>
      </c>
      <c r="J1335" s="26" t="inlineStr">
        <is>
          <t>☐</t>
        </is>
      </c>
      <c r="K1335" s="26" t="inlineStr">
        <is>
          <t>☐</t>
        </is>
      </c>
      <c r="L1335" s="26" t="inlineStr">
        <is>
          <t>☐</t>
        </is>
      </c>
      <c r="M1335" s="25" t="n"/>
      <c r="N1335" s="27" t="n">
        <v>0</v>
      </c>
      <c r="O1335" s="28" t="n"/>
      <c r="P1335" s="23" t="n"/>
      <c r="Q1335" s="29" t="n"/>
      <c r="R1335" s="29" t="n"/>
      <c r="S1335" s="23" t="n"/>
      <c r="T1335" s="30" t="n"/>
      <c r="U1335" s="31" t="inlineStr">
        <is>
          <t>高</t>
        </is>
      </c>
      <c r="V1335" s="32" t="inlineStr">
        <is>
          <t>電話帳サイトは0977-66-0224（短大と同番号）を掲載</t>
        </is>
      </c>
      <c r="W1335" s="33" t="inlineStr">
        <is>
          <t>開く</t>
        </is>
      </c>
    </row>
    <row r="1336" ht="30" customHeight="1">
      <c r="A1336" s="23" t="inlineStr">
        <is>
          <t>44大分県</t>
        </is>
      </c>
      <c r="B1336" s="23" t="inlineStr">
        <is>
          <t>私立</t>
        </is>
      </c>
      <c r="C1336" s="23" t="n"/>
      <c r="D1336" s="23" t="inlineStr">
        <is>
          <t>明豊高等学校</t>
        </is>
      </c>
      <c r="E1336" s="24" t="inlineStr">
        <is>
          <t>0977-27-3311</t>
        </is>
      </c>
      <c r="F1336" s="23" t="n"/>
      <c r="G1336" s="25" t="inlineStr">
        <is>
          <t>普通科・専門学科</t>
        </is>
      </c>
      <c r="H1336" s="26" t="inlineStr">
        <is>
          <t>☐</t>
        </is>
      </c>
      <c r="I1336" s="26" t="inlineStr">
        <is>
          <t>☐</t>
        </is>
      </c>
      <c r="J1336" s="26" t="inlineStr">
        <is>
          <t>☐</t>
        </is>
      </c>
      <c r="K1336" s="26" t="inlineStr">
        <is>
          <t>☐</t>
        </is>
      </c>
      <c r="L1336" s="26" t="inlineStr">
        <is>
          <t>☐</t>
        </is>
      </c>
      <c r="M1336" s="25" t="n"/>
      <c r="N1336" s="27" t="n">
        <v>0</v>
      </c>
      <c r="O1336" s="28" t="n"/>
      <c r="P1336" s="23" t="n"/>
      <c r="Q1336" s="29" t="n"/>
      <c r="R1336" s="29" t="n"/>
      <c r="S1336" s="23" t="n"/>
      <c r="T1336" s="30" t="n"/>
      <c r="U1336" s="31" t="inlineStr">
        <is>
          <t>高</t>
        </is>
      </c>
      <c r="V1336" s="32" t="n"/>
      <c r="W1336" s="33" t="inlineStr">
        <is>
          <t>開く</t>
        </is>
      </c>
    </row>
    <row r="1337" ht="30" customHeight="1">
      <c r="A1337" s="23" t="inlineStr">
        <is>
          <t>44大分県</t>
        </is>
      </c>
      <c r="B1337" s="23" t="inlineStr">
        <is>
          <t>私立</t>
        </is>
      </c>
      <c r="C1337" s="23" t="n"/>
      <c r="D1337" s="23" t="inlineStr">
        <is>
          <t>柳ケ浦高等学校</t>
        </is>
      </c>
      <c r="E1337" s="24" t="inlineStr">
        <is>
          <t>0978-38-0033</t>
        </is>
      </c>
      <c r="F1337" s="23" t="n"/>
      <c r="G1337" s="25" t="inlineStr">
        <is>
          <t>普通科・専門学科</t>
        </is>
      </c>
      <c r="H1337" s="26" t="inlineStr">
        <is>
          <t>☐</t>
        </is>
      </c>
      <c r="I1337" s="26" t="inlineStr">
        <is>
          <t>☐</t>
        </is>
      </c>
      <c r="J1337" s="26" t="inlineStr">
        <is>
          <t>☐</t>
        </is>
      </c>
      <c r="K1337" s="26" t="inlineStr">
        <is>
          <t>☐</t>
        </is>
      </c>
      <c r="L1337" s="26" t="inlineStr">
        <is>
          <t>☐</t>
        </is>
      </c>
      <c r="M1337" s="25" t="n"/>
      <c r="N1337" s="27" t="n">
        <v>0</v>
      </c>
      <c r="O1337" s="28" t="n"/>
      <c r="P1337" s="23" t="n"/>
      <c r="Q1337" s="29" t="n"/>
      <c r="R1337" s="29" t="n"/>
      <c r="S1337" s="23" t="n"/>
      <c r="T1337" s="30" t="n"/>
      <c r="U1337" s="31" t="inlineStr">
        <is>
          <t>高</t>
        </is>
      </c>
      <c r="V1337" s="32" t="inlineStr">
        <is>
          <t>公式表記は「柳ヶ浦」</t>
        </is>
      </c>
      <c r="W1337" s="33" t="inlineStr">
        <is>
          <t>開く</t>
        </is>
      </c>
    </row>
    <row r="1338" ht="30" customHeight="1">
      <c r="A1338" s="23" t="inlineStr">
        <is>
          <t>44大分県</t>
        </is>
      </c>
      <c r="B1338" s="23" t="inlineStr">
        <is>
          <t>私立</t>
        </is>
      </c>
      <c r="C1338" s="23" t="n"/>
      <c r="D1338" s="23" t="inlineStr">
        <is>
          <t>楊志館高等学校</t>
        </is>
      </c>
      <c r="E1338" s="24" t="inlineStr">
        <is>
          <t>097-543-6711</t>
        </is>
      </c>
      <c r="F1338" s="23" t="n"/>
      <c r="G1338" s="25" t="inlineStr">
        <is>
          <t>普通科・専門学科</t>
        </is>
      </c>
      <c r="H1338" s="26" t="inlineStr">
        <is>
          <t>☐</t>
        </is>
      </c>
      <c r="I1338" s="26" t="inlineStr">
        <is>
          <t>☐</t>
        </is>
      </c>
      <c r="J1338" s="26" t="inlineStr">
        <is>
          <t>☐</t>
        </is>
      </c>
      <c r="K1338" s="26" t="inlineStr">
        <is>
          <t>☐</t>
        </is>
      </c>
      <c r="L1338" s="26" t="inlineStr">
        <is>
          <t>☐</t>
        </is>
      </c>
      <c r="M1338" s="25" t="n"/>
      <c r="N1338" s="27" t="n">
        <v>0</v>
      </c>
      <c r="O1338" s="28" t="n"/>
      <c r="P1338" s="23" t="n"/>
      <c r="Q1338" s="29" t="n"/>
      <c r="R1338" s="29" t="n"/>
      <c r="S1338" s="23" t="n"/>
      <c r="T1338" s="30" t="n"/>
      <c r="U1338" s="31" t="inlineStr">
        <is>
          <t>高</t>
        </is>
      </c>
      <c r="V1338" s="32" t="inlineStr">
        <is>
          <t>法人（後藤学園）のページで確認</t>
        </is>
      </c>
      <c r="W1338" s="33" t="inlineStr">
        <is>
          <t>開く</t>
        </is>
      </c>
    </row>
    <row r="1339" ht="30" customHeight="1">
      <c r="A1339" s="23" t="inlineStr">
        <is>
          <t>45宮崎県</t>
        </is>
      </c>
      <c r="B1339" s="23" t="inlineStr">
        <is>
          <t>私立</t>
        </is>
      </c>
      <c r="C1339" s="23" t="n"/>
      <c r="D1339" s="23" t="inlineStr">
        <is>
          <t>櫻美学園高等学校</t>
        </is>
      </c>
      <c r="E1339" s="24" t="inlineStr">
        <is>
          <t>0986-52-1010</t>
        </is>
      </c>
      <c r="F1339" s="23" t="n"/>
      <c r="G1339" s="25" t="inlineStr">
        <is>
          <t>普通科・専門学科</t>
        </is>
      </c>
      <c r="H1339" s="26" t="inlineStr">
        <is>
          <t>☐</t>
        </is>
      </c>
      <c r="I1339" s="26" t="inlineStr">
        <is>
          <t>☐</t>
        </is>
      </c>
      <c r="J1339" s="26" t="inlineStr">
        <is>
          <t>☐</t>
        </is>
      </c>
      <c r="K1339" s="26" t="inlineStr">
        <is>
          <t>☐</t>
        </is>
      </c>
      <c r="L1339" s="26" t="inlineStr">
        <is>
          <t>☐</t>
        </is>
      </c>
      <c r="M1339" s="25" t="n"/>
      <c r="N1339" s="27" t="n">
        <v>0</v>
      </c>
      <c r="O1339" s="28" t="n"/>
      <c r="P1339" s="23" t="n"/>
      <c r="Q1339" s="29" t="n"/>
      <c r="R1339" s="29" t="n"/>
      <c r="S1339" s="23" t="n"/>
      <c r="T1339" s="30" t="n"/>
      <c r="U1339" s="31" t="inlineStr">
        <is>
          <t>高</t>
        </is>
      </c>
      <c r="V1339" s="32" t="inlineStr">
        <is>
          <t>2025年4月に都城東高等学校から校名変更</t>
        </is>
      </c>
      <c r="W1339" s="33" t="inlineStr">
        <is>
          <t>開く</t>
        </is>
      </c>
    </row>
    <row r="1340" ht="30" customHeight="1">
      <c r="A1340" s="23" t="inlineStr">
        <is>
          <t>45宮崎県</t>
        </is>
      </c>
      <c r="B1340" s="23" t="inlineStr">
        <is>
          <t>私立</t>
        </is>
      </c>
      <c r="C1340" s="23" t="n"/>
      <c r="D1340" s="23" t="inlineStr">
        <is>
          <t>小林西高等学校</t>
        </is>
      </c>
      <c r="E1340" s="24" t="inlineStr">
        <is>
          <t>0984-22-5155</t>
        </is>
      </c>
      <c r="F1340" s="23" t="n"/>
      <c r="G1340" s="25" t="inlineStr">
        <is>
          <t>普通科・専門学科</t>
        </is>
      </c>
      <c r="H1340" s="26" t="inlineStr">
        <is>
          <t>☐</t>
        </is>
      </c>
      <c r="I1340" s="26" t="inlineStr">
        <is>
          <t>☐</t>
        </is>
      </c>
      <c r="J1340" s="26" t="inlineStr">
        <is>
          <t>☐</t>
        </is>
      </c>
      <c r="K1340" s="26" t="inlineStr">
        <is>
          <t>☐</t>
        </is>
      </c>
      <c r="L1340" s="26" t="inlineStr">
        <is>
          <t>☐</t>
        </is>
      </c>
      <c r="M1340" s="25" t="n"/>
      <c r="N1340" s="27" t="n">
        <v>0</v>
      </c>
      <c r="O1340" s="28" t="n"/>
      <c r="P1340" s="23" t="n"/>
      <c r="Q1340" s="29" t="n"/>
      <c r="R1340" s="29" t="n"/>
      <c r="S1340" s="23" t="n"/>
      <c r="T1340" s="30" t="n"/>
      <c r="U1340" s="31" t="inlineStr">
        <is>
          <t>高</t>
        </is>
      </c>
      <c r="V1340" s="32" t="inlineStr">
        <is>
          <t>県サイトとも一致</t>
        </is>
      </c>
      <c r="W1340" s="33" t="inlineStr">
        <is>
          <t>開く</t>
        </is>
      </c>
    </row>
    <row r="1341" ht="30" customHeight="1">
      <c r="A1341" s="23" t="inlineStr">
        <is>
          <t>45宮崎県</t>
        </is>
      </c>
      <c r="B1341" s="23" t="inlineStr">
        <is>
          <t>私立</t>
        </is>
      </c>
      <c r="C1341" s="23" t="n"/>
      <c r="D1341" s="23" t="inlineStr">
        <is>
          <t>聖心ウルスラ学園高等学校</t>
        </is>
      </c>
      <c r="E1341" s="24" t="inlineStr">
        <is>
          <t>0982-33-3472</t>
        </is>
      </c>
      <c r="F1341" s="23" t="n"/>
      <c r="G1341" s="25" t="inlineStr">
        <is>
          <t>普通科・専門学科</t>
        </is>
      </c>
      <c r="H1341" s="26" t="inlineStr">
        <is>
          <t>☐</t>
        </is>
      </c>
      <c r="I1341" s="26" t="inlineStr">
        <is>
          <t>☐</t>
        </is>
      </c>
      <c r="J1341" s="26" t="inlineStr">
        <is>
          <t>☐</t>
        </is>
      </c>
      <c r="K1341" s="26" t="inlineStr">
        <is>
          <t>☐</t>
        </is>
      </c>
      <c r="L1341" s="26" t="inlineStr">
        <is>
          <t>☐</t>
        </is>
      </c>
      <c r="M1341" s="25" t="n"/>
      <c r="N1341" s="27" t="n">
        <v>0</v>
      </c>
      <c r="O1341" s="28" t="n"/>
      <c r="P1341" s="23" t="n"/>
      <c r="Q1341" s="29" t="n"/>
      <c r="R1341" s="29" t="n"/>
      <c r="S1341" s="23" t="n"/>
      <c r="T1341" s="30" t="n"/>
      <c r="U1341" s="31" t="inlineStr">
        <is>
          <t>高</t>
        </is>
      </c>
      <c r="V1341" s="32" t="inlineStr">
        <is>
          <t>電話帳サイトの0982-31-3058は公式と不一致</t>
        </is>
      </c>
      <c r="W1341" s="33" t="inlineStr">
        <is>
          <t>開く</t>
        </is>
      </c>
    </row>
    <row r="1342" ht="30" customHeight="1">
      <c r="A1342" s="23" t="inlineStr">
        <is>
          <t>45宮崎県</t>
        </is>
      </c>
      <c r="B1342" s="23" t="inlineStr">
        <is>
          <t>私立</t>
        </is>
      </c>
      <c r="C1342" s="23" t="n"/>
      <c r="D1342" s="23" t="inlineStr">
        <is>
          <t>日南学園高等学校</t>
        </is>
      </c>
      <c r="E1342" s="24" t="inlineStr">
        <is>
          <t>0987-23-1311</t>
        </is>
      </c>
      <c r="F1342" s="23" t="n"/>
      <c r="G1342" s="25" t="inlineStr">
        <is>
          <t>普通科・専門学科</t>
        </is>
      </c>
      <c r="H1342" s="26" t="inlineStr">
        <is>
          <t>☐</t>
        </is>
      </c>
      <c r="I1342" s="26" t="inlineStr">
        <is>
          <t>☐</t>
        </is>
      </c>
      <c r="J1342" s="26" t="inlineStr">
        <is>
          <t>☐</t>
        </is>
      </c>
      <c r="K1342" s="26" t="inlineStr">
        <is>
          <t>☐</t>
        </is>
      </c>
      <c r="L1342" s="26" t="inlineStr">
        <is>
          <t>☐</t>
        </is>
      </c>
      <c r="M1342" s="25" t="n"/>
      <c r="N1342" s="27" t="n">
        <v>0</v>
      </c>
      <c r="O1342" s="28" t="n"/>
      <c r="P1342" s="23" t="n"/>
      <c r="Q1342" s="29" t="n"/>
      <c r="R1342" s="29" t="n"/>
      <c r="S1342" s="23" t="n"/>
      <c r="T1342" s="30" t="n"/>
      <c r="U1342" s="31" t="inlineStr">
        <is>
          <t>高</t>
        </is>
      </c>
      <c r="V1342" s="32" t="inlineStr">
        <is>
          <t>日南本校の番号</t>
        </is>
      </c>
      <c r="W1342" s="33" t="inlineStr">
        <is>
          <t>開く</t>
        </is>
      </c>
    </row>
    <row r="1343" ht="30" customHeight="1">
      <c r="A1343" s="23" t="inlineStr">
        <is>
          <t>45宮崎県</t>
        </is>
      </c>
      <c r="B1343" s="23" t="inlineStr">
        <is>
          <t>私立</t>
        </is>
      </c>
      <c r="C1343" s="23" t="n"/>
      <c r="D1343" s="23" t="inlineStr">
        <is>
          <t>日南学園高等学校 宮崎穎学館</t>
        </is>
      </c>
      <c r="E1343" s="24" t="inlineStr">
        <is>
          <t>0985-86-1021</t>
        </is>
      </c>
      <c r="F1343" s="23" t="n"/>
      <c r="G1343" s="25" t="inlineStr">
        <is>
          <t>専門学科</t>
        </is>
      </c>
      <c r="H1343" s="26" t="inlineStr">
        <is>
          <t>☐</t>
        </is>
      </c>
      <c r="I1343" s="26" t="inlineStr">
        <is>
          <t>☐</t>
        </is>
      </c>
      <c r="J1343" s="26" t="inlineStr">
        <is>
          <t>☐</t>
        </is>
      </c>
      <c r="K1343" s="26" t="inlineStr">
        <is>
          <t>☐</t>
        </is>
      </c>
      <c r="L1343" s="26" t="inlineStr">
        <is>
          <t>☐</t>
        </is>
      </c>
      <c r="M1343" s="25" t="n"/>
      <c r="N1343" s="27" t="n">
        <v>0</v>
      </c>
      <c r="O1343" s="28" t="n"/>
      <c r="P1343" s="23" t="n"/>
      <c r="Q1343" s="29" t="n"/>
      <c r="R1343" s="29" t="n"/>
      <c r="S1343" s="23" t="n"/>
      <c r="T1343" s="30" t="n"/>
      <c r="U1343" s="31" t="inlineStr">
        <is>
          <t>高</t>
        </is>
      </c>
      <c r="V1343" s="32" t="inlineStr">
        <is>
          <t>宮崎市田野町の校舎（本校とは別番号）</t>
        </is>
      </c>
      <c r="W1343" s="33" t="inlineStr">
        <is>
          <t>開く</t>
        </is>
      </c>
    </row>
    <row r="1344" ht="30" customHeight="1">
      <c r="A1344" s="23" t="inlineStr">
        <is>
          <t>45宮崎県</t>
        </is>
      </c>
      <c r="B1344" s="23" t="inlineStr">
        <is>
          <t>私立</t>
        </is>
      </c>
      <c r="C1344" s="23" t="n"/>
      <c r="D1344" s="23" t="inlineStr">
        <is>
          <t>日章学園九州国際高等学校</t>
        </is>
      </c>
      <c r="E1344" s="24" t="inlineStr">
        <is>
          <t>0984-35-3500</t>
        </is>
      </c>
      <c r="F1344" s="23" t="n"/>
      <c r="G1344" s="25" t="inlineStr">
        <is>
          <t>普通科</t>
        </is>
      </c>
      <c r="H1344" s="26" t="inlineStr">
        <is>
          <t>☐</t>
        </is>
      </c>
      <c r="I1344" s="26" t="inlineStr">
        <is>
          <t>☐</t>
        </is>
      </c>
      <c r="J1344" s="26" t="inlineStr">
        <is>
          <t>☐</t>
        </is>
      </c>
      <c r="K1344" s="26" t="inlineStr">
        <is>
          <t>☐</t>
        </is>
      </c>
      <c r="L1344" s="26" t="inlineStr">
        <is>
          <t>☐</t>
        </is>
      </c>
      <c r="M1344" s="25" t="n"/>
      <c r="N1344" s="27" t="n">
        <v>0</v>
      </c>
      <c r="O1344" s="28" t="n"/>
      <c r="P1344" s="23" t="n"/>
      <c r="Q1344" s="29" t="n"/>
      <c r="R1344" s="29" t="n"/>
      <c r="S1344" s="23" t="n"/>
      <c r="T1344" s="30" t="n"/>
      <c r="U1344" s="34" t="inlineStr">
        <is>
          <t>中</t>
        </is>
      </c>
      <c r="V1344" s="32" t="inlineStr">
        <is>
          <t>公式未確認。私学協会・学校情報サイトで一致</t>
        </is>
      </c>
      <c r="W1344" s="33" t="inlineStr">
        <is>
          <t>開く</t>
        </is>
      </c>
    </row>
    <row r="1345" ht="30" customHeight="1">
      <c r="A1345" s="23" t="inlineStr">
        <is>
          <t>45宮崎県</t>
        </is>
      </c>
      <c r="B1345" s="23" t="inlineStr">
        <is>
          <t>私立</t>
        </is>
      </c>
      <c r="C1345" s="23" t="n"/>
      <c r="D1345" s="23" t="inlineStr">
        <is>
          <t>日章学園高等学校</t>
        </is>
      </c>
      <c r="E1345" s="24" t="inlineStr">
        <is>
          <t>0985-39-1321</t>
        </is>
      </c>
      <c r="F1345" s="23" t="n"/>
      <c r="G1345" s="25" t="inlineStr">
        <is>
          <t>普通科・専門学科</t>
        </is>
      </c>
      <c r="H1345" s="26" t="inlineStr">
        <is>
          <t>☐</t>
        </is>
      </c>
      <c r="I1345" s="26" t="inlineStr">
        <is>
          <t>☐</t>
        </is>
      </c>
      <c r="J1345" s="26" t="inlineStr">
        <is>
          <t>☐</t>
        </is>
      </c>
      <c r="K1345" s="26" t="inlineStr">
        <is>
          <t>☐</t>
        </is>
      </c>
      <c r="L1345" s="26" t="inlineStr">
        <is>
          <t>☐</t>
        </is>
      </c>
      <c r="M1345" s="25" t="n"/>
      <c r="N1345" s="27" t="n">
        <v>0</v>
      </c>
      <c r="O1345" s="28" t="n"/>
      <c r="P1345" s="23" t="n"/>
      <c r="Q1345" s="29" t="n"/>
      <c r="R1345" s="29" t="n"/>
      <c r="S1345" s="23" t="n"/>
      <c r="T1345" s="30" t="n"/>
      <c r="U1345" s="31" t="inlineStr">
        <is>
          <t>高</t>
        </is>
      </c>
      <c r="V1345" s="32" t="inlineStr">
        <is>
          <t>宮崎市・県サイトとも一致</t>
        </is>
      </c>
      <c r="W1345" s="33" t="inlineStr">
        <is>
          <t>開く</t>
        </is>
      </c>
    </row>
    <row r="1346" ht="30" customHeight="1">
      <c r="A1346" s="23" t="inlineStr">
        <is>
          <t>45宮崎県</t>
        </is>
      </c>
      <c r="B1346" s="23" t="inlineStr">
        <is>
          <t>私立</t>
        </is>
      </c>
      <c r="C1346" s="23" t="n"/>
      <c r="D1346" s="23" t="inlineStr">
        <is>
          <t>延岡学園高等学校</t>
        </is>
      </c>
      <c r="E1346" s="24" t="inlineStr">
        <is>
          <t>0982-33-3227</t>
        </is>
      </c>
      <c r="F1346" s="23" t="n"/>
      <c r="G1346" s="25" t="inlineStr">
        <is>
          <t>普通科・専門学科</t>
        </is>
      </c>
      <c r="H1346" s="26" t="inlineStr">
        <is>
          <t>☐</t>
        </is>
      </c>
      <c r="I1346" s="26" t="inlineStr">
        <is>
          <t>☐</t>
        </is>
      </c>
      <c r="J1346" s="26" t="inlineStr">
        <is>
          <t>☐</t>
        </is>
      </c>
      <c r="K1346" s="26" t="inlineStr">
        <is>
          <t>☐</t>
        </is>
      </c>
      <c r="L1346" s="26" t="inlineStr">
        <is>
          <t>☐</t>
        </is>
      </c>
      <c r="M1346" s="25" t="n"/>
      <c r="N1346" s="27" t="n">
        <v>0</v>
      </c>
      <c r="O1346" s="28" t="n"/>
      <c r="P1346" s="23" t="n"/>
      <c r="Q1346" s="29" t="n"/>
      <c r="R1346" s="29" t="n"/>
      <c r="S1346" s="23" t="n"/>
      <c r="T1346" s="30" t="n"/>
      <c r="U1346" s="31" t="inlineStr">
        <is>
          <t>高</t>
        </is>
      </c>
      <c r="V1346" s="32" t="inlineStr">
        <is>
          <t>代表番号</t>
        </is>
      </c>
      <c r="W1346" s="33" t="inlineStr">
        <is>
          <t>開く</t>
        </is>
      </c>
    </row>
    <row r="1347" ht="30" customHeight="1">
      <c r="A1347" s="23" t="inlineStr">
        <is>
          <t>45宮崎県</t>
        </is>
      </c>
      <c r="B1347" s="23" t="inlineStr">
        <is>
          <t>私立</t>
        </is>
      </c>
      <c r="C1347" s="23" t="n"/>
      <c r="D1347" s="23" t="inlineStr">
        <is>
          <t>日向学院高等学校</t>
        </is>
      </c>
      <c r="E1347" s="24" t="inlineStr">
        <is>
          <t>0985-22-8296</t>
        </is>
      </c>
      <c r="F1347" s="23" t="n"/>
      <c r="G1347" s="25" t="inlineStr">
        <is>
          <t>普通科</t>
        </is>
      </c>
      <c r="H1347" s="26" t="inlineStr">
        <is>
          <t>☐</t>
        </is>
      </c>
      <c r="I1347" s="26" t="inlineStr">
        <is>
          <t>☐</t>
        </is>
      </c>
      <c r="J1347" s="26" t="inlineStr">
        <is>
          <t>☐</t>
        </is>
      </c>
      <c r="K1347" s="26" t="inlineStr">
        <is>
          <t>☐</t>
        </is>
      </c>
      <c r="L1347" s="26" t="inlineStr">
        <is>
          <t>☐</t>
        </is>
      </c>
      <c r="M1347" s="25" t="n"/>
      <c r="N1347" s="27" t="n">
        <v>0</v>
      </c>
      <c r="O1347" s="28" t="n"/>
      <c r="P1347" s="23" t="n"/>
      <c r="Q1347" s="29" t="n"/>
      <c r="R1347" s="29" t="n"/>
      <c r="S1347" s="23" t="n"/>
      <c r="T1347" s="30" t="n"/>
      <c r="U1347" s="31" t="inlineStr">
        <is>
          <t>高</t>
        </is>
      </c>
      <c r="V1347" s="32" t="inlineStr">
        <is>
          <t>代表番号</t>
        </is>
      </c>
      <c r="W1347" s="33" t="inlineStr">
        <is>
          <t>開く</t>
        </is>
      </c>
    </row>
    <row r="1348" ht="30" customHeight="1">
      <c r="A1348" s="23" t="inlineStr">
        <is>
          <t>45宮崎県</t>
        </is>
      </c>
      <c r="B1348" s="23" t="inlineStr">
        <is>
          <t>私立</t>
        </is>
      </c>
      <c r="C1348" s="23" t="n"/>
      <c r="D1348" s="23" t="inlineStr">
        <is>
          <t>鵬翔高等学校</t>
        </is>
      </c>
      <c r="E1348" s="24" t="inlineStr">
        <is>
          <t>0985-52-2020</t>
        </is>
      </c>
      <c r="F1348" s="23" t="n"/>
      <c r="G1348" s="25" t="inlineStr">
        <is>
          <t>専門学科</t>
        </is>
      </c>
      <c r="H1348" s="26" t="inlineStr">
        <is>
          <t>☐</t>
        </is>
      </c>
      <c r="I1348" s="26" t="inlineStr">
        <is>
          <t>☐</t>
        </is>
      </c>
      <c r="J1348" s="26" t="inlineStr">
        <is>
          <t>☐</t>
        </is>
      </c>
      <c r="K1348" s="26" t="inlineStr">
        <is>
          <t>☐</t>
        </is>
      </c>
      <c r="L1348" s="26" t="inlineStr">
        <is>
          <t>☐</t>
        </is>
      </c>
      <c r="M1348" s="25" t="n"/>
      <c r="N1348" s="27" t="n">
        <v>0</v>
      </c>
      <c r="O1348" s="28" t="n"/>
      <c r="P1348" s="23" t="n"/>
      <c r="Q1348" s="29" t="n"/>
      <c r="R1348" s="29" t="n"/>
      <c r="S1348" s="23" t="n"/>
      <c r="T1348" s="30" t="n"/>
      <c r="U1348" s="31" t="inlineStr">
        <is>
          <t>高</t>
        </is>
      </c>
      <c r="V1348" s="32" t="inlineStr">
        <is>
          <t>事務室代表。入試広報部直通は0985-52-3312</t>
        </is>
      </c>
      <c r="W1348" s="33" t="inlineStr">
        <is>
          <t>開く</t>
        </is>
      </c>
    </row>
    <row r="1349" ht="30" customHeight="1">
      <c r="A1349" s="23" t="inlineStr">
        <is>
          <t>45宮崎県</t>
        </is>
      </c>
      <c r="B1349" s="23" t="inlineStr">
        <is>
          <t>私立</t>
        </is>
      </c>
      <c r="C1349" s="23" t="n"/>
      <c r="D1349" s="23" t="inlineStr">
        <is>
          <t>都城高等学校</t>
        </is>
      </c>
      <c r="E1349" s="24" t="inlineStr">
        <is>
          <t>0986-23-2477</t>
        </is>
      </c>
      <c r="F1349" s="23" t="n"/>
      <c r="G1349" s="25" t="inlineStr">
        <is>
          <t>普通科・専門学科</t>
        </is>
      </c>
      <c r="H1349" s="26" t="inlineStr">
        <is>
          <t>☐</t>
        </is>
      </c>
      <c r="I1349" s="26" t="inlineStr">
        <is>
          <t>☐</t>
        </is>
      </c>
      <c r="J1349" s="26" t="inlineStr">
        <is>
          <t>☐</t>
        </is>
      </c>
      <c r="K1349" s="26" t="inlineStr">
        <is>
          <t>☐</t>
        </is>
      </c>
      <c r="L1349" s="26" t="inlineStr">
        <is>
          <t>☐</t>
        </is>
      </c>
      <c r="M1349" s="25" t="n"/>
      <c r="N1349" s="27" t="n">
        <v>0</v>
      </c>
      <c r="O1349" s="28" t="n"/>
      <c r="P1349" s="23" t="n"/>
      <c r="Q1349" s="29" t="n"/>
      <c r="R1349" s="29" t="n"/>
      <c r="S1349" s="23" t="n"/>
      <c r="T1349" s="30" t="n"/>
      <c r="U1349" s="31" t="inlineStr">
        <is>
          <t>高</t>
        </is>
      </c>
      <c r="V1349" s="32" t="inlineStr">
        <is>
          <t>県サイトとも一致</t>
        </is>
      </c>
      <c r="W1349" s="33" t="inlineStr">
        <is>
          <t>開く</t>
        </is>
      </c>
    </row>
    <row r="1350" ht="30" customHeight="1">
      <c r="A1350" s="23" t="inlineStr">
        <is>
          <t>45宮崎県</t>
        </is>
      </c>
      <c r="B1350" s="23" t="inlineStr">
        <is>
          <t>私立</t>
        </is>
      </c>
      <c r="C1350" s="23" t="n"/>
      <c r="D1350" s="23" t="inlineStr">
        <is>
          <t>都城聖ドミニコ学園高等学校</t>
        </is>
      </c>
      <c r="E1350" s="24" t="inlineStr">
        <is>
          <t>0986-39-1303</t>
        </is>
      </c>
      <c r="F1350" s="23" t="n"/>
      <c r="G1350" s="25" t="inlineStr">
        <is>
          <t>普通科</t>
        </is>
      </c>
      <c r="H1350" s="26" t="inlineStr">
        <is>
          <t>☐</t>
        </is>
      </c>
      <c r="I1350" s="26" t="inlineStr">
        <is>
          <t>☐</t>
        </is>
      </c>
      <c r="J1350" s="26" t="inlineStr">
        <is>
          <t>☐</t>
        </is>
      </c>
      <c r="K1350" s="26" t="inlineStr">
        <is>
          <t>☐</t>
        </is>
      </c>
      <c r="L1350" s="26" t="inlineStr">
        <is>
          <t>☐</t>
        </is>
      </c>
      <c r="M1350" s="25" t="n"/>
      <c r="N1350" s="27" t="n">
        <v>0</v>
      </c>
      <c r="O1350" s="28" t="n"/>
      <c r="P1350" s="23" t="n"/>
      <c r="Q1350" s="29" t="n"/>
      <c r="R1350" s="29" t="n"/>
      <c r="S1350" s="23" t="n"/>
      <c r="T1350" s="30" t="n"/>
      <c r="U1350" s="31" t="inlineStr">
        <is>
          <t>高</t>
        </is>
      </c>
      <c r="V1350" s="32" t="inlineStr">
        <is>
          <t>私学協会とも一致</t>
        </is>
      </c>
      <c r="W1350" s="33" t="inlineStr">
        <is>
          <t>開く</t>
        </is>
      </c>
    </row>
    <row r="1351" ht="30" customHeight="1">
      <c r="A1351" s="23" t="inlineStr">
        <is>
          <t>45宮崎県</t>
        </is>
      </c>
      <c r="B1351" s="23" t="inlineStr">
        <is>
          <t>私立</t>
        </is>
      </c>
      <c r="C1351" s="23" t="n"/>
      <c r="D1351" s="23" t="inlineStr">
        <is>
          <t>宮崎学園高等学校</t>
        </is>
      </c>
      <c r="E1351" s="24" t="inlineStr">
        <is>
          <t>0985-23-5318</t>
        </is>
      </c>
      <c r="F1351" s="23" t="n"/>
      <c r="G1351" s="25" t="inlineStr">
        <is>
          <t>普通科・専門学科</t>
        </is>
      </c>
      <c r="H1351" s="26" t="inlineStr">
        <is>
          <t>☐</t>
        </is>
      </c>
      <c r="I1351" s="26" t="inlineStr">
        <is>
          <t>☐</t>
        </is>
      </c>
      <c r="J1351" s="26" t="inlineStr">
        <is>
          <t>☐</t>
        </is>
      </c>
      <c r="K1351" s="26" t="inlineStr">
        <is>
          <t>☐</t>
        </is>
      </c>
      <c r="L1351" s="26" t="inlineStr">
        <is>
          <t>☐</t>
        </is>
      </c>
      <c r="M1351" s="25" t="n"/>
      <c r="N1351" s="27" t="n">
        <v>0</v>
      </c>
      <c r="O1351" s="28" t="n"/>
      <c r="P1351" s="23" t="n"/>
      <c r="Q1351" s="29" t="n"/>
      <c r="R1351" s="29" t="n"/>
      <c r="S1351" s="23" t="n"/>
      <c r="T1351" s="30" t="n"/>
      <c r="U1351" s="31" t="inlineStr">
        <is>
          <t>高</t>
        </is>
      </c>
      <c r="V1351" s="32" t="inlineStr">
        <is>
          <t>法人サイト・宮崎市サイトで一致</t>
        </is>
      </c>
      <c r="W1351" s="33" t="inlineStr">
        <is>
          <t>開く</t>
        </is>
      </c>
    </row>
    <row r="1352" ht="30" customHeight="1">
      <c r="A1352" s="23" t="inlineStr">
        <is>
          <t>45宮崎県</t>
        </is>
      </c>
      <c r="B1352" s="23" t="inlineStr">
        <is>
          <t>私立</t>
        </is>
      </c>
      <c r="C1352" s="23" t="n"/>
      <c r="D1352" s="23" t="inlineStr">
        <is>
          <t>宮崎第一高等学校</t>
        </is>
      </c>
      <c r="E1352" s="24" t="inlineStr">
        <is>
          <t>0985-56-2626</t>
        </is>
      </c>
      <c r="F1352" s="23" t="n"/>
      <c r="G1352" s="25" t="inlineStr">
        <is>
          <t>普通科・専門学科</t>
        </is>
      </c>
      <c r="H1352" s="26" t="inlineStr">
        <is>
          <t>☐</t>
        </is>
      </c>
      <c r="I1352" s="26" t="inlineStr">
        <is>
          <t>☐</t>
        </is>
      </c>
      <c r="J1352" s="26" t="inlineStr">
        <is>
          <t>☐</t>
        </is>
      </c>
      <c r="K1352" s="26" t="inlineStr">
        <is>
          <t>☐</t>
        </is>
      </c>
      <c r="L1352" s="26" t="inlineStr">
        <is>
          <t>☐</t>
        </is>
      </c>
      <c r="M1352" s="25" t="n"/>
      <c r="N1352" s="27" t="n">
        <v>0</v>
      </c>
      <c r="O1352" s="28" t="n"/>
      <c r="P1352" s="23" t="n"/>
      <c r="Q1352" s="29" t="n"/>
      <c r="R1352" s="29" t="n"/>
      <c r="S1352" s="23" t="n"/>
      <c r="T1352" s="30" t="n"/>
      <c r="U1352" s="34" t="inlineStr">
        <is>
          <t>中</t>
        </is>
      </c>
      <c r="V1352" s="32" t="inlineStr">
        <is>
          <t>公式未確認。県・宮崎市・私学協会で一致</t>
        </is>
      </c>
      <c r="W1352" s="33" t="inlineStr">
        <is>
          <t>開く</t>
        </is>
      </c>
    </row>
    <row r="1353" ht="30" customHeight="1">
      <c r="A1353" s="23" t="inlineStr">
        <is>
          <t>45宮崎県</t>
        </is>
      </c>
      <c r="B1353" s="23" t="inlineStr">
        <is>
          <t>私立</t>
        </is>
      </c>
      <c r="C1353" s="23" t="n"/>
      <c r="D1353" s="23" t="inlineStr">
        <is>
          <t>宮崎日本大学高等学校</t>
        </is>
      </c>
      <c r="E1353" s="24" t="inlineStr">
        <is>
          <t>0985-39-1121</t>
        </is>
      </c>
      <c r="F1353" s="23" t="n"/>
      <c r="G1353" s="25" t="inlineStr">
        <is>
          <t>専門学科</t>
        </is>
      </c>
      <c r="H1353" s="26" t="inlineStr">
        <is>
          <t>☐</t>
        </is>
      </c>
      <c r="I1353" s="26" t="inlineStr">
        <is>
          <t>☐</t>
        </is>
      </c>
      <c r="J1353" s="26" t="inlineStr">
        <is>
          <t>☐</t>
        </is>
      </c>
      <c r="K1353" s="26" t="inlineStr">
        <is>
          <t>☐</t>
        </is>
      </c>
      <c r="L1353" s="26" t="inlineStr">
        <is>
          <t>☐</t>
        </is>
      </c>
      <c r="M1353" s="25" t="n"/>
      <c r="N1353" s="27" t="n">
        <v>0</v>
      </c>
      <c r="O1353" s="28" t="n"/>
      <c r="P1353" s="23" t="n"/>
      <c r="Q1353" s="29" t="n"/>
      <c r="R1353" s="29" t="n"/>
      <c r="S1353" s="23" t="n"/>
      <c r="T1353" s="30" t="n"/>
      <c r="U1353" s="31" t="inlineStr">
        <is>
          <t>高</t>
        </is>
      </c>
      <c r="V1353" s="32" t="inlineStr">
        <is>
          <t>代表番号。県サイトとも一致</t>
        </is>
      </c>
      <c r="W1353" s="33" t="inlineStr">
        <is>
          <t>開く</t>
        </is>
      </c>
    </row>
    <row r="1354" ht="30" customHeight="1">
      <c r="A1354" s="23" t="inlineStr">
        <is>
          <t>46鹿児島県</t>
        </is>
      </c>
      <c r="B1354" s="23" t="inlineStr">
        <is>
          <t>私立</t>
        </is>
      </c>
      <c r="C1354" s="23" t="n"/>
      <c r="D1354" s="23" t="inlineStr">
        <is>
          <t>池田高等学校</t>
        </is>
      </c>
      <c r="E1354" s="24" t="inlineStr">
        <is>
          <t>099-282-7888</t>
        </is>
      </c>
      <c r="F1354" s="23" t="n"/>
      <c r="G1354" s="25" t="inlineStr">
        <is>
          <t>普通科</t>
        </is>
      </c>
      <c r="H1354" s="26" t="inlineStr">
        <is>
          <t>☐</t>
        </is>
      </c>
      <c r="I1354" s="26" t="inlineStr">
        <is>
          <t>☐</t>
        </is>
      </c>
      <c r="J1354" s="26" t="inlineStr">
        <is>
          <t>☐</t>
        </is>
      </c>
      <c r="K1354" s="26" t="inlineStr">
        <is>
          <t>☐</t>
        </is>
      </c>
      <c r="L1354" s="26" t="inlineStr">
        <is>
          <t>☐</t>
        </is>
      </c>
      <c r="M1354" s="25" t="n"/>
      <c r="N1354" s="27" t="n">
        <v>0</v>
      </c>
      <c r="O1354" s="28" t="n"/>
      <c r="P1354" s="23" t="n"/>
      <c r="Q1354" s="29" t="n"/>
      <c r="R1354" s="29" t="n"/>
      <c r="S1354" s="23" t="n"/>
      <c r="T1354" s="30" t="n"/>
      <c r="U1354" s="31" t="inlineStr">
        <is>
          <t>高</t>
        </is>
      </c>
      <c r="V1354" s="32" t="inlineStr">
        <is>
          <t>県私学協会とも一致。中高一貫（池田学園）</t>
        </is>
      </c>
      <c r="W1354" s="33" t="inlineStr">
        <is>
          <t>開く</t>
        </is>
      </c>
    </row>
    <row r="1355" ht="30" customHeight="1">
      <c r="A1355" s="23" t="inlineStr">
        <is>
          <t>46鹿児島県</t>
        </is>
      </c>
      <c r="B1355" s="23" t="inlineStr">
        <is>
          <t>私立</t>
        </is>
      </c>
      <c r="C1355" s="23" t="n"/>
      <c r="D1355" s="23" t="inlineStr">
        <is>
          <t>出水中央高等学校</t>
        </is>
      </c>
      <c r="E1355" s="24" t="inlineStr">
        <is>
          <t>0996-62-0500</t>
        </is>
      </c>
      <c r="F1355" s="23" t="n"/>
      <c r="G1355" s="25" t="inlineStr">
        <is>
          <t>普通科・専門学科</t>
        </is>
      </c>
      <c r="H1355" s="26" t="inlineStr">
        <is>
          <t>☐</t>
        </is>
      </c>
      <c r="I1355" s="26" t="inlineStr">
        <is>
          <t>☐</t>
        </is>
      </c>
      <c r="J1355" s="26" t="inlineStr">
        <is>
          <t>☐</t>
        </is>
      </c>
      <c r="K1355" s="26" t="inlineStr">
        <is>
          <t>☐</t>
        </is>
      </c>
      <c r="L1355" s="26" t="inlineStr">
        <is>
          <t>☐</t>
        </is>
      </c>
      <c r="M1355" s="25" t="n"/>
      <c r="N1355" s="27" t="n">
        <v>0</v>
      </c>
      <c r="O1355" s="28" t="n"/>
      <c r="P1355" s="23" t="n"/>
      <c r="Q1355" s="29" t="n"/>
      <c r="R1355" s="29" t="n"/>
      <c r="S1355" s="23" t="n"/>
      <c r="T1355" s="30" t="n"/>
      <c r="U1355" s="31" t="inlineStr">
        <is>
          <t>高</t>
        </is>
      </c>
      <c r="V1355" s="32" t="inlineStr">
        <is>
          <t>代表番号。広報室は0996-62-6677</t>
        </is>
      </c>
      <c r="W1355" s="33" t="inlineStr">
        <is>
          <t>開く</t>
        </is>
      </c>
    </row>
    <row r="1356" ht="30" customHeight="1">
      <c r="A1356" s="23" t="inlineStr">
        <is>
          <t>46鹿児島県</t>
        </is>
      </c>
      <c r="B1356" s="23" t="inlineStr">
        <is>
          <t>私立</t>
        </is>
      </c>
      <c r="C1356" s="23" t="n"/>
      <c r="D1356" s="23" t="inlineStr">
        <is>
          <t>大口明光学園高等学校</t>
        </is>
      </c>
      <c r="E1356" s="24" t="inlineStr">
        <is>
          <t>0995-22-0609</t>
        </is>
      </c>
      <c r="F1356" s="23" t="n"/>
      <c r="G1356" s="25" t="inlineStr">
        <is>
          <t>普通科</t>
        </is>
      </c>
      <c r="H1356" s="26" t="inlineStr">
        <is>
          <t>☐</t>
        </is>
      </c>
      <c r="I1356" s="26" t="inlineStr">
        <is>
          <t>☐</t>
        </is>
      </c>
      <c r="J1356" s="26" t="inlineStr">
        <is>
          <t>☐</t>
        </is>
      </c>
      <c r="K1356" s="26" t="inlineStr">
        <is>
          <t>☐</t>
        </is>
      </c>
      <c r="L1356" s="26" t="inlineStr">
        <is>
          <t>☐</t>
        </is>
      </c>
      <c r="M1356" s="25" t="n"/>
      <c r="N1356" s="27" t="n">
        <v>0</v>
      </c>
      <c r="O1356" s="28" t="n"/>
      <c r="P1356" s="23" t="n"/>
      <c r="Q1356" s="29" t="n"/>
      <c r="R1356" s="29" t="n"/>
      <c r="S1356" s="23" t="n"/>
      <c r="T1356" s="30" t="n"/>
      <c r="U1356" s="31" t="inlineStr">
        <is>
          <t>高</t>
        </is>
      </c>
      <c r="V1356" s="32" t="inlineStr">
        <is>
          <t>2022年4月に共学化</t>
        </is>
      </c>
      <c r="W1356" s="33" t="inlineStr">
        <is>
          <t>開く</t>
        </is>
      </c>
    </row>
    <row r="1357" ht="30" customHeight="1">
      <c r="A1357" s="23" t="inlineStr">
        <is>
          <t>46鹿児島県</t>
        </is>
      </c>
      <c r="B1357" s="23" t="inlineStr">
        <is>
          <t>私立</t>
        </is>
      </c>
      <c r="C1357" s="23" t="n"/>
      <c r="D1357" s="23" t="inlineStr">
        <is>
          <t>鹿児島育英館高等学校</t>
        </is>
      </c>
      <c r="E1357" s="24" t="inlineStr">
        <is>
          <t>099-273-1407</t>
        </is>
      </c>
      <c r="F1357" s="23" t="n"/>
      <c r="G1357" s="25" t="inlineStr">
        <is>
          <t>普通科</t>
        </is>
      </c>
      <c r="H1357" s="26" t="inlineStr">
        <is>
          <t>☐</t>
        </is>
      </c>
      <c r="I1357" s="26" t="inlineStr">
        <is>
          <t>☐</t>
        </is>
      </c>
      <c r="J1357" s="26" t="inlineStr">
        <is>
          <t>☐</t>
        </is>
      </c>
      <c r="K1357" s="26" t="inlineStr">
        <is>
          <t>☐</t>
        </is>
      </c>
      <c r="L1357" s="26" t="inlineStr">
        <is>
          <t>☐</t>
        </is>
      </c>
      <c r="M1357" s="25" t="n"/>
      <c r="N1357" s="27" t="n">
        <v>0</v>
      </c>
      <c r="O1357" s="28" t="n"/>
      <c r="P1357" s="23" t="n"/>
      <c r="Q1357" s="29" t="n"/>
      <c r="R1357" s="29" t="n"/>
      <c r="S1357" s="23" t="n"/>
      <c r="T1357" s="30" t="n"/>
      <c r="U1357" s="31" t="inlineStr">
        <is>
          <t>高</t>
        </is>
      </c>
      <c r="V1357" s="32" t="inlineStr">
        <is>
          <t>2027年度に「日章学園育英館高等学校」へ校名変更予定</t>
        </is>
      </c>
      <c r="W1357" s="33" t="inlineStr">
        <is>
          <t>開く</t>
        </is>
      </c>
    </row>
    <row r="1358" ht="30" customHeight="1">
      <c r="A1358" s="23" t="inlineStr">
        <is>
          <t>46鹿児島県</t>
        </is>
      </c>
      <c r="B1358" s="23" t="inlineStr">
        <is>
          <t>私立</t>
        </is>
      </c>
      <c r="C1358" s="23" t="n"/>
      <c r="D1358" s="23" t="inlineStr">
        <is>
          <t>鹿児島高等学校</t>
        </is>
      </c>
      <c r="E1358" s="24" t="inlineStr">
        <is>
          <t>099-255-3211</t>
        </is>
      </c>
      <c r="F1358" s="23" t="n"/>
      <c r="G1358" s="25" t="inlineStr">
        <is>
          <t>普通科・専門学科</t>
        </is>
      </c>
      <c r="H1358" s="26" t="inlineStr">
        <is>
          <t>☐</t>
        </is>
      </c>
      <c r="I1358" s="26" t="inlineStr">
        <is>
          <t>☐</t>
        </is>
      </c>
      <c r="J1358" s="26" t="inlineStr">
        <is>
          <t>☐</t>
        </is>
      </c>
      <c r="K1358" s="26" t="inlineStr">
        <is>
          <t>☐</t>
        </is>
      </c>
      <c r="L1358" s="26" t="inlineStr">
        <is>
          <t>☐</t>
        </is>
      </c>
      <c r="M1358" s="25" t="n"/>
      <c r="N1358" s="27" t="n">
        <v>0</v>
      </c>
      <c r="O1358" s="28" t="n"/>
      <c r="P1358" s="23" t="n"/>
      <c r="Q1358" s="29" t="n"/>
      <c r="R1358" s="29" t="n"/>
      <c r="S1358" s="23" t="n"/>
      <c r="T1358" s="30" t="n"/>
      <c r="U1358" s="31" t="inlineStr">
        <is>
          <t>高</t>
        </is>
      </c>
      <c r="V1358" s="32" t="n"/>
      <c r="W1358" s="33" t="inlineStr">
        <is>
          <t>開く</t>
        </is>
      </c>
    </row>
    <row r="1359" ht="30" customHeight="1">
      <c r="A1359" s="23" t="inlineStr">
        <is>
          <t>46鹿児島県</t>
        </is>
      </c>
      <c r="B1359" s="23" t="inlineStr">
        <is>
          <t>私立</t>
        </is>
      </c>
      <c r="C1359" s="23" t="n"/>
      <c r="D1359" s="23" t="inlineStr">
        <is>
          <t>鹿児島修学館高等学校</t>
        </is>
      </c>
      <c r="E1359" s="24" t="inlineStr">
        <is>
          <t>099-258-2211</t>
        </is>
      </c>
      <c r="F1359" s="23" t="n"/>
      <c r="G1359" s="25" t="inlineStr">
        <is>
          <t>普通科</t>
        </is>
      </c>
      <c r="H1359" s="26" t="inlineStr">
        <is>
          <t>☐</t>
        </is>
      </c>
      <c r="I1359" s="26" t="inlineStr">
        <is>
          <t>☐</t>
        </is>
      </c>
      <c r="J1359" s="26" t="inlineStr">
        <is>
          <t>☐</t>
        </is>
      </c>
      <c r="K1359" s="26" t="inlineStr">
        <is>
          <t>☐</t>
        </is>
      </c>
      <c r="L1359" s="26" t="inlineStr">
        <is>
          <t>☐</t>
        </is>
      </c>
      <c r="M1359" s="25" t="n"/>
      <c r="N1359" s="27" t="n">
        <v>0</v>
      </c>
      <c r="O1359" s="28" t="n"/>
      <c r="P1359" s="23" t="n"/>
      <c r="Q1359" s="29" t="n"/>
      <c r="R1359" s="29" t="n"/>
      <c r="S1359" s="23" t="n"/>
      <c r="T1359" s="30" t="n"/>
      <c r="U1359" s="31" t="inlineStr">
        <is>
          <t>高</t>
        </is>
      </c>
      <c r="V1359" s="32" t="n"/>
      <c r="W1359" s="33" t="inlineStr">
        <is>
          <t>開く</t>
        </is>
      </c>
    </row>
    <row r="1360" ht="30" customHeight="1">
      <c r="A1360" s="23" t="inlineStr">
        <is>
          <t>46鹿児島県</t>
        </is>
      </c>
      <c r="B1360" s="23" t="inlineStr">
        <is>
          <t>私立</t>
        </is>
      </c>
      <c r="C1360" s="23" t="n"/>
      <c r="D1360" s="23" t="inlineStr">
        <is>
          <t>鹿児島実業高等学校</t>
        </is>
      </c>
      <c r="E1360" s="24" t="inlineStr">
        <is>
          <t>099-286-1313</t>
        </is>
      </c>
      <c r="F1360" s="23" t="n"/>
      <c r="G1360" s="25" t="inlineStr">
        <is>
          <t>普通科・専門学科・総合学科</t>
        </is>
      </c>
      <c r="H1360" s="26" t="inlineStr">
        <is>
          <t>☐</t>
        </is>
      </c>
      <c r="I1360" s="26" t="inlineStr">
        <is>
          <t>☐</t>
        </is>
      </c>
      <c r="J1360" s="26" t="inlineStr">
        <is>
          <t>☐</t>
        </is>
      </c>
      <c r="K1360" s="26" t="inlineStr">
        <is>
          <t>☐</t>
        </is>
      </c>
      <c r="L1360" s="26" t="inlineStr">
        <is>
          <t>☐</t>
        </is>
      </c>
      <c r="M1360" s="25" t="n"/>
      <c r="N1360" s="27" t="n">
        <v>0</v>
      </c>
      <c r="O1360" s="28" t="n"/>
      <c r="P1360" s="23" t="n"/>
      <c r="Q1360" s="29" t="n"/>
      <c r="R1360" s="29" t="n"/>
      <c r="S1360" s="23" t="n"/>
      <c r="T1360" s="30" t="n"/>
      <c r="U1360" s="31" t="inlineStr">
        <is>
          <t>高</t>
        </is>
      </c>
      <c r="V1360" s="32" t="inlineStr">
        <is>
          <t>通信制課程は099-286-1508</t>
        </is>
      </c>
      <c r="W1360" s="33" t="inlineStr">
        <is>
          <t>開く</t>
        </is>
      </c>
    </row>
    <row r="1361" ht="30" customHeight="1">
      <c r="A1361" s="23" t="inlineStr">
        <is>
          <t>46鹿児島県</t>
        </is>
      </c>
      <c r="B1361" s="23" t="inlineStr">
        <is>
          <t>私立</t>
        </is>
      </c>
      <c r="C1361" s="23" t="n"/>
      <c r="D1361" s="23" t="inlineStr">
        <is>
          <t>鹿児島純心女子高等学校</t>
        </is>
      </c>
      <c r="E1361" s="24" t="inlineStr">
        <is>
          <t>099-254-4121</t>
        </is>
      </c>
      <c r="F1361" s="23" t="n"/>
      <c r="G1361" s="25" t="inlineStr">
        <is>
          <t>普通科</t>
        </is>
      </c>
      <c r="H1361" s="26" t="inlineStr">
        <is>
          <t>☐</t>
        </is>
      </c>
      <c r="I1361" s="26" t="inlineStr">
        <is>
          <t>☐</t>
        </is>
      </c>
      <c r="J1361" s="26" t="inlineStr">
        <is>
          <t>☐</t>
        </is>
      </c>
      <c r="K1361" s="26" t="inlineStr">
        <is>
          <t>☐</t>
        </is>
      </c>
      <c r="L1361" s="26" t="inlineStr">
        <is>
          <t>☐</t>
        </is>
      </c>
      <c r="M1361" s="25" t="n"/>
      <c r="N1361" s="27" t="n">
        <v>0</v>
      </c>
      <c r="O1361" s="28" t="n"/>
      <c r="P1361" s="23" t="n"/>
      <c r="Q1361" s="29" t="n"/>
      <c r="R1361" s="29" t="n"/>
      <c r="S1361" s="23" t="n"/>
      <c r="T1361" s="30" t="n"/>
      <c r="U1361" s="31" t="inlineStr">
        <is>
          <t>高</t>
        </is>
      </c>
      <c r="V1361" s="32" t="inlineStr">
        <is>
          <t>受付は平日9:00〜16:30</t>
        </is>
      </c>
      <c r="W1361" s="33" t="inlineStr">
        <is>
          <t>開く</t>
        </is>
      </c>
    </row>
    <row r="1362" ht="30" customHeight="1">
      <c r="A1362" s="23" t="inlineStr">
        <is>
          <t>46鹿児島県</t>
        </is>
      </c>
      <c r="B1362" s="23" t="inlineStr">
        <is>
          <t>私立</t>
        </is>
      </c>
      <c r="C1362" s="23" t="n"/>
      <c r="D1362" s="23" t="inlineStr">
        <is>
          <t>鹿児島城西高等学校</t>
        </is>
      </c>
      <c r="E1362" s="24" t="inlineStr">
        <is>
          <t>099-273-1234</t>
        </is>
      </c>
      <c r="F1362" s="23" t="n"/>
      <c r="G1362" s="25" t="inlineStr">
        <is>
          <t>普通科・専門学科</t>
        </is>
      </c>
      <c r="H1362" s="26" t="inlineStr">
        <is>
          <t>☐</t>
        </is>
      </c>
      <c r="I1362" s="26" t="inlineStr">
        <is>
          <t>☐</t>
        </is>
      </c>
      <c r="J1362" s="26" t="inlineStr">
        <is>
          <t>☐</t>
        </is>
      </c>
      <c r="K1362" s="26" t="inlineStr">
        <is>
          <t>☐</t>
        </is>
      </c>
      <c r="L1362" s="26" t="inlineStr">
        <is>
          <t>☐</t>
        </is>
      </c>
      <c r="M1362" s="25" t="n"/>
      <c r="N1362" s="27" t="n">
        <v>0</v>
      </c>
      <c r="O1362" s="28" t="n"/>
      <c r="P1362" s="23" t="n"/>
      <c r="Q1362" s="29" t="n"/>
      <c r="R1362" s="29" t="n"/>
      <c r="S1362" s="23" t="n"/>
      <c r="T1362" s="30" t="n"/>
      <c r="U1362" s="31" t="inlineStr">
        <is>
          <t>高</t>
        </is>
      </c>
      <c r="V1362" s="32" t="n"/>
      <c r="W1362" s="33" t="inlineStr">
        <is>
          <t>開く</t>
        </is>
      </c>
    </row>
    <row r="1363" ht="30" customHeight="1">
      <c r="A1363" s="23" t="inlineStr">
        <is>
          <t>46鹿児島県</t>
        </is>
      </c>
      <c r="B1363" s="23" t="inlineStr">
        <is>
          <t>私立</t>
        </is>
      </c>
      <c r="C1363" s="23" t="n"/>
      <c r="D1363" s="23" t="inlineStr">
        <is>
          <t>鹿児島情報高等学校</t>
        </is>
      </c>
      <c r="E1363" s="24" t="inlineStr">
        <is>
          <t>099-268-3101</t>
        </is>
      </c>
      <c r="F1363" s="23" t="n"/>
      <c r="G1363" s="25" t="inlineStr">
        <is>
          <t>普通科・専門学科</t>
        </is>
      </c>
      <c r="H1363" s="26" t="inlineStr">
        <is>
          <t>☐</t>
        </is>
      </c>
      <c r="I1363" s="26" t="inlineStr">
        <is>
          <t>☐</t>
        </is>
      </c>
      <c r="J1363" s="26" t="inlineStr">
        <is>
          <t>☐</t>
        </is>
      </c>
      <c r="K1363" s="26" t="inlineStr">
        <is>
          <t>☐</t>
        </is>
      </c>
      <c r="L1363" s="26" t="inlineStr">
        <is>
          <t>☐</t>
        </is>
      </c>
      <c r="M1363" s="25" t="n"/>
      <c r="N1363" s="27" t="n">
        <v>0</v>
      </c>
      <c r="O1363" s="28" t="n"/>
      <c r="P1363" s="23" t="n"/>
      <c r="Q1363" s="29" t="n"/>
      <c r="R1363" s="29" t="n"/>
      <c r="S1363" s="23" t="n"/>
      <c r="T1363" s="30" t="n"/>
      <c r="U1363" s="31" t="inlineStr">
        <is>
          <t>高</t>
        </is>
      </c>
      <c r="V1363" s="32" t="n"/>
      <c r="W1363" s="33" t="inlineStr">
        <is>
          <t>開く</t>
        </is>
      </c>
    </row>
    <row r="1364" ht="30" customHeight="1">
      <c r="A1364" s="23" t="inlineStr">
        <is>
          <t>46鹿児島県</t>
        </is>
      </c>
      <c r="B1364" s="23" t="inlineStr">
        <is>
          <t>私立</t>
        </is>
      </c>
      <c r="C1364" s="23" t="n"/>
      <c r="D1364" s="23" t="inlineStr">
        <is>
          <t>鹿児島第一高等学校</t>
        </is>
      </c>
      <c r="E1364" s="24" t="inlineStr">
        <is>
          <t>0995-46-4608</t>
        </is>
      </c>
      <c r="F1364" s="23" t="n"/>
      <c r="G1364" s="25" t="inlineStr">
        <is>
          <t>普通科</t>
        </is>
      </c>
      <c r="H1364" s="26" t="inlineStr">
        <is>
          <t>☐</t>
        </is>
      </c>
      <c r="I1364" s="26" t="inlineStr">
        <is>
          <t>☐</t>
        </is>
      </c>
      <c r="J1364" s="26" t="inlineStr">
        <is>
          <t>☐</t>
        </is>
      </c>
      <c r="K1364" s="26" t="inlineStr">
        <is>
          <t>☐</t>
        </is>
      </c>
      <c r="L1364" s="26" t="inlineStr">
        <is>
          <t>☐</t>
        </is>
      </c>
      <c r="M1364" s="25" t="n"/>
      <c r="N1364" s="27" t="n">
        <v>0</v>
      </c>
      <c r="O1364" s="28" t="n"/>
      <c r="P1364" s="23" t="n"/>
      <c r="Q1364" s="29" t="n"/>
      <c r="R1364" s="29" t="n"/>
      <c r="S1364" s="23" t="n"/>
      <c r="T1364" s="30" t="n"/>
      <c r="U1364" s="31" t="inlineStr">
        <is>
          <t>高</t>
        </is>
      </c>
      <c r="V1364" s="32" t="inlineStr">
        <is>
          <t>フリーダイヤル0120-56-4608</t>
        </is>
      </c>
      <c r="W1364" s="33" t="inlineStr">
        <is>
          <t>開く</t>
        </is>
      </c>
    </row>
    <row r="1365" ht="30" customHeight="1">
      <c r="A1365" s="23" t="inlineStr">
        <is>
          <t>46鹿児島県</t>
        </is>
      </c>
      <c r="B1365" s="23" t="inlineStr">
        <is>
          <t>私立</t>
        </is>
      </c>
      <c r="C1365" s="23" t="n"/>
      <c r="D1365" s="23" t="inlineStr">
        <is>
          <t>鹿屋中央高等学校</t>
        </is>
      </c>
      <c r="E1365" s="24" t="inlineStr">
        <is>
          <t>0994-43-3310</t>
        </is>
      </c>
      <c r="F1365" s="23" t="n"/>
      <c r="G1365" s="25" t="inlineStr">
        <is>
          <t>専門学科</t>
        </is>
      </c>
      <c r="H1365" s="26" t="inlineStr">
        <is>
          <t>☐</t>
        </is>
      </c>
      <c r="I1365" s="26" t="inlineStr">
        <is>
          <t>☐</t>
        </is>
      </c>
      <c r="J1365" s="26" t="inlineStr">
        <is>
          <t>☐</t>
        </is>
      </c>
      <c r="K1365" s="26" t="inlineStr">
        <is>
          <t>☐</t>
        </is>
      </c>
      <c r="L1365" s="26" t="inlineStr">
        <is>
          <t>☐</t>
        </is>
      </c>
      <c r="M1365" s="25" t="n"/>
      <c r="N1365" s="27" t="n">
        <v>0</v>
      </c>
      <c r="O1365" s="28" t="n"/>
      <c r="P1365" s="23" t="n"/>
      <c r="Q1365" s="29" t="n"/>
      <c r="R1365" s="29" t="n"/>
      <c r="S1365" s="23" t="n"/>
      <c r="T1365" s="30" t="n"/>
      <c r="U1365" s="31" t="inlineStr">
        <is>
          <t>高</t>
        </is>
      </c>
      <c r="V1365" s="32" t="inlineStr">
        <is>
          <t>鹿屋市サイトとも一致</t>
        </is>
      </c>
      <c r="W1365" s="33" t="inlineStr">
        <is>
          <t>開く</t>
        </is>
      </c>
    </row>
    <row r="1366" ht="30" customHeight="1">
      <c r="A1366" s="23" t="inlineStr">
        <is>
          <t>46鹿児島県</t>
        </is>
      </c>
      <c r="B1366" s="23" t="inlineStr">
        <is>
          <t>私立</t>
        </is>
      </c>
      <c r="C1366" s="23" t="n"/>
      <c r="D1366" s="23" t="inlineStr">
        <is>
          <t>神村学園高等部</t>
        </is>
      </c>
      <c r="E1366" s="24" t="inlineStr">
        <is>
          <t>0996-32-3232</t>
        </is>
      </c>
      <c r="F1366" s="23" t="n"/>
      <c r="G1366" s="25" t="inlineStr">
        <is>
          <t>普通科・専門学科</t>
        </is>
      </c>
      <c r="H1366" s="26" t="inlineStr">
        <is>
          <t>☐</t>
        </is>
      </c>
      <c r="I1366" s="26" t="inlineStr">
        <is>
          <t>☐</t>
        </is>
      </c>
      <c r="J1366" s="26" t="inlineStr">
        <is>
          <t>☐</t>
        </is>
      </c>
      <c r="K1366" s="26" t="inlineStr">
        <is>
          <t>☐</t>
        </is>
      </c>
      <c r="L1366" s="26" t="inlineStr">
        <is>
          <t>☐</t>
        </is>
      </c>
      <c r="M1366" s="25" t="n"/>
      <c r="N1366" s="27" t="n">
        <v>0</v>
      </c>
      <c r="O1366" s="28" t="n"/>
      <c r="P1366" s="23" t="n"/>
      <c r="Q1366" s="29" t="n"/>
      <c r="R1366" s="29" t="n"/>
      <c r="S1366" s="23" t="n"/>
      <c r="T1366" s="30" t="n"/>
      <c r="U1366" s="31" t="inlineStr">
        <is>
          <t>高</t>
        </is>
      </c>
      <c r="V1366" s="32" t="inlineStr">
        <is>
          <t>いちき串木野市サイトとも一致</t>
        </is>
      </c>
      <c r="W1366" s="33" t="inlineStr">
        <is>
          <t>開く</t>
        </is>
      </c>
    </row>
    <row r="1367" ht="30" customHeight="1">
      <c r="A1367" s="23" t="inlineStr">
        <is>
          <t>46鹿児島県</t>
        </is>
      </c>
      <c r="B1367" s="23" t="inlineStr">
        <is>
          <t>私立</t>
        </is>
      </c>
      <c r="C1367" s="23" t="n"/>
      <c r="D1367" s="23" t="inlineStr">
        <is>
          <t>志學館高等部</t>
        </is>
      </c>
      <c r="E1367" s="24" t="inlineStr">
        <is>
          <t>099-252-1038</t>
        </is>
      </c>
      <c r="F1367" s="23" t="n"/>
      <c r="G1367" s="25" t="inlineStr">
        <is>
          <t>普通科</t>
        </is>
      </c>
      <c r="H1367" s="26" t="inlineStr">
        <is>
          <t>☐</t>
        </is>
      </c>
      <c r="I1367" s="26" t="inlineStr">
        <is>
          <t>☐</t>
        </is>
      </c>
      <c r="J1367" s="26" t="inlineStr">
        <is>
          <t>☐</t>
        </is>
      </c>
      <c r="K1367" s="26" t="inlineStr">
        <is>
          <t>☐</t>
        </is>
      </c>
      <c r="L1367" s="26" t="inlineStr">
        <is>
          <t>☐</t>
        </is>
      </c>
      <c r="M1367" s="25" t="n"/>
      <c r="N1367" s="27" t="n">
        <v>0</v>
      </c>
      <c r="O1367" s="28" t="n"/>
      <c r="P1367" s="23" t="n"/>
      <c r="Q1367" s="29" t="n"/>
      <c r="R1367" s="29" t="n"/>
      <c r="S1367" s="23" t="n"/>
      <c r="T1367" s="30" t="n"/>
      <c r="U1367" s="31" t="inlineStr">
        <is>
          <t>高</t>
        </is>
      </c>
      <c r="V1367" s="32" t="inlineStr">
        <is>
          <t>中等部と共通番号</t>
        </is>
      </c>
      <c r="W1367" s="33" t="inlineStr">
        <is>
          <t>開く</t>
        </is>
      </c>
    </row>
    <row r="1368" ht="30" customHeight="1">
      <c r="A1368" s="23" t="inlineStr">
        <is>
          <t>46鹿児島県</t>
        </is>
      </c>
      <c r="B1368" s="23" t="inlineStr">
        <is>
          <t>私立</t>
        </is>
      </c>
      <c r="C1368" s="23" t="n"/>
      <c r="D1368" s="23" t="inlineStr">
        <is>
          <t>尚志館高等学校</t>
        </is>
      </c>
      <c r="E1368" s="24" t="inlineStr">
        <is>
          <t>099-472-1318</t>
        </is>
      </c>
      <c r="F1368" s="23" t="n"/>
      <c r="G1368" s="25" t="inlineStr">
        <is>
          <t>普通科・専門学科</t>
        </is>
      </c>
      <c r="H1368" s="26" t="inlineStr">
        <is>
          <t>☐</t>
        </is>
      </c>
      <c r="I1368" s="26" t="inlineStr">
        <is>
          <t>☐</t>
        </is>
      </c>
      <c r="J1368" s="26" t="inlineStr">
        <is>
          <t>☐</t>
        </is>
      </c>
      <c r="K1368" s="26" t="inlineStr">
        <is>
          <t>☐</t>
        </is>
      </c>
      <c r="L1368" s="26" t="inlineStr">
        <is>
          <t>☐</t>
        </is>
      </c>
      <c r="M1368" s="25" t="n"/>
      <c r="N1368" s="27" t="n">
        <v>0</v>
      </c>
      <c r="O1368" s="28" t="n"/>
      <c r="P1368" s="23" t="n"/>
      <c r="Q1368" s="29" t="n"/>
      <c r="R1368" s="29" t="n"/>
      <c r="S1368" s="23" t="n"/>
      <c r="T1368" s="30" t="n"/>
      <c r="U1368" s="31" t="inlineStr">
        <is>
          <t>高</t>
        </is>
      </c>
      <c r="V1368" s="32" t="n"/>
      <c r="W1368" s="33" t="inlineStr">
        <is>
          <t>開く</t>
        </is>
      </c>
    </row>
    <row r="1369" ht="30" customHeight="1">
      <c r="A1369" s="23" t="inlineStr">
        <is>
          <t>46鹿児島県</t>
        </is>
      </c>
      <c r="B1369" s="23" t="inlineStr">
        <is>
          <t>私立</t>
        </is>
      </c>
      <c r="C1369" s="23" t="n"/>
      <c r="D1369" s="23" t="inlineStr">
        <is>
          <t>樟南高等学校</t>
        </is>
      </c>
      <c r="E1369" s="24" t="inlineStr">
        <is>
          <t>099-281-2900</t>
        </is>
      </c>
      <c r="F1369" s="23" t="n"/>
      <c r="G1369" s="25" t="inlineStr">
        <is>
          <t>普通科・専門学科</t>
        </is>
      </c>
      <c r="H1369" s="26" t="inlineStr">
        <is>
          <t>☐</t>
        </is>
      </c>
      <c r="I1369" s="26" t="inlineStr">
        <is>
          <t>☐</t>
        </is>
      </c>
      <c r="J1369" s="26" t="inlineStr">
        <is>
          <t>☐</t>
        </is>
      </c>
      <c r="K1369" s="26" t="inlineStr">
        <is>
          <t>☐</t>
        </is>
      </c>
      <c r="L1369" s="26" t="inlineStr">
        <is>
          <t>☐</t>
        </is>
      </c>
      <c r="M1369" s="25" t="n"/>
      <c r="N1369" s="27" t="n">
        <v>0</v>
      </c>
      <c r="O1369" s="28" t="n"/>
      <c r="P1369" s="23" t="n"/>
      <c r="Q1369" s="29" t="n"/>
      <c r="R1369" s="29" t="n"/>
      <c r="S1369" s="23" t="n"/>
      <c r="T1369" s="30" t="n"/>
      <c r="U1369" s="31" t="inlineStr">
        <is>
          <t>高</t>
        </is>
      </c>
      <c r="V1369" s="32" t="inlineStr">
        <is>
          <t>学園本部は099-281-3611</t>
        </is>
      </c>
      <c r="W1369" s="33" t="inlineStr">
        <is>
          <t>開く</t>
        </is>
      </c>
    </row>
    <row r="1370" ht="30" customHeight="1">
      <c r="A1370" s="23" t="inlineStr">
        <is>
          <t>46鹿児島県</t>
        </is>
      </c>
      <c r="B1370" s="23" t="inlineStr">
        <is>
          <t>私立</t>
        </is>
      </c>
      <c r="C1370" s="23" t="n"/>
      <c r="D1370" s="23" t="inlineStr">
        <is>
          <t>樟南第二高等学校</t>
        </is>
      </c>
      <c r="E1370" s="24" t="inlineStr">
        <is>
          <t>0997-85-2511</t>
        </is>
      </c>
      <c r="F1370" s="23" t="n"/>
      <c r="G1370" s="25" t="inlineStr">
        <is>
          <t>普通科・専門学科</t>
        </is>
      </c>
      <c r="H1370" s="26" t="inlineStr">
        <is>
          <t>☐</t>
        </is>
      </c>
      <c r="I1370" s="26" t="inlineStr">
        <is>
          <t>☐</t>
        </is>
      </c>
      <c r="J1370" s="26" t="inlineStr">
        <is>
          <t>☐</t>
        </is>
      </c>
      <c r="K1370" s="26" t="inlineStr">
        <is>
          <t>☐</t>
        </is>
      </c>
      <c r="L1370" s="26" t="inlineStr">
        <is>
          <t>☐</t>
        </is>
      </c>
      <c r="M1370" s="25" t="n"/>
      <c r="N1370" s="27" t="n">
        <v>0</v>
      </c>
      <c r="O1370" s="28" t="n"/>
      <c r="P1370" s="23" t="n"/>
      <c r="Q1370" s="29" t="n"/>
      <c r="R1370" s="29" t="n"/>
      <c r="S1370" s="23" t="n"/>
      <c r="T1370" s="30" t="n"/>
      <c r="U1370" s="31" t="inlineStr">
        <is>
          <t>高</t>
        </is>
      </c>
      <c r="V1370" s="32" t="n"/>
      <c r="W1370" s="33" t="inlineStr">
        <is>
          <t>開く</t>
        </is>
      </c>
    </row>
    <row r="1371" ht="30" customHeight="1">
      <c r="A1371" s="23" t="inlineStr">
        <is>
          <t>46鹿児島県</t>
        </is>
      </c>
      <c r="B1371" s="23" t="inlineStr">
        <is>
          <t>私立</t>
        </is>
      </c>
      <c r="C1371" s="23" t="n"/>
      <c r="D1371" s="23" t="inlineStr">
        <is>
          <t>鳳凰高等学校</t>
        </is>
      </c>
      <c r="E1371" s="24" t="inlineStr">
        <is>
          <t>0993-53-3633</t>
        </is>
      </c>
      <c r="F1371" s="23" t="n"/>
      <c r="G1371" s="25" t="inlineStr">
        <is>
          <t>普通科・専門学科</t>
        </is>
      </c>
      <c r="H1371" s="26" t="inlineStr">
        <is>
          <t>☐</t>
        </is>
      </c>
      <c r="I1371" s="26" t="inlineStr">
        <is>
          <t>☐</t>
        </is>
      </c>
      <c r="J1371" s="26" t="inlineStr">
        <is>
          <t>☐</t>
        </is>
      </c>
      <c r="K1371" s="26" t="inlineStr">
        <is>
          <t>☐</t>
        </is>
      </c>
      <c r="L1371" s="26" t="inlineStr">
        <is>
          <t>☐</t>
        </is>
      </c>
      <c r="M1371" s="25" t="n"/>
      <c r="N1371" s="27" t="n">
        <v>0</v>
      </c>
      <c r="O1371" s="28" t="n"/>
      <c r="P1371" s="23" t="n"/>
      <c r="Q1371" s="29" t="n"/>
      <c r="R1371" s="29" t="n"/>
      <c r="S1371" s="23" t="n"/>
      <c r="T1371" s="30" t="n"/>
      <c r="U1371" s="31" t="inlineStr">
        <is>
          <t>高</t>
        </is>
      </c>
      <c r="V1371" s="32" t="n"/>
      <c r="W1371" s="33" t="inlineStr">
        <is>
          <t>開く</t>
        </is>
      </c>
    </row>
    <row r="1372" ht="30" customHeight="1">
      <c r="A1372" s="23" t="inlineStr">
        <is>
          <t>46鹿児島県</t>
        </is>
      </c>
      <c r="B1372" s="23" t="inlineStr">
        <is>
          <t>私立</t>
        </is>
      </c>
      <c r="C1372" s="23" t="n"/>
      <c r="D1372" s="23" t="inlineStr">
        <is>
          <t>屋久島おおぞら高等学校</t>
        </is>
      </c>
      <c r="E1372" s="24" t="inlineStr">
        <is>
          <t>0997-47-3300</t>
        </is>
      </c>
      <c r="F1372" s="23" t="n"/>
      <c r="G1372" s="25" t="inlineStr">
        <is>
          <t>普通科</t>
        </is>
      </c>
      <c r="H1372" s="26" t="inlineStr">
        <is>
          <t>☐</t>
        </is>
      </c>
      <c r="I1372" s="26" t="inlineStr">
        <is>
          <t>☐</t>
        </is>
      </c>
      <c r="J1372" s="26" t="inlineStr">
        <is>
          <t>☐</t>
        </is>
      </c>
      <c r="K1372" s="26" t="inlineStr">
        <is>
          <t>☐</t>
        </is>
      </c>
      <c r="L1372" s="26" t="inlineStr">
        <is>
          <t>☐</t>
        </is>
      </c>
      <c r="M1372" s="25" t="n"/>
      <c r="N1372" s="27" t="n">
        <v>0</v>
      </c>
      <c r="O1372" s="28" t="n"/>
      <c r="P1372" s="23" t="n"/>
      <c r="Q1372" s="29" t="n"/>
      <c r="R1372" s="29" t="n"/>
      <c r="S1372" s="23" t="n"/>
      <c r="T1372" s="30" t="n"/>
      <c r="U1372" s="34" t="inlineStr">
        <is>
          <t>中</t>
        </is>
      </c>
      <c r="V1372" s="32" t="inlineStr">
        <is>
          <t>通信制・屋久島町の本校。公式未確認、私学協会等で一致。全体問合せは0120-43-8940</t>
        </is>
      </c>
      <c r="W1372" s="33" t="inlineStr">
        <is>
          <t>開く</t>
        </is>
      </c>
    </row>
    <row r="1373" ht="30" customHeight="1">
      <c r="A1373" s="23" t="inlineStr">
        <is>
          <t>46鹿児島県</t>
        </is>
      </c>
      <c r="B1373" s="23" t="inlineStr">
        <is>
          <t>私立</t>
        </is>
      </c>
      <c r="C1373" s="23" t="n"/>
      <c r="D1373" s="23" t="inlineStr">
        <is>
          <t>ラ・サール高等学校</t>
        </is>
      </c>
      <c r="E1373" s="24" t="inlineStr">
        <is>
          <t>099-268-3121</t>
        </is>
      </c>
      <c r="F1373" s="23" t="n"/>
      <c r="G1373" s="25" t="inlineStr">
        <is>
          <t>普通科</t>
        </is>
      </c>
      <c r="H1373" s="26" t="inlineStr">
        <is>
          <t>☐</t>
        </is>
      </c>
      <c r="I1373" s="26" t="inlineStr">
        <is>
          <t>☐</t>
        </is>
      </c>
      <c r="J1373" s="26" t="inlineStr">
        <is>
          <t>☐</t>
        </is>
      </c>
      <c r="K1373" s="26" t="inlineStr">
        <is>
          <t>☐</t>
        </is>
      </c>
      <c r="L1373" s="26" t="inlineStr">
        <is>
          <t>☐</t>
        </is>
      </c>
      <c r="M1373" s="25" t="n"/>
      <c r="N1373" s="27" t="n">
        <v>0</v>
      </c>
      <c r="O1373" s="28" t="n"/>
      <c r="P1373" s="23" t="n"/>
      <c r="Q1373" s="29" t="n"/>
      <c r="R1373" s="29" t="n"/>
      <c r="S1373" s="23" t="n"/>
      <c r="T1373" s="30" t="n"/>
      <c r="U1373" s="31" t="inlineStr">
        <is>
          <t>高</t>
        </is>
      </c>
      <c r="V1373" s="32" t="inlineStr">
        <is>
          <t>学園代表番号</t>
        </is>
      </c>
      <c r="W1373" s="33" t="inlineStr">
        <is>
          <t>開く</t>
        </is>
      </c>
    </row>
    <row r="1374" ht="30" customHeight="1">
      <c r="A1374" s="23" t="inlineStr">
        <is>
          <t>46鹿児島県</t>
        </is>
      </c>
      <c r="B1374" s="23" t="inlineStr">
        <is>
          <t>私立</t>
        </is>
      </c>
      <c r="C1374" s="23" t="n"/>
      <c r="D1374" s="23" t="inlineStr">
        <is>
          <t>龍桜高等学校</t>
        </is>
      </c>
      <c r="E1374" s="24" t="inlineStr">
        <is>
          <t>0995-63-3001</t>
        </is>
      </c>
      <c r="F1374" s="23" t="n"/>
      <c r="G1374" s="25" t="inlineStr">
        <is>
          <t>専門学科</t>
        </is>
      </c>
      <c r="H1374" s="26" t="inlineStr">
        <is>
          <t>☐</t>
        </is>
      </c>
      <c r="I1374" s="26" t="inlineStr">
        <is>
          <t>☐</t>
        </is>
      </c>
      <c r="J1374" s="26" t="inlineStr">
        <is>
          <t>☐</t>
        </is>
      </c>
      <c r="K1374" s="26" t="inlineStr">
        <is>
          <t>☐</t>
        </is>
      </c>
      <c r="L1374" s="26" t="inlineStr">
        <is>
          <t>☐</t>
        </is>
      </c>
      <c r="M1374" s="25" t="n"/>
      <c r="N1374" s="27" t="n">
        <v>0</v>
      </c>
      <c r="O1374" s="28" t="n"/>
      <c r="P1374" s="23" t="n"/>
      <c r="Q1374" s="29" t="n"/>
      <c r="R1374" s="29" t="n"/>
      <c r="S1374" s="23" t="n"/>
      <c r="T1374" s="30" t="n"/>
      <c r="U1374" s="31" t="inlineStr">
        <is>
          <t>高</t>
        </is>
      </c>
      <c r="V1374" s="32" t="inlineStr">
        <is>
          <t>姶良市サイトとも一致</t>
        </is>
      </c>
      <c r="W1374" s="33" t="inlineStr">
        <is>
          <t>開く</t>
        </is>
      </c>
    </row>
    <row r="1375" ht="30" customHeight="1">
      <c r="A1375" s="23" t="inlineStr">
        <is>
          <t>46鹿児島県</t>
        </is>
      </c>
      <c r="B1375" s="23" t="inlineStr">
        <is>
          <t>私立</t>
        </is>
      </c>
      <c r="C1375" s="23" t="n"/>
      <c r="D1375" s="23" t="inlineStr">
        <is>
          <t>れいめい高等学校</t>
        </is>
      </c>
      <c r="E1375" s="24" t="inlineStr">
        <is>
          <t>0996-23-3178</t>
        </is>
      </c>
      <c r="F1375" s="23" t="n"/>
      <c r="G1375" s="25" t="inlineStr">
        <is>
          <t>普通科・専門学科</t>
        </is>
      </c>
      <c r="H1375" s="26" t="inlineStr">
        <is>
          <t>☐</t>
        </is>
      </c>
      <c r="I1375" s="26" t="inlineStr">
        <is>
          <t>☐</t>
        </is>
      </c>
      <c r="J1375" s="26" t="inlineStr">
        <is>
          <t>☐</t>
        </is>
      </c>
      <c r="K1375" s="26" t="inlineStr">
        <is>
          <t>☐</t>
        </is>
      </c>
      <c r="L1375" s="26" t="inlineStr">
        <is>
          <t>☐</t>
        </is>
      </c>
      <c r="M1375" s="25" t="n"/>
      <c r="N1375" s="27" t="n">
        <v>0</v>
      </c>
      <c r="O1375" s="28" t="n"/>
      <c r="P1375" s="23" t="n"/>
      <c r="Q1375" s="29" t="n"/>
      <c r="R1375" s="29" t="n"/>
      <c r="S1375" s="23" t="n"/>
      <c r="T1375" s="30" t="n"/>
      <c r="U1375" s="31" t="inlineStr">
        <is>
          <t>高</t>
        </is>
      </c>
      <c r="V1375" s="32" t="inlineStr">
        <is>
          <t>0996-23-5111は学校法人の番号</t>
        </is>
      </c>
      <c r="W1375" s="33" t="inlineStr">
        <is>
          <t>開く</t>
        </is>
      </c>
    </row>
    <row r="1376" ht="30" customHeight="1">
      <c r="A1376" s="23" t="inlineStr">
        <is>
          <t>47沖縄県</t>
        </is>
      </c>
      <c r="B1376" s="23" t="inlineStr">
        <is>
          <t>私立</t>
        </is>
      </c>
      <c r="C1376" s="23" t="n"/>
      <c r="D1376" s="23" t="inlineStr">
        <is>
          <t>エナジックスポーツ高等学院</t>
        </is>
      </c>
      <c r="E1376" s="24" t="inlineStr">
        <is>
          <t>0980-45-9022</t>
        </is>
      </c>
      <c r="F1376" s="23" t="n"/>
      <c r="G1376" s="25" t="inlineStr">
        <is>
          <t>普通科</t>
        </is>
      </c>
      <c r="H1376" s="26" t="inlineStr">
        <is>
          <t>☐</t>
        </is>
      </c>
      <c r="I1376" s="26" t="inlineStr">
        <is>
          <t>☐</t>
        </is>
      </c>
      <c r="J1376" s="26" t="inlineStr">
        <is>
          <t>☐</t>
        </is>
      </c>
      <c r="K1376" s="26" t="inlineStr">
        <is>
          <t>☐</t>
        </is>
      </c>
      <c r="L1376" s="26" t="inlineStr">
        <is>
          <t>☐</t>
        </is>
      </c>
      <c r="M1376" s="25" t="n"/>
      <c r="N1376" s="27" t="n">
        <v>0</v>
      </c>
      <c r="O1376" s="28" t="n"/>
      <c r="P1376" s="23" t="n"/>
      <c r="Q1376" s="29" t="n"/>
      <c r="R1376" s="29" t="n"/>
      <c r="S1376" s="23" t="n"/>
      <c r="T1376" s="30" t="n"/>
      <c r="U1376" s="31" t="inlineStr">
        <is>
          <t>高</t>
        </is>
      </c>
      <c r="V1376" s="32" t="inlineStr">
        <is>
          <t>名護本校。資料請求用フリーダイヤル0120-115-813</t>
        </is>
      </c>
      <c r="W1376" s="33" t="inlineStr">
        <is>
          <t>開く</t>
        </is>
      </c>
    </row>
    <row r="1377" ht="30" customHeight="1">
      <c r="A1377" s="23" t="inlineStr">
        <is>
          <t>47沖縄県</t>
        </is>
      </c>
      <c r="B1377" s="23" t="inlineStr">
        <is>
          <t>私立</t>
        </is>
      </c>
      <c r="C1377" s="23" t="n"/>
      <c r="D1377" s="23" t="inlineStr">
        <is>
          <t>Ｎ高等学校</t>
        </is>
      </c>
      <c r="E1377" s="24" t="inlineStr">
        <is>
          <t>098-983-1677</t>
        </is>
      </c>
      <c r="F1377" s="23" t="n"/>
      <c r="G1377" s="25" t="inlineStr">
        <is>
          <t>普通科</t>
        </is>
      </c>
      <c r="H1377" s="26" t="inlineStr">
        <is>
          <t>☐</t>
        </is>
      </c>
      <c r="I1377" s="26" t="inlineStr">
        <is>
          <t>☐</t>
        </is>
      </c>
      <c r="J1377" s="26" t="inlineStr">
        <is>
          <t>☐</t>
        </is>
      </c>
      <c r="K1377" s="26" t="inlineStr">
        <is>
          <t>☐</t>
        </is>
      </c>
      <c r="L1377" s="26" t="inlineStr">
        <is>
          <t>☐</t>
        </is>
      </c>
      <c r="M1377" s="25" t="n"/>
      <c r="N1377" s="27" t="n">
        <v>0</v>
      </c>
      <c r="O1377" s="28" t="n"/>
      <c r="P1377" s="23" t="n"/>
      <c r="Q1377" s="29" t="n"/>
      <c r="R1377" s="29" t="n"/>
      <c r="S1377" s="23" t="n"/>
      <c r="T1377" s="30" t="n"/>
      <c r="U1377" s="34" t="inlineStr">
        <is>
          <t>中</t>
        </is>
      </c>
      <c r="V1377" s="32" t="inlineStr">
        <is>
          <t>通信制・うるま市の沖縄伊計本校。文科省資料・電話帳サイトで一致。公式の案内はフリーダイヤル0120-0252-15</t>
        </is>
      </c>
      <c r="W1377" s="33" t="inlineStr">
        <is>
          <t>開く</t>
        </is>
      </c>
    </row>
    <row r="1378" ht="30" customHeight="1">
      <c r="A1378" s="23" t="inlineStr">
        <is>
          <t>47沖縄県</t>
        </is>
      </c>
      <c r="B1378" s="23" t="inlineStr">
        <is>
          <t>私立</t>
        </is>
      </c>
      <c r="C1378" s="23" t="n"/>
      <c r="D1378" s="23" t="inlineStr">
        <is>
          <t>沖縄カトリック高等学校</t>
        </is>
      </c>
      <c r="E1378" s="24" t="inlineStr">
        <is>
          <t>098-897-3300</t>
        </is>
      </c>
      <c r="F1378" s="23" t="n"/>
      <c r="G1378" s="25" t="inlineStr">
        <is>
          <t>普通科</t>
        </is>
      </c>
      <c r="H1378" s="26" t="inlineStr">
        <is>
          <t>☐</t>
        </is>
      </c>
      <c r="I1378" s="26" t="inlineStr">
        <is>
          <t>☐</t>
        </is>
      </c>
      <c r="J1378" s="26" t="inlineStr">
        <is>
          <t>☐</t>
        </is>
      </c>
      <c r="K1378" s="26" t="inlineStr">
        <is>
          <t>☐</t>
        </is>
      </c>
      <c r="L1378" s="26" t="inlineStr">
        <is>
          <t>☐</t>
        </is>
      </c>
      <c r="M1378" s="25" t="n"/>
      <c r="N1378" s="27" t="n">
        <v>0</v>
      </c>
      <c r="O1378" s="28" t="n"/>
      <c r="P1378" s="23" t="n"/>
      <c r="Q1378" s="29" t="n"/>
      <c r="R1378" s="29" t="n"/>
      <c r="S1378" s="23" t="n"/>
      <c r="T1378" s="30" t="n"/>
      <c r="U1378" s="31" t="inlineStr">
        <is>
          <t>高</t>
        </is>
      </c>
      <c r="V1378" s="32" t="inlineStr">
        <is>
          <t>沖縄県サイトとも一致。学校法人は098-897-3393</t>
        </is>
      </c>
      <c r="W1378" s="33" t="inlineStr">
        <is>
          <t>開く</t>
        </is>
      </c>
    </row>
    <row r="1379" ht="30" customHeight="1">
      <c r="A1379" s="23" t="inlineStr">
        <is>
          <t>47沖縄県</t>
        </is>
      </c>
      <c r="B1379" s="23" t="inlineStr">
        <is>
          <t>私立</t>
        </is>
      </c>
      <c r="C1379" s="23" t="n"/>
      <c r="D1379" s="23" t="inlineStr">
        <is>
          <t>沖縄尚学高等学校</t>
        </is>
      </c>
      <c r="E1379" s="24" t="inlineStr">
        <is>
          <t>098-832-1767</t>
        </is>
      </c>
      <c r="F1379" s="23" t="n"/>
      <c r="G1379" s="25" t="inlineStr">
        <is>
          <t>普通科</t>
        </is>
      </c>
      <c r="H1379" s="26" t="inlineStr">
        <is>
          <t>☐</t>
        </is>
      </c>
      <c r="I1379" s="26" t="inlineStr">
        <is>
          <t>☐</t>
        </is>
      </c>
      <c r="J1379" s="26" t="inlineStr">
        <is>
          <t>☐</t>
        </is>
      </c>
      <c r="K1379" s="26" t="inlineStr">
        <is>
          <t>☐</t>
        </is>
      </c>
      <c r="L1379" s="26" t="inlineStr">
        <is>
          <t>☐</t>
        </is>
      </c>
      <c r="M1379" s="25" t="n"/>
      <c r="N1379" s="27" t="n">
        <v>0</v>
      </c>
      <c r="O1379" s="28" t="n"/>
      <c r="P1379" s="23" t="n"/>
      <c r="Q1379" s="29" t="n"/>
      <c r="R1379" s="29" t="n"/>
      <c r="S1379" s="23" t="n"/>
      <c r="T1379" s="30" t="n"/>
      <c r="U1379" s="31" t="inlineStr">
        <is>
          <t>高</t>
        </is>
      </c>
      <c r="V1379" s="32" t="inlineStr">
        <is>
          <t>沖縄県公式サイトで確認</t>
        </is>
      </c>
      <c r="W1379" s="33" t="inlineStr">
        <is>
          <t>開く</t>
        </is>
      </c>
    </row>
    <row r="1380" ht="30" customHeight="1">
      <c r="A1380" s="23" t="inlineStr">
        <is>
          <t>47沖縄県</t>
        </is>
      </c>
      <c r="B1380" s="23" t="inlineStr">
        <is>
          <t>私立</t>
        </is>
      </c>
      <c r="C1380" s="23" t="n"/>
      <c r="D1380" s="23" t="inlineStr">
        <is>
          <t>興南高等学校</t>
        </is>
      </c>
      <c r="E1380" s="24" t="inlineStr">
        <is>
          <t>098-884-3293</t>
        </is>
      </c>
      <c r="F1380" s="23" t="n"/>
      <c r="G1380" s="25" t="inlineStr">
        <is>
          <t>普通科</t>
        </is>
      </c>
      <c r="H1380" s="26" t="inlineStr">
        <is>
          <t>☐</t>
        </is>
      </c>
      <c r="I1380" s="26" t="inlineStr">
        <is>
          <t>☐</t>
        </is>
      </c>
      <c r="J1380" s="26" t="inlineStr">
        <is>
          <t>☐</t>
        </is>
      </c>
      <c r="K1380" s="26" t="inlineStr">
        <is>
          <t>☐</t>
        </is>
      </c>
      <c r="L1380" s="26" t="inlineStr">
        <is>
          <t>☐</t>
        </is>
      </c>
      <c r="M1380" s="25" t="n"/>
      <c r="N1380" s="27" t="n">
        <v>0</v>
      </c>
      <c r="O1380" s="28" t="n"/>
      <c r="P1380" s="23" t="n"/>
      <c r="Q1380" s="29" t="n"/>
      <c r="R1380" s="29" t="n"/>
      <c r="S1380" s="23" t="n"/>
      <c r="T1380" s="30" t="n"/>
      <c r="U1380" s="31" t="inlineStr">
        <is>
          <t>高</t>
        </is>
      </c>
      <c r="V1380" s="32" t="inlineStr">
        <is>
          <t>沖縄県サイトとも一致。一部サイトの098-884-3292は不一致</t>
        </is>
      </c>
      <c r="W1380" s="33" t="inlineStr">
        <is>
          <t>開く</t>
        </is>
      </c>
    </row>
    <row r="1381" ht="30" customHeight="1">
      <c r="A1381" s="23" t="inlineStr">
        <is>
          <t>47沖縄県</t>
        </is>
      </c>
      <c r="B1381" s="23" t="inlineStr">
        <is>
          <t>私立</t>
        </is>
      </c>
      <c r="C1381" s="23" t="n"/>
      <c r="D1381" s="23" t="inlineStr">
        <is>
          <t>昭和薬科大学附属高等学校</t>
        </is>
      </c>
      <c r="E1381" s="24" t="inlineStr">
        <is>
          <t>098-870-1852</t>
        </is>
      </c>
      <c r="F1381" s="23" t="n"/>
      <c r="G1381" s="25" t="inlineStr">
        <is>
          <t>普通科</t>
        </is>
      </c>
      <c r="H1381" s="26" t="inlineStr">
        <is>
          <t>☐</t>
        </is>
      </c>
      <c r="I1381" s="26" t="inlineStr">
        <is>
          <t>☐</t>
        </is>
      </c>
      <c r="J1381" s="26" t="inlineStr">
        <is>
          <t>☐</t>
        </is>
      </c>
      <c r="K1381" s="26" t="inlineStr">
        <is>
          <t>☐</t>
        </is>
      </c>
      <c r="L1381" s="26" t="inlineStr">
        <is>
          <t>☐</t>
        </is>
      </c>
      <c r="M1381" s="25" t="n"/>
      <c r="N1381" s="27" t="n">
        <v>0</v>
      </c>
      <c r="O1381" s="28" t="n"/>
      <c r="P1381" s="23" t="n"/>
      <c r="Q1381" s="29" t="n"/>
      <c r="R1381" s="29" t="n"/>
      <c r="S1381" s="23" t="n"/>
      <c r="T1381" s="30" t="n"/>
      <c r="U1381" s="31" t="inlineStr">
        <is>
          <t>高</t>
        </is>
      </c>
      <c r="V1381" s="32" t="inlineStr">
        <is>
          <t>沖縄県サイトとも一致</t>
        </is>
      </c>
      <c r="W1381" s="33" t="inlineStr">
        <is>
          <t>開く</t>
        </is>
      </c>
    </row>
    <row r="1382" ht="30" customHeight="1">
      <c r="A1382" s="23" t="inlineStr">
        <is>
          <t>47沖縄県</t>
        </is>
      </c>
      <c r="B1382" s="23" t="inlineStr">
        <is>
          <t>私立</t>
        </is>
      </c>
      <c r="C1382" s="23" t="n"/>
      <c r="D1382" s="23" t="inlineStr">
        <is>
          <t>仙台育英学園沖縄高等学校</t>
        </is>
      </c>
      <c r="E1382" s="24" t="inlineStr">
        <is>
          <t>098-930-4111</t>
        </is>
      </c>
      <c r="F1382" s="23" t="n"/>
      <c r="G1382" s="25" t="inlineStr">
        <is>
          <t>普通科</t>
        </is>
      </c>
      <c r="H1382" s="26" t="inlineStr">
        <is>
          <t>☐</t>
        </is>
      </c>
      <c r="I1382" s="26" t="inlineStr">
        <is>
          <t>☐</t>
        </is>
      </c>
      <c r="J1382" s="26" t="inlineStr">
        <is>
          <t>☐</t>
        </is>
      </c>
      <c r="K1382" s="26" t="inlineStr">
        <is>
          <t>☐</t>
        </is>
      </c>
      <c r="L1382" s="26" t="inlineStr">
        <is>
          <t>☐</t>
        </is>
      </c>
      <c r="M1382" s="25" t="n"/>
      <c r="N1382" s="27" t="n">
        <v>0</v>
      </c>
      <c r="O1382" s="28" t="n"/>
      <c r="P1382" s="23" t="n"/>
      <c r="Q1382" s="29" t="n"/>
      <c r="R1382" s="29" t="n"/>
      <c r="S1382" s="23" t="n"/>
      <c r="T1382" s="30" t="n"/>
      <c r="U1382" s="31" t="inlineStr">
        <is>
          <t>高</t>
        </is>
      </c>
      <c r="V1382" s="32" t="inlineStr">
        <is>
          <t>098-923-2286を掲載するサイトあり（旧番号の可能性）</t>
        </is>
      </c>
      <c r="W1382" s="33" t="inlineStr">
        <is>
          <t>開く</t>
        </is>
      </c>
    </row>
    <row r="1383" ht="30" customHeight="1">
      <c r="A1383" s="23" t="inlineStr">
        <is>
          <t>47沖縄県</t>
        </is>
      </c>
      <c r="B1383" s="23" t="inlineStr">
        <is>
          <t>私立</t>
        </is>
      </c>
      <c r="C1383" s="23" t="n"/>
      <c r="D1383" s="23" t="inlineStr">
        <is>
          <t>八洲学園大学国際高等学校</t>
        </is>
      </c>
      <c r="E1383" s="24" t="inlineStr">
        <is>
          <t>0980-51-7711</t>
        </is>
      </c>
      <c r="F1383" s="23" t="n"/>
      <c r="G1383" s="25" t="inlineStr">
        <is>
          <t>普通科</t>
        </is>
      </c>
      <c r="H1383" s="26" t="inlineStr">
        <is>
          <t>☐</t>
        </is>
      </c>
      <c r="I1383" s="26" t="inlineStr">
        <is>
          <t>☐</t>
        </is>
      </c>
      <c r="J1383" s="26" t="inlineStr">
        <is>
          <t>☐</t>
        </is>
      </c>
      <c r="K1383" s="26" t="inlineStr">
        <is>
          <t>☐</t>
        </is>
      </c>
      <c r="L1383" s="26" t="inlineStr">
        <is>
          <t>☐</t>
        </is>
      </c>
      <c r="M1383" s="25" t="n"/>
      <c r="N1383" s="27" t="n">
        <v>0</v>
      </c>
      <c r="O1383" s="28" t="n"/>
      <c r="P1383" s="23" t="n"/>
      <c r="Q1383" s="29" t="n"/>
      <c r="R1383" s="29" t="n"/>
      <c r="S1383" s="23" t="n"/>
      <c r="T1383" s="30" t="n"/>
      <c r="U1383" s="31" t="inlineStr">
        <is>
          <t>高</t>
        </is>
      </c>
      <c r="V1383" s="32" t="inlineStr">
        <is>
          <t>通信制・本部町の本校。フリーコール0120-917-840</t>
        </is>
      </c>
      <c r="W1383" s="33" t="inlineStr">
        <is>
          <t>開く</t>
        </is>
      </c>
    </row>
  </sheetData>
  <autoFilter ref="A5:W1383"/>
  <conditionalFormatting sqref="A6:W1383">
    <cfRule type="expression" priority="1" dxfId="0">
      <formula>$K6="☑"</formula>
    </cfRule>
    <cfRule type="expression" priority="2" dxfId="2">
      <formula>$I6="☑"</formula>
    </cfRule>
    <cfRule type="expression" priority="3" dxfId="3">
      <formula>OR($L6="☑",$P6="受付NG",$P6="担当者NG")</formula>
    </cfRule>
  </conditionalFormatting>
  <dataValidations count="6">
    <dataValidation sqref="H6:H1383 I6:I1383 J6:J1383 K6:K1383 L6:L1383" showDropDown="0" showInputMessage="0" showErrorMessage="0" allowBlank="1" type="list">
      <formula1>"☐,☑"</formula1>
    </dataValidation>
    <dataValidation sqref="F6:F1383" showDropDown="0" showInputMessage="0" showErrorMessage="0" allowBlank="1" type="list">
      <formula1>"新規,継続"</formula1>
    </dataValidation>
    <dataValidation sqref="M6:M1383" showDropDown="0" showInputMessage="0" showErrorMessage="0" allowBlank="1" type="list">
      <formula1>"進学校（60以上）,中堅（45〜59）,中堅以下（44以下）"</formula1>
    </dataValidation>
    <dataValidation sqref="P6:P1383" showDropDown="0" showInputMessage="0" showErrorMessage="0" allowBlank="1" type="list">
      <formula1>"担当不在,受付NG,担当者NG,資料送付,商談希望,不通,受付時間外,番号不明"</formula1>
    </dataValidation>
    <dataValidation sqref="O6:O1383" showDropDown="0" showInputMessage="0" showErrorMessage="0" allowBlank="1" errorTitle="日付" error="日付で入力してください（例：10/7）" type="date" operator="greaterThan">
      <formula1>36526</formula1>
    </dataValidation>
    <dataValidation sqref="N6:N1383" showDropDown="0" showInputMessage="0" showErrorMessage="0" allowBlank="1" type="whole" operator="greaterThanOrEqual">
      <formula1>0</formula1>
    </dataValidation>
  </dataValidations>
  <hyperlinks>
    <hyperlink xmlns:r="http://schemas.openxmlformats.org/officeDocument/2006/relationships" ref="W6" r:id="rId1"/>
    <hyperlink xmlns:r="http://schemas.openxmlformats.org/officeDocument/2006/relationships" ref="W7" r:id="rId2"/>
    <hyperlink xmlns:r="http://schemas.openxmlformats.org/officeDocument/2006/relationships" ref="W8" r:id="rId3"/>
    <hyperlink xmlns:r="http://schemas.openxmlformats.org/officeDocument/2006/relationships" ref="W9" r:id="rId4"/>
    <hyperlink xmlns:r="http://schemas.openxmlformats.org/officeDocument/2006/relationships" ref="W10" r:id="rId5"/>
    <hyperlink xmlns:r="http://schemas.openxmlformats.org/officeDocument/2006/relationships" ref="W11" r:id="rId6"/>
    <hyperlink xmlns:r="http://schemas.openxmlformats.org/officeDocument/2006/relationships" ref="W12" r:id="rId7"/>
    <hyperlink xmlns:r="http://schemas.openxmlformats.org/officeDocument/2006/relationships" ref="W13" r:id="rId8"/>
    <hyperlink xmlns:r="http://schemas.openxmlformats.org/officeDocument/2006/relationships" ref="W14" r:id="rId9"/>
    <hyperlink xmlns:r="http://schemas.openxmlformats.org/officeDocument/2006/relationships" ref="W15" r:id="rId10"/>
    <hyperlink xmlns:r="http://schemas.openxmlformats.org/officeDocument/2006/relationships" ref="W16" r:id="rId11"/>
    <hyperlink xmlns:r="http://schemas.openxmlformats.org/officeDocument/2006/relationships" ref="W17" r:id="rId12"/>
    <hyperlink xmlns:r="http://schemas.openxmlformats.org/officeDocument/2006/relationships" ref="W18" r:id="rId13"/>
    <hyperlink xmlns:r="http://schemas.openxmlformats.org/officeDocument/2006/relationships" ref="W19" r:id="rId14"/>
    <hyperlink xmlns:r="http://schemas.openxmlformats.org/officeDocument/2006/relationships" ref="W20" r:id="rId15"/>
    <hyperlink xmlns:r="http://schemas.openxmlformats.org/officeDocument/2006/relationships" ref="W21" r:id="rId16"/>
    <hyperlink xmlns:r="http://schemas.openxmlformats.org/officeDocument/2006/relationships" ref="W22" r:id="rId17"/>
    <hyperlink xmlns:r="http://schemas.openxmlformats.org/officeDocument/2006/relationships" ref="W23" r:id="rId18"/>
    <hyperlink xmlns:r="http://schemas.openxmlformats.org/officeDocument/2006/relationships" ref="W24" r:id="rId19"/>
    <hyperlink xmlns:r="http://schemas.openxmlformats.org/officeDocument/2006/relationships" ref="W25" r:id="rId20"/>
    <hyperlink xmlns:r="http://schemas.openxmlformats.org/officeDocument/2006/relationships" ref="W26" r:id="rId21"/>
    <hyperlink xmlns:r="http://schemas.openxmlformats.org/officeDocument/2006/relationships" ref="W27" r:id="rId22"/>
    <hyperlink xmlns:r="http://schemas.openxmlformats.org/officeDocument/2006/relationships" ref="W28" r:id="rId23"/>
    <hyperlink xmlns:r="http://schemas.openxmlformats.org/officeDocument/2006/relationships" ref="W29" r:id="rId24"/>
    <hyperlink xmlns:r="http://schemas.openxmlformats.org/officeDocument/2006/relationships" ref="W30" r:id="rId25"/>
    <hyperlink xmlns:r="http://schemas.openxmlformats.org/officeDocument/2006/relationships" ref="W31" r:id="rId26"/>
    <hyperlink xmlns:r="http://schemas.openxmlformats.org/officeDocument/2006/relationships" ref="W32" r:id="rId27"/>
    <hyperlink xmlns:r="http://schemas.openxmlformats.org/officeDocument/2006/relationships" ref="W33" r:id="rId28"/>
    <hyperlink xmlns:r="http://schemas.openxmlformats.org/officeDocument/2006/relationships" ref="W34" r:id="rId29"/>
    <hyperlink xmlns:r="http://schemas.openxmlformats.org/officeDocument/2006/relationships" ref="W35" r:id="rId30"/>
    <hyperlink xmlns:r="http://schemas.openxmlformats.org/officeDocument/2006/relationships" ref="W36" r:id="rId31"/>
    <hyperlink xmlns:r="http://schemas.openxmlformats.org/officeDocument/2006/relationships" ref="W37" r:id="rId32"/>
    <hyperlink xmlns:r="http://schemas.openxmlformats.org/officeDocument/2006/relationships" ref="W38" r:id="rId33"/>
    <hyperlink xmlns:r="http://schemas.openxmlformats.org/officeDocument/2006/relationships" ref="W39" r:id="rId34"/>
    <hyperlink xmlns:r="http://schemas.openxmlformats.org/officeDocument/2006/relationships" ref="W40" r:id="rId35"/>
    <hyperlink xmlns:r="http://schemas.openxmlformats.org/officeDocument/2006/relationships" ref="W41" r:id="rId36"/>
    <hyperlink xmlns:r="http://schemas.openxmlformats.org/officeDocument/2006/relationships" ref="W42" r:id="rId37"/>
    <hyperlink xmlns:r="http://schemas.openxmlformats.org/officeDocument/2006/relationships" ref="W43" r:id="rId38"/>
    <hyperlink xmlns:r="http://schemas.openxmlformats.org/officeDocument/2006/relationships" ref="W44" r:id="rId39"/>
    <hyperlink xmlns:r="http://schemas.openxmlformats.org/officeDocument/2006/relationships" ref="W45" r:id="rId40"/>
    <hyperlink xmlns:r="http://schemas.openxmlformats.org/officeDocument/2006/relationships" ref="W46" r:id="rId41"/>
    <hyperlink xmlns:r="http://schemas.openxmlformats.org/officeDocument/2006/relationships" ref="W47" r:id="rId42"/>
    <hyperlink xmlns:r="http://schemas.openxmlformats.org/officeDocument/2006/relationships" ref="W48" r:id="rId43"/>
    <hyperlink xmlns:r="http://schemas.openxmlformats.org/officeDocument/2006/relationships" ref="W49" r:id="rId44"/>
    <hyperlink xmlns:r="http://schemas.openxmlformats.org/officeDocument/2006/relationships" ref="W50" r:id="rId45"/>
    <hyperlink xmlns:r="http://schemas.openxmlformats.org/officeDocument/2006/relationships" ref="W51" r:id="rId46"/>
    <hyperlink xmlns:r="http://schemas.openxmlformats.org/officeDocument/2006/relationships" ref="W52" r:id="rId47"/>
    <hyperlink xmlns:r="http://schemas.openxmlformats.org/officeDocument/2006/relationships" ref="W53" r:id="rId48"/>
    <hyperlink xmlns:r="http://schemas.openxmlformats.org/officeDocument/2006/relationships" ref="W54" r:id="rId49"/>
    <hyperlink xmlns:r="http://schemas.openxmlformats.org/officeDocument/2006/relationships" ref="W55" r:id="rId50"/>
    <hyperlink xmlns:r="http://schemas.openxmlformats.org/officeDocument/2006/relationships" ref="W56" r:id="rId51"/>
    <hyperlink xmlns:r="http://schemas.openxmlformats.org/officeDocument/2006/relationships" ref="W57" r:id="rId52"/>
    <hyperlink xmlns:r="http://schemas.openxmlformats.org/officeDocument/2006/relationships" ref="W58" r:id="rId53"/>
    <hyperlink xmlns:r="http://schemas.openxmlformats.org/officeDocument/2006/relationships" ref="W59" r:id="rId54"/>
    <hyperlink xmlns:r="http://schemas.openxmlformats.org/officeDocument/2006/relationships" ref="W60" r:id="rId55"/>
    <hyperlink xmlns:r="http://schemas.openxmlformats.org/officeDocument/2006/relationships" ref="W61" r:id="rId56"/>
    <hyperlink xmlns:r="http://schemas.openxmlformats.org/officeDocument/2006/relationships" ref="W62" r:id="rId57"/>
    <hyperlink xmlns:r="http://schemas.openxmlformats.org/officeDocument/2006/relationships" ref="W63" r:id="rId58"/>
    <hyperlink xmlns:r="http://schemas.openxmlformats.org/officeDocument/2006/relationships" ref="W64" r:id="rId59"/>
    <hyperlink xmlns:r="http://schemas.openxmlformats.org/officeDocument/2006/relationships" ref="W65" r:id="rId60"/>
    <hyperlink xmlns:r="http://schemas.openxmlformats.org/officeDocument/2006/relationships" ref="W66" r:id="rId61"/>
    <hyperlink xmlns:r="http://schemas.openxmlformats.org/officeDocument/2006/relationships" ref="W67" r:id="rId62"/>
    <hyperlink xmlns:r="http://schemas.openxmlformats.org/officeDocument/2006/relationships" ref="W68" r:id="rId63"/>
    <hyperlink xmlns:r="http://schemas.openxmlformats.org/officeDocument/2006/relationships" ref="W69" r:id="rId64"/>
    <hyperlink xmlns:r="http://schemas.openxmlformats.org/officeDocument/2006/relationships" ref="W70" r:id="rId65"/>
    <hyperlink xmlns:r="http://schemas.openxmlformats.org/officeDocument/2006/relationships" ref="W71" r:id="rId66"/>
    <hyperlink xmlns:r="http://schemas.openxmlformats.org/officeDocument/2006/relationships" ref="W72" r:id="rId67"/>
    <hyperlink xmlns:r="http://schemas.openxmlformats.org/officeDocument/2006/relationships" ref="W73" r:id="rId68"/>
    <hyperlink xmlns:r="http://schemas.openxmlformats.org/officeDocument/2006/relationships" ref="W74" r:id="rId69"/>
    <hyperlink xmlns:r="http://schemas.openxmlformats.org/officeDocument/2006/relationships" ref="W75" r:id="rId70"/>
    <hyperlink xmlns:r="http://schemas.openxmlformats.org/officeDocument/2006/relationships" ref="W76" r:id="rId71"/>
    <hyperlink xmlns:r="http://schemas.openxmlformats.org/officeDocument/2006/relationships" ref="W77" r:id="rId72"/>
    <hyperlink xmlns:r="http://schemas.openxmlformats.org/officeDocument/2006/relationships" ref="W78" r:id="rId73"/>
    <hyperlink xmlns:r="http://schemas.openxmlformats.org/officeDocument/2006/relationships" ref="W79" r:id="rId74"/>
    <hyperlink xmlns:r="http://schemas.openxmlformats.org/officeDocument/2006/relationships" ref="W80" r:id="rId75"/>
    <hyperlink xmlns:r="http://schemas.openxmlformats.org/officeDocument/2006/relationships" ref="W81" r:id="rId76"/>
    <hyperlink xmlns:r="http://schemas.openxmlformats.org/officeDocument/2006/relationships" ref="W82" r:id="rId77"/>
    <hyperlink xmlns:r="http://schemas.openxmlformats.org/officeDocument/2006/relationships" ref="W83" r:id="rId78"/>
    <hyperlink xmlns:r="http://schemas.openxmlformats.org/officeDocument/2006/relationships" ref="W84" r:id="rId79"/>
    <hyperlink xmlns:r="http://schemas.openxmlformats.org/officeDocument/2006/relationships" ref="W85" r:id="rId80"/>
    <hyperlink xmlns:r="http://schemas.openxmlformats.org/officeDocument/2006/relationships" ref="W86" r:id="rId81"/>
    <hyperlink xmlns:r="http://schemas.openxmlformats.org/officeDocument/2006/relationships" ref="W87" r:id="rId82"/>
    <hyperlink xmlns:r="http://schemas.openxmlformats.org/officeDocument/2006/relationships" ref="W88" r:id="rId83"/>
    <hyperlink xmlns:r="http://schemas.openxmlformats.org/officeDocument/2006/relationships" ref="W89" r:id="rId84"/>
    <hyperlink xmlns:r="http://schemas.openxmlformats.org/officeDocument/2006/relationships" ref="W90" r:id="rId85"/>
    <hyperlink xmlns:r="http://schemas.openxmlformats.org/officeDocument/2006/relationships" ref="W91" r:id="rId86"/>
    <hyperlink xmlns:r="http://schemas.openxmlformats.org/officeDocument/2006/relationships" ref="W92" r:id="rId87"/>
    <hyperlink xmlns:r="http://schemas.openxmlformats.org/officeDocument/2006/relationships" ref="W93" r:id="rId88"/>
    <hyperlink xmlns:r="http://schemas.openxmlformats.org/officeDocument/2006/relationships" ref="W94" r:id="rId89"/>
    <hyperlink xmlns:r="http://schemas.openxmlformats.org/officeDocument/2006/relationships" ref="W95" r:id="rId90"/>
    <hyperlink xmlns:r="http://schemas.openxmlformats.org/officeDocument/2006/relationships" ref="W96" r:id="rId91"/>
    <hyperlink xmlns:r="http://schemas.openxmlformats.org/officeDocument/2006/relationships" ref="W97" r:id="rId92"/>
    <hyperlink xmlns:r="http://schemas.openxmlformats.org/officeDocument/2006/relationships" ref="W98" r:id="rId93"/>
    <hyperlink xmlns:r="http://schemas.openxmlformats.org/officeDocument/2006/relationships" ref="W99" r:id="rId94"/>
    <hyperlink xmlns:r="http://schemas.openxmlformats.org/officeDocument/2006/relationships" ref="W100" r:id="rId95"/>
    <hyperlink xmlns:r="http://schemas.openxmlformats.org/officeDocument/2006/relationships" ref="W101" r:id="rId96"/>
    <hyperlink xmlns:r="http://schemas.openxmlformats.org/officeDocument/2006/relationships" ref="W102" r:id="rId97"/>
    <hyperlink xmlns:r="http://schemas.openxmlformats.org/officeDocument/2006/relationships" ref="W103" r:id="rId98"/>
    <hyperlink xmlns:r="http://schemas.openxmlformats.org/officeDocument/2006/relationships" ref="W104" r:id="rId99"/>
    <hyperlink xmlns:r="http://schemas.openxmlformats.org/officeDocument/2006/relationships" ref="W105" r:id="rId100"/>
    <hyperlink xmlns:r="http://schemas.openxmlformats.org/officeDocument/2006/relationships" ref="W106" r:id="rId101"/>
    <hyperlink xmlns:r="http://schemas.openxmlformats.org/officeDocument/2006/relationships" ref="W107" r:id="rId102"/>
    <hyperlink xmlns:r="http://schemas.openxmlformats.org/officeDocument/2006/relationships" ref="W108" r:id="rId103"/>
    <hyperlink xmlns:r="http://schemas.openxmlformats.org/officeDocument/2006/relationships" ref="W109" r:id="rId104"/>
    <hyperlink xmlns:r="http://schemas.openxmlformats.org/officeDocument/2006/relationships" ref="W110" r:id="rId105"/>
    <hyperlink xmlns:r="http://schemas.openxmlformats.org/officeDocument/2006/relationships" ref="W111" r:id="rId106"/>
    <hyperlink xmlns:r="http://schemas.openxmlformats.org/officeDocument/2006/relationships" ref="W112" r:id="rId107"/>
    <hyperlink xmlns:r="http://schemas.openxmlformats.org/officeDocument/2006/relationships" ref="W113" r:id="rId108"/>
    <hyperlink xmlns:r="http://schemas.openxmlformats.org/officeDocument/2006/relationships" ref="W114" r:id="rId109"/>
    <hyperlink xmlns:r="http://schemas.openxmlformats.org/officeDocument/2006/relationships" ref="W115" r:id="rId110"/>
    <hyperlink xmlns:r="http://schemas.openxmlformats.org/officeDocument/2006/relationships" ref="W116" r:id="rId111"/>
    <hyperlink xmlns:r="http://schemas.openxmlformats.org/officeDocument/2006/relationships" ref="W117" r:id="rId112"/>
    <hyperlink xmlns:r="http://schemas.openxmlformats.org/officeDocument/2006/relationships" ref="W118" r:id="rId113"/>
    <hyperlink xmlns:r="http://schemas.openxmlformats.org/officeDocument/2006/relationships" ref="W119" r:id="rId114"/>
    <hyperlink xmlns:r="http://schemas.openxmlformats.org/officeDocument/2006/relationships" ref="W120" r:id="rId115"/>
    <hyperlink xmlns:r="http://schemas.openxmlformats.org/officeDocument/2006/relationships" ref="W121" r:id="rId116"/>
    <hyperlink xmlns:r="http://schemas.openxmlformats.org/officeDocument/2006/relationships" ref="W122" r:id="rId117"/>
    <hyperlink xmlns:r="http://schemas.openxmlformats.org/officeDocument/2006/relationships" ref="W123" r:id="rId118"/>
    <hyperlink xmlns:r="http://schemas.openxmlformats.org/officeDocument/2006/relationships" ref="W124" r:id="rId119"/>
    <hyperlink xmlns:r="http://schemas.openxmlformats.org/officeDocument/2006/relationships" ref="W125" r:id="rId120"/>
    <hyperlink xmlns:r="http://schemas.openxmlformats.org/officeDocument/2006/relationships" ref="W126" r:id="rId121"/>
    <hyperlink xmlns:r="http://schemas.openxmlformats.org/officeDocument/2006/relationships" ref="W127" r:id="rId122"/>
    <hyperlink xmlns:r="http://schemas.openxmlformats.org/officeDocument/2006/relationships" ref="W128" r:id="rId123"/>
    <hyperlink xmlns:r="http://schemas.openxmlformats.org/officeDocument/2006/relationships" ref="W129" r:id="rId124"/>
    <hyperlink xmlns:r="http://schemas.openxmlformats.org/officeDocument/2006/relationships" ref="W130" r:id="rId125"/>
    <hyperlink xmlns:r="http://schemas.openxmlformats.org/officeDocument/2006/relationships" ref="W131" r:id="rId126"/>
    <hyperlink xmlns:r="http://schemas.openxmlformats.org/officeDocument/2006/relationships" ref="W132" r:id="rId127"/>
    <hyperlink xmlns:r="http://schemas.openxmlformats.org/officeDocument/2006/relationships" ref="W133" r:id="rId128"/>
    <hyperlink xmlns:r="http://schemas.openxmlformats.org/officeDocument/2006/relationships" ref="W134" r:id="rId129"/>
    <hyperlink xmlns:r="http://schemas.openxmlformats.org/officeDocument/2006/relationships" ref="W135" r:id="rId130"/>
    <hyperlink xmlns:r="http://schemas.openxmlformats.org/officeDocument/2006/relationships" ref="W136" r:id="rId131"/>
    <hyperlink xmlns:r="http://schemas.openxmlformats.org/officeDocument/2006/relationships" ref="W137" r:id="rId132"/>
    <hyperlink xmlns:r="http://schemas.openxmlformats.org/officeDocument/2006/relationships" ref="W138" r:id="rId133"/>
    <hyperlink xmlns:r="http://schemas.openxmlformats.org/officeDocument/2006/relationships" ref="W139" r:id="rId134"/>
    <hyperlink xmlns:r="http://schemas.openxmlformats.org/officeDocument/2006/relationships" ref="W140" r:id="rId135"/>
    <hyperlink xmlns:r="http://schemas.openxmlformats.org/officeDocument/2006/relationships" ref="W141" r:id="rId136"/>
    <hyperlink xmlns:r="http://schemas.openxmlformats.org/officeDocument/2006/relationships" ref="W142" r:id="rId137"/>
    <hyperlink xmlns:r="http://schemas.openxmlformats.org/officeDocument/2006/relationships" ref="W143" r:id="rId138"/>
    <hyperlink xmlns:r="http://schemas.openxmlformats.org/officeDocument/2006/relationships" ref="W144" r:id="rId139"/>
    <hyperlink xmlns:r="http://schemas.openxmlformats.org/officeDocument/2006/relationships" ref="W145" r:id="rId140"/>
    <hyperlink xmlns:r="http://schemas.openxmlformats.org/officeDocument/2006/relationships" ref="W146" r:id="rId141"/>
    <hyperlink xmlns:r="http://schemas.openxmlformats.org/officeDocument/2006/relationships" ref="W147" r:id="rId142"/>
    <hyperlink xmlns:r="http://schemas.openxmlformats.org/officeDocument/2006/relationships" ref="W148" r:id="rId143"/>
    <hyperlink xmlns:r="http://schemas.openxmlformats.org/officeDocument/2006/relationships" ref="W149" r:id="rId144"/>
    <hyperlink xmlns:r="http://schemas.openxmlformats.org/officeDocument/2006/relationships" ref="W150" r:id="rId145"/>
    <hyperlink xmlns:r="http://schemas.openxmlformats.org/officeDocument/2006/relationships" ref="W151" r:id="rId146"/>
    <hyperlink xmlns:r="http://schemas.openxmlformats.org/officeDocument/2006/relationships" ref="W152" r:id="rId147"/>
    <hyperlink xmlns:r="http://schemas.openxmlformats.org/officeDocument/2006/relationships" ref="W153" r:id="rId148"/>
    <hyperlink xmlns:r="http://schemas.openxmlformats.org/officeDocument/2006/relationships" ref="W154" r:id="rId149"/>
    <hyperlink xmlns:r="http://schemas.openxmlformats.org/officeDocument/2006/relationships" ref="W155" r:id="rId150"/>
    <hyperlink xmlns:r="http://schemas.openxmlformats.org/officeDocument/2006/relationships" ref="W156" r:id="rId151"/>
    <hyperlink xmlns:r="http://schemas.openxmlformats.org/officeDocument/2006/relationships" ref="W157" r:id="rId152"/>
    <hyperlink xmlns:r="http://schemas.openxmlformats.org/officeDocument/2006/relationships" ref="W158" r:id="rId153"/>
    <hyperlink xmlns:r="http://schemas.openxmlformats.org/officeDocument/2006/relationships" ref="W159" r:id="rId154"/>
    <hyperlink xmlns:r="http://schemas.openxmlformats.org/officeDocument/2006/relationships" ref="W160" r:id="rId155"/>
    <hyperlink xmlns:r="http://schemas.openxmlformats.org/officeDocument/2006/relationships" ref="W161" r:id="rId156"/>
    <hyperlink xmlns:r="http://schemas.openxmlformats.org/officeDocument/2006/relationships" ref="W162" r:id="rId157"/>
    <hyperlink xmlns:r="http://schemas.openxmlformats.org/officeDocument/2006/relationships" ref="W163" r:id="rId158"/>
    <hyperlink xmlns:r="http://schemas.openxmlformats.org/officeDocument/2006/relationships" ref="W164" r:id="rId159"/>
    <hyperlink xmlns:r="http://schemas.openxmlformats.org/officeDocument/2006/relationships" ref="W165" r:id="rId160"/>
    <hyperlink xmlns:r="http://schemas.openxmlformats.org/officeDocument/2006/relationships" ref="W166" r:id="rId161"/>
    <hyperlink xmlns:r="http://schemas.openxmlformats.org/officeDocument/2006/relationships" ref="W167" r:id="rId162"/>
    <hyperlink xmlns:r="http://schemas.openxmlformats.org/officeDocument/2006/relationships" ref="W168" r:id="rId163"/>
    <hyperlink xmlns:r="http://schemas.openxmlformats.org/officeDocument/2006/relationships" ref="W169" r:id="rId164"/>
    <hyperlink xmlns:r="http://schemas.openxmlformats.org/officeDocument/2006/relationships" ref="W170" r:id="rId165"/>
    <hyperlink xmlns:r="http://schemas.openxmlformats.org/officeDocument/2006/relationships" ref="W171" r:id="rId166"/>
    <hyperlink xmlns:r="http://schemas.openxmlformats.org/officeDocument/2006/relationships" ref="W172" r:id="rId167"/>
    <hyperlink xmlns:r="http://schemas.openxmlformats.org/officeDocument/2006/relationships" ref="W173" r:id="rId168"/>
    <hyperlink xmlns:r="http://schemas.openxmlformats.org/officeDocument/2006/relationships" ref="W174" r:id="rId169"/>
    <hyperlink xmlns:r="http://schemas.openxmlformats.org/officeDocument/2006/relationships" ref="W175" r:id="rId170"/>
    <hyperlink xmlns:r="http://schemas.openxmlformats.org/officeDocument/2006/relationships" ref="W176" r:id="rId171"/>
    <hyperlink xmlns:r="http://schemas.openxmlformats.org/officeDocument/2006/relationships" ref="W177" r:id="rId172"/>
    <hyperlink xmlns:r="http://schemas.openxmlformats.org/officeDocument/2006/relationships" ref="W178" r:id="rId173"/>
    <hyperlink xmlns:r="http://schemas.openxmlformats.org/officeDocument/2006/relationships" ref="W179" r:id="rId174"/>
    <hyperlink xmlns:r="http://schemas.openxmlformats.org/officeDocument/2006/relationships" ref="W180" r:id="rId175"/>
    <hyperlink xmlns:r="http://schemas.openxmlformats.org/officeDocument/2006/relationships" ref="W181" r:id="rId176"/>
    <hyperlink xmlns:r="http://schemas.openxmlformats.org/officeDocument/2006/relationships" ref="W182" r:id="rId177"/>
    <hyperlink xmlns:r="http://schemas.openxmlformats.org/officeDocument/2006/relationships" ref="W183" r:id="rId178"/>
    <hyperlink xmlns:r="http://schemas.openxmlformats.org/officeDocument/2006/relationships" ref="W184" r:id="rId179"/>
    <hyperlink xmlns:r="http://schemas.openxmlformats.org/officeDocument/2006/relationships" ref="W185" r:id="rId180"/>
    <hyperlink xmlns:r="http://schemas.openxmlformats.org/officeDocument/2006/relationships" ref="W186" r:id="rId181"/>
    <hyperlink xmlns:r="http://schemas.openxmlformats.org/officeDocument/2006/relationships" ref="W187" r:id="rId182"/>
    <hyperlink xmlns:r="http://schemas.openxmlformats.org/officeDocument/2006/relationships" ref="W188" r:id="rId183"/>
    <hyperlink xmlns:r="http://schemas.openxmlformats.org/officeDocument/2006/relationships" ref="W189" r:id="rId184"/>
    <hyperlink xmlns:r="http://schemas.openxmlformats.org/officeDocument/2006/relationships" ref="W190" r:id="rId185"/>
    <hyperlink xmlns:r="http://schemas.openxmlformats.org/officeDocument/2006/relationships" ref="W191" r:id="rId186"/>
    <hyperlink xmlns:r="http://schemas.openxmlformats.org/officeDocument/2006/relationships" ref="W192" r:id="rId187"/>
    <hyperlink xmlns:r="http://schemas.openxmlformats.org/officeDocument/2006/relationships" ref="W193" r:id="rId188"/>
    <hyperlink xmlns:r="http://schemas.openxmlformats.org/officeDocument/2006/relationships" ref="W194" r:id="rId189"/>
    <hyperlink xmlns:r="http://schemas.openxmlformats.org/officeDocument/2006/relationships" ref="W195" r:id="rId190"/>
    <hyperlink xmlns:r="http://schemas.openxmlformats.org/officeDocument/2006/relationships" ref="W196" r:id="rId191"/>
    <hyperlink xmlns:r="http://schemas.openxmlformats.org/officeDocument/2006/relationships" ref="W197" r:id="rId192"/>
    <hyperlink xmlns:r="http://schemas.openxmlformats.org/officeDocument/2006/relationships" ref="W198" r:id="rId193"/>
    <hyperlink xmlns:r="http://schemas.openxmlformats.org/officeDocument/2006/relationships" ref="W199" r:id="rId194"/>
    <hyperlink xmlns:r="http://schemas.openxmlformats.org/officeDocument/2006/relationships" ref="W200" r:id="rId195"/>
    <hyperlink xmlns:r="http://schemas.openxmlformats.org/officeDocument/2006/relationships" ref="W201" r:id="rId196"/>
    <hyperlink xmlns:r="http://schemas.openxmlformats.org/officeDocument/2006/relationships" ref="W202" r:id="rId197"/>
    <hyperlink xmlns:r="http://schemas.openxmlformats.org/officeDocument/2006/relationships" ref="W203" r:id="rId198"/>
    <hyperlink xmlns:r="http://schemas.openxmlformats.org/officeDocument/2006/relationships" ref="W204" r:id="rId199"/>
    <hyperlink xmlns:r="http://schemas.openxmlformats.org/officeDocument/2006/relationships" ref="W205" r:id="rId200"/>
    <hyperlink xmlns:r="http://schemas.openxmlformats.org/officeDocument/2006/relationships" ref="W206" r:id="rId201"/>
    <hyperlink xmlns:r="http://schemas.openxmlformats.org/officeDocument/2006/relationships" ref="W207" r:id="rId202"/>
    <hyperlink xmlns:r="http://schemas.openxmlformats.org/officeDocument/2006/relationships" ref="W208" r:id="rId203"/>
    <hyperlink xmlns:r="http://schemas.openxmlformats.org/officeDocument/2006/relationships" ref="W209" r:id="rId204"/>
    <hyperlink xmlns:r="http://schemas.openxmlformats.org/officeDocument/2006/relationships" ref="W210" r:id="rId205"/>
    <hyperlink xmlns:r="http://schemas.openxmlformats.org/officeDocument/2006/relationships" ref="W211" r:id="rId206"/>
    <hyperlink xmlns:r="http://schemas.openxmlformats.org/officeDocument/2006/relationships" ref="W212" r:id="rId207"/>
    <hyperlink xmlns:r="http://schemas.openxmlformats.org/officeDocument/2006/relationships" ref="W213" r:id="rId208"/>
    <hyperlink xmlns:r="http://schemas.openxmlformats.org/officeDocument/2006/relationships" ref="W214" r:id="rId209"/>
    <hyperlink xmlns:r="http://schemas.openxmlformats.org/officeDocument/2006/relationships" ref="W215" r:id="rId210"/>
    <hyperlink xmlns:r="http://schemas.openxmlformats.org/officeDocument/2006/relationships" ref="W216" r:id="rId211"/>
    <hyperlink xmlns:r="http://schemas.openxmlformats.org/officeDocument/2006/relationships" ref="W217" r:id="rId212"/>
    <hyperlink xmlns:r="http://schemas.openxmlformats.org/officeDocument/2006/relationships" ref="W218" r:id="rId213"/>
    <hyperlink xmlns:r="http://schemas.openxmlformats.org/officeDocument/2006/relationships" ref="W219" r:id="rId214"/>
    <hyperlink xmlns:r="http://schemas.openxmlformats.org/officeDocument/2006/relationships" ref="W220" r:id="rId215"/>
    <hyperlink xmlns:r="http://schemas.openxmlformats.org/officeDocument/2006/relationships" ref="W221" r:id="rId216"/>
    <hyperlink xmlns:r="http://schemas.openxmlformats.org/officeDocument/2006/relationships" ref="W222" r:id="rId217"/>
    <hyperlink xmlns:r="http://schemas.openxmlformats.org/officeDocument/2006/relationships" ref="W223" r:id="rId218"/>
    <hyperlink xmlns:r="http://schemas.openxmlformats.org/officeDocument/2006/relationships" ref="W224" r:id="rId219"/>
    <hyperlink xmlns:r="http://schemas.openxmlformats.org/officeDocument/2006/relationships" ref="W225" r:id="rId220"/>
    <hyperlink xmlns:r="http://schemas.openxmlformats.org/officeDocument/2006/relationships" ref="W226" r:id="rId221"/>
    <hyperlink xmlns:r="http://schemas.openxmlformats.org/officeDocument/2006/relationships" ref="W227" r:id="rId222"/>
    <hyperlink xmlns:r="http://schemas.openxmlformats.org/officeDocument/2006/relationships" ref="W228" r:id="rId223"/>
    <hyperlink xmlns:r="http://schemas.openxmlformats.org/officeDocument/2006/relationships" ref="W229" r:id="rId224"/>
    <hyperlink xmlns:r="http://schemas.openxmlformats.org/officeDocument/2006/relationships" ref="W230" r:id="rId225"/>
    <hyperlink xmlns:r="http://schemas.openxmlformats.org/officeDocument/2006/relationships" ref="W231" r:id="rId226"/>
    <hyperlink xmlns:r="http://schemas.openxmlformats.org/officeDocument/2006/relationships" ref="W232" r:id="rId227"/>
    <hyperlink xmlns:r="http://schemas.openxmlformats.org/officeDocument/2006/relationships" ref="W233" r:id="rId228"/>
    <hyperlink xmlns:r="http://schemas.openxmlformats.org/officeDocument/2006/relationships" ref="W234" r:id="rId229"/>
    <hyperlink xmlns:r="http://schemas.openxmlformats.org/officeDocument/2006/relationships" ref="W235" r:id="rId230"/>
    <hyperlink xmlns:r="http://schemas.openxmlformats.org/officeDocument/2006/relationships" ref="W236" r:id="rId231"/>
    <hyperlink xmlns:r="http://schemas.openxmlformats.org/officeDocument/2006/relationships" ref="W237" r:id="rId232"/>
    <hyperlink xmlns:r="http://schemas.openxmlformats.org/officeDocument/2006/relationships" ref="W238" r:id="rId233"/>
    <hyperlink xmlns:r="http://schemas.openxmlformats.org/officeDocument/2006/relationships" ref="W239" r:id="rId234"/>
    <hyperlink xmlns:r="http://schemas.openxmlformats.org/officeDocument/2006/relationships" ref="W240" r:id="rId235"/>
    <hyperlink xmlns:r="http://schemas.openxmlformats.org/officeDocument/2006/relationships" ref="W241" r:id="rId236"/>
    <hyperlink xmlns:r="http://schemas.openxmlformats.org/officeDocument/2006/relationships" ref="W242" r:id="rId237"/>
    <hyperlink xmlns:r="http://schemas.openxmlformats.org/officeDocument/2006/relationships" ref="W243" r:id="rId238"/>
    <hyperlink xmlns:r="http://schemas.openxmlformats.org/officeDocument/2006/relationships" ref="W244" r:id="rId239"/>
    <hyperlink xmlns:r="http://schemas.openxmlformats.org/officeDocument/2006/relationships" ref="W245" r:id="rId240"/>
    <hyperlink xmlns:r="http://schemas.openxmlformats.org/officeDocument/2006/relationships" ref="W246" r:id="rId241"/>
    <hyperlink xmlns:r="http://schemas.openxmlformats.org/officeDocument/2006/relationships" ref="W247" r:id="rId242"/>
    <hyperlink xmlns:r="http://schemas.openxmlformats.org/officeDocument/2006/relationships" ref="W248" r:id="rId243"/>
    <hyperlink xmlns:r="http://schemas.openxmlformats.org/officeDocument/2006/relationships" ref="W249" r:id="rId244"/>
    <hyperlink xmlns:r="http://schemas.openxmlformats.org/officeDocument/2006/relationships" ref="W250" r:id="rId245"/>
    <hyperlink xmlns:r="http://schemas.openxmlformats.org/officeDocument/2006/relationships" ref="W251" r:id="rId246"/>
    <hyperlink xmlns:r="http://schemas.openxmlformats.org/officeDocument/2006/relationships" ref="W252" r:id="rId247"/>
    <hyperlink xmlns:r="http://schemas.openxmlformats.org/officeDocument/2006/relationships" ref="W253" r:id="rId248"/>
    <hyperlink xmlns:r="http://schemas.openxmlformats.org/officeDocument/2006/relationships" ref="W254" r:id="rId249"/>
    <hyperlink xmlns:r="http://schemas.openxmlformats.org/officeDocument/2006/relationships" ref="W255" r:id="rId250"/>
    <hyperlink xmlns:r="http://schemas.openxmlformats.org/officeDocument/2006/relationships" ref="W256" r:id="rId251"/>
    <hyperlink xmlns:r="http://schemas.openxmlformats.org/officeDocument/2006/relationships" ref="W257" r:id="rId252"/>
    <hyperlink xmlns:r="http://schemas.openxmlformats.org/officeDocument/2006/relationships" ref="W258" r:id="rId253"/>
    <hyperlink xmlns:r="http://schemas.openxmlformats.org/officeDocument/2006/relationships" ref="W259" r:id="rId254"/>
    <hyperlink xmlns:r="http://schemas.openxmlformats.org/officeDocument/2006/relationships" ref="W260" r:id="rId255"/>
    <hyperlink xmlns:r="http://schemas.openxmlformats.org/officeDocument/2006/relationships" ref="W261" r:id="rId256"/>
    <hyperlink xmlns:r="http://schemas.openxmlformats.org/officeDocument/2006/relationships" ref="W262" r:id="rId257"/>
    <hyperlink xmlns:r="http://schemas.openxmlformats.org/officeDocument/2006/relationships" ref="W263" r:id="rId258"/>
    <hyperlink xmlns:r="http://schemas.openxmlformats.org/officeDocument/2006/relationships" ref="W264" r:id="rId259"/>
    <hyperlink xmlns:r="http://schemas.openxmlformats.org/officeDocument/2006/relationships" ref="W265" r:id="rId260"/>
    <hyperlink xmlns:r="http://schemas.openxmlformats.org/officeDocument/2006/relationships" ref="W266" r:id="rId261"/>
    <hyperlink xmlns:r="http://schemas.openxmlformats.org/officeDocument/2006/relationships" ref="W267" r:id="rId262"/>
    <hyperlink xmlns:r="http://schemas.openxmlformats.org/officeDocument/2006/relationships" ref="W268" r:id="rId263"/>
    <hyperlink xmlns:r="http://schemas.openxmlformats.org/officeDocument/2006/relationships" ref="W269" r:id="rId264"/>
    <hyperlink xmlns:r="http://schemas.openxmlformats.org/officeDocument/2006/relationships" ref="W270" r:id="rId265"/>
    <hyperlink xmlns:r="http://schemas.openxmlformats.org/officeDocument/2006/relationships" ref="W271" r:id="rId266"/>
    <hyperlink xmlns:r="http://schemas.openxmlformats.org/officeDocument/2006/relationships" ref="W272" r:id="rId267"/>
    <hyperlink xmlns:r="http://schemas.openxmlformats.org/officeDocument/2006/relationships" ref="W273" r:id="rId268"/>
    <hyperlink xmlns:r="http://schemas.openxmlformats.org/officeDocument/2006/relationships" ref="W274" r:id="rId269"/>
    <hyperlink xmlns:r="http://schemas.openxmlformats.org/officeDocument/2006/relationships" ref="W275" r:id="rId270"/>
    <hyperlink xmlns:r="http://schemas.openxmlformats.org/officeDocument/2006/relationships" ref="W276" r:id="rId271"/>
    <hyperlink xmlns:r="http://schemas.openxmlformats.org/officeDocument/2006/relationships" ref="W277" r:id="rId272"/>
    <hyperlink xmlns:r="http://schemas.openxmlformats.org/officeDocument/2006/relationships" ref="W278" r:id="rId273"/>
    <hyperlink xmlns:r="http://schemas.openxmlformats.org/officeDocument/2006/relationships" ref="W279" r:id="rId274"/>
    <hyperlink xmlns:r="http://schemas.openxmlformats.org/officeDocument/2006/relationships" ref="W280" r:id="rId275"/>
    <hyperlink xmlns:r="http://schemas.openxmlformats.org/officeDocument/2006/relationships" ref="W281" r:id="rId276"/>
    <hyperlink xmlns:r="http://schemas.openxmlformats.org/officeDocument/2006/relationships" ref="W282" r:id="rId277"/>
    <hyperlink xmlns:r="http://schemas.openxmlformats.org/officeDocument/2006/relationships" ref="W283" r:id="rId278"/>
    <hyperlink xmlns:r="http://schemas.openxmlformats.org/officeDocument/2006/relationships" ref="W284" r:id="rId279"/>
    <hyperlink xmlns:r="http://schemas.openxmlformats.org/officeDocument/2006/relationships" ref="W285" r:id="rId280"/>
    <hyperlink xmlns:r="http://schemas.openxmlformats.org/officeDocument/2006/relationships" ref="W286" r:id="rId281"/>
    <hyperlink xmlns:r="http://schemas.openxmlformats.org/officeDocument/2006/relationships" ref="W287" r:id="rId282"/>
    <hyperlink xmlns:r="http://schemas.openxmlformats.org/officeDocument/2006/relationships" ref="W288" r:id="rId283"/>
    <hyperlink xmlns:r="http://schemas.openxmlformats.org/officeDocument/2006/relationships" ref="W289" r:id="rId284"/>
    <hyperlink xmlns:r="http://schemas.openxmlformats.org/officeDocument/2006/relationships" ref="W290" r:id="rId285"/>
    <hyperlink xmlns:r="http://schemas.openxmlformats.org/officeDocument/2006/relationships" ref="W291" r:id="rId286"/>
    <hyperlink xmlns:r="http://schemas.openxmlformats.org/officeDocument/2006/relationships" ref="W292" r:id="rId287"/>
    <hyperlink xmlns:r="http://schemas.openxmlformats.org/officeDocument/2006/relationships" ref="W293" r:id="rId288"/>
    <hyperlink xmlns:r="http://schemas.openxmlformats.org/officeDocument/2006/relationships" ref="W294" r:id="rId289"/>
    <hyperlink xmlns:r="http://schemas.openxmlformats.org/officeDocument/2006/relationships" ref="W295" r:id="rId290"/>
    <hyperlink xmlns:r="http://schemas.openxmlformats.org/officeDocument/2006/relationships" ref="W296" r:id="rId291"/>
    <hyperlink xmlns:r="http://schemas.openxmlformats.org/officeDocument/2006/relationships" ref="W297" r:id="rId292"/>
    <hyperlink xmlns:r="http://schemas.openxmlformats.org/officeDocument/2006/relationships" ref="W298" r:id="rId293"/>
    <hyperlink xmlns:r="http://schemas.openxmlformats.org/officeDocument/2006/relationships" ref="W299" r:id="rId294"/>
    <hyperlink xmlns:r="http://schemas.openxmlformats.org/officeDocument/2006/relationships" ref="W300" r:id="rId295"/>
    <hyperlink xmlns:r="http://schemas.openxmlformats.org/officeDocument/2006/relationships" ref="W301" r:id="rId296"/>
    <hyperlink xmlns:r="http://schemas.openxmlformats.org/officeDocument/2006/relationships" ref="W302" r:id="rId297"/>
    <hyperlink xmlns:r="http://schemas.openxmlformats.org/officeDocument/2006/relationships" ref="W303" r:id="rId298"/>
    <hyperlink xmlns:r="http://schemas.openxmlformats.org/officeDocument/2006/relationships" ref="W304" r:id="rId299"/>
    <hyperlink xmlns:r="http://schemas.openxmlformats.org/officeDocument/2006/relationships" ref="W305" r:id="rId300"/>
    <hyperlink xmlns:r="http://schemas.openxmlformats.org/officeDocument/2006/relationships" ref="W306" r:id="rId301"/>
    <hyperlink xmlns:r="http://schemas.openxmlformats.org/officeDocument/2006/relationships" ref="W307" r:id="rId302"/>
    <hyperlink xmlns:r="http://schemas.openxmlformats.org/officeDocument/2006/relationships" ref="W308" r:id="rId303"/>
    <hyperlink xmlns:r="http://schemas.openxmlformats.org/officeDocument/2006/relationships" ref="W309" r:id="rId304"/>
    <hyperlink xmlns:r="http://schemas.openxmlformats.org/officeDocument/2006/relationships" ref="W310" r:id="rId305"/>
    <hyperlink xmlns:r="http://schemas.openxmlformats.org/officeDocument/2006/relationships" ref="W311" r:id="rId306"/>
    <hyperlink xmlns:r="http://schemas.openxmlformats.org/officeDocument/2006/relationships" ref="W312" r:id="rId307"/>
    <hyperlink xmlns:r="http://schemas.openxmlformats.org/officeDocument/2006/relationships" ref="W313" r:id="rId308"/>
    <hyperlink xmlns:r="http://schemas.openxmlformats.org/officeDocument/2006/relationships" ref="W314" r:id="rId309"/>
    <hyperlink xmlns:r="http://schemas.openxmlformats.org/officeDocument/2006/relationships" ref="W315" r:id="rId310"/>
    <hyperlink xmlns:r="http://schemas.openxmlformats.org/officeDocument/2006/relationships" ref="W316" r:id="rId311"/>
    <hyperlink xmlns:r="http://schemas.openxmlformats.org/officeDocument/2006/relationships" ref="W317" r:id="rId312"/>
    <hyperlink xmlns:r="http://schemas.openxmlformats.org/officeDocument/2006/relationships" ref="W318" r:id="rId313"/>
    <hyperlink xmlns:r="http://schemas.openxmlformats.org/officeDocument/2006/relationships" ref="W319" r:id="rId314"/>
    <hyperlink xmlns:r="http://schemas.openxmlformats.org/officeDocument/2006/relationships" ref="W320" r:id="rId315"/>
    <hyperlink xmlns:r="http://schemas.openxmlformats.org/officeDocument/2006/relationships" ref="W321" r:id="rId316"/>
    <hyperlink xmlns:r="http://schemas.openxmlformats.org/officeDocument/2006/relationships" ref="W322" r:id="rId317"/>
    <hyperlink xmlns:r="http://schemas.openxmlformats.org/officeDocument/2006/relationships" ref="W323" r:id="rId318"/>
    <hyperlink xmlns:r="http://schemas.openxmlformats.org/officeDocument/2006/relationships" ref="W324" r:id="rId319"/>
    <hyperlink xmlns:r="http://schemas.openxmlformats.org/officeDocument/2006/relationships" ref="W325" r:id="rId320"/>
    <hyperlink xmlns:r="http://schemas.openxmlformats.org/officeDocument/2006/relationships" ref="W326" r:id="rId321"/>
    <hyperlink xmlns:r="http://schemas.openxmlformats.org/officeDocument/2006/relationships" ref="W327" r:id="rId322"/>
    <hyperlink xmlns:r="http://schemas.openxmlformats.org/officeDocument/2006/relationships" ref="W328" r:id="rId323"/>
    <hyperlink xmlns:r="http://schemas.openxmlformats.org/officeDocument/2006/relationships" ref="W329" r:id="rId324"/>
    <hyperlink xmlns:r="http://schemas.openxmlformats.org/officeDocument/2006/relationships" ref="W330" r:id="rId325"/>
    <hyperlink xmlns:r="http://schemas.openxmlformats.org/officeDocument/2006/relationships" ref="W331" r:id="rId326"/>
    <hyperlink xmlns:r="http://schemas.openxmlformats.org/officeDocument/2006/relationships" ref="W332" r:id="rId327"/>
    <hyperlink xmlns:r="http://schemas.openxmlformats.org/officeDocument/2006/relationships" ref="W333" r:id="rId328"/>
    <hyperlink xmlns:r="http://schemas.openxmlformats.org/officeDocument/2006/relationships" ref="W334" r:id="rId329"/>
    <hyperlink xmlns:r="http://schemas.openxmlformats.org/officeDocument/2006/relationships" ref="W335" r:id="rId330"/>
    <hyperlink xmlns:r="http://schemas.openxmlformats.org/officeDocument/2006/relationships" ref="W336" r:id="rId331"/>
    <hyperlink xmlns:r="http://schemas.openxmlformats.org/officeDocument/2006/relationships" ref="W337" r:id="rId332"/>
    <hyperlink xmlns:r="http://schemas.openxmlformats.org/officeDocument/2006/relationships" ref="W338" r:id="rId333"/>
    <hyperlink xmlns:r="http://schemas.openxmlformats.org/officeDocument/2006/relationships" ref="W339" r:id="rId334"/>
    <hyperlink xmlns:r="http://schemas.openxmlformats.org/officeDocument/2006/relationships" ref="W340" r:id="rId335"/>
    <hyperlink xmlns:r="http://schemas.openxmlformats.org/officeDocument/2006/relationships" ref="W341" r:id="rId336"/>
    <hyperlink xmlns:r="http://schemas.openxmlformats.org/officeDocument/2006/relationships" ref="W342" r:id="rId337"/>
    <hyperlink xmlns:r="http://schemas.openxmlformats.org/officeDocument/2006/relationships" ref="W343" r:id="rId338"/>
    <hyperlink xmlns:r="http://schemas.openxmlformats.org/officeDocument/2006/relationships" ref="W344" r:id="rId339"/>
    <hyperlink xmlns:r="http://schemas.openxmlformats.org/officeDocument/2006/relationships" ref="W345" r:id="rId340"/>
    <hyperlink xmlns:r="http://schemas.openxmlformats.org/officeDocument/2006/relationships" ref="W346" r:id="rId341"/>
    <hyperlink xmlns:r="http://schemas.openxmlformats.org/officeDocument/2006/relationships" ref="W347" r:id="rId342"/>
    <hyperlink xmlns:r="http://schemas.openxmlformats.org/officeDocument/2006/relationships" ref="W348" r:id="rId343"/>
    <hyperlink xmlns:r="http://schemas.openxmlformats.org/officeDocument/2006/relationships" ref="W349" r:id="rId344"/>
    <hyperlink xmlns:r="http://schemas.openxmlformats.org/officeDocument/2006/relationships" ref="W350" r:id="rId345"/>
    <hyperlink xmlns:r="http://schemas.openxmlformats.org/officeDocument/2006/relationships" ref="W351" r:id="rId346"/>
    <hyperlink xmlns:r="http://schemas.openxmlformats.org/officeDocument/2006/relationships" ref="W352" r:id="rId347"/>
    <hyperlink xmlns:r="http://schemas.openxmlformats.org/officeDocument/2006/relationships" ref="W353" r:id="rId348"/>
    <hyperlink xmlns:r="http://schemas.openxmlformats.org/officeDocument/2006/relationships" ref="W354" r:id="rId349"/>
    <hyperlink xmlns:r="http://schemas.openxmlformats.org/officeDocument/2006/relationships" ref="W355" r:id="rId350"/>
    <hyperlink xmlns:r="http://schemas.openxmlformats.org/officeDocument/2006/relationships" ref="W356" r:id="rId351"/>
    <hyperlink xmlns:r="http://schemas.openxmlformats.org/officeDocument/2006/relationships" ref="W357" r:id="rId352"/>
    <hyperlink xmlns:r="http://schemas.openxmlformats.org/officeDocument/2006/relationships" ref="W358" r:id="rId353"/>
    <hyperlink xmlns:r="http://schemas.openxmlformats.org/officeDocument/2006/relationships" ref="W359" r:id="rId354"/>
    <hyperlink xmlns:r="http://schemas.openxmlformats.org/officeDocument/2006/relationships" ref="W360" r:id="rId355"/>
    <hyperlink xmlns:r="http://schemas.openxmlformats.org/officeDocument/2006/relationships" ref="W361" r:id="rId356"/>
    <hyperlink xmlns:r="http://schemas.openxmlformats.org/officeDocument/2006/relationships" ref="W362" r:id="rId357"/>
    <hyperlink xmlns:r="http://schemas.openxmlformats.org/officeDocument/2006/relationships" ref="W363" r:id="rId358"/>
    <hyperlink xmlns:r="http://schemas.openxmlformats.org/officeDocument/2006/relationships" ref="W364" r:id="rId359"/>
    <hyperlink xmlns:r="http://schemas.openxmlformats.org/officeDocument/2006/relationships" ref="W365" r:id="rId360"/>
    <hyperlink xmlns:r="http://schemas.openxmlformats.org/officeDocument/2006/relationships" ref="W366" r:id="rId361"/>
    <hyperlink xmlns:r="http://schemas.openxmlformats.org/officeDocument/2006/relationships" ref="W367" r:id="rId362"/>
    <hyperlink xmlns:r="http://schemas.openxmlformats.org/officeDocument/2006/relationships" ref="W368" r:id="rId363"/>
    <hyperlink xmlns:r="http://schemas.openxmlformats.org/officeDocument/2006/relationships" ref="W369" r:id="rId364"/>
    <hyperlink xmlns:r="http://schemas.openxmlformats.org/officeDocument/2006/relationships" ref="W370" r:id="rId365"/>
    <hyperlink xmlns:r="http://schemas.openxmlformats.org/officeDocument/2006/relationships" ref="W371" r:id="rId366"/>
    <hyperlink xmlns:r="http://schemas.openxmlformats.org/officeDocument/2006/relationships" ref="W372" r:id="rId367"/>
    <hyperlink xmlns:r="http://schemas.openxmlformats.org/officeDocument/2006/relationships" ref="W373" r:id="rId368"/>
    <hyperlink xmlns:r="http://schemas.openxmlformats.org/officeDocument/2006/relationships" ref="W374" r:id="rId369"/>
    <hyperlink xmlns:r="http://schemas.openxmlformats.org/officeDocument/2006/relationships" ref="W375" r:id="rId370"/>
    <hyperlink xmlns:r="http://schemas.openxmlformats.org/officeDocument/2006/relationships" ref="W376" r:id="rId371"/>
    <hyperlink xmlns:r="http://schemas.openxmlformats.org/officeDocument/2006/relationships" ref="W377" r:id="rId372"/>
    <hyperlink xmlns:r="http://schemas.openxmlformats.org/officeDocument/2006/relationships" ref="W378" r:id="rId373"/>
    <hyperlink xmlns:r="http://schemas.openxmlformats.org/officeDocument/2006/relationships" ref="W379" r:id="rId374"/>
    <hyperlink xmlns:r="http://schemas.openxmlformats.org/officeDocument/2006/relationships" ref="W380" r:id="rId375"/>
    <hyperlink xmlns:r="http://schemas.openxmlformats.org/officeDocument/2006/relationships" ref="W381" r:id="rId376"/>
    <hyperlink xmlns:r="http://schemas.openxmlformats.org/officeDocument/2006/relationships" ref="W382" r:id="rId377"/>
    <hyperlink xmlns:r="http://schemas.openxmlformats.org/officeDocument/2006/relationships" ref="W383" r:id="rId378"/>
    <hyperlink xmlns:r="http://schemas.openxmlformats.org/officeDocument/2006/relationships" ref="W384" r:id="rId379"/>
    <hyperlink xmlns:r="http://schemas.openxmlformats.org/officeDocument/2006/relationships" ref="W385" r:id="rId380"/>
    <hyperlink xmlns:r="http://schemas.openxmlformats.org/officeDocument/2006/relationships" ref="W386" r:id="rId381"/>
    <hyperlink xmlns:r="http://schemas.openxmlformats.org/officeDocument/2006/relationships" ref="W387" r:id="rId382"/>
    <hyperlink xmlns:r="http://schemas.openxmlformats.org/officeDocument/2006/relationships" ref="W388" r:id="rId383"/>
    <hyperlink xmlns:r="http://schemas.openxmlformats.org/officeDocument/2006/relationships" ref="W389" r:id="rId384"/>
    <hyperlink xmlns:r="http://schemas.openxmlformats.org/officeDocument/2006/relationships" ref="W390" r:id="rId385"/>
    <hyperlink xmlns:r="http://schemas.openxmlformats.org/officeDocument/2006/relationships" ref="W391" r:id="rId386"/>
    <hyperlink xmlns:r="http://schemas.openxmlformats.org/officeDocument/2006/relationships" ref="W392" r:id="rId387"/>
    <hyperlink xmlns:r="http://schemas.openxmlformats.org/officeDocument/2006/relationships" ref="W393" r:id="rId388"/>
    <hyperlink xmlns:r="http://schemas.openxmlformats.org/officeDocument/2006/relationships" ref="W394" r:id="rId389"/>
    <hyperlink xmlns:r="http://schemas.openxmlformats.org/officeDocument/2006/relationships" ref="W395" r:id="rId390"/>
    <hyperlink xmlns:r="http://schemas.openxmlformats.org/officeDocument/2006/relationships" ref="W396" r:id="rId391"/>
    <hyperlink xmlns:r="http://schemas.openxmlformats.org/officeDocument/2006/relationships" ref="W397" r:id="rId392"/>
    <hyperlink xmlns:r="http://schemas.openxmlformats.org/officeDocument/2006/relationships" ref="W398" r:id="rId393"/>
    <hyperlink xmlns:r="http://schemas.openxmlformats.org/officeDocument/2006/relationships" ref="W399" r:id="rId394"/>
    <hyperlink xmlns:r="http://schemas.openxmlformats.org/officeDocument/2006/relationships" ref="W400" r:id="rId395"/>
    <hyperlink xmlns:r="http://schemas.openxmlformats.org/officeDocument/2006/relationships" ref="W401" r:id="rId396"/>
    <hyperlink xmlns:r="http://schemas.openxmlformats.org/officeDocument/2006/relationships" ref="W402" r:id="rId397"/>
    <hyperlink xmlns:r="http://schemas.openxmlformats.org/officeDocument/2006/relationships" ref="W403" r:id="rId398"/>
    <hyperlink xmlns:r="http://schemas.openxmlformats.org/officeDocument/2006/relationships" ref="W404" r:id="rId399"/>
    <hyperlink xmlns:r="http://schemas.openxmlformats.org/officeDocument/2006/relationships" ref="W405" r:id="rId400"/>
    <hyperlink xmlns:r="http://schemas.openxmlformats.org/officeDocument/2006/relationships" ref="W406" r:id="rId401"/>
    <hyperlink xmlns:r="http://schemas.openxmlformats.org/officeDocument/2006/relationships" ref="W407" r:id="rId402"/>
    <hyperlink xmlns:r="http://schemas.openxmlformats.org/officeDocument/2006/relationships" ref="W408" r:id="rId403"/>
    <hyperlink xmlns:r="http://schemas.openxmlformats.org/officeDocument/2006/relationships" ref="W409" r:id="rId404"/>
    <hyperlink xmlns:r="http://schemas.openxmlformats.org/officeDocument/2006/relationships" ref="W410" r:id="rId405"/>
    <hyperlink xmlns:r="http://schemas.openxmlformats.org/officeDocument/2006/relationships" ref="W411" r:id="rId406"/>
    <hyperlink xmlns:r="http://schemas.openxmlformats.org/officeDocument/2006/relationships" ref="W412" r:id="rId407"/>
    <hyperlink xmlns:r="http://schemas.openxmlformats.org/officeDocument/2006/relationships" ref="W413" r:id="rId408"/>
    <hyperlink xmlns:r="http://schemas.openxmlformats.org/officeDocument/2006/relationships" ref="W414" r:id="rId409"/>
    <hyperlink xmlns:r="http://schemas.openxmlformats.org/officeDocument/2006/relationships" ref="W415" r:id="rId410"/>
    <hyperlink xmlns:r="http://schemas.openxmlformats.org/officeDocument/2006/relationships" ref="W416" r:id="rId411"/>
    <hyperlink xmlns:r="http://schemas.openxmlformats.org/officeDocument/2006/relationships" ref="W417" r:id="rId412"/>
    <hyperlink xmlns:r="http://schemas.openxmlformats.org/officeDocument/2006/relationships" ref="W418" r:id="rId413"/>
    <hyperlink xmlns:r="http://schemas.openxmlformats.org/officeDocument/2006/relationships" ref="W419" r:id="rId414"/>
    <hyperlink xmlns:r="http://schemas.openxmlformats.org/officeDocument/2006/relationships" ref="W420" r:id="rId415"/>
    <hyperlink xmlns:r="http://schemas.openxmlformats.org/officeDocument/2006/relationships" ref="W421" r:id="rId416"/>
    <hyperlink xmlns:r="http://schemas.openxmlformats.org/officeDocument/2006/relationships" ref="W422" r:id="rId417"/>
    <hyperlink xmlns:r="http://schemas.openxmlformats.org/officeDocument/2006/relationships" ref="W423" r:id="rId418"/>
    <hyperlink xmlns:r="http://schemas.openxmlformats.org/officeDocument/2006/relationships" ref="W424" r:id="rId419"/>
    <hyperlink xmlns:r="http://schemas.openxmlformats.org/officeDocument/2006/relationships" ref="W425" r:id="rId420"/>
    <hyperlink xmlns:r="http://schemas.openxmlformats.org/officeDocument/2006/relationships" ref="W426" r:id="rId421"/>
    <hyperlink xmlns:r="http://schemas.openxmlformats.org/officeDocument/2006/relationships" ref="W427" r:id="rId422"/>
    <hyperlink xmlns:r="http://schemas.openxmlformats.org/officeDocument/2006/relationships" ref="W428" r:id="rId423"/>
    <hyperlink xmlns:r="http://schemas.openxmlformats.org/officeDocument/2006/relationships" ref="W429" r:id="rId424"/>
    <hyperlink xmlns:r="http://schemas.openxmlformats.org/officeDocument/2006/relationships" ref="W430" r:id="rId425"/>
    <hyperlink xmlns:r="http://schemas.openxmlformats.org/officeDocument/2006/relationships" ref="W431" r:id="rId426"/>
    <hyperlink xmlns:r="http://schemas.openxmlformats.org/officeDocument/2006/relationships" ref="W432" r:id="rId427"/>
    <hyperlink xmlns:r="http://schemas.openxmlformats.org/officeDocument/2006/relationships" ref="W433" r:id="rId428"/>
    <hyperlink xmlns:r="http://schemas.openxmlformats.org/officeDocument/2006/relationships" ref="W434" r:id="rId429"/>
    <hyperlink xmlns:r="http://schemas.openxmlformats.org/officeDocument/2006/relationships" ref="W435" r:id="rId430"/>
    <hyperlink xmlns:r="http://schemas.openxmlformats.org/officeDocument/2006/relationships" ref="W436" r:id="rId431"/>
    <hyperlink xmlns:r="http://schemas.openxmlformats.org/officeDocument/2006/relationships" ref="W437" r:id="rId432"/>
    <hyperlink xmlns:r="http://schemas.openxmlformats.org/officeDocument/2006/relationships" ref="W438" r:id="rId433"/>
    <hyperlink xmlns:r="http://schemas.openxmlformats.org/officeDocument/2006/relationships" ref="W439" r:id="rId434"/>
    <hyperlink xmlns:r="http://schemas.openxmlformats.org/officeDocument/2006/relationships" ref="W440" r:id="rId435"/>
    <hyperlink xmlns:r="http://schemas.openxmlformats.org/officeDocument/2006/relationships" ref="W441" r:id="rId436"/>
    <hyperlink xmlns:r="http://schemas.openxmlformats.org/officeDocument/2006/relationships" ref="W442" r:id="rId437"/>
    <hyperlink xmlns:r="http://schemas.openxmlformats.org/officeDocument/2006/relationships" ref="W443" r:id="rId438"/>
    <hyperlink xmlns:r="http://schemas.openxmlformats.org/officeDocument/2006/relationships" ref="W444" r:id="rId439"/>
    <hyperlink xmlns:r="http://schemas.openxmlformats.org/officeDocument/2006/relationships" ref="W445" r:id="rId440"/>
    <hyperlink xmlns:r="http://schemas.openxmlformats.org/officeDocument/2006/relationships" ref="W446" r:id="rId441"/>
    <hyperlink xmlns:r="http://schemas.openxmlformats.org/officeDocument/2006/relationships" ref="W447" r:id="rId442"/>
    <hyperlink xmlns:r="http://schemas.openxmlformats.org/officeDocument/2006/relationships" ref="W448" r:id="rId443"/>
    <hyperlink xmlns:r="http://schemas.openxmlformats.org/officeDocument/2006/relationships" ref="W449" r:id="rId444"/>
    <hyperlink xmlns:r="http://schemas.openxmlformats.org/officeDocument/2006/relationships" ref="W450" r:id="rId445"/>
    <hyperlink xmlns:r="http://schemas.openxmlformats.org/officeDocument/2006/relationships" ref="W451" r:id="rId446"/>
    <hyperlink xmlns:r="http://schemas.openxmlformats.org/officeDocument/2006/relationships" ref="W452" r:id="rId447"/>
    <hyperlink xmlns:r="http://schemas.openxmlformats.org/officeDocument/2006/relationships" ref="W453" r:id="rId448"/>
    <hyperlink xmlns:r="http://schemas.openxmlformats.org/officeDocument/2006/relationships" ref="W454" r:id="rId449"/>
    <hyperlink xmlns:r="http://schemas.openxmlformats.org/officeDocument/2006/relationships" ref="W455" r:id="rId450"/>
    <hyperlink xmlns:r="http://schemas.openxmlformats.org/officeDocument/2006/relationships" ref="W456" r:id="rId451"/>
    <hyperlink xmlns:r="http://schemas.openxmlformats.org/officeDocument/2006/relationships" ref="W457" r:id="rId452"/>
    <hyperlink xmlns:r="http://schemas.openxmlformats.org/officeDocument/2006/relationships" ref="W458" r:id="rId453"/>
    <hyperlink xmlns:r="http://schemas.openxmlformats.org/officeDocument/2006/relationships" ref="W459" r:id="rId454"/>
    <hyperlink xmlns:r="http://schemas.openxmlformats.org/officeDocument/2006/relationships" ref="W460" r:id="rId455"/>
    <hyperlink xmlns:r="http://schemas.openxmlformats.org/officeDocument/2006/relationships" ref="W461" r:id="rId456"/>
    <hyperlink xmlns:r="http://schemas.openxmlformats.org/officeDocument/2006/relationships" ref="W462" r:id="rId457"/>
    <hyperlink xmlns:r="http://schemas.openxmlformats.org/officeDocument/2006/relationships" ref="W463" r:id="rId458"/>
    <hyperlink xmlns:r="http://schemas.openxmlformats.org/officeDocument/2006/relationships" ref="W464" r:id="rId459"/>
    <hyperlink xmlns:r="http://schemas.openxmlformats.org/officeDocument/2006/relationships" ref="W465" r:id="rId460"/>
    <hyperlink xmlns:r="http://schemas.openxmlformats.org/officeDocument/2006/relationships" ref="W466" r:id="rId461"/>
    <hyperlink xmlns:r="http://schemas.openxmlformats.org/officeDocument/2006/relationships" ref="W467" r:id="rId462"/>
    <hyperlink xmlns:r="http://schemas.openxmlformats.org/officeDocument/2006/relationships" ref="W468" r:id="rId463"/>
    <hyperlink xmlns:r="http://schemas.openxmlformats.org/officeDocument/2006/relationships" ref="W469" r:id="rId464"/>
    <hyperlink xmlns:r="http://schemas.openxmlformats.org/officeDocument/2006/relationships" ref="W470" r:id="rId465"/>
    <hyperlink xmlns:r="http://schemas.openxmlformats.org/officeDocument/2006/relationships" ref="W471" r:id="rId466"/>
    <hyperlink xmlns:r="http://schemas.openxmlformats.org/officeDocument/2006/relationships" ref="W472" r:id="rId467"/>
    <hyperlink xmlns:r="http://schemas.openxmlformats.org/officeDocument/2006/relationships" ref="W473" r:id="rId468"/>
    <hyperlink xmlns:r="http://schemas.openxmlformats.org/officeDocument/2006/relationships" ref="W474" r:id="rId469"/>
    <hyperlink xmlns:r="http://schemas.openxmlformats.org/officeDocument/2006/relationships" ref="W475" r:id="rId470"/>
    <hyperlink xmlns:r="http://schemas.openxmlformats.org/officeDocument/2006/relationships" ref="W476" r:id="rId471"/>
    <hyperlink xmlns:r="http://schemas.openxmlformats.org/officeDocument/2006/relationships" ref="W477" r:id="rId472"/>
    <hyperlink xmlns:r="http://schemas.openxmlformats.org/officeDocument/2006/relationships" ref="W478" r:id="rId473"/>
    <hyperlink xmlns:r="http://schemas.openxmlformats.org/officeDocument/2006/relationships" ref="W479" r:id="rId474"/>
    <hyperlink xmlns:r="http://schemas.openxmlformats.org/officeDocument/2006/relationships" ref="W480" r:id="rId475"/>
    <hyperlink xmlns:r="http://schemas.openxmlformats.org/officeDocument/2006/relationships" ref="W481" r:id="rId476"/>
    <hyperlink xmlns:r="http://schemas.openxmlformats.org/officeDocument/2006/relationships" ref="W482" r:id="rId477"/>
    <hyperlink xmlns:r="http://schemas.openxmlformats.org/officeDocument/2006/relationships" ref="W483" r:id="rId478"/>
    <hyperlink xmlns:r="http://schemas.openxmlformats.org/officeDocument/2006/relationships" ref="W484" r:id="rId479"/>
    <hyperlink xmlns:r="http://schemas.openxmlformats.org/officeDocument/2006/relationships" ref="W485" r:id="rId480"/>
    <hyperlink xmlns:r="http://schemas.openxmlformats.org/officeDocument/2006/relationships" ref="W486" r:id="rId481"/>
    <hyperlink xmlns:r="http://schemas.openxmlformats.org/officeDocument/2006/relationships" ref="W487" r:id="rId482"/>
    <hyperlink xmlns:r="http://schemas.openxmlformats.org/officeDocument/2006/relationships" ref="W488" r:id="rId483"/>
    <hyperlink xmlns:r="http://schemas.openxmlformats.org/officeDocument/2006/relationships" ref="W489" r:id="rId484"/>
    <hyperlink xmlns:r="http://schemas.openxmlformats.org/officeDocument/2006/relationships" ref="W490" r:id="rId485"/>
    <hyperlink xmlns:r="http://schemas.openxmlformats.org/officeDocument/2006/relationships" ref="W491" r:id="rId486"/>
    <hyperlink xmlns:r="http://schemas.openxmlformats.org/officeDocument/2006/relationships" ref="W492" r:id="rId487"/>
    <hyperlink xmlns:r="http://schemas.openxmlformats.org/officeDocument/2006/relationships" ref="W493" r:id="rId488"/>
    <hyperlink xmlns:r="http://schemas.openxmlformats.org/officeDocument/2006/relationships" ref="W494" r:id="rId489"/>
    <hyperlink xmlns:r="http://schemas.openxmlformats.org/officeDocument/2006/relationships" ref="W495" r:id="rId490"/>
    <hyperlink xmlns:r="http://schemas.openxmlformats.org/officeDocument/2006/relationships" ref="W496" r:id="rId491"/>
    <hyperlink xmlns:r="http://schemas.openxmlformats.org/officeDocument/2006/relationships" ref="W497" r:id="rId492"/>
    <hyperlink xmlns:r="http://schemas.openxmlformats.org/officeDocument/2006/relationships" ref="W498" r:id="rId493"/>
    <hyperlink xmlns:r="http://schemas.openxmlformats.org/officeDocument/2006/relationships" ref="W499" r:id="rId494"/>
    <hyperlink xmlns:r="http://schemas.openxmlformats.org/officeDocument/2006/relationships" ref="W500" r:id="rId495"/>
    <hyperlink xmlns:r="http://schemas.openxmlformats.org/officeDocument/2006/relationships" ref="W501" r:id="rId496"/>
    <hyperlink xmlns:r="http://schemas.openxmlformats.org/officeDocument/2006/relationships" ref="W502" r:id="rId497"/>
    <hyperlink xmlns:r="http://schemas.openxmlformats.org/officeDocument/2006/relationships" ref="W503" r:id="rId498"/>
    <hyperlink xmlns:r="http://schemas.openxmlformats.org/officeDocument/2006/relationships" ref="W504" r:id="rId499"/>
    <hyperlink xmlns:r="http://schemas.openxmlformats.org/officeDocument/2006/relationships" ref="W505" r:id="rId500"/>
    <hyperlink xmlns:r="http://schemas.openxmlformats.org/officeDocument/2006/relationships" ref="W506" r:id="rId501"/>
    <hyperlink xmlns:r="http://schemas.openxmlformats.org/officeDocument/2006/relationships" ref="W507" r:id="rId502"/>
    <hyperlink xmlns:r="http://schemas.openxmlformats.org/officeDocument/2006/relationships" ref="W508" r:id="rId503"/>
    <hyperlink xmlns:r="http://schemas.openxmlformats.org/officeDocument/2006/relationships" ref="W509" r:id="rId504"/>
    <hyperlink xmlns:r="http://schemas.openxmlformats.org/officeDocument/2006/relationships" ref="W510" r:id="rId505"/>
    <hyperlink xmlns:r="http://schemas.openxmlformats.org/officeDocument/2006/relationships" ref="W511" r:id="rId506"/>
    <hyperlink xmlns:r="http://schemas.openxmlformats.org/officeDocument/2006/relationships" ref="W512" r:id="rId507"/>
    <hyperlink xmlns:r="http://schemas.openxmlformats.org/officeDocument/2006/relationships" ref="W513" r:id="rId508"/>
    <hyperlink xmlns:r="http://schemas.openxmlformats.org/officeDocument/2006/relationships" ref="W514" r:id="rId509"/>
    <hyperlink xmlns:r="http://schemas.openxmlformats.org/officeDocument/2006/relationships" ref="W515" r:id="rId510"/>
    <hyperlink xmlns:r="http://schemas.openxmlformats.org/officeDocument/2006/relationships" ref="W516" r:id="rId511"/>
    <hyperlink xmlns:r="http://schemas.openxmlformats.org/officeDocument/2006/relationships" ref="W517" r:id="rId512"/>
    <hyperlink xmlns:r="http://schemas.openxmlformats.org/officeDocument/2006/relationships" ref="W518" r:id="rId513"/>
    <hyperlink xmlns:r="http://schemas.openxmlformats.org/officeDocument/2006/relationships" ref="W519" r:id="rId514"/>
    <hyperlink xmlns:r="http://schemas.openxmlformats.org/officeDocument/2006/relationships" ref="W520" r:id="rId515"/>
    <hyperlink xmlns:r="http://schemas.openxmlformats.org/officeDocument/2006/relationships" ref="W521" r:id="rId516"/>
    <hyperlink xmlns:r="http://schemas.openxmlformats.org/officeDocument/2006/relationships" ref="W522" r:id="rId517"/>
    <hyperlink xmlns:r="http://schemas.openxmlformats.org/officeDocument/2006/relationships" ref="W523" r:id="rId518"/>
    <hyperlink xmlns:r="http://schemas.openxmlformats.org/officeDocument/2006/relationships" ref="W524" r:id="rId519"/>
    <hyperlink xmlns:r="http://schemas.openxmlformats.org/officeDocument/2006/relationships" ref="W525" r:id="rId520"/>
    <hyperlink xmlns:r="http://schemas.openxmlformats.org/officeDocument/2006/relationships" ref="W526" r:id="rId521"/>
    <hyperlink xmlns:r="http://schemas.openxmlformats.org/officeDocument/2006/relationships" ref="W527" r:id="rId522"/>
    <hyperlink xmlns:r="http://schemas.openxmlformats.org/officeDocument/2006/relationships" ref="W528" r:id="rId523"/>
    <hyperlink xmlns:r="http://schemas.openxmlformats.org/officeDocument/2006/relationships" ref="W529" r:id="rId524"/>
    <hyperlink xmlns:r="http://schemas.openxmlformats.org/officeDocument/2006/relationships" ref="W530" r:id="rId525"/>
    <hyperlink xmlns:r="http://schemas.openxmlformats.org/officeDocument/2006/relationships" ref="W531" r:id="rId526"/>
    <hyperlink xmlns:r="http://schemas.openxmlformats.org/officeDocument/2006/relationships" ref="W532" r:id="rId527"/>
    <hyperlink xmlns:r="http://schemas.openxmlformats.org/officeDocument/2006/relationships" ref="W533" r:id="rId528"/>
    <hyperlink xmlns:r="http://schemas.openxmlformats.org/officeDocument/2006/relationships" ref="W534" r:id="rId529"/>
    <hyperlink xmlns:r="http://schemas.openxmlformats.org/officeDocument/2006/relationships" ref="W535" r:id="rId530"/>
    <hyperlink xmlns:r="http://schemas.openxmlformats.org/officeDocument/2006/relationships" ref="W536" r:id="rId531"/>
    <hyperlink xmlns:r="http://schemas.openxmlformats.org/officeDocument/2006/relationships" ref="W537" r:id="rId532"/>
    <hyperlink xmlns:r="http://schemas.openxmlformats.org/officeDocument/2006/relationships" ref="W538" r:id="rId533"/>
    <hyperlink xmlns:r="http://schemas.openxmlformats.org/officeDocument/2006/relationships" ref="W539" r:id="rId534"/>
    <hyperlink xmlns:r="http://schemas.openxmlformats.org/officeDocument/2006/relationships" ref="W540" r:id="rId535"/>
    <hyperlink xmlns:r="http://schemas.openxmlformats.org/officeDocument/2006/relationships" ref="W541" r:id="rId536"/>
    <hyperlink xmlns:r="http://schemas.openxmlformats.org/officeDocument/2006/relationships" ref="W542" r:id="rId537"/>
    <hyperlink xmlns:r="http://schemas.openxmlformats.org/officeDocument/2006/relationships" ref="W543" r:id="rId538"/>
    <hyperlink xmlns:r="http://schemas.openxmlformats.org/officeDocument/2006/relationships" ref="W544" r:id="rId539"/>
    <hyperlink xmlns:r="http://schemas.openxmlformats.org/officeDocument/2006/relationships" ref="W545" r:id="rId540"/>
    <hyperlink xmlns:r="http://schemas.openxmlformats.org/officeDocument/2006/relationships" ref="W546" r:id="rId541"/>
    <hyperlink xmlns:r="http://schemas.openxmlformats.org/officeDocument/2006/relationships" ref="W547" r:id="rId542"/>
    <hyperlink xmlns:r="http://schemas.openxmlformats.org/officeDocument/2006/relationships" ref="W548" r:id="rId543"/>
    <hyperlink xmlns:r="http://schemas.openxmlformats.org/officeDocument/2006/relationships" ref="W549" r:id="rId544"/>
    <hyperlink xmlns:r="http://schemas.openxmlformats.org/officeDocument/2006/relationships" ref="W550" r:id="rId545"/>
    <hyperlink xmlns:r="http://schemas.openxmlformats.org/officeDocument/2006/relationships" ref="W551" r:id="rId546"/>
    <hyperlink xmlns:r="http://schemas.openxmlformats.org/officeDocument/2006/relationships" ref="W552" r:id="rId547"/>
    <hyperlink xmlns:r="http://schemas.openxmlformats.org/officeDocument/2006/relationships" ref="W553" r:id="rId548"/>
    <hyperlink xmlns:r="http://schemas.openxmlformats.org/officeDocument/2006/relationships" ref="W554" r:id="rId549"/>
    <hyperlink xmlns:r="http://schemas.openxmlformats.org/officeDocument/2006/relationships" ref="W555" r:id="rId550"/>
    <hyperlink xmlns:r="http://schemas.openxmlformats.org/officeDocument/2006/relationships" ref="W556" r:id="rId551"/>
    <hyperlink xmlns:r="http://schemas.openxmlformats.org/officeDocument/2006/relationships" ref="W557" r:id="rId552"/>
    <hyperlink xmlns:r="http://schemas.openxmlformats.org/officeDocument/2006/relationships" ref="W558" r:id="rId553"/>
    <hyperlink xmlns:r="http://schemas.openxmlformats.org/officeDocument/2006/relationships" ref="W559" r:id="rId554"/>
    <hyperlink xmlns:r="http://schemas.openxmlformats.org/officeDocument/2006/relationships" ref="W560" r:id="rId555"/>
    <hyperlink xmlns:r="http://schemas.openxmlformats.org/officeDocument/2006/relationships" ref="W561" r:id="rId556"/>
    <hyperlink xmlns:r="http://schemas.openxmlformats.org/officeDocument/2006/relationships" ref="W562" r:id="rId557"/>
    <hyperlink xmlns:r="http://schemas.openxmlformats.org/officeDocument/2006/relationships" ref="W563" r:id="rId558"/>
    <hyperlink xmlns:r="http://schemas.openxmlformats.org/officeDocument/2006/relationships" ref="W564" r:id="rId559"/>
    <hyperlink xmlns:r="http://schemas.openxmlformats.org/officeDocument/2006/relationships" ref="W565" r:id="rId560"/>
    <hyperlink xmlns:r="http://schemas.openxmlformats.org/officeDocument/2006/relationships" ref="W566" r:id="rId561"/>
    <hyperlink xmlns:r="http://schemas.openxmlformats.org/officeDocument/2006/relationships" ref="W567" r:id="rId562"/>
    <hyperlink xmlns:r="http://schemas.openxmlformats.org/officeDocument/2006/relationships" ref="W568" r:id="rId563"/>
    <hyperlink xmlns:r="http://schemas.openxmlformats.org/officeDocument/2006/relationships" ref="W569" r:id="rId564"/>
    <hyperlink xmlns:r="http://schemas.openxmlformats.org/officeDocument/2006/relationships" ref="W570" r:id="rId565"/>
    <hyperlink xmlns:r="http://schemas.openxmlformats.org/officeDocument/2006/relationships" ref="W571" r:id="rId566"/>
    <hyperlink xmlns:r="http://schemas.openxmlformats.org/officeDocument/2006/relationships" ref="W572" r:id="rId567"/>
    <hyperlink xmlns:r="http://schemas.openxmlformats.org/officeDocument/2006/relationships" ref="W573" r:id="rId568"/>
    <hyperlink xmlns:r="http://schemas.openxmlformats.org/officeDocument/2006/relationships" ref="W574" r:id="rId569"/>
    <hyperlink xmlns:r="http://schemas.openxmlformats.org/officeDocument/2006/relationships" ref="W575" r:id="rId570"/>
    <hyperlink xmlns:r="http://schemas.openxmlformats.org/officeDocument/2006/relationships" ref="W576" r:id="rId571"/>
    <hyperlink xmlns:r="http://schemas.openxmlformats.org/officeDocument/2006/relationships" ref="W577" r:id="rId572"/>
    <hyperlink xmlns:r="http://schemas.openxmlformats.org/officeDocument/2006/relationships" ref="W578" r:id="rId573"/>
    <hyperlink xmlns:r="http://schemas.openxmlformats.org/officeDocument/2006/relationships" ref="W579" r:id="rId574"/>
    <hyperlink xmlns:r="http://schemas.openxmlformats.org/officeDocument/2006/relationships" ref="W580" r:id="rId575"/>
    <hyperlink xmlns:r="http://schemas.openxmlformats.org/officeDocument/2006/relationships" ref="W581" r:id="rId576"/>
    <hyperlink xmlns:r="http://schemas.openxmlformats.org/officeDocument/2006/relationships" ref="W582" r:id="rId577"/>
    <hyperlink xmlns:r="http://schemas.openxmlformats.org/officeDocument/2006/relationships" ref="W583" r:id="rId578"/>
    <hyperlink xmlns:r="http://schemas.openxmlformats.org/officeDocument/2006/relationships" ref="W584" r:id="rId579"/>
    <hyperlink xmlns:r="http://schemas.openxmlformats.org/officeDocument/2006/relationships" ref="W585" r:id="rId580"/>
    <hyperlink xmlns:r="http://schemas.openxmlformats.org/officeDocument/2006/relationships" ref="W586" r:id="rId581"/>
    <hyperlink xmlns:r="http://schemas.openxmlformats.org/officeDocument/2006/relationships" ref="W587" r:id="rId582"/>
    <hyperlink xmlns:r="http://schemas.openxmlformats.org/officeDocument/2006/relationships" ref="W588" r:id="rId583"/>
    <hyperlink xmlns:r="http://schemas.openxmlformats.org/officeDocument/2006/relationships" ref="W589" r:id="rId584"/>
    <hyperlink xmlns:r="http://schemas.openxmlformats.org/officeDocument/2006/relationships" ref="W590" r:id="rId585"/>
    <hyperlink xmlns:r="http://schemas.openxmlformats.org/officeDocument/2006/relationships" ref="W591" r:id="rId586"/>
    <hyperlink xmlns:r="http://schemas.openxmlformats.org/officeDocument/2006/relationships" ref="W592" r:id="rId587"/>
    <hyperlink xmlns:r="http://schemas.openxmlformats.org/officeDocument/2006/relationships" ref="W593" r:id="rId588"/>
    <hyperlink xmlns:r="http://schemas.openxmlformats.org/officeDocument/2006/relationships" ref="W594" r:id="rId589"/>
    <hyperlink xmlns:r="http://schemas.openxmlformats.org/officeDocument/2006/relationships" ref="W595" r:id="rId590"/>
    <hyperlink xmlns:r="http://schemas.openxmlformats.org/officeDocument/2006/relationships" ref="W596" r:id="rId591"/>
    <hyperlink xmlns:r="http://schemas.openxmlformats.org/officeDocument/2006/relationships" ref="W597" r:id="rId592"/>
    <hyperlink xmlns:r="http://schemas.openxmlformats.org/officeDocument/2006/relationships" ref="W598" r:id="rId593"/>
    <hyperlink xmlns:r="http://schemas.openxmlformats.org/officeDocument/2006/relationships" ref="W599" r:id="rId594"/>
    <hyperlink xmlns:r="http://schemas.openxmlformats.org/officeDocument/2006/relationships" ref="W600" r:id="rId595"/>
    <hyperlink xmlns:r="http://schemas.openxmlformats.org/officeDocument/2006/relationships" ref="W601" r:id="rId596"/>
    <hyperlink xmlns:r="http://schemas.openxmlformats.org/officeDocument/2006/relationships" ref="W602" r:id="rId597"/>
    <hyperlink xmlns:r="http://schemas.openxmlformats.org/officeDocument/2006/relationships" ref="W603" r:id="rId598"/>
    <hyperlink xmlns:r="http://schemas.openxmlformats.org/officeDocument/2006/relationships" ref="W604" r:id="rId599"/>
    <hyperlink xmlns:r="http://schemas.openxmlformats.org/officeDocument/2006/relationships" ref="W605" r:id="rId600"/>
    <hyperlink xmlns:r="http://schemas.openxmlformats.org/officeDocument/2006/relationships" ref="W606" r:id="rId601"/>
    <hyperlink xmlns:r="http://schemas.openxmlformats.org/officeDocument/2006/relationships" ref="W607" r:id="rId602"/>
    <hyperlink xmlns:r="http://schemas.openxmlformats.org/officeDocument/2006/relationships" ref="W608" r:id="rId603"/>
    <hyperlink xmlns:r="http://schemas.openxmlformats.org/officeDocument/2006/relationships" ref="W609" r:id="rId604"/>
    <hyperlink xmlns:r="http://schemas.openxmlformats.org/officeDocument/2006/relationships" ref="W610" r:id="rId605"/>
    <hyperlink xmlns:r="http://schemas.openxmlformats.org/officeDocument/2006/relationships" ref="W611" r:id="rId606"/>
    <hyperlink xmlns:r="http://schemas.openxmlformats.org/officeDocument/2006/relationships" ref="W612" r:id="rId607"/>
    <hyperlink xmlns:r="http://schemas.openxmlformats.org/officeDocument/2006/relationships" ref="W613" r:id="rId608"/>
    <hyperlink xmlns:r="http://schemas.openxmlformats.org/officeDocument/2006/relationships" ref="W614" r:id="rId609"/>
    <hyperlink xmlns:r="http://schemas.openxmlformats.org/officeDocument/2006/relationships" ref="W615" r:id="rId610"/>
    <hyperlink xmlns:r="http://schemas.openxmlformats.org/officeDocument/2006/relationships" ref="W616" r:id="rId611"/>
    <hyperlink xmlns:r="http://schemas.openxmlformats.org/officeDocument/2006/relationships" ref="W617" r:id="rId612"/>
    <hyperlink xmlns:r="http://schemas.openxmlformats.org/officeDocument/2006/relationships" ref="W618" r:id="rId613"/>
    <hyperlink xmlns:r="http://schemas.openxmlformats.org/officeDocument/2006/relationships" ref="W619" r:id="rId614"/>
    <hyperlink xmlns:r="http://schemas.openxmlformats.org/officeDocument/2006/relationships" ref="W620" r:id="rId615"/>
    <hyperlink xmlns:r="http://schemas.openxmlformats.org/officeDocument/2006/relationships" ref="W621" r:id="rId616"/>
    <hyperlink xmlns:r="http://schemas.openxmlformats.org/officeDocument/2006/relationships" ref="W622" r:id="rId617"/>
    <hyperlink xmlns:r="http://schemas.openxmlformats.org/officeDocument/2006/relationships" ref="W623" r:id="rId618"/>
    <hyperlink xmlns:r="http://schemas.openxmlformats.org/officeDocument/2006/relationships" ref="W624" r:id="rId619"/>
    <hyperlink xmlns:r="http://schemas.openxmlformats.org/officeDocument/2006/relationships" ref="W625" r:id="rId620"/>
    <hyperlink xmlns:r="http://schemas.openxmlformats.org/officeDocument/2006/relationships" ref="W626" r:id="rId621"/>
    <hyperlink xmlns:r="http://schemas.openxmlformats.org/officeDocument/2006/relationships" ref="W627" r:id="rId622"/>
    <hyperlink xmlns:r="http://schemas.openxmlformats.org/officeDocument/2006/relationships" ref="W628" r:id="rId623"/>
    <hyperlink xmlns:r="http://schemas.openxmlformats.org/officeDocument/2006/relationships" ref="W629" r:id="rId624"/>
    <hyperlink xmlns:r="http://schemas.openxmlformats.org/officeDocument/2006/relationships" ref="W630" r:id="rId625"/>
    <hyperlink xmlns:r="http://schemas.openxmlformats.org/officeDocument/2006/relationships" ref="W631" r:id="rId626"/>
    <hyperlink xmlns:r="http://schemas.openxmlformats.org/officeDocument/2006/relationships" ref="W632" r:id="rId627"/>
    <hyperlink xmlns:r="http://schemas.openxmlformats.org/officeDocument/2006/relationships" ref="W633" r:id="rId628"/>
    <hyperlink xmlns:r="http://schemas.openxmlformats.org/officeDocument/2006/relationships" ref="W634" r:id="rId629"/>
    <hyperlink xmlns:r="http://schemas.openxmlformats.org/officeDocument/2006/relationships" ref="W635" r:id="rId630"/>
    <hyperlink xmlns:r="http://schemas.openxmlformats.org/officeDocument/2006/relationships" ref="W636" r:id="rId631"/>
    <hyperlink xmlns:r="http://schemas.openxmlformats.org/officeDocument/2006/relationships" ref="W637" r:id="rId632"/>
    <hyperlink xmlns:r="http://schemas.openxmlformats.org/officeDocument/2006/relationships" ref="W638" r:id="rId633"/>
    <hyperlink xmlns:r="http://schemas.openxmlformats.org/officeDocument/2006/relationships" ref="W639" r:id="rId634"/>
    <hyperlink xmlns:r="http://schemas.openxmlformats.org/officeDocument/2006/relationships" ref="W640" r:id="rId635"/>
    <hyperlink xmlns:r="http://schemas.openxmlformats.org/officeDocument/2006/relationships" ref="W641" r:id="rId636"/>
    <hyperlink xmlns:r="http://schemas.openxmlformats.org/officeDocument/2006/relationships" ref="W642" r:id="rId637"/>
    <hyperlink xmlns:r="http://schemas.openxmlformats.org/officeDocument/2006/relationships" ref="W643" r:id="rId638"/>
    <hyperlink xmlns:r="http://schemas.openxmlformats.org/officeDocument/2006/relationships" ref="W644" r:id="rId639"/>
    <hyperlink xmlns:r="http://schemas.openxmlformats.org/officeDocument/2006/relationships" ref="W645" r:id="rId640"/>
    <hyperlink xmlns:r="http://schemas.openxmlformats.org/officeDocument/2006/relationships" ref="W646" r:id="rId641"/>
    <hyperlink xmlns:r="http://schemas.openxmlformats.org/officeDocument/2006/relationships" ref="W647" r:id="rId642"/>
    <hyperlink xmlns:r="http://schemas.openxmlformats.org/officeDocument/2006/relationships" ref="W648" r:id="rId643"/>
    <hyperlink xmlns:r="http://schemas.openxmlformats.org/officeDocument/2006/relationships" ref="W649" r:id="rId644"/>
    <hyperlink xmlns:r="http://schemas.openxmlformats.org/officeDocument/2006/relationships" ref="W650" r:id="rId645"/>
    <hyperlink xmlns:r="http://schemas.openxmlformats.org/officeDocument/2006/relationships" ref="W651" r:id="rId646"/>
    <hyperlink xmlns:r="http://schemas.openxmlformats.org/officeDocument/2006/relationships" ref="W652" r:id="rId647"/>
    <hyperlink xmlns:r="http://schemas.openxmlformats.org/officeDocument/2006/relationships" ref="W653" r:id="rId648"/>
    <hyperlink xmlns:r="http://schemas.openxmlformats.org/officeDocument/2006/relationships" ref="W654" r:id="rId649"/>
    <hyperlink xmlns:r="http://schemas.openxmlformats.org/officeDocument/2006/relationships" ref="W655" r:id="rId650"/>
    <hyperlink xmlns:r="http://schemas.openxmlformats.org/officeDocument/2006/relationships" ref="W656" r:id="rId651"/>
    <hyperlink xmlns:r="http://schemas.openxmlformats.org/officeDocument/2006/relationships" ref="W657" r:id="rId652"/>
    <hyperlink xmlns:r="http://schemas.openxmlformats.org/officeDocument/2006/relationships" ref="W658" r:id="rId653"/>
    <hyperlink xmlns:r="http://schemas.openxmlformats.org/officeDocument/2006/relationships" ref="W659" r:id="rId654"/>
    <hyperlink xmlns:r="http://schemas.openxmlformats.org/officeDocument/2006/relationships" ref="W660" r:id="rId655"/>
    <hyperlink xmlns:r="http://schemas.openxmlformats.org/officeDocument/2006/relationships" ref="W661" r:id="rId656"/>
    <hyperlink xmlns:r="http://schemas.openxmlformats.org/officeDocument/2006/relationships" ref="W662" r:id="rId657"/>
    <hyperlink xmlns:r="http://schemas.openxmlformats.org/officeDocument/2006/relationships" ref="W663" r:id="rId658"/>
    <hyperlink xmlns:r="http://schemas.openxmlformats.org/officeDocument/2006/relationships" ref="W664" r:id="rId659"/>
    <hyperlink xmlns:r="http://schemas.openxmlformats.org/officeDocument/2006/relationships" ref="W665" r:id="rId660"/>
    <hyperlink xmlns:r="http://schemas.openxmlformats.org/officeDocument/2006/relationships" ref="W666" r:id="rId661"/>
    <hyperlink xmlns:r="http://schemas.openxmlformats.org/officeDocument/2006/relationships" ref="W667" r:id="rId662"/>
    <hyperlink xmlns:r="http://schemas.openxmlformats.org/officeDocument/2006/relationships" ref="W668" r:id="rId663"/>
    <hyperlink xmlns:r="http://schemas.openxmlformats.org/officeDocument/2006/relationships" ref="W669" r:id="rId664"/>
    <hyperlink xmlns:r="http://schemas.openxmlformats.org/officeDocument/2006/relationships" ref="W670" r:id="rId665"/>
    <hyperlink xmlns:r="http://schemas.openxmlformats.org/officeDocument/2006/relationships" ref="W671" r:id="rId666"/>
    <hyperlink xmlns:r="http://schemas.openxmlformats.org/officeDocument/2006/relationships" ref="W672" r:id="rId667"/>
    <hyperlink xmlns:r="http://schemas.openxmlformats.org/officeDocument/2006/relationships" ref="W673" r:id="rId668"/>
    <hyperlink xmlns:r="http://schemas.openxmlformats.org/officeDocument/2006/relationships" ref="W674" r:id="rId669"/>
    <hyperlink xmlns:r="http://schemas.openxmlformats.org/officeDocument/2006/relationships" ref="W675" r:id="rId670"/>
    <hyperlink xmlns:r="http://schemas.openxmlformats.org/officeDocument/2006/relationships" ref="W676" r:id="rId671"/>
    <hyperlink xmlns:r="http://schemas.openxmlformats.org/officeDocument/2006/relationships" ref="W677" r:id="rId672"/>
    <hyperlink xmlns:r="http://schemas.openxmlformats.org/officeDocument/2006/relationships" ref="W678" r:id="rId673"/>
    <hyperlink xmlns:r="http://schemas.openxmlformats.org/officeDocument/2006/relationships" ref="W679" r:id="rId674"/>
    <hyperlink xmlns:r="http://schemas.openxmlformats.org/officeDocument/2006/relationships" ref="W680" r:id="rId675"/>
    <hyperlink xmlns:r="http://schemas.openxmlformats.org/officeDocument/2006/relationships" ref="W681" r:id="rId676"/>
    <hyperlink xmlns:r="http://schemas.openxmlformats.org/officeDocument/2006/relationships" ref="W682" r:id="rId677"/>
    <hyperlink xmlns:r="http://schemas.openxmlformats.org/officeDocument/2006/relationships" ref="W683" r:id="rId678"/>
    <hyperlink xmlns:r="http://schemas.openxmlformats.org/officeDocument/2006/relationships" ref="W684" r:id="rId679"/>
    <hyperlink xmlns:r="http://schemas.openxmlformats.org/officeDocument/2006/relationships" ref="W685" r:id="rId680"/>
    <hyperlink xmlns:r="http://schemas.openxmlformats.org/officeDocument/2006/relationships" ref="W686" r:id="rId681"/>
    <hyperlink xmlns:r="http://schemas.openxmlformats.org/officeDocument/2006/relationships" ref="W687" r:id="rId682"/>
    <hyperlink xmlns:r="http://schemas.openxmlformats.org/officeDocument/2006/relationships" ref="W688" r:id="rId683"/>
    <hyperlink xmlns:r="http://schemas.openxmlformats.org/officeDocument/2006/relationships" ref="W689" r:id="rId684"/>
    <hyperlink xmlns:r="http://schemas.openxmlformats.org/officeDocument/2006/relationships" ref="W690" r:id="rId685"/>
    <hyperlink xmlns:r="http://schemas.openxmlformats.org/officeDocument/2006/relationships" ref="W691" r:id="rId686"/>
    <hyperlink xmlns:r="http://schemas.openxmlformats.org/officeDocument/2006/relationships" ref="W692" r:id="rId687"/>
    <hyperlink xmlns:r="http://schemas.openxmlformats.org/officeDocument/2006/relationships" ref="W693" r:id="rId688"/>
    <hyperlink xmlns:r="http://schemas.openxmlformats.org/officeDocument/2006/relationships" ref="W694" r:id="rId689"/>
    <hyperlink xmlns:r="http://schemas.openxmlformats.org/officeDocument/2006/relationships" ref="W695" r:id="rId690"/>
    <hyperlink xmlns:r="http://schemas.openxmlformats.org/officeDocument/2006/relationships" ref="W696" r:id="rId691"/>
    <hyperlink xmlns:r="http://schemas.openxmlformats.org/officeDocument/2006/relationships" ref="W697" r:id="rId692"/>
    <hyperlink xmlns:r="http://schemas.openxmlformats.org/officeDocument/2006/relationships" ref="W698" r:id="rId693"/>
    <hyperlink xmlns:r="http://schemas.openxmlformats.org/officeDocument/2006/relationships" ref="W699" r:id="rId694"/>
    <hyperlink xmlns:r="http://schemas.openxmlformats.org/officeDocument/2006/relationships" ref="W700" r:id="rId695"/>
    <hyperlink xmlns:r="http://schemas.openxmlformats.org/officeDocument/2006/relationships" ref="W701" r:id="rId696"/>
    <hyperlink xmlns:r="http://schemas.openxmlformats.org/officeDocument/2006/relationships" ref="W702" r:id="rId697"/>
    <hyperlink xmlns:r="http://schemas.openxmlformats.org/officeDocument/2006/relationships" ref="W703" r:id="rId698"/>
    <hyperlink xmlns:r="http://schemas.openxmlformats.org/officeDocument/2006/relationships" ref="W704" r:id="rId699"/>
    <hyperlink xmlns:r="http://schemas.openxmlformats.org/officeDocument/2006/relationships" ref="W705" r:id="rId700"/>
    <hyperlink xmlns:r="http://schemas.openxmlformats.org/officeDocument/2006/relationships" ref="W706" r:id="rId701"/>
    <hyperlink xmlns:r="http://schemas.openxmlformats.org/officeDocument/2006/relationships" ref="W707" r:id="rId702"/>
    <hyperlink xmlns:r="http://schemas.openxmlformats.org/officeDocument/2006/relationships" ref="W708" r:id="rId703"/>
    <hyperlink xmlns:r="http://schemas.openxmlformats.org/officeDocument/2006/relationships" ref="W709" r:id="rId704"/>
    <hyperlink xmlns:r="http://schemas.openxmlformats.org/officeDocument/2006/relationships" ref="W710" r:id="rId705"/>
    <hyperlink xmlns:r="http://schemas.openxmlformats.org/officeDocument/2006/relationships" ref="W711" r:id="rId706"/>
    <hyperlink xmlns:r="http://schemas.openxmlformats.org/officeDocument/2006/relationships" ref="W712" r:id="rId707"/>
    <hyperlink xmlns:r="http://schemas.openxmlformats.org/officeDocument/2006/relationships" ref="W713" r:id="rId708"/>
    <hyperlink xmlns:r="http://schemas.openxmlformats.org/officeDocument/2006/relationships" ref="W714" r:id="rId709"/>
    <hyperlink xmlns:r="http://schemas.openxmlformats.org/officeDocument/2006/relationships" ref="W715" r:id="rId710"/>
    <hyperlink xmlns:r="http://schemas.openxmlformats.org/officeDocument/2006/relationships" ref="W716" r:id="rId711"/>
    <hyperlink xmlns:r="http://schemas.openxmlformats.org/officeDocument/2006/relationships" ref="W717" r:id="rId712"/>
    <hyperlink xmlns:r="http://schemas.openxmlformats.org/officeDocument/2006/relationships" ref="W718" r:id="rId713"/>
    <hyperlink xmlns:r="http://schemas.openxmlformats.org/officeDocument/2006/relationships" ref="W719" r:id="rId714"/>
    <hyperlink xmlns:r="http://schemas.openxmlformats.org/officeDocument/2006/relationships" ref="W720" r:id="rId715"/>
    <hyperlink xmlns:r="http://schemas.openxmlformats.org/officeDocument/2006/relationships" ref="W721" r:id="rId716"/>
    <hyperlink xmlns:r="http://schemas.openxmlformats.org/officeDocument/2006/relationships" ref="W722" r:id="rId717"/>
    <hyperlink xmlns:r="http://schemas.openxmlformats.org/officeDocument/2006/relationships" ref="W723" r:id="rId718"/>
    <hyperlink xmlns:r="http://schemas.openxmlformats.org/officeDocument/2006/relationships" ref="W724" r:id="rId719"/>
    <hyperlink xmlns:r="http://schemas.openxmlformats.org/officeDocument/2006/relationships" ref="W725" r:id="rId720"/>
    <hyperlink xmlns:r="http://schemas.openxmlformats.org/officeDocument/2006/relationships" ref="W726" r:id="rId721"/>
    <hyperlink xmlns:r="http://schemas.openxmlformats.org/officeDocument/2006/relationships" ref="W727" r:id="rId722"/>
    <hyperlink xmlns:r="http://schemas.openxmlformats.org/officeDocument/2006/relationships" ref="W728" r:id="rId723"/>
    <hyperlink xmlns:r="http://schemas.openxmlformats.org/officeDocument/2006/relationships" ref="W729" r:id="rId724"/>
    <hyperlink xmlns:r="http://schemas.openxmlformats.org/officeDocument/2006/relationships" ref="W730" r:id="rId725"/>
    <hyperlink xmlns:r="http://schemas.openxmlformats.org/officeDocument/2006/relationships" ref="W731" r:id="rId726"/>
    <hyperlink xmlns:r="http://schemas.openxmlformats.org/officeDocument/2006/relationships" ref="W732" r:id="rId727"/>
    <hyperlink xmlns:r="http://schemas.openxmlformats.org/officeDocument/2006/relationships" ref="W733" r:id="rId728"/>
    <hyperlink xmlns:r="http://schemas.openxmlformats.org/officeDocument/2006/relationships" ref="W734" r:id="rId729"/>
    <hyperlink xmlns:r="http://schemas.openxmlformats.org/officeDocument/2006/relationships" ref="W735" r:id="rId730"/>
    <hyperlink xmlns:r="http://schemas.openxmlformats.org/officeDocument/2006/relationships" ref="W736" r:id="rId731"/>
    <hyperlink xmlns:r="http://schemas.openxmlformats.org/officeDocument/2006/relationships" ref="W737" r:id="rId732"/>
    <hyperlink xmlns:r="http://schemas.openxmlformats.org/officeDocument/2006/relationships" ref="W738" r:id="rId733"/>
    <hyperlink xmlns:r="http://schemas.openxmlformats.org/officeDocument/2006/relationships" ref="W739" r:id="rId734"/>
    <hyperlink xmlns:r="http://schemas.openxmlformats.org/officeDocument/2006/relationships" ref="W740" r:id="rId735"/>
    <hyperlink xmlns:r="http://schemas.openxmlformats.org/officeDocument/2006/relationships" ref="W741" r:id="rId736"/>
    <hyperlink xmlns:r="http://schemas.openxmlformats.org/officeDocument/2006/relationships" ref="W742" r:id="rId737"/>
    <hyperlink xmlns:r="http://schemas.openxmlformats.org/officeDocument/2006/relationships" ref="W743" r:id="rId738"/>
    <hyperlink xmlns:r="http://schemas.openxmlformats.org/officeDocument/2006/relationships" ref="W744" r:id="rId739"/>
    <hyperlink xmlns:r="http://schemas.openxmlformats.org/officeDocument/2006/relationships" ref="W745" r:id="rId740"/>
    <hyperlink xmlns:r="http://schemas.openxmlformats.org/officeDocument/2006/relationships" ref="W746" r:id="rId741"/>
    <hyperlink xmlns:r="http://schemas.openxmlformats.org/officeDocument/2006/relationships" ref="W747" r:id="rId742"/>
    <hyperlink xmlns:r="http://schemas.openxmlformats.org/officeDocument/2006/relationships" ref="W748" r:id="rId743"/>
    <hyperlink xmlns:r="http://schemas.openxmlformats.org/officeDocument/2006/relationships" ref="W749" r:id="rId744"/>
    <hyperlink xmlns:r="http://schemas.openxmlformats.org/officeDocument/2006/relationships" ref="W750" r:id="rId745"/>
    <hyperlink xmlns:r="http://schemas.openxmlformats.org/officeDocument/2006/relationships" ref="W751" r:id="rId746"/>
    <hyperlink xmlns:r="http://schemas.openxmlformats.org/officeDocument/2006/relationships" ref="W752" r:id="rId747"/>
    <hyperlink xmlns:r="http://schemas.openxmlformats.org/officeDocument/2006/relationships" ref="W753" r:id="rId748"/>
    <hyperlink xmlns:r="http://schemas.openxmlformats.org/officeDocument/2006/relationships" ref="W754" r:id="rId749"/>
    <hyperlink xmlns:r="http://schemas.openxmlformats.org/officeDocument/2006/relationships" ref="W755" r:id="rId750"/>
    <hyperlink xmlns:r="http://schemas.openxmlformats.org/officeDocument/2006/relationships" ref="W756" r:id="rId751"/>
    <hyperlink xmlns:r="http://schemas.openxmlformats.org/officeDocument/2006/relationships" ref="W757" r:id="rId752"/>
    <hyperlink xmlns:r="http://schemas.openxmlformats.org/officeDocument/2006/relationships" ref="W758" r:id="rId753"/>
    <hyperlink xmlns:r="http://schemas.openxmlformats.org/officeDocument/2006/relationships" ref="W759" r:id="rId754"/>
    <hyperlink xmlns:r="http://schemas.openxmlformats.org/officeDocument/2006/relationships" ref="W760" r:id="rId755"/>
    <hyperlink xmlns:r="http://schemas.openxmlformats.org/officeDocument/2006/relationships" ref="W761" r:id="rId756"/>
    <hyperlink xmlns:r="http://schemas.openxmlformats.org/officeDocument/2006/relationships" ref="W762" r:id="rId757"/>
    <hyperlink xmlns:r="http://schemas.openxmlformats.org/officeDocument/2006/relationships" ref="W763" r:id="rId758"/>
    <hyperlink xmlns:r="http://schemas.openxmlformats.org/officeDocument/2006/relationships" ref="W764" r:id="rId759"/>
    <hyperlink xmlns:r="http://schemas.openxmlformats.org/officeDocument/2006/relationships" ref="W765" r:id="rId760"/>
    <hyperlink xmlns:r="http://schemas.openxmlformats.org/officeDocument/2006/relationships" ref="W766" r:id="rId761"/>
    <hyperlink xmlns:r="http://schemas.openxmlformats.org/officeDocument/2006/relationships" ref="W767" r:id="rId762"/>
    <hyperlink xmlns:r="http://schemas.openxmlformats.org/officeDocument/2006/relationships" ref="W768" r:id="rId763"/>
    <hyperlink xmlns:r="http://schemas.openxmlformats.org/officeDocument/2006/relationships" ref="W769" r:id="rId764"/>
    <hyperlink xmlns:r="http://schemas.openxmlformats.org/officeDocument/2006/relationships" ref="W770" r:id="rId765"/>
    <hyperlink xmlns:r="http://schemas.openxmlformats.org/officeDocument/2006/relationships" ref="W771" r:id="rId766"/>
    <hyperlink xmlns:r="http://schemas.openxmlformats.org/officeDocument/2006/relationships" ref="W772" r:id="rId767"/>
    <hyperlink xmlns:r="http://schemas.openxmlformats.org/officeDocument/2006/relationships" ref="W773" r:id="rId768"/>
    <hyperlink xmlns:r="http://schemas.openxmlformats.org/officeDocument/2006/relationships" ref="W774" r:id="rId769"/>
    <hyperlink xmlns:r="http://schemas.openxmlformats.org/officeDocument/2006/relationships" ref="W775" r:id="rId770"/>
    <hyperlink xmlns:r="http://schemas.openxmlformats.org/officeDocument/2006/relationships" ref="W776" r:id="rId771"/>
    <hyperlink xmlns:r="http://schemas.openxmlformats.org/officeDocument/2006/relationships" ref="W777" r:id="rId772"/>
    <hyperlink xmlns:r="http://schemas.openxmlformats.org/officeDocument/2006/relationships" ref="W778" r:id="rId773"/>
    <hyperlink xmlns:r="http://schemas.openxmlformats.org/officeDocument/2006/relationships" ref="W779" r:id="rId774"/>
    <hyperlink xmlns:r="http://schemas.openxmlformats.org/officeDocument/2006/relationships" ref="W780" r:id="rId775"/>
    <hyperlink xmlns:r="http://schemas.openxmlformats.org/officeDocument/2006/relationships" ref="W781" r:id="rId776"/>
    <hyperlink xmlns:r="http://schemas.openxmlformats.org/officeDocument/2006/relationships" ref="W782" r:id="rId777"/>
    <hyperlink xmlns:r="http://schemas.openxmlformats.org/officeDocument/2006/relationships" ref="W783" r:id="rId778"/>
    <hyperlink xmlns:r="http://schemas.openxmlformats.org/officeDocument/2006/relationships" ref="W784" r:id="rId779"/>
    <hyperlink xmlns:r="http://schemas.openxmlformats.org/officeDocument/2006/relationships" ref="W785" r:id="rId780"/>
    <hyperlink xmlns:r="http://schemas.openxmlformats.org/officeDocument/2006/relationships" ref="W786" r:id="rId781"/>
    <hyperlink xmlns:r="http://schemas.openxmlformats.org/officeDocument/2006/relationships" ref="W787" r:id="rId782"/>
    <hyperlink xmlns:r="http://schemas.openxmlformats.org/officeDocument/2006/relationships" ref="W788" r:id="rId783"/>
    <hyperlink xmlns:r="http://schemas.openxmlformats.org/officeDocument/2006/relationships" ref="W789" r:id="rId784"/>
    <hyperlink xmlns:r="http://schemas.openxmlformats.org/officeDocument/2006/relationships" ref="W790" r:id="rId785"/>
    <hyperlink xmlns:r="http://schemas.openxmlformats.org/officeDocument/2006/relationships" ref="W791" r:id="rId786"/>
    <hyperlink xmlns:r="http://schemas.openxmlformats.org/officeDocument/2006/relationships" ref="W792" r:id="rId787"/>
    <hyperlink xmlns:r="http://schemas.openxmlformats.org/officeDocument/2006/relationships" ref="W793" r:id="rId788"/>
    <hyperlink xmlns:r="http://schemas.openxmlformats.org/officeDocument/2006/relationships" ref="W794" r:id="rId789"/>
    <hyperlink xmlns:r="http://schemas.openxmlformats.org/officeDocument/2006/relationships" ref="W795" r:id="rId790"/>
    <hyperlink xmlns:r="http://schemas.openxmlformats.org/officeDocument/2006/relationships" ref="W796" r:id="rId791"/>
    <hyperlink xmlns:r="http://schemas.openxmlformats.org/officeDocument/2006/relationships" ref="W797" r:id="rId792"/>
    <hyperlink xmlns:r="http://schemas.openxmlformats.org/officeDocument/2006/relationships" ref="W798" r:id="rId793"/>
    <hyperlink xmlns:r="http://schemas.openxmlformats.org/officeDocument/2006/relationships" ref="W799" r:id="rId794"/>
    <hyperlink xmlns:r="http://schemas.openxmlformats.org/officeDocument/2006/relationships" ref="W800" r:id="rId795"/>
    <hyperlink xmlns:r="http://schemas.openxmlformats.org/officeDocument/2006/relationships" ref="W801" r:id="rId796"/>
    <hyperlink xmlns:r="http://schemas.openxmlformats.org/officeDocument/2006/relationships" ref="W802" r:id="rId797"/>
    <hyperlink xmlns:r="http://schemas.openxmlformats.org/officeDocument/2006/relationships" ref="W803" r:id="rId798"/>
    <hyperlink xmlns:r="http://schemas.openxmlformats.org/officeDocument/2006/relationships" ref="W804" r:id="rId799"/>
    <hyperlink xmlns:r="http://schemas.openxmlformats.org/officeDocument/2006/relationships" ref="W805" r:id="rId800"/>
    <hyperlink xmlns:r="http://schemas.openxmlformats.org/officeDocument/2006/relationships" ref="W806" r:id="rId801"/>
    <hyperlink xmlns:r="http://schemas.openxmlformats.org/officeDocument/2006/relationships" ref="W807" r:id="rId802"/>
    <hyperlink xmlns:r="http://schemas.openxmlformats.org/officeDocument/2006/relationships" ref="W808" r:id="rId803"/>
    <hyperlink xmlns:r="http://schemas.openxmlformats.org/officeDocument/2006/relationships" ref="W809" r:id="rId804"/>
    <hyperlink xmlns:r="http://schemas.openxmlformats.org/officeDocument/2006/relationships" ref="W810" r:id="rId805"/>
    <hyperlink xmlns:r="http://schemas.openxmlformats.org/officeDocument/2006/relationships" ref="W811" r:id="rId806"/>
    <hyperlink xmlns:r="http://schemas.openxmlformats.org/officeDocument/2006/relationships" ref="W812" r:id="rId807"/>
    <hyperlink xmlns:r="http://schemas.openxmlformats.org/officeDocument/2006/relationships" ref="W813" r:id="rId808"/>
    <hyperlink xmlns:r="http://schemas.openxmlformats.org/officeDocument/2006/relationships" ref="W814" r:id="rId809"/>
    <hyperlink xmlns:r="http://schemas.openxmlformats.org/officeDocument/2006/relationships" ref="W815" r:id="rId810"/>
    <hyperlink xmlns:r="http://schemas.openxmlformats.org/officeDocument/2006/relationships" ref="W816" r:id="rId811"/>
    <hyperlink xmlns:r="http://schemas.openxmlformats.org/officeDocument/2006/relationships" ref="W817" r:id="rId812"/>
    <hyperlink xmlns:r="http://schemas.openxmlformats.org/officeDocument/2006/relationships" ref="W818" r:id="rId813"/>
    <hyperlink xmlns:r="http://schemas.openxmlformats.org/officeDocument/2006/relationships" ref="W819" r:id="rId814"/>
    <hyperlink xmlns:r="http://schemas.openxmlformats.org/officeDocument/2006/relationships" ref="W820" r:id="rId815"/>
    <hyperlink xmlns:r="http://schemas.openxmlformats.org/officeDocument/2006/relationships" ref="W821" r:id="rId816"/>
    <hyperlink xmlns:r="http://schemas.openxmlformats.org/officeDocument/2006/relationships" ref="W822" r:id="rId817"/>
    <hyperlink xmlns:r="http://schemas.openxmlformats.org/officeDocument/2006/relationships" ref="W823" r:id="rId818"/>
    <hyperlink xmlns:r="http://schemas.openxmlformats.org/officeDocument/2006/relationships" ref="W824" r:id="rId819"/>
    <hyperlink xmlns:r="http://schemas.openxmlformats.org/officeDocument/2006/relationships" ref="W825" r:id="rId820"/>
    <hyperlink xmlns:r="http://schemas.openxmlformats.org/officeDocument/2006/relationships" ref="W826" r:id="rId821"/>
    <hyperlink xmlns:r="http://schemas.openxmlformats.org/officeDocument/2006/relationships" ref="W827" r:id="rId822"/>
    <hyperlink xmlns:r="http://schemas.openxmlformats.org/officeDocument/2006/relationships" ref="W828" r:id="rId823"/>
    <hyperlink xmlns:r="http://schemas.openxmlformats.org/officeDocument/2006/relationships" ref="W829" r:id="rId824"/>
    <hyperlink xmlns:r="http://schemas.openxmlformats.org/officeDocument/2006/relationships" ref="W830" r:id="rId825"/>
    <hyperlink xmlns:r="http://schemas.openxmlformats.org/officeDocument/2006/relationships" ref="W831" r:id="rId826"/>
    <hyperlink xmlns:r="http://schemas.openxmlformats.org/officeDocument/2006/relationships" ref="W832" r:id="rId827"/>
    <hyperlink xmlns:r="http://schemas.openxmlformats.org/officeDocument/2006/relationships" ref="W833" r:id="rId828"/>
    <hyperlink xmlns:r="http://schemas.openxmlformats.org/officeDocument/2006/relationships" ref="W834" r:id="rId829"/>
    <hyperlink xmlns:r="http://schemas.openxmlformats.org/officeDocument/2006/relationships" ref="W835" r:id="rId830"/>
    <hyperlink xmlns:r="http://schemas.openxmlformats.org/officeDocument/2006/relationships" ref="W836" r:id="rId831"/>
    <hyperlink xmlns:r="http://schemas.openxmlformats.org/officeDocument/2006/relationships" ref="W837" r:id="rId832"/>
    <hyperlink xmlns:r="http://schemas.openxmlformats.org/officeDocument/2006/relationships" ref="W838" r:id="rId833"/>
    <hyperlink xmlns:r="http://schemas.openxmlformats.org/officeDocument/2006/relationships" ref="W839" r:id="rId834"/>
    <hyperlink xmlns:r="http://schemas.openxmlformats.org/officeDocument/2006/relationships" ref="W840" r:id="rId835"/>
    <hyperlink xmlns:r="http://schemas.openxmlformats.org/officeDocument/2006/relationships" ref="W841" r:id="rId836"/>
    <hyperlink xmlns:r="http://schemas.openxmlformats.org/officeDocument/2006/relationships" ref="W842" r:id="rId837"/>
    <hyperlink xmlns:r="http://schemas.openxmlformats.org/officeDocument/2006/relationships" ref="W843" r:id="rId838"/>
    <hyperlink xmlns:r="http://schemas.openxmlformats.org/officeDocument/2006/relationships" ref="W844" r:id="rId839"/>
    <hyperlink xmlns:r="http://schemas.openxmlformats.org/officeDocument/2006/relationships" ref="W845" r:id="rId840"/>
    <hyperlink xmlns:r="http://schemas.openxmlformats.org/officeDocument/2006/relationships" ref="W846" r:id="rId841"/>
    <hyperlink xmlns:r="http://schemas.openxmlformats.org/officeDocument/2006/relationships" ref="W847" r:id="rId842"/>
    <hyperlink xmlns:r="http://schemas.openxmlformats.org/officeDocument/2006/relationships" ref="W848" r:id="rId843"/>
    <hyperlink xmlns:r="http://schemas.openxmlformats.org/officeDocument/2006/relationships" ref="W849" r:id="rId844"/>
    <hyperlink xmlns:r="http://schemas.openxmlformats.org/officeDocument/2006/relationships" ref="W850" r:id="rId845"/>
    <hyperlink xmlns:r="http://schemas.openxmlformats.org/officeDocument/2006/relationships" ref="W851" r:id="rId846"/>
    <hyperlink xmlns:r="http://schemas.openxmlformats.org/officeDocument/2006/relationships" ref="W852" r:id="rId847"/>
    <hyperlink xmlns:r="http://schemas.openxmlformats.org/officeDocument/2006/relationships" ref="W853" r:id="rId848"/>
    <hyperlink xmlns:r="http://schemas.openxmlformats.org/officeDocument/2006/relationships" ref="W854" r:id="rId849"/>
    <hyperlink xmlns:r="http://schemas.openxmlformats.org/officeDocument/2006/relationships" ref="W855" r:id="rId850"/>
    <hyperlink xmlns:r="http://schemas.openxmlformats.org/officeDocument/2006/relationships" ref="W856" r:id="rId851"/>
    <hyperlink xmlns:r="http://schemas.openxmlformats.org/officeDocument/2006/relationships" ref="W857" r:id="rId852"/>
    <hyperlink xmlns:r="http://schemas.openxmlformats.org/officeDocument/2006/relationships" ref="W858" r:id="rId853"/>
    <hyperlink xmlns:r="http://schemas.openxmlformats.org/officeDocument/2006/relationships" ref="W859" r:id="rId854"/>
    <hyperlink xmlns:r="http://schemas.openxmlformats.org/officeDocument/2006/relationships" ref="W860" r:id="rId855"/>
    <hyperlink xmlns:r="http://schemas.openxmlformats.org/officeDocument/2006/relationships" ref="W861" r:id="rId856"/>
    <hyperlink xmlns:r="http://schemas.openxmlformats.org/officeDocument/2006/relationships" ref="W862" r:id="rId857"/>
    <hyperlink xmlns:r="http://schemas.openxmlformats.org/officeDocument/2006/relationships" ref="W863" r:id="rId858"/>
    <hyperlink xmlns:r="http://schemas.openxmlformats.org/officeDocument/2006/relationships" ref="W864" r:id="rId859"/>
    <hyperlink xmlns:r="http://schemas.openxmlformats.org/officeDocument/2006/relationships" ref="W865" r:id="rId860"/>
    <hyperlink xmlns:r="http://schemas.openxmlformats.org/officeDocument/2006/relationships" ref="W866" r:id="rId861"/>
    <hyperlink xmlns:r="http://schemas.openxmlformats.org/officeDocument/2006/relationships" ref="W867" r:id="rId862"/>
    <hyperlink xmlns:r="http://schemas.openxmlformats.org/officeDocument/2006/relationships" ref="W868" r:id="rId863"/>
    <hyperlink xmlns:r="http://schemas.openxmlformats.org/officeDocument/2006/relationships" ref="W869" r:id="rId864"/>
    <hyperlink xmlns:r="http://schemas.openxmlformats.org/officeDocument/2006/relationships" ref="W870" r:id="rId865"/>
    <hyperlink xmlns:r="http://schemas.openxmlformats.org/officeDocument/2006/relationships" ref="W871" r:id="rId866"/>
    <hyperlink xmlns:r="http://schemas.openxmlformats.org/officeDocument/2006/relationships" ref="W872" r:id="rId867"/>
    <hyperlink xmlns:r="http://schemas.openxmlformats.org/officeDocument/2006/relationships" ref="W873" r:id="rId868"/>
    <hyperlink xmlns:r="http://schemas.openxmlformats.org/officeDocument/2006/relationships" ref="W874" r:id="rId869"/>
    <hyperlink xmlns:r="http://schemas.openxmlformats.org/officeDocument/2006/relationships" ref="W875" r:id="rId870"/>
    <hyperlink xmlns:r="http://schemas.openxmlformats.org/officeDocument/2006/relationships" ref="W876" r:id="rId871"/>
    <hyperlink xmlns:r="http://schemas.openxmlformats.org/officeDocument/2006/relationships" ref="W877" r:id="rId872"/>
    <hyperlink xmlns:r="http://schemas.openxmlformats.org/officeDocument/2006/relationships" ref="W878" r:id="rId873"/>
    <hyperlink xmlns:r="http://schemas.openxmlformats.org/officeDocument/2006/relationships" ref="W879" r:id="rId874"/>
    <hyperlink xmlns:r="http://schemas.openxmlformats.org/officeDocument/2006/relationships" ref="W880" r:id="rId875"/>
    <hyperlink xmlns:r="http://schemas.openxmlformats.org/officeDocument/2006/relationships" ref="W881" r:id="rId876"/>
    <hyperlink xmlns:r="http://schemas.openxmlformats.org/officeDocument/2006/relationships" ref="W882" r:id="rId877"/>
    <hyperlink xmlns:r="http://schemas.openxmlformats.org/officeDocument/2006/relationships" ref="W883" r:id="rId878"/>
    <hyperlink xmlns:r="http://schemas.openxmlformats.org/officeDocument/2006/relationships" ref="W884" r:id="rId879"/>
    <hyperlink xmlns:r="http://schemas.openxmlformats.org/officeDocument/2006/relationships" ref="W885" r:id="rId880"/>
    <hyperlink xmlns:r="http://schemas.openxmlformats.org/officeDocument/2006/relationships" ref="W886" r:id="rId881"/>
    <hyperlink xmlns:r="http://schemas.openxmlformats.org/officeDocument/2006/relationships" ref="W887" r:id="rId882"/>
    <hyperlink xmlns:r="http://schemas.openxmlformats.org/officeDocument/2006/relationships" ref="W888" r:id="rId883"/>
    <hyperlink xmlns:r="http://schemas.openxmlformats.org/officeDocument/2006/relationships" ref="W889" r:id="rId884"/>
    <hyperlink xmlns:r="http://schemas.openxmlformats.org/officeDocument/2006/relationships" ref="W890" r:id="rId885"/>
    <hyperlink xmlns:r="http://schemas.openxmlformats.org/officeDocument/2006/relationships" ref="W891" r:id="rId886"/>
    <hyperlink xmlns:r="http://schemas.openxmlformats.org/officeDocument/2006/relationships" ref="W892" r:id="rId887"/>
    <hyperlink xmlns:r="http://schemas.openxmlformats.org/officeDocument/2006/relationships" ref="W893" r:id="rId888"/>
    <hyperlink xmlns:r="http://schemas.openxmlformats.org/officeDocument/2006/relationships" ref="W894" r:id="rId889"/>
    <hyperlink xmlns:r="http://schemas.openxmlformats.org/officeDocument/2006/relationships" ref="W895" r:id="rId890"/>
    <hyperlink xmlns:r="http://schemas.openxmlformats.org/officeDocument/2006/relationships" ref="W896" r:id="rId891"/>
    <hyperlink xmlns:r="http://schemas.openxmlformats.org/officeDocument/2006/relationships" ref="W897" r:id="rId892"/>
    <hyperlink xmlns:r="http://schemas.openxmlformats.org/officeDocument/2006/relationships" ref="W898" r:id="rId893"/>
    <hyperlink xmlns:r="http://schemas.openxmlformats.org/officeDocument/2006/relationships" ref="W899" r:id="rId894"/>
    <hyperlink xmlns:r="http://schemas.openxmlformats.org/officeDocument/2006/relationships" ref="W900" r:id="rId895"/>
    <hyperlink xmlns:r="http://schemas.openxmlformats.org/officeDocument/2006/relationships" ref="W901" r:id="rId896"/>
    <hyperlink xmlns:r="http://schemas.openxmlformats.org/officeDocument/2006/relationships" ref="W902" r:id="rId897"/>
    <hyperlink xmlns:r="http://schemas.openxmlformats.org/officeDocument/2006/relationships" ref="W903" r:id="rId898"/>
    <hyperlink xmlns:r="http://schemas.openxmlformats.org/officeDocument/2006/relationships" ref="W904" r:id="rId899"/>
    <hyperlink xmlns:r="http://schemas.openxmlformats.org/officeDocument/2006/relationships" ref="W905" r:id="rId900"/>
    <hyperlink xmlns:r="http://schemas.openxmlformats.org/officeDocument/2006/relationships" ref="W906" r:id="rId901"/>
    <hyperlink xmlns:r="http://schemas.openxmlformats.org/officeDocument/2006/relationships" ref="W907" r:id="rId902"/>
    <hyperlink xmlns:r="http://schemas.openxmlformats.org/officeDocument/2006/relationships" ref="W908" r:id="rId903"/>
    <hyperlink xmlns:r="http://schemas.openxmlformats.org/officeDocument/2006/relationships" ref="W909" r:id="rId904"/>
    <hyperlink xmlns:r="http://schemas.openxmlformats.org/officeDocument/2006/relationships" ref="W910" r:id="rId905"/>
    <hyperlink xmlns:r="http://schemas.openxmlformats.org/officeDocument/2006/relationships" ref="W911" r:id="rId906"/>
    <hyperlink xmlns:r="http://schemas.openxmlformats.org/officeDocument/2006/relationships" ref="W912" r:id="rId907"/>
    <hyperlink xmlns:r="http://schemas.openxmlformats.org/officeDocument/2006/relationships" ref="W913" r:id="rId908"/>
    <hyperlink xmlns:r="http://schemas.openxmlformats.org/officeDocument/2006/relationships" ref="W914" r:id="rId909"/>
    <hyperlink xmlns:r="http://schemas.openxmlformats.org/officeDocument/2006/relationships" ref="W915" r:id="rId910"/>
    <hyperlink xmlns:r="http://schemas.openxmlformats.org/officeDocument/2006/relationships" ref="W916" r:id="rId911"/>
    <hyperlink xmlns:r="http://schemas.openxmlformats.org/officeDocument/2006/relationships" ref="W917" r:id="rId912"/>
    <hyperlink xmlns:r="http://schemas.openxmlformats.org/officeDocument/2006/relationships" ref="W918" r:id="rId913"/>
    <hyperlink xmlns:r="http://schemas.openxmlformats.org/officeDocument/2006/relationships" ref="W919" r:id="rId914"/>
    <hyperlink xmlns:r="http://schemas.openxmlformats.org/officeDocument/2006/relationships" ref="W920" r:id="rId915"/>
    <hyperlink xmlns:r="http://schemas.openxmlformats.org/officeDocument/2006/relationships" ref="W921" r:id="rId916"/>
    <hyperlink xmlns:r="http://schemas.openxmlformats.org/officeDocument/2006/relationships" ref="W922" r:id="rId917"/>
    <hyperlink xmlns:r="http://schemas.openxmlformats.org/officeDocument/2006/relationships" ref="W923" r:id="rId918"/>
    <hyperlink xmlns:r="http://schemas.openxmlformats.org/officeDocument/2006/relationships" ref="W924" r:id="rId919"/>
    <hyperlink xmlns:r="http://schemas.openxmlformats.org/officeDocument/2006/relationships" ref="W925" r:id="rId920"/>
    <hyperlink xmlns:r="http://schemas.openxmlformats.org/officeDocument/2006/relationships" ref="W926" r:id="rId921"/>
    <hyperlink xmlns:r="http://schemas.openxmlformats.org/officeDocument/2006/relationships" ref="W927" r:id="rId922"/>
    <hyperlink xmlns:r="http://schemas.openxmlformats.org/officeDocument/2006/relationships" ref="W928" r:id="rId923"/>
    <hyperlink xmlns:r="http://schemas.openxmlformats.org/officeDocument/2006/relationships" ref="W929" r:id="rId924"/>
    <hyperlink xmlns:r="http://schemas.openxmlformats.org/officeDocument/2006/relationships" ref="W930" r:id="rId925"/>
    <hyperlink xmlns:r="http://schemas.openxmlformats.org/officeDocument/2006/relationships" ref="W931" r:id="rId926"/>
    <hyperlink xmlns:r="http://schemas.openxmlformats.org/officeDocument/2006/relationships" ref="W932" r:id="rId927"/>
    <hyperlink xmlns:r="http://schemas.openxmlformats.org/officeDocument/2006/relationships" ref="W933" r:id="rId928"/>
    <hyperlink xmlns:r="http://schemas.openxmlformats.org/officeDocument/2006/relationships" ref="W934" r:id="rId929"/>
    <hyperlink xmlns:r="http://schemas.openxmlformats.org/officeDocument/2006/relationships" ref="W935" r:id="rId930"/>
    <hyperlink xmlns:r="http://schemas.openxmlformats.org/officeDocument/2006/relationships" ref="W936" r:id="rId931"/>
    <hyperlink xmlns:r="http://schemas.openxmlformats.org/officeDocument/2006/relationships" ref="W937" r:id="rId932"/>
    <hyperlink xmlns:r="http://schemas.openxmlformats.org/officeDocument/2006/relationships" ref="W938" r:id="rId933"/>
    <hyperlink xmlns:r="http://schemas.openxmlformats.org/officeDocument/2006/relationships" ref="W939" r:id="rId934"/>
    <hyperlink xmlns:r="http://schemas.openxmlformats.org/officeDocument/2006/relationships" ref="W940" r:id="rId935"/>
    <hyperlink xmlns:r="http://schemas.openxmlformats.org/officeDocument/2006/relationships" ref="W941" r:id="rId936"/>
    <hyperlink xmlns:r="http://schemas.openxmlformats.org/officeDocument/2006/relationships" ref="W942" r:id="rId937"/>
    <hyperlink xmlns:r="http://schemas.openxmlformats.org/officeDocument/2006/relationships" ref="W943" r:id="rId938"/>
    <hyperlink xmlns:r="http://schemas.openxmlformats.org/officeDocument/2006/relationships" ref="W944" r:id="rId939"/>
    <hyperlink xmlns:r="http://schemas.openxmlformats.org/officeDocument/2006/relationships" ref="W945" r:id="rId940"/>
    <hyperlink xmlns:r="http://schemas.openxmlformats.org/officeDocument/2006/relationships" ref="W946" r:id="rId941"/>
    <hyperlink xmlns:r="http://schemas.openxmlformats.org/officeDocument/2006/relationships" ref="W947" r:id="rId942"/>
    <hyperlink xmlns:r="http://schemas.openxmlformats.org/officeDocument/2006/relationships" ref="W948" r:id="rId943"/>
    <hyperlink xmlns:r="http://schemas.openxmlformats.org/officeDocument/2006/relationships" ref="W949" r:id="rId944"/>
    <hyperlink xmlns:r="http://schemas.openxmlformats.org/officeDocument/2006/relationships" ref="W950" r:id="rId945"/>
    <hyperlink xmlns:r="http://schemas.openxmlformats.org/officeDocument/2006/relationships" ref="W951" r:id="rId946"/>
    <hyperlink xmlns:r="http://schemas.openxmlformats.org/officeDocument/2006/relationships" ref="W952" r:id="rId947"/>
    <hyperlink xmlns:r="http://schemas.openxmlformats.org/officeDocument/2006/relationships" ref="W953" r:id="rId948"/>
    <hyperlink xmlns:r="http://schemas.openxmlformats.org/officeDocument/2006/relationships" ref="W954" r:id="rId949"/>
    <hyperlink xmlns:r="http://schemas.openxmlformats.org/officeDocument/2006/relationships" ref="W955" r:id="rId950"/>
    <hyperlink xmlns:r="http://schemas.openxmlformats.org/officeDocument/2006/relationships" ref="W956" r:id="rId951"/>
    <hyperlink xmlns:r="http://schemas.openxmlformats.org/officeDocument/2006/relationships" ref="W957" r:id="rId952"/>
    <hyperlink xmlns:r="http://schemas.openxmlformats.org/officeDocument/2006/relationships" ref="W958" r:id="rId953"/>
    <hyperlink xmlns:r="http://schemas.openxmlformats.org/officeDocument/2006/relationships" ref="W959" r:id="rId954"/>
    <hyperlink xmlns:r="http://schemas.openxmlformats.org/officeDocument/2006/relationships" ref="W960" r:id="rId955"/>
    <hyperlink xmlns:r="http://schemas.openxmlformats.org/officeDocument/2006/relationships" ref="W961" r:id="rId956"/>
    <hyperlink xmlns:r="http://schemas.openxmlformats.org/officeDocument/2006/relationships" ref="W962" r:id="rId957"/>
    <hyperlink xmlns:r="http://schemas.openxmlformats.org/officeDocument/2006/relationships" ref="W963" r:id="rId958"/>
    <hyperlink xmlns:r="http://schemas.openxmlformats.org/officeDocument/2006/relationships" ref="W964" r:id="rId959"/>
    <hyperlink xmlns:r="http://schemas.openxmlformats.org/officeDocument/2006/relationships" ref="W965" r:id="rId960"/>
    <hyperlink xmlns:r="http://schemas.openxmlformats.org/officeDocument/2006/relationships" ref="W966" r:id="rId961"/>
    <hyperlink xmlns:r="http://schemas.openxmlformats.org/officeDocument/2006/relationships" ref="W967" r:id="rId962"/>
    <hyperlink xmlns:r="http://schemas.openxmlformats.org/officeDocument/2006/relationships" ref="W968" r:id="rId963"/>
    <hyperlink xmlns:r="http://schemas.openxmlformats.org/officeDocument/2006/relationships" ref="W969" r:id="rId964"/>
    <hyperlink xmlns:r="http://schemas.openxmlformats.org/officeDocument/2006/relationships" ref="W970" r:id="rId965"/>
    <hyperlink xmlns:r="http://schemas.openxmlformats.org/officeDocument/2006/relationships" ref="W971" r:id="rId966"/>
    <hyperlink xmlns:r="http://schemas.openxmlformats.org/officeDocument/2006/relationships" ref="W972" r:id="rId967"/>
    <hyperlink xmlns:r="http://schemas.openxmlformats.org/officeDocument/2006/relationships" ref="W973" r:id="rId968"/>
    <hyperlink xmlns:r="http://schemas.openxmlformats.org/officeDocument/2006/relationships" ref="W974" r:id="rId969"/>
    <hyperlink xmlns:r="http://schemas.openxmlformats.org/officeDocument/2006/relationships" ref="W975" r:id="rId970"/>
    <hyperlink xmlns:r="http://schemas.openxmlformats.org/officeDocument/2006/relationships" ref="W976" r:id="rId971"/>
    <hyperlink xmlns:r="http://schemas.openxmlformats.org/officeDocument/2006/relationships" ref="W977" r:id="rId972"/>
    <hyperlink xmlns:r="http://schemas.openxmlformats.org/officeDocument/2006/relationships" ref="W978" r:id="rId973"/>
    <hyperlink xmlns:r="http://schemas.openxmlformats.org/officeDocument/2006/relationships" ref="W979" r:id="rId974"/>
    <hyperlink xmlns:r="http://schemas.openxmlformats.org/officeDocument/2006/relationships" ref="W980" r:id="rId975"/>
    <hyperlink xmlns:r="http://schemas.openxmlformats.org/officeDocument/2006/relationships" ref="W981" r:id="rId976"/>
    <hyperlink xmlns:r="http://schemas.openxmlformats.org/officeDocument/2006/relationships" ref="W982" r:id="rId977"/>
    <hyperlink xmlns:r="http://schemas.openxmlformats.org/officeDocument/2006/relationships" ref="W983" r:id="rId978"/>
    <hyperlink xmlns:r="http://schemas.openxmlformats.org/officeDocument/2006/relationships" ref="W984" r:id="rId979"/>
    <hyperlink xmlns:r="http://schemas.openxmlformats.org/officeDocument/2006/relationships" ref="W985" r:id="rId980"/>
    <hyperlink xmlns:r="http://schemas.openxmlformats.org/officeDocument/2006/relationships" ref="W986" r:id="rId981"/>
    <hyperlink xmlns:r="http://schemas.openxmlformats.org/officeDocument/2006/relationships" ref="W987" r:id="rId982"/>
    <hyperlink xmlns:r="http://schemas.openxmlformats.org/officeDocument/2006/relationships" ref="W988" r:id="rId983"/>
    <hyperlink xmlns:r="http://schemas.openxmlformats.org/officeDocument/2006/relationships" ref="W989" r:id="rId984"/>
    <hyperlink xmlns:r="http://schemas.openxmlformats.org/officeDocument/2006/relationships" ref="W990" r:id="rId985"/>
    <hyperlink xmlns:r="http://schemas.openxmlformats.org/officeDocument/2006/relationships" ref="W991" r:id="rId986"/>
    <hyperlink xmlns:r="http://schemas.openxmlformats.org/officeDocument/2006/relationships" ref="W992" r:id="rId987"/>
    <hyperlink xmlns:r="http://schemas.openxmlformats.org/officeDocument/2006/relationships" ref="W993" r:id="rId988"/>
    <hyperlink xmlns:r="http://schemas.openxmlformats.org/officeDocument/2006/relationships" ref="W994" r:id="rId989"/>
    <hyperlink xmlns:r="http://schemas.openxmlformats.org/officeDocument/2006/relationships" ref="W995" r:id="rId990"/>
    <hyperlink xmlns:r="http://schemas.openxmlformats.org/officeDocument/2006/relationships" ref="W996" r:id="rId991"/>
    <hyperlink xmlns:r="http://schemas.openxmlformats.org/officeDocument/2006/relationships" ref="W997" r:id="rId992"/>
    <hyperlink xmlns:r="http://schemas.openxmlformats.org/officeDocument/2006/relationships" ref="W998" r:id="rId993"/>
    <hyperlink xmlns:r="http://schemas.openxmlformats.org/officeDocument/2006/relationships" ref="W999" r:id="rId994"/>
    <hyperlink xmlns:r="http://schemas.openxmlformats.org/officeDocument/2006/relationships" ref="W1000" r:id="rId995"/>
    <hyperlink xmlns:r="http://schemas.openxmlformats.org/officeDocument/2006/relationships" ref="W1001" r:id="rId996"/>
    <hyperlink xmlns:r="http://schemas.openxmlformats.org/officeDocument/2006/relationships" ref="W1002" r:id="rId997"/>
    <hyperlink xmlns:r="http://schemas.openxmlformats.org/officeDocument/2006/relationships" ref="W1003" r:id="rId998"/>
    <hyperlink xmlns:r="http://schemas.openxmlformats.org/officeDocument/2006/relationships" ref="W1004" r:id="rId999"/>
    <hyperlink xmlns:r="http://schemas.openxmlformats.org/officeDocument/2006/relationships" ref="W1005" r:id="rId1000"/>
    <hyperlink xmlns:r="http://schemas.openxmlformats.org/officeDocument/2006/relationships" ref="W1006" r:id="rId1001"/>
    <hyperlink xmlns:r="http://schemas.openxmlformats.org/officeDocument/2006/relationships" ref="W1007" r:id="rId1002"/>
    <hyperlink xmlns:r="http://schemas.openxmlformats.org/officeDocument/2006/relationships" ref="W1008" r:id="rId1003"/>
    <hyperlink xmlns:r="http://schemas.openxmlformats.org/officeDocument/2006/relationships" ref="W1009" r:id="rId1004"/>
    <hyperlink xmlns:r="http://schemas.openxmlformats.org/officeDocument/2006/relationships" ref="W1010" r:id="rId1005"/>
    <hyperlink xmlns:r="http://schemas.openxmlformats.org/officeDocument/2006/relationships" ref="W1011" r:id="rId1006"/>
    <hyperlink xmlns:r="http://schemas.openxmlformats.org/officeDocument/2006/relationships" ref="W1012" r:id="rId1007"/>
    <hyperlink xmlns:r="http://schemas.openxmlformats.org/officeDocument/2006/relationships" ref="W1013" r:id="rId1008"/>
    <hyperlink xmlns:r="http://schemas.openxmlformats.org/officeDocument/2006/relationships" ref="W1014" r:id="rId1009"/>
    <hyperlink xmlns:r="http://schemas.openxmlformats.org/officeDocument/2006/relationships" ref="W1015" r:id="rId1010"/>
    <hyperlink xmlns:r="http://schemas.openxmlformats.org/officeDocument/2006/relationships" ref="W1016" r:id="rId1011"/>
    <hyperlink xmlns:r="http://schemas.openxmlformats.org/officeDocument/2006/relationships" ref="W1017" r:id="rId1012"/>
    <hyperlink xmlns:r="http://schemas.openxmlformats.org/officeDocument/2006/relationships" ref="W1018" r:id="rId1013"/>
    <hyperlink xmlns:r="http://schemas.openxmlformats.org/officeDocument/2006/relationships" ref="W1019" r:id="rId1014"/>
    <hyperlink xmlns:r="http://schemas.openxmlformats.org/officeDocument/2006/relationships" ref="W1020" r:id="rId1015"/>
    <hyperlink xmlns:r="http://schemas.openxmlformats.org/officeDocument/2006/relationships" ref="W1021" r:id="rId1016"/>
    <hyperlink xmlns:r="http://schemas.openxmlformats.org/officeDocument/2006/relationships" ref="W1022" r:id="rId1017"/>
    <hyperlink xmlns:r="http://schemas.openxmlformats.org/officeDocument/2006/relationships" ref="W1023" r:id="rId1018"/>
    <hyperlink xmlns:r="http://schemas.openxmlformats.org/officeDocument/2006/relationships" ref="W1024" r:id="rId1019"/>
    <hyperlink xmlns:r="http://schemas.openxmlformats.org/officeDocument/2006/relationships" ref="W1025" r:id="rId1020"/>
    <hyperlink xmlns:r="http://schemas.openxmlformats.org/officeDocument/2006/relationships" ref="W1026" r:id="rId1021"/>
    <hyperlink xmlns:r="http://schemas.openxmlformats.org/officeDocument/2006/relationships" ref="W1027" r:id="rId1022"/>
    <hyperlink xmlns:r="http://schemas.openxmlformats.org/officeDocument/2006/relationships" ref="W1028" r:id="rId1023"/>
    <hyperlink xmlns:r="http://schemas.openxmlformats.org/officeDocument/2006/relationships" ref="W1029" r:id="rId1024"/>
    <hyperlink xmlns:r="http://schemas.openxmlformats.org/officeDocument/2006/relationships" ref="W1030" r:id="rId1025"/>
    <hyperlink xmlns:r="http://schemas.openxmlformats.org/officeDocument/2006/relationships" ref="W1031" r:id="rId1026"/>
    <hyperlink xmlns:r="http://schemas.openxmlformats.org/officeDocument/2006/relationships" ref="W1032" r:id="rId1027"/>
    <hyperlink xmlns:r="http://schemas.openxmlformats.org/officeDocument/2006/relationships" ref="W1033" r:id="rId1028"/>
    <hyperlink xmlns:r="http://schemas.openxmlformats.org/officeDocument/2006/relationships" ref="W1034" r:id="rId1029"/>
    <hyperlink xmlns:r="http://schemas.openxmlformats.org/officeDocument/2006/relationships" ref="W1035" r:id="rId1030"/>
    <hyperlink xmlns:r="http://schemas.openxmlformats.org/officeDocument/2006/relationships" ref="W1036" r:id="rId1031"/>
    <hyperlink xmlns:r="http://schemas.openxmlformats.org/officeDocument/2006/relationships" ref="W1037" r:id="rId1032"/>
    <hyperlink xmlns:r="http://schemas.openxmlformats.org/officeDocument/2006/relationships" ref="W1038" r:id="rId1033"/>
    <hyperlink xmlns:r="http://schemas.openxmlformats.org/officeDocument/2006/relationships" ref="W1039" r:id="rId1034"/>
    <hyperlink xmlns:r="http://schemas.openxmlformats.org/officeDocument/2006/relationships" ref="W1040" r:id="rId1035"/>
    <hyperlink xmlns:r="http://schemas.openxmlformats.org/officeDocument/2006/relationships" ref="W1041" r:id="rId1036"/>
    <hyperlink xmlns:r="http://schemas.openxmlformats.org/officeDocument/2006/relationships" ref="W1042" r:id="rId1037"/>
    <hyperlink xmlns:r="http://schemas.openxmlformats.org/officeDocument/2006/relationships" ref="W1043" r:id="rId1038"/>
    <hyperlink xmlns:r="http://schemas.openxmlformats.org/officeDocument/2006/relationships" ref="W1044" r:id="rId1039"/>
    <hyperlink xmlns:r="http://schemas.openxmlformats.org/officeDocument/2006/relationships" ref="W1045" r:id="rId1040"/>
    <hyperlink xmlns:r="http://schemas.openxmlformats.org/officeDocument/2006/relationships" ref="W1046" r:id="rId1041"/>
    <hyperlink xmlns:r="http://schemas.openxmlformats.org/officeDocument/2006/relationships" ref="W1047" r:id="rId1042"/>
    <hyperlink xmlns:r="http://schemas.openxmlformats.org/officeDocument/2006/relationships" ref="W1048" r:id="rId1043"/>
    <hyperlink xmlns:r="http://schemas.openxmlformats.org/officeDocument/2006/relationships" ref="W1049" r:id="rId1044"/>
    <hyperlink xmlns:r="http://schemas.openxmlformats.org/officeDocument/2006/relationships" ref="W1050" r:id="rId1045"/>
    <hyperlink xmlns:r="http://schemas.openxmlformats.org/officeDocument/2006/relationships" ref="W1051" r:id="rId1046"/>
    <hyperlink xmlns:r="http://schemas.openxmlformats.org/officeDocument/2006/relationships" ref="W1052" r:id="rId1047"/>
    <hyperlink xmlns:r="http://schemas.openxmlformats.org/officeDocument/2006/relationships" ref="W1053" r:id="rId1048"/>
    <hyperlink xmlns:r="http://schemas.openxmlformats.org/officeDocument/2006/relationships" ref="W1054" r:id="rId1049"/>
    <hyperlink xmlns:r="http://schemas.openxmlformats.org/officeDocument/2006/relationships" ref="W1055" r:id="rId1050"/>
    <hyperlink xmlns:r="http://schemas.openxmlformats.org/officeDocument/2006/relationships" ref="W1056" r:id="rId1051"/>
    <hyperlink xmlns:r="http://schemas.openxmlformats.org/officeDocument/2006/relationships" ref="W1057" r:id="rId1052"/>
    <hyperlink xmlns:r="http://schemas.openxmlformats.org/officeDocument/2006/relationships" ref="W1058" r:id="rId1053"/>
    <hyperlink xmlns:r="http://schemas.openxmlformats.org/officeDocument/2006/relationships" ref="W1059" r:id="rId1054"/>
    <hyperlink xmlns:r="http://schemas.openxmlformats.org/officeDocument/2006/relationships" ref="W1060" r:id="rId1055"/>
    <hyperlink xmlns:r="http://schemas.openxmlformats.org/officeDocument/2006/relationships" ref="W1061" r:id="rId1056"/>
    <hyperlink xmlns:r="http://schemas.openxmlformats.org/officeDocument/2006/relationships" ref="W1062" r:id="rId1057"/>
    <hyperlink xmlns:r="http://schemas.openxmlformats.org/officeDocument/2006/relationships" ref="W1063" r:id="rId1058"/>
    <hyperlink xmlns:r="http://schemas.openxmlformats.org/officeDocument/2006/relationships" ref="W1064" r:id="rId1059"/>
    <hyperlink xmlns:r="http://schemas.openxmlformats.org/officeDocument/2006/relationships" ref="W1065" r:id="rId1060"/>
    <hyperlink xmlns:r="http://schemas.openxmlformats.org/officeDocument/2006/relationships" ref="W1066" r:id="rId1061"/>
    <hyperlink xmlns:r="http://schemas.openxmlformats.org/officeDocument/2006/relationships" ref="W1067" r:id="rId1062"/>
    <hyperlink xmlns:r="http://schemas.openxmlformats.org/officeDocument/2006/relationships" ref="W1068" r:id="rId1063"/>
    <hyperlink xmlns:r="http://schemas.openxmlformats.org/officeDocument/2006/relationships" ref="W1069" r:id="rId1064"/>
    <hyperlink xmlns:r="http://schemas.openxmlformats.org/officeDocument/2006/relationships" ref="W1070" r:id="rId1065"/>
    <hyperlink xmlns:r="http://schemas.openxmlformats.org/officeDocument/2006/relationships" ref="W1071" r:id="rId1066"/>
    <hyperlink xmlns:r="http://schemas.openxmlformats.org/officeDocument/2006/relationships" ref="W1072" r:id="rId1067"/>
    <hyperlink xmlns:r="http://schemas.openxmlformats.org/officeDocument/2006/relationships" ref="W1073" r:id="rId1068"/>
    <hyperlink xmlns:r="http://schemas.openxmlformats.org/officeDocument/2006/relationships" ref="W1074" r:id="rId1069"/>
    <hyperlink xmlns:r="http://schemas.openxmlformats.org/officeDocument/2006/relationships" ref="W1075" r:id="rId1070"/>
    <hyperlink xmlns:r="http://schemas.openxmlformats.org/officeDocument/2006/relationships" ref="W1076" r:id="rId1071"/>
    <hyperlink xmlns:r="http://schemas.openxmlformats.org/officeDocument/2006/relationships" ref="W1077" r:id="rId1072"/>
    <hyperlink xmlns:r="http://schemas.openxmlformats.org/officeDocument/2006/relationships" ref="W1078" r:id="rId1073"/>
    <hyperlink xmlns:r="http://schemas.openxmlformats.org/officeDocument/2006/relationships" ref="W1079" r:id="rId1074"/>
    <hyperlink xmlns:r="http://schemas.openxmlformats.org/officeDocument/2006/relationships" ref="W1080" r:id="rId1075"/>
    <hyperlink xmlns:r="http://schemas.openxmlformats.org/officeDocument/2006/relationships" ref="W1081" r:id="rId1076"/>
    <hyperlink xmlns:r="http://schemas.openxmlformats.org/officeDocument/2006/relationships" ref="W1082" r:id="rId1077"/>
    <hyperlink xmlns:r="http://schemas.openxmlformats.org/officeDocument/2006/relationships" ref="W1083" r:id="rId1078"/>
    <hyperlink xmlns:r="http://schemas.openxmlformats.org/officeDocument/2006/relationships" ref="W1084" r:id="rId1079"/>
    <hyperlink xmlns:r="http://schemas.openxmlformats.org/officeDocument/2006/relationships" ref="W1085" r:id="rId1080"/>
    <hyperlink xmlns:r="http://schemas.openxmlformats.org/officeDocument/2006/relationships" ref="W1086" r:id="rId1081"/>
    <hyperlink xmlns:r="http://schemas.openxmlformats.org/officeDocument/2006/relationships" ref="W1087" r:id="rId1082"/>
    <hyperlink xmlns:r="http://schemas.openxmlformats.org/officeDocument/2006/relationships" ref="W1088" r:id="rId1083"/>
    <hyperlink xmlns:r="http://schemas.openxmlformats.org/officeDocument/2006/relationships" ref="W1089" r:id="rId1084"/>
    <hyperlink xmlns:r="http://schemas.openxmlformats.org/officeDocument/2006/relationships" ref="W1090" r:id="rId1085"/>
    <hyperlink xmlns:r="http://schemas.openxmlformats.org/officeDocument/2006/relationships" ref="W1091" r:id="rId1086"/>
    <hyperlink xmlns:r="http://schemas.openxmlformats.org/officeDocument/2006/relationships" ref="W1092" r:id="rId1087"/>
    <hyperlink xmlns:r="http://schemas.openxmlformats.org/officeDocument/2006/relationships" ref="W1093" r:id="rId1088"/>
    <hyperlink xmlns:r="http://schemas.openxmlformats.org/officeDocument/2006/relationships" ref="W1094" r:id="rId1089"/>
    <hyperlink xmlns:r="http://schemas.openxmlformats.org/officeDocument/2006/relationships" ref="W1095" r:id="rId1090"/>
    <hyperlink xmlns:r="http://schemas.openxmlformats.org/officeDocument/2006/relationships" ref="W1096" r:id="rId1091"/>
    <hyperlink xmlns:r="http://schemas.openxmlformats.org/officeDocument/2006/relationships" ref="W1097" r:id="rId1092"/>
    <hyperlink xmlns:r="http://schemas.openxmlformats.org/officeDocument/2006/relationships" ref="W1098" r:id="rId1093"/>
    <hyperlink xmlns:r="http://schemas.openxmlformats.org/officeDocument/2006/relationships" ref="W1099" r:id="rId1094"/>
    <hyperlink xmlns:r="http://schemas.openxmlformats.org/officeDocument/2006/relationships" ref="W1100" r:id="rId1095"/>
    <hyperlink xmlns:r="http://schemas.openxmlformats.org/officeDocument/2006/relationships" ref="W1101" r:id="rId1096"/>
    <hyperlink xmlns:r="http://schemas.openxmlformats.org/officeDocument/2006/relationships" ref="W1102" r:id="rId1097"/>
    <hyperlink xmlns:r="http://schemas.openxmlformats.org/officeDocument/2006/relationships" ref="W1103" r:id="rId1098"/>
    <hyperlink xmlns:r="http://schemas.openxmlformats.org/officeDocument/2006/relationships" ref="W1104" r:id="rId1099"/>
    <hyperlink xmlns:r="http://schemas.openxmlformats.org/officeDocument/2006/relationships" ref="W1105" r:id="rId1100"/>
    <hyperlink xmlns:r="http://schemas.openxmlformats.org/officeDocument/2006/relationships" ref="W1106" r:id="rId1101"/>
    <hyperlink xmlns:r="http://schemas.openxmlformats.org/officeDocument/2006/relationships" ref="W1107" r:id="rId1102"/>
    <hyperlink xmlns:r="http://schemas.openxmlformats.org/officeDocument/2006/relationships" ref="W1108" r:id="rId1103"/>
    <hyperlink xmlns:r="http://schemas.openxmlformats.org/officeDocument/2006/relationships" ref="W1109" r:id="rId1104"/>
    <hyperlink xmlns:r="http://schemas.openxmlformats.org/officeDocument/2006/relationships" ref="W1110" r:id="rId1105"/>
    <hyperlink xmlns:r="http://schemas.openxmlformats.org/officeDocument/2006/relationships" ref="W1111" r:id="rId1106"/>
    <hyperlink xmlns:r="http://schemas.openxmlformats.org/officeDocument/2006/relationships" ref="W1112" r:id="rId1107"/>
    <hyperlink xmlns:r="http://schemas.openxmlformats.org/officeDocument/2006/relationships" ref="W1113" r:id="rId1108"/>
    <hyperlink xmlns:r="http://schemas.openxmlformats.org/officeDocument/2006/relationships" ref="W1114" r:id="rId1109"/>
    <hyperlink xmlns:r="http://schemas.openxmlformats.org/officeDocument/2006/relationships" ref="W1115" r:id="rId1110"/>
    <hyperlink xmlns:r="http://schemas.openxmlformats.org/officeDocument/2006/relationships" ref="W1116" r:id="rId1111"/>
    <hyperlink xmlns:r="http://schemas.openxmlformats.org/officeDocument/2006/relationships" ref="W1117" r:id="rId1112"/>
    <hyperlink xmlns:r="http://schemas.openxmlformats.org/officeDocument/2006/relationships" ref="W1118" r:id="rId1113"/>
    <hyperlink xmlns:r="http://schemas.openxmlformats.org/officeDocument/2006/relationships" ref="W1119" r:id="rId1114"/>
    <hyperlink xmlns:r="http://schemas.openxmlformats.org/officeDocument/2006/relationships" ref="W1120" r:id="rId1115"/>
    <hyperlink xmlns:r="http://schemas.openxmlformats.org/officeDocument/2006/relationships" ref="W1121" r:id="rId1116"/>
    <hyperlink xmlns:r="http://schemas.openxmlformats.org/officeDocument/2006/relationships" ref="W1122" r:id="rId1117"/>
    <hyperlink xmlns:r="http://schemas.openxmlformats.org/officeDocument/2006/relationships" ref="W1123" r:id="rId1118"/>
    <hyperlink xmlns:r="http://schemas.openxmlformats.org/officeDocument/2006/relationships" ref="W1124" r:id="rId1119"/>
    <hyperlink xmlns:r="http://schemas.openxmlformats.org/officeDocument/2006/relationships" ref="W1125" r:id="rId1120"/>
    <hyperlink xmlns:r="http://schemas.openxmlformats.org/officeDocument/2006/relationships" ref="W1126" r:id="rId1121"/>
    <hyperlink xmlns:r="http://schemas.openxmlformats.org/officeDocument/2006/relationships" ref="W1127" r:id="rId1122"/>
    <hyperlink xmlns:r="http://schemas.openxmlformats.org/officeDocument/2006/relationships" ref="W1128" r:id="rId1123"/>
    <hyperlink xmlns:r="http://schemas.openxmlformats.org/officeDocument/2006/relationships" ref="W1129" r:id="rId1124"/>
    <hyperlink xmlns:r="http://schemas.openxmlformats.org/officeDocument/2006/relationships" ref="W1130" r:id="rId1125"/>
    <hyperlink xmlns:r="http://schemas.openxmlformats.org/officeDocument/2006/relationships" ref="W1131" r:id="rId1126"/>
    <hyperlink xmlns:r="http://schemas.openxmlformats.org/officeDocument/2006/relationships" ref="W1132" r:id="rId1127"/>
    <hyperlink xmlns:r="http://schemas.openxmlformats.org/officeDocument/2006/relationships" ref="W1133" r:id="rId1128"/>
    <hyperlink xmlns:r="http://schemas.openxmlformats.org/officeDocument/2006/relationships" ref="W1134" r:id="rId1129"/>
    <hyperlink xmlns:r="http://schemas.openxmlformats.org/officeDocument/2006/relationships" ref="W1135" r:id="rId1130"/>
    <hyperlink xmlns:r="http://schemas.openxmlformats.org/officeDocument/2006/relationships" ref="W1136" r:id="rId1131"/>
    <hyperlink xmlns:r="http://schemas.openxmlformats.org/officeDocument/2006/relationships" ref="W1137" r:id="rId1132"/>
    <hyperlink xmlns:r="http://schemas.openxmlformats.org/officeDocument/2006/relationships" ref="W1138" r:id="rId1133"/>
    <hyperlink xmlns:r="http://schemas.openxmlformats.org/officeDocument/2006/relationships" ref="W1139" r:id="rId1134"/>
    <hyperlink xmlns:r="http://schemas.openxmlformats.org/officeDocument/2006/relationships" ref="W1140" r:id="rId1135"/>
    <hyperlink xmlns:r="http://schemas.openxmlformats.org/officeDocument/2006/relationships" ref="W1141" r:id="rId1136"/>
    <hyperlink xmlns:r="http://schemas.openxmlformats.org/officeDocument/2006/relationships" ref="W1142" r:id="rId1137"/>
    <hyperlink xmlns:r="http://schemas.openxmlformats.org/officeDocument/2006/relationships" ref="W1143" r:id="rId1138"/>
    <hyperlink xmlns:r="http://schemas.openxmlformats.org/officeDocument/2006/relationships" ref="W1144" r:id="rId1139"/>
    <hyperlink xmlns:r="http://schemas.openxmlformats.org/officeDocument/2006/relationships" ref="W1145" r:id="rId1140"/>
    <hyperlink xmlns:r="http://schemas.openxmlformats.org/officeDocument/2006/relationships" ref="W1146" r:id="rId1141"/>
    <hyperlink xmlns:r="http://schemas.openxmlformats.org/officeDocument/2006/relationships" ref="W1147" r:id="rId1142"/>
    <hyperlink xmlns:r="http://schemas.openxmlformats.org/officeDocument/2006/relationships" ref="W1148" r:id="rId1143"/>
    <hyperlink xmlns:r="http://schemas.openxmlformats.org/officeDocument/2006/relationships" ref="W1149" r:id="rId1144"/>
    <hyperlink xmlns:r="http://schemas.openxmlformats.org/officeDocument/2006/relationships" ref="W1150" r:id="rId1145"/>
    <hyperlink xmlns:r="http://schemas.openxmlformats.org/officeDocument/2006/relationships" ref="W1151" r:id="rId1146"/>
    <hyperlink xmlns:r="http://schemas.openxmlformats.org/officeDocument/2006/relationships" ref="W1152" r:id="rId1147"/>
    <hyperlink xmlns:r="http://schemas.openxmlformats.org/officeDocument/2006/relationships" ref="W1153" r:id="rId1148"/>
    <hyperlink xmlns:r="http://schemas.openxmlformats.org/officeDocument/2006/relationships" ref="W1154" r:id="rId1149"/>
    <hyperlink xmlns:r="http://schemas.openxmlformats.org/officeDocument/2006/relationships" ref="W1155" r:id="rId1150"/>
    <hyperlink xmlns:r="http://schemas.openxmlformats.org/officeDocument/2006/relationships" ref="W1156" r:id="rId1151"/>
    <hyperlink xmlns:r="http://schemas.openxmlformats.org/officeDocument/2006/relationships" ref="W1157" r:id="rId1152"/>
    <hyperlink xmlns:r="http://schemas.openxmlformats.org/officeDocument/2006/relationships" ref="W1158" r:id="rId1153"/>
    <hyperlink xmlns:r="http://schemas.openxmlformats.org/officeDocument/2006/relationships" ref="W1159" r:id="rId1154"/>
    <hyperlink xmlns:r="http://schemas.openxmlformats.org/officeDocument/2006/relationships" ref="W1160" r:id="rId1155"/>
    <hyperlink xmlns:r="http://schemas.openxmlformats.org/officeDocument/2006/relationships" ref="W1161" r:id="rId1156"/>
    <hyperlink xmlns:r="http://schemas.openxmlformats.org/officeDocument/2006/relationships" ref="W1162" r:id="rId1157"/>
    <hyperlink xmlns:r="http://schemas.openxmlformats.org/officeDocument/2006/relationships" ref="W1163" r:id="rId1158"/>
    <hyperlink xmlns:r="http://schemas.openxmlformats.org/officeDocument/2006/relationships" ref="W1164" r:id="rId1159"/>
    <hyperlink xmlns:r="http://schemas.openxmlformats.org/officeDocument/2006/relationships" ref="W1165" r:id="rId1160"/>
    <hyperlink xmlns:r="http://schemas.openxmlformats.org/officeDocument/2006/relationships" ref="W1166" r:id="rId1161"/>
    <hyperlink xmlns:r="http://schemas.openxmlformats.org/officeDocument/2006/relationships" ref="W1167" r:id="rId1162"/>
    <hyperlink xmlns:r="http://schemas.openxmlformats.org/officeDocument/2006/relationships" ref="W1168" r:id="rId1163"/>
    <hyperlink xmlns:r="http://schemas.openxmlformats.org/officeDocument/2006/relationships" ref="W1169" r:id="rId1164"/>
    <hyperlink xmlns:r="http://schemas.openxmlformats.org/officeDocument/2006/relationships" ref="W1170" r:id="rId1165"/>
    <hyperlink xmlns:r="http://schemas.openxmlformats.org/officeDocument/2006/relationships" ref="W1171" r:id="rId1166"/>
    <hyperlink xmlns:r="http://schemas.openxmlformats.org/officeDocument/2006/relationships" ref="W1172" r:id="rId1167"/>
    <hyperlink xmlns:r="http://schemas.openxmlformats.org/officeDocument/2006/relationships" ref="W1173" r:id="rId1168"/>
    <hyperlink xmlns:r="http://schemas.openxmlformats.org/officeDocument/2006/relationships" ref="W1174" r:id="rId1169"/>
    <hyperlink xmlns:r="http://schemas.openxmlformats.org/officeDocument/2006/relationships" ref="W1175" r:id="rId1170"/>
    <hyperlink xmlns:r="http://schemas.openxmlformats.org/officeDocument/2006/relationships" ref="W1176" r:id="rId1171"/>
    <hyperlink xmlns:r="http://schemas.openxmlformats.org/officeDocument/2006/relationships" ref="W1177" r:id="rId1172"/>
    <hyperlink xmlns:r="http://schemas.openxmlformats.org/officeDocument/2006/relationships" ref="W1178" r:id="rId1173"/>
    <hyperlink xmlns:r="http://schemas.openxmlformats.org/officeDocument/2006/relationships" ref="W1179" r:id="rId1174"/>
    <hyperlink xmlns:r="http://schemas.openxmlformats.org/officeDocument/2006/relationships" ref="W1180" r:id="rId1175"/>
    <hyperlink xmlns:r="http://schemas.openxmlformats.org/officeDocument/2006/relationships" ref="W1181" r:id="rId1176"/>
    <hyperlink xmlns:r="http://schemas.openxmlformats.org/officeDocument/2006/relationships" ref="W1182" r:id="rId1177"/>
    <hyperlink xmlns:r="http://schemas.openxmlformats.org/officeDocument/2006/relationships" ref="W1183" r:id="rId1178"/>
    <hyperlink xmlns:r="http://schemas.openxmlformats.org/officeDocument/2006/relationships" ref="W1184" r:id="rId1179"/>
    <hyperlink xmlns:r="http://schemas.openxmlformats.org/officeDocument/2006/relationships" ref="W1185" r:id="rId1180"/>
    <hyperlink xmlns:r="http://schemas.openxmlformats.org/officeDocument/2006/relationships" ref="W1186" r:id="rId1181"/>
    <hyperlink xmlns:r="http://schemas.openxmlformats.org/officeDocument/2006/relationships" ref="W1187" r:id="rId1182"/>
    <hyperlink xmlns:r="http://schemas.openxmlformats.org/officeDocument/2006/relationships" ref="W1188" r:id="rId1183"/>
    <hyperlink xmlns:r="http://schemas.openxmlformats.org/officeDocument/2006/relationships" ref="W1189" r:id="rId1184"/>
    <hyperlink xmlns:r="http://schemas.openxmlformats.org/officeDocument/2006/relationships" ref="W1190" r:id="rId1185"/>
    <hyperlink xmlns:r="http://schemas.openxmlformats.org/officeDocument/2006/relationships" ref="W1191" r:id="rId1186"/>
    <hyperlink xmlns:r="http://schemas.openxmlformats.org/officeDocument/2006/relationships" ref="W1192" r:id="rId1187"/>
    <hyperlink xmlns:r="http://schemas.openxmlformats.org/officeDocument/2006/relationships" ref="W1193" r:id="rId1188"/>
    <hyperlink xmlns:r="http://schemas.openxmlformats.org/officeDocument/2006/relationships" ref="W1194" r:id="rId1189"/>
    <hyperlink xmlns:r="http://schemas.openxmlformats.org/officeDocument/2006/relationships" ref="W1195" r:id="rId1190"/>
    <hyperlink xmlns:r="http://schemas.openxmlformats.org/officeDocument/2006/relationships" ref="W1196" r:id="rId1191"/>
    <hyperlink xmlns:r="http://schemas.openxmlformats.org/officeDocument/2006/relationships" ref="W1197" r:id="rId1192"/>
    <hyperlink xmlns:r="http://schemas.openxmlformats.org/officeDocument/2006/relationships" ref="W1198" r:id="rId1193"/>
    <hyperlink xmlns:r="http://schemas.openxmlformats.org/officeDocument/2006/relationships" ref="W1199" r:id="rId1194"/>
    <hyperlink xmlns:r="http://schemas.openxmlformats.org/officeDocument/2006/relationships" ref="W1200" r:id="rId1195"/>
    <hyperlink xmlns:r="http://schemas.openxmlformats.org/officeDocument/2006/relationships" ref="W1201" r:id="rId1196"/>
    <hyperlink xmlns:r="http://schemas.openxmlformats.org/officeDocument/2006/relationships" ref="W1202" r:id="rId1197"/>
    <hyperlink xmlns:r="http://schemas.openxmlformats.org/officeDocument/2006/relationships" ref="W1203" r:id="rId1198"/>
    <hyperlink xmlns:r="http://schemas.openxmlformats.org/officeDocument/2006/relationships" ref="W1204" r:id="rId1199"/>
    <hyperlink xmlns:r="http://schemas.openxmlformats.org/officeDocument/2006/relationships" ref="W1205" r:id="rId1200"/>
    <hyperlink xmlns:r="http://schemas.openxmlformats.org/officeDocument/2006/relationships" ref="W1206" r:id="rId1201"/>
    <hyperlink xmlns:r="http://schemas.openxmlformats.org/officeDocument/2006/relationships" ref="W1207" r:id="rId1202"/>
    <hyperlink xmlns:r="http://schemas.openxmlformats.org/officeDocument/2006/relationships" ref="W1208" r:id="rId1203"/>
    <hyperlink xmlns:r="http://schemas.openxmlformats.org/officeDocument/2006/relationships" ref="W1209" r:id="rId1204"/>
    <hyperlink xmlns:r="http://schemas.openxmlformats.org/officeDocument/2006/relationships" ref="W1210" r:id="rId1205"/>
    <hyperlink xmlns:r="http://schemas.openxmlformats.org/officeDocument/2006/relationships" ref="W1211" r:id="rId1206"/>
    <hyperlink xmlns:r="http://schemas.openxmlformats.org/officeDocument/2006/relationships" ref="W1212" r:id="rId1207"/>
    <hyperlink xmlns:r="http://schemas.openxmlformats.org/officeDocument/2006/relationships" ref="W1213" r:id="rId1208"/>
    <hyperlink xmlns:r="http://schemas.openxmlformats.org/officeDocument/2006/relationships" ref="W1214" r:id="rId1209"/>
    <hyperlink xmlns:r="http://schemas.openxmlformats.org/officeDocument/2006/relationships" ref="W1215" r:id="rId1210"/>
    <hyperlink xmlns:r="http://schemas.openxmlformats.org/officeDocument/2006/relationships" ref="W1216" r:id="rId1211"/>
    <hyperlink xmlns:r="http://schemas.openxmlformats.org/officeDocument/2006/relationships" ref="W1217" r:id="rId1212"/>
    <hyperlink xmlns:r="http://schemas.openxmlformats.org/officeDocument/2006/relationships" ref="W1218" r:id="rId1213"/>
    <hyperlink xmlns:r="http://schemas.openxmlformats.org/officeDocument/2006/relationships" ref="W1219" r:id="rId1214"/>
    <hyperlink xmlns:r="http://schemas.openxmlformats.org/officeDocument/2006/relationships" ref="W1220" r:id="rId1215"/>
    <hyperlink xmlns:r="http://schemas.openxmlformats.org/officeDocument/2006/relationships" ref="W1221" r:id="rId1216"/>
    <hyperlink xmlns:r="http://schemas.openxmlformats.org/officeDocument/2006/relationships" ref="W1222" r:id="rId1217"/>
    <hyperlink xmlns:r="http://schemas.openxmlformats.org/officeDocument/2006/relationships" ref="W1223" r:id="rId1218"/>
    <hyperlink xmlns:r="http://schemas.openxmlformats.org/officeDocument/2006/relationships" ref="W1224" r:id="rId1219"/>
    <hyperlink xmlns:r="http://schemas.openxmlformats.org/officeDocument/2006/relationships" ref="W1225" r:id="rId1220"/>
    <hyperlink xmlns:r="http://schemas.openxmlformats.org/officeDocument/2006/relationships" ref="W1226" r:id="rId1221"/>
    <hyperlink xmlns:r="http://schemas.openxmlformats.org/officeDocument/2006/relationships" ref="W1227" r:id="rId1222"/>
    <hyperlink xmlns:r="http://schemas.openxmlformats.org/officeDocument/2006/relationships" ref="W1228" r:id="rId1223"/>
    <hyperlink xmlns:r="http://schemas.openxmlformats.org/officeDocument/2006/relationships" ref="W1229" r:id="rId1224"/>
    <hyperlink xmlns:r="http://schemas.openxmlformats.org/officeDocument/2006/relationships" ref="W1230" r:id="rId1225"/>
    <hyperlink xmlns:r="http://schemas.openxmlformats.org/officeDocument/2006/relationships" ref="W1231" r:id="rId1226"/>
    <hyperlink xmlns:r="http://schemas.openxmlformats.org/officeDocument/2006/relationships" ref="W1232" r:id="rId1227"/>
    <hyperlink xmlns:r="http://schemas.openxmlformats.org/officeDocument/2006/relationships" ref="W1233" r:id="rId1228"/>
    <hyperlink xmlns:r="http://schemas.openxmlformats.org/officeDocument/2006/relationships" ref="W1234" r:id="rId1229"/>
    <hyperlink xmlns:r="http://schemas.openxmlformats.org/officeDocument/2006/relationships" ref="W1235" r:id="rId1230"/>
    <hyperlink xmlns:r="http://schemas.openxmlformats.org/officeDocument/2006/relationships" ref="W1236" r:id="rId1231"/>
    <hyperlink xmlns:r="http://schemas.openxmlformats.org/officeDocument/2006/relationships" ref="W1237" r:id="rId1232"/>
    <hyperlink xmlns:r="http://schemas.openxmlformats.org/officeDocument/2006/relationships" ref="W1238" r:id="rId1233"/>
    <hyperlink xmlns:r="http://schemas.openxmlformats.org/officeDocument/2006/relationships" ref="W1239" r:id="rId1234"/>
    <hyperlink xmlns:r="http://schemas.openxmlformats.org/officeDocument/2006/relationships" ref="W1240" r:id="rId1235"/>
    <hyperlink xmlns:r="http://schemas.openxmlformats.org/officeDocument/2006/relationships" ref="W1241" r:id="rId1236"/>
    <hyperlink xmlns:r="http://schemas.openxmlformats.org/officeDocument/2006/relationships" ref="W1242" r:id="rId1237"/>
    <hyperlink xmlns:r="http://schemas.openxmlformats.org/officeDocument/2006/relationships" ref="W1243" r:id="rId1238"/>
    <hyperlink xmlns:r="http://schemas.openxmlformats.org/officeDocument/2006/relationships" ref="W1244" r:id="rId1239"/>
    <hyperlink xmlns:r="http://schemas.openxmlformats.org/officeDocument/2006/relationships" ref="W1245" r:id="rId1240"/>
    <hyperlink xmlns:r="http://schemas.openxmlformats.org/officeDocument/2006/relationships" ref="W1246" r:id="rId1241"/>
    <hyperlink xmlns:r="http://schemas.openxmlformats.org/officeDocument/2006/relationships" ref="W1247" r:id="rId1242"/>
    <hyperlink xmlns:r="http://schemas.openxmlformats.org/officeDocument/2006/relationships" ref="W1248" r:id="rId1243"/>
    <hyperlink xmlns:r="http://schemas.openxmlformats.org/officeDocument/2006/relationships" ref="W1249" r:id="rId1244"/>
    <hyperlink xmlns:r="http://schemas.openxmlformats.org/officeDocument/2006/relationships" ref="W1250" r:id="rId1245"/>
    <hyperlink xmlns:r="http://schemas.openxmlformats.org/officeDocument/2006/relationships" ref="W1251" r:id="rId1246"/>
    <hyperlink xmlns:r="http://schemas.openxmlformats.org/officeDocument/2006/relationships" ref="W1252" r:id="rId1247"/>
    <hyperlink xmlns:r="http://schemas.openxmlformats.org/officeDocument/2006/relationships" ref="W1253" r:id="rId1248"/>
    <hyperlink xmlns:r="http://schemas.openxmlformats.org/officeDocument/2006/relationships" ref="W1254" r:id="rId1249"/>
    <hyperlink xmlns:r="http://schemas.openxmlformats.org/officeDocument/2006/relationships" ref="W1255" r:id="rId1250"/>
    <hyperlink xmlns:r="http://schemas.openxmlformats.org/officeDocument/2006/relationships" ref="W1256" r:id="rId1251"/>
    <hyperlink xmlns:r="http://schemas.openxmlformats.org/officeDocument/2006/relationships" ref="W1257" r:id="rId1252"/>
    <hyperlink xmlns:r="http://schemas.openxmlformats.org/officeDocument/2006/relationships" ref="W1258" r:id="rId1253"/>
    <hyperlink xmlns:r="http://schemas.openxmlformats.org/officeDocument/2006/relationships" ref="W1259" r:id="rId1254"/>
    <hyperlink xmlns:r="http://schemas.openxmlformats.org/officeDocument/2006/relationships" ref="W1260" r:id="rId1255"/>
    <hyperlink xmlns:r="http://schemas.openxmlformats.org/officeDocument/2006/relationships" ref="W1261" r:id="rId1256"/>
    <hyperlink xmlns:r="http://schemas.openxmlformats.org/officeDocument/2006/relationships" ref="W1262" r:id="rId1257"/>
    <hyperlink xmlns:r="http://schemas.openxmlformats.org/officeDocument/2006/relationships" ref="W1263" r:id="rId1258"/>
    <hyperlink xmlns:r="http://schemas.openxmlformats.org/officeDocument/2006/relationships" ref="W1264" r:id="rId1259"/>
    <hyperlink xmlns:r="http://schemas.openxmlformats.org/officeDocument/2006/relationships" ref="W1265" r:id="rId1260"/>
    <hyperlink xmlns:r="http://schemas.openxmlformats.org/officeDocument/2006/relationships" ref="W1266" r:id="rId1261"/>
    <hyperlink xmlns:r="http://schemas.openxmlformats.org/officeDocument/2006/relationships" ref="W1267" r:id="rId1262"/>
    <hyperlink xmlns:r="http://schemas.openxmlformats.org/officeDocument/2006/relationships" ref="W1268" r:id="rId1263"/>
    <hyperlink xmlns:r="http://schemas.openxmlformats.org/officeDocument/2006/relationships" ref="W1269" r:id="rId1264"/>
    <hyperlink xmlns:r="http://schemas.openxmlformats.org/officeDocument/2006/relationships" ref="W1270" r:id="rId1265"/>
    <hyperlink xmlns:r="http://schemas.openxmlformats.org/officeDocument/2006/relationships" ref="W1271" r:id="rId1266"/>
    <hyperlink xmlns:r="http://schemas.openxmlformats.org/officeDocument/2006/relationships" ref="W1272" r:id="rId1267"/>
    <hyperlink xmlns:r="http://schemas.openxmlformats.org/officeDocument/2006/relationships" ref="W1273" r:id="rId1268"/>
    <hyperlink xmlns:r="http://schemas.openxmlformats.org/officeDocument/2006/relationships" ref="W1274" r:id="rId1269"/>
    <hyperlink xmlns:r="http://schemas.openxmlformats.org/officeDocument/2006/relationships" ref="W1275" r:id="rId1270"/>
    <hyperlink xmlns:r="http://schemas.openxmlformats.org/officeDocument/2006/relationships" ref="W1276" r:id="rId1271"/>
    <hyperlink xmlns:r="http://schemas.openxmlformats.org/officeDocument/2006/relationships" ref="W1277" r:id="rId1272"/>
    <hyperlink xmlns:r="http://schemas.openxmlformats.org/officeDocument/2006/relationships" ref="W1278" r:id="rId1273"/>
    <hyperlink xmlns:r="http://schemas.openxmlformats.org/officeDocument/2006/relationships" ref="W1279" r:id="rId1274"/>
    <hyperlink xmlns:r="http://schemas.openxmlformats.org/officeDocument/2006/relationships" ref="W1280" r:id="rId1275"/>
    <hyperlink xmlns:r="http://schemas.openxmlformats.org/officeDocument/2006/relationships" ref="W1281" r:id="rId1276"/>
    <hyperlink xmlns:r="http://schemas.openxmlformats.org/officeDocument/2006/relationships" ref="W1282" r:id="rId1277"/>
    <hyperlink xmlns:r="http://schemas.openxmlformats.org/officeDocument/2006/relationships" ref="W1283" r:id="rId1278"/>
    <hyperlink xmlns:r="http://schemas.openxmlformats.org/officeDocument/2006/relationships" ref="W1284" r:id="rId1279"/>
    <hyperlink xmlns:r="http://schemas.openxmlformats.org/officeDocument/2006/relationships" ref="W1285" r:id="rId1280"/>
    <hyperlink xmlns:r="http://schemas.openxmlformats.org/officeDocument/2006/relationships" ref="W1286" r:id="rId1281"/>
    <hyperlink xmlns:r="http://schemas.openxmlformats.org/officeDocument/2006/relationships" ref="W1287" r:id="rId1282"/>
    <hyperlink xmlns:r="http://schemas.openxmlformats.org/officeDocument/2006/relationships" ref="W1288" r:id="rId1283"/>
    <hyperlink xmlns:r="http://schemas.openxmlformats.org/officeDocument/2006/relationships" ref="W1289" r:id="rId1284"/>
    <hyperlink xmlns:r="http://schemas.openxmlformats.org/officeDocument/2006/relationships" ref="W1290" r:id="rId1285"/>
    <hyperlink xmlns:r="http://schemas.openxmlformats.org/officeDocument/2006/relationships" ref="W1291" r:id="rId1286"/>
    <hyperlink xmlns:r="http://schemas.openxmlformats.org/officeDocument/2006/relationships" ref="W1292" r:id="rId1287"/>
    <hyperlink xmlns:r="http://schemas.openxmlformats.org/officeDocument/2006/relationships" ref="W1293" r:id="rId1288"/>
    <hyperlink xmlns:r="http://schemas.openxmlformats.org/officeDocument/2006/relationships" ref="W1294" r:id="rId1289"/>
    <hyperlink xmlns:r="http://schemas.openxmlformats.org/officeDocument/2006/relationships" ref="W1295" r:id="rId1290"/>
    <hyperlink xmlns:r="http://schemas.openxmlformats.org/officeDocument/2006/relationships" ref="W1296" r:id="rId1291"/>
    <hyperlink xmlns:r="http://schemas.openxmlformats.org/officeDocument/2006/relationships" ref="W1297" r:id="rId1292"/>
    <hyperlink xmlns:r="http://schemas.openxmlformats.org/officeDocument/2006/relationships" ref="W1298" r:id="rId1293"/>
    <hyperlink xmlns:r="http://schemas.openxmlformats.org/officeDocument/2006/relationships" ref="W1299" r:id="rId1294"/>
    <hyperlink xmlns:r="http://schemas.openxmlformats.org/officeDocument/2006/relationships" ref="W1300" r:id="rId1295"/>
    <hyperlink xmlns:r="http://schemas.openxmlformats.org/officeDocument/2006/relationships" ref="W1301" r:id="rId1296"/>
    <hyperlink xmlns:r="http://schemas.openxmlformats.org/officeDocument/2006/relationships" ref="W1302" r:id="rId1297"/>
    <hyperlink xmlns:r="http://schemas.openxmlformats.org/officeDocument/2006/relationships" ref="W1303" r:id="rId1298"/>
    <hyperlink xmlns:r="http://schemas.openxmlformats.org/officeDocument/2006/relationships" ref="W1304" r:id="rId1299"/>
    <hyperlink xmlns:r="http://schemas.openxmlformats.org/officeDocument/2006/relationships" ref="W1305" r:id="rId1300"/>
    <hyperlink xmlns:r="http://schemas.openxmlformats.org/officeDocument/2006/relationships" ref="W1306" r:id="rId1301"/>
    <hyperlink xmlns:r="http://schemas.openxmlformats.org/officeDocument/2006/relationships" ref="W1307" r:id="rId1302"/>
    <hyperlink xmlns:r="http://schemas.openxmlformats.org/officeDocument/2006/relationships" ref="W1308" r:id="rId1303"/>
    <hyperlink xmlns:r="http://schemas.openxmlformats.org/officeDocument/2006/relationships" ref="W1309" r:id="rId1304"/>
    <hyperlink xmlns:r="http://schemas.openxmlformats.org/officeDocument/2006/relationships" ref="W1310" r:id="rId1305"/>
    <hyperlink xmlns:r="http://schemas.openxmlformats.org/officeDocument/2006/relationships" ref="W1311" r:id="rId1306"/>
    <hyperlink xmlns:r="http://schemas.openxmlformats.org/officeDocument/2006/relationships" ref="W1312" r:id="rId1307"/>
    <hyperlink xmlns:r="http://schemas.openxmlformats.org/officeDocument/2006/relationships" ref="W1313" r:id="rId1308"/>
    <hyperlink xmlns:r="http://schemas.openxmlformats.org/officeDocument/2006/relationships" ref="W1314" r:id="rId1309"/>
    <hyperlink xmlns:r="http://schemas.openxmlformats.org/officeDocument/2006/relationships" ref="W1315" r:id="rId1310"/>
    <hyperlink xmlns:r="http://schemas.openxmlformats.org/officeDocument/2006/relationships" ref="W1316" r:id="rId1311"/>
    <hyperlink xmlns:r="http://schemas.openxmlformats.org/officeDocument/2006/relationships" ref="W1317" r:id="rId1312"/>
    <hyperlink xmlns:r="http://schemas.openxmlformats.org/officeDocument/2006/relationships" ref="W1318" r:id="rId1313"/>
    <hyperlink xmlns:r="http://schemas.openxmlformats.org/officeDocument/2006/relationships" ref="W1319" r:id="rId1314"/>
    <hyperlink xmlns:r="http://schemas.openxmlformats.org/officeDocument/2006/relationships" ref="W1320" r:id="rId1315"/>
    <hyperlink xmlns:r="http://schemas.openxmlformats.org/officeDocument/2006/relationships" ref="W1321" r:id="rId1316"/>
    <hyperlink xmlns:r="http://schemas.openxmlformats.org/officeDocument/2006/relationships" ref="W1322" r:id="rId1317"/>
    <hyperlink xmlns:r="http://schemas.openxmlformats.org/officeDocument/2006/relationships" ref="W1323" r:id="rId1318"/>
    <hyperlink xmlns:r="http://schemas.openxmlformats.org/officeDocument/2006/relationships" ref="W1324" r:id="rId1319"/>
    <hyperlink xmlns:r="http://schemas.openxmlformats.org/officeDocument/2006/relationships" ref="W1325" r:id="rId1320"/>
    <hyperlink xmlns:r="http://schemas.openxmlformats.org/officeDocument/2006/relationships" ref="W1326" r:id="rId1321"/>
    <hyperlink xmlns:r="http://schemas.openxmlformats.org/officeDocument/2006/relationships" ref="W1327" r:id="rId1322"/>
    <hyperlink xmlns:r="http://schemas.openxmlformats.org/officeDocument/2006/relationships" ref="W1328" r:id="rId1323"/>
    <hyperlink xmlns:r="http://schemas.openxmlformats.org/officeDocument/2006/relationships" ref="W1329" r:id="rId1324"/>
    <hyperlink xmlns:r="http://schemas.openxmlformats.org/officeDocument/2006/relationships" ref="W1330" r:id="rId1325"/>
    <hyperlink xmlns:r="http://schemas.openxmlformats.org/officeDocument/2006/relationships" ref="W1331" r:id="rId1326"/>
    <hyperlink xmlns:r="http://schemas.openxmlformats.org/officeDocument/2006/relationships" ref="W1332" r:id="rId1327"/>
    <hyperlink xmlns:r="http://schemas.openxmlformats.org/officeDocument/2006/relationships" ref="W1333" r:id="rId1328"/>
    <hyperlink xmlns:r="http://schemas.openxmlformats.org/officeDocument/2006/relationships" ref="W1334" r:id="rId1329"/>
    <hyperlink xmlns:r="http://schemas.openxmlformats.org/officeDocument/2006/relationships" ref="W1335" r:id="rId1330"/>
    <hyperlink xmlns:r="http://schemas.openxmlformats.org/officeDocument/2006/relationships" ref="W1336" r:id="rId1331"/>
    <hyperlink xmlns:r="http://schemas.openxmlformats.org/officeDocument/2006/relationships" ref="W1337" r:id="rId1332"/>
    <hyperlink xmlns:r="http://schemas.openxmlformats.org/officeDocument/2006/relationships" ref="W1338" r:id="rId1333"/>
    <hyperlink xmlns:r="http://schemas.openxmlformats.org/officeDocument/2006/relationships" ref="W1339" r:id="rId1334"/>
    <hyperlink xmlns:r="http://schemas.openxmlformats.org/officeDocument/2006/relationships" ref="W1340" r:id="rId1335"/>
    <hyperlink xmlns:r="http://schemas.openxmlformats.org/officeDocument/2006/relationships" ref="W1341" r:id="rId1336"/>
    <hyperlink xmlns:r="http://schemas.openxmlformats.org/officeDocument/2006/relationships" ref="W1342" r:id="rId1337"/>
    <hyperlink xmlns:r="http://schemas.openxmlformats.org/officeDocument/2006/relationships" ref="W1343" r:id="rId1338"/>
    <hyperlink xmlns:r="http://schemas.openxmlformats.org/officeDocument/2006/relationships" ref="W1344" r:id="rId1339"/>
    <hyperlink xmlns:r="http://schemas.openxmlformats.org/officeDocument/2006/relationships" ref="W1345" r:id="rId1340"/>
    <hyperlink xmlns:r="http://schemas.openxmlformats.org/officeDocument/2006/relationships" ref="W1346" r:id="rId1341"/>
    <hyperlink xmlns:r="http://schemas.openxmlformats.org/officeDocument/2006/relationships" ref="W1347" r:id="rId1342"/>
    <hyperlink xmlns:r="http://schemas.openxmlformats.org/officeDocument/2006/relationships" ref="W1348" r:id="rId1343"/>
    <hyperlink xmlns:r="http://schemas.openxmlformats.org/officeDocument/2006/relationships" ref="W1349" r:id="rId1344"/>
    <hyperlink xmlns:r="http://schemas.openxmlformats.org/officeDocument/2006/relationships" ref="W1350" r:id="rId1345"/>
    <hyperlink xmlns:r="http://schemas.openxmlformats.org/officeDocument/2006/relationships" ref="W1351" r:id="rId1346"/>
    <hyperlink xmlns:r="http://schemas.openxmlformats.org/officeDocument/2006/relationships" ref="W1352" r:id="rId1347"/>
    <hyperlink xmlns:r="http://schemas.openxmlformats.org/officeDocument/2006/relationships" ref="W1353" r:id="rId1348"/>
    <hyperlink xmlns:r="http://schemas.openxmlformats.org/officeDocument/2006/relationships" ref="W1354" r:id="rId1349"/>
    <hyperlink xmlns:r="http://schemas.openxmlformats.org/officeDocument/2006/relationships" ref="W1355" r:id="rId1350"/>
    <hyperlink xmlns:r="http://schemas.openxmlformats.org/officeDocument/2006/relationships" ref="W1356" r:id="rId1351"/>
    <hyperlink xmlns:r="http://schemas.openxmlformats.org/officeDocument/2006/relationships" ref="W1357" r:id="rId1352"/>
    <hyperlink xmlns:r="http://schemas.openxmlformats.org/officeDocument/2006/relationships" ref="W1358" r:id="rId1353"/>
    <hyperlink xmlns:r="http://schemas.openxmlformats.org/officeDocument/2006/relationships" ref="W1359" r:id="rId1354"/>
    <hyperlink xmlns:r="http://schemas.openxmlformats.org/officeDocument/2006/relationships" ref="W1360" r:id="rId1355"/>
    <hyperlink xmlns:r="http://schemas.openxmlformats.org/officeDocument/2006/relationships" ref="W1361" r:id="rId1356"/>
    <hyperlink xmlns:r="http://schemas.openxmlformats.org/officeDocument/2006/relationships" ref="W1362" r:id="rId1357"/>
    <hyperlink xmlns:r="http://schemas.openxmlformats.org/officeDocument/2006/relationships" ref="W1363" r:id="rId1358"/>
    <hyperlink xmlns:r="http://schemas.openxmlformats.org/officeDocument/2006/relationships" ref="W1364" r:id="rId1359"/>
    <hyperlink xmlns:r="http://schemas.openxmlformats.org/officeDocument/2006/relationships" ref="W1365" r:id="rId1360"/>
    <hyperlink xmlns:r="http://schemas.openxmlformats.org/officeDocument/2006/relationships" ref="W1366" r:id="rId1361"/>
    <hyperlink xmlns:r="http://schemas.openxmlformats.org/officeDocument/2006/relationships" ref="W1367" r:id="rId1362"/>
    <hyperlink xmlns:r="http://schemas.openxmlformats.org/officeDocument/2006/relationships" ref="W1368" r:id="rId1363"/>
    <hyperlink xmlns:r="http://schemas.openxmlformats.org/officeDocument/2006/relationships" ref="W1369" r:id="rId1364"/>
    <hyperlink xmlns:r="http://schemas.openxmlformats.org/officeDocument/2006/relationships" ref="W1370" r:id="rId1365"/>
    <hyperlink xmlns:r="http://schemas.openxmlformats.org/officeDocument/2006/relationships" ref="W1371" r:id="rId1366"/>
    <hyperlink xmlns:r="http://schemas.openxmlformats.org/officeDocument/2006/relationships" ref="W1372" r:id="rId1367"/>
    <hyperlink xmlns:r="http://schemas.openxmlformats.org/officeDocument/2006/relationships" ref="W1373" r:id="rId1368"/>
    <hyperlink xmlns:r="http://schemas.openxmlformats.org/officeDocument/2006/relationships" ref="W1374" r:id="rId1369"/>
    <hyperlink xmlns:r="http://schemas.openxmlformats.org/officeDocument/2006/relationships" ref="W1375" r:id="rId1370"/>
    <hyperlink xmlns:r="http://schemas.openxmlformats.org/officeDocument/2006/relationships" ref="W1376" r:id="rId1371"/>
    <hyperlink xmlns:r="http://schemas.openxmlformats.org/officeDocument/2006/relationships" ref="W1377" r:id="rId1372"/>
    <hyperlink xmlns:r="http://schemas.openxmlformats.org/officeDocument/2006/relationships" ref="W1378" r:id="rId1373"/>
    <hyperlink xmlns:r="http://schemas.openxmlformats.org/officeDocument/2006/relationships" ref="W1379" r:id="rId1374"/>
    <hyperlink xmlns:r="http://schemas.openxmlformats.org/officeDocument/2006/relationships" ref="W1380" r:id="rId1375"/>
    <hyperlink xmlns:r="http://schemas.openxmlformats.org/officeDocument/2006/relationships" ref="W1381" r:id="rId1376"/>
    <hyperlink xmlns:r="http://schemas.openxmlformats.org/officeDocument/2006/relationships" ref="W1382" r:id="rId1377"/>
    <hyperlink xmlns:r="http://schemas.openxmlformats.org/officeDocument/2006/relationships" ref="W1383" r:id="rId1378"/>
  </hyperlink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COUNTIF('架電リスト'!$B$5:$B$1382,A4)</f>
        <v/>
      </c>
      <c r="C4" s="16">
        <f>COUNTIFS('架電リスト'!$B$5:$B$1382,A4,'架電リスト'!$E$5:$E$1382,"&lt;&gt;")</f>
        <v/>
      </c>
      <c r="D4" s="16">
        <f>B4-COUNTIFS('架電リスト'!$B$5:$B$1382,A4,'架電リスト'!$J$5:$J$1382,"未架電")-COUNTIFS('架電リスト'!$B$5:$B$1382,A4,'架電リスト'!$J$5:$J$1382,"")</f>
        <v/>
      </c>
      <c r="E4" s="16">
        <f>COUNTIFS('架電リスト'!$B$5:$B$1382,$A4,'架電リスト'!$J$5:$J$1382,"不在・折返し待ち")</f>
        <v/>
      </c>
      <c r="F4" s="16">
        <f>COUNTIFS('架電リスト'!$B$5:$B$1382,$A4,'架電リスト'!$J$5:$J$1382,"担当者不在")</f>
        <v/>
      </c>
      <c r="G4" s="16">
        <f>COUNTIFS('架電リスト'!$B$5:$B$1382,$A4,'架電リスト'!$J$5:$J$1382,"資料送付")</f>
        <v/>
      </c>
      <c r="H4" s="16">
        <f>COUNTIFS('架電リスト'!$B$5:$B$1382,$A4,'架電リスト'!$J$5:$J$1382,"アポ獲得")</f>
        <v/>
      </c>
      <c r="I4" s="16">
        <f>COUNTIFS('架電リスト'!$B$5:$B$1382,$A4,'架電リスト'!$J$5:$J$1382,"検討中")</f>
        <v/>
      </c>
      <c r="J4" s="16">
        <f>COUNTIFS('架電リスト'!$B$5:$B$1382,$A4,'架電リスト'!$J$5:$J$1382,"NG")</f>
        <v/>
      </c>
      <c r="K4" s="16">
        <f>COUNTIFS('架電リスト'!$B$5:$B$1382,$A4,'架電リスト'!$J$5:$J$1382,"番号不明")</f>
        <v/>
      </c>
    </row>
    <row r="5">
      <c r="A5" s="16" t="inlineStr">
        <is>
          <t>青森県</t>
        </is>
      </c>
      <c r="B5" s="16">
        <f>COUNTIF('架電リスト'!$B$5:$B$1382,A5)</f>
        <v/>
      </c>
      <c r="C5" s="16">
        <f>COUNTIFS('架電リスト'!$B$5:$B$1382,A5,'架電リスト'!$E$5:$E$1382,"&lt;&gt;")</f>
        <v/>
      </c>
      <c r="D5" s="16">
        <f>B5-COUNTIFS('架電リスト'!$B$5:$B$1382,A5,'架電リスト'!$J$5:$J$1382,"未架電")-COUNTIFS('架電リスト'!$B$5:$B$1382,A5,'架電リスト'!$J$5:$J$1382,"")</f>
        <v/>
      </c>
      <c r="E5" s="16">
        <f>COUNTIFS('架電リスト'!$B$5:$B$1382,$A5,'架電リスト'!$J$5:$J$1382,"不在・折返し待ち")</f>
        <v/>
      </c>
      <c r="F5" s="16">
        <f>COUNTIFS('架電リスト'!$B$5:$B$1382,$A5,'架電リスト'!$J$5:$J$1382,"担当者不在")</f>
        <v/>
      </c>
      <c r="G5" s="16">
        <f>COUNTIFS('架電リスト'!$B$5:$B$1382,$A5,'架電リスト'!$J$5:$J$1382,"資料送付")</f>
        <v/>
      </c>
      <c r="H5" s="16">
        <f>COUNTIFS('架電リスト'!$B$5:$B$1382,$A5,'架電リスト'!$J$5:$J$1382,"アポ獲得")</f>
        <v/>
      </c>
      <c r="I5" s="16">
        <f>COUNTIFS('架電リスト'!$B$5:$B$1382,$A5,'架電リスト'!$J$5:$J$1382,"検討中")</f>
        <v/>
      </c>
      <c r="J5" s="16">
        <f>COUNTIFS('架電リスト'!$B$5:$B$1382,$A5,'架電リスト'!$J$5:$J$1382,"NG")</f>
        <v/>
      </c>
      <c r="K5" s="16">
        <f>COUNTIFS('架電リスト'!$B$5:$B$1382,$A5,'架電リスト'!$J$5:$J$1382,"番号不明")</f>
        <v/>
      </c>
    </row>
    <row r="6">
      <c r="A6" s="16" t="inlineStr">
        <is>
          <t>岩手県</t>
        </is>
      </c>
      <c r="B6" s="16">
        <f>COUNTIF('架電リスト'!$B$5:$B$1382,A6)</f>
        <v/>
      </c>
      <c r="C6" s="16">
        <f>COUNTIFS('架電リスト'!$B$5:$B$1382,A6,'架電リスト'!$E$5:$E$1382,"&lt;&gt;")</f>
        <v/>
      </c>
      <c r="D6" s="16">
        <f>B6-COUNTIFS('架電リスト'!$B$5:$B$1382,A6,'架電リスト'!$J$5:$J$1382,"未架電")-COUNTIFS('架電リスト'!$B$5:$B$1382,A6,'架電リスト'!$J$5:$J$1382,"")</f>
        <v/>
      </c>
      <c r="E6" s="16">
        <f>COUNTIFS('架電リスト'!$B$5:$B$1382,$A6,'架電リスト'!$J$5:$J$1382,"不在・折返し待ち")</f>
        <v/>
      </c>
      <c r="F6" s="16">
        <f>COUNTIFS('架電リスト'!$B$5:$B$1382,$A6,'架電リスト'!$J$5:$J$1382,"担当者不在")</f>
        <v/>
      </c>
      <c r="G6" s="16">
        <f>COUNTIFS('架電リスト'!$B$5:$B$1382,$A6,'架電リスト'!$J$5:$J$1382,"資料送付")</f>
        <v/>
      </c>
      <c r="H6" s="16">
        <f>COUNTIFS('架電リスト'!$B$5:$B$1382,$A6,'架電リスト'!$J$5:$J$1382,"アポ獲得")</f>
        <v/>
      </c>
      <c r="I6" s="16">
        <f>COUNTIFS('架電リスト'!$B$5:$B$1382,$A6,'架電リスト'!$J$5:$J$1382,"検討中")</f>
        <v/>
      </c>
      <c r="J6" s="16">
        <f>COUNTIFS('架電リスト'!$B$5:$B$1382,$A6,'架電リスト'!$J$5:$J$1382,"NG")</f>
        <v/>
      </c>
      <c r="K6" s="16">
        <f>COUNTIFS('架電リスト'!$B$5:$B$1382,$A6,'架電リスト'!$J$5:$J$1382,"番号不明")</f>
        <v/>
      </c>
    </row>
    <row r="7">
      <c r="A7" s="16" t="inlineStr">
        <is>
          <t>宮城県</t>
        </is>
      </c>
      <c r="B7" s="16">
        <f>COUNTIF('架電リスト'!$B$5:$B$1382,A7)</f>
        <v/>
      </c>
      <c r="C7" s="16">
        <f>COUNTIFS('架電リスト'!$B$5:$B$1382,A7,'架電リスト'!$E$5:$E$1382,"&lt;&gt;")</f>
        <v/>
      </c>
      <c r="D7" s="16">
        <f>B7-COUNTIFS('架電リスト'!$B$5:$B$1382,A7,'架電リスト'!$J$5:$J$1382,"未架電")-COUNTIFS('架電リスト'!$B$5:$B$1382,A7,'架電リスト'!$J$5:$J$1382,"")</f>
        <v/>
      </c>
      <c r="E7" s="16">
        <f>COUNTIFS('架電リスト'!$B$5:$B$1382,$A7,'架電リスト'!$J$5:$J$1382,"不在・折返し待ち")</f>
        <v/>
      </c>
      <c r="F7" s="16">
        <f>COUNTIFS('架電リスト'!$B$5:$B$1382,$A7,'架電リスト'!$J$5:$J$1382,"担当者不在")</f>
        <v/>
      </c>
      <c r="G7" s="16">
        <f>COUNTIFS('架電リスト'!$B$5:$B$1382,$A7,'架電リスト'!$J$5:$J$1382,"資料送付")</f>
        <v/>
      </c>
      <c r="H7" s="16">
        <f>COUNTIFS('架電リスト'!$B$5:$B$1382,$A7,'架電リスト'!$J$5:$J$1382,"アポ獲得")</f>
        <v/>
      </c>
      <c r="I7" s="16">
        <f>COUNTIFS('架電リスト'!$B$5:$B$1382,$A7,'架電リスト'!$J$5:$J$1382,"検討中")</f>
        <v/>
      </c>
      <c r="J7" s="16">
        <f>COUNTIFS('架電リスト'!$B$5:$B$1382,$A7,'架電リスト'!$J$5:$J$1382,"NG")</f>
        <v/>
      </c>
      <c r="K7" s="16">
        <f>COUNTIFS('架電リスト'!$B$5:$B$1382,$A7,'架電リスト'!$J$5:$J$1382,"番号不明")</f>
        <v/>
      </c>
    </row>
    <row r="8">
      <c r="A8" s="16" t="inlineStr">
        <is>
          <t>秋田県</t>
        </is>
      </c>
      <c r="B8" s="16">
        <f>COUNTIF('架電リスト'!$B$5:$B$1382,A8)</f>
        <v/>
      </c>
      <c r="C8" s="16">
        <f>COUNTIFS('架電リスト'!$B$5:$B$1382,A8,'架電リスト'!$E$5:$E$1382,"&lt;&gt;")</f>
        <v/>
      </c>
      <c r="D8" s="16">
        <f>B8-COUNTIFS('架電リスト'!$B$5:$B$1382,A8,'架電リスト'!$J$5:$J$1382,"未架電")-COUNTIFS('架電リスト'!$B$5:$B$1382,A8,'架電リスト'!$J$5:$J$1382,"")</f>
        <v/>
      </c>
      <c r="E8" s="16">
        <f>COUNTIFS('架電リスト'!$B$5:$B$1382,$A8,'架電リスト'!$J$5:$J$1382,"不在・折返し待ち")</f>
        <v/>
      </c>
      <c r="F8" s="16">
        <f>COUNTIFS('架電リスト'!$B$5:$B$1382,$A8,'架電リスト'!$J$5:$J$1382,"担当者不在")</f>
        <v/>
      </c>
      <c r="G8" s="16">
        <f>COUNTIFS('架電リスト'!$B$5:$B$1382,$A8,'架電リスト'!$J$5:$J$1382,"資料送付")</f>
        <v/>
      </c>
      <c r="H8" s="16">
        <f>COUNTIFS('架電リスト'!$B$5:$B$1382,$A8,'架電リスト'!$J$5:$J$1382,"アポ獲得")</f>
        <v/>
      </c>
      <c r="I8" s="16">
        <f>COUNTIFS('架電リスト'!$B$5:$B$1382,$A8,'架電リスト'!$J$5:$J$1382,"検討中")</f>
        <v/>
      </c>
      <c r="J8" s="16">
        <f>COUNTIFS('架電リスト'!$B$5:$B$1382,$A8,'架電リスト'!$J$5:$J$1382,"NG")</f>
        <v/>
      </c>
      <c r="K8" s="16">
        <f>COUNTIFS('架電リスト'!$B$5:$B$1382,$A8,'架電リスト'!$J$5:$J$1382,"番号不明")</f>
        <v/>
      </c>
    </row>
    <row r="9">
      <c r="A9" s="16" t="inlineStr">
        <is>
          <t>山形県</t>
        </is>
      </c>
      <c r="B9" s="16">
        <f>COUNTIF('架電リスト'!$B$5:$B$1382,A9)</f>
        <v/>
      </c>
      <c r="C9" s="16">
        <f>COUNTIFS('架電リスト'!$B$5:$B$1382,A9,'架電リスト'!$E$5:$E$1382,"&lt;&gt;")</f>
        <v/>
      </c>
      <c r="D9" s="16">
        <f>B9-COUNTIFS('架電リスト'!$B$5:$B$1382,A9,'架電リスト'!$J$5:$J$1382,"未架電")-COUNTIFS('架電リスト'!$B$5:$B$1382,A9,'架電リスト'!$J$5:$J$1382,"")</f>
        <v/>
      </c>
      <c r="E9" s="16">
        <f>COUNTIFS('架電リスト'!$B$5:$B$1382,$A9,'架電リスト'!$J$5:$J$1382,"不在・折返し待ち")</f>
        <v/>
      </c>
      <c r="F9" s="16">
        <f>COUNTIFS('架電リスト'!$B$5:$B$1382,$A9,'架電リスト'!$J$5:$J$1382,"担当者不在")</f>
        <v/>
      </c>
      <c r="G9" s="16">
        <f>COUNTIFS('架電リスト'!$B$5:$B$1382,$A9,'架電リスト'!$J$5:$J$1382,"資料送付")</f>
        <v/>
      </c>
      <c r="H9" s="16">
        <f>COUNTIFS('架電リスト'!$B$5:$B$1382,$A9,'架電リスト'!$J$5:$J$1382,"アポ獲得")</f>
        <v/>
      </c>
      <c r="I9" s="16">
        <f>COUNTIFS('架電リスト'!$B$5:$B$1382,$A9,'架電リスト'!$J$5:$J$1382,"検討中")</f>
        <v/>
      </c>
      <c r="J9" s="16">
        <f>COUNTIFS('架電リスト'!$B$5:$B$1382,$A9,'架電リスト'!$J$5:$J$1382,"NG")</f>
        <v/>
      </c>
      <c r="K9" s="16">
        <f>COUNTIFS('架電リスト'!$B$5:$B$1382,$A9,'架電リスト'!$J$5:$J$1382,"番号不明")</f>
        <v/>
      </c>
    </row>
    <row r="10">
      <c r="A10" s="16" t="inlineStr">
        <is>
          <t>福島県</t>
        </is>
      </c>
      <c r="B10" s="16">
        <f>COUNTIF('架電リスト'!$B$5:$B$1382,A10)</f>
        <v/>
      </c>
      <c r="C10" s="16">
        <f>COUNTIFS('架電リスト'!$B$5:$B$1382,A10,'架電リスト'!$E$5:$E$1382,"&lt;&gt;")</f>
        <v/>
      </c>
      <c r="D10" s="16">
        <f>B10-COUNTIFS('架電リスト'!$B$5:$B$1382,A10,'架電リスト'!$J$5:$J$1382,"未架電")-COUNTIFS('架電リスト'!$B$5:$B$1382,A10,'架電リスト'!$J$5:$J$1382,"")</f>
        <v/>
      </c>
      <c r="E10" s="16">
        <f>COUNTIFS('架電リスト'!$B$5:$B$1382,$A10,'架電リスト'!$J$5:$J$1382,"不在・折返し待ち")</f>
        <v/>
      </c>
      <c r="F10" s="16">
        <f>COUNTIFS('架電リスト'!$B$5:$B$1382,$A10,'架電リスト'!$J$5:$J$1382,"担当者不在")</f>
        <v/>
      </c>
      <c r="G10" s="16">
        <f>COUNTIFS('架電リスト'!$B$5:$B$1382,$A10,'架電リスト'!$J$5:$J$1382,"資料送付")</f>
        <v/>
      </c>
      <c r="H10" s="16">
        <f>COUNTIFS('架電リスト'!$B$5:$B$1382,$A10,'架電リスト'!$J$5:$J$1382,"アポ獲得")</f>
        <v/>
      </c>
      <c r="I10" s="16">
        <f>COUNTIFS('架電リスト'!$B$5:$B$1382,$A10,'架電リスト'!$J$5:$J$1382,"検討中")</f>
        <v/>
      </c>
      <c r="J10" s="16">
        <f>COUNTIFS('架電リスト'!$B$5:$B$1382,$A10,'架電リスト'!$J$5:$J$1382,"NG")</f>
        <v/>
      </c>
      <c r="K10" s="16">
        <f>COUNTIFS('架電リスト'!$B$5:$B$1382,$A10,'架電リスト'!$J$5:$J$1382,"番号不明")</f>
        <v/>
      </c>
    </row>
    <row r="11">
      <c r="A11" s="16" t="inlineStr">
        <is>
          <t>茨城県</t>
        </is>
      </c>
      <c r="B11" s="16">
        <f>COUNTIF('架電リスト'!$B$5:$B$1382,A11)</f>
        <v/>
      </c>
      <c r="C11" s="16">
        <f>COUNTIFS('架電リスト'!$B$5:$B$1382,A11,'架電リスト'!$E$5:$E$1382,"&lt;&gt;")</f>
        <v/>
      </c>
      <c r="D11" s="16">
        <f>B11-COUNTIFS('架電リスト'!$B$5:$B$1382,A11,'架電リスト'!$J$5:$J$1382,"未架電")-COUNTIFS('架電リスト'!$B$5:$B$1382,A11,'架電リスト'!$J$5:$J$1382,"")</f>
        <v/>
      </c>
      <c r="E11" s="16">
        <f>COUNTIFS('架電リスト'!$B$5:$B$1382,$A11,'架電リスト'!$J$5:$J$1382,"不在・折返し待ち")</f>
        <v/>
      </c>
      <c r="F11" s="16">
        <f>COUNTIFS('架電リスト'!$B$5:$B$1382,$A11,'架電リスト'!$J$5:$J$1382,"担当者不在")</f>
        <v/>
      </c>
      <c r="G11" s="16">
        <f>COUNTIFS('架電リスト'!$B$5:$B$1382,$A11,'架電リスト'!$J$5:$J$1382,"資料送付")</f>
        <v/>
      </c>
      <c r="H11" s="16">
        <f>COUNTIFS('架電リスト'!$B$5:$B$1382,$A11,'架電リスト'!$J$5:$J$1382,"アポ獲得")</f>
        <v/>
      </c>
      <c r="I11" s="16">
        <f>COUNTIFS('架電リスト'!$B$5:$B$1382,$A11,'架電リスト'!$J$5:$J$1382,"検討中")</f>
        <v/>
      </c>
      <c r="J11" s="16">
        <f>COUNTIFS('架電リスト'!$B$5:$B$1382,$A11,'架電リスト'!$J$5:$J$1382,"NG")</f>
        <v/>
      </c>
      <c r="K11" s="16">
        <f>COUNTIFS('架電リスト'!$B$5:$B$1382,$A11,'架電リスト'!$J$5:$J$1382,"番号不明")</f>
        <v/>
      </c>
    </row>
    <row r="12">
      <c r="A12" s="16" t="inlineStr">
        <is>
          <t>栃木県</t>
        </is>
      </c>
      <c r="B12" s="16">
        <f>COUNTIF('架電リスト'!$B$5:$B$1382,A12)</f>
        <v/>
      </c>
      <c r="C12" s="16">
        <f>COUNTIFS('架電リスト'!$B$5:$B$1382,A12,'架電リスト'!$E$5:$E$1382,"&lt;&gt;")</f>
        <v/>
      </c>
      <c r="D12" s="16">
        <f>B12-COUNTIFS('架電リスト'!$B$5:$B$1382,A12,'架電リスト'!$J$5:$J$1382,"未架電")-COUNTIFS('架電リスト'!$B$5:$B$1382,A12,'架電リスト'!$J$5:$J$1382,"")</f>
        <v/>
      </c>
      <c r="E12" s="16">
        <f>COUNTIFS('架電リスト'!$B$5:$B$1382,$A12,'架電リスト'!$J$5:$J$1382,"不在・折返し待ち")</f>
        <v/>
      </c>
      <c r="F12" s="16">
        <f>COUNTIFS('架電リスト'!$B$5:$B$1382,$A12,'架電リスト'!$J$5:$J$1382,"担当者不在")</f>
        <v/>
      </c>
      <c r="G12" s="16">
        <f>COUNTIFS('架電リスト'!$B$5:$B$1382,$A12,'架電リスト'!$J$5:$J$1382,"資料送付")</f>
        <v/>
      </c>
      <c r="H12" s="16">
        <f>COUNTIFS('架電リスト'!$B$5:$B$1382,$A12,'架電リスト'!$J$5:$J$1382,"アポ獲得")</f>
        <v/>
      </c>
      <c r="I12" s="16">
        <f>COUNTIFS('架電リスト'!$B$5:$B$1382,$A12,'架電リスト'!$J$5:$J$1382,"検討中")</f>
        <v/>
      </c>
      <c r="J12" s="16">
        <f>COUNTIFS('架電リスト'!$B$5:$B$1382,$A12,'架電リスト'!$J$5:$J$1382,"NG")</f>
        <v/>
      </c>
      <c r="K12" s="16">
        <f>COUNTIFS('架電リスト'!$B$5:$B$1382,$A12,'架電リスト'!$J$5:$J$1382,"番号不明")</f>
        <v/>
      </c>
    </row>
    <row r="13">
      <c r="A13" s="16" t="inlineStr">
        <is>
          <t>群馬県</t>
        </is>
      </c>
      <c r="B13" s="16">
        <f>COUNTIF('架電リスト'!$B$5:$B$1382,A13)</f>
        <v/>
      </c>
      <c r="C13" s="16">
        <f>COUNTIFS('架電リスト'!$B$5:$B$1382,A13,'架電リスト'!$E$5:$E$1382,"&lt;&gt;")</f>
        <v/>
      </c>
      <c r="D13" s="16">
        <f>B13-COUNTIFS('架電リスト'!$B$5:$B$1382,A13,'架電リスト'!$J$5:$J$1382,"未架電")-COUNTIFS('架電リスト'!$B$5:$B$1382,A13,'架電リスト'!$J$5:$J$1382,"")</f>
        <v/>
      </c>
      <c r="E13" s="16">
        <f>COUNTIFS('架電リスト'!$B$5:$B$1382,$A13,'架電リスト'!$J$5:$J$1382,"不在・折返し待ち")</f>
        <v/>
      </c>
      <c r="F13" s="16">
        <f>COUNTIFS('架電リスト'!$B$5:$B$1382,$A13,'架電リスト'!$J$5:$J$1382,"担当者不在")</f>
        <v/>
      </c>
      <c r="G13" s="16">
        <f>COUNTIFS('架電リスト'!$B$5:$B$1382,$A13,'架電リスト'!$J$5:$J$1382,"資料送付")</f>
        <v/>
      </c>
      <c r="H13" s="16">
        <f>COUNTIFS('架電リスト'!$B$5:$B$1382,$A13,'架電リスト'!$J$5:$J$1382,"アポ獲得")</f>
        <v/>
      </c>
      <c r="I13" s="16">
        <f>COUNTIFS('架電リスト'!$B$5:$B$1382,$A13,'架電リスト'!$J$5:$J$1382,"検討中")</f>
        <v/>
      </c>
      <c r="J13" s="16">
        <f>COUNTIFS('架電リスト'!$B$5:$B$1382,$A13,'架電リスト'!$J$5:$J$1382,"NG")</f>
        <v/>
      </c>
      <c r="K13" s="16">
        <f>COUNTIFS('架電リスト'!$B$5:$B$1382,$A13,'架電リスト'!$J$5:$J$1382,"番号不明")</f>
        <v/>
      </c>
    </row>
    <row r="14">
      <c r="A14" s="16" t="inlineStr">
        <is>
          <t>埼玉県</t>
        </is>
      </c>
      <c r="B14" s="16">
        <f>COUNTIF('架電リスト'!$B$5:$B$1382,A14)</f>
        <v/>
      </c>
      <c r="C14" s="16">
        <f>COUNTIFS('架電リスト'!$B$5:$B$1382,A14,'架電リスト'!$E$5:$E$1382,"&lt;&gt;")</f>
        <v/>
      </c>
      <c r="D14" s="16">
        <f>B14-COUNTIFS('架電リスト'!$B$5:$B$1382,A14,'架電リスト'!$J$5:$J$1382,"未架電")-COUNTIFS('架電リスト'!$B$5:$B$1382,A14,'架電リスト'!$J$5:$J$1382,"")</f>
        <v/>
      </c>
      <c r="E14" s="16">
        <f>COUNTIFS('架電リスト'!$B$5:$B$1382,$A14,'架電リスト'!$J$5:$J$1382,"不在・折返し待ち")</f>
        <v/>
      </c>
      <c r="F14" s="16">
        <f>COUNTIFS('架電リスト'!$B$5:$B$1382,$A14,'架電リスト'!$J$5:$J$1382,"担当者不在")</f>
        <v/>
      </c>
      <c r="G14" s="16">
        <f>COUNTIFS('架電リスト'!$B$5:$B$1382,$A14,'架電リスト'!$J$5:$J$1382,"資料送付")</f>
        <v/>
      </c>
      <c r="H14" s="16">
        <f>COUNTIFS('架電リスト'!$B$5:$B$1382,$A14,'架電リスト'!$J$5:$J$1382,"アポ獲得")</f>
        <v/>
      </c>
      <c r="I14" s="16">
        <f>COUNTIFS('架電リスト'!$B$5:$B$1382,$A14,'架電リスト'!$J$5:$J$1382,"検討中")</f>
        <v/>
      </c>
      <c r="J14" s="16">
        <f>COUNTIFS('架電リスト'!$B$5:$B$1382,$A14,'架電リスト'!$J$5:$J$1382,"NG")</f>
        <v/>
      </c>
      <c r="K14" s="16">
        <f>COUNTIFS('架電リスト'!$B$5:$B$1382,$A14,'架電リスト'!$J$5:$J$1382,"番号不明")</f>
        <v/>
      </c>
    </row>
    <row r="15">
      <c r="A15" s="16" t="inlineStr">
        <is>
          <t>千葉県</t>
        </is>
      </c>
      <c r="B15" s="16">
        <f>COUNTIF('架電リスト'!$B$5:$B$1382,A15)</f>
        <v/>
      </c>
      <c r="C15" s="16">
        <f>COUNTIFS('架電リスト'!$B$5:$B$1382,A15,'架電リスト'!$E$5:$E$1382,"&lt;&gt;")</f>
        <v/>
      </c>
      <c r="D15" s="16">
        <f>B15-COUNTIFS('架電リスト'!$B$5:$B$1382,A15,'架電リスト'!$J$5:$J$1382,"未架電")-COUNTIFS('架電リスト'!$B$5:$B$1382,A15,'架電リスト'!$J$5:$J$1382,"")</f>
        <v/>
      </c>
      <c r="E15" s="16">
        <f>COUNTIFS('架電リスト'!$B$5:$B$1382,$A15,'架電リスト'!$J$5:$J$1382,"不在・折返し待ち")</f>
        <v/>
      </c>
      <c r="F15" s="16">
        <f>COUNTIFS('架電リスト'!$B$5:$B$1382,$A15,'架電リスト'!$J$5:$J$1382,"担当者不在")</f>
        <v/>
      </c>
      <c r="G15" s="16">
        <f>COUNTIFS('架電リスト'!$B$5:$B$1382,$A15,'架電リスト'!$J$5:$J$1382,"資料送付")</f>
        <v/>
      </c>
      <c r="H15" s="16">
        <f>COUNTIFS('架電リスト'!$B$5:$B$1382,$A15,'架電リスト'!$J$5:$J$1382,"アポ獲得")</f>
        <v/>
      </c>
      <c r="I15" s="16">
        <f>COUNTIFS('架電リスト'!$B$5:$B$1382,$A15,'架電リスト'!$J$5:$J$1382,"検討中")</f>
        <v/>
      </c>
      <c r="J15" s="16">
        <f>COUNTIFS('架電リスト'!$B$5:$B$1382,$A15,'架電リスト'!$J$5:$J$1382,"NG")</f>
        <v/>
      </c>
      <c r="K15" s="16">
        <f>COUNTIFS('架電リスト'!$B$5:$B$1382,$A15,'架電リスト'!$J$5:$J$1382,"番号不明")</f>
        <v/>
      </c>
    </row>
    <row r="16">
      <c r="A16" s="16" t="inlineStr">
        <is>
          <t>東京都</t>
        </is>
      </c>
      <c r="B16" s="16">
        <f>COUNTIF('架電リスト'!$B$5:$B$1382,A16)</f>
        <v/>
      </c>
      <c r="C16" s="16">
        <f>COUNTIFS('架電リスト'!$B$5:$B$1382,A16,'架電リスト'!$E$5:$E$1382,"&lt;&gt;")</f>
        <v/>
      </c>
      <c r="D16" s="16">
        <f>B16-COUNTIFS('架電リスト'!$B$5:$B$1382,A16,'架電リスト'!$J$5:$J$1382,"未架電")-COUNTIFS('架電リスト'!$B$5:$B$1382,A16,'架電リスト'!$J$5:$J$1382,"")</f>
        <v/>
      </c>
      <c r="E16" s="16">
        <f>COUNTIFS('架電リスト'!$B$5:$B$1382,$A16,'架電リスト'!$J$5:$J$1382,"不在・折返し待ち")</f>
        <v/>
      </c>
      <c r="F16" s="16">
        <f>COUNTIFS('架電リスト'!$B$5:$B$1382,$A16,'架電リスト'!$J$5:$J$1382,"担当者不在")</f>
        <v/>
      </c>
      <c r="G16" s="16">
        <f>COUNTIFS('架電リスト'!$B$5:$B$1382,$A16,'架電リスト'!$J$5:$J$1382,"資料送付")</f>
        <v/>
      </c>
      <c r="H16" s="16">
        <f>COUNTIFS('架電リスト'!$B$5:$B$1382,$A16,'架電リスト'!$J$5:$J$1382,"アポ獲得")</f>
        <v/>
      </c>
      <c r="I16" s="16">
        <f>COUNTIFS('架電リスト'!$B$5:$B$1382,$A16,'架電リスト'!$J$5:$J$1382,"検討中")</f>
        <v/>
      </c>
      <c r="J16" s="16">
        <f>COUNTIFS('架電リスト'!$B$5:$B$1382,$A16,'架電リスト'!$J$5:$J$1382,"NG")</f>
        <v/>
      </c>
      <c r="K16" s="16">
        <f>COUNTIFS('架電リスト'!$B$5:$B$1382,$A16,'架電リスト'!$J$5:$J$1382,"番号不明")</f>
        <v/>
      </c>
    </row>
    <row r="17">
      <c r="A17" s="16" t="inlineStr">
        <is>
          <t>神奈川県</t>
        </is>
      </c>
      <c r="B17" s="16">
        <f>COUNTIF('架電リスト'!$B$5:$B$1382,A17)</f>
        <v/>
      </c>
      <c r="C17" s="16">
        <f>COUNTIFS('架電リスト'!$B$5:$B$1382,A17,'架電リスト'!$E$5:$E$1382,"&lt;&gt;")</f>
        <v/>
      </c>
      <c r="D17" s="16">
        <f>B17-COUNTIFS('架電リスト'!$B$5:$B$1382,A17,'架電リスト'!$J$5:$J$1382,"未架電")-COUNTIFS('架電リスト'!$B$5:$B$1382,A17,'架電リスト'!$J$5:$J$1382,"")</f>
        <v/>
      </c>
      <c r="E17" s="16">
        <f>COUNTIFS('架電リスト'!$B$5:$B$1382,$A17,'架電リスト'!$J$5:$J$1382,"不在・折返し待ち")</f>
        <v/>
      </c>
      <c r="F17" s="16">
        <f>COUNTIFS('架電リスト'!$B$5:$B$1382,$A17,'架電リスト'!$J$5:$J$1382,"担当者不在")</f>
        <v/>
      </c>
      <c r="G17" s="16">
        <f>COUNTIFS('架電リスト'!$B$5:$B$1382,$A17,'架電リスト'!$J$5:$J$1382,"資料送付")</f>
        <v/>
      </c>
      <c r="H17" s="16">
        <f>COUNTIFS('架電リスト'!$B$5:$B$1382,$A17,'架電リスト'!$J$5:$J$1382,"アポ獲得")</f>
        <v/>
      </c>
      <c r="I17" s="16">
        <f>COUNTIFS('架電リスト'!$B$5:$B$1382,$A17,'架電リスト'!$J$5:$J$1382,"検討中")</f>
        <v/>
      </c>
      <c r="J17" s="16">
        <f>COUNTIFS('架電リスト'!$B$5:$B$1382,$A17,'架電リスト'!$J$5:$J$1382,"NG")</f>
        <v/>
      </c>
      <c r="K17" s="16">
        <f>COUNTIFS('架電リスト'!$B$5:$B$1382,$A17,'架電リスト'!$J$5:$J$1382,"番号不明")</f>
        <v/>
      </c>
    </row>
    <row r="18">
      <c r="A18" s="16" t="inlineStr">
        <is>
          <t>新潟県</t>
        </is>
      </c>
      <c r="B18" s="16">
        <f>COUNTIF('架電リスト'!$B$5:$B$1382,A18)</f>
        <v/>
      </c>
      <c r="C18" s="16">
        <f>COUNTIFS('架電リスト'!$B$5:$B$1382,A18,'架電リスト'!$E$5:$E$1382,"&lt;&gt;")</f>
        <v/>
      </c>
      <c r="D18" s="16">
        <f>B18-COUNTIFS('架電リスト'!$B$5:$B$1382,A18,'架電リスト'!$J$5:$J$1382,"未架電")-COUNTIFS('架電リスト'!$B$5:$B$1382,A18,'架電リスト'!$J$5:$J$1382,"")</f>
        <v/>
      </c>
      <c r="E18" s="16">
        <f>COUNTIFS('架電リスト'!$B$5:$B$1382,$A18,'架電リスト'!$J$5:$J$1382,"不在・折返し待ち")</f>
        <v/>
      </c>
      <c r="F18" s="16">
        <f>COUNTIFS('架電リスト'!$B$5:$B$1382,$A18,'架電リスト'!$J$5:$J$1382,"担当者不在")</f>
        <v/>
      </c>
      <c r="G18" s="16">
        <f>COUNTIFS('架電リスト'!$B$5:$B$1382,$A18,'架電リスト'!$J$5:$J$1382,"資料送付")</f>
        <v/>
      </c>
      <c r="H18" s="16">
        <f>COUNTIFS('架電リスト'!$B$5:$B$1382,$A18,'架電リスト'!$J$5:$J$1382,"アポ獲得")</f>
        <v/>
      </c>
      <c r="I18" s="16">
        <f>COUNTIFS('架電リスト'!$B$5:$B$1382,$A18,'架電リスト'!$J$5:$J$1382,"検討中")</f>
        <v/>
      </c>
      <c r="J18" s="16">
        <f>COUNTIFS('架電リスト'!$B$5:$B$1382,$A18,'架電リスト'!$J$5:$J$1382,"NG")</f>
        <v/>
      </c>
      <c r="K18" s="16">
        <f>COUNTIFS('架電リスト'!$B$5:$B$1382,$A18,'架電リスト'!$J$5:$J$1382,"番号不明")</f>
        <v/>
      </c>
    </row>
    <row r="19">
      <c r="A19" s="16" t="inlineStr">
        <is>
          <t>富山県</t>
        </is>
      </c>
      <c r="B19" s="16">
        <f>COUNTIF('架電リスト'!$B$5:$B$1382,A19)</f>
        <v/>
      </c>
      <c r="C19" s="16">
        <f>COUNTIFS('架電リスト'!$B$5:$B$1382,A19,'架電リスト'!$E$5:$E$1382,"&lt;&gt;")</f>
        <v/>
      </c>
      <c r="D19" s="16">
        <f>B19-COUNTIFS('架電リスト'!$B$5:$B$1382,A19,'架電リスト'!$J$5:$J$1382,"未架電")-COUNTIFS('架電リスト'!$B$5:$B$1382,A19,'架電リスト'!$J$5:$J$1382,"")</f>
        <v/>
      </c>
      <c r="E19" s="16">
        <f>COUNTIFS('架電リスト'!$B$5:$B$1382,$A19,'架電リスト'!$J$5:$J$1382,"不在・折返し待ち")</f>
        <v/>
      </c>
      <c r="F19" s="16">
        <f>COUNTIFS('架電リスト'!$B$5:$B$1382,$A19,'架電リスト'!$J$5:$J$1382,"担当者不在")</f>
        <v/>
      </c>
      <c r="G19" s="16">
        <f>COUNTIFS('架電リスト'!$B$5:$B$1382,$A19,'架電リスト'!$J$5:$J$1382,"資料送付")</f>
        <v/>
      </c>
      <c r="H19" s="16">
        <f>COUNTIFS('架電リスト'!$B$5:$B$1382,$A19,'架電リスト'!$J$5:$J$1382,"アポ獲得")</f>
        <v/>
      </c>
      <c r="I19" s="16">
        <f>COUNTIFS('架電リスト'!$B$5:$B$1382,$A19,'架電リスト'!$J$5:$J$1382,"検討中")</f>
        <v/>
      </c>
      <c r="J19" s="16">
        <f>COUNTIFS('架電リスト'!$B$5:$B$1382,$A19,'架電リスト'!$J$5:$J$1382,"NG")</f>
        <v/>
      </c>
      <c r="K19" s="16">
        <f>COUNTIFS('架電リスト'!$B$5:$B$1382,$A19,'架電リスト'!$J$5:$J$1382,"番号不明")</f>
        <v/>
      </c>
    </row>
    <row r="20">
      <c r="A20" s="16" t="inlineStr">
        <is>
          <t>石川県</t>
        </is>
      </c>
      <c r="B20" s="16">
        <f>COUNTIF('架電リスト'!$B$5:$B$1382,A20)</f>
        <v/>
      </c>
      <c r="C20" s="16">
        <f>COUNTIFS('架電リスト'!$B$5:$B$1382,A20,'架電リスト'!$E$5:$E$1382,"&lt;&gt;")</f>
        <v/>
      </c>
      <c r="D20" s="16">
        <f>B20-COUNTIFS('架電リスト'!$B$5:$B$1382,A20,'架電リスト'!$J$5:$J$1382,"未架電")-COUNTIFS('架電リスト'!$B$5:$B$1382,A20,'架電リスト'!$J$5:$J$1382,"")</f>
        <v/>
      </c>
      <c r="E20" s="16">
        <f>COUNTIFS('架電リスト'!$B$5:$B$1382,$A20,'架電リスト'!$J$5:$J$1382,"不在・折返し待ち")</f>
        <v/>
      </c>
      <c r="F20" s="16">
        <f>COUNTIFS('架電リスト'!$B$5:$B$1382,$A20,'架電リスト'!$J$5:$J$1382,"担当者不在")</f>
        <v/>
      </c>
      <c r="G20" s="16">
        <f>COUNTIFS('架電リスト'!$B$5:$B$1382,$A20,'架電リスト'!$J$5:$J$1382,"資料送付")</f>
        <v/>
      </c>
      <c r="H20" s="16">
        <f>COUNTIFS('架電リスト'!$B$5:$B$1382,$A20,'架電リスト'!$J$5:$J$1382,"アポ獲得")</f>
        <v/>
      </c>
      <c r="I20" s="16">
        <f>COUNTIFS('架電リスト'!$B$5:$B$1382,$A20,'架電リスト'!$J$5:$J$1382,"検討中")</f>
        <v/>
      </c>
      <c r="J20" s="16">
        <f>COUNTIFS('架電リスト'!$B$5:$B$1382,$A20,'架電リスト'!$J$5:$J$1382,"NG")</f>
        <v/>
      </c>
      <c r="K20" s="16">
        <f>COUNTIFS('架電リスト'!$B$5:$B$1382,$A20,'架電リスト'!$J$5:$J$1382,"番号不明")</f>
        <v/>
      </c>
    </row>
    <row r="21">
      <c r="A21" s="16" t="inlineStr">
        <is>
          <t>福井県</t>
        </is>
      </c>
      <c r="B21" s="16">
        <f>COUNTIF('架電リスト'!$B$5:$B$1382,A21)</f>
        <v/>
      </c>
      <c r="C21" s="16">
        <f>COUNTIFS('架電リスト'!$B$5:$B$1382,A21,'架電リスト'!$E$5:$E$1382,"&lt;&gt;")</f>
        <v/>
      </c>
      <c r="D21" s="16">
        <f>B21-COUNTIFS('架電リスト'!$B$5:$B$1382,A21,'架電リスト'!$J$5:$J$1382,"未架電")-COUNTIFS('架電リスト'!$B$5:$B$1382,A21,'架電リスト'!$J$5:$J$1382,"")</f>
        <v/>
      </c>
      <c r="E21" s="16">
        <f>COUNTIFS('架電リスト'!$B$5:$B$1382,$A21,'架電リスト'!$J$5:$J$1382,"不在・折返し待ち")</f>
        <v/>
      </c>
      <c r="F21" s="16">
        <f>COUNTIFS('架電リスト'!$B$5:$B$1382,$A21,'架電リスト'!$J$5:$J$1382,"担当者不在")</f>
        <v/>
      </c>
      <c r="G21" s="16">
        <f>COUNTIFS('架電リスト'!$B$5:$B$1382,$A21,'架電リスト'!$J$5:$J$1382,"資料送付")</f>
        <v/>
      </c>
      <c r="H21" s="16">
        <f>COUNTIFS('架電リスト'!$B$5:$B$1382,$A21,'架電リスト'!$J$5:$J$1382,"アポ獲得")</f>
        <v/>
      </c>
      <c r="I21" s="16">
        <f>COUNTIFS('架電リスト'!$B$5:$B$1382,$A21,'架電リスト'!$J$5:$J$1382,"検討中")</f>
        <v/>
      </c>
      <c r="J21" s="16">
        <f>COUNTIFS('架電リスト'!$B$5:$B$1382,$A21,'架電リスト'!$J$5:$J$1382,"NG")</f>
        <v/>
      </c>
      <c r="K21" s="16">
        <f>COUNTIFS('架電リスト'!$B$5:$B$1382,$A21,'架電リスト'!$J$5:$J$1382,"番号不明")</f>
        <v/>
      </c>
    </row>
    <row r="22">
      <c r="A22" s="16" t="inlineStr">
        <is>
          <t>山梨県</t>
        </is>
      </c>
      <c r="B22" s="16">
        <f>COUNTIF('架電リスト'!$B$5:$B$1382,A22)</f>
        <v/>
      </c>
      <c r="C22" s="16">
        <f>COUNTIFS('架電リスト'!$B$5:$B$1382,A22,'架電リスト'!$E$5:$E$1382,"&lt;&gt;")</f>
        <v/>
      </c>
      <c r="D22" s="16">
        <f>B22-COUNTIFS('架電リスト'!$B$5:$B$1382,A22,'架電リスト'!$J$5:$J$1382,"未架電")-COUNTIFS('架電リスト'!$B$5:$B$1382,A22,'架電リスト'!$J$5:$J$1382,"")</f>
        <v/>
      </c>
      <c r="E22" s="16">
        <f>COUNTIFS('架電リスト'!$B$5:$B$1382,$A22,'架電リスト'!$J$5:$J$1382,"不在・折返し待ち")</f>
        <v/>
      </c>
      <c r="F22" s="16">
        <f>COUNTIFS('架電リスト'!$B$5:$B$1382,$A22,'架電リスト'!$J$5:$J$1382,"担当者不在")</f>
        <v/>
      </c>
      <c r="G22" s="16">
        <f>COUNTIFS('架電リスト'!$B$5:$B$1382,$A22,'架電リスト'!$J$5:$J$1382,"資料送付")</f>
        <v/>
      </c>
      <c r="H22" s="16">
        <f>COUNTIFS('架電リスト'!$B$5:$B$1382,$A22,'架電リスト'!$J$5:$J$1382,"アポ獲得")</f>
        <v/>
      </c>
      <c r="I22" s="16">
        <f>COUNTIFS('架電リスト'!$B$5:$B$1382,$A22,'架電リスト'!$J$5:$J$1382,"検討中")</f>
        <v/>
      </c>
      <c r="J22" s="16">
        <f>COUNTIFS('架電リスト'!$B$5:$B$1382,$A22,'架電リスト'!$J$5:$J$1382,"NG")</f>
        <v/>
      </c>
      <c r="K22" s="16">
        <f>COUNTIFS('架電リスト'!$B$5:$B$1382,$A22,'架電リスト'!$J$5:$J$1382,"番号不明")</f>
        <v/>
      </c>
    </row>
    <row r="23">
      <c r="A23" s="16" t="inlineStr">
        <is>
          <t>長野県</t>
        </is>
      </c>
      <c r="B23" s="16">
        <f>COUNTIF('架電リスト'!$B$5:$B$1382,A23)</f>
        <v/>
      </c>
      <c r="C23" s="16">
        <f>COUNTIFS('架電リスト'!$B$5:$B$1382,A23,'架電リスト'!$E$5:$E$1382,"&lt;&gt;")</f>
        <v/>
      </c>
      <c r="D23" s="16">
        <f>B23-COUNTIFS('架電リスト'!$B$5:$B$1382,A23,'架電リスト'!$J$5:$J$1382,"未架電")-COUNTIFS('架電リスト'!$B$5:$B$1382,A23,'架電リスト'!$J$5:$J$1382,"")</f>
        <v/>
      </c>
      <c r="E23" s="16">
        <f>COUNTIFS('架電リスト'!$B$5:$B$1382,$A23,'架電リスト'!$J$5:$J$1382,"不在・折返し待ち")</f>
        <v/>
      </c>
      <c r="F23" s="16">
        <f>COUNTIFS('架電リスト'!$B$5:$B$1382,$A23,'架電リスト'!$J$5:$J$1382,"担当者不在")</f>
        <v/>
      </c>
      <c r="G23" s="16">
        <f>COUNTIFS('架電リスト'!$B$5:$B$1382,$A23,'架電リスト'!$J$5:$J$1382,"資料送付")</f>
        <v/>
      </c>
      <c r="H23" s="16">
        <f>COUNTIFS('架電リスト'!$B$5:$B$1382,$A23,'架電リスト'!$J$5:$J$1382,"アポ獲得")</f>
        <v/>
      </c>
      <c r="I23" s="16">
        <f>COUNTIFS('架電リスト'!$B$5:$B$1382,$A23,'架電リスト'!$J$5:$J$1382,"検討中")</f>
        <v/>
      </c>
      <c r="J23" s="16">
        <f>COUNTIFS('架電リスト'!$B$5:$B$1382,$A23,'架電リスト'!$J$5:$J$1382,"NG")</f>
        <v/>
      </c>
      <c r="K23" s="16">
        <f>COUNTIFS('架電リスト'!$B$5:$B$1382,$A23,'架電リスト'!$J$5:$J$1382,"番号不明")</f>
        <v/>
      </c>
    </row>
    <row r="24">
      <c r="A24" s="16" t="inlineStr">
        <is>
          <t>岐阜県</t>
        </is>
      </c>
      <c r="B24" s="16">
        <f>COUNTIF('架電リスト'!$B$5:$B$1382,A24)</f>
        <v/>
      </c>
      <c r="C24" s="16">
        <f>COUNTIFS('架電リスト'!$B$5:$B$1382,A24,'架電リスト'!$E$5:$E$1382,"&lt;&gt;")</f>
        <v/>
      </c>
      <c r="D24" s="16">
        <f>B24-COUNTIFS('架電リスト'!$B$5:$B$1382,A24,'架電リスト'!$J$5:$J$1382,"未架電")-COUNTIFS('架電リスト'!$B$5:$B$1382,A24,'架電リスト'!$J$5:$J$1382,"")</f>
        <v/>
      </c>
      <c r="E24" s="16">
        <f>COUNTIFS('架電リスト'!$B$5:$B$1382,$A24,'架電リスト'!$J$5:$J$1382,"不在・折返し待ち")</f>
        <v/>
      </c>
      <c r="F24" s="16">
        <f>COUNTIFS('架電リスト'!$B$5:$B$1382,$A24,'架電リスト'!$J$5:$J$1382,"担当者不在")</f>
        <v/>
      </c>
      <c r="G24" s="16">
        <f>COUNTIFS('架電リスト'!$B$5:$B$1382,$A24,'架電リスト'!$J$5:$J$1382,"資料送付")</f>
        <v/>
      </c>
      <c r="H24" s="16">
        <f>COUNTIFS('架電リスト'!$B$5:$B$1382,$A24,'架電リスト'!$J$5:$J$1382,"アポ獲得")</f>
        <v/>
      </c>
      <c r="I24" s="16">
        <f>COUNTIFS('架電リスト'!$B$5:$B$1382,$A24,'架電リスト'!$J$5:$J$1382,"検討中")</f>
        <v/>
      </c>
      <c r="J24" s="16">
        <f>COUNTIFS('架電リスト'!$B$5:$B$1382,$A24,'架電リスト'!$J$5:$J$1382,"NG")</f>
        <v/>
      </c>
      <c r="K24" s="16">
        <f>COUNTIFS('架電リスト'!$B$5:$B$1382,$A24,'架電リスト'!$J$5:$J$1382,"番号不明")</f>
        <v/>
      </c>
    </row>
    <row r="25">
      <c r="A25" s="16" t="inlineStr">
        <is>
          <t>静岡県</t>
        </is>
      </c>
      <c r="B25" s="16">
        <f>COUNTIF('架電リスト'!$B$5:$B$1382,A25)</f>
        <v/>
      </c>
      <c r="C25" s="16">
        <f>COUNTIFS('架電リスト'!$B$5:$B$1382,A25,'架電リスト'!$E$5:$E$1382,"&lt;&gt;")</f>
        <v/>
      </c>
      <c r="D25" s="16">
        <f>B25-COUNTIFS('架電リスト'!$B$5:$B$1382,A25,'架電リスト'!$J$5:$J$1382,"未架電")-COUNTIFS('架電リスト'!$B$5:$B$1382,A25,'架電リスト'!$J$5:$J$1382,"")</f>
        <v/>
      </c>
      <c r="E25" s="16">
        <f>COUNTIFS('架電リスト'!$B$5:$B$1382,$A25,'架電リスト'!$J$5:$J$1382,"不在・折返し待ち")</f>
        <v/>
      </c>
      <c r="F25" s="16">
        <f>COUNTIFS('架電リスト'!$B$5:$B$1382,$A25,'架電リスト'!$J$5:$J$1382,"担当者不在")</f>
        <v/>
      </c>
      <c r="G25" s="16">
        <f>COUNTIFS('架電リスト'!$B$5:$B$1382,$A25,'架電リスト'!$J$5:$J$1382,"資料送付")</f>
        <v/>
      </c>
      <c r="H25" s="16">
        <f>COUNTIFS('架電リスト'!$B$5:$B$1382,$A25,'架電リスト'!$J$5:$J$1382,"アポ獲得")</f>
        <v/>
      </c>
      <c r="I25" s="16">
        <f>COUNTIFS('架電リスト'!$B$5:$B$1382,$A25,'架電リスト'!$J$5:$J$1382,"検討中")</f>
        <v/>
      </c>
      <c r="J25" s="16">
        <f>COUNTIFS('架電リスト'!$B$5:$B$1382,$A25,'架電リスト'!$J$5:$J$1382,"NG")</f>
        <v/>
      </c>
      <c r="K25" s="16">
        <f>COUNTIFS('架電リスト'!$B$5:$B$1382,$A25,'架電リスト'!$J$5:$J$1382,"番号不明")</f>
        <v/>
      </c>
    </row>
    <row r="26">
      <c r="A26" s="16" t="inlineStr">
        <is>
          <t>愛知県</t>
        </is>
      </c>
      <c r="B26" s="16">
        <f>COUNTIF('架電リスト'!$B$5:$B$1382,A26)</f>
        <v/>
      </c>
      <c r="C26" s="16">
        <f>COUNTIFS('架電リスト'!$B$5:$B$1382,A26,'架電リスト'!$E$5:$E$1382,"&lt;&gt;")</f>
        <v/>
      </c>
      <c r="D26" s="16">
        <f>B26-COUNTIFS('架電リスト'!$B$5:$B$1382,A26,'架電リスト'!$J$5:$J$1382,"未架電")-COUNTIFS('架電リスト'!$B$5:$B$1382,A26,'架電リスト'!$J$5:$J$1382,"")</f>
        <v/>
      </c>
      <c r="E26" s="16">
        <f>COUNTIFS('架電リスト'!$B$5:$B$1382,$A26,'架電リスト'!$J$5:$J$1382,"不在・折返し待ち")</f>
        <v/>
      </c>
      <c r="F26" s="16">
        <f>COUNTIFS('架電リスト'!$B$5:$B$1382,$A26,'架電リスト'!$J$5:$J$1382,"担当者不在")</f>
        <v/>
      </c>
      <c r="G26" s="16">
        <f>COUNTIFS('架電リスト'!$B$5:$B$1382,$A26,'架電リスト'!$J$5:$J$1382,"資料送付")</f>
        <v/>
      </c>
      <c r="H26" s="16">
        <f>COUNTIFS('架電リスト'!$B$5:$B$1382,$A26,'架電リスト'!$J$5:$J$1382,"アポ獲得")</f>
        <v/>
      </c>
      <c r="I26" s="16">
        <f>COUNTIFS('架電リスト'!$B$5:$B$1382,$A26,'架電リスト'!$J$5:$J$1382,"検討中")</f>
        <v/>
      </c>
      <c r="J26" s="16">
        <f>COUNTIFS('架電リスト'!$B$5:$B$1382,$A26,'架電リスト'!$J$5:$J$1382,"NG")</f>
        <v/>
      </c>
      <c r="K26" s="16">
        <f>COUNTIFS('架電リスト'!$B$5:$B$1382,$A26,'架電リスト'!$J$5:$J$1382,"番号不明")</f>
        <v/>
      </c>
    </row>
    <row r="27">
      <c r="A27" s="16" t="inlineStr">
        <is>
          <t>三重県</t>
        </is>
      </c>
      <c r="B27" s="16">
        <f>COUNTIF('架電リスト'!$B$5:$B$1382,A27)</f>
        <v/>
      </c>
      <c r="C27" s="16">
        <f>COUNTIFS('架電リスト'!$B$5:$B$1382,A27,'架電リスト'!$E$5:$E$1382,"&lt;&gt;")</f>
        <v/>
      </c>
      <c r="D27" s="16">
        <f>B27-COUNTIFS('架電リスト'!$B$5:$B$1382,A27,'架電リスト'!$J$5:$J$1382,"未架電")-COUNTIFS('架電リスト'!$B$5:$B$1382,A27,'架電リスト'!$J$5:$J$1382,"")</f>
        <v/>
      </c>
      <c r="E27" s="16">
        <f>COUNTIFS('架電リスト'!$B$5:$B$1382,$A27,'架電リスト'!$J$5:$J$1382,"不在・折返し待ち")</f>
        <v/>
      </c>
      <c r="F27" s="16">
        <f>COUNTIFS('架電リスト'!$B$5:$B$1382,$A27,'架電リスト'!$J$5:$J$1382,"担当者不在")</f>
        <v/>
      </c>
      <c r="G27" s="16">
        <f>COUNTIFS('架電リスト'!$B$5:$B$1382,$A27,'架電リスト'!$J$5:$J$1382,"資料送付")</f>
        <v/>
      </c>
      <c r="H27" s="16">
        <f>COUNTIFS('架電リスト'!$B$5:$B$1382,$A27,'架電リスト'!$J$5:$J$1382,"アポ獲得")</f>
        <v/>
      </c>
      <c r="I27" s="16">
        <f>COUNTIFS('架電リスト'!$B$5:$B$1382,$A27,'架電リスト'!$J$5:$J$1382,"検討中")</f>
        <v/>
      </c>
      <c r="J27" s="16">
        <f>COUNTIFS('架電リスト'!$B$5:$B$1382,$A27,'架電リスト'!$J$5:$J$1382,"NG")</f>
        <v/>
      </c>
      <c r="K27" s="16">
        <f>COUNTIFS('架電リスト'!$B$5:$B$1382,$A27,'架電リスト'!$J$5:$J$1382,"番号不明")</f>
        <v/>
      </c>
    </row>
    <row r="28">
      <c r="A28" s="16" t="inlineStr">
        <is>
          <t>滋賀県</t>
        </is>
      </c>
      <c r="B28" s="16">
        <f>COUNTIF('架電リスト'!$B$5:$B$1382,A28)</f>
        <v/>
      </c>
      <c r="C28" s="16">
        <f>COUNTIFS('架電リスト'!$B$5:$B$1382,A28,'架電リスト'!$E$5:$E$1382,"&lt;&gt;")</f>
        <v/>
      </c>
      <c r="D28" s="16">
        <f>B28-COUNTIFS('架電リスト'!$B$5:$B$1382,A28,'架電リスト'!$J$5:$J$1382,"未架電")-COUNTIFS('架電リスト'!$B$5:$B$1382,A28,'架電リスト'!$J$5:$J$1382,"")</f>
        <v/>
      </c>
      <c r="E28" s="16">
        <f>COUNTIFS('架電リスト'!$B$5:$B$1382,$A28,'架電リスト'!$J$5:$J$1382,"不在・折返し待ち")</f>
        <v/>
      </c>
      <c r="F28" s="16">
        <f>COUNTIFS('架電リスト'!$B$5:$B$1382,$A28,'架電リスト'!$J$5:$J$1382,"担当者不在")</f>
        <v/>
      </c>
      <c r="G28" s="16">
        <f>COUNTIFS('架電リスト'!$B$5:$B$1382,$A28,'架電リスト'!$J$5:$J$1382,"資料送付")</f>
        <v/>
      </c>
      <c r="H28" s="16">
        <f>COUNTIFS('架電リスト'!$B$5:$B$1382,$A28,'架電リスト'!$J$5:$J$1382,"アポ獲得")</f>
        <v/>
      </c>
      <c r="I28" s="16">
        <f>COUNTIFS('架電リスト'!$B$5:$B$1382,$A28,'架電リスト'!$J$5:$J$1382,"検討中")</f>
        <v/>
      </c>
      <c r="J28" s="16">
        <f>COUNTIFS('架電リスト'!$B$5:$B$1382,$A28,'架電リスト'!$J$5:$J$1382,"NG")</f>
        <v/>
      </c>
      <c r="K28" s="16">
        <f>COUNTIFS('架電リスト'!$B$5:$B$1382,$A28,'架電リスト'!$J$5:$J$1382,"番号不明")</f>
        <v/>
      </c>
    </row>
    <row r="29">
      <c r="A29" s="16" t="inlineStr">
        <is>
          <t>京都府</t>
        </is>
      </c>
      <c r="B29" s="16">
        <f>COUNTIF('架電リスト'!$B$5:$B$1382,A29)</f>
        <v/>
      </c>
      <c r="C29" s="16">
        <f>COUNTIFS('架電リスト'!$B$5:$B$1382,A29,'架電リスト'!$E$5:$E$1382,"&lt;&gt;")</f>
        <v/>
      </c>
      <c r="D29" s="16">
        <f>B29-COUNTIFS('架電リスト'!$B$5:$B$1382,A29,'架電リスト'!$J$5:$J$1382,"未架電")-COUNTIFS('架電リスト'!$B$5:$B$1382,A29,'架電リスト'!$J$5:$J$1382,"")</f>
        <v/>
      </c>
      <c r="E29" s="16">
        <f>COUNTIFS('架電リスト'!$B$5:$B$1382,$A29,'架電リスト'!$J$5:$J$1382,"不在・折返し待ち")</f>
        <v/>
      </c>
      <c r="F29" s="16">
        <f>COUNTIFS('架電リスト'!$B$5:$B$1382,$A29,'架電リスト'!$J$5:$J$1382,"担当者不在")</f>
        <v/>
      </c>
      <c r="G29" s="16">
        <f>COUNTIFS('架電リスト'!$B$5:$B$1382,$A29,'架電リスト'!$J$5:$J$1382,"資料送付")</f>
        <v/>
      </c>
      <c r="H29" s="16">
        <f>COUNTIFS('架電リスト'!$B$5:$B$1382,$A29,'架電リスト'!$J$5:$J$1382,"アポ獲得")</f>
        <v/>
      </c>
      <c r="I29" s="16">
        <f>COUNTIFS('架電リスト'!$B$5:$B$1382,$A29,'架電リスト'!$J$5:$J$1382,"検討中")</f>
        <v/>
      </c>
      <c r="J29" s="16">
        <f>COUNTIFS('架電リスト'!$B$5:$B$1382,$A29,'架電リスト'!$J$5:$J$1382,"NG")</f>
        <v/>
      </c>
      <c r="K29" s="16">
        <f>COUNTIFS('架電リスト'!$B$5:$B$1382,$A29,'架電リスト'!$J$5:$J$1382,"番号不明")</f>
        <v/>
      </c>
    </row>
    <row r="30">
      <c r="A30" s="16" t="inlineStr">
        <is>
          <t>大阪府</t>
        </is>
      </c>
      <c r="B30" s="16">
        <f>COUNTIF('架電リスト'!$B$5:$B$1382,A30)</f>
        <v/>
      </c>
      <c r="C30" s="16">
        <f>COUNTIFS('架電リスト'!$B$5:$B$1382,A30,'架電リスト'!$E$5:$E$1382,"&lt;&gt;")</f>
        <v/>
      </c>
      <c r="D30" s="16">
        <f>B30-COUNTIFS('架電リスト'!$B$5:$B$1382,A30,'架電リスト'!$J$5:$J$1382,"未架電")-COUNTIFS('架電リスト'!$B$5:$B$1382,A30,'架電リスト'!$J$5:$J$1382,"")</f>
        <v/>
      </c>
      <c r="E30" s="16">
        <f>COUNTIFS('架電リスト'!$B$5:$B$1382,$A30,'架電リスト'!$J$5:$J$1382,"不在・折返し待ち")</f>
        <v/>
      </c>
      <c r="F30" s="16">
        <f>COUNTIFS('架電リスト'!$B$5:$B$1382,$A30,'架電リスト'!$J$5:$J$1382,"担当者不在")</f>
        <v/>
      </c>
      <c r="G30" s="16">
        <f>COUNTIFS('架電リスト'!$B$5:$B$1382,$A30,'架電リスト'!$J$5:$J$1382,"資料送付")</f>
        <v/>
      </c>
      <c r="H30" s="16">
        <f>COUNTIFS('架電リスト'!$B$5:$B$1382,$A30,'架電リスト'!$J$5:$J$1382,"アポ獲得")</f>
        <v/>
      </c>
      <c r="I30" s="16">
        <f>COUNTIFS('架電リスト'!$B$5:$B$1382,$A30,'架電リスト'!$J$5:$J$1382,"検討中")</f>
        <v/>
      </c>
      <c r="J30" s="16">
        <f>COUNTIFS('架電リスト'!$B$5:$B$1382,$A30,'架電リスト'!$J$5:$J$1382,"NG")</f>
        <v/>
      </c>
      <c r="K30" s="16">
        <f>COUNTIFS('架電リスト'!$B$5:$B$1382,$A30,'架電リスト'!$J$5:$J$1382,"番号不明")</f>
        <v/>
      </c>
    </row>
    <row r="31">
      <c r="A31" s="16" t="inlineStr">
        <is>
          <t>兵庫県</t>
        </is>
      </c>
      <c r="B31" s="16">
        <f>COUNTIF('架電リスト'!$B$5:$B$1382,A31)</f>
        <v/>
      </c>
      <c r="C31" s="16">
        <f>COUNTIFS('架電リスト'!$B$5:$B$1382,A31,'架電リスト'!$E$5:$E$1382,"&lt;&gt;")</f>
        <v/>
      </c>
      <c r="D31" s="16">
        <f>B31-COUNTIFS('架電リスト'!$B$5:$B$1382,A31,'架電リスト'!$J$5:$J$1382,"未架電")-COUNTIFS('架電リスト'!$B$5:$B$1382,A31,'架電リスト'!$J$5:$J$1382,"")</f>
        <v/>
      </c>
      <c r="E31" s="16">
        <f>COUNTIFS('架電リスト'!$B$5:$B$1382,$A31,'架電リスト'!$J$5:$J$1382,"不在・折返し待ち")</f>
        <v/>
      </c>
      <c r="F31" s="16">
        <f>COUNTIFS('架電リスト'!$B$5:$B$1382,$A31,'架電リスト'!$J$5:$J$1382,"担当者不在")</f>
        <v/>
      </c>
      <c r="G31" s="16">
        <f>COUNTIFS('架電リスト'!$B$5:$B$1382,$A31,'架電リスト'!$J$5:$J$1382,"資料送付")</f>
        <v/>
      </c>
      <c r="H31" s="16">
        <f>COUNTIFS('架電リスト'!$B$5:$B$1382,$A31,'架電リスト'!$J$5:$J$1382,"アポ獲得")</f>
        <v/>
      </c>
      <c r="I31" s="16">
        <f>COUNTIFS('架電リスト'!$B$5:$B$1382,$A31,'架電リスト'!$J$5:$J$1382,"検討中")</f>
        <v/>
      </c>
      <c r="J31" s="16">
        <f>COUNTIFS('架電リスト'!$B$5:$B$1382,$A31,'架電リスト'!$J$5:$J$1382,"NG")</f>
        <v/>
      </c>
      <c r="K31" s="16">
        <f>COUNTIFS('架電リスト'!$B$5:$B$1382,$A31,'架電リスト'!$J$5:$J$1382,"番号不明")</f>
        <v/>
      </c>
    </row>
    <row r="32">
      <c r="A32" s="16" t="inlineStr">
        <is>
          <t>奈良県</t>
        </is>
      </c>
      <c r="B32" s="16">
        <f>COUNTIF('架電リスト'!$B$5:$B$1382,A32)</f>
        <v/>
      </c>
      <c r="C32" s="16">
        <f>COUNTIFS('架電リスト'!$B$5:$B$1382,A32,'架電リスト'!$E$5:$E$1382,"&lt;&gt;")</f>
        <v/>
      </c>
      <c r="D32" s="16">
        <f>B32-COUNTIFS('架電リスト'!$B$5:$B$1382,A32,'架電リスト'!$J$5:$J$1382,"未架電")-COUNTIFS('架電リスト'!$B$5:$B$1382,A32,'架電リスト'!$J$5:$J$1382,"")</f>
        <v/>
      </c>
      <c r="E32" s="16">
        <f>COUNTIFS('架電リスト'!$B$5:$B$1382,$A32,'架電リスト'!$J$5:$J$1382,"不在・折返し待ち")</f>
        <v/>
      </c>
      <c r="F32" s="16">
        <f>COUNTIFS('架電リスト'!$B$5:$B$1382,$A32,'架電リスト'!$J$5:$J$1382,"担当者不在")</f>
        <v/>
      </c>
      <c r="G32" s="16">
        <f>COUNTIFS('架電リスト'!$B$5:$B$1382,$A32,'架電リスト'!$J$5:$J$1382,"資料送付")</f>
        <v/>
      </c>
      <c r="H32" s="16">
        <f>COUNTIFS('架電リスト'!$B$5:$B$1382,$A32,'架電リスト'!$J$5:$J$1382,"アポ獲得")</f>
        <v/>
      </c>
      <c r="I32" s="16">
        <f>COUNTIFS('架電リスト'!$B$5:$B$1382,$A32,'架電リスト'!$J$5:$J$1382,"検討中")</f>
        <v/>
      </c>
      <c r="J32" s="16">
        <f>COUNTIFS('架電リスト'!$B$5:$B$1382,$A32,'架電リスト'!$J$5:$J$1382,"NG")</f>
        <v/>
      </c>
      <c r="K32" s="16">
        <f>COUNTIFS('架電リスト'!$B$5:$B$1382,$A32,'架電リスト'!$J$5:$J$1382,"番号不明")</f>
        <v/>
      </c>
    </row>
    <row r="33">
      <c r="A33" s="16" t="inlineStr">
        <is>
          <t>和歌山県</t>
        </is>
      </c>
      <c r="B33" s="16">
        <f>COUNTIF('架電リスト'!$B$5:$B$1382,A33)</f>
        <v/>
      </c>
      <c r="C33" s="16">
        <f>COUNTIFS('架電リスト'!$B$5:$B$1382,A33,'架電リスト'!$E$5:$E$1382,"&lt;&gt;")</f>
        <v/>
      </c>
      <c r="D33" s="16">
        <f>B33-COUNTIFS('架電リスト'!$B$5:$B$1382,A33,'架電リスト'!$J$5:$J$1382,"未架電")-COUNTIFS('架電リスト'!$B$5:$B$1382,A33,'架電リスト'!$J$5:$J$1382,"")</f>
        <v/>
      </c>
      <c r="E33" s="16">
        <f>COUNTIFS('架電リスト'!$B$5:$B$1382,$A33,'架電リスト'!$J$5:$J$1382,"不在・折返し待ち")</f>
        <v/>
      </c>
      <c r="F33" s="16">
        <f>COUNTIFS('架電リスト'!$B$5:$B$1382,$A33,'架電リスト'!$J$5:$J$1382,"担当者不在")</f>
        <v/>
      </c>
      <c r="G33" s="16">
        <f>COUNTIFS('架電リスト'!$B$5:$B$1382,$A33,'架電リスト'!$J$5:$J$1382,"資料送付")</f>
        <v/>
      </c>
      <c r="H33" s="16">
        <f>COUNTIFS('架電リスト'!$B$5:$B$1382,$A33,'架電リスト'!$J$5:$J$1382,"アポ獲得")</f>
        <v/>
      </c>
      <c r="I33" s="16">
        <f>COUNTIFS('架電リスト'!$B$5:$B$1382,$A33,'架電リスト'!$J$5:$J$1382,"検討中")</f>
        <v/>
      </c>
      <c r="J33" s="16">
        <f>COUNTIFS('架電リスト'!$B$5:$B$1382,$A33,'架電リスト'!$J$5:$J$1382,"NG")</f>
        <v/>
      </c>
      <c r="K33" s="16">
        <f>COUNTIFS('架電リスト'!$B$5:$B$1382,$A33,'架電リスト'!$J$5:$J$1382,"番号不明")</f>
        <v/>
      </c>
    </row>
    <row r="34">
      <c r="A34" s="16" t="inlineStr">
        <is>
          <t>鳥取県</t>
        </is>
      </c>
      <c r="B34" s="16">
        <f>COUNTIF('架電リスト'!$B$5:$B$1382,A34)</f>
        <v/>
      </c>
      <c r="C34" s="16">
        <f>COUNTIFS('架電リスト'!$B$5:$B$1382,A34,'架電リスト'!$E$5:$E$1382,"&lt;&gt;")</f>
        <v/>
      </c>
      <c r="D34" s="16">
        <f>B34-COUNTIFS('架電リスト'!$B$5:$B$1382,A34,'架電リスト'!$J$5:$J$1382,"未架電")-COUNTIFS('架電リスト'!$B$5:$B$1382,A34,'架電リスト'!$J$5:$J$1382,"")</f>
        <v/>
      </c>
      <c r="E34" s="16">
        <f>COUNTIFS('架電リスト'!$B$5:$B$1382,$A34,'架電リスト'!$J$5:$J$1382,"不在・折返し待ち")</f>
        <v/>
      </c>
      <c r="F34" s="16">
        <f>COUNTIFS('架電リスト'!$B$5:$B$1382,$A34,'架電リスト'!$J$5:$J$1382,"担当者不在")</f>
        <v/>
      </c>
      <c r="G34" s="16">
        <f>COUNTIFS('架電リスト'!$B$5:$B$1382,$A34,'架電リスト'!$J$5:$J$1382,"資料送付")</f>
        <v/>
      </c>
      <c r="H34" s="16">
        <f>COUNTIFS('架電リスト'!$B$5:$B$1382,$A34,'架電リスト'!$J$5:$J$1382,"アポ獲得")</f>
        <v/>
      </c>
      <c r="I34" s="16">
        <f>COUNTIFS('架電リスト'!$B$5:$B$1382,$A34,'架電リスト'!$J$5:$J$1382,"検討中")</f>
        <v/>
      </c>
      <c r="J34" s="16">
        <f>COUNTIFS('架電リスト'!$B$5:$B$1382,$A34,'架電リスト'!$J$5:$J$1382,"NG")</f>
        <v/>
      </c>
      <c r="K34" s="16">
        <f>COUNTIFS('架電リスト'!$B$5:$B$1382,$A34,'架電リスト'!$J$5:$J$1382,"番号不明")</f>
        <v/>
      </c>
    </row>
    <row r="35">
      <c r="A35" s="16" t="inlineStr">
        <is>
          <t>島根県</t>
        </is>
      </c>
      <c r="B35" s="16">
        <f>COUNTIF('架電リスト'!$B$5:$B$1382,A35)</f>
        <v/>
      </c>
      <c r="C35" s="16">
        <f>COUNTIFS('架電リスト'!$B$5:$B$1382,A35,'架電リスト'!$E$5:$E$1382,"&lt;&gt;")</f>
        <v/>
      </c>
      <c r="D35" s="16">
        <f>B35-COUNTIFS('架電リスト'!$B$5:$B$1382,A35,'架電リスト'!$J$5:$J$1382,"未架電")-COUNTIFS('架電リスト'!$B$5:$B$1382,A35,'架電リスト'!$J$5:$J$1382,"")</f>
        <v/>
      </c>
      <c r="E35" s="16">
        <f>COUNTIFS('架電リスト'!$B$5:$B$1382,$A35,'架電リスト'!$J$5:$J$1382,"不在・折返し待ち")</f>
        <v/>
      </c>
      <c r="F35" s="16">
        <f>COUNTIFS('架電リスト'!$B$5:$B$1382,$A35,'架電リスト'!$J$5:$J$1382,"担当者不在")</f>
        <v/>
      </c>
      <c r="G35" s="16">
        <f>COUNTIFS('架電リスト'!$B$5:$B$1382,$A35,'架電リスト'!$J$5:$J$1382,"資料送付")</f>
        <v/>
      </c>
      <c r="H35" s="16">
        <f>COUNTIFS('架電リスト'!$B$5:$B$1382,$A35,'架電リスト'!$J$5:$J$1382,"アポ獲得")</f>
        <v/>
      </c>
      <c r="I35" s="16">
        <f>COUNTIFS('架電リスト'!$B$5:$B$1382,$A35,'架電リスト'!$J$5:$J$1382,"検討中")</f>
        <v/>
      </c>
      <c r="J35" s="16">
        <f>COUNTIFS('架電リスト'!$B$5:$B$1382,$A35,'架電リスト'!$J$5:$J$1382,"NG")</f>
        <v/>
      </c>
      <c r="K35" s="16">
        <f>COUNTIFS('架電リスト'!$B$5:$B$1382,$A35,'架電リスト'!$J$5:$J$1382,"番号不明")</f>
        <v/>
      </c>
    </row>
    <row r="36">
      <c r="A36" s="16" t="inlineStr">
        <is>
          <t>岡山県</t>
        </is>
      </c>
      <c r="B36" s="16">
        <f>COUNTIF('架電リスト'!$B$5:$B$1382,A36)</f>
        <v/>
      </c>
      <c r="C36" s="16">
        <f>COUNTIFS('架電リスト'!$B$5:$B$1382,A36,'架電リスト'!$E$5:$E$1382,"&lt;&gt;")</f>
        <v/>
      </c>
      <c r="D36" s="16">
        <f>B36-COUNTIFS('架電リスト'!$B$5:$B$1382,A36,'架電リスト'!$J$5:$J$1382,"未架電")-COUNTIFS('架電リスト'!$B$5:$B$1382,A36,'架電リスト'!$J$5:$J$1382,"")</f>
        <v/>
      </c>
      <c r="E36" s="16">
        <f>COUNTIFS('架電リスト'!$B$5:$B$1382,$A36,'架電リスト'!$J$5:$J$1382,"不在・折返し待ち")</f>
        <v/>
      </c>
      <c r="F36" s="16">
        <f>COUNTIFS('架電リスト'!$B$5:$B$1382,$A36,'架電リスト'!$J$5:$J$1382,"担当者不在")</f>
        <v/>
      </c>
      <c r="G36" s="16">
        <f>COUNTIFS('架電リスト'!$B$5:$B$1382,$A36,'架電リスト'!$J$5:$J$1382,"資料送付")</f>
        <v/>
      </c>
      <c r="H36" s="16">
        <f>COUNTIFS('架電リスト'!$B$5:$B$1382,$A36,'架電リスト'!$J$5:$J$1382,"アポ獲得")</f>
        <v/>
      </c>
      <c r="I36" s="16">
        <f>COUNTIFS('架電リスト'!$B$5:$B$1382,$A36,'架電リスト'!$J$5:$J$1382,"検討中")</f>
        <v/>
      </c>
      <c r="J36" s="16">
        <f>COUNTIFS('架電リスト'!$B$5:$B$1382,$A36,'架電リスト'!$J$5:$J$1382,"NG")</f>
        <v/>
      </c>
      <c r="K36" s="16">
        <f>COUNTIFS('架電リスト'!$B$5:$B$1382,$A36,'架電リスト'!$J$5:$J$1382,"番号不明")</f>
        <v/>
      </c>
    </row>
    <row r="37">
      <c r="A37" s="16" t="inlineStr">
        <is>
          <t>広島県</t>
        </is>
      </c>
      <c r="B37" s="16">
        <f>COUNTIF('架電リスト'!$B$5:$B$1382,A37)</f>
        <v/>
      </c>
      <c r="C37" s="16">
        <f>COUNTIFS('架電リスト'!$B$5:$B$1382,A37,'架電リスト'!$E$5:$E$1382,"&lt;&gt;")</f>
        <v/>
      </c>
      <c r="D37" s="16">
        <f>B37-COUNTIFS('架電リスト'!$B$5:$B$1382,A37,'架電リスト'!$J$5:$J$1382,"未架電")-COUNTIFS('架電リスト'!$B$5:$B$1382,A37,'架電リスト'!$J$5:$J$1382,"")</f>
        <v/>
      </c>
      <c r="E37" s="16">
        <f>COUNTIFS('架電リスト'!$B$5:$B$1382,$A37,'架電リスト'!$J$5:$J$1382,"不在・折返し待ち")</f>
        <v/>
      </c>
      <c r="F37" s="16">
        <f>COUNTIFS('架電リスト'!$B$5:$B$1382,$A37,'架電リスト'!$J$5:$J$1382,"担当者不在")</f>
        <v/>
      </c>
      <c r="G37" s="16">
        <f>COUNTIFS('架電リスト'!$B$5:$B$1382,$A37,'架電リスト'!$J$5:$J$1382,"資料送付")</f>
        <v/>
      </c>
      <c r="H37" s="16">
        <f>COUNTIFS('架電リスト'!$B$5:$B$1382,$A37,'架電リスト'!$J$5:$J$1382,"アポ獲得")</f>
        <v/>
      </c>
      <c r="I37" s="16">
        <f>COUNTIFS('架電リスト'!$B$5:$B$1382,$A37,'架電リスト'!$J$5:$J$1382,"検討中")</f>
        <v/>
      </c>
      <c r="J37" s="16">
        <f>COUNTIFS('架電リスト'!$B$5:$B$1382,$A37,'架電リスト'!$J$5:$J$1382,"NG")</f>
        <v/>
      </c>
      <c r="K37" s="16">
        <f>COUNTIFS('架電リスト'!$B$5:$B$1382,$A37,'架電リスト'!$J$5:$J$1382,"番号不明")</f>
        <v/>
      </c>
    </row>
    <row r="38">
      <c r="A38" s="16" t="inlineStr">
        <is>
          <t>山口県</t>
        </is>
      </c>
      <c r="B38" s="16">
        <f>COUNTIF('架電リスト'!$B$5:$B$1382,A38)</f>
        <v/>
      </c>
      <c r="C38" s="16">
        <f>COUNTIFS('架電リスト'!$B$5:$B$1382,A38,'架電リスト'!$E$5:$E$1382,"&lt;&gt;")</f>
        <v/>
      </c>
      <c r="D38" s="16">
        <f>B38-COUNTIFS('架電リスト'!$B$5:$B$1382,A38,'架電リスト'!$J$5:$J$1382,"未架電")-COUNTIFS('架電リスト'!$B$5:$B$1382,A38,'架電リスト'!$J$5:$J$1382,"")</f>
        <v/>
      </c>
      <c r="E38" s="16">
        <f>COUNTIFS('架電リスト'!$B$5:$B$1382,$A38,'架電リスト'!$J$5:$J$1382,"不在・折返し待ち")</f>
        <v/>
      </c>
      <c r="F38" s="16">
        <f>COUNTIFS('架電リスト'!$B$5:$B$1382,$A38,'架電リスト'!$J$5:$J$1382,"担当者不在")</f>
        <v/>
      </c>
      <c r="G38" s="16">
        <f>COUNTIFS('架電リスト'!$B$5:$B$1382,$A38,'架電リスト'!$J$5:$J$1382,"資料送付")</f>
        <v/>
      </c>
      <c r="H38" s="16">
        <f>COUNTIFS('架電リスト'!$B$5:$B$1382,$A38,'架電リスト'!$J$5:$J$1382,"アポ獲得")</f>
        <v/>
      </c>
      <c r="I38" s="16">
        <f>COUNTIFS('架電リスト'!$B$5:$B$1382,$A38,'架電リスト'!$J$5:$J$1382,"検討中")</f>
        <v/>
      </c>
      <c r="J38" s="16">
        <f>COUNTIFS('架電リスト'!$B$5:$B$1382,$A38,'架電リスト'!$J$5:$J$1382,"NG")</f>
        <v/>
      </c>
      <c r="K38" s="16">
        <f>COUNTIFS('架電リスト'!$B$5:$B$1382,$A38,'架電リスト'!$J$5:$J$1382,"番号不明")</f>
        <v/>
      </c>
    </row>
    <row r="39">
      <c r="A39" s="16" t="inlineStr">
        <is>
          <t>徳島県</t>
        </is>
      </c>
      <c r="B39" s="16">
        <f>COUNTIF('架電リスト'!$B$5:$B$1382,A39)</f>
        <v/>
      </c>
      <c r="C39" s="16">
        <f>COUNTIFS('架電リスト'!$B$5:$B$1382,A39,'架電リスト'!$E$5:$E$1382,"&lt;&gt;")</f>
        <v/>
      </c>
      <c r="D39" s="16">
        <f>B39-COUNTIFS('架電リスト'!$B$5:$B$1382,A39,'架電リスト'!$J$5:$J$1382,"未架電")-COUNTIFS('架電リスト'!$B$5:$B$1382,A39,'架電リスト'!$J$5:$J$1382,"")</f>
        <v/>
      </c>
      <c r="E39" s="16">
        <f>COUNTIFS('架電リスト'!$B$5:$B$1382,$A39,'架電リスト'!$J$5:$J$1382,"不在・折返し待ち")</f>
        <v/>
      </c>
      <c r="F39" s="16">
        <f>COUNTIFS('架電リスト'!$B$5:$B$1382,$A39,'架電リスト'!$J$5:$J$1382,"担当者不在")</f>
        <v/>
      </c>
      <c r="G39" s="16">
        <f>COUNTIFS('架電リスト'!$B$5:$B$1382,$A39,'架電リスト'!$J$5:$J$1382,"資料送付")</f>
        <v/>
      </c>
      <c r="H39" s="16">
        <f>COUNTIFS('架電リスト'!$B$5:$B$1382,$A39,'架電リスト'!$J$5:$J$1382,"アポ獲得")</f>
        <v/>
      </c>
      <c r="I39" s="16">
        <f>COUNTIFS('架電リスト'!$B$5:$B$1382,$A39,'架電リスト'!$J$5:$J$1382,"検討中")</f>
        <v/>
      </c>
      <c r="J39" s="16">
        <f>COUNTIFS('架電リスト'!$B$5:$B$1382,$A39,'架電リスト'!$J$5:$J$1382,"NG")</f>
        <v/>
      </c>
      <c r="K39" s="16">
        <f>COUNTIFS('架電リスト'!$B$5:$B$1382,$A39,'架電リスト'!$J$5:$J$1382,"番号不明")</f>
        <v/>
      </c>
    </row>
    <row r="40">
      <c r="A40" s="16" t="inlineStr">
        <is>
          <t>香川県</t>
        </is>
      </c>
      <c r="B40" s="16">
        <f>COUNTIF('架電リスト'!$B$5:$B$1382,A40)</f>
        <v/>
      </c>
      <c r="C40" s="16">
        <f>COUNTIFS('架電リスト'!$B$5:$B$1382,A40,'架電リスト'!$E$5:$E$1382,"&lt;&gt;")</f>
        <v/>
      </c>
      <c r="D40" s="16">
        <f>B40-COUNTIFS('架電リスト'!$B$5:$B$1382,A40,'架電リスト'!$J$5:$J$1382,"未架電")-COUNTIFS('架電リスト'!$B$5:$B$1382,A40,'架電リスト'!$J$5:$J$1382,"")</f>
        <v/>
      </c>
      <c r="E40" s="16">
        <f>COUNTIFS('架電リスト'!$B$5:$B$1382,$A40,'架電リスト'!$J$5:$J$1382,"不在・折返し待ち")</f>
        <v/>
      </c>
      <c r="F40" s="16">
        <f>COUNTIFS('架電リスト'!$B$5:$B$1382,$A40,'架電リスト'!$J$5:$J$1382,"担当者不在")</f>
        <v/>
      </c>
      <c r="G40" s="16">
        <f>COUNTIFS('架電リスト'!$B$5:$B$1382,$A40,'架電リスト'!$J$5:$J$1382,"資料送付")</f>
        <v/>
      </c>
      <c r="H40" s="16">
        <f>COUNTIFS('架電リスト'!$B$5:$B$1382,$A40,'架電リスト'!$J$5:$J$1382,"アポ獲得")</f>
        <v/>
      </c>
      <c r="I40" s="16">
        <f>COUNTIFS('架電リスト'!$B$5:$B$1382,$A40,'架電リスト'!$J$5:$J$1382,"検討中")</f>
        <v/>
      </c>
      <c r="J40" s="16">
        <f>COUNTIFS('架電リスト'!$B$5:$B$1382,$A40,'架電リスト'!$J$5:$J$1382,"NG")</f>
        <v/>
      </c>
      <c r="K40" s="16">
        <f>COUNTIFS('架電リスト'!$B$5:$B$1382,$A40,'架電リスト'!$J$5:$J$1382,"番号不明")</f>
        <v/>
      </c>
    </row>
    <row r="41">
      <c r="A41" s="16" t="inlineStr">
        <is>
          <t>愛媛県</t>
        </is>
      </c>
      <c r="B41" s="16">
        <f>COUNTIF('架電リスト'!$B$5:$B$1382,A41)</f>
        <v/>
      </c>
      <c r="C41" s="16">
        <f>COUNTIFS('架電リスト'!$B$5:$B$1382,A41,'架電リスト'!$E$5:$E$1382,"&lt;&gt;")</f>
        <v/>
      </c>
      <c r="D41" s="16">
        <f>B41-COUNTIFS('架電リスト'!$B$5:$B$1382,A41,'架電リスト'!$J$5:$J$1382,"未架電")-COUNTIFS('架電リスト'!$B$5:$B$1382,A41,'架電リスト'!$J$5:$J$1382,"")</f>
        <v/>
      </c>
      <c r="E41" s="16">
        <f>COUNTIFS('架電リスト'!$B$5:$B$1382,$A41,'架電リスト'!$J$5:$J$1382,"不在・折返し待ち")</f>
        <v/>
      </c>
      <c r="F41" s="16">
        <f>COUNTIFS('架電リスト'!$B$5:$B$1382,$A41,'架電リスト'!$J$5:$J$1382,"担当者不在")</f>
        <v/>
      </c>
      <c r="G41" s="16">
        <f>COUNTIFS('架電リスト'!$B$5:$B$1382,$A41,'架電リスト'!$J$5:$J$1382,"資料送付")</f>
        <v/>
      </c>
      <c r="H41" s="16">
        <f>COUNTIFS('架電リスト'!$B$5:$B$1382,$A41,'架電リスト'!$J$5:$J$1382,"アポ獲得")</f>
        <v/>
      </c>
      <c r="I41" s="16">
        <f>COUNTIFS('架電リスト'!$B$5:$B$1382,$A41,'架電リスト'!$J$5:$J$1382,"検討中")</f>
        <v/>
      </c>
      <c r="J41" s="16">
        <f>COUNTIFS('架電リスト'!$B$5:$B$1382,$A41,'架電リスト'!$J$5:$J$1382,"NG")</f>
        <v/>
      </c>
      <c r="K41" s="16">
        <f>COUNTIFS('架電リスト'!$B$5:$B$1382,$A41,'架電リスト'!$J$5:$J$1382,"番号不明")</f>
        <v/>
      </c>
    </row>
    <row r="42">
      <c r="A42" s="16" t="inlineStr">
        <is>
          <t>高知県</t>
        </is>
      </c>
      <c r="B42" s="16">
        <f>COUNTIF('架電リスト'!$B$5:$B$1382,A42)</f>
        <v/>
      </c>
      <c r="C42" s="16">
        <f>COUNTIFS('架電リスト'!$B$5:$B$1382,A42,'架電リスト'!$E$5:$E$1382,"&lt;&gt;")</f>
        <v/>
      </c>
      <c r="D42" s="16">
        <f>B42-COUNTIFS('架電リスト'!$B$5:$B$1382,A42,'架電リスト'!$J$5:$J$1382,"未架電")-COUNTIFS('架電リスト'!$B$5:$B$1382,A42,'架電リスト'!$J$5:$J$1382,"")</f>
        <v/>
      </c>
      <c r="E42" s="16">
        <f>COUNTIFS('架電リスト'!$B$5:$B$1382,$A42,'架電リスト'!$J$5:$J$1382,"不在・折返し待ち")</f>
        <v/>
      </c>
      <c r="F42" s="16">
        <f>COUNTIFS('架電リスト'!$B$5:$B$1382,$A42,'架電リスト'!$J$5:$J$1382,"担当者不在")</f>
        <v/>
      </c>
      <c r="G42" s="16">
        <f>COUNTIFS('架電リスト'!$B$5:$B$1382,$A42,'架電リスト'!$J$5:$J$1382,"資料送付")</f>
        <v/>
      </c>
      <c r="H42" s="16">
        <f>COUNTIFS('架電リスト'!$B$5:$B$1382,$A42,'架電リスト'!$J$5:$J$1382,"アポ獲得")</f>
        <v/>
      </c>
      <c r="I42" s="16">
        <f>COUNTIFS('架電リスト'!$B$5:$B$1382,$A42,'架電リスト'!$J$5:$J$1382,"検討中")</f>
        <v/>
      </c>
      <c r="J42" s="16">
        <f>COUNTIFS('架電リスト'!$B$5:$B$1382,$A42,'架電リスト'!$J$5:$J$1382,"NG")</f>
        <v/>
      </c>
      <c r="K42" s="16">
        <f>COUNTIFS('架電リスト'!$B$5:$B$1382,$A42,'架電リスト'!$J$5:$J$1382,"番号不明")</f>
        <v/>
      </c>
    </row>
    <row r="43">
      <c r="A43" s="16" t="inlineStr">
        <is>
          <t>福岡県</t>
        </is>
      </c>
      <c r="B43" s="16">
        <f>COUNTIF('架電リスト'!$B$5:$B$1382,A43)</f>
        <v/>
      </c>
      <c r="C43" s="16">
        <f>COUNTIFS('架電リスト'!$B$5:$B$1382,A43,'架電リスト'!$E$5:$E$1382,"&lt;&gt;")</f>
        <v/>
      </c>
      <c r="D43" s="16">
        <f>B43-COUNTIFS('架電リスト'!$B$5:$B$1382,A43,'架電リスト'!$J$5:$J$1382,"未架電")-COUNTIFS('架電リスト'!$B$5:$B$1382,A43,'架電リスト'!$J$5:$J$1382,"")</f>
        <v/>
      </c>
      <c r="E43" s="16">
        <f>COUNTIFS('架電リスト'!$B$5:$B$1382,$A43,'架電リスト'!$J$5:$J$1382,"不在・折返し待ち")</f>
        <v/>
      </c>
      <c r="F43" s="16">
        <f>COUNTIFS('架電リスト'!$B$5:$B$1382,$A43,'架電リスト'!$J$5:$J$1382,"担当者不在")</f>
        <v/>
      </c>
      <c r="G43" s="16">
        <f>COUNTIFS('架電リスト'!$B$5:$B$1382,$A43,'架電リスト'!$J$5:$J$1382,"資料送付")</f>
        <v/>
      </c>
      <c r="H43" s="16">
        <f>COUNTIFS('架電リスト'!$B$5:$B$1382,$A43,'架電リスト'!$J$5:$J$1382,"アポ獲得")</f>
        <v/>
      </c>
      <c r="I43" s="16">
        <f>COUNTIFS('架電リスト'!$B$5:$B$1382,$A43,'架電リスト'!$J$5:$J$1382,"検討中")</f>
        <v/>
      </c>
      <c r="J43" s="16">
        <f>COUNTIFS('架電リスト'!$B$5:$B$1382,$A43,'架電リスト'!$J$5:$J$1382,"NG")</f>
        <v/>
      </c>
      <c r="K43" s="16">
        <f>COUNTIFS('架電リスト'!$B$5:$B$1382,$A43,'架電リスト'!$J$5:$J$1382,"番号不明")</f>
        <v/>
      </c>
    </row>
    <row r="44">
      <c r="A44" s="16" t="inlineStr">
        <is>
          <t>佐賀県</t>
        </is>
      </c>
      <c r="B44" s="16">
        <f>COUNTIF('架電リスト'!$B$5:$B$1382,A44)</f>
        <v/>
      </c>
      <c r="C44" s="16">
        <f>COUNTIFS('架電リスト'!$B$5:$B$1382,A44,'架電リスト'!$E$5:$E$1382,"&lt;&gt;")</f>
        <v/>
      </c>
      <c r="D44" s="16">
        <f>B44-COUNTIFS('架電リスト'!$B$5:$B$1382,A44,'架電リスト'!$J$5:$J$1382,"未架電")-COUNTIFS('架電リスト'!$B$5:$B$1382,A44,'架電リスト'!$J$5:$J$1382,"")</f>
        <v/>
      </c>
      <c r="E44" s="16">
        <f>COUNTIFS('架電リスト'!$B$5:$B$1382,$A44,'架電リスト'!$J$5:$J$1382,"不在・折返し待ち")</f>
        <v/>
      </c>
      <c r="F44" s="16">
        <f>COUNTIFS('架電リスト'!$B$5:$B$1382,$A44,'架電リスト'!$J$5:$J$1382,"担当者不在")</f>
        <v/>
      </c>
      <c r="G44" s="16">
        <f>COUNTIFS('架電リスト'!$B$5:$B$1382,$A44,'架電リスト'!$J$5:$J$1382,"資料送付")</f>
        <v/>
      </c>
      <c r="H44" s="16">
        <f>COUNTIFS('架電リスト'!$B$5:$B$1382,$A44,'架電リスト'!$J$5:$J$1382,"アポ獲得")</f>
        <v/>
      </c>
      <c r="I44" s="16">
        <f>COUNTIFS('架電リスト'!$B$5:$B$1382,$A44,'架電リスト'!$J$5:$J$1382,"検討中")</f>
        <v/>
      </c>
      <c r="J44" s="16">
        <f>COUNTIFS('架電リスト'!$B$5:$B$1382,$A44,'架電リスト'!$J$5:$J$1382,"NG")</f>
        <v/>
      </c>
      <c r="K44" s="16">
        <f>COUNTIFS('架電リスト'!$B$5:$B$1382,$A44,'架電リスト'!$J$5:$J$1382,"番号不明")</f>
        <v/>
      </c>
    </row>
    <row r="45">
      <c r="A45" s="16" t="inlineStr">
        <is>
          <t>長崎県</t>
        </is>
      </c>
      <c r="B45" s="16">
        <f>COUNTIF('架電リスト'!$B$5:$B$1382,A45)</f>
        <v/>
      </c>
      <c r="C45" s="16">
        <f>COUNTIFS('架電リスト'!$B$5:$B$1382,A45,'架電リスト'!$E$5:$E$1382,"&lt;&gt;")</f>
        <v/>
      </c>
      <c r="D45" s="16">
        <f>B45-COUNTIFS('架電リスト'!$B$5:$B$1382,A45,'架電リスト'!$J$5:$J$1382,"未架電")-COUNTIFS('架電リスト'!$B$5:$B$1382,A45,'架電リスト'!$J$5:$J$1382,"")</f>
        <v/>
      </c>
      <c r="E45" s="16">
        <f>COUNTIFS('架電リスト'!$B$5:$B$1382,$A45,'架電リスト'!$J$5:$J$1382,"不在・折返し待ち")</f>
        <v/>
      </c>
      <c r="F45" s="16">
        <f>COUNTIFS('架電リスト'!$B$5:$B$1382,$A45,'架電リスト'!$J$5:$J$1382,"担当者不在")</f>
        <v/>
      </c>
      <c r="G45" s="16">
        <f>COUNTIFS('架電リスト'!$B$5:$B$1382,$A45,'架電リスト'!$J$5:$J$1382,"資料送付")</f>
        <v/>
      </c>
      <c r="H45" s="16">
        <f>COUNTIFS('架電リスト'!$B$5:$B$1382,$A45,'架電リスト'!$J$5:$J$1382,"アポ獲得")</f>
        <v/>
      </c>
      <c r="I45" s="16">
        <f>COUNTIFS('架電リスト'!$B$5:$B$1382,$A45,'架電リスト'!$J$5:$J$1382,"検討中")</f>
        <v/>
      </c>
      <c r="J45" s="16">
        <f>COUNTIFS('架電リスト'!$B$5:$B$1382,$A45,'架電リスト'!$J$5:$J$1382,"NG")</f>
        <v/>
      </c>
      <c r="K45" s="16">
        <f>COUNTIFS('架電リスト'!$B$5:$B$1382,$A45,'架電リスト'!$J$5:$J$1382,"番号不明")</f>
        <v/>
      </c>
    </row>
    <row r="46">
      <c r="A46" s="16" t="inlineStr">
        <is>
          <t>熊本県</t>
        </is>
      </c>
      <c r="B46" s="16">
        <f>COUNTIF('架電リスト'!$B$5:$B$1382,A46)</f>
        <v/>
      </c>
      <c r="C46" s="16">
        <f>COUNTIFS('架電リスト'!$B$5:$B$1382,A46,'架電リスト'!$E$5:$E$1382,"&lt;&gt;")</f>
        <v/>
      </c>
      <c r="D46" s="16">
        <f>B46-COUNTIFS('架電リスト'!$B$5:$B$1382,A46,'架電リスト'!$J$5:$J$1382,"未架電")-COUNTIFS('架電リスト'!$B$5:$B$1382,A46,'架電リスト'!$J$5:$J$1382,"")</f>
        <v/>
      </c>
      <c r="E46" s="16">
        <f>COUNTIFS('架電リスト'!$B$5:$B$1382,$A46,'架電リスト'!$J$5:$J$1382,"不在・折返し待ち")</f>
        <v/>
      </c>
      <c r="F46" s="16">
        <f>COUNTIFS('架電リスト'!$B$5:$B$1382,$A46,'架電リスト'!$J$5:$J$1382,"担当者不在")</f>
        <v/>
      </c>
      <c r="G46" s="16">
        <f>COUNTIFS('架電リスト'!$B$5:$B$1382,$A46,'架電リスト'!$J$5:$J$1382,"資料送付")</f>
        <v/>
      </c>
      <c r="H46" s="16">
        <f>COUNTIFS('架電リスト'!$B$5:$B$1382,$A46,'架電リスト'!$J$5:$J$1382,"アポ獲得")</f>
        <v/>
      </c>
      <c r="I46" s="16">
        <f>COUNTIFS('架電リスト'!$B$5:$B$1382,$A46,'架電リスト'!$J$5:$J$1382,"検討中")</f>
        <v/>
      </c>
      <c r="J46" s="16">
        <f>COUNTIFS('架電リスト'!$B$5:$B$1382,$A46,'架電リスト'!$J$5:$J$1382,"NG")</f>
        <v/>
      </c>
      <c r="K46" s="16">
        <f>COUNTIFS('架電リスト'!$B$5:$B$1382,$A46,'架電リスト'!$J$5:$J$1382,"番号不明")</f>
        <v/>
      </c>
    </row>
    <row r="47">
      <c r="A47" s="16" t="inlineStr">
        <is>
          <t>大分県</t>
        </is>
      </c>
      <c r="B47" s="16">
        <f>COUNTIF('架電リスト'!$B$5:$B$1382,A47)</f>
        <v/>
      </c>
      <c r="C47" s="16">
        <f>COUNTIFS('架電リスト'!$B$5:$B$1382,A47,'架電リスト'!$E$5:$E$1382,"&lt;&gt;")</f>
        <v/>
      </c>
      <c r="D47" s="16">
        <f>B47-COUNTIFS('架電リスト'!$B$5:$B$1382,A47,'架電リスト'!$J$5:$J$1382,"未架電")-COUNTIFS('架電リスト'!$B$5:$B$1382,A47,'架電リスト'!$J$5:$J$1382,"")</f>
        <v/>
      </c>
      <c r="E47" s="16">
        <f>COUNTIFS('架電リスト'!$B$5:$B$1382,$A47,'架電リスト'!$J$5:$J$1382,"不在・折返し待ち")</f>
        <v/>
      </c>
      <c r="F47" s="16">
        <f>COUNTIFS('架電リスト'!$B$5:$B$1382,$A47,'架電リスト'!$J$5:$J$1382,"担当者不在")</f>
        <v/>
      </c>
      <c r="G47" s="16">
        <f>COUNTIFS('架電リスト'!$B$5:$B$1382,$A47,'架電リスト'!$J$5:$J$1382,"資料送付")</f>
        <v/>
      </c>
      <c r="H47" s="16">
        <f>COUNTIFS('架電リスト'!$B$5:$B$1382,$A47,'架電リスト'!$J$5:$J$1382,"アポ獲得")</f>
        <v/>
      </c>
      <c r="I47" s="16">
        <f>COUNTIFS('架電リスト'!$B$5:$B$1382,$A47,'架電リスト'!$J$5:$J$1382,"検討中")</f>
        <v/>
      </c>
      <c r="J47" s="16">
        <f>COUNTIFS('架電リスト'!$B$5:$B$1382,$A47,'架電リスト'!$J$5:$J$1382,"NG")</f>
        <v/>
      </c>
      <c r="K47" s="16">
        <f>COUNTIFS('架電リスト'!$B$5:$B$1382,$A47,'架電リスト'!$J$5:$J$1382,"番号不明")</f>
        <v/>
      </c>
    </row>
    <row r="48">
      <c r="A48" s="16" t="inlineStr">
        <is>
          <t>宮崎県</t>
        </is>
      </c>
      <c r="B48" s="16">
        <f>COUNTIF('架電リスト'!$B$5:$B$1382,A48)</f>
        <v/>
      </c>
      <c r="C48" s="16">
        <f>COUNTIFS('架電リスト'!$B$5:$B$1382,A48,'架電リスト'!$E$5:$E$1382,"&lt;&gt;")</f>
        <v/>
      </c>
      <c r="D48" s="16">
        <f>B48-COUNTIFS('架電リスト'!$B$5:$B$1382,A48,'架電リスト'!$J$5:$J$1382,"未架電")-COUNTIFS('架電リスト'!$B$5:$B$1382,A48,'架電リスト'!$J$5:$J$1382,"")</f>
        <v/>
      </c>
      <c r="E48" s="16">
        <f>COUNTIFS('架電リスト'!$B$5:$B$1382,$A48,'架電リスト'!$J$5:$J$1382,"不在・折返し待ち")</f>
        <v/>
      </c>
      <c r="F48" s="16">
        <f>COUNTIFS('架電リスト'!$B$5:$B$1382,$A48,'架電リスト'!$J$5:$J$1382,"担当者不在")</f>
        <v/>
      </c>
      <c r="G48" s="16">
        <f>COUNTIFS('架電リスト'!$B$5:$B$1382,$A48,'架電リスト'!$J$5:$J$1382,"資料送付")</f>
        <v/>
      </c>
      <c r="H48" s="16">
        <f>COUNTIFS('架電リスト'!$B$5:$B$1382,$A48,'架電リスト'!$J$5:$J$1382,"アポ獲得")</f>
        <v/>
      </c>
      <c r="I48" s="16">
        <f>COUNTIFS('架電リスト'!$B$5:$B$1382,$A48,'架電リスト'!$J$5:$J$1382,"検討中")</f>
        <v/>
      </c>
      <c r="J48" s="16">
        <f>COUNTIFS('架電リスト'!$B$5:$B$1382,$A48,'架電リスト'!$J$5:$J$1382,"NG")</f>
        <v/>
      </c>
      <c r="K48" s="16">
        <f>COUNTIFS('架電リスト'!$B$5:$B$1382,$A48,'架電リスト'!$J$5:$J$1382,"番号不明")</f>
        <v/>
      </c>
    </row>
    <row r="49">
      <c r="A49" s="16" t="inlineStr">
        <is>
          <t>鹿児島県</t>
        </is>
      </c>
      <c r="B49" s="16">
        <f>COUNTIF('架電リスト'!$B$5:$B$1382,A49)</f>
        <v/>
      </c>
      <c r="C49" s="16">
        <f>COUNTIFS('架電リスト'!$B$5:$B$1382,A49,'架電リスト'!$E$5:$E$1382,"&lt;&gt;")</f>
        <v/>
      </c>
      <c r="D49" s="16">
        <f>B49-COUNTIFS('架電リスト'!$B$5:$B$1382,A49,'架電リスト'!$J$5:$J$1382,"未架電")-COUNTIFS('架電リスト'!$B$5:$B$1382,A49,'架電リスト'!$J$5:$J$1382,"")</f>
        <v/>
      </c>
      <c r="E49" s="16">
        <f>COUNTIFS('架電リスト'!$B$5:$B$1382,$A49,'架電リスト'!$J$5:$J$1382,"不在・折返し待ち")</f>
        <v/>
      </c>
      <c r="F49" s="16">
        <f>COUNTIFS('架電リスト'!$B$5:$B$1382,$A49,'架電リスト'!$J$5:$J$1382,"担当者不在")</f>
        <v/>
      </c>
      <c r="G49" s="16">
        <f>COUNTIFS('架電リスト'!$B$5:$B$1382,$A49,'架電リスト'!$J$5:$J$1382,"資料送付")</f>
        <v/>
      </c>
      <c r="H49" s="16">
        <f>COUNTIFS('架電リスト'!$B$5:$B$1382,$A49,'架電リスト'!$J$5:$J$1382,"アポ獲得")</f>
        <v/>
      </c>
      <c r="I49" s="16">
        <f>COUNTIFS('架電リスト'!$B$5:$B$1382,$A49,'架電リスト'!$J$5:$J$1382,"検討中")</f>
        <v/>
      </c>
      <c r="J49" s="16">
        <f>COUNTIFS('架電リスト'!$B$5:$B$1382,$A49,'架電リスト'!$J$5:$J$1382,"NG")</f>
        <v/>
      </c>
      <c r="K49" s="16">
        <f>COUNTIFS('架電リスト'!$B$5:$B$1382,$A49,'架電リスト'!$J$5:$J$1382,"番号不明")</f>
        <v/>
      </c>
    </row>
    <row r="50">
      <c r="A50" s="16" t="inlineStr">
        <is>
          <t>沖縄県</t>
        </is>
      </c>
      <c r="B50" s="16">
        <f>COUNTIF('架電リスト'!$B$5:$B$1382,A50)</f>
        <v/>
      </c>
      <c r="C50" s="16">
        <f>COUNTIFS('架電リスト'!$B$5:$B$1382,A50,'架電リスト'!$E$5:$E$1382,"&lt;&gt;")</f>
        <v/>
      </c>
      <c r="D50" s="16">
        <f>B50-COUNTIFS('架電リスト'!$B$5:$B$1382,A50,'架電リスト'!$J$5:$J$1382,"未架電")-COUNTIFS('架電リスト'!$B$5:$B$1382,A50,'架電リスト'!$J$5:$J$1382,"")</f>
        <v/>
      </c>
      <c r="E50" s="16">
        <f>COUNTIFS('架電リスト'!$B$5:$B$1382,$A50,'架電リスト'!$J$5:$J$1382,"不在・折返し待ち")</f>
        <v/>
      </c>
      <c r="F50" s="16">
        <f>COUNTIFS('架電リスト'!$B$5:$B$1382,$A50,'架電リスト'!$J$5:$J$1382,"担当者不在")</f>
        <v/>
      </c>
      <c r="G50" s="16">
        <f>COUNTIFS('架電リスト'!$B$5:$B$1382,$A50,'架電リスト'!$J$5:$J$1382,"資料送付")</f>
        <v/>
      </c>
      <c r="H50" s="16">
        <f>COUNTIFS('架電リスト'!$B$5:$B$1382,$A50,'架電リスト'!$J$5:$J$1382,"アポ獲得")</f>
        <v/>
      </c>
      <c r="I50" s="16">
        <f>COUNTIFS('架電リスト'!$B$5:$B$1382,$A50,'架電リスト'!$J$5:$J$1382,"検討中")</f>
        <v/>
      </c>
      <c r="J50" s="16">
        <f>COUNTIFS('架電リスト'!$B$5:$B$1382,$A50,'架電リスト'!$J$5:$J$1382,"NG")</f>
        <v/>
      </c>
      <c r="K50" s="16">
        <f>COUNTIFS('架電リスト'!$B$5:$B$1382,$A50,'架電リスト'!$J$5:$J$1382,"番号不明")</f>
        <v/>
      </c>
    </row>
    <row r="51">
      <c r="A51" s="17" t="inlineStr">
        <is>
          <t>合計</t>
        </is>
      </c>
      <c r="B51" s="17">
        <f>SUM(B4:B50)</f>
        <v/>
      </c>
      <c r="C51" s="17">
        <f>SUM(C4:C50)</f>
        <v/>
      </c>
      <c r="D51" s="17">
        <f>SUM(D4:D50)</f>
        <v/>
      </c>
      <c r="E51" s="17">
        <f>SUM(E4:E50)</f>
        <v/>
      </c>
      <c r="F51" s="17">
        <f>SUM(F4:F50)</f>
        <v/>
      </c>
      <c r="G51" s="17">
        <f>SUM(G4:G50)</f>
        <v/>
      </c>
      <c r="H51" s="17">
        <f>SUM(H4:H50)</f>
        <v/>
      </c>
      <c r="I51" s="17">
        <f>SUM(I4:I50)</f>
        <v/>
      </c>
      <c r="J51" s="17">
        <f>SUM(J4:J50)</f>
        <v/>
      </c>
      <c r="K51" s="17">
        <f>SUM(K4:K50)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・出典：ご提供いただいた学校ネットの検索結果（私立高校・全国47都道府県、1378校）の貼り付けデータ。並び順は都道府県ごとに元データの掲載順です。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2026-10-14T02:23:07Z</dcterms:created>
  <dcterms:modified xsi:type="dcterms:W3CDTF">2026-10-14T02:36:40Z</dcterms:modified>
</cp:coreProperties>
</file>