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'架電リスト'!$A$4:$O$1268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26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架電リスト（40都道府県／1264校）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  <row r="1209">
      <c r="A1209" s="4" t="n">
        <v>1205</v>
      </c>
      <c r="B1209" s="5" t="inlineStr">
        <is>
          <t>福岡県</t>
        </is>
      </c>
      <c r="C1209" s="5" t="inlineStr">
        <is>
          <t>飯塚市</t>
        </is>
      </c>
      <c r="D1209" s="5" t="inlineStr">
        <is>
          <t>飯塚高等学校</t>
        </is>
      </c>
      <c r="E1209" s="6" t="inlineStr">
        <is>
          <t>0948-22-6571</t>
        </is>
      </c>
      <c r="F1209" s="7" t="inlineStr">
        <is>
          <t>高</t>
        </is>
      </c>
      <c r="G1209" s="5" t="inlineStr">
        <is>
          <t>普通科・専門学科・総合学科</t>
        </is>
      </c>
      <c r="H1209" s="8" t="n"/>
      <c r="I1209" s="9" t="n"/>
      <c r="J1209" s="9" t="inlineStr">
        <is>
          <t>未架電</t>
        </is>
      </c>
      <c r="K1209" s="8" t="n"/>
      <c r="L1209" s="9" t="n"/>
      <c r="M1209" s="10" t="n"/>
      <c r="N1209" s="11" t="inlineStr">
        <is>
          <t>https://iizuka.ed.jp/contact/</t>
        </is>
      </c>
      <c r="O1209" s="12" t="inlineStr">
        <is>
          <t>開く</t>
        </is>
      </c>
    </row>
    <row r="1210">
      <c r="A1210" s="4" t="n">
        <v>1206</v>
      </c>
      <c r="B1210" s="5" t="inlineStr">
        <is>
          <t>福岡県</t>
        </is>
      </c>
      <c r="C1210" s="5" t="inlineStr">
        <is>
          <t>大牟田市</t>
        </is>
      </c>
      <c r="D1210" s="5" t="inlineStr">
        <is>
          <t>大牟田高等学校</t>
        </is>
      </c>
      <c r="E1210" s="6" t="inlineStr">
        <is>
          <t>0944-53-5011</t>
        </is>
      </c>
      <c r="F1210" s="7" t="inlineStr">
        <is>
          <t>高</t>
        </is>
      </c>
      <c r="G1210" s="5" t="inlineStr">
        <is>
          <t>普通科・専門学科・総合学科</t>
        </is>
      </c>
      <c r="H1210" s="8" t="n"/>
      <c r="I1210" s="9" t="n"/>
      <c r="J1210" s="9" t="inlineStr">
        <is>
          <t>未架電</t>
        </is>
      </c>
      <c r="K1210" s="8" t="n"/>
      <c r="L1210" s="9" t="n"/>
      <c r="M1210" s="10" t="inlineStr">
        <is>
          <t>併設の大牟田中は0944-53-5335</t>
        </is>
      </c>
      <c r="N1210" s="11" t="inlineStr">
        <is>
          <t>https://www.ohmuta.ac.jp/hs</t>
        </is>
      </c>
      <c r="O1210" s="12" t="inlineStr">
        <is>
          <t>開く</t>
        </is>
      </c>
    </row>
    <row r="1211">
      <c r="A1211" s="4" t="n">
        <v>1207</v>
      </c>
      <c r="B1211" s="5" t="inlineStr">
        <is>
          <t>福岡県</t>
        </is>
      </c>
      <c r="C1211" s="5" t="inlineStr">
        <is>
          <t>福岡市博多区</t>
        </is>
      </c>
      <c r="D1211" s="5" t="inlineStr">
        <is>
          <t>沖学園高等学校</t>
        </is>
      </c>
      <c r="E1211" s="6" t="inlineStr">
        <is>
          <t>092-431-1868</t>
        </is>
      </c>
      <c r="F1211" s="7" t="inlineStr">
        <is>
          <t>高</t>
        </is>
      </c>
      <c r="G1211" s="5" t="inlineStr">
        <is>
          <t>普通科・専門学科</t>
        </is>
      </c>
      <c r="H1211" s="8" t="n"/>
      <c r="I1211" s="9" t="n"/>
      <c r="J1211" s="9" t="inlineStr">
        <is>
          <t>未架電</t>
        </is>
      </c>
      <c r="K1211" s="8" t="n"/>
      <c r="L1211" s="9" t="n"/>
      <c r="M1211" s="10" t="n"/>
      <c r="N1211" s="11" t="inlineStr">
        <is>
          <t>https://oki.ed.jp/about/access.html</t>
        </is>
      </c>
      <c r="O1211" s="12" t="inlineStr">
        <is>
          <t>開く</t>
        </is>
      </c>
    </row>
    <row r="1212">
      <c r="A1212" s="4" t="n">
        <v>1208</v>
      </c>
      <c r="B1212" s="5" t="inlineStr">
        <is>
          <t>福岡県</t>
        </is>
      </c>
      <c r="C1212" s="5" t="inlineStr">
        <is>
          <t>北九州市八幡西区</t>
        </is>
      </c>
      <c r="D1212" s="5" t="inlineStr">
        <is>
          <t>折尾愛真高等学校</t>
        </is>
      </c>
      <c r="E1212" s="6" t="inlineStr">
        <is>
          <t>093-602-2100</t>
        </is>
      </c>
      <c r="F1212" s="7" t="inlineStr">
        <is>
          <t>高</t>
        </is>
      </c>
      <c r="G1212" s="5" t="inlineStr">
        <is>
          <t>普通科・専門学科</t>
        </is>
      </c>
      <c r="H1212" s="8" t="n"/>
      <c r="I1212" s="9" t="n"/>
      <c r="J1212" s="9" t="inlineStr">
        <is>
          <t>未架電</t>
        </is>
      </c>
      <c r="K1212" s="8" t="n"/>
      <c r="L1212" s="9" t="n"/>
      <c r="M1212" s="10" t="n"/>
      <c r="N1212" s="11" t="inlineStr">
        <is>
          <t>https://www.orioaishin.ac.jp/hs/access</t>
        </is>
      </c>
      <c r="O1212" s="12" t="inlineStr">
        <is>
          <t>開く</t>
        </is>
      </c>
    </row>
    <row r="1213">
      <c r="A1213" s="4" t="n">
        <v>1209</v>
      </c>
      <c r="B1213" s="5" t="inlineStr">
        <is>
          <t>福岡県</t>
        </is>
      </c>
      <c r="C1213" s="5" t="inlineStr">
        <is>
          <t>中間市</t>
        </is>
      </c>
      <c r="D1213" s="5" t="inlineStr">
        <is>
          <t>希望が丘高等学校</t>
        </is>
      </c>
      <c r="E1213" s="6" t="inlineStr">
        <is>
          <t>093-245-0481</t>
        </is>
      </c>
      <c r="F1213" s="7" t="inlineStr">
        <is>
          <t>高</t>
        </is>
      </c>
      <c r="G1213" s="5" t="inlineStr">
        <is>
          <t>専門学科・総合学科</t>
        </is>
      </c>
      <c r="H1213" s="8" t="n"/>
      <c r="I1213" s="9" t="n"/>
      <c r="J1213" s="9" t="inlineStr">
        <is>
          <t>未架電</t>
        </is>
      </c>
      <c r="K1213" s="8" t="n"/>
      <c r="L1213" s="9" t="n"/>
      <c r="M1213" s="10" t="n"/>
      <c r="N1213" s="11" t="inlineStr">
        <is>
          <t>http://www.kibou.ed.jp/</t>
        </is>
      </c>
      <c r="O1213" s="12" t="inlineStr">
        <is>
          <t>開く</t>
        </is>
      </c>
    </row>
    <row r="1214">
      <c r="A1214" s="4" t="n">
        <v>1210</v>
      </c>
      <c r="B1214" s="5" t="inlineStr">
        <is>
          <t>福岡県</t>
        </is>
      </c>
      <c r="C1214" s="5" t="inlineStr">
        <is>
          <t>北九州市八幡東区</t>
        </is>
      </c>
      <c r="D1214" s="5" t="inlineStr">
        <is>
          <t>九州国際大学付属高等学校</t>
        </is>
      </c>
      <c r="E1214" s="6" t="inlineStr">
        <is>
          <t>093-671-8443</t>
        </is>
      </c>
      <c r="F1214" s="7" t="inlineStr">
        <is>
          <t>高</t>
        </is>
      </c>
      <c r="G1214" s="5" t="inlineStr">
        <is>
          <t>普通科</t>
        </is>
      </c>
      <c r="H1214" s="8" t="n"/>
      <c r="I1214" s="9" t="n"/>
      <c r="J1214" s="9" t="inlineStr">
        <is>
          <t>未架電</t>
        </is>
      </c>
      <c r="K1214" s="8" t="n"/>
      <c r="L1214" s="9" t="n"/>
      <c r="M1214" s="10" t="inlineStr">
        <is>
          <t>第三者サイトに0120-411-945の記載あり（未確認）</t>
        </is>
      </c>
      <c r="N1214" s="11" t="inlineStr">
        <is>
          <t>https://www.959h.kif.ed.jp/</t>
        </is>
      </c>
      <c r="O1214" s="12" t="inlineStr">
        <is>
          <t>開く</t>
        </is>
      </c>
    </row>
    <row r="1215">
      <c r="A1215" s="4" t="n">
        <v>1211</v>
      </c>
      <c r="B1215" s="5" t="inlineStr">
        <is>
          <t>福岡県</t>
        </is>
      </c>
      <c r="C1215" s="5" t="inlineStr">
        <is>
          <t>福岡市東区</t>
        </is>
      </c>
      <c r="D1215" s="5" t="inlineStr">
        <is>
          <t>九州産業大学付属九州高等学校</t>
        </is>
      </c>
      <c r="E1215" s="6" t="inlineStr">
        <is>
          <t>092-681-0461</t>
        </is>
      </c>
      <c r="F1215" s="7" t="inlineStr">
        <is>
          <t>高</t>
        </is>
      </c>
      <c r="G1215" s="5" t="inlineStr">
        <is>
          <t>普通科・専門学科</t>
        </is>
      </c>
      <c r="H1215" s="8" t="n"/>
      <c r="I1215" s="9" t="n"/>
      <c r="J1215" s="9" t="inlineStr">
        <is>
          <t>未架電</t>
        </is>
      </c>
      <c r="K1215" s="8" t="n"/>
      <c r="L1215" s="9" t="n"/>
      <c r="M1215" s="10" t="n"/>
      <c r="N1215" s="11" t="inlineStr">
        <is>
          <t>https://www.kyushu-h.jp/</t>
        </is>
      </c>
      <c r="O1215" s="12" t="inlineStr">
        <is>
          <t>開く</t>
        </is>
      </c>
    </row>
    <row r="1216">
      <c r="A1216" s="4" t="n">
        <v>1212</v>
      </c>
      <c r="B1216" s="5" t="inlineStr">
        <is>
          <t>福岡県</t>
        </is>
      </c>
      <c r="C1216" s="5" t="inlineStr">
        <is>
          <t>筑紫野市</t>
        </is>
      </c>
      <c r="D1216" s="5" t="inlineStr">
        <is>
          <t>九州産業大学付属九州産業高等学校</t>
        </is>
      </c>
      <c r="E1216" s="6" t="inlineStr">
        <is>
          <t>092-923-3030</t>
        </is>
      </c>
      <c r="F1216" s="7" t="inlineStr">
        <is>
          <t>高</t>
        </is>
      </c>
      <c r="G1216" s="5" t="inlineStr">
        <is>
          <t>普通科・専門学科</t>
        </is>
      </c>
      <c r="H1216" s="8" t="n"/>
      <c r="I1216" s="9" t="n"/>
      <c r="J1216" s="9" t="inlineStr">
        <is>
          <t>未架電</t>
        </is>
      </c>
      <c r="K1216" s="8" t="n"/>
      <c r="L1216" s="9" t="n"/>
      <c r="M1216" s="10" t="inlineStr">
        <is>
          <t>事務室092-923-3031の記載あり</t>
        </is>
      </c>
      <c r="N1216" s="11" t="inlineStr">
        <is>
          <t>https://www.kyusanfukyusan-h.ed.jp/contact/</t>
        </is>
      </c>
      <c r="O1216" s="12" t="inlineStr">
        <is>
          <t>開く</t>
        </is>
      </c>
    </row>
    <row r="1217">
      <c r="A1217" s="4" t="n">
        <v>1213</v>
      </c>
      <c r="B1217" s="5" t="inlineStr">
        <is>
          <t>福岡県</t>
        </is>
      </c>
      <c r="C1217" s="5" t="inlineStr">
        <is>
          <t>飯塚市</t>
        </is>
      </c>
      <c r="D1217" s="5" t="inlineStr">
        <is>
          <t>近畿大学附属福岡高等学校</t>
        </is>
      </c>
      <c r="E1217" s="6" t="inlineStr">
        <is>
          <t>0948-22-2597</t>
        </is>
      </c>
      <c r="F1217" s="7" t="inlineStr">
        <is>
          <t>高</t>
        </is>
      </c>
      <c r="G1217" s="5" t="inlineStr">
        <is>
          <t>普通科・専門学科</t>
        </is>
      </c>
      <c r="H1217" s="8" t="n"/>
      <c r="I1217" s="9" t="n"/>
      <c r="J1217" s="9" t="inlineStr">
        <is>
          <t>未架電</t>
        </is>
      </c>
      <c r="K1217" s="8" t="n"/>
      <c r="L1217" s="9" t="n"/>
      <c r="M1217" s="10" t="inlineStr">
        <is>
          <t>全日制の番号。通信制は0948-22-5655</t>
        </is>
      </c>
      <c r="N1217" s="11" t="inlineStr">
        <is>
          <t>https://www.fhs.kindai.ac.jp/contact/</t>
        </is>
      </c>
      <c r="O1217" s="12" t="inlineStr">
        <is>
          <t>開く</t>
        </is>
      </c>
    </row>
    <row r="1218">
      <c r="A1218" s="4" t="n">
        <v>1214</v>
      </c>
      <c r="B1218" s="5" t="inlineStr">
        <is>
          <t>福岡県</t>
        </is>
      </c>
      <c r="C1218" s="5" t="inlineStr">
        <is>
          <t>北九州市八幡西区</t>
        </is>
      </c>
      <c r="D1218" s="5" t="inlineStr">
        <is>
          <t>仰星学園高等学校</t>
        </is>
      </c>
      <c r="E1218" s="6" t="inlineStr">
        <is>
          <t>093-663-6037</t>
        </is>
      </c>
      <c r="F1218" s="7" t="inlineStr">
        <is>
          <t>高</t>
        </is>
      </c>
      <c r="G1218" s="5" t="inlineStr">
        <is>
          <t>普通科</t>
        </is>
      </c>
      <c r="H1218" s="8" t="n"/>
      <c r="I1218" s="9" t="n"/>
      <c r="J1218" s="9" t="inlineStr">
        <is>
          <t>未架電</t>
        </is>
      </c>
      <c r="K1218" s="8" t="n"/>
      <c r="L1218" s="9" t="n"/>
      <c r="M1218" s="10" t="inlineStr">
        <is>
          <t>入試広報は093-661-8001</t>
        </is>
      </c>
      <c r="N1218" s="11" t="inlineStr">
        <is>
          <t>https://www.gyoseigakuen.ne.jp/contact.html</t>
        </is>
      </c>
      <c r="O1218" s="12" t="inlineStr">
        <is>
          <t>開く</t>
        </is>
      </c>
    </row>
    <row r="1219">
      <c r="A1219" s="4" t="n">
        <v>1215</v>
      </c>
      <c r="B1219" s="5" t="inlineStr">
        <is>
          <t>福岡県</t>
        </is>
      </c>
      <c r="C1219" s="5" t="inlineStr">
        <is>
          <t>久留米市</t>
        </is>
      </c>
      <c r="D1219" s="5" t="inlineStr">
        <is>
          <t>久留米学園高等学校</t>
        </is>
      </c>
      <c r="E1219" s="6" t="inlineStr">
        <is>
          <t>0942-34-4535</t>
        </is>
      </c>
      <c r="F1219" s="7" t="inlineStr">
        <is>
          <t>高</t>
        </is>
      </c>
      <c r="G1219" s="5" t="inlineStr">
        <is>
          <t>普通科・総合学科</t>
        </is>
      </c>
      <c r="H1219" s="8" t="n"/>
      <c r="I1219" s="9" t="n"/>
      <c r="J1219" s="9" t="inlineStr">
        <is>
          <t>未架電</t>
        </is>
      </c>
      <c r="K1219" s="8" t="n"/>
      <c r="L1219" s="9" t="n"/>
      <c r="M1219" s="10" t="n"/>
      <c r="N1219" s="11" t="inlineStr">
        <is>
          <t>https://gakuen.ac.jp/contact/</t>
        </is>
      </c>
      <c r="O1219" s="12" t="inlineStr">
        <is>
          <t>開く</t>
        </is>
      </c>
    </row>
    <row r="1220">
      <c r="A1220" s="4" t="n">
        <v>1216</v>
      </c>
      <c r="B1220" s="5" t="inlineStr">
        <is>
          <t>福岡県</t>
        </is>
      </c>
      <c r="C1220" s="5" t="inlineStr">
        <is>
          <t>久留米市</t>
        </is>
      </c>
      <c r="D1220" s="5" t="inlineStr">
        <is>
          <t>久留米信愛高等学校</t>
        </is>
      </c>
      <c r="E1220" s="6" t="inlineStr">
        <is>
          <t>0942-43-4533</t>
        </is>
      </c>
      <c r="F1220" s="7" t="inlineStr">
        <is>
          <t>高</t>
        </is>
      </c>
      <c r="G1220" s="5" t="inlineStr">
        <is>
          <t>普通科</t>
        </is>
      </c>
      <c r="H1220" s="8" t="n"/>
      <c r="I1220" s="9" t="n"/>
      <c r="J1220" s="9" t="inlineStr">
        <is>
          <t>未架電</t>
        </is>
      </c>
      <c r="K1220" s="8" t="n"/>
      <c r="L1220" s="9" t="n"/>
      <c r="M1220" s="10" t="inlineStr">
        <is>
          <t>中高（全日制）の番号。学院代表0942-43-4531、通信制0942-43-4532</t>
        </is>
      </c>
      <c r="N1220" s="11" t="inlineStr">
        <is>
          <t>https://www.kurume-shinai.ac.jp/contact/</t>
        </is>
      </c>
      <c r="O1220" s="12" t="inlineStr">
        <is>
          <t>開く</t>
        </is>
      </c>
    </row>
    <row r="1221">
      <c r="A1221" s="4" t="n">
        <v>1217</v>
      </c>
      <c r="B1221" s="5" t="inlineStr">
        <is>
          <t>福岡県</t>
        </is>
      </c>
      <c r="C1221" s="5" t="inlineStr">
        <is>
          <t>久留米市</t>
        </is>
      </c>
      <c r="D1221" s="5" t="inlineStr">
        <is>
          <t>久留米大学附設高等学校</t>
        </is>
      </c>
      <c r="E1221" s="6" t="inlineStr">
        <is>
          <t>0942-44-2222</t>
        </is>
      </c>
      <c r="F1221" s="7" t="inlineStr">
        <is>
          <t>高</t>
        </is>
      </c>
      <c r="G1221" s="5" t="inlineStr">
        <is>
          <t>普通科</t>
        </is>
      </c>
      <c r="H1221" s="8" t="n"/>
      <c r="I1221" s="9" t="n"/>
      <c r="J1221" s="9" t="inlineStr">
        <is>
          <t>未架電</t>
        </is>
      </c>
      <c r="K1221" s="8" t="n"/>
      <c r="L1221" s="9" t="n"/>
      <c r="M1221" s="10" t="inlineStr">
        <is>
          <t>中高共通の事務室代表</t>
        </is>
      </c>
      <c r="N1221" s="11" t="inlineStr">
        <is>
          <t>https://fusetsu.kurume-u.ac.jp/contact/</t>
        </is>
      </c>
      <c r="O1221" s="12" t="inlineStr">
        <is>
          <t>開く</t>
        </is>
      </c>
    </row>
    <row r="1222">
      <c r="A1222" s="4" t="n">
        <v>1218</v>
      </c>
      <c r="B1222" s="5" t="inlineStr">
        <is>
          <t>福岡県</t>
        </is>
      </c>
      <c r="C1222" s="5" t="inlineStr">
        <is>
          <t>北九州市門司区</t>
        </is>
      </c>
      <c r="D1222" s="5" t="inlineStr">
        <is>
          <t>敬愛高等学校</t>
        </is>
      </c>
      <c r="E1222" s="6" t="inlineStr">
        <is>
          <t>093-381-3537</t>
        </is>
      </c>
      <c r="F1222" s="7" t="inlineStr">
        <is>
          <t>高</t>
        </is>
      </c>
      <c r="G1222" s="5" t="inlineStr">
        <is>
          <t>普通科</t>
        </is>
      </c>
      <c r="H1222" s="8" t="n"/>
      <c r="I1222" s="9" t="n"/>
      <c r="J1222" s="9" t="inlineStr">
        <is>
          <t>未架電</t>
        </is>
      </c>
      <c r="K1222" s="8" t="n"/>
      <c r="L1222" s="9" t="n"/>
      <c r="M1222" s="10" t="n"/>
      <c r="N1222" s="11" t="inlineStr">
        <is>
          <t>https://www.keiai.net/high/</t>
        </is>
      </c>
      <c r="O1222" s="12" t="inlineStr">
        <is>
          <t>開く</t>
        </is>
      </c>
    </row>
    <row r="1223">
      <c r="A1223" s="4" t="n">
        <v>1219</v>
      </c>
      <c r="B1223" s="5" t="inlineStr">
        <is>
          <t>福岡県</t>
        </is>
      </c>
      <c r="C1223" s="5" t="inlineStr">
        <is>
          <t>北九州市小倉北区</t>
        </is>
      </c>
      <c r="D1223" s="5" t="inlineStr">
        <is>
          <t>慶成高等学校</t>
        </is>
      </c>
      <c r="E1223" s="6" t="inlineStr">
        <is>
          <t>093-561-1331</t>
        </is>
      </c>
      <c r="F1223" s="7" t="inlineStr">
        <is>
          <t>高</t>
        </is>
      </c>
      <c r="G1223" s="5" t="inlineStr">
        <is>
          <t>普通科・専門学科</t>
        </is>
      </c>
      <c r="H1223" s="8" t="n"/>
      <c r="I1223" s="9" t="n"/>
      <c r="J1223" s="9" t="inlineStr">
        <is>
          <t>未架電</t>
        </is>
      </c>
      <c r="K1223" s="8" t="n"/>
      <c r="L1223" s="9" t="n"/>
      <c r="M1223" s="10" t="n"/>
      <c r="N1223" s="11" t="inlineStr">
        <is>
          <t>https://keisei-h.jp/inquiry/</t>
        </is>
      </c>
      <c r="O1223" s="12" t="inlineStr">
        <is>
          <t>開く</t>
        </is>
      </c>
    </row>
    <row r="1224">
      <c r="A1224" s="4" t="n">
        <v>1220</v>
      </c>
      <c r="B1224" s="5" t="inlineStr">
        <is>
          <t>福岡県</t>
        </is>
      </c>
      <c r="C1224" s="5" t="inlineStr">
        <is>
          <t>北九州市若松区</t>
        </is>
      </c>
      <c r="D1224" s="5" t="inlineStr">
        <is>
          <t>高稜高等学校</t>
        </is>
      </c>
      <c r="E1224" s="6" t="inlineStr">
        <is>
          <t>093-791-3911</t>
        </is>
      </c>
      <c r="F1224" s="7" t="inlineStr">
        <is>
          <t>高</t>
        </is>
      </c>
      <c r="G1224" s="5" t="inlineStr">
        <is>
          <t>普通科</t>
        </is>
      </c>
      <c r="H1224" s="8" t="n"/>
      <c r="I1224" s="9" t="n"/>
      <c r="J1224" s="9" t="inlineStr">
        <is>
          <t>未架電</t>
        </is>
      </c>
      <c r="K1224" s="8" t="n"/>
      <c r="L1224" s="9" t="n"/>
      <c r="M1224" s="10" t="n"/>
      <c r="N1224" s="11" t="inlineStr">
        <is>
          <t>http://www.kouryou.ed.jp/</t>
        </is>
      </c>
      <c r="O1224" s="12" t="inlineStr">
        <is>
          <t>開く</t>
        </is>
      </c>
    </row>
    <row r="1225">
      <c r="A1225" s="4" t="n">
        <v>1221</v>
      </c>
      <c r="B1225" s="5" t="inlineStr">
        <is>
          <t>福岡県</t>
        </is>
      </c>
      <c r="C1225" s="5" t="inlineStr">
        <is>
          <t>北九州市小倉北区</t>
        </is>
      </c>
      <c r="D1225" s="5" t="inlineStr">
        <is>
          <t>真颯館高等学校</t>
        </is>
      </c>
      <c r="E1225" s="6" t="inlineStr">
        <is>
          <t>093-561-1231</t>
        </is>
      </c>
      <c r="F1225" s="7" t="inlineStr">
        <is>
          <t>高</t>
        </is>
      </c>
      <c r="G1225" s="5" t="inlineStr">
        <is>
          <t>普通科・専門学科</t>
        </is>
      </c>
      <c r="H1225" s="8" t="n"/>
      <c r="I1225" s="9" t="n"/>
      <c r="J1225" s="9" t="inlineStr">
        <is>
          <t>未架電</t>
        </is>
      </c>
      <c r="K1225" s="8" t="n"/>
      <c r="L1225" s="9" t="n"/>
      <c r="M1225" s="10" t="n"/>
      <c r="N1225" s="11" t="inlineStr">
        <is>
          <t>http://www.shinsokan-h.ed.jp/contact/</t>
        </is>
      </c>
      <c r="O1225" s="12" t="inlineStr">
        <is>
          <t>開く</t>
        </is>
      </c>
    </row>
    <row r="1226">
      <c r="A1226" s="4" t="n">
        <v>1222</v>
      </c>
      <c r="B1226" s="5" t="inlineStr">
        <is>
          <t>福岡県</t>
        </is>
      </c>
      <c r="C1226" s="5" t="inlineStr">
        <is>
          <t>福岡市南区</t>
        </is>
      </c>
      <c r="D1226" s="5" t="inlineStr">
        <is>
          <t>純真高等学校</t>
        </is>
      </c>
      <c r="E1226" s="6" t="inlineStr">
        <is>
          <t>092-541-9710</t>
        </is>
      </c>
      <c r="F1226" s="7" t="inlineStr">
        <is>
          <t>高</t>
        </is>
      </c>
      <c r="G1226" s="5" t="inlineStr">
        <is>
          <t>普通科・専門学科</t>
        </is>
      </c>
      <c r="H1226" s="8" t="n"/>
      <c r="I1226" s="9" t="n"/>
      <c r="J1226" s="9" t="inlineStr">
        <is>
          <t>未架電</t>
        </is>
      </c>
      <c r="K1226" s="8" t="n"/>
      <c r="L1226" s="9" t="n"/>
      <c r="M1226" s="10" t="inlineStr">
        <is>
          <t>法人は092-541-1511</t>
        </is>
      </c>
      <c r="N1226" s="11" t="inlineStr">
        <is>
          <t>https://junshin-hs.ed.jp/contact</t>
        </is>
      </c>
      <c r="O1226" s="12" t="inlineStr">
        <is>
          <t>開く</t>
        </is>
      </c>
    </row>
    <row r="1227">
      <c r="A1227" s="4" t="n">
        <v>1223</v>
      </c>
      <c r="B1227" s="5" t="inlineStr">
        <is>
          <t>福岡県</t>
        </is>
      </c>
      <c r="C1227" s="5" t="inlineStr">
        <is>
          <t>北九州市八幡西区</t>
        </is>
      </c>
      <c r="D1227" s="5" t="inlineStr">
        <is>
          <t>自由ケ丘高等学校</t>
        </is>
      </c>
      <c r="E1227" s="6" t="inlineStr">
        <is>
          <t>093-693-3090</t>
        </is>
      </c>
      <c r="F1227" s="7" t="inlineStr">
        <is>
          <t>高</t>
        </is>
      </c>
      <c r="G1227" s="5" t="inlineStr">
        <is>
          <t>普通科</t>
        </is>
      </c>
      <c r="H1227" s="8" t="n"/>
      <c r="I1227" s="9" t="n"/>
      <c r="J1227" s="9" t="inlineStr">
        <is>
          <t>未架電</t>
        </is>
      </c>
      <c r="K1227" s="8" t="n"/>
      <c r="L1227" s="9" t="n"/>
      <c r="M1227" s="10" t="inlineStr">
        <is>
          <t>事務室093-693-3030の記載あり</t>
        </is>
      </c>
      <c r="N1227" s="11" t="inlineStr">
        <is>
          <t>https://www.jiyugaoka-hs.ed.jp/</t>
        </is>
      </c>
      <c r="O1227" s="12" t="inlineStr">
        <is>
          <t>開く</t>
        </is>
      </c>
    </row>
    <row r="1228">
      <c r="A1228" s="4" t="n">
        <v>1224</v>
      </c>
      <c r="B1228" s="5" t="inlineStr">
        <is>
          <t>福岡県</t>
        </is>
      </c>
      <c r="C1228" s="5" t="inlineStr">
        <is>
          <t>福岡市中央区</t>
        </is>
      </c>
      <c r="D1228" s="5" t="inlineStr">
        <is>
          <t>上智福岡高等学校</t>
        </is>
      </c>
      <c r="E1228" s="6" t="inlineStr">
        <is>
          <t>092-712-7181</t>
        </is>
      </c>
      <c r="F1228" s="7" t="inlineStr">
        <is>
          <t>高</t>
        </is>
      </c>
      <c r="G1228" s="5" t="inlineStr">
        <is>
          <t>普通科</t>
        </is>
      </c>
      <c r="H1228" s="8" t="n"/>
      <c r="I1228" s="9" t="n"/>
      <c r="J1228" s="9" t="inlineStr">
        <is>
          <t>未架電</t>
        </is>
      </c>
      <c r="K1228" s="8" t="n"/>
      <c r="L1228" s="9" t="n"/>
      <c r="M1228" s="10" t="inlineStr">
        <is>
          <t>中高共通番号</t>
        </is>
      </c>
      <c r="N1228" s="11" t="inlineStr">
        <is>
          <t>https://www.sophia-fukuoka.ed.jp/contact_info/</t>
        </is>
      </c>
      <c r="O1228" s="12" t="inlineStr">
        <is>
          <t>開く</t>
        </is>
      </c>
    </row>
    <row r="1229">
      <c r="A1229" s="4" t="n">
        <v>1225</v>
      </c>
      <c r="B1229" s="5" t="inlineStr">
        <is>
          <t>福岡県</t>
        </is>
      </c>
      <c r="C1229" s="5" t="inlineStr">
        <is>
          <t>福岡市博多区</t>
        </is>
      </c>
      <c r="D1229" s="5" t="inlineStr">
        <is>
          <t>精華女子高等学校</t>
        </is>
      </c>
      <c r="E1229" s="6" t="inlineStr">
        <is>
          <t>092-431-1434</t>
        </is>
      </c>
      <c r="F1229" s="7" t="inlineStr">
        <is>
          <t>高</t>
        </is>
      </c>
      <c r="G1229" s="5" t="inlineStr">
        <is>
          <t>普通科・専門学科</t>
        </is>
      </c>
      <c r="H1229" s="8" t="n"/>
      <c r="I1229" s="9" t="n"/>
      <c r="J1229" s="9" t="inlineStr">
        <is>
          <t>未架電</t>
        </is>
      </c>
      <c r="K1229" s="8" t="n"/>
      <c r="L1229" s="9" t="n"/>
      <c r="M1229" s="10" t="n"/>
      <c r="N1229" s="11" t="inlineStr">
        <is>
          <t>https://www.seika-ghs.ed.jp/</t>
        </is>
      </c>
      <c r="O1229" s="12" t="inlineStr">
        <is>
          <t>開く</t>
        </is>
      </c>
    </row>
    <row r="1230">
      <c r="A1230" s="4" t="n">
        <v>1226</v>
      </c>
      <c r="B1230" s="5" t="inlineStr">
        <is>
          <t>福岡県</t>
        </is>
      </c>
      <c r="C1230" s="5" t="inlineStr">
        <is>
          <t>大牟田市</t>
        </is>
      </c>
      <c r="D1230" s="5" t="inlineStr">
        <is>
          <t>誠修高等学校</t>
        </is>
      </c>
      <c r="E1230" s="6" t="inlineStr">
        <is>
          <t>0944-55-2344</t>
        </is>
      </c>
      <c r="F1230" s="7" t="inlineStr">
        <is>
          <t>高</t>
        </is>
      </c>
      <c r="G1230" s="5" t="inlineStr">
        <is>
          <t>普通科・専門学科</t>
        </is>
      </c>
      <c r="H1230" s="8" t="n"/>
      <c r="I1230" s="9" t="n"/>
      <c r="J1230" s="9" t="inlineStr">
        <is>
          <t>未架電</t>
        </is>
      </c>
      <c r="K1230" s="8" t="n"/>
      <c r="L1230" s="9" t="n"/>
      <c r="M1230" s="10" t="n"/>
      <c r="N1230" s="11" t="inlineStr">
        <is>
          <t>http://seishu.ed.jp/school/access/</t>
        </is>
      </c>
      <c r="O1230" s="12" t="inlineStr">
        <is>
          <t>開く</t>
        </is>
      </c>
    </row>
    <row r="1231">
      <c r="A1231" s="4" t="n">
        <v>1227</v>
      </c>
      <c r="B1231" s="5" t="inlineStr">
        <is>
          <t>福岡県</t>
        </is>
      </c>
      <c r="C1231" s="5" t="inlineStr">
        <is>
          <t>福岡市早良区</t>
        </is>
      </c>
      <c r="D1231" s="5" t="inlineStr">
        <is>
          <t>西南学院高等学校</t>
        </is>
      </c>
      <c r="E1231" s="6" t="inlineStr">
        <is>
          <t>092-841-1317</t>
        </is>
      </c>
      <c r="F1231" s="7" t="inlineStr">
        <is>
          <t>高</t>
        </is>
      </c>
      <c r="G1231" s="5" t="inlineStr">
        <is>
          <t>普通科</t>
        </is>
      </c>
      <c r="H1231" s="8" t="n"/>
      <c r="I1231" s="9" t="n"/>
      <c r="J1231" s="9" t="inlineStr">
        <is>
          <t>未架電</t>
        </is>
      </c>
      <c r="K1231" s="8" t="n"/>
      <c r="L1231" s="9" t="n"/>
      <c r="M1231" s="10" t="inlineStr">
        <is>
          <t>中高共通番号</t>
        </is>
      </c>
      <c r="N1231" s="11" t="inlineStr">
        <is>
          <t>https://hs.seinan.ed.jp/access/</t>
        </is>
      </c>
      <c r="O1231" s="12" t="inlineStr">
        <is>
          <t>開く</t>
        </is>
      </c>
    </row>
    <row r="1232">
      <c r="A1232" s="4" t="n">
        <v>1228</v>
      </c>
      <c r="B1232" s="5" t="inlineStr">
        <is>
          <t>福岡県</t>
        </is>
      </c>
      <c r="C1232" s="5" t="inlineStr">
        <is>
          <t>北九州市小倉北区</t>
        </is>
      </c>
      <c r="D1232" s="5" t="inlineStr">
        <is>
          <t>西南女学院高等学校</t>
        </is>
      </c>
      <c r="E1232" s="6" t="inlineStr">
        <is>
          <t>093-583-5800</t>
        </is>
      </c>
      <c r="F1232" s="7" t="inlineStr">
        <is>
          <t>高</t>
        </is>
      </c>
      <c r="G1232" s="5" t="inlineStr">
        <is>
          <t>普通科</t>
        </is>
      </c>
      <c r="H1232" s="8" t="n"/>
      <c r="I1232" s="9" t="n"/>
      <c r="J1232" s="9" t="inlineStr">
        <is>
          <t>未架電</t>
        </is>
      </c>
      <c r="K1232" s="8" t="n"/>
      <c r="L1232" s="9" t="n"/>
      <c r="M1232" s="10" t="inlineStr">
        <is>
          <t>中高共通番号。gakkou.netは093-583-5848と記載</t>
        </is>
      </c>
      <c r="N1232" s="11" t="inlineStr">
        <is>
          <t>https://www.seinan-jo.ac.jp/houjin/</t>
        </is>
      </c>
      <c r="O1232" s="12" t="inlineStr">
        <is>
          <t>開く</t>
        </is>
      </c>
    </row>
    <row r="1233">
      <c r="A1233" s="4" t="n">
        <v>1229</v>
      </c>
      <c r="B1233" s="5" t="inlineStr">
        <is>
          <t>福岡県</t>
        </is>
      </c>
      <c r="C1233" s="5" t="inlineStr">
        <is>
          <t>北九州市八幡西区</t>
        </is>
      </c>
      <c r="D1233" s="5" t="inlineStr">
        <is>
          <t>星琳高等学校</t>
        </is>
      </c>
      <c r="E1233" s="6" t="inlineStr">
        <is>
          <t>093-631-5350</t>
        </is>
      </c>
      <c r="F1233" s="7" t="inlineStr">
        <is>
          <t>高</t>
        </is>
      </c>
      <c r="G1233" s="5" t="inlineStr">
        <is>
          <t>普通科・専門学科</t>
        </is>
      </c>
      <c r="H1233" s="8" t="n"/>
      <c r="I1233" s="9" t="n"/>
      <c r="J1233" s="9" t="inlineStr">
        <is>
          <t>未架電</t>
        </is>
      </c>
      <c r="K1233" s="8" t="n"/>
      <c r="L1233" s="9" t="n"/>
      <c r="M1233" s="10" t="n"/>
      <c r="N1233" s="11" t="inlineStr">
        <is>
          <t>https://www.seirin.ac.jp/</t>
        </is>
      </c>
      <c r="O1233" s="12" t="inlineStr">
        <is>
          <t>開く</t>
        </is>
      </c>
    </row>
    <row r="1234">
      <c r="A1234" s="4" t="n">
        <v>1230</v>
      </c>
      <c r="B1234" s="5" t="inlineStr">
        <is>
          <t>福岡県</t>
        </is>
      </c>
      <c r="C1234" s="5" t="inlineStr">
        <is>
          <t>福岡市南区</t>
        </is>
      </c>
      <c r="D1234" s="5" t="inlineStr">
        <is>
          <t>第一薬科大学付属高等学校</t>
        </is>
      </c>
      <c r="E1234" s="6" t="inlineStr">
        <is>
          <t>092-541-0167</t>
        </is>
      </c>
      <c r="F1234" s="13" t="inlineStr">
        <is>
          <t>中</t>
        </is>
      </c>
      <c r="G1234" s="5" t="inlineStr">
        <is>
          <t>普通科・専門学科</t>
        </is>
      </c>
      <c r="H1234" s="8" t="n"/>
      <c r="I1234" s="9" t="n"/>
      <c r="J1234" s="9" t="inlineStr">
        <is>
          <t>未架電</t>
        </is>
      </c>
      <c r="K1234" s="8" t="n"/>
      <c r="L1234" s="9" t="n"/>
      <c r="M1234" s="10" t="inlineStr">
        <is>
          <t>公式未確認、複数サイトで一致。通信制福岡キャンパスは092-562-4749</t>
        </is>
      </c>
      <c r="N1234" s="11" t="inlineStr">
        <is>
          <t>https://www.mapion.co.jp/phonebook/M11004/40134/ILSP0000041841_ipclm/</t>
        </is>
      </c>
      <c r="O1234" s="12" t="inlineStr">
        <is>
          <t>開く</t>
        </is>
      </c>
    </row>
    <row r="1235">
      <c r="A1235" s="4" t="n">
        <v>1231</v>
      </c>
      <c r="B1235" s="5" t="inlineStr">
        <is>
          <t>福岡県</t>
        </is>
      </c>
      <c r="C1235" s="5" t="inlineStr">
        <is>
          <t>福岡市東区</t>
        </is>
      </c>
      <c r="D1235" s="5" t="inlineStr">
        <is>
          <t>立花高等学校</t>
        </is>
      </c>
      <c r="E1235" s="6" t="inlineStr">
        <is>
          <t>092-606-2792</t>
        </is>
      </c>
      <c r="F1235" s="7" t="inlineStr">
        <is>
          <t>高</t>
        </is>
      </c>
      <c r="G1235" s="5" t="inlineStr">
        <is>
          <t>普通科</t>
        </is>
      </c>
      <c r="H1235" s="8" t="n"/>
      <c r="I1235" s="9" t="n"/>
      <c r="J1235" s="9" t="inlineStr">
        <is>
          <t>未架電</t>
        </is>
      </c>
      <c r="K1235" s="8" t="n"/>
      <c r="L1235" s="9" t="n"/>
      <c r="M1235" s="10" t="n"/>
      <c r="N1235" s="11" t="inlineStr">
        <is>
          <t>https://www.tachibanahs.net/blank-18</t>
        </is>
      </c>
      <c r="O1235" s="12" t="inlineStr">
        <is>
          <t>開く</t>
        </is>
      </c>
    </row>
    <row r="1236">
      <c r="A1236" s="4" t="n">
        <v>1232</v>
      </c>
      <c r="B1236" s="5" t="inlineStr">
        <is>
          <t>福岡県</t>
        </is>
      </c>
      <c r="C1236" s="5" t="inlineStr">
        <is>
          <t>福岡市中央区</t>
        </is>
      </c>
      <c r="D1236" s="5" t="inlineStr">
        <is>
          <t>筑紫女学園高等学校</t>
        </is>
      </c>
      <c r="E1236" s="6" t="inlineStr">
        <is>
          <t>092-771-3066</t>
        </is>
      </c>
      <c r="F1236" s="7" t="inlineStr">
        <is>
          <t>高</t>
        </is>
      </c>
      <c r="G1236" s="5" t="inlineStr">
        <is>
          <t>普通科</t>
        </is>
      </c>
      <c r="H1236" s="8" t="n"/>
      <c r="I1236" s="9" t="n"/>
      <c r="J1236" s="9" t="inlineStr">
        <is>
          <t>未架電</t>
        </is>
      </c>
      <c r="K1236" s="8" t="n"/>
      <c r="L1236" s="9" t="n"/>
      <c r="M1236" s="10" t="n"/>
      <c r="N1236" s="11" t="inlineStr">
        <is>
          <t>https://chikujo.ed.jp/schoolinfo/access/</t>
        </is>
      </c>
      <c r="O1236" s="12" t="inlineStr">
        <is>
          <t>開く</t>
        </is>
      </c>
    </row>
    <row r="1237">
      <c r="A1237" s="4" t="n">
        <v>1233</v>
      </c>
      <c r="B1237" s="5" t="inlineStr">
        <is>
          <t>福岡県</t>
        </is>
      </c>
      <c r="C1237" s="5" t="inlineStr">
        <is>
          <t>太宰府市</t>
        </is>
      </c>
      <c r="D1237" s="5" t="inlineStr">
        <is>
          <t>筑紫台高等学校</t>
        </is>
      </c>
      <c r="E1237" s="6" t="inlineStr">
        <is>
          <t>092-923-0010</t>
        </is>
      </c>
      <c r="F1237" s="7" t="inlineStr">
        <is>
          <t>高</t>
        </is>
      </c>
      <c r="G1237" s="5" t="inlineStr">
        <is>
          <t>普通科・専門学科・総合学科</t>
        </is>
      </c>
      <c r="H1237" s="8" t="n"/>
      <c r="I1237" s="9" t="n"/>
      <c r="J1237" s="9" t="inlineStr">
        <is>
          <t>未架電</t>
        </is>
      </c>
      <c r="K1237" s="8" t="n"/>
      <c r="L1237" s="9" t="n"/>
      <c r="M1237" s="10" t="n"/>
      <c r="N1237" s="11" t="inlineStr">
        <is>
          <t>https://chikushidai.ed.jp/schoollife/access</t>
        </is>
      </c>
      <c r="O1237" s="12" t="inlineStr">
        <is>
          <t>開く</t>
        </is>
      </c>
    </row>
    <row r="1238">
      <c r="A1238" s="4" t="n">
        <v>1234</v>
      </c>
      <c r="B1238" s="5" t="inlineStr">
        <is>
          <t>福岡県</t>
        </is>
      </c>
      <c r="C1238" s="5" t="inlineStr">
        <is>
          <t>太宰府市</t>
        </is>
      </c>
      <c r="D1238" s="5" t="inlineStr">
        <is>
          <t>筑陽学園高等学校</t>
        </is>
      </c>
      <c r="E1238" s="6" t="inlineStr">
        <is>
          <t>092-922-7361</t>
        </is>
      </c>
      <c r="F1238" s="7" t="inlineStr">
        <is>
          <t>高</t>
        </is>
      </c>
      <c r="G1238" s="5" t="inlineStr">
        <is>
          <t>普通科・専門学科</t>
        </is>
      </c>
      <c r="H1238" s="8" t="n"/>
      <c r="I1238" s="9" t="n"/>
      <c r="J1238" s="9" t="inlineStr">
        <is>
          <t>未架電</t>
        </is>
      </c>
      <c r="K1238" s="8" t="n"/>
      <c r="L1238" s="9" t="n"/>
      <c r="M1238" s="10" t="n"/>
      <c r="N1238" s="11" t="inlineStr">
        <is>
          <t>http://www.chikuyogakuen.ed.jp/accessmap.html</t>
        </is>
      </c>
      <c r="O1238" s="12" t="inlineStr">
        <is>
          <t>開く</t>
        </is>
      </c>
    </row>
    <row r="1239">
      <c r="A1239" s="4" t="n">
        <v>1235</v>
      </c>
      <c r="B1239" s="5" t="inlineStr">
        <is>
          <t>福岡県</t>
        </is>
      </c>
      <c r="C1239" s="5" t="inlineStr">
        <is>
          <t>宗像市</t>
        </is>
      </c>
      <c r="D1239" s="5" t="inlineStr">
        <is>
          <t>東海大学付属福岡高等学校</t>
        </is>
      </c>
      <c r="E1239" s="6" t="inlineStr">
        <is>
          <t>0940-32-3311</t>
        </is>
      </c>
      <c r="F1239" s="7" t="inlineStr">
        <is>
          <t>高</t>
        </is>
      </c>
      <c r="G1239" s="5" t="inlineStr">
        <is>
          <t>普通科</t>
        </is>
      </c>
      <c r="H1239" s="8" t="n"/>
      <c r="I1239" s="9" t="n"/>
      <c r="J1239" s="9" t="inlineStr">
        <is>
          <t>未架電</t>
        </is>
      </c>
      <c r="K1239" s="8" t="n"/>
      <c r="L1239" s="9" t="n"/>
      <c r="M1239" s="10" t="n"/>
      <c r="N1239" s="11" t="inlineStr">
        <is>
          <t>https://www.fukuoka.tokai.ed.jp/contact/</t>
        </is>
      </c>
      <c r="O1239" s="12" t="inlineStr">
        <is>
          <t>開く</t>
        </is>
      </c>
    </row>
    <row r="1240">
      <c r="A1240" s="4" t="n">
        <v>1236</v>
      </c>
      <c r="B1240" s="5" t="inlineStr">
        <is>
          <t>福岡県</t>
        </is>
      </c>
      <c r="C1240" s="5" t="inlineStr">
        <is>
          <t>北九州市小倉南区</t>
        </is>
      </c>
      <c r="D1240" s="5" t="inlineStr">
        <is>
          <t>常磐高等学校（福岡県）</t>
        </is>
      </c>
      <c r="E1240" s="6" t="inlineStr">
        <is>
          <t>093-961-2334</t>
        </is>
      </c>
      <c r="F1240" s="7" t="inlineStr">
        <is>
          <t>高</t>
        </is>
      </c>
      <c r="G1240" s="5" t="inlineStr">
        <is>
          <t>普通科</t>
        </is>
      </c>
      <c r="H1240" s="8" t="n"/>
      <c r="I1240" s="9" t="n"/>
      <c r="J1240" s="9" t="inlineStr">
        <is>
          <t>未架電</t>
        </is>
      </c>
      <c r="K1240" s="8" t="n"/>
      <c r="L1240" s="9" t="n"/>
      <c r="M1240" s="10" t="n"/>
      <c r="N1240" s="11" t="inlineStr">
        <is>
          <t>https://www.tokiwa-hs.ed.jp/</t>
        </is>
      </c>
      <c r="O1240" s="12" t="inlineStr">
        <is>
          <t>開く</t>
        </is>
      </c>
    </row>
    <row r="1241">
      <c r="A1241" s="4" t="n">
        <v>1237</v>
      </c>
      <c r="B1241" s="5" t="inlineStr">
        <is>
          <t>福岡県</t>
        </is>
      </c>
      <c r="C1241" s="5" t="inlineStr">
        <is>
          <t>福岡市城南区</t>
        </is>
      </c>
      <c r="D1241" s="5" t="inlineStr">
        <is>
          <t>中村学園高等学校</t>
        </is>
      </c>
      <c r="E1241" s="6" t="inlineStr">
        <is>
          <t>092-831-0981</t>
        </is>
      </c>
      <c r="F1241" s="7" t="inlineStr">
        <is>
          <t>高</t>
        </is>
      </c>
      <c r="G1241" s="5" t="inlineStr">
        <is>
          <t>普通科</t>
        </is>
      </c>
      <c r="H1241" s="8" t="n"/>
      <c r="I1241" s="9" t="n"/>
      <c r="J1241" s="9" t="inlineStr">
        <is>
          <t>未架電</t>
        </is>
      </c>
      <c r="K1241" s="8" t="n"/>
      <c r="L1241" s="9" t="n"/>
      <c r="M1241" s="10" t="inlineStr">
        <is>
          <t>旧・中村学園女子。2026年4月に共学化・改称</t>
        </is>
      </c>
      <c r="N1241" s="11" t="inlineStr">
        <is>
          <t>https://www.nakamura-njh.ed.jp/access/</t>
        </is>
      </c>
      <c r="O1241" s="12" t="inlineStr">
        <is>
          <t>開く</t>
        </is>
      </c>
    </row>
    <row r="1242">
      <c r="A1242" s="4" t="n">
        <v>1238</v>
      </c>
      <c r="B1242" s="5" t="inlineStr">
        <is>
          <t>福岡県</t>
        </is>
      </c>
      <c r="C1242" s="5" t="inlineStr">
        <is>
          <t>福岡市西区</t>
        </is>
      </c>
      <c r="D1242" s="5" t="inlineStr">
        <is>
          <t>中村学園三陽高等学校</t>
        </is>
      </c>
      <c r="E1242" s="6" t="inlineStr">
        <is>
          <t>092-882-6611</t>
        </is>
      </c>
      <c r="F1242" s="7" t="inlineStr">
        <is>
          <t>高</t>
        </is>
      </c>
      <c r="G1242" s="5" t="inlineStr">
        <is>
          <t>普通科</t>
        </is>
      </c>
      <c r="H1242" s="8" t="n"/>
      <c r="I1242" s="9" t="n"/>
      <c r="J1242" s="9" t="inlineStr">
        <is>
          <t>未架電</t>
        </is>
      </c>
      <c r="K1242" s="8" t="n"/>
      <c r="L1242" s="9" t="n"/>
      <c r="M1242" s="10" t="inlineStr">
        <is>
          <t>【募集停止】2026年度から生徒募集停止、2028年3月末閉校予定</t>
        </is>
      </c>
      <c r="N1242" s="11" t="inlineStr">
        <is>
          <t>https://www.nakamura-sanyo.ed.jp/</t>
        </is>
      </c>
      <c r="O1242" s="12" t="inlineStr">
        <is>
          <t>開く</t>
        </is>
      </c>
    </row>
    <row r="1243">
      <c r="A1243" s="4" t="n">
        <v>1239</v>
      </c>
      <c r="B1243" s="5" t="inlineStr">
        <is>
          <t>福岡県</t>
        </is>
      </c>
      <c r="C1243" s="5" t="inlineStr">
        <is>
          <t>八女市</t>
        </is>
      </c>
      <c r="D1243" s="5" t="inlineStr">
        <is>
          <t>西日本短期大学附属高等学校</t>
        </is>
      </c>
      <c r="E1243" s="6" t="inlineStr">
        <is>
          <t>0943-23-5662</t>
        </is>
      </c>
      <c r="F1243" s="7" t="inlineStr">
        <is>
          <t>高</t>
        </is>
      </c>
      <c r="G1243" s="5" t="inlineStr">
        <is>
          <t>普通科</t>
        </is>
      </c>
      <c r="H1243" s="8" t="n"/>
      <c r="I1243" s="9" t="n"/>
      <c r="J1243" s="9" t="inlineStr">
        <is>
          <t>未架電</t>
        </is>
      </c>
      <c r="K1243" s="8" t="n"/>
      <c r="L1243" s="9" t="n"/>
      <c r="M1243" s="10" t="inlineStr">
        <is>
          <t>立志館（特進）は0943-23-5913</t>
        </is>
      </c>
      <c r="N1243" s="11" t="inlineStr">
        <is>
          <t>https://www.nishitan.ed.jp/contact/</t>
        </is>
      </c>
      <c r="O1243" s="12" t="inlineStr">
        <is>
          <t>開く</t>
        </is>
      </c>
    </row>
    <row r="1244">
      <c r="A1244" s="4" t="n">
        <v>1240</v>
      </c>
      <c r="B1244" s="5" t="inlineStr">
        <is>
          <t>福岡県</t>
        </is>
      </c>
      <c r="C1244" s="5" t="inlineStr">
        <is>
          <t>福岡市東区</t>
        </is>
      </c>
      <c r="D1244" s="5" t="inlineStr">
        <is>
          <t>博多高等学校</t>
        </is>
      </c>
      <c r="E1244" s="6" t="inlineStr">
        <is>
          <t>092-681-0331</t>
        </is>
      </c>
      <c r="F1244" s="7" t="inlineStr">
        <is>
          <t>高</t>
        </is>
      </c>
      <c r="G1244" s="5" t="inlineStr">
        <is>
          <t>普通科・専門学科</t>
        </is>
      </c>
      <c r="H1244" s="8" t="n"/>
      <c r="I1244" s="9" t="n"/>
      <c r="J1244" s="9" t="inlineStr">
        <is>
          <t>未架電</t>
        </is>
      </c>
      <c r="K1244" s="8" t="n"/>
      <c r="L1244" s="9" t="n"/>
      <c r="M1244" s="10" t="n"/>
      <c r="N1244" s="11" t="inlineStr">
        <is>
          <t>http://www2.hakata.ed.jp/highschool/</t>
        </is>
      </c>
      <c r="O1244" s="12" t="inlineStr">
        <is>
          <t>開く</t>
        </is>
      </c>
    </row>
    <row r="1245">
      <c r="A1245" s="4" t="n">
        <v>1241</v>
      </c>
      <c r="B1245" s="5" t="inlineStr">
        <is>
          <t>福岡県</t>
        </is>
      </c>
      <c r="C1245" s="5" t="inlineStr">
        <is>
          <t>福岡市東区</t>
        </is>
      </c>
      <c r="D1245" s="5" t="inlineStr">
        <is>
          <t>博多女子高等学校</t>
        </is>
      </c>
      <c r="E1245" s="6" t="inlineStr">
        <is>
          <t>092-651-1465</t>
        </is>
      </c>
      <c r="F1245" s="7" t="inlineStr">
        <is>
          <t>高</t>
        </is>
      </c>
      <c r="G1245" s="5" t="inlineStr">
        <is>
          <t>普通科・専門学科</t>
        </is>
      </c>
      <c r="H1245" s="8" t="n"/>
      <c r="I1245" s="9" t="n"/>
      <c r="J1245" s="9" t="inlineStr">
        <is>
          <t>未架電</t>
        </is>
      </c>
      <c r="K1245" s="8" t="n"/>
      <c r="L1245" s="9" t="n"/>
      <c r="M1245" s="10" t="n"/>
      <c r="N1245" s="11" t="inlineStr">
        <is>
          <t>https://www.ghakata.ac.jp/sh/</t>
        </is>
      </c>
      <c r="O1245" s="12" t="inlineStr">
        <is>
          <t>開く</t>
        </is>
      </c>
    </row>
    <row r="1246">
      <c r="A1246" s="4" t="n">
        <v>1242</v>
      </c>
      <c r="B1246" s="5" t="inlineStr">
        <is>
          <t>福岡県</t>
        </is>
      </c>
      <c r="C1246" s="5" t="inlineStr">
        <is>
          <t>北九州市小倉北区</t>
        </is>
      </c>
      <c r="D1246" s="5" t="inlineStr">
        <is>
          <t>東筑紫学園高等学校</t>
        </is>
      </c>
      <c r="E1246" s="6" t="inlineStr">
        <is>
          <t>093-571-0488</t>
        </is>
      </c>
      <c r="F1246" s="7" t="inlineStr">
        <is>
          <t>高</t>
        </is>
      </c>
      <c r="G1246" s="5" t="inlineStr">
        <is>
          <t>普通科・専門学科</t>
        </is>
      </c>
      <c r="H1246" s="8" t="n"/>
      <c r="I1246" s="9" t="n"/>
      <c r="J1246" s="9" t="inlineStr">
        <is>
          <t>未架電</t>
        </is>
      </c>
      <c r="K1246" s="8" t="n"/>
      <c r="L1246" s="9" t="n"/>
      <c r="M1246" s="10" t="n"/>
      <c r="N1246" s="11" t="inlineStr">
        <is>
          <t>https://www.hcg.ed.jp/inquiry/</t>
        </is>
      </c>
      <c r="O1246" s="12" t="inlineStr">
        <is>
          <t>開く</t>
        </is>
      </c>
    </row>
    <row r="1247">
      <c r="A1247" s="4" t="n">
        <v>1243</v>
      </c>
      <c r="B1247" s="5" t="inlineStr">
        <is>
          <t>福岡県</t>
        </is>
      </c>
      <c r="C1247" s="5" t="inlineStr">
        <is>
          <t>福岡市博多区</t>
        </is>
      </c>
      <c r="D1247" s="5" t="inlineStr">
        <is>
          <t>東福岡高等学校</t>
        </is>
      </c>
      <c r="E1247" s="6" t="inlineStr">
        <is>
          <t>092-411-3702</t>
        </is>
      </c>
      <c r="F1247" s="7" t="inlineStr">
        <is>
          <t>高</t>
        </is>
      </c>
      <c r="G1247" s="5" t="inlineStr">
        <is>
          <t>普通科</t>
        </is>
      </c>
      <c r="H1247" s="8" t="n"/>
      <c r="I1247" s="9" t="n"/>
      <c r="J1247" s="9" t="inlineStr">
        <is>
          <t>未架電</t>
        </is>
      </c>
      <c r="K1247" s="8" t="n"/>
      <c r="L1247" s="9" t="n"/>
      <c r="M1247" s="10" t="inlineStr">
        <is>
          <t>2025年度から男女共学</t>
        </is>
      </c>
      <c r="N1247" s="11" t="inlineStr">
        <is>
          <t>https://www.higashifukuoka.ed.jp/higashifukuoka-info/hscontact</t>
        </is>
      </c>
      <c r="O1247" s="12" t="inlineStr">
        <is>
          <t>開く</t>
        </is>
      </c>
    </row>
    <row r="1248">
      <c r="A1248" s="4" t="n">
        <v>1244</v>
      </c>
      <c r="B1248" s="5" t="inlineStr">
        <is>
          <t>福岡県</t>
        </is>
      </c>
      <c r="C1248" s="5" t="inlineStr">
        <is>
          <t>福岡市南区</t>
        </is>
      </c>
      <c r="D1248" s="5" t="inlineStr">
        <is>
          <t>福岡海星女子学院高等学校</t>
        </is>
      </c>
      <c r="E1248" s="6" t="inlineStr">
        <is>
          <t>092-565-4950</t>
        </is>
      </c>
      <c r="F1248" s="7" t="inlineStr">
        <is>
          <t>高</t>
        </is>
      </c>
      <c r="G1248" s="5" t="inlineStr">
        <is>
          <t>普通科</t>
        </is>
      </c>
      <c r="H1248" s="8" t="n"/>
      <c r="I1248" s="9" t="n"/>
      <c r="J1248" s="9" t="inlineStr">
        <is>
          <t>未架電</t>
        </is>
      </c>
      <c r="K1248" s="8" t="n"/>
      <c r="L1248" s="9" t="n"/>
      <c r="M1248" s="10" t="n"/>
      <c r="N1248" s="11" t="inlineStr">
        <is>
          <t>https://www.f-kaisei.ed.jp/access.html</t>
        </is>
      </c>
      <c r="O1248" s="12" t="inlineStr">
        <is>
          <t>開く</t>
        </is>
      </c>
    </row>
    <row r="1249">
      <c r="A1249" s="4" t="n">
        <v>1245</v>
      </c>
      <c r="B1249" s="5" t="inlineStr">
        <is>
          <t>福岡県</t>
        </is>
      </c>
      <c r="C1249" s="5" t="inlineStr">
        <is>
          <t>柳川市</t>
        </is>
      </c>
      <c r="D1249" s="5" t="inlineStr">
        <is>
          <t>福岡キャリア i 高等学校</t>
        </is>
      </c>
      <c r="E1249" s="6" t="inlineStr">
        <is>
          <t>0944-72-5216</t>
        </is>
      </c>
      <c r="F1249" s="7" t="inlineStr">
        <is>
          <t>高</t>
        </is>
      </c>
      <c r="G1249" s="5" t="inlineStr">
        <is>
          <t>専門学科</t>
        </is>
      </c>
      <c r="H1249" s="8" t="n"/>
      <c r="I1249" s="9" t="n"/>
      <c r="J1249" s="9" t="inlineStr">
        <is>
          <t>未架電</t>
        </is>
      </c>
      <c r="K1249" s="8" t="n"/>
      <c r="L1249" s="9" t="n"/>
      <c r="M1249" s="10" t="inlineStr">
        <is>
          <t>2026年4月に杉森高等学校から校名変更（番号は同じ）</t>
        </is>
      </c>
      <c r="N1249" s="11" t="inlineStr">
        <is>
          <t>https://fci-hs.ed.jp/school.php</t>
        </is>
      </c>
      <c r="O1249" s="12" t="inlineStr">
        <is>
          <t>開く</t>
        </is>
      </c>
    </row>
    <row r="1250">
      <c r="A1250" s="4" t="n">
        <v>1246</v>
      </c>
      <c r="B1250" s="5" t="inlineStr">
        <is>
          <t>福岡県</t>
        </is>
      </c>
      <c r="C1250" s="5" t="inlineStr">
        <is>
          <t>福岡市東区</t>
        </is>
      </c>
      <c r="D1250" s="5" t="inlineStr">
        <is>
          <t>福岡工業大学附属城東高等学校</t>
        </is>
      </c>
      <c r="E1250" s="6" t="inlineStr">
        <is>
          <t>092-606-0724</t>
        </is>
      </c>
      <c r="F1250" s="7" t="inlineStr">
        <is>
          <t>高</t>
        </is>
      </c>
      <c r="G1250" s="5" t="inlineStr">
        <is>
          <t>普通科・専門学科</t>
        </is>
      </c>
      <c r="H1250" s="8" t="n"/>
      <c r="I1250" s="9" t="n"/>
      <c r="J1250" s="9" t="inlineStr">
        <is>
          <t>未架電</t>
        </is>
      </c>
      <c r="K1250" s="8" t="n"/>
      <c r="L1250" s="9" t="n"/>
      <c r="M1250" s="10" t="inlineStr">
        <is>
          <t>事務室番号。職員室は092-606-0797</t>
        </is>
      </c>
      <c r="N1250" s="11" t="inlineStr">
        <is>
          <t>https://jyoto.fit.jp/zaikousei/</t>
        </is>
      </c>
      <c r="O1250" s="12" t="inlineStr">
        <is>
          <t>開く</t>
        </is>
      </c>
    </row>
    <row r="1251">
      <c r="A1251" s="4" t="n">
        <v>1247</v>
      </c>
      <c r="B1251" s="5" t="inlineStr">
        <is>
          <t>福岡県</t>
        </is>
      </c>
      <c r="C1251" s="5" t="inlineStr">
        <is>
          <t>筑紫野市</t>
        </is>
      </c>
      <c r="D1251" s="5" t="inlineStr">
        <is>
          <t>福岡常葉高等学校</t>
        </is>
      </c>
      <c r="E1251" s="6" t="inlineStr">
        <is>
          <t>092-926-0731</t>
        </is>
      </c>
      <c r="F1251" s="7" t="inlineStr">
        <is>
          <t>高</t>
        </is>
      </c>
      <c r="G1251" s="5" t="inlineStr">
        <is>
          <t>普通科・専門学科</t>
        </is>
      </c>
      <c r="H1251" s="8" t="n"/>
      <c r="I1251" s="9" t="n"/>
      <c r="J1251" s="9" t="inlineStr">
        <is>
          <t>未架電</t>
        </is>
      </c>
      <c r="K1251" s="8" t="n"/>
      <c r="L1251" s="9" t="n"/>
      <c r="M1251" s="10" t="n"/>
      <c r="N1251" s="11" t="inlineStr">
        <is>
          <t>https://ssl.f-joyo.ed.jp/</t>
        </is>
      </c>
      <c r="O1251" s="12" t="inlineStr">
        <is>
          <t>開く</t>
        </is>
      </c>
    </row>
    <row r="1252">
      <c r="A1252" s="4" t="n">
        <v>1248</v>
      </c>
      <c r="B1252" s="5" t="inlineStr">
        <is>
          <t>福岡県</t>
        </is>
      </c>
      <c r="C1252" s="5" t="inlineStr">
        <is>
          <t>福岡市南区</t>
        </is>
      </c>
      <c r="D1252" s="5" t="inlineStr">
        <is>
          <t>福岡女学院高等学校</t>
        </is>
      </c>
      <c r="E1252" s="6" t="inlineStr">
        <is>
          <t>092-575-2470</t>
        </is>
      </c>
      <c r="F1252" s="7" t="inlineStr">
        <is>
          <t>高</t>
        </is>
      </c>
      <c r="G1252" s="5" t="inlineStr">
        <is>
          <t>普通科・専門学科</t>
        </is>
      </c>
      <c r="H1252" s="8" t="n"/>
      <c r="I1252" s="9" t="n"/>
      <c r="J1252" s="9" t="inlineStr">
        <is>
          <t>未架電</t>
        </is>
      </c>
      <c r="K1252" s="8" t="n"/>
      <c r="L1252" s="9" t="n"/>
      <c r="M1252" s="10" t="inlineStr">
        <is>
          <t>中高事務室番号。法人本部代表は092-581-1492</t>
        </is>
      </c>
      <c r="N1252" s="11" t="inlineStr">
        <is>
          <t>http://www2.fukujo.ac.jp/js_new/access/</t>
        </is>
      </c>
      <c r="O1252" s="12" t="inlineStr">
        <is>
          <t>開く</t>
        </is>
      </c>
    </row>
    <row r="1253">
      <c r="A1253" s="4" t="n">
        <v>1249</v>
      </c>
      <c r="B1253" s="5" t="inlineStr">
        <is>
          <t>福岡県</t>
        </is>
      </c>
      <c r="C1253" s="5" t="inlineStr">
        <is>
          <t>那珂川市</t>
        </is>
      </c>
      <c r="D1253" s="5" t="inlineStr">
        <is>
          <t>福岡女子商業高等学校</t>
        </is>
      </c>
      <c r="E1253" s="6" t="inlineStr">
        <is>
          <t>092-952-2231</t>
        </is>
      </c>
      <c r="F1253" s="7" t="inlineStr">
        <is>
          <t>高</t>
        </is>
      </c>
      <c r="G1253" s="5" t="inlineStr">
        <is>
          <t>専門学科</t>
        </is>
      </c>
      <c r="H1253" s="8" t="n"/>
      <c r="I1253" s="9" t="n"/>
      <c r="J1253" s="9" t="inlineStr">
        <is>
          <t>未架電</t>
        </is>
      </c>
      <c r="K1253" s="8" t="n"/>
      <c r="L1253" s="9" t="n"/>
      <c r="M1253" s="10" t="n"/>
      <c r="N1253" s="11" t="inlineStr">
        <is>
          <t>https://yashima.ac.jp/fgchs/?page_id=4804</t>
        </is>
      </c>
      <c r="O1253" s="12" t="inlineStr">
        <is>
          <t>開く</t>
        </is>
      </c>
    </row>
    <row r="1254">
      <c r="A1254" s="4" t="n">
        <v>1250</v>
      </c>
      <c r="B1254" s="5" t="inlineStr">
        <is>
          <t>福岡県</t>
        </is>
      </c>
      <c r="C1254" s="5" t="inlineStr">
        <is>
          <t>福岡市南区</t>
        </is>
      </c>
      <c r="D1254" s="5" t="inlineStr">
        <is>
          <t>福岡第一高等学校</t>
        </is>
      </c>
      <c r="E1254" s="6" t="inlineStr">
        <is>
          <t>092-541-0165</t>
        </is>
      </c>
      <c r="F1254" s="7" t="inlineStr">
        <is>
          <t>高</t>
        </is>
      </c>
      <c r="G1254" s="5" t="inlineStr">
        <is>
          <t>普通科・専門学科</t>
        </is>
      </c>
      <c r="H1254" s="8" t="n"/>
      <c r="I1254" s="9" t="n"/>
      <c r="J1254" s="9" t="inlineStr">
        <is>
          <t>未架電</t>
        </is>
      </c>
      <c r="K1254" s="8" t="n"/>
      <c r="L1254" s="9" t="n"/>
      <c r="M1254" s="10" t="inlineStr">
        <is>
          <t>非通知発信はつながらない設定</t>
        </is>
      </c>
      <c r="N1254" s="11" t="inlineStr">
        <is>
          <t>https://f.f-parama.ed.jp/</t>
        </is>
      </c>
      <c r="O1254" s="12" t="inlineStr">
        <is>
          <t>開く</t>
        </is>
      </c>
    </row>
    <row r="1255">
      <c r="A1255" s="4" t="n">
        <v>1251</v>
      </c>
      <c r="B1255" s="5" t="inlineStr">
        <is>
          <t>福岡県</t>
        </is>
      </c>
      <c r="C1255" s="5" t="inlineStr">
        <is>
          <t>福岡市中央区</t>
        </is>
      </c>
      <c r="D1255" s="5" t="inlineStr">
        <is>
          <t>福岡大学附属大濠高等学校</t>
        </is>
      </c>
      <c r="E1255" s="6" t="inlineStr">
        <is>
          <t>092-771-0731</t>
        </is>
      </c>
      <c r="F1255" s="7" t="inlineStr">
        <is>
          <t>高</t>
        </is>
      </c>
      <c r="G1255" s="5" t="inlineStr">
        <is>
          <t>普通科</t>
        </is>
      </c>
      <c r="H1255" s="8" t="n"/>
      <c r="I1255" s="9" t="n"/>
      <c r="J1255" s="9" t="inlineStr">
        <is>
          <t>未架電</t>
        </is>
      </c>
      <c r="K1255" s="8" t="n"/>
      <c r="L1255" s="9" t="n"/>
      <c r="M1255" s="10" t="inlineStr">
        <is>
          <t>高校の番号。中学は092-712-5828</t>
        </is>
      </c>
      <c r="N1255" s="11" t="inlineStr">
        <is>
          <t>https://www.ohori.ed.jp/office/</t>
        </is>
      </c>
      <c r="O1255" s="12" t="inlineStr">
        <is>
          <t>開く</t>
        </is>
      </c>
    </row>
    <row r="1256">
      <c r="A1256" s="4" t="n">
        <v>1252</v>
      </c>
      <c r="B1256" s="5" t="inlineStr">
        <is>
          <t>福岡県</t>
        </is>
      </c>
      <c r="C1256" s="5" t="inlineStr">
        <is>
          <t>福岡市中央区</t>
        </is>
      </c>
      <c r="D1256" s="5" t="inlineStr">
        <is>
          <t>福岡大学附属若葉高等学校</t>
        </is>
      </c>
      <c r="E1256" s="6" t="inlineStr">
        <is>
          <t>092-771-1981</t>
        </is>
      </c>
      <c r="F1256" s="7" t="inlineStr">
        <is>
          <t>高</t>
        </is>
      </c>
      <c r="G1256" s="5" t="inlineStr">
        <is>
          <t>普通科</t>
        </is>
      </c>
      <c r="H1256" s="8" t="n"/>
      <c r="I1256" s="9" t="n"/>
      <c r="J1256" s="9" t="inlineStr">
        <is>
          <t>未架電</t>
        </is>
      </c>
      <c r="K1256" s="8" t="n"/>
      <c r="L1256" s="9" t="n"/>
      <c r="M1256" s="10" t="inlineStr">
        <is>
          <t>事務室番号</t>
        </is>
      </c>
      <c r="N1256" s="11" t="inlineStr">
        <is>
          <t>https://www.f-wakaba.ed.jp/school/information.html</t>
        </is>
      </c>
      <c r="O1256" s="12" t="inlineStr">
        <is>
          <t>開く</t>
        </is>
      </c>
    </row>
    <row r="1257">
      <c r="A1257" s="4" t="n">
        <v>1253</v>
      </c>
      <c r="B1257" s="5" t="inlineStr">
        <is>
          <t>福岡県</t>
        </is>
      </c>
      <c r="C1257" s="5" t="inlineStr">
        <is>
          <t>福岡市中央区</t>
        </is>
      </c>
      <c r="D1257" s="5" t="inlineStr">
        <is>
          <t>福岡雙葉高等学校</t>
        </is>
      </c>
      <c r="E1257" s="6" t="inlineStr">
        <is>
          <t>092-531-0438</t>
        </is>
      </c>
      <c r="F1257" s="7" t="inlineStr">
        <is>
          <t>高</t>
        </is>
      </c>
      <c r="G1257" s="5" t="inlineStr">
        <is>
          <t>普通科</t>
        </is>
      </c>
      <c r="H1257" s="8" t="n"/>
      <c r="I1257" s="9" t="n"/>
      <c r="J1257" s="9" t="inlineStr">
        <is>
          <t>未架電</t>
        </is>
      </c>
      <c r="K1257" s="8" t="n"/>
      <c r="L1257" s="9" t="n"/>
      <c r="M1257" s="10" t="inlineStr">
        <is>
          <t>中高共通番号</t>
        </is>
      </c>
      <c r="N1257" s="11" t="inlineStr">
        <is>
          <t>https://www.fukuokafutaba.ed.jp/highschool/about/access.html</t>
        </is>
      </c>
      <c r="O1257" s="12" t="inlineStr">
        <is>
          <t>開く</t>
        </is>
      </c>
    </row>
    <row r="1258">
      <c r="A1258" s="4" t="n">
        <v>1254</v>
      </c>
      <c r="B1258" s="5" t="inlineStr">
        <is>
          <t>福岡県</t>
        </is>
      </c>
      <c r="C1258" s="5" t="inlineStr">
        <is>
          <t>福岡市西区</t>
        </is>
      </c>
      <c r="D1258" s="5" t="inlineStr">
        <is>
          <t>福岡舞鶴高等学校</t>
        </is>
      </c>
      <c r="E1258" s="6" t="inlineStr">
        <is>
          <t>092-806-3334</t>
        </is>
      </c>
      <c r="F1258" s="7" t="inlineStr">
        <is>
          <t>高</t>
        </is>
      </c>
      <c r="G1258" s="5" t="inlineStr">
        <is>
          <t>普通科</t>
        </is>
      </c>
      <c r="H1258" s="8" t="n"/>
      <c r="I1258" s="9" t="n"/>
      <c r="J1258" s="9" t="inlineStr">
        <is>
          <t>未架電</t>
        </is>
      </c>
      <c r="K1258" s="8" t="n"/>
      <c r="L1258" s="9" t="n"/>
      <c r="M1258" s="10" t="n"/>
      <c r="N1258" s="11" t="inlineStr">
        <is>
          <t>http://fmaizuru.ed.jp/</t>
        </is>
      </c>
      <c r="O1258" s="12" t="inlineStr">
        <is>
          <t>開く</t>
        </is>
      </c>
    </row>
    <row r="1259">
      <c r="A1259" s="4" t="n">
        <v>1255</v>
      </c>
      <c r="B1259" s="5" t="inlineStr">
        <is>
          <t>福岡県</t>
        </is>
      </c>
      <c r="C1259" s="5" t="inlineStr">
        <is>
          <t>田川市</t>
        </is>
      </c>
      <c r="D1259" s="5" t="inlineStr">
        <is>
          <t>福智高等学校</t>
        </is>
      </c>
      <c r="E1259" s="6" t="inlineStr">
        <is>
          <t>0947-42-4711</t>
        </is>
      </c>
      <c r="F1259" s="7" t="inlineStr">
        <is>
          <t>高</t>
        </is>
      </c>
      <c r="G1259" s="5" t="inlineStr">
        <is>
          <t>普通科・専門学科</t>
        </is>
      </c>
      <c r="H1259" s="8" t="n"/>
      <c r="I1259" s="9" t="n"/>
      <c r="J1259" s="9" t="inlineStr">
        <is>
          <t>未架電</t>
        </is>
      </c>
      <c r="K1259" s="8" t="n"/>
      <c r="L1259" s="9" t="n"/>
      <c r="M1259" s="10" t="n"/>
      <c r="N1259" s="11" t="inlineStr">
        <is>
          <t>https://www.fukuchi-h.ed.jp/</t>
        </is>
      </c>
      <c r="O1259" s="12" t="inlineStr">
        <is>
          <t>開く</t>
        </is>
      </c>
    </row>
    <row r="1260">
      <c r="A1260" s="4" t="n">
        <v>1256</v>
      </c>
      <c r="B1260" s="5" t="inlineStr">
        <is>
          <t>福岡県</t>
        </is>
      </c>
      <c r="C1260" s="5" t="inlineStr">
        <is>
          <t>北九州市門司区</t>
        </is>
      </c>
      <c r="D1260" s="5" t="inlineStr">
        <is>
          <t>豊国学園高等学校</t>
        </is>
      </c>
      <c r="E1260" s="6" t="inlineStr">
        <is>
          <t>093-371-3037</t>
        </is>
      </c>
      <c r="F1260" s="7" t="inlineStr">
        <is>
          <t>高</t>
        </is>
      </c>
      <c r="G1260" s="5" t="inlineStr">
        <is>
          <t>普通科・専門学科</t>
        </is>
      </c>
      <c r="H1260" s="8" t="n"/>
      <c r="I1260" s="9" t="n"/>
      <c r="J1260" s="9" t="inlineStr">
        <is>
          <t>未架電</t>
        </is>
      </c>
      <c r="K1260" s="8" t="n"/>
      <c r="L1260" s="9" t="n"/>
      <c r="M1260" s="10" t="n"/>
      <c r="N1260" s="11" t="inlineStr">
        <is>
          <t>https://www.houkoku.ac.jp/</t>
        </is>
      </c>
      <c r="O1260" s="12" t="inlineStr">
        <is>
          <t>開く</t>
        </is>
      </c>
    </row>
    <row r="1261">
      <c r="A1261" s="4" t="n">
        <v>1257</v>
      </c>
      <c r="B1261" s="5" t="inlineStr">
        <is>
          <t>福岡県</t>
        </is>
      </c>
      <c r="C1261" s="5" t="inlineStr">
        <is>
          <t>北九州市小倉北区</t>
        </is>
      </c>
      <c r="D1261" s="5" t="inlineStr">
        <is>
          <t>美萩野女子高等学校</t>
        </is>
      </c>
      <c r="E1261" s="6" t="inlineStr">
        <is>
          <t>093-921-1331</t>
        </is>
      </c>
      <c r="F1261" s="7" t="inlineStr">
        <is>
          <t>高</t>
        </is>
      </c>
      <c r="G1261" s="5" t="inlineStr">
        <is>
          <t>普通科・専門学科</t>
        </is>
      </c>
      <c r="H1261" s="8" t="n"/>
      <c r="I1261" s="9" t="n"/>
      <c r="J1261" s="9" t="inlineStr">
        <is>
          <t>未架電</t>
        </is>
      </c>
      <c r="K1261" s="8" t="n"/>
      <c r="L1261" s="9" t="n"/>
      <c r="M1261" s="10" t="n"/>
      <c r="N1261" s="11" t="inlineStr">
        <is>
          <t>https://mihagino.ac.jp/about/access/</t>
        </is>
      </c>
      <c r="O1261" s="12" t="inlineStr">
        <is>
          <t>開く</t>
        </is>
      </c>
    </row>
    <row r="1262">
      <c r="A1262" s="4" t="n">
        <v>1258</v>
      </c>
      <c r="B1262" s="5" t="inlineStr">
        <is>
          <t>福岡県</t>
        </is>
      </c>
      <c r="C1262" s="5" t="inlineStr">
        <is>
          <t>大牟田市</t>
        </is>
      </c>
      <c r="D1262" s="5" t="inlineStr">
        <is>
          <t>明光学園高等学校</t>
        </is>
      </c>
      <c r="E1262" s="6" t="inlineStr">
        <is>
          <t>0944-58-0907</t>
        </is>
      </c>
      <c r="F1262" s="7" t="inlineStr">
        <is>
          <t>高</t>
        </is>
      </c>
      <c r="G1262" s="5" t="inlineStr">
        <is>
          <t>普通科</t>
        </is>
      </c>
      <c r="H1262" s="8" t="n"/>
      <c r="I1262" s="9" t="n"/>
      <c r="J1262" s="9" t="inlineStr">
        <is>
          <t>未架電</t>
        </is>
      </c>
      <c r="K1262" s="8" t="n"/>
      <c r="L1262" s="9" t="n"/>
      <c r="M1262" s="10" t="n"/>
      <c r="N1262" s="11" t="inlineStr">
        <is>
          <t>https://welcome.meiko.ed.jp/</t>
        </is>
      </c>
      <c r="O1262" s="12" t="inlineStr">
        <is>
          <t>開く</t>
        </is>
      </c>
    </row>
    <row r="1263">
      <c r="A1263" s="4" t="n">
        <v>1259</v>
      </c>
      <c r="B1263" s="5" t="inlineStr">
        <is>
          <t>福岡県</t>
        </is>
      </c>
      <c r="C1263" s="5" t="inlineStr">
        <is>
          <t>北九州市戸畑区</t>
        </is>
      </c>
      <c r="D1263" s="5" t="inlineStr">
        <is>
          <t>明治学園高等学校</t>
        </is>
      </c>
      <c r="E1263" s="6" t="inlineStr">
        <is>
          <t>093-881-2861</t>
        </is>
      </c>
      <c r="F1263" s="7" t="inlineStr">
        <is>
          <t>高</t>
        </is>
      </c>
      <c r="G1263" s="5" t="inlineStr">
        <is>
          <t>普通科</t>
        </is>
      </c>
      <c r="H1263" s="8" t="n"/>
      <c r="I1263" s="9" t="n"/>
      <c r="J1263" s="9" t="inlineStr">
        <is>
          <t>未架電</t>
        </is>
      </c>
      <c r="K1263" s="8" t="n"/>
      <c r="L1263" s="9" t="n"/>
      <c r="M1263" s="10" t="inlineStr">
        <is>
          <t>中高共通番号</t>
        </is>
      </c>
      <c r="N1263" s="11" t="inlineStr">
        <is>
          <t>https://meijigakuen.ed.jp/jsh/</t>
        </is>
      </c>
      <c r="O1263" s="12" t="inlineStr">
        <is>
          <t>開く</t>
        </is>
      </c>
    </row>
    <row r="1264">
      <c r="A1264" s="4" t="n">
        <v>1260</v>
      </c>
      <c r="B1264" s="5" t="inlineStr">
        <is>
          <t>福岡県</t>
        </is>
      </c>
      <c r="C1264" s="5" t="inlineStr">
        <is>
          <t>川崎町</t>
        </is>
      </c>
      <c r="D1264" s="5" t="inlineStr">
        <is>
          <t>明蓬館高等学校</t>
        </is>
      </c>
      <c r="E1264" s="6" t="inlineStr">
        <is>
          <t>0947-49-5111</t>
        </is>
      </c>
      <c r="F1264" s="7" t="inlineStr">
        <is>
          <t>高</t>
        </is>
      </c>
      <c r="G1264" s="5" t="inlineStr">
        <is>
          <t>普通科</t>
        </is>
      </c>
      <c r="H1264" s="8" t="n"/>
      <c r="I1264" s="9" t="n"/>
      <c r="J1264" s="9" t="inlineStr">
        <is>
          <t>未架電</t>
        </is>
      </c>
      <c r="K1264" s="8" t="n"/>
      <c r="L1264" s="9" t="n"/>
      <c r="M1264" s="10" t="inlineStr">
        <is>
          <t>通信制・川崎町の本校。入学相談はフリーダイヤル別途</t>
        </is>
      </c>
      <c r="N1264" s="11" t="inlineStr">
        <is>
          <t>https://at-mhk.com/center/ataka/</t>
        </is>
      </c>
      <c r="O1264" s="12" t="inlineStr">
        <is>
          <t>開く</t>
        </is>
      </c>
    </row>
    <row r="1265">
      <c r="A1265" s="4" t="n">
        <v>1261</v>
      </c>
      <c r="B1265" s="5" t="inlineStr">
        <is>
          <t>福岡県</t>
        </is>
      </c>
      <c r="C1265" s="5" t="inlineStr">
        <is>
          <t>柳川市</t>
        </is>
      </c>
      <c r="D1265" s="5" t="inlineStr">
        <is>
          <t>柳川高等学校</t>
        </is>
      </c>
      <c r="E1265" s="6" t="inlineStr">
        <is>
          <t>0944-73-3333</t>
        </is>
      </c>
      <c r="F1265" s="7" t="inlineStr">
        <is>
          <t>高</t>
        </is>
      </c>
      <c r="G1265" s="5" t="inlineStr">
        <is>
          <t>普通科・専門学科</t>
        </is>
      </c>
      <c r="H1265" s="8" t="n"/>
      <c r="I1265" s="9" t="n"/>
      <c r="J1265" s="9" t="inlineStr">
        <is>
          <t>未架電</t>
        </is>
      </c>
      <c r="K1265" s="8" t="n"/>
      <c r="L1265" s="9" t="n"/>
      <c r="M1265" s="10" t="n"/>
      <c r="N1265" s="11" t="inlineStr">
        <is>
          <t>https://yanagawa.ed.jp/</t>
        </is>
      </c>
      <c r="O1265" s="12" t="inlineStr">
        <is>
          <t>開く</t>
        </is>
      </c>
    </row>
    <row r="1266">
      <c r="A1266" s="4" t="n">
        <v>1262</v>
      </c>
      <c r="B1266" s="5" t="inlineStr">
        <is>
          <t>福岡県</t>
        </is>
      </c>
      <c r="C1266" s="5" t="inlineStr">
        <is>
          <t>直方市</t>
        </is>
      </c>
      <c r="D1266" s="5" t="inlineStr">
        <is>
          <t>大和青藍高等学校</t>
        </is>
      </c>
      <c r="E1266" s="6" t="inlineStr">
        <is>
          <t>0949-22-0533</t>
        </is>
      </c>
      <c r="F1266" s="7" t="inlineStr">
        <is>
          <t>高</t>
        </is>
      </c>
      <c r="G1266" s="5" t="inlineStr">
        <is>
          <t>普通科・専門学科</t>
        </is>
      </c>
      <c r="H1266" s="8" t="n"/>
      <c r="I1266" s="9" t="n"/>
      <c r="J1266" s="9" t="inlineStr">
        <is>
          <t>未架電</t>
        </is>
      </c>
      <c r="K1266" s="8" t="n"/>
      <c r="L1266" s="9" t="n"/>
      <c r="M1266" s="10" t="n"/>
      <c r="N1266" s="11" t="inlineStr">
        <is>
          <t>http://www.yamato-gakuen.ac.jp/about/access.html</t>
        </is>
      </c>
      <c r="O1266" s="12" t="inlineStr">
        <is>
          <t>開く</t>
        </is>
      </c>
    </row>
    <row r="1267">
      <c r="A1267" s="4" t="n">
        <v>1263</v>
      </c>
      <c r="B1267" s="5" t="inlineStr">
        <is>
          <t>福岡県</t>
        </is>
      </c>
      <c r="C1267" s="5" t="inlineStr">
        <is>
          <t>八女市</t>
        </is>
      </c>
      <c r="D1267" s="5" t="inlineStr">
        <is>
          <t>八女学院高等学校</t>
        </is>
      </c>
      <c r="E1267" s="6" t="inlineStr">
        <is>
          <t>0943-23-5111</t>
        </is>
      </c>
      <c r="F1267" s="7" t="inlineStr">
        <is>
          <t>高</t>
        </is>
      </c>
      <c r="G1267" s="5" t="inlineStr">
        <is>
          <t>普通科</t>
        </is>
      </c>
      <c r="H1267" s="8" t="n"/>
      <c r="I1267" s="9" t="n"/>
      <c r="J1267" s="9" t="inlineStr">
        <is>
          <t>未架電</t>
        </is>
      </c>
      <c r="K1267" s="8" t="n"/>
      <c r="L1267" s="9" t="n"/>
      <c r="M1267" s="10" t="n"/>
      <c r="N1267" s="11" t="inlineStr">
        <is>
          <t>https://www.yamegakuin.ac.jp/</t>
        </is>
      </c>
      <c r="O1267" s="12" t="inlineStr">
        <is>
          <t>開く</t>
        </is>
      </c>
    </row>
    <row r="1268">
      <c r="A1268" s="4" t="n">
        <v>1264</v>
      </c>
      <c r="B1268" s="5" t="inlineStr">
        <is>
          <t>福岡県</t>
        </is>
      </c>
      <c r="C1268" s="5" t="inlineStr">
        <is>
          <t>久留米市</t>
        </is>
      </c>
      <c r="D1268" s="5" t="inlineStr">
        <is>
          <t>祐誠高等学校</t>
        </is>
      </c>
      <c r="E1268" s="6" t="inlineStr">
        <is>
          <t>0942-22-1238</t>
        </is>
      </c>
      <c r="F1268" s="7" t="inlineStr">
        <is>
          <t>高</t>
        </is>
      </c>
      <c r="G1268" s="5" t="inlineStr">
        <is>
          <t>普通科・専門学科</t>
        </is>
      </c>
      <c r="H1268" s="8" t="n"/>
      <c r="I1268" s="9" t="n"/>
      <c r="J1268" s="9" t="inlineStr">
        <is>
          <t>未架電</t>
        </is>
      </c>
      <c r="K1268" s="8" t="n"/>
      <c r="L1268" s="9" t="n"/>
      <c r="M1268" s="10" t="n"/>
      <c r="N1268" s="11" t="inlineStr">
        <is>
          <t>https://yusei.ed.jp/information/outline/</t>
        </is>
      </c>
      <c r="O1268" s="12" t="inlineStr">
        <is>
          <t>開く</t>
        </is>
      </c>
    </row>
  </sheetData>
  <autoFilter ref="A4:O1268"/>
  <conditionalFormatting sqref="A5:O1268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268" showDropDown="0" showInputMessage="0" showErrorMessage="0" allowBlank="1" type="list">
      <formula1>"未架電,不在・折返し待ち,担当者不在,資料送付,アポ獲得,検討中,NG,番号不明"</formula1>
    </dataValidation>
    <dataValidation sqref="H5:H1268 K5:K1268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  <hyperlink xmlns:r="http://schemas.openxmlformats.org/officeDocument/2006/relationships" ref="O1209" r:id="rId1205"/>
    <hyperlink xmlns:r="http://schemas.openxmlformats.org/officeDocument/2006/relationships" ref="O1210" r:id="rId1206"/>
    <hyperlink xmlns:r="http://schemas.openxmlformats.org/officeDocument/2006/relationships" ref="O1211" r:id="rId1207"/>
    <hyperlink xmlns:r="http://schemas.openxmlformats.org/officeDocument/2006/relationships" ref="O1212" r:id="rId1208"/>
    <hyperlink xmlns:r="http://schemas.openxmlformats.org/officeDocument/2006/relationships" ref="O1213" r:id="rId1209"/>
    <hyperlink xmlns:r="http://schemas.openxmlformats.org/officeDocument/2006/relationships" ref="O1214" r:id="rId1210"/>
    <hyperlink xmlns:r="http://schemas.openxmlformats.org/officeDocument/2006/relationships" ref="O1215" r:id="rId1211"/>
    <hyperlink xmlns:r="http://schemas.openxmlformats.org/officeDocument/2006/relationships" ref="O1216" r:id="rId1212"/>
    <hyperlink xmlns:r="http://schemas.openxmlformats.org/officeDocument/2006/relationships" ref="O1217" r:id="rId1213"/>
    <hyperlink xmlns:r="http://schemas.openxmlformats.org/officeDocument/2006/relationships" ref="O1218" r:id="rId1214"/>
    <hyperlink xmlns:r="http://schemas.openxmlformats.org/officeDocument/2006/relationships" ref="O1219" r:id="rId1215"/>
    <hyperlink xmlns:r="http://schemas.openxmlformats.org/officeDocument/2006/relationships" ref="O1220" r:id="rId1216"/>
    <hyperlink xmlns:r="http://schemas.openxmlformats.org/officeDocument/2006/relationships" ref="O1221" r:id="rId1217"/>
    <hyperlink xmlns:r="http://schemas.openxmlformats.org/officeDocument/2006/relationships" ref="O1222" r:id="rId1218"/>
    <hyperlink xmlns:r="http://schemas.openxmlformats.org/officeDocument/2006/relationships" ref="O1223" r:id="rId1219"/>
    <hyperlink xmlns:r="http://schemas.openxmlformats.org/officeDocument/2006/relationships" ref="O1224" r:id="rId1220"/>
    <hyperlink xmlns:r="http://schemas.openxmlformats.org/officeDocument/2006/relationships" ref="O1225" r:id="rId1221"/>
    <hyperlink xmlns:r="http://schemas.openxmlformats.org/officeDocument/2006/relationships" ref="O1226" r:id="rId1222"/>
    <hyperlink xmlns:r="http://schemas.openxmlformats.org/officeDocument/2006/relationships" ref="O1227" r:id="rId1223"/>
    <hyperlink xmlns:r="http://schemas.openxmlformats.org/officeDocument/2006/relationships" ref="O1228" r:id="rId1224"/>
    <hyperlink xmlns:r="http://schemas.openxmlformats.org/officeDocument/2006/relationships" ref="O1229" r:id="rId1225"/>
    <hyperlink xmlns:r="http://schemas.openxmlformats.org/officeDocument/2006/relationships" ref="O1230" r:id="rId1226"/>
    <hyperlink xmlns:r="http://schemas.openxmlformats.org/officeDocument/2006/relationships" ref="O1231" r:id="rId1227"/>
    <hyperlink xmlns:r="http://schemas.openxmlformats.org/officeDocument/2006/relationships" ref="O1232" r:id="rId1228"/>
    <hyperlink xmlns:r="http://schemas.openxmlformats.org/officeDocument/2006/relationships" ref="O1233" r:id="rId1229"/>
    <hyperlink xmlns:r="http://schemas.openxmlformats.org/officeDocument/2006/relationships" ref="O1234" r:id="rId1230"/>
    <hyperlink xmlns:r="http://schemas.openxmlformats.org/officeDocument/2006/relationships" ref="O1235" r:id="rId1231"/>
    <hyperlink xmlns:r="http://schemas.openxmlformats.org/officeDocument/2006/relationships" ref="O1236" r:id="rId1232"/>
    <hyperlink xmlns:r="http://schemas.openxmlformats.org/officeDocument/2006/relationships" ref="O1237" r:id="rId1233"/>
    <hyperlink xmlns:r="http://schemas.openxmlformats.org/officeDocument/2006/relationships" ref="O1238" r:id="rId1234"/>
    <hyperlink xmlns:r="http://schemas.openxmlformats.org/officeDocument/2006/relationships" ref="O1239" r:id="rId1235"/>
    <hyperlink xmlns:r="http://schemas.openxmlformats.org/officeDocument/2006/relationships" ref="O1240" r:id="rId1236"/>
    <hyperlink xmlns:r="http://schemas.openxmlformats.org/officeDocument/2006/relationships" ref="O1241" r:id="rId1237"/>
    <hyperlink xmlns:r="http://schemas.openxmlformats.org/officeDocument/2006/relationships" ref="O1242" r:id="rId1238"/>
    <hyperlink xmlns:r="http://schemas.openxmlformats.org/officeDocument/2006/relationships" ref="O1243" r:id="rId1239"/>
    <hyperlink xmlns:r="http://schemas.openxmlformats.org/officeDocument/2006/relationships" ref="O1244" r:id="rId1240"/>
    <hyperlink xmlns:r="http://schemas.openxmlformats.org/officeDocument/2006/relationships" ref="O1245" r:id="rId1241"/>
    <hyperlink xmlns:r="http://schemas.openxmlformats.org/officeDocument/2006/relationships" ref="O1246" r:id="rId1242"/>
    <hyperlink xmlns:r="http://schemas.openxmlformats.org/officeDocument/2006/relationships" ref="O1247" r:id="rId1243"/>
    <hyperlink xmlns:r="http://schemas.openxmlformats.org/officeDocument/2006/relationships" ref="O1248" r:id="rId1244"/>
    <hyperlink xmlns:r="http://schemas.openxmlformats.org/officeDocument/2006/relationships" ref="O1249" r:id="rId1245"/>
    <hyperlink xmlns:r="http://schemas.openxmlformats.org/officeDocument/2006/relationships" ref="O1250" r:id="rId1246"/>
    <hyperlink xmlns:r="http://schemas.openxmlformats.org/officeDocument/2006/relationships" ref="O1251" r:id="rId1247"/>
    <hyperlink xmlns:r="http://schemas.openxmlformats.org/officeDocument/2006/relationships" ref="O1252" r:id="rId1248"/>
    <hyperlink xmlns:r="http://schemas.openxmlformats.org/officeDocument/2006/relationships" ref="O1253" r:id="rId1249"/>
    <hyperlink xmlns:r="http://schemas.openxmlformats.org/officeDocument/2006/relationships" ref="O1254" r:id="rId1250"/>
    <hyperlink xmlns:r="http://schemas.openxmlformats.org/officeDocument/2006/relationships" ref="O1255" r:id="rId1251"/>
    <hyperlink xmlns:r="http://schemas.openxmlformats.org/officeDocument/2006/relationships" ref="O1256" r:id="rId1252"/>
    <hyperlink xmlns:r="http://schemas.openxmlformats.org/officeDocument/2006/relationships" ref="O1257" r:id="rId1253"/>
    <hyperlink xmlns:r="http://schemas.openxmlformats.org/officeDocument/2006/relationships" ref="O1258" r:id="rId1254"/>
    <hyperlink xmlns:r="http://schemas.openxmlformats.org/officeDocument/2006/relationships" ref="O1259" r:id="rId1255"/>
    <hyperlink xmlns:r="http://schemas.openxmlformats.org/officeDocument/2006/relationships" ref="O1260" r:id="rId1256"/>
    <hyperlink xmlns:r="http://schemas.openxmlformats.org/officeDocument/2006/relationships" ref="O1261" r:id="rId1257"/>
    <hyperlink xmlns:r="http://schemas.openxmlformats.org/officeDocument/2006/relationships" ref="O1262" r:id="rId1258"/>
    <hyperlink xmlns:r="http://schemas.openxmlformats.org/officeDocument/2006/relationships" ref="O1263" r:id="rId1259"/>
    <hyperlink xmlns:r="http://schemas.openxmlformats.org/officeDocument/2006/relationships" ref="O1264" r:id="rId1260"/>
    <hyperlink xmlns:r="http://schemas.openxmlformats.org/officeDocument/2006/relationships" ref="O1265" r:id="rId1261"/>
    <hyperlink xmlns:r="http://schemas.openxmlformats.org/officeDocument/2006/relationships" ref="O1266" r:id="rId1262"/>
    <hyperlink xmlns:r="http://schemas.openxmlformats.org/officeDocument/2006/relationships" ref="O1267" r:id="rId1263"/>
    <hyperlink xmlns:r="http://schemas.openxmlformats.org/officeDocument/2006/relationships" ref="O1268" r:id="rId126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COUNTIF('架電リスト'!$B$5:$B$1268,A4)</f>
        <v/>
      </c>
      <c r="C4" s="16">
        <f>COUNTIFS('架電リスト'!$B$5:$B$1268,A4,'架電リスト'!$E$5:$E$1268,"&lt;&gt;")</f>
        <v/>
      </c>
      <c r="D4" s="16">
        <f>B4-COUNTIFS('架電リスト'!$B$5:$B$1268,A4,'架電リスト'!$J$5:$J$1268,"未架電")-COUNTIFS('架電リスト'!$B$5:$B$1268,A4,'架電リスト'!$J$5:$J$1268,"")</f>
        <v/>
      </c>
      <c r="E4" s="16">
        <f>COUNTIFS('架電リスト'!$B$5:$B$1268,$A4,'架電リスト'!$J$5:$J$1268,"不在・折返し待ち")</f>
        <v/>
      </c>
      <c r="F4" s="16">
        <f>COUNTIFS('架電リスト'!$B$5:$B$1268,$A4,'架電リスト'!$J$5:$J$1268,"担当者不在")</f>
        <v/>
      </c>
      <c r="G4" s="16">
        <f>COUNTIFS('架電リスト'!$B$5:$B$1268,$A4,'架電リスト'!$J$5:$J$1268,"資料送付")</f>
        <v/>
      </c>
      <c r="H4" s="16">
        <f>COUNTIFS('架電リスト'!$B$5:$B$1268,$A4,'架電リスト'!$J$5:$J$1268,"アポ獲得")</f>
        <v/>
      </c>
      <c r="I4" s="16">
        <f>COUNTIFS('架電リスト'!$B$5:$B$1268,$A4,'架電リスト'!$J$5:$J$1268,"検討中")</f>
        <v/>
      </c>
      <c r="J4" s="16">
        <f>COUNTIFS('架電リスト'!$B$5:$B$1268,$A4,'架電リスト'!$J$5:$J$1268,"NG")</f>
        <v/>
      </c>
      <c r="K4" s="16">
        <f>COUNTIFS('架電リスト'!$B$5:$B$1268,$A4,'架電リスト'!$J$5:$J$1268,"番号不明")</f>
        <v/>
      </c>
    </row>
    <row r="5">
      <c r="A5" s="16" t="inlineStr">
        <is>
          <t>青森県</t>
        </is>
      </c>
      <c r="B5" s="16">
        <f>COUNTIF('架電リスト'!$B$5:$B$1268,A5)</f>
        <v/>
      </c>
      <c r="C5" s="16">
        <f>COUNTIFS('架電リスト'!$B$5:$B$1268,A5,'架電リスト'!$E$5:$E$1268,"&lt;&gt;")</f>
        <v/>
      </c>
      <c r="D5" s="16">
        <f>B5-COUNTIFS('架電リスト'!$B$5:$B$1268,A5,'架電リスト'!$J$5:$J$1268,"未架電")-COUNTIFS('架電リスト'!$B$5:$B$1268,A5,'架電リスト'!$J$5:$J$1268,"")</f>
        <v/>
      </c>
      <c r="E5" s="16">
        <f>COUNTIFS('架電リスト'!$B$5:$B$1268,$A5,'架電リスト'!$J$5:$J$1268,"不在・折返し待ち")</f>
        <v/>
      </c>
      <c r="F5" s="16">
        <f>COUNTIFS('架電リスト'!$B$5:$B$1268,$A5,'架電リスト'!$J$5:$J$1268,"担当者不在")</f>
        <v/>
      </c>
      <c r="G5" s="16">
        <f>COUNTIFS('架電リスト'!$B$5:$B$1268,$A5,'架電リスト'!$J$5:$J$1268,"資料送付")</f>
        <v/>
      </c>
      <c r="H5" s="16">
        <f>COUNTIFS('架電リスト'!$B$5:$B$1268,$A5,'架電リスト'!$J$5:$J$1268,"アポ獲得")</f>
        <v/>
      </c>
      <c r="I5" s="16">
        <f>COUNTIFS('架電リスト'!$B$5:$B$1268,$A5,'架電リスト'!$J$5:$J$1268,"検討中")</f>
        <v/>
      </c>
      <c r="J5" s="16">
        <f>COUNTIFS('架電リスト'!$B$5:$B$1268,$A5,'架電リスト'!$J$5:$J$1268,"NG")</f>
        <v/>
      </c>
      <c r="K5" s="16">
        <f>COUNTIFS('架電リスト'!$B$5:$B$1268,$A5,'架電リスト'!$J$5:$J$1268,"番号不明")</f>
        <v/>
      </c>
    </row>
    <row r="6">
      <c r="A6" s="16" t="inlineStr">
        <is>
          <t>岩手県</t>
        </is>
      </c>
      <c r="B6" s="16">
        <f>COUNTIF('架電リスト'!$B$5:$B$1268,A6)</f>
        <v/>
      </c>
      <c r="C6" s="16">
        <f>COUNTIFS('架電リスト'!$B$5:$B$1268,A6,'架電リスト'!$E$5:$E$1268,"&lt;&gt;")</f>
        <v/>
      </c>
      <c r="D6" s="16">
        <f>B6-COUNTIFS('架電リスト'!$B$5:$B$1268,A6,'架電リスト'!$J$5:$J$1268,"未架電")-COUNTIFS('架電リスト'!$B$5:$B$1268,A6,'架電リスト'!$J$5:$J$1268,"")</f>
        <v/>
      </c>
      <c r="E6" s="16">
        <f>COUNTIFS('架電リスト'!$B$5:$B$1268,$A6,'架電リスト'!$J$5:$J$1268,"不在・折返し待ち")</f>
        <v/>
      </c>
      <c r="F6" s="16">
        <f>COUNTIFS('架電リスト'!$B$5:$B$1268,$A6,'架電リスト'!$J$5:$J$1268,"担当者不在")</f>
        <v/>
      </c>
      <c r="G6" s="16">
        <f>COUNTIFS('架電リスト'!$B$5:$B$1268,$A6,'架電リスト'!$J$5:$J$1268,"資料送付")</f>
        <v/>
      </c>
      <c r="H6" s="16">
        <f>COUNTIFS('架電リスト'!$B$5:$B$1268,$A6,'架電リスト'!$J$5:$J$1268,"アポ獲得")</f>
        <v/>
      </c>
      <c r="I6" s="16">
        <f>COUNTIFS('架電リスト'!$B$5:$B$1268,$A6,'架電リスト'!$J$5:$J$1268,"検討中")</f>
        <v/>
      </c>
      <c r="J6" s="16">
        <f>COUNTIFS('架電リスト'!$B$5:$B$1268,$A6,'架電リスト'!$J$5:$J$1268,"NG")</f>
        <v/>
      </c>
      <c r="K6" s="16">
        <f>COUNTIFS('架電リスト'!$B$5:$B$1268,$A6,'架電リスト'!$J$5:$J$1268,"番号不明")</f>
        <v/>
      </c>
    </row>
    <row r="7">
      <c r="A7" s="16" t="inlineStr">
        <is>
          <t>宮城県</t>
        </is>
      </c>
      <c r="B7" s="16">
        <f>COUNTIF('架電リスト'!$B$5:$B$1268,A7)</f>
        <v/>
      </c>
      <c r="C7" s="16">
        <f>COUNTIFS('架電リスト'!$B$5:$B$1268,A7,'架電リスト'!$E$5:$E$1268,"&lt;&gt;")</f>
        <v/>
      </c>
      <c r="D7" s="16">
        <f>B7-COUNTIFS('架電リスト'!$B$5:$B$1268,A7,'架電リスト'!$J$5:$J$1268,"未架電")-COUNTIFS('架電リスト'!$B$5:$B$1268,A7,'架電リスト'!$J$5:$J$1268,"")</f>
        <v/>
      </c>
      <c r="E7" s="16">
        <f>COUNTIFS('架電リスト'!$B$5:$B$1268,$A7,'架電リスト'!$J$5:$J$1268,"不在・折返し待ち")</f>
        <v/>
      </c>
      <c r="F7" s="16">
        <f>COUNTIFS('架電リスト'!$B$5:$B$1268,$A7,'架電リスト'!$J$5:$J$1268,"担当者不在")</f>
        <v/>
      </c>
      <c r="G7" s="16">
        <f>COUNTIFS('架電リスト'!$B$5:$B$1268,$A7,'架電リスト'!$J$5:$J$1268,"資料送付")</f>
        <v/>
      </c>
      <c r="H7" s="16">
        <f>COUNTIFS('架電リスト'!$B$5:$B$1268,$A7,'架電リスト'!$J$5:$J$1268,"アポ獲得")</f>
        <v/>
      </c>
      <c r="I7" s="16">
        <f>COUNTIFS('架電リスト'!$B$5:$B$1268,$A7,'架電リスト'!$J$5:$J$1268,"検討中")</f>
        <v/>
      </c>
      <c r="J7" s="16">
        <f>COUNTIFS('架電リスト'!$B$5:$B$1268,$A7,'架電リスト'!$J$5:$J$1268,"NG")</f>
        <v/>
      </c>
      <c r="K7" s="16">
        <f>COUNTIFS('架電リスト'!$B$5:$B$1268,$A7,'架電リスト'!$J$5:$J$1268,"番号不明")</f>
        <v/>
      </c>
    </row>
    <row r="8">
      <c r="A8" s="16" t="inlineStr">
        <is>
          <t>秋田県</t>
        </is>
      </c>
      <c r="B8" s="16">
        <f>COUNTIF('架電リスト'!$B$5:$B$1268,A8)</f>
        <v/>
      </c>
      <c r="C8" s="16">
        <f>COUNTIFS('架電リスト'!$B$5:$B$1268,A8,'架電リスト'!$E$5:$E$1268,"&lt;&gt;")</f>
        <v/>
      </c>
      <c r="D8" s="16">
        <f>B8-COUNTIFS('架電リスト'!$B$5:$B$1268,A8,'架電リスト'!$J$5:$J$1268,"未架電")-COUNTIFS('架電リスト'!$B$5:$B$1268,A8,'架電リスト'!$J$5:$J$1268,"")</f>
        <v/>
      </c>
      <c r="E8" s="16">
        <f>COUNTIFS('架電リスト'!$B$5:$B$1268,$A8,'架電リスト'!$J$5:$J$1268,"不在・折返し待ち")</f>
        <v/>
      </c>
      <c r="F8" s="16">
        <f>COUNTIFS('架電リスト'!$B$5:$B$1268,$A8,'架電リスト'!$J$5:$J$1268,"担当者不在")</f>
        <v/>
      </c>
      <c r="G8" s="16">
        <f>COUNTIFS('架電リスト'!$B$5:$B$1268,$A8,'架電リスト'!$J$5:$J$1268,"資料送付")</f>
        <v/>
      </c>
      <c r="H8" s="16">
        <f>COUNTIFS('架電リスト'!$B$5:$B$1268,$A8,'架電リスト'!$J$5:$J$1268,"アポ獲得")</f>
        <v/>
      </c>
      <c r="I8" s="16">
        <f>COUNTIFS('架電リスト'!$B$5:$B$1268,$A8,'架電リスト'!$J$5:$J$1268,"検討中")</f>
        <v/>
      </c>
      <c r="J8" s="16">
        <f>COUNTIFS('架電リスト'!$B$5:$B$1268,$A8,'架電リスト'!$J$5:$J$1268,"NG")</f>
        <v/>
      </c>
      <c r="K8" s="16">
        <f>COUNTIFS('架電リスト'!$B$5:$B$1268,$A8,'架電リスト'!$J$5:$J$1268,"番号不明")</f>
        <v/>
      </c>
    </row>
    <row r="9">
      <c r="A9" s="16" t="inlineStr">
        <is>
          <t>山形県</t>
        </is>
      </c>
      <c r="B9" s="16">
        <f>COUNTIF('架電リスト'!$B$5:$B$1268,A9)</f>
        <v/>
      </c>
      <c r="C9" s="16">
        <f>COUNTIFS('架電リスト'!$B$5:$B$1268,A9,'架電リスト'!$E$5:$E$1268,"&lt;&gt;")</f>
        <v/>
      </c>
      <c r="D9" s="16">
        <f>B9-COUNTIFS('架電リスト'!$B$5:$B$1268,A9,'架電リスト'!$J$5:$J$1268,"未架電")-COUNTIFS('架電リスト'!$B$5:$B$1268,A9,'架電リスト'!$J$5:$J$1268,"")</f>
        <v/>
      </c>
      <c r="E9" s="16">
        <f>COUNTIFS('架電リスト'!$B$5:$B$1268,$A9,'架電リスト'!$J$5:$J$1268,"不在・折返し待ち")</f>
        <v/>
      </c>
      <c r="F9" s="16">
        <f>COUNTIFS('架電リスト'!$B$5:$B$1268,$A9,'架電リスト'!$J$5:$J$1268,"担当者不在")</f>
        <v/>
      </c>
      <c r="G9" s="16">
        <f>COUNTIFS('架電リスト'!$B$5:$B$1268,$A9,'架電リスト'!$J$5:$J$1268,"資料送付")</f>
        <v/>
      </c>
      <c r="H9" s="16">
        <f>COUNTIFS('架電リスト'!$B$5:$B$1268,$A9,'架電リスト'!$J$5:$J$1268,"アポ獲得")</f>
        <v/>
      </c>
      <c r="I9" s="16">
        <f>COUNTIFS('架電リスト'!$B$5:$B$1268,$A9,'架電リスト'!$J$5:$J$1268,"検討中")</f>
        <v/>
      </c>
      <c r="J9" s="16">
        <f>COUNTIFS('架電リスト'!$B$5:$B$1268,$A9,'架電リスト'!$J$5:$J$1268,"NG")</f>
        <v/>
      </c>
      <c r="K9" s="16">
        <f>COUNTIFS('架電リスト'!$B$5:$B$1268,$A9,'架電リスト'!$J$5:$J$1268,"番号不明")</f>
        <v/>
      </c>
    </row>
    <row r="10">
      <c r="A10" s="16" t="inlineStr">
        <is>
          <t>福島県</t>
        </is>
      </c>
      <c r="B10" s="16">
        <f>COUNTIF('架電リスト'!$B$5:$B$1268,A10)</f>
        <v/>
      </c>
      <c r="C10" s="16">
        <f>COUNTIFS('架電リスト'!$B$5:$B$1268,A10,'架電リスト'!$E$5:$E$1268,"&lt;&gt;")</f>
        <v/>
      </c>
      <c r="D10" s="16">
        <f>B10-COUNTIFS('架電リスト'!$B$5:$B$1268,A10,'架電リスト'!$J$5:$J$1268,"未架電")-COUNTIFS('架電リスト'!$B$5:$B$1268,A10,'架電リスト'!$J$5:$J$1268,"")</f>
        <v/>
      </c>
      <c r="E10" s="16">
        <f>COUNTIFS('架電リスト'!$B$5:$B$1268,$A10,'架電リスト'!$J$5:$J$1268,"不在・折返し待ち")</f>
        <v/>
      </c>
      <c r="F10" s="16">
        <f>COUNTIFS('架電リスト'!$B$5:$B$1268,$A10,'架電リスト'!$J$5:$J$1268,"担当者不在")</f>
        <v/>
      </c>
      <c r="G10" s="16">
        <f>COUNTIFS('架電リスト'!$B$5:$B$1268,$A10,'架電リスト'!$J$5:$J$1268,"資料送付")</f>
        <v/>
      </c>
      <c r="H10" s="16">
        <f>COUNTIFS('架電リスト'!$B$5:$B$1268,$A10,'架電リスト'!$J$5:$J$1268,"アポ獲得")</f>
        <v/>
      </c>
      <c r="I10" s="16">
        <f>COUNTIFS('架電リスト'!$B$5:$B$1268,$A10,'架電リスト'!$J$5:$J$1268,"検討中")</f>
        <v/>
      </c>
      <c r="J10" s="16">
        <f>COUNTIFS('架電リスト'!$B$5:$B$1268,$A10,'架電リスト'!$J$5:$J$1268,"NG")</f>
        <v/>
      </c>
      <c r="K10" s="16">
        <f>COUNTIFS('架電リスト'!$B$5:$B$1268,$A10,'架電リスト'!$J$5:$J$1268,"番号不明")</f>
        <v/>
      </c>
    </row>
    <row r="11">
      <c r="A11" s="16" t="inlineStr">
        <is>
          <t>茨城県</t>
        </is>
      </c>
      <c r="B11" s="16">
        <f>COUNTIF('架電リスト'!$B$5:$B$1268,A11)</f>
        <v/>
      </c>
      <c r="C11" s="16">
        <f>COUNTIFS('架電リスト'!$B$5:$B$1268,A11,'架電リスト'!$E$5:$E$1268,"&lt;&gt;")</f>
        <v/>
      </c>
      <c r="D11" s="16">
        <f>B11-COUNTIFS('架電リスト'!$B$5:$B$1268,A11,'架電リスト'!$J$5:$J$1268,"未架電")-COUNTIFS('架電リスト'!$B$5:$B$1268,A11,'架電リスト'!$J$5:$J$1268,"")</f>
        <v/>
      </c>
      <c r="E11" s="16">
        <f>COUNTIFS('架電リスト'!$B$5:$B$1268,$A11,'架電リスト'!$J$5:$J$1268,"不在・折返し待ち")</f>
        <v/>
      </c>
      <c r="F11" s="16">
        <f>COUNTIFS('架電リスト'!$B$5:$B$1268,$A11,'架電リスト'!$J$5:$J$1268,"担当者不在")</f>
        <v/>
      </c>
      <c r="G11" s="16">
        <f>COUNTIFS('架電リスト'!$B$5:$B$1268,$A11,'架電リスト'!$J$5:$J$1268,"資料送付")</f>
        <v/>
      </c>
      <c r="H11" s="16">
        <f>COUNTIFS('架電リスト'!$B$5:$B$1268,$A11,'架電リスト'!$J$5:$J$1268,"アポ獲得")</f>
        <v/>
      </c>
      <c r="I11" s="16">
        <f>COUNTIFS('架電リスト'!$B$5:$B$1268,$A11,'架電リスト'!$J$5:$J$1268,"検討中")</f>
        <v/>
      </c>
      <c r="J11" s="16">
        <f>COUNTIFS('架電リスト'!$B$5:$B$1268,$A11,'架電リスト'!$J$5:$J$1268,"NG")</f>
        <v/>
      </c>
      <c r="K11" s="16">
        <f>COUNTIFS('架電リスト'!$B$5:$B$1268,$A11,'架電リスト'!$J$5:$J$1268,"番号不明")</f>
        <v/>
      </c>
    </row>
    <row r="12">
      <c r="A12" s="16" t="inlineStr">
        <is>
          <t>栃木県</t>
        </is>
      </c>
      <c r="B12" s="16">
        <f>COUNTIF('架電リスト'!$B$5:$B$1268,A12)</f>
        <v/>
      </c>
      <c r="C12" s="16">
        <f>COUNTIFS('架電リスト'!$B$5:$B$1268,A12,'架電リスト'!$E$5:$E$1268,"&lt;&gt;")</f>
        <v/>
      </c>
      <c r="D12" s="16">
        <f>B12-COUNTIFS('架電リスト'!$B$5:$B$1268,A12,'架電リスト'!$J$5:$J$1268,"未架電")-COUNTIFS('架電リスト'!$B$5:$B$1268,A12,'架電リスト'!$J$5:$J$1268,"")</f>
        <v/>
      </c>
      <c r="E12" s="16">
        <f>COUNTIFS('架電リスト'!$B$5:$B$1268,$A12,'架電リスト'!$J$5:$J$1268,"不在・折返し待ち")</f>
        <v/>
      </c>
      <c r="F12" s="16">
        <f>COUNTIFS('架電リスト'!$B$5:$B$1268,$A12,'架電リスト'!$J$5:$J$1268,"担当者不在")</f>
        <v/>
      </c>
      <c r="G12" s="16">
        <f>COUNTIFS('架電リスト'!$B$5:$B$1268,$A12,'架電リスト'!$J$5:$J$1268,"資料送付")</f>
        <v/>
      </c>
      <c r="H12" s="16">
        <f>COUNTIFS('架電リスト'!$B$5:$B$1268,$A12,'架電リスト'!$J$5:$J$1268,"アポ獲得")</f>
        <v/>
      </c>
      <c r="I12" s="16">
        <f>COUNTIFS('架電リスト'!$B$5:$B$1268,$A12,'架電リスト'!$J$5:$J$1268,"検討中")</f>
        <v/>
      </c>
      <c r="J12" s="16">
        <f>COUNTIFS('架電リスト'!$B$5:$B$1268,$A12,'架電リスト'!$J$5:$J$1268,"NG")</f>
        <v/>
      </c>
      <c r="K12" s="16">
        <f>COUNTIFS('架電リスト'!$B$5:$B$1268,$A12,'架電リスト'!$J$5:$J$1268,"番号不明")</f>
        <v/>
      </c>
    </row>
    <row r="13">
      <c r="A13" s="16" t="inlineStr">
        <is>
          <t>群馬県</t>
        </is>
      </c>
      <c r="B13" s="16">
        <f>COUNTIF('架電リスト'!$B$5:$B$1268,A13)</f>
        <v/>
      </c>
      <c r="C13" s="16">
        <f>COUNTIFS('架電リスト'!$B$5:$B$1268,A13,'架電リスト'!$E$5:$E$1268,"&lt;&gt;")</f>
        <v/>
      </c>
      <c r="D13" s="16">
        <f>B13-COUNTIFS('架電リスト'!$B$5:$B$1268,A13,'架電リスト'!$J$5:$J$1268,"未架電")-COUNTIFS('架電リスト'!$B$5:$B$1268,A13,'架電リスト'!$J$5:$J$1268,"")</f>
        <v/>
      </c>
      <c r="E13" s="16">
        <f>COUNTIFS('架電リスト'!$B$5:$B$1268,$A13,'架電リスト'!$J$5:$J$1268,"不在・折返し待ち")</f>
        <v/>
      </c>
      <c r="F13" s="16">
        <f>COUNTIFS('架電リスト'!$B$5:$B$1268,$A13,'架電リスト'!$J$5:$J$1268,"担当者不在")</f>
        <v/>
      </c>
      <c r="G13" s="16">
        <f>COUNTIFS('架電リスト'!$B$5:$B$1268,$A13,'架電リスト'!$J$5:$J$1268,"資料送付")</f>
        <v/>
      </c>
      <c r="H13" s="16">
        <f>COUNTIFS('架電リスト'!$B$5:$B$1268,$A13,'架電リスト'!$J$5:$J$1268,"アポ獲得")</f>
        <v/>
      </c>
      <c r="I13" s="16">
        <f>COUNTIFS('架電リスト'!$B$5:$B$1268,$A13,'架電リスト'!$J$5:$J$1268,"検討中")</f>
        <v/>
      </c>
      <c r="J13" s="16">
        <f>COUNTIFS('架電リスト'!$B$5:$B$1268,$A13,'架電リスト'!$J$5:$J$1268,"NG")</f>
        <v/>
      </c>
      <c r="K13" s="16">
        <f>COUNTIFS('架電リスト'!$B$5:$B$1268,$A13,'架電リスト'!$J$5:$J$1268,"番号不明")</f>
        <v/>
      </c>
    </row>
    <row r="14">
      <c r="A14" s="16" t="inlineStr">
        <is>
          <t>埼玉県</t>
        </is>
      </c>
      <c r="B14" s="16">
        <f>COUNTIF('架電リスト'!$B$5:$B$1268,A14)</f>
        <v/>
      </c>
      <c r="C14" s="16">
        <f>COUNTIFS('架電リスト'!$B$5:$B$1268,A14,'架電リスト'!$E$5:$E$1268,"&lt;&gt;")</f>
        <v/>
      </c>
      <c r="D14" s="16">
        <f>B14-COUNTIFS('架電リスト'!$B$5:$B$1268,A14,'架電リスト'!$J$5:$J$1268,"未架電")-COUNTIFS('架電リスト'!$B$5:$B$1268,A14,'架電リスト'!$J$5:$J$1268,"")</f>
        <v/>
      </c>
      <c r="E14" s="16">
        <f>COUNTIFS('架電リスト'!$B$5:$B$1268,$A14,'架電リスト'!$J$5:$J$1268,"不在・折返し待ち")</f>
        <v/>
      </c>
      <c r="F14" s="16">
        <f>COUNTIFS('架電リスト'!$B$5:$B$1268,$A14,'架電リスト'!$J$5:$J$1268,"担当者不在")</f>
        <v/>
      </c>
      <c r="G14" s="16">
        <f>COUNTIFS('架電リスト'!$B$5:$B$1268,$A14,'架電リスト'!$J$5:$J$1268,"資料送付")</f>
        <v/>
      </c>
      <c r="H14" s="16">
        <f>COUNTIFS('架電リスト'!$B$5:$B$1268,$A14,'架電リスト'!$J$5:$J$1268,"アポ獲得")</f>
        <v/>
      </c>
      <c r="I14" s="16">
        <f>COUNTIFS('架電リスト'!$B$5:$B$1268,$A14,'架電リスト'!$J$5:$J$1268,"検討中")</f>
        <v/>
      </c>
      <c r="J14" s="16">
        <f>COUNTIFS('架電リスト'!$B$5:$B$1268,$A14,'架電リスト'!$J$5:$J$1268,"NG")</f>
        <v/>
      </c>
      <c r="K14" s="16">
        <f>COUNTIFS('架電リスト'!$B$5:$B$1268,$A14,'架電リスト'!$J$5:$J$1268,"番号不明")</f>
        <v/>
      </c>
    </row>
    <row r="15">
      <c r="A15" s="16" t="inlineStr">
        <is>
          <t>千葉県</t>
        </is>
      </c>
      <c r="B15" s="16">
        <f>COUNTIF('架電リスト'!$B$5:$B$1268,A15)</f>
        <v/>
      </c>
      <c r="C15" s="16">
        <f>COUNTIFS('架電リスト'!$B$5:$B$1268,A15,'架電リスト'!$E$5:$E$1268,"&lt;&gt;")</f>
        <v/>
      </c>
      <c r="D15" s="16">
        <f>B15-COUNTIFS('架電リスト'!$B$5:$B$1268,A15,'架電リスト'!$J$5:$J$1268,"未架電")-COUNTIFS('架電リスト'!$B$5:$B$1268,A15,'架電リスト'!$J$5:$J$1268,"")</f>
        <v/>
      </c>
      <c r="E15" s="16">
        <f>COUNTIFS('架電リスト'!$B$5:$B$1268,$A15,'架電リスト'!$J$5:$J$1268,"不在・折返し待ち")</f>
        <v/>
      </c>
      <c r="F15" s="16">
        <f>COUNTIFS('架電リスト'!$B$5:$B$1268,$A15,'架電リスト'!$J$5:$J$1268,"担当者不在")</f>
        <v/>
      </c>
      <c r="G15" s="16">
        <f>COUNTIFS('架電リスト'!$B$5:$B$1268,$A15,'架電リスト'!$J$5:$J$1268,"資料送付")</f>
        <v/>
      </c>
      <c r="H15" s="16">
        <f>COUNTIFS('架電リスト'!$B$5:$B$1268,$A15,'架電リスト'!$J$5:$J$1268,"アポ獲得")</f>
        <v/>
      </c>
      <c r="I15" s="16">
        <f>COUNTIFS('架電リスト'!$B$5:$B$1268,$A15,'架電リスト'!$J$5:$J$1268,"検討中")</f>
        <v/>
      </c>
      <c r="J15" s="16">
        <f>COUNTIFS('架電リスト'!$B$5:$B$1268,$A15,'架電リスト'!$J$5:$J$1268,"NG")</f>
        <v/>
      </c>
      <c r="K15" s="16">
        <f>COUNTIFS('架電リスト'!$B$5:$B$1268,$A15,'架電リスト'!$J$5:$J$1268,"番号不明")</f>
        <v/>
      </c>
    </row>
    <row r="16">
      <c r="A16" s="16" t="inlineStr">
        <is>
          <t>東京都</t>
        </is>
      </c>
      <c r="B16" s="16">
        <f>COUNTIF('架電リスト'!$B$5:$B$1268,A16)</f>
        <v/>
      </c>
      <c r="C16" s="16">
        <f>COUNTIFS('架電リスト'!$B$5:$B$1268,A16,'架電リスト'!$E$5:$E$1268,"&lt;&gt;")</f>
        <v/>
      </c>
      <c r="D16" s="16">
        <f>B16-COUNTIFS('架電リスト'!$B$5:$B$1268,A16,'架電リスト'!$J$5:$J$1268,"未架電")-COUNTIFS('架電リスト'!$B$5:$B$1268,A16,'架電リスト'!$J$5:$J$1268,"")</f>
        <v/>
      </c>
      <c r="E16" s="16">
        <f>COUNTIFS('架電リスト'!$B$5:$B$1268,$A16,'架電リスト'!$J$5:$J$1268,"不在・折返し待ち")</f>
        <v/>
      </c>
      <c r="F16" s="16">
        <f>COUNTIFS('架電リスト'!$B$5:$B$1268,$A16,'架電リスト'!$J$5:$J$1268,"担当者不在")</f>
        <v/>
      </c>
      <c r="G16" s="16">
        <f>COUNTIFS('架電リスト'!$B$5:$B$1268,$A16,'架電リスト'!$J$5:$J$1268,"資料送付")</f>
        <v/>
      </c>
      <c r="H16" s="16">
        <f>COUNTIFS('架電リスト'!$B$5:$B$1268,$A16,'架電リスト'!$J$5:$J$1268,"アポ獲得")</f>
        <v/>
      </c>
      <c r="I16" s="16">
        <f>COUNTIFS('架電リスト'!$B$5:$B$1268,$A16,'架電リスト'!$J$5:$J$1268,"検討中")</f>
        <v/>
      </c>
      <c r="J16" s="16">
        <f>COUNTIFS('架電リスト'!$B$5:$B$1268,$A16,'架電リスト'!$J$5:$J$1268,"NG")</f>
        <v/>
      </c>
      <c r="K16" s="16">
        <f>COUNTIFS('架電リスト'!$B$5:$B$1268,$A16,'架電リスト'!$J$5:$J$1268,"番号不明")</f>
        <v/>
      </c>
    </row>
    <row r="17">
      <c r="A17" s="16" t="inlineStr">
        <is>
          <t>神奈川県</t>
        </is>
      </c>
      <c r="B17" s="16">
        <f>COUNTIF('架電リスト'!$B$5:$B$1268,A17)</f>
        <v/>
      </c>
      <c r="C17" s="16">
        <f>COUNTIFS('架電リスト'!$B$5:$B$1268,A17,'架電リスト'!$E$5:$E$1268,"&lt;&gt;")</f>
        <v/>
      </c>
      <c r="D17" s="16">
        <f>B17-COUNTIFS('架電リスト'!$B$5:$B$1268,A17,'架電リスト'!$J$5:$J$1268,"未架電")-COUNTIFS('架電リスト'!$B$5:$B$1268,A17,'架電リスト'!$J$5:$J$1268,"")</f>
        <v/>
      </c>
      <c r="E17" s="16">
        <f>COUNTIFS('架電リスト'!$B$5:$B$1268,$A17,'架電リスト'!$J$5:$J$1268,"不在・折返し待ち")</f>
        <v/>
      </c>
      <c r="F17" s="16">
        <f>COUNTIFS('架電リスト'!$B$5:$B$1268,$A17,'架電リスト'!$J$5:$J$1268,"担当者不在")</f>
        <v/>
      </c>
      <c r="G17" s="16">
        <f>COUNTIFS('架電リスト'!$B$5:$B$1268,$A17,'架電リスト'!$J$5:$J$1268,"資料送付")</f>
        <v/>
      </c>
      <c r="H17" s="16">
        <f>COUNTIFS('架電リスト'!$B$5:$B$1268,$A17,'架電リスト'!$J$5:$J$1268,"アポ獲得")</f>
        <v/>
      </c>
      <c r="I17" s="16">
        <f>COUNTIFS('架電リスト'!$B$5:$B$1268,$A17,'架電リスト'!$J$5:$J$1268,"検討中")</f>
        <v/>
      </c>
      <c r="J17" s="16">
        <f>COUNTIFS('架電リスト'!$B$5:$B$1268,$A17,'架電リスト'!$J$5:$J$1268,"NG")</f>
        <v/>
      </c>
      <c r="K17" s="16">
        <f>COUNTIFS('架電リスト'!$B$5:$B$1268,$A17,'架電リスト'!$J$5:$J$1268,"番号不明")</f>
        <v/>
      </c>
    </row>
    <row r="18">
      <c r="A18" s="16" t="inlineStr">
        <is>
          <t>新潟県</t>
        </is>
      </c>
      <c r="B18" s="16">
        <f>COUNTIF('架電リスト'!$B$5:$B$1268,A18)</f>
        <v/>
      </c>
      <c r="C18" s="16">
        <f>COUNTIFS('架電リスト'!$B$5:$B$1268,A18,'架電リスト'!$E$5:$E$1268,"&lt;&gt;")</f>
        <v/>
      </c>
      <c r="D18" s="16">
        <f>B18-COUNTIFS('架電リスト'!$B$5:$B$1268,A18,'架電リスト'!$J$5:$J$1268,"未架電")-COUNTIFS('架電リスト'!$B$5:$B$1268,A18,'架電リスト'!$J$5:$J$1268,"")</f>
        <v/>
      </c>
      <c r="E18" s="16">
        <f>COUNTIFS('架電リスト'!$B$5:$B$1268,$A18,'架電リスト'!$J$5:$J$1268,"不在・折返し待ち")</f>
        <v/>
      </c>
      <c r="F18" s="16">
        <f>COUNTIFS('架電リスト'!$B$5:$B$1268,$A18,'架電リスト'!$J$5:$J$1268,"担当者不在")</f>
        <v/>
      </c>
      <c r="G18" s="16">
        <f>COUNTIFS('架電リスト'!$B$5:$B$1268,$A18,'架電リスト'!$J$5:$J$1268,"資料送付")</f>
        <v/>
      </c>
      <c r="H18" s="16">
        <f>COUNTIFS('架電リスト'!$B$5:$B$1268,$A18,'架電リスト'!$J$5:$J$1268,"アポ獲得")</f>
        <v/>
      </c>
      <c r="I18" s="16">
        <f>COUNTIFS('架電リスト'!$B$5:$B$1268,$A18,'架電リスト'!$J$5:$J$1268,"検討中")</f>
        <v/>
      </c>
      <c r="J18" s="16">
        <f>COUNTIFS('架電リスト'!$B$5:$B$1268,$A18,'架電リスト'!$J$5:$J$1268,"NG")</f>
        <v/>
      </c>
      <c r="K18" s="16">
        <f>COUNTIFS('架電リスト'!$B$5:$B$1268,$A18,'架電リスト'!$J$5:$J$1268,"番号不明")</f>
        <v/>
      </c>
    </row>
    <row r="19">
      <c r="A19" s="16" t="inlineStr">
        <is>
          <t>富山県</t>
        </is>
      </c>
      <c r="B19" s="16">
        <f>COUNTIF('架電リスト'!$B$5:$B$1268,A19)</f>
        <v/>
      </c>
      <c r="C19" s="16">
        <f>COUNTIFS('架電リスト'!$B$5:$B$1268,A19,'架電リスト'!$E$5:$E$1268,"&lt;&gt;")</f>
        <v/>
      </c>
      <c r="D19" s="16">
        <f>B19-COUNTIFS('架電リスト'!$B$5:$B$1268,A19,'架電リスト'!$J$5:$J$1268,"未架電")-COUNTIFS('架電リスト'!$B$5:$B$1268,A19,'架電リスト'!$J$5:$J$1268,"")</f>
        <v/>
      </c>
      <c r="E19" s="16">
        <f>COUNTIFS('架電リスト'!$B$5:$B$1268,$A19,'架電リスト'!$J$5:$J$1268,"不在・折返し待ち")</f>
        <v/>
      </c>
      <c r="F19" s="16">
        <f>COUNTIFS('架電リスト'!$B$5:$B$1268,$A19,'架電リスト'!$J$5:$J$1268,"担当者不在")</f>
        <v/>
      </c>
      <c r="G19" s="16">
        <f>COUNTIFS('架電リスト'!$B$5:$B$1268,$A19,'架電リスト'!$J$5:$J$1268,"資料送付")</f>
        <v/>
      </c>
      <c r="H19" s="16">
        <f>COUNTIFS('架電リスト'!$B$5:$B$1268,$A19,'架電リスト'!$J$5:$J$1268,"アポ獲得")</f>
        <v/>
      </c>
      <c r="I19" s="16">
        <f>COUNTIFS('架電リスト'!$B$5:$B$1268,$A19,'架電リスト'!$J$5:$J$1268,"検討中")</f>
        <v/>
      </c>
      <c r="J19" s="16">
        <f>COUNTIFS('架電リスト'!$B$5:$B$1268,$A19,'架電リスト'!$J$5:$J$1268,"NG")</f>
        <v/>
      </c>
      <c r="K19" s="16">
        <f>COUNTIFS('架電リスト'!$B$5:$B$1268,$A19,'架電リスト'!$J$5:$J$1268,"番号不明")</f>
        <v/>
      </c>
    </row>
    <row r="20">
      <c r="A20" s="16" t="inlineStr">
        <is>
          <t>石川県</t>
        </is>
      </c>
      <c r="B20" s="16">
        <f>COUNTIF('架電リスト'!$B$5:$B$1268,A20)</f>
        <v/>
      </c>
      <c r="C20" s="16">
        <f>COUNTIFS('架電リスト'!$B$5:$B$1268,A20,'架電リスト'!$E$5:$E$1268,"&lt;&gt;")</f>
        <v/>
      </c>
      <c r="D20" s="16">
        <f>B20-COUNTIFS('架電リスト'!$B$5:$B$1268,A20,'架電リスト'!$J$5:$J$1268,"未架電")-COUNTIFS('架電リスト'!$B$5:$B$1268,A20,'架電リスト'!$J$5:$J$1268,"")</f>
        <v/>
      </c>
      <c r="E20" s="16">
        <f>COUNTIFS('架電リスト'!$B$5:$B$1268,$A20,'架電リスト'!$J$5:$J$1268,"不在・折返し待ち")</f>
        <v/>
      </c>
      <c r="F20" s="16">
        <f>COUNTIFS('架電リスト'!$B$5:$B$1268,$A20,'架電リスト'!$J$5:$J$1268,"担当者不在")</f>
        <v/>
      </c>
      <c r="G20" s="16">
        <f>COUNTIFS('架電リスト'!$B$5:$B$1268,$A20,'架電リスト'!$J$5:$J$1268,"資料送付")</f>
        <v/>
      </c>
      <c r="H20" s="16">
        <f>COUNTIFS('架電リスト'!$B$5:$B$1268,$A20,'架電リスト'!$J$5:$J$1268,"アポ獲得")</f>
        <v/>
      </c>
      <c r="I20" s="16">
        <f>COUNTIFS('架電リスト'!$B$5:$B$1268,$A20,'架電リスト'!$J$5:$J$1268,"検討中")</f>
        <v/>
      </c>
      <c r="J20" s="16">
        <f>COUNTIFS('架電リスト'!$B$5:$B$1268,$A20,'架電リスト'!$J$5:$J$1268,"NG")</f>
        <v/>
      </c>
      <c r="K20" s="16">
        <f>COUNTIFS('架電リスト'!$B$5:$B$1268,$A20,'架電リスト'!$J$5:$J$1268,"番号不明")</f>
        <v/>
      </c>
    </row>
    <row r="21">
      <c r="A21" s="16" t="inlineStr">
        <is>
          <t>福井県</t>
        </is>
      </c>
      <c r="B21" s="16">
        <f>COUNTIF('架電リスト'!$B$5:$B$1268,A21)</f>
        <v/>
      </c>
      <c r="C21" s="16">
        <f>COUNTIFS('架電リスト'!$B$5:$B$1268,A21,'架電リスト'!$E$5:$E$1268,"&lt;&gt;")</f>
        <v/>
      </c>
      <c r="D21" s="16">
        <f>B21-COUNTIFS('架電リスト'!$B$5:$B$1268,A21,'架電リスト'!$J$5:$J$1268,"未架電")-COUNTIFS('架電リスト'!$B$5:$B$1268,A21,'架電リスト'!$J$5:$J$1268,"")</f>
        <v/>
      </c>
      <c r="E21" s="16">
        <f>COUNTIFS('架電リスト'!$B$5:$B$1268,$A21,'架電リスト'!$J$5:$J$1268,"不在・折返し待ち")</f>
        <v/>
      </c>
      <c r="F21" s="16">
        <f>COUNTIFS('架電リスト'!$B$5:$B$1268,$A21,'架電リスト'!$J$5:$J$1268,"担当者不在")</f>
        <v/>
      </c>
      <c r="G21" s="16">
        <f>COUNTIFS('架電リスト'!$B$5:$B$1268,$A21,'架電リスト'!$J$5:$J$1268,"資料送付")</f>
        <v/>
      </c>
      <c r="H21" s="16">
        <f>COUNTIFS('架電リスト'!$B$5:$B$1268,$A21,'架電リスト'!$J$5:$J$1268,"アポ獲得")</f>
        <v/>
      </c>
      <c r="I21" s="16">
        <f>COUNTIFS('架電リスト'!$B$5:$B$1268,$A21,'架電リスト'!$J$5:$J$1268,"検討中")</f>
        <v/>
      </c>
      <c r="J21" s="16">
        <f>COUNTIFS('架電リスト'!$B$5:$B$1268,$A21,'架電リスト'!$J$5:$J$1268,"NG")</f>
        <v/>
      </c>
      <c r="K21" s="16">
        <f>COUNTIFS('架電リスト'!$B$5:$B$1268,$A21,'架電リスト'!$J$5:$J$1268,"番号不明")</f>
        <v/>
      </c>
    </row>
    <row r="22">
      <c r="A22" s="16" t="inlineStr">
        <is>
          <t>山梨県</t>
        </is>
      </c>
      <c r="B22" s="16">
        <f>COUNTIF('架電リスト'!$B$5:$B$1268,A22)</f>
        <v/>
      </c>
      <c r="C22" s="16">
        <f>COUNTIFS('架電リスト'!$B$5:$B$1268,A22,'架電リスト'!$E$5:$E$1268,"&lt;&gt;")</f>
        <v/>
      </c>
      <c r="D22" s="16">
        <f>B22-COUNTIFS('架電リスト'!$B$5:$B$1268,A22,'架電リスト'!$J$5:$J$1268,"未架電")-COUNTIFS('架電リスト'!$B$5:$B$1268,A22,'架電リスト'!$J$5:$J$1268,"")</f>
        <v/>
      </c>
      <c r="E22" s="16">
        <f>COUNTIFS('架電リスト'!$B$5:$B$1268,$A22,'架電リスト'!$J$5:$J$1268,"不在・折返し待ち")</f>
        <v/>
      </c>
      <c r="F22" s="16">
        <f>COUNTIFS('架電リスト'!$B$5:$B$1268,$A22,'架電リスト'!$J$5:$J$1268,"担当者不在")</f>
        <v/>
      </c>
      <c r="G22" s="16">
        <f>COUNTIFS('架電リスト'!$B$5:$B$1268,$A22,'架電リスト'!$J$5:$J$1268,"資料送付")</f>
        <v/>
      </c>
      <c r="H22" s="16">
        <f>COUNTIFS('架電リスト'!$B$5:$B$1268,$A22,'架電リスト'!$J$5:$J$1268,"アポ獲得")</f>
        <v/>
      </c>
      <c r="I22" s="16">
        <f>COUNTIFS('架電リスト'!$B$5:$B$1268,$A22,'架電リスト'!$J$5:$J$1268,"検討中")</f>
        <v/>
      </c>
      <c r="J22" s="16">
        <f>COUNTIFS('架電リスト'!$B$5:$B$1268,$A22,'架電リスト'!$J$5:$J$1268,"NG")</f>
        <v/>
      </c>
      <c r="K22" s="16">
        <f>COUNTIFS('架電リスト'!$B$5:$B$1268,$A22,'架電リスト'!$J$5:$J$1268,"番号不明")</f>
        <v/>
      </c>
    </row>
    <row r="23">
      <c r="A23" s="16" t="inlineStr">
        <is>
          <t>長野県</t>
        </is>
      </c>
      <c r="B23" s="16">
        <f>COUNTIF('架電リスト'!$B$5:$B$1268,A23)</f>
        <v/>
      </c>
      <c r="C23" s="16">
        <f>COUNTIFS('架電リスト'!$B$5:$B$1268,A23,'架電リスト'!$E$5:$E$1268,"&lt;&gt;")</f>
        <v/>
      </c>
      <c r="D23" s="16">
        <f>B23-COUNTIFS('架電リスト'!$B$5:$B$1268,A23,'架電リスト'!$J$5:$J$1268,"未架電")-COUNTIFS('架電リスト'!$B$5:$B$1268,A23,'架電リスト'!$J$5:$J$1268,"")</f>
        <v/>
      </c>
      <c r="E23" s="16">
        <f>COUNTIFS('架電リスト'!$B$5:$B$1268,$A23,'架電リスト'!$J$5:$J$1268,"不在・折返し待ち")</f>
        <v/>
      </c>
      <c r="F23" s="16">
        <f>COUNTIFS('架電リスト'!$B$5:$B$1268,$A23,'架電リスト'!$J$5:$J$1268,"担当者不在")</f>
        <v/>
      </c>
      <c r="G23" s="16">
        <f>COUNTIFS('架電リスト'!$B$5:$B$1268,$A23,'架電リスト'!$J$5:$J$1268,"資料送付")</f>
        <v/>
      </c>
      <c r="H23" s="16">
        <f>COUNTIFS('架電リスト'!$B$5:$B$1268,$A23,'架電リスト'!$J$5:$J$1268,"アポ獲得")</f>
        <v/>
      </c>
      <c r="I23" s="16">
        <f>COUNTIFS('架電リスト'!$B$5:$B$1268,$A23,'架電リスト'!$J$5:$J$1268,"検討中")</f>
        <v/>
      </c>
      <c r="J23" s="16">
        <f>COUNTIFS('架電リスト'!$B$5:$B$1268,$A23,'架電リスト'!$J$5:$J$1268,"NG")</f>
        <v/>
      </c>
      <c r="K23" s="16">
        <f>COUNTIFS('架電リスト'!$B$5:$B$1268,$A23,'架電リスト'!$J$5:$J$1268,"番号不明")</f>
        <v/>
      </c>
    </row>
    <row r="24">
      <c r="A24" s="16" t="inlineStr">
        <is>
          <t>岐阜県</t>
        </is>
      </c>
      <c r="B24" s="16">
        <f>COUNTIF('架電リスト'!$B$5:$B$1268,A24)</f>
        <v/>
      </c>
      <c r="C24" s="16">
        <f>COUNTIFS('架電リスト'!$B$5:$B$1268,A24,'架電リスト'!$E$5:$E$1268,"&lt;&gt;")</f>
        <v/>
      </c>
      <c r="D24" s="16">
        <f>B24-COUNTIFS('架電リスト'!$B$5:$B$1268,A24,'架電リスト'!$J$5:$J$1268,"未架電")-COUNTIFS('架電リスト'!$B$5:$B$1268,A24,'架電リスト'!$J$5:$J$1268,"")</f>
        <v/>
      </c>
      <c r="E24" s="16">
        <f>COUNTIFS('架電リスト'!$B$5:$B$1268,$A24,'架電リスト'!$J$5:$J$1268,"不在・折返し待ち")</f>
        <v/>
      </c>
      <c r="F24" s="16">
        <f>COUNTIFS('架電リスト'!$B$5:$B$1268,$A24,'架電リスト'!$J$5:$J$1268,"担当者不在")</f>
        <v/>
      </c>
      <c r="G24" s="16">
        <f>COUNTIFS('架電リスト'!$B$5:$B$1268,$A24,'架電リスト'!$J$5:$J$1268,"資料送付")</f>
        <v/>
      </c>
      <c r="H24" s="16">
        <f>COUNTIFS('架電リスト'!$B$5:$B$1268,$A24,'架電リスト'!$J$5:$J$1268,"アポ獲得")</f>
        <v/>
      </c>
      <c r="I24" s="16">
        <f>COUNTIFS('架電リスト'!$B$5:$B$1268,$A24,'架電リスト'!$J$5:$J$1268,"検討中")</f>
        <v/>
      </c>
      <c r="J24" s="16">
        <f>COUNTIFS('架電リスト'!$B$5:$B$1268,$A24,'架電リスト'!$J$5:$J$1268,"NG")</f>
        <v/>
      </c>
      <c r="K24" s="16">
        <f>COUNTIFS('架電リスト'!$B$5:$B$1268,$A24,'架電リスト'!$J$5:$J$1268,"番号不明")</f>
        <v/>
      </c>
    </row>
    <row r="25">
      <c r="A25" s="16" t="inlineStr">
        <is>
          <t>静岡県</t>
        </is>
      </c>
      <c r="B25" s="16">
        <f>COUNTIF('架電リスト'!$B$5:$B$1268,A25)</f>
        <v/>
      </c>
      <c r="C25" s="16">
        <f>COUNTIFS('架電リスト'!$B$5:$B$1268,A25,'架電リスト'!$E$5:$E$1268,"&lt;&gt;")</f>
        <v/>
      </c>
      <c r="D25" s="16">
        <f>B25-COUNTIFS('架電リスト'!$B$5:$B$1268,A25,'架電リスト'!$J$5:$J$1268,"未架電")-COUNTIFS('架電リスト'!$B$5:$B$1268,A25,'架電リスト'!$J$5:$J$1268,"")</f>
        <v/>
      </c>
      <c r="E25" s="16">
        <f>COUNTIFS('架電リスト'!$B$5:$B$1268,$A25,'架電リスト'!$J$5:$J$1268,"不在・折返し待ち")</f>
        <v/>
      </c>
      <c r="F25" s="16">
        <f>COUNTIFS('架電リスト'!$B$5:$B$1268,$A25,'架電リスト'!$J$5:$J$1268,"担当者不在")</f>
        <v/>
      </c>
      <c r="G25" s="16">
        <f>COUNTIFS('架電リスト'!$B$5:$B$1268,$A25,'架電リスト'!$J$5:$J$1268,"資料送付")</f>
        <v/>
      </c>
      <c r="H25" s="16">
        <f>COUNTIFS('架電リスト'!$B$5:$B$1268,$A25,'架電リスト'!$J$5:$J$1268,"アポ獲得")</f>
        <v/>
      </c>
      <c r="I25" s="16">
        <f>COUNTIFS('架電リスト'!$B$5:$B$1268,$A25,'架電リスト'!$J$5:$J$1268,"検討中")</f>
        <v/>
      </c>
      <c r="J25" s="16">
        <f>COUNTIFS('架電リスト'!$B$5:$B$1268,$A25,'架電リスト'!$J$5:$J$1268,"NG")</f>
        <v/>
      </c>
      <c r="K25" s="16">
        <f>COUNTIFS('架電リスト'!$B$5:$B$1268,$A25,'架電リスト'!$J$5:$J$1268,"番号不明")</f>
        <v/>
      </c>
    </row>
    <row r="26">
      <c r="A26" s="16" t="inlineStr">
        <is>
          <t>愛知県</t>
        </is>
      </c>
      <c r="B26" s="16">
        <f>COUNTIF('架電リスト'!$B$5:$B$1268,A26)</f>
        <v/>
      </c>
      <c r="C26" s="16">
        <f>COUNTIFS('架電リスト'!$B$5:$B$1268,A26,'架電リスト'!$E$5:$E$1268,"&lt;&gt;")</f>
        <v/>
      </c>
      <c r="D26" s="16">
        <f>B26-COUNTIFS('架電リスト'!$B$5:$B$1268,A26,'架電リスト'!$J$5:$J$1268,"未架電")-COUNTIFS('架電リスト'!$B$5:$B$1268,A26,'架電リスト'!$J$5:$J$1268,"")</f>
        <v/>
      </c>
      <c r="E26" s="16">
        <f>COUNTIFS('架電リスト'!$B$5:$B$1268,$A26,'架電リスト'!$J$5:$J$1268,"不在・折返し待ち")</f>
        <v/>
      </c>
      <c r="F26" s="16">
        <f>COUNTIFS('架電リスト'!$B$5:$B$1268,$A26,'架電リスト'!$J$5:$J$1268,"担当者不在")</f>
        <v/>
      </c>
      <c r="G26" s="16">
        <f>COUNTIFS('架電リスト'!$B$5:$B$1268,$A26,'架電リスト'!$J$5:$J$1268,"資料送付")</f>
        <v/>
      </c>
      <c r="H26" s="16">
        <f>COUNTIFS('架電リスト'!$B$5:$B$1268,$A26,'架電リスト'!$J$5:$J$1268,"アポ獲得")</f>
        <v/>
      </c>
      <c r="I26" s="16">
        <f>COUNTIFS('架電リスト'!$B$5:$B$1268,$A26,'架電リスト'!$J$5:$J$1268,"検討中")</f>
        <v/>
      </c>
      <c r="J26" s="16">
        <f>COUNTIFS('架電リスト'!$B$5:$B$1268,$A26,'架電リスト'!$J$5:$J$1268,"NG")</f>
        <v/>
      </c>
      <c r="K26" s="16">
        <f>COUNTIFS('架電リスト'!$B$5:$B$1268,$A26,'架電リスト'!$J$5:$J$1268,"番号不明")</f>
        <v/>
      </c>
    </row>
    <row r="27">
      <c r="A27" s="16" t="inlineStr">
        <is>
          <t>三重県</t>
        </is>
      </c>
      <c r="B27" s="16">
        <f>COUNTIF('架電リスト'!$B$5:$B$1268,A27)</f>
        <v/>
      </c>
      <c r="C27" s="16">
        <f>COUNTIFS('架電リスト'!$B$5:$B$1268,A27,'架電リスト'!$E$5:$E$1268,"&lt;&gt;")</f>
        <v/>
      </c>
      <c r="D27" s="16">
        <f>B27-COUNTIFS('架電リスト'!$B$5:$B$1268,A27,'架電リスト'!$J$5:$J$1268,"未架電")-COUNTIFS('架電リスト'!$B$5:$B$1268,A27,'架電リスト'!$J$5:$J$1268,"")</f>
        <v/>
      </c>
      <c r="E27" s="16">
        <f>COUNTIFS('架電リスト'!$B$5:$B$1268,$A27,'架電リスト'!$J$5:$J$1268,"不在・折返し待ち")</f>
        <v/>
      </c>
      <c r="F27" s="16">
        <f>COUNTIFS('架電リスト'!$B$5:$B$1268,$A27,'架電リスト'!$J$5:$J$1268,"担当者不在")</f>
        <v/>
      </c>
      <c r="G27" s="16">
        <f>COUNTIFS('架電リスト'!$B$5:$B$1268,$A27,'架電リスト'!$J$5:$J$1268,"資料送付")</f>
        <v/>
      </c>
      <c r="H27" s="16">
        <f>COUNTIFS('架電リスト'!$B$5:$B$1268,$A27,'架電リスト'!$J$5:$J$1268,"アポ獲得")</f>
        <v/>
      </c>
      <c r="I27" s="16">
        <f>COUNTIFS('架電リスト'!$B$5:$B$1268,$A27,'架電リスト'!$J$5:$J$1268,"検討中")</f>
        <v/>
      </c>
      <c r="J27" s="16">
        <f>COUNTIFS('架電リスト'!$B$5:$B$1268,$A27,'架電リスト'!$J$5:$J$1268,"NG")</f>
        <v/>
      </c>
      <c r="K27" s="16">
        <f>COUNTIFS('架電リスト'!$B$5:$B$1268,$A27,'架電リスト'!$J$5:$J$1268,"番号不明")</f>
        <v/>
      </c>
    </row>
    <row r="28">
      <c r="A28" s="16" t="inlineStr">
        <is>
          <t>滋賀県</t>
        </is>
      </c>
      <c r="B28" s="16">
        <f>COUNTIF('架電リスト'!$B$5:$B$1268,A28)</f>
        <v/>
      </c>
      <c r="C28" s="16">
        <f>COUNTIFS('架電リスト'!$B$5:$B$1268,A28,'架電リスト'!$E$5:$E$1268,"&lt;&gt;")</f>
        <v/>
      </c>
      <c r="D28" s="16">
        <f>B28-COUNTIFS('架電リスト'!$B$5:$B$1268,A28,'架電リスト'!$J$5:$J$1268,"未架電")-COUNTIFS('架電リスト'!$B$5:$B$1268,A28,'架電リスト'!$J$5:$J$1268,"")</f>
        <v/>
      </c>
      <c r="E28" s="16">
        <f>COUNTIFS('架電リスト'!$B$5:$B$1268,$A28,'架電リスト'!$J$5:$J$1268,"不在・折返し待ち")</f>
        <v/>
      </c>
      <c r="F28" s="16">
        <f>COUNTIFS('架電リスト'!$B$5:$B$1268,$A28,'架電リスト'!$J$5:$J$1268,"担当者不在")</f>
        <v/>
      </c>
      <c r="G28" s="16">
        <f>COUNTIFS('架電リスト'!$B$5:$B$1268,$A28,'架電リスト'!$J$5:$J$1268,"資料送付")</f>
        <v/>
      </c>
      <c r="H28" s="16">
        <f>COUNTIFS('架電リスト'!$B$5:$B$1268,$A28,'架電リスト'!$J$5:$J$1268,"アポ獲得")</f>
        <v/>
      </c>
      <c r="I28" s="16">
        <f>COUNTIFS('架電リスト'!$B$5:$B$1268,$A28,'架電リスト'!$J$5:$J$1268,"検討中")</f>
        <v/>
      </c>
      <c r="J28" s="16">
        <f>COUNTIFS('架電リスト'!$B$5:$B$1268,$A28,'架電リスト'!$J$5:$J$1268,"NG")</f>
        <v/>
      </c>
      <c r="K28" s="16">
        <f>COUNTIFS('架電リスト'!$B$5:$B$1268,$A28,'架電リスト'!$J$5:$J$1268,"番号不明")</f>
        <v/>
      </c>
    </row>
    <row r="29">
      <c r="A29" s="16" t="inlineStr">
        <is>
          <t>京都府</t>
        </is>
      </c>
      <c r="B29" s="16">
        <f>COUNTIF('架電リスト'!$B$5:$B$1268,A29)</f>
        <v/>
      </c>
      <c r="C29" s="16">
        <f>COUNTIFS('架電リスト'!$B$5:$B$1268,A29,'架電リスト'!$E$5:$E$1268,"&lt;&gt;")</f>
        <v/>
      </c>
      <c r="D29" s="16">
        <f>B29-COUNTIFS('架電リスト'!$B$5:$B$1268,A29,'架電リスト'!$J$5:$J$1268,"未架電")-COUNTIFS('架電リスト'!$B$5:$B$1268,A29,'架電リスト'!$J$5:$J$1268,"")</f>
        <v/>
      </c>
      <c r="E29" s="16">
        <f>COUNTIFS('架電リスト'!$B$5:$B$1268,$A29,'架電リスト'!$J$5:$J$1268,"不在・折返し待ち")</f>
        <v/>
      </c>
      <c r="F29" s="16">
        <f>COUNTIFS('架電リスト'!$B$5:$B$1268,$A29,'架電リスト'!$J$5:$J$1268,"担当者不在")</f>
        <v/>
      </c>
      <c r="G29" s="16">
        <f>COUNTIFS('架電リスト'!$B$5:$B$1268,$A29,'架電リスト'!$J$5:$J$1268,"資料送付")</f>
        <v/>
      </c>
      <c r="H29" s="16">
        <f>COUNTIFS('架電リスト'!$B$5:$B$1268,$A29,'架電リスト'!$J$5:$J$1268,"アポ獲得")</f>
        <v/>
      </c>
      <c r="I29" s="16">
        <f>COUNTIFS('架電リスト'!$B$5:$B$1268,$A29,'架電リスト'!$J$5:$J$1268,"検討中")</f>
        <v/>
      </c>
      <c r="J29" s="16">
        <f>COUNTIFS('架電リスト'!$B$5:$B$1268,$A29,'架電リスト'!$J$5:$J$1268,"NG")</f>
        <v/>
      </c>
      <c r="K29" s="16">
        <f>COUNTIFS('架電リスト'!$B$5:$B$1268,$A29,'架電リスト'!$J$5:$J$1268,"番号不明")</f>
        <v/>
      </c>
    </row>
    <row r="30">
      <c r="A30" s="16" t="inlineStr">
        <is>
          <t>大阪府</t>
        </is>
      </c>
      <c r="B30" s="16">
        <f>COUNTIF('架電リスト'!$B$5:$B$1268,A30)</f>
        <v/>
      </c>
      <c r="C30" s="16">
        <f>COUNTIFS('架電リスト'!$B$5:$B$1268,A30,'架電リスト'!$E$5:$E$1268,"&lt;&gt;")</f>
        <v/>
      </c>
      <c r="D30" s="16">
        <f>B30-COUNTIFS('架電リスト'!$B$5:$B$1268,A30,'架電リスト'!$J$5:$J$1268,"未架電")-COUNTIFS('架電リスト'!$B$5:$B$1268,A30,'架電リスト'!$J$5:$J$1268,"")</f>
        <v/>
      </c>
      <c r="E30" s="16">
        <f>COUNTIFS('架電リスト'!$B$5:$B$1268,$A30,'架電リスト'!$J$5:$J$1268,"不在・折返し待ち")</f>
        <v/>
      </c>
      <c r="F30" s="16">
        <f>COUNTIFS('架電リスト'!$B$5:$B$1268,$A30,'架電リスト'!$J$5:$J$1268,"担当者不在")</f>
        <v/>
      </c>
      <c r="G30" s="16">
        <f>COUNTIFS('架電リスト'!$B$5:$B$1268,$A30,'架電リスト'!$J$5:$J$1268,"資料送付")</f>
        <v/>
      </c>
      <c r="H30" s="16">
        <f>COUNTIFS('架電リスト'!$B$5:$B$1268,$A30,'架電リスト'!$J$5:$J$1268,"アポ獲得")</f>
        <v/>
      </c>
      <c r="I30" s="16">
        <f>COUNTIFS('架電リスト'!$B$5:$B$1268,$A30,'架電リスト'!$J$5:$J$1268,"検討中")</f>
        <v/>
      </c>
      <c r="J30" s="16">
        <f>COUNTIFS('架電リスト'!$B$5:$B$1268,$A30,'架電リスト'!$J$5:$J$1268,"NG")</f>
        <v/>
      </c>
      <c r="K30" s="16">
        <f>COUNTIFS('架電リスト'!$B$5:$B$1268,$A30,'架電リスト'!$J$5:$J$1268,"番号不明")</f>
        <v/>
      </c>
    </row>
    <row r="31">
      <c r="A31" s="16" t="inlineStr">
        <is>
          <t>兵庫県</t>
        </is>
      </c>
      <c r="B31" s="16">
        <f>COUNTIF('架電リスト'!$B$5:$B$1268,A31)</f>
        <v/>
      </c>
      <c r="C31" s="16">
        <f>COUNTIFS('架電リスト'!$B$5:$B$1268,A31,'架電リスト'!$E$5:$E$1268,"&lt;&gt;")</f>
        <v/>
      </c>
      <c r="D31" s="16">
        <f>B31-COUNTIFS('架電リスト'!$B$5:$B$1268,A31,'架電リスト'!$J$5:$J$1268,"未架電")-COUNTIFS('架電リスト'!$B$5:$B$1268,A31,'架電リスト'!$J$5:$J$1268,"")</f>
        <v/>
      </c>
      <c r="E31" s="16">
        <f>COUNTIFS('架電リスト'!$B$5:$B$1268,$A31,'架電リスト'!$J$5:$J$1268,"不在・折返し待ち")</f>
        <v/>
      </c>
      <c r="F31" s="16">
        <f>COUNTIFS('架電リスト'!$B$5:$B$1268,$A31,'架電リスト'!$J$5:$J$1268,"担当者不在")</f>
        <v/>
      </c>
      <c r="G31" s="16">
        <f>COUNTIFS('架電リスト'!$B$5:$B$1268,$A31,'架電リスト'!$J$5:$J$1268,"資料送付")</f>
        <v/>
      </c>
      <c r="H31" s="16">
        <f>COUNTIFS('架電リスト'!$B$5:$B$1268,$A31,'架電リスト'!$J$5:$J$1268,"アポ獲得")</f>
        <v/>
      </c>
      <c r="I31" s="16">
        <f>COUNTIFS('架電リスト'!$B$5:$B$1268,$A31,'架電リスト'!$J$5:$J$1268,"検討中")</f>
        <v/>
      </c>
      <c r="J31" s="16">
        <f>COUNTIFS('架電リスト'!$B$5:$B$1268,$A31,'架電リスト'!$J$5:$J$1268,"NG")</f>
        <v/>
      </c>
      <c r="K31" s="16">
        <f>COUNTIFS('架電リスト'!$B$5:$B$1268,$A31,'架電リスト'!$J$5:$J$1268,"番号不明")</f>
        <v/>
      </c>
    </row>
    <row r="32">
      <c r="A32" s="16" t="inlineStr">
        <is>
          <t>奈良県</t>
        </is>
      </c>
      <c r="B32" s="16">
        <f>COUNTIF('架電リスト'!$B$5:$B$1268,A32)</f>
        <v/>
      </c>
      <c r="C32" s="16">
        <f>COUNTIFS('架電リスト'!$B$5:$B$1268,A32,'架電リスト'!$E$5:$E$1268,"&lt;&gt;")</f>
        <v/>
      </c>
      <c r="D32" s="16">
        <f>B32-COUNTIFS('架電リスト'!$B$5:$B$1268,A32,'架電リスト'!$J$5:$J$1268,"未架電")-COUNTIFS('架電リスト'!$B$5:$B$1268,A32,'架電リスト'!$J$5:$J$1268,"")</f>
        <v/>
      </c>
      <c r="E32" s="16">
        <f>COUNTIFS('架電リスト'!$B$5:$B$1268,$A32,'架電リスト'!$J$5:$J$1268,"不在・折返し待ち")</f>
        <v/>
      </c>
      <c r="F32" s="16">
        <f>COUNTIFS('架電リスト'!$B$5:$B$1268,$A32,'架電リスト'!$J$5:$J$1268,"担当者不在")</f>
        <v/>
      </c>
      <c r="G32" s="16">
        <f>COUNTIFS('架電リスト'!$B$5:$B$1268,$A32,'架電リスト'!$J$5:$J$1268,"資料送付")</f>
        <v/>
      </c>
      <c r="H32" s="16">
        <f>COUNTIFS('架電リスト'!$B$5:$B$1268,$A32,'架電リスト'!$J$5:$J$1268,"アポ獲得")</f>
        <v/>
      </c>
      <c r="I32" s="16">
        <f>COUNTIFS('架電リスト'!$B$5:$B$1268,$A32,'架電リスト'!$J$5:$J$1268,"検討中")</f>
        <v/>
      </c>
      <c r="J32" s="16">
        <f>COUNTIFS('架電リスト'!$B$5:$B$1268,$A32,'架電リスト'!$J$5:$J$1268,"NG")</f>
        <v/>
      </c>
      <c r="K32" s="16">
        <f>COUNTIFS('架電リスト'!$B$5:$B$1268,$A32,'架電リスト'!$J$5:$J$1268,"番号不明")</f>
        <v/>
      </c>
    </row>
    <row r="33">
      <c r="A33" s="16" t="inlineStr">
        <is>
          <t>和歌山県</t>
        </is>
      </c>
      <c r="B33" s="16">
        <f>COUNTIF('架電リスト'!$B$5:$B$1268,A33)</f>
        <v/>
      </c>
      <c r="C33" s="16">
        <f>COUNTIFS('架電リスト'!$B$5:$B$1268,A33,'架電リスト'!$E$5:$E$1268,"&lt;&gt;")</f>
        <v/>
      </c>
      <c r="D33" s="16">
        <f>B33-COUNTIFS('架電リスト'!$B$5:$B$1268,A33,'架電リスト'!$J$5:$J$1268,"未架電")-COUNTIFS('架電リスト'!$B$5:$B$1268,A33,'架電リスト'!$J$5:$J$1268,"")</f>
        <v/>
      </c>
      <c r="E33" s="16">
        <f>COUNTIFS('架電リスト'!$B$5:$B$1268,$A33,'架電リスト'!$J$5:$J$1268,"不在・折返し待ち")</f>
        <v/>
      </c>
      <c r="F33" s="16">
        <f>COUNTIFS('架電リスト'!$B$5:$B$1268,$A33,'架電リスト'!$J$5:$J$1268,"担当者不在")</f>
        <v/>
      </c>
      <c r="G33" s="16">
        <f>COUNTIFS('架電リスト'!$B$5:$B$1268,$A33,'架電リスト'!$J$5:$J$1268,"資料送付")</f>
        <v/>
      </c>
      <c r="H33" s="16">
        <f>COUNTIFS('架電リスト'!$B$5:$B$1268,$A33,'架電リスト'!$J$5:$J$1268,"アポ獲得")</f>
        <v/>
      </c>
      <c r="I33" s="16">
        <f>COUNTIFS('架電リスト'!$B$5:$B$1268,$A33,'架電リスト'!$J$5:$J$1268,"検討中")</f>
        <v/>
      </c>
      <c r="J33" s="16">
        <f>COUNTIFS('架電リスト'!$B$5:$B$1268,$A33,'架電リスト'!$J$5:$J$1268,"NG")</f>
        <v/>
      </c>
      <c r="K33" s="16">
        <f>COUNTIFS('架電リスト'!$B$5:$B$1268,$A33,'架電リスト'!$J$5:$J$1268,"番号不明")</f>
        <v/>
      </c>
    </row>
    <row r="34">
      <c r="A34" s="16" t="inlineStr">
        <is>
          <t>鳥取県</t>
        </is>
      </c>
      <c r="B34" s="16">
        <f>COUNTIF('架電リスト'!$B$5:$B$1268,A34)</f>
        <v/>
      </c>
      <c r="C34" s="16">
        <f>COUNTIFS('架電リスト'!$B$5:$B$1268,A34,'架電リスト'!$E$5:$E$1268,"&lt;&gt;")</f>
        <v/>
      </c>
      <c r="D34" s="16">
        <f>B34-COUNTIFS('架電リスト'!$B$5:$B$1268,A34,'架電リスト'!$J$5:$J$1268,"未架電")-COUNTIFS('架電リスト'!$B$5:$B$1268,A34,'架電リスト'!$J$5:$J$1268,"")</f>
        <v/>
      </c>
      <c r="E34" s="16">
        <f>COUNTIFS('架電リスト'!$B$5:$B$1268,$A34,'架電リスト'!$J$5:$J$1268,"不在・折返し待ち")</f>
        <v/>
      </c>
      <c r="F34" s="16">
        <f>COUNTIFS('架電リスト'!$B$5:$B$1268,$A34,'架電リスト'!$J$5:$J$1268,"担当者不在")</f>
        <v/>
      </c>
      <c r="G34" s="16">
        <f>COUNTIFS('架電リスト'!$B$5:$B$1268,$A34,'架電リスト'!$J$5:$J$1268,"資料送付")</f>
        <v/>
      </c>
      <c r="H34" s="16">
        <f>COUNTIFS('架電リスト'!$B$5:$B$1268,$A34,'架電リスト'!$J$5:$J$1268,"アポ獲得")</f>
        <v/>
      </c>
      <c r="I34" s="16">
        <f>COUNTIFS('架電リスト'!$B$5:$B$1268,$A34,'架電リスト'!$J$5:$J$1268,"検討中")</f>
        <v/>
      </c>
      <c r="J34" s="16">
        <f>COUNTIFS('架電リスト'!$B$5:$B$1268,$A34,'架電リスト'!$J$5:$J$1268,"NG")</f>
        <v/>
      </c>
      <c r="K34" s="16">
        <f>COUNTIFS('架電リスト'!$B$5:$B$1268,$A34,'架電リスト'!$J$5:$J$1268,"番号不明")</f>
        <v/>
      </c>
    </row>
    <row r="35">
      <c r="A35" s="16" t="inlineStr">
        <is>
          <t>島根県</t>
        </is>
      </c>
      <c r="B35" s="16">
        <f>COUNTIF('架電リスト'!$B$5:$B$1268,A35)</f>
        <v/>
      </c>
      <c r="C35" s="16">
        <f>COUNTIFS('架電リスト'!$B$5:$B$1268,A35,'架電リスト'!$E$5:$E$1268,"&lt;&gt;")</f>
        <v/>
      </c>
      <c r="D35" s="16">
        <f>B35-COUNTIFS('架電リスト'!$B$5:$B$1268,A35,'架電リスト'!$J$5:$J$1268,"未架電")-COUNTIFS('架電リスト'!$B$5:$B$1268,A35,'架電リスト'!$J$5:$J$1268,"")</f>
        <v/>
      </c>
      <c r="E35" s="16">
        <f>COUNTIFS('架電リスト'!$B$5:$B$1268,$A35,'架電リスト'!$J$5:$J$1268,"不在・折返し待ち")</f>
        <v/>
      </c>
      <c r="F35" s="16">
        <f>COUNTIFS('架電リスト'!$B$5:$B$1268,$A35,'架電リスト'!$J$5:$J$1268,"担当者不在")</f>
        <v/>
      </c>
      <c r="G35" s="16">
        <f>COUNTIFS('架電リスト'!$B$5:$B$1268,$A35,'架電リスト'!$J$5:$J$1268,"資料送付")</f>
        <v/>
      </c>
      <c r="H35" s="16">
        <f>COUNTIFS('架電リスト'!$B$5:$B$1268,$A35,'架電リスト'!$J$5:$J$1268,"アポ獲得")</f>
        <v/>
      </c>
      <c r="I35" s="16">
        <f>COUNTIFS('架電リスト'!$B$5:$B$1268,$A35,'架電リスト'!$J$5:$J$1268,"検討中")</f>
        <v/>
      </c>
      <c r="J35" s="16">
        <f>COUNTIFS('架電リスト'!$B$5:$B$1268,$A35,'架電リスト'!$J$5:$J$1268,"NG")</f>
        <v/>
      </c>
      <c r="K35" s="16">
        <f>COUNTIFS('架電リスト'!$B$5:$B$1268,$A35,'架電リスト'!$J$5:$J$1268,"番号不明")</f>
        <v/>
      </c>
    </row>
    <row r="36">
      <c r="A36" s="16" t="inlineStr">
        <is>
          <t>岡山県</t>
        </is>
      </c>
      <c r="B36" s="16">
        <f>COUNTIF('架電リスト'!$B$5:$B$1268,A36)</f>
        <v/>
      </c>
      <c r="C36" s="16">
        <f>COUNTIFS('架電リスト'!$B$5:$B$1268,A36,'架電リスト'!$E$5:$E$1268,"&lt;&gt;")</f>
        <v/>
      </c>
      <c r="D36" s="16">
        <f>B36-COUNTIFS('架電リスト'!$B$5:$B$1268,A36,'架電リスト'!$J$5:$J$1268,"未架電")-COUNTIFS('架電リスト'!$B$5:$B$1268,A36,'架電リスト'!$J$5:$J$1268,"")</f>
        <v/>
      </c>
      <c r="E36" s="16">
        <f>COUNTIFS('架電リスト'!$B$5:$B$1268,$A36,'架電リスト'!$J$5:$J$1268,"不在・折返し待ち")</f>
        <v/>
      </c>
      <c r="F36" s="16">
        <f>COUNTIFS('架電リスト'!$B$5:$B$1268,$A36,'架電リスト'!$J$5:$J$1268,"担当者不在")</f>
        <v/>
      </c>
      <c r="G36" s="16">
        <f>COUNTIFS('架電リスト'!$B$5:$B$1268,$A36,'架電リスト'!$J$5:$J$1268,"資料送付")</f>
        <v/>
      </c>
      <c r="H36" s="16">
        <f>COUNTIFS('架電リスト'!$B$5:$B$1268,$A36,'架電リスト'!$J$5:$J$1268,"アポ獲得")</f>
        <v/>
      </c>
      <c r="I36" s="16">
        <f>COUNTIFS('架電リスト'!$B$5:$B$1268,$A36,'架電リスト'!$J$5:$J$1268,"検討中")</f>
        <v/>
      </c>
      <c r="J36" s="16">
        <f>COUNTIFS('架電リスト'!$B$5:$B$1268,$A36,'架電リスト'!$J$5:$J$1268,"NG")</f>
        <v/>
      </c>
      <c r="K36" s="16">
        <f>COUNTIFS('架電リスト'!$B$5:$B$1268,$A36,'架電リスト'!$J$5:$J$1268,"番号不明")</f>
        <v/>
      </c>
    </row>
    <row r="37">
      <c r="A37" s="16" t="inlineStr">
        <is>
          <t>広島県</t>
        </is>
      </c>
      <c r="B37" s="16">
        <f>COUNTIF('架電リスト'!$B$5:$B$1268,A37)</f>
        <v/>
      </c>
      <c r="C37" s="16">
        <f>COUNTIFS('架電リスト'!$B$5:$B$1268,A37,'架電リスト'!$E$5:$E$1268,"&lt;&gt;")</f>
        <v/>
      </c>
      <c r="D37" s="16">
        <f>B37-COUNTIFS('架電リスト'!$B$5:$B$1268,A37,'架電リスト'!$J$5:$J$1268,"未架電")-COUNTIFS('架電リスト'!$B$5:$B$1268,A37,'架電リスト'!$J$5:$J$1268,"")</f>
        <v/>
      </c>
      <c r="E37" s="16">
        <f>COUNTIFS('架電リスト'!$B$5:$B$1268,$A37,'架電リスト'!$J$5:$J$1268,"不在・折返し待ち")</f>
        <v/>
      </c>
      <c r="F37" s="16">
        <f>COUNTIFS('架電リスト'!$B$5:$B$1268,$A37,'架電リスト'!$J$5:$J$1268,"担当者不在")</f>
        <v/>
      </c>
      <c r="G37" s="16">
        <f>COUNTIFS('架電リスト'!$B$5:$B$1268,$A37,'架電リスト'!$J$5:$J$1268,"資料送付")</f>
        <v/>
      </c>
      <c r="H37" s="16">
        <f>COUNTIFS('架電リスト'!$B$5:$B$1268,$A37,'架電リスト'!$J$5:$J$1268,"アポ獲得")</f>
        <v/>
      </c>
      <c r="I37" s="16">
        <f>COUNTIFS('架電リスト'!$B$5:$B$1268,$A37,'架電リスト'!$J$5:$J$1268,"検討中")</f>
        <v/>
      </c>
      <c r="J37" s="16">
        <f>COUNTIFS('架電リスト'!$B$5:$B$1268,$A37,'架電リスト'!$J$5:$J$1268,"NG")</f>
        <v/>
      </c>
      <c r="K37" s="16">
        <f>COUNTIFS('架電リスト'!$B$5:$B$1268,$A37,'架電リスト'!$J$5:$J$1268,"番号不明")</f>
        <v/>
      </c>
    </row>
    <row r="38">
      <c r="A38" s="16" t="inlineStr">
        <is>
          <t>山口県</t>
        </is>
      </c>
      <c r="B38" s="16">
        <f>COUNTIF('架電リスト'!$B$5:$B$1268,A38)</f>
        <v/>
      </c>
      <c r="C38" s="16">
        <f>COUNTIFS('架電リスト'!$B$5:$B$1268,A38,'架電リスト'!$E$5:$E$1268,"&lt;&gt;")</f>
        <v/>
      </c>
      <c r="D38" s="16">
        <f>B38-COUNTIFS('架電リスト'!$B$5:$B$1268,A38,'架電リスト'!$J$5:$J$1268,"未架電")-COUNTIFS('架電リスト'!$B$5:$B$1268,A38,'架電リスト'!$J$5:$J$1268,"")</f>
        <v/>
      </c>
      <c r="E38" s="16">
        <f>COUNTIFS('架電リスト'!$B$5:$B$1268,$A38,'架電リスト'!$J$5:$J$1268,"不在・折返し待ち")</f>
        <v/>
      </c>
      <c r="F38" s="16">
        <f>COUNTIFS('架電リスト'!$B$5:$B$1268,$A38,'架電リスト'!$J$5:$J$1268,"担当者不在")</f>
        <v/>
      </c>
      <c r="G38" s="16">
        <f>COUNTIFS('架電リスト'!$B$5:$B$1268,$A38,'架電リスト'!$J$5:$J$1268,"資料送付")</f>
        <v/>
      </c>
      <c r="H38" s="16">
        <f>COUNTIFS('架電リスト'!$B$5:$B$1268,$A38,'架電リスト'!$J$5:$J$1268,"アポ獲得")</f>
        <v/>
      </c>
      <c r="I38" s="16">
        <f>COUNTIFS('架電リスト'!$B$5:$B$1268,$A38,'架電リスト'!$J$5:$J$1268,"検討中")</f>
        <v/>
      </c>
      <c r="J38" s="16">
        <f>COUNTIFS('架電リスト'!$B$5:$B$1268,$A38,'架電リスト'!$J$5:$J$1268,"NG")</f>
        <v/>
      </c>
      <c r="K38" s="16">
        <f>COUNTIFS('架電リスト'!$B$5:$B$1268,$A38,'架電リスト'!$J$5:$J$1268,"番号不明")</f>
        <v/>
      </c>
    </row>
    <row r="39">
      <c r="A39" s="16" t="inlineStr">
        <is>
          <t>徳島県</t>
        </is>
      </c>
      <c r="B39" s="16">
        <f>COUNTIF('架電リスト'!$B$5:$B$1268,A39)</f>
        <v/>
      </c>
      <c r="C39" s="16">
        <f>COUNTIFS('架電リスト'!$B$5:$B$1268,A39,'架電リスト'!$E$5:$E$1268,"&lt;&gt;")</f>
        <v/>
      </c>
      <c r="D39" s="16">
        <f>B39-COUNTIFS('架電リスト'!$B$5:$B$1268,A39,'架電リスト'!$J$5:$J$1268,"未架電")-COUNTIFS('架電リスト'!$B$5:$B$1268,A39,'架電リスト'!$J$5:$J$1268,"")</f>
        <v/>
      </c>
      <c r="E39" s="16">
        <f>COUNTIFS('架電リスト'!$B$5:$B$1268,$A39,'架電リスト'!$J$5:$J$1268,"不在・折返し待ち")</f>
        <v/>
      </c>
      <c r="F39" s="16">
        <f>COUNTIFS('架電リスト'!$B$5:$B$1268,$A39,'架電リスト'!$J$5:$J$1268,"担当者不在")</f>
        <v/>
      </c>
      <c r="G39" s="16">
        <f>COUNTIFS('架電リスト'!$B$5:$B$1268,$A39,'架電リスト'!$J$5:$J$1268,"資料送付")</f>
        <v/>
      </c>
      <c r="H39" s="16">
        <f>COUNTIFS('架電リスト'!$B$5:$B$1268,$A39,'架電リスト'!$J$5:$J$1268,"アポ獲得")</f>
        <v/>
      </c>
      <c r="I39" s="16">
        <f>COUNTIFS('架電リスト'!$B$5:$B$1268,$A39,'架電リスト'!$J$5:$J$1268,"検討中")</f>
        <v/>
      </c>
      <c r="J39" s="16">
        <f>COUNTIFS('架電リスト'!$B$5:$B$1268,$A39,'架電リスト'!$J$5:$J$1268,"NG")</f>
        <v/>
      </c>
      <c r="K39" s="16">
        <f>COUNTIFS('架電リスト'!$B$5:$B$1268,$A39,'架電リスト'!$J$5:$J$1268,"番号不明")</f>
        <v/>
      </c>
    </row>
    <row r="40">
      <c r="A40" s="16" t="inlineStr">
        <is>
          <t>香川県</t>
        </is>
      </c>
      <c r="B40" s="16">
        <f>COUNTIF('架電リスト'!$B$5:$B$1268,A40)</f>
        <v/>
      </c>
      <c r="C40" s="16">
        <f>COUNTIFS('架電リスト'!$B$5:$B$1268,A40,'架電リスト'!$E$5:$E$1268,"&lt;&gt;")</f>
        <v/>
      </c>
      <c r="D40" s="16">
        <f>B40-COUNTIFS('架電リスト'!$B$5:$B$1268,A40,'架電リスト'!$J$5:$J$1268,"未架電")-COUNTIFS('架電リスト'!$B$5:$B$1268,A40,'架電リスト'!$J$5:$J$1268,"")</f>
        <v/>
      </c>
      <c r="E40" s="16">
        <f>COUNTIFS('架電リスト'!$B$5:$B$1268,$A40,'架電リスト'!$J$5:$J$1268,"不在・折返し待ち")</f>
        <v/>
      </c>
      <c r="F40" s="16">
        <f>COUNTIFS('架電リスト'!$B$5:$B$1268,$A40,'架電リスト'!$J$5:$J$1268,"担当者不在")</f>
        <v/>
      </c>
      <c r="G40" s="16">
        <f>COUNTIFS('架電リスト'!$B$5:$B$1268,$A40,'架電リスト'!$J$5:$J$1268,"資料送付")</f>
        <v/>
      </c>
      <c r="H40" s="16">
        <f>COUNTIFS('架電リスト'!$B$5:$B$1268,$A40,'架電リスト'!$J$5:$J$1268,"アポ獲得")</f>
        <v/>
      </c>
      <c r="I40" s="16">
        <f>COUNTIFS('架電リスト'!$B$5:$B$1268,$A40,'架電リスト'!$J$5:$J$1268,"検討中")</f>
        <v/>
      </c>
      <c r="J40" s="16">
        <f>COUNTIFS('架電リスト'!$B$5:$B$1268,$A40,'架電リスト'!$J$5:$J$1268,"NG")</f>
        <v/>
      </c>
      <c r="K40" s="16">
        <f>COUNTIFS('架電リスト'!$B$5:$B$1268,$A40,'架電リスト'!$J$5:$J$1268,"番号不明")</f>
        <v/>
      </c>
    </row>
    <row r="41">
      <c r="A41" s="16" t="inlineStr">
        <is>
          <t>愛媛県</t>
        </is>
      </c>
      <c r="B41" s="16">
        <f>COUNTIF('架電リスト'!$B$5:$B$1268,A41)</f>
        <v/>
      </c>
      <c r="C41" s="16">
        <f>COUNTIFS('架電リスト'!$B$5:$B$1268,A41,'架電リスト'!$E$5:$E$1268,"&lt;&gt;")</f>
        <v/>
      </c>
      <c r="D41" s="16">
        <f>B41-COUNTIFS('架電リスト'!$B$5:$B$1268,A41,'架電リスト'!$J$5:$J$1268,"未架電")-COUNTIFS('架電リスト'!$B$5:$B$1268,A41,'架電リスト'!$J$5:$J$1268,"")</f>
        <v/>
      </c>
      <c r="E41" s="16">
        <f>COUNTIFS('架電リスト'!$B$5:$B$1268,$A41,'架電リスト'!$J$5:$J$1268,"不在・折返し待ち")</f>
        <v/>
      </c>
      <c r="F41" s="16">
        <f>COUNTIFS('架電リスト'!$B$5:$B$1268,$A41,'架電リスト'!$J$5:$J$1268,"担当者不在")</f>
        <v/>
      </c>
      <c r="G41" s="16">
        <f>COUNTIFS('架電リスト'!$B$5:$B$1268,$A41,'架電リスト'!$J$5:$J$1268,"資料送付")</f>
        <v/>
      </c>
      <c r="H41" s="16">
        <f>COUNTIFS('架電リスト'!$B$5:$B$1268,$A41,'架電リスト'!$J$5:$J$1268,"アポ獲得")</f>
        <v/>
      </c>
      <c r="I41" s="16">
        <f>COUNTIFS('架電リスト'!$B$5:$B$1268,$A41,'架電リスト'!$J$5:$J$1268,"検討中")</f>
        <v/>
      </c>
      <c r="J41" s="16">
        <f>COUNTIFS('架電リスト'!$B$5:$B$1268,$A41,'架電リスト'!$J$5:$J$1268,"NG")</f>
        <v/>
      </c>
      <c r="K41" s="16">
        <f>COUNTIFS('架電リスト'!$B$5:$B$1268,$A41,'架電リスト'!$J$5:$J$1268,"番号不明")</f>
        <v/>
      </c>
    </row>
    <row r="42">
      <c r="A42" s="16" t="inlineStr">
        <is>
          <t>高知県</t>
        </is>
      </c>
      <c r="B42" s="16">
        <f>COUNTIF('架電リスト'!$B$5:$B$1268,A42)</f>
        <v/>
      </c>
      <c r="C42" s="16">
        <f>COUNTIFS('架電リスト'!$B$5:$B$1268,A42,'架電リスト'!$E$5:$E$1268,"&lt;&gt;")</f>
        <v/>
      </c>
      <c r="D42" s="16">
        <f>B42-COUNTIFS('架電リスト'!$B$5:$B$1268,A42,'架電リスト'!$J$5:$J$1268,"未架電")-COUNTIFS('架電リスト'!$B$5:$B$1268,A42,'架電リスト'!$J$5:$J$1268,"")</f>
        <v/>
      </c>
      <c r="E42" s="16">
        <f>COUNTIFS('架電リスト'!$B$5:$B$1268,$A42,'架電リスト'!$J$5:$J$1268,"不在・折返し待ち")</f>
        <v/>
      </c>
      <c r="F42" s="16">
        <f>COUNTIFS('架電リスト'!$B$5:$B$1268,$A42,'架電リスト'!$J$5:$J$1268,"担当者不在")</f>
        <v/>
      </c>
      <c r="G42" s="16">
        <f>COUNTIFS('架電リスト'!$B$5:$B$1268,$A42,'架電リスト'!$J$5:$J$1268,"資料送付")</f>
        <v/>
      </c>
      <c r="H42" s="16">
        <f>COUNTIFS('架電リスト'!$B$5:$B$1268,$A42,'架電リスト'!$J$5:$J$1268,"アポ獲得")</f>
        <v/>
      </c>
      <c r="I42" s="16">
        <f>COUNTIFS('架電リスト'!$B$5:$B$1268,$A42,'架電リスト'!$J$5:$J$1268,"検討中")</f>
        <v/>
      </c>
      <c r="J42" s="16">
        <f>COUNTIFS('架電リスト'!$B$5:$B$1268,$A42,'架電リスト'!$J$5:$J$1268,"NG")</f>
        <v/>
      </c>
      <c r="K42" s="16">
        <f>COUNTIFS('架電リスト'!$B$5:$B$1268,$A42,'架電リスト'!$J$5:$J$1268,"番号不明")</f>
        <v/>
      </c>
    </row>
    <row r="43">
      <c r="A43" s="16" t="inlineStr">
        <is>
          <t>福岡県</t>
        </is>
      </c>
      <c r="B43" s="16">
        <f>COUNTIF('架電リスト'!$B$5:$B$1268,A43)</f>
        <v/>
      </c>
      <c r="C43" s="16">
        <f>COUNTIFS('架電リスト'!$B$5:$B$1268,A43,'架電リスト'!$E$5:$E$1268,"&lt;&gt;")</f>
        <v/>
      </c>
      <c r="D43" s="16">
        <f>B43-COUNTIFS('架電リスト'!$B$5:$B$1268,A43,'架電リスト'!$J$5:$J$1268,"未架電")-COUNTIFS('架電リスト'!$B$5:$B$1268,A43,'架電リスト'!$J$5:$J$1268,"")</f>
        <v/>
      </c>
      <c r="E43" s="16">
        <f>COUNTIFS('架電リスト'!$B$5:$B$1268,$A43,'架電リスト'!$J$5:$J$1268,"不在・折返し待ち")</f>
        <v/>
      </c>
      <c r="F43" s="16">
        <f>COUNTIFS('架電リスト'!$B$5:$B$1268,$A43,'架電リスト'!$J$5:$J$1268,"担当者不在")</f>
        <v/>
      </c>
      <c r="G43" s="16">
        <f>COUNTIFS('架電リスト'!$B$5:$B$1268,$A43,'架電リスト'!$J$5:$J$1268,"資料送付")</f>
        <v/>
      </c>
      <c r="H43" s="16">
        <f>COUNTIFS('架電リスト'!$B$5:$B$1268,$A43,'架電リスト'!$J$5:$J$1268,"アポ獲得")</f>
        <v/>
      </c>
      <c r="I43" s="16">
        <f>COUNTIFS('架電リスト'!$B$5:$B$1268,$A43,'架電リスト'!$J$5:$J$1268,"検討中")</f>
        <v/>
      </c>
      <c r="J43" s="16">
        <f>COUNTIFS('架電リスト'!$B$5:$B$1268,$A43,'架電リスト'!$J$5:$J$1268,"NG")</f>
        <v/>
      </c>
      <c r="K43" s="16">
        <f>COUNTIFS('架電リスト'!$B$5:$B$1268,$A43,'架電リスト'!$J$5:$J$1268,"番号不明")</f>
        <v/>
      </c>
    </row>
    <row r="44">
      <c r="A44" s="17" t="inlineStr">
        <is>
          <t>合計</t>
        </is>
      </c>
      <c r="B44" s="17">
        <f>SUM(B4:B43)</f>
        <v/>
      </c>
      <c r="C44" s="17">
        <f>SUM(C4:C43)</f>
        <v/>
      </c>
      <c r="D44" s="17">
        <f>SUM(D4:D43)</f>
        <v/>
      </c>
      <c r="E44" s="17">
        <f>SUM(E4:E43)</f>
        <v/>
      </c>
      <c r="F44" s="17">
        <f>SUM(F4:F43)</f>
        <v/>
      </c>
      <c r="G44" s="17">
        <f>SUM(G4:G43)</f>
        <v/>
      </c>
      <c r="H44" s="17">
        <f>SUM(H4:H43)</f>
        <v/>
      </c>
      <c r="I44" s="17">
        <f>SUM(I4:I43)</f>
        <v/>
      </c>
      <c r="J44" s="17">
        <f>SUM(J4:J43)</f>
        <v/>
      </c>
      <c r="K44" s="17">
        <f>SUM(K4:K43)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・出典：ご提供いただいた学校ネットの検索結果（私立高校・40都道府県、1264校）の貼り付けデータ。並び順は都道府県ごとに元データの掲載順です。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2026-10-14T02:03:40Z</dcterms:created>
  <dcterms:modified xsi:type="dcterms:W3CDTF">2026-10-14T02:03:42Z</dcterms:modified>
</cp:coreProperties>
</file>