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'架電リスト'!$A$4:$O$1323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23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架電リスト（43都道府県／1319校）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</sheetData>
  <autoFilter ref="A4:O1323"/>
  <conditionalFormatting sqref="A5:O1323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23" showDropDown="0" showInputMessage="0" showErrorMessage="0" allowBlank="1" type="list">
      <formula1>"未架電,不在・折返し待ち,担当者不在,資料送付,アポ獲得,検討中,NG,番号不明"</formula1>
    </dataValidation>
    <dataValidation sqref="H5:H1323 K5:K1323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COUNTIF('架電リスト'!$B$5:$B$1323,A4)</f>
        <v/>
      </c>
      <c r="C4" s="16">
        <f>COUNTIFS('架電リスト'!$B$5:$B$1323,A4,'架電リスト'!$E$5:$E$1323,"&lt;&gt;")</f>
        <v/>
      </c>
      <c r="D4" s="16">
        <f>B4-COUNTIFS('架電リスト'!$B$5:$B$1323,A4,'架電リスト'!$J$5:$J$1323,"未架電")-COUNTIFS('架電リスト'!$B$5:$B$1323,A4,'架電リスト'!$J$5:$J$1323,"")</f>
        <v/>
      </c>
      <c r="E4" s="16">
        <f>COUNTIFS('架電リスト'!$B$5:$B$1323,$A4,'架電リスト'!$J$5:$J$1323,"不在・折返し待ち")</f>
        <v/>
      </c>
      <c r="F4" s="16">
        <f>COUNTIFS('架電リスト'!$B$5:$B$1323,$A4,'架電リスト'!$J$5:$J$1323,"担当者不在")</f>
        <v/>
      </c>
      <c r="G4" s="16">
        <f>COUNTIFS('架電リスト'!$B$5:$B$1323,$A4,'架電リスト'!$J$5:$J$1323,"資料送付")</f>
        <v/>
      </c>
      <c r="H4" s="16">
        <f>COUNTIFS('架電リスト'!$B$5:$B$1323,$A4,'架電リスト'!$J$5:$J$1323,"アポ獲得")</f>
        <v/>
      </c>
      <c r="I4" s="16">
        <f>COUNTIFS('架電リスト'!$B$5:$B$1323,$A4,'架電リスト'!$J$5:$J$1323,"検討中")</f>
        <v/>
      </c>
      <c r="J4" s="16">
        <f>COUNTIFS('架電リスト'!$B$5:$B$1323,$A4,'架電リスト'!$J$5:$J$1323,"NG")</f>
        <v/>
      </c>
      <c r="K4" s="16">
        <f>COUNTIFS('架電リスト'!$B$5:$B$1323,$A4,'架電リスト'!$J$5:$J$1323,"番号不明")</f>
        <v/>
      </c>
    </row>
    <row r="5">
      <c r="A5" s="16" t="inlineStr">
        <is>
          <t>青森県</t>
        </is>
      </c>
      <c r="B5" s="16">
        <f>COUNTIF('架電リスト'!$B$5:$B$1323,A5)</f>
        <v/>
      </c>
      <c r="C5" s="16">
        <f>COUNTIFS('架電リスト'!$B$5:$B$1323,A5,'架電リスト'!$E$5:$E$1323,"&lt;&gt;")</f>
        <v/>
      </c>
      <c r="D5" s="16">
        <f>B5-COUNTIFS('架電リスト'!$B$5:$B$1323,A5,'架電リスト'!$J$5:$J$1323,"未架電")-COUNTIFS('架電リスト'!$B$5:$B$1323,A5,'架電リスト'!$J$5:$J$1323,"")</f>
        <v/>
      </c>
      <c r="E5" s="16">
        <f>COUNTIFS('架電リスト'!$B$5:$B$1323,$A5,'架電リスト'!$J$5:$J$1323,"不在・折返し待ち")</f>
        <v/>
      </c>
      <c r="F5" s="16">
        <f>COUNTIFS('架電リスト'!$B$5:$B$1323,$A5,'架電リスト'!$J$5:$J$1323,"担当者不在")</f>
        <v/>
      </c>
      <c r="G5" s="16">
        <f>COUNTIFS('架電リスト'!$B$5:$B$1323,$A5,'架電リスト'!$J$5:$J$1323,"資料送付")</f>
        <v/>
      </c>
      <c r="H5" s="16">
        <f>COUNTIFS('架電リスト'!$B$5:$B$1323,$A5,'架電リスト'!$J$5:$J$1323,"アポ獲得")</f>
        <v/>
      </c>
      <c r="I5" s="16">
        <f>COUNTIFS('架電リスト'!$B$5:$B$1323,$A5,'架電リスト'!$J$5:$J$1323,"検討中")</f>
        <v/>
      </c>
      <c r="J5" s="16">
        <f>COUNTIFS('架電リスト'!$B$5:$B$1323,$A5,'架電リスト'!$J$5:$J$1323,"NG")</f>
        <v/>
      </c>
      <c r="K5" s="16">
        <f>COUNTIFS('架電リスト'!$B$5:$B$1323,$A5,'架電リスト'!$J$5:$J$1323,"番号不明")</f>
        <v/>
      </c>
    </row>
    <row r="6">
      <c r="A6" s="16" t="inlineStr">
        <is>
          <t>岩手県</t>
        </is>
      </c>
      <c r="B6" s="16">
        <f>COUNTIF('架電リスト'!$B$5:$B$1323,A6)</f>
        <v/>
      </c>
      <c r="C6" s="16">
        <f>COUNTIFS('架電リスト'!$B$5:$B$1323,A6,'架電リスト'!$E$5:$E$1323,"&lt;&gt;")</f>
        <v/>
      </c>
      <c r="D6" s="16">
        <f>B6-COUNTIFS('架電リスト'!$B$5:$B$1323,A6,'架電リスト'!$J$5:$J$1323,"未架電")-COUNTIFS('架電リスト'!$B$5:$B$1323,A6,'架電リスト'!$J$5:$J$1323,"")</f>
        <v/>
      </c>
      <c r="E6" s="16">
        <f>COUNTIFS('架電リスト'!$B$5:$B$1323,$A6,'架電リスト'!$J$5:$J$1323,"不在・折返し待ち")</f>
        <v/>
      </c>
      <c r="F6" s="16">
        <f>COUNTIFS('架電リスト'!$B$5:$B$1323,$A6,'架電リスト'!$J$5:$J$1323,"担当者不在")</f>
        <v/>
      </c>
      <c r="G6" s="16">
        <f>COUNTIFS('架電リスト'!$B$5:$B$1323,$A6,'架電リスト'!$J$5:$J$1323,"資料送付")</f>
        <v/>
      </c>
      <c r="H6" s="16">
        <f>COUNTIFS('架電リスト'!$B$5:$B$1323,$A6,'架電リスト'!$J$5:$J$1323,"アポ獲得")</f>
        <v/>
      </c>
      <c r="I6" s="16">
        <f>COUNTIFS('架電リスト'!$B$5:$B$1323,$A6,'架電リスト'!$J$5:$J$1323,"検討中")</f>
        <v/>
      </c>
      <c r="J6" s="16">
        <f>COUNTIFS('架電リスト'!$B$5:$B$1323,$A6,'架電リスト'!$J$5:$J$1323,"NG")</f>
        <v/>
      </c>
      <c r="K6" s="16">
        <f>COUNTIFS('架電リスト'!$B$5:$B$1323,$A6,'架電リスト'!$J$5:$J$1323,"番号不明")</f>
        <v/>
      </c>
    </row>
    <row r="7">
      <c r="A7" s="16" t="inlineStr">
        <is>
          <t>宮城県</t>
        </is>
      </c>
      <c r="B7" s="16">
        <f>COUNTIF('架電リスト'!$B$5:$B$1323,A7)</f>
        <v/>
      </c>
      <c r="C7" s="16">
        <f>COUNTIFS('架電リスト'!$B$5:$B$1323,A7,'架電リスト'!$E$5:$E$1323,"&lt;&gt;")</f>
        <v/>
      </c>
      <c r="D7" s="16">
        <f>B7-COUNTIFS('架電リスト'!$B$5:$B$1323,A7,'架電リスト'!$J$5:$J$1323,"未架電")-COUNTIFS('架電リスト'!$B$5:$B$1323,A7,'架電リスト'!$J$5:$J$1323,"")</f>
        <v/>
      </c>
      <c r="E7" s="16">
        <f>COUNTIFS('架電リスト'!$B$5:$B$1323,$A7,'架電リスト'!$J$5:$J$1323,"不在・折返し待ち")</f>
        <v/>
      </c>
      <c r="F7" s="16">
        <f>COUNTIFS('架電リスト'!$B$5:$B$1323,$A7,'架電リスト'!$J$5:$J$1323,"担当者不在")</f>
        <v/>
      </c>
      <c r="G7" s="16">
        <f>COUNTIFS('架電リスト'!$B$5:$B$1323,$A7,'架電リスト'!$J$5:$J$1323,"資料送付")</f>
        <v/>
      </c>
      <c r="H7" s="16">
        <f>COUNTIFS('架電リスト'!$B$5:$B$1323,$A7,'架電リスト'!$J$5:$J$1323,"アポ獲得")</f>
        <v/>
      </c>
      <c r="I7" s="16">
        <f>COUNTIFS('架電リスト'!$B$5:$B$1323,$A7,'架電リスト'!$J$5:$J$1323,"検討中")</f>
        <v/>
      </c>
      <c r="J7" s="16">
        <f>COUNTIFS('架電リスト'!$B$5:$B$1323,$A7,'架電リスト'!$J$5:$J$1323,"NG")</f>
        <v/>
      </c>
      <c r="K7" s="16">
        <f>COUNTIFS('架電リスト'!$B$5:$B$1323,$A7,'架電リスト'!$J$5:$J$1323,"番号不明")</f>
        <v/>
      </c>
    </row>
    <row r="8">
      <c r="A8" s="16" t="inlineStr">
        <is>
          <t>秋田県</t>
        </is>
      </c>
      <c r="B8" s="16">
        <f>COUNTIF('架電リスト'!$B$5:$B$1323,A8)</f>
        <v/>
      </c>
      <c r="C8" s="16">
        <f>COUNTIFS('架電リスト'!$B$5:$B$1323,A8,'架電リスト'!$E$5:$E$1323,"&lt;&gt;")</f>
        <v/>
      </c>
      <c r="D8" s="16">
        <f>B8-COUNTIFS('架電リスト'!$B$5:$B$1323,A8,'架電リスト'!$J$5:$J$1323,"未架電")-COUNTIFS('架電リスト'!$B$5:$B$1323,A8,'架電リスト'!$J$5:$J$1323,"")</f>
        <v/>
      </c>
      <c r="E8" s="16">
        <f>COUNTIFS('架電リスト'!$B$5:$B$1323,$A8,'架電リスト'!$J$5:$J$1323,"不在・折返し待ち")</f>
        <v/>
      </c>
      <c r="F8" s="16">
        <f>COUNTIFS('架電リスト'!$B$5:$B$1323,$A8,'架電リスト'!$J$5:$J$1323,"担当者不在")</f>
        <v/>
      </c>
      <c r="G8" s="16">
        <f>COUNTIFS('架電リスト'!$B$5:$B$1323,$A8,'架電リスト'!$J$5:$J$1323,"資料送付")</f>
        <v/>
      </c>
      <c r="H8" s="16">
        <f>COUNTIFS('架電リスト'!$B$5:$B$1323,$A8,'架電リスト'!$J$5:$J$1323,"アポ獲得")</f>
        <v/>
      </c>
      <c r="I8" s="16">
        <f>COUNTIFS('架電リスト'!$B$5:$B$1323,$A8,'架電リスト'!$J$5:$J$1323,"検討中")</f>
        <v/>
      </c>
      <c r="J8" s="16">
        <f>COUNTIFS('架電リスト'!$B$5:$B$1323,$A8,'架電リスト'!$J$5:$J$1323,"NG")</f>
        <v/>
      </c>
      <c r="K8" s="16">
        <f>COUNTIFS('架電リスト'!$B$5:$B$1323,$A8,'架電リスト'!$J$5:$J$1323,"番号不明")</f>
        <v/>
      </c>
    </row>
    <row r="9">
      <c r="A9" s="16" t="inlineStr">
        <is>
          <t>山形県</t>
        </is>
      </c>
      <c r="B9" s="16">
        <f>COUNTIF('架電リスト'!$B$5:$B$1323,A9)</f>
        <v/>
      </c>
      <c r="C9" s="16">
        <f>COUNTIFS('架電リスト'!$B$5:$B$1323,A9,'架電リスト'!$E$5:$E$1323,"&lt;&gt;")</f>
        <v/>
      </c>
      <c r="D9" s="16">
        <f>B9-COUNTIFS('架電リスト'!$B$5:$B$1323,A9,'架電リスト'!$J$5:$J$1323,"未架電")-COUNTIFS('架電リスト'!$B$5:$B$1323,A9,'架電リスト'!$J$5:$J$1323,"")</f>
        <v/>
      </c>
      <c r="E9" s="16">
        <f>COUNTIFS('架電リスト'!$B$5:$B$1323,$A9,'架電リスト'!$J$5:$J$1323,"不在・折返し待ち")</f>
        <v/>
      </c>
      <c r="F9" s="16">
        <f>COUNTIFS('架電リスト'!$B$5:$B$1323,$A9,'架電リスト'!$J$5:$J$1323,"担当者不在")</f>
        <v/>
      </c>
      <c r="G9" s="16">
        <f>COUNTIFS('架電リスト'!$B$5:$B$1323,$A9,'架電リスト'!$J$5:$J$1323,"資料送付")</f>
        <v/>
      </c>
      <c r="H9" s="16">
        <f>COUNTIFS('架電リスト'!$B$5:$B$1323,$A9,'架電リスト'!$J$5:$J$1323,"アポ獲得")</f>
        <v/>
      </c>
      <c r="I9" s="16">
        <f>COUNTIFS('架電リスト'!$B$5:$B$1323,$A9,'架電リスト'!$J$5:$J$1323,"検討中")</f>
        <v/>
      </c>
      <c r="J9" s="16">
        <f>COUNTIFS('架電リスト'!$B$5:$B$1323,$A9,'架電リスト'!$J$5:$J$1323,"NG")</f>
        <v/>
      </c>
      <c r="K9" s="16">
        <f>COUNTIFS('架電リスト'!$B$5:$B$1323,$A9,'架電リスト'!$J$5:$J$1323,"番号不明")</f>
        <v/>
      </c>
    </row>
    <row r="10">
      <c r="A10" s="16" t="inlineStr">
        <is>
          <t>福島県</t>
        </is>
      </c>
      <c r="B10" s="16">
        <f>COUNTIF('架電リスト'!$B$5:$B$1323,A10)</f>
        <v/>
      </c>
      <c r="C10" s="16">
        <f>COUNTIFS('架電リスト'!$B$5:$B$1323,A10,'架電リスト'!$E$5:$E$1323,"&lt;&gt;")</f>
        <v/>
      </c>
      <c r="D10" s="16">
        <f>B10-COUNTIFS('架電リスト'!$B$5:$B$1323,A10,'架電リスト'!$J$5:$J$1323,"未架電")-COUNTIFS('架電リスト'!$B$5:$B$1323,A10,'架電リスト'!$J$5:$J$1323,"")</f>
        <v/>
      </c>
      <c r="E10" s="16">
        <f>COUNTIFS('架電リスト'!$B$5:$B$1323,$A10,'架電リスト'!$J$5:$J$1323,"不在・折返し待ち")</f>
        <v/>
      </c>
      <c r="F10" s="16">
        <f>COUNTIFS('架電リスト'!$B$5:$B$1323,$A10,'架電リスト'!$J$5:$J$1323,"担当者不在")</f>
        <v/>
      </c>
      <c r="G10" s="16">
        <f>COUNTIFS('架電リスト'!$B$5:$B$1323,$A10,'架電リスト'!$J$5:$J$1323,"資料送付")</f>
        <v/>
      </c>
      <c r="H10" s="16">
        <f>COUNTIFS('架電リスト'!$B$5:$B$1323,$A10,'架電リスト'!$J$5:$J$1323,"アポ獲得")</f>
        <v/>
      </c>
      <c r="I10" s="16">
        <f>COUNTIFS('架電リスト'!$B$5:$B$1323,$A10,'架電リスト'!$J$5:$J$1323,"検討中")</f>
        <v/>
      </c>
      <c r="J10" s="16">
        <f>COUNTIFS('架電リスト'!$B$5:$B$1323,$A10,'架電リスト'!$J$5:$J$1323,"NG")</f>
        <v/>
      </c>
      <c r="K10" s="16">
        <f>COUNTIFS('架電リスト'!$B$5:$B$1323,$A10,'架電リスト'!$J$5:$J$1323,"番号不明")</f>
        <v/>
      </c>
    </row>
    <row r="11">
      <c r="A11" s="16" t="inlineStr">
        <is>
          <t>茨城県</t>
        </is>
      </c>
      <c r="B11" s="16">
        <f>COUNTIF('架電リスト'!$B$5:$B$1323,A11)</f>
        <v/>
      </c>
      <c r="C11" s="16">
        <f>COUNTIFS('架電リスト'!$B$5:$B$1323,A11,'架電リスト'!$E$5:$E$1323,"&lt;&gt;")</f>
        <v/>
      </c>
      <c r="D11" s="16">
        <f>B11-COUNTIFS('架電リスト'!$B$5:$B$1323,A11,'架電リスト'!$J$5:$J$1323,"未架電")-COUNTIFS('架電リスト'!$B$5:$B$1323,A11,'架電リスト'!$J$5:$J$1323,"")</f>
        <v/>
      </c>
      <c r="E11" s="16">
        <f>COUNTIFS('架電リスト'!$B$5:$B$1323,$A11,'架電リスト'!$J$5:$J$1323,"不在・折返し待ち")</f>
        <v/>
      </c>
      <c r="F11" s="16">
        <f>COUNTIFS('架電リスト'!$B$5:$B$1323,$A11,'架電リスト'!$J$5:$J$1323,"担当者不在")</f>
        <v/>
      </c>
      <c r="G11" s="16">
        <f>COUNTIFS('架電リスト'!$B$5:$B$1323,$A11,'架電リスト'!$J$5:$J$1323,"資料送付")</f>
        <v/>
      </c>
      <c r="H11" s="16">
        <f>COUNTIFS('架電リスト'!$B$5:$B$1323,$A11,'架電リスト'!$J$5:$J$1323,"アポ獲得")</f>
        <v/>
      </c>
      <c r="I11" s="16">
        <f>COUNTIFS('架電リスト'!$B$5:$B$1323,$A11,'架電リスト'!$J$5:$J$1323,"検討中")</f>
        <v/>
      </c>
      <c r="J11" s="16">
        <f>COUNTIFS('架電リスト'!$B$5:$B$1323,$A11,'架電リスト'!$J$5:$J$1323,"NG")</f>
        <v/>
      </c>
      <c r="K11" s="16">
        <f>COUNTIFS('架電リスト'!$B$5:$B$1323,$A11,'架電リスト'!$J$5:$J$1323,"番号不明")</f>
        <v/>
      </c>
    </row>
    <row r="12">
      <c r="A12" s="16" t="inlineStr">
        <is>
          <t>栃木県</t>
        </is>
      </c>
      <c r="B12" s="16">
        <f>COUNTIF('架電リスト'!$B$5:$B$1323,A12)</f>
        <v/>
      </c>
      <c r="C12" s="16">
        <f>COUNTIFS('架電リスト'!$B$5:$B$1323,A12,'架電リスト'!$E$5:$E$1323,"&lt;&gt;")</f>
        <v/>
      </c>
      <c r="D12" s="16">
        <f>B12-COUNTIFS('架電リスト'!$B$5:$B$1323,A12,'架電リスト'!$J$5:$J$1323,"未架電")-COUNTIFS('架電リスト'!$B$5:$B$1323,A12,'架電リスト'!$J$5:$J$1323,"")</f>
        <v/>
      </c>
      <c r="E12" s="16">
        <f>COUNTIFS('架電リスト'!$B$5:$B$1323,$A12,'架電リスト'!$J$5:$J$1323,"不在・折返し待ち")</f>
        <v/>
      </c>
      <c r="F12" s="16">
        <f>COUNTIFS('架電リスト'!$B$5:$B$1323,$A12,'架電リスト'!$J$5:$J$1323,"担当者不在")</f>
        <v/>
      </c>
      <c r="G12" s="16">
        <f>COUNTIFS('架電リスト'!$B$5:$B$1323,$A12,'架電リスト'!$J$5:$J$1323,"資料送付")</f>
        <v/>
      </c>
      <c r="H12" s="16">
        <f>COUNTIFS('架電リスト'!$B$5:$B$1323,$A12,'架電リスト'!$J$5:$J$1323,"アポ獲得")</f>
        <v/>
      </c>
      <c r="I12" s="16">
        <f>COUNTIFS('架電リスト'!$B$5:$B$1323,$A12,'架電リスト'!$J$5:$J$1323,"検討中")</f>
        <v/>
      </c>
      <c r="J12" s="16">
        <f>COUNTIFS('架電リスト'!$B$5:$B$1323,$A12,'架電リスト'!$J$5:$J$1323,"NG")</f>
        <v/>
      </c>
      <c r="K12" s="16">
        <f>COUNTIFS('架電リスト'!$B$5:$B$1323,$A12,'架電リスト'!$J$5:$J$1323,"番号不明")</f>
        <v/>
      </c>
    </row>
    <row r="13">
      <c r="A13" s="16" t="inlineStr">
        <is>
          <t>群馬県</t>
        </is>
      </c>
      <c r="B13" s="16">
        <f>COUNTIF('架電リスト'!$B$5:$B$1323,A13)</f>
        <v/>
      </c>
      <c r="C13" s="16">
        <f>COUNTIFS('架電リスト'!$B$5:$B$1323,A13,'架電リスト'!$E$5:$E$1323,"&lt;&gt;")</f>
        <v/>
      </c>
      <c r="D13" s="16">
        <f>B13-COUNTIFS('架電リスト'!$B$5:$B$1323,A13,'架電リスト'!$J$5:$J$1323,"未架電")-COUNTIFS('架電リスト'!$B$5:$B$1323,A13,'架電リスト'!$J$5:$J$1323,"")</f>
        <v/>
      </c>
      <c r="E13" s="16">
        <f>COUNTIFS('架電リスト'!$B$5:$B$1323,$A13,'架電リスト'!$J$5:$J$1323,"不在・折返し待ち")</f>
        <v/>
      </c>
      <c r="F13" s="16">
        <f>COUNTIFS('架電リスト'!$B$5:$B$1323,$A13,'架電リスト'!$J$5:$J$1323,"担当者不在")</f>
        <v/>
      </c>
      <c r="G13" s="16">
        <f>COUNTIFS('架電リスト'!$B$5:$B$1323,$A13,'架電リスト'!$J$5:$J$1323,"資料送付")</f>
        <v/>
      </c>
      <c r="H13" s="16">
        <f>COUNTIFS('架電リスト'!$B$5:$B$1323,$A13,'架電リスト'!$J$5:$J$1323,"アポ獲得")</f>
        <v/>
      </c>
      <c r="I13" s="16">
        <f>COUNTIFS('架電リスト'!$B$5:$B$1323,$A13,'架電リスト'!$J$5:$J$1323,"検討中")</f>
        <v/>
      </c>
      <c r="J13" s="16">
        <f>COUNTIFS('架電リスト'!$B$5:$B$1323,$A13,'架電リスト'!$J$5:$J$1323,"NG")</f>
        <v/>
      </c>
      <c r="K13" s="16">
        <f>COUNTIFS('架電リスト'!$B$5:$B$1323,$A13,'架電リスト'!$J$5:$J$1323,"番号不明")</f>
        <v/>
      </c>
    </row>
    <row r="14">
      <c r="A14" s="16" t="inlineStr">
        <is>
          <t>埼玉県</t>
        </is>
      </c>
      <c r="B14" s="16">
        <f>COUNTIF('架電リスト'!$B$5:$B$1323,A14)</f>
        <v/>
      </c>
      <c r="C14" s="16">
        <f>COUNTIFS('架電リスト'!$B$5:$B$1323,A14,'架電リスト'!$E$5:$E$1323,"&lt;&gt;")</f>
        <v/>
      </c>
      <c r="D14" s="16">
        <f>B14-COUNTIFS('架電リスト'!$B$5:$B$1323,A14,'架電リスト'!$J$5:$J$1323,"未架電")-COUNTIFS('架電リスト'!$B$5:$B$1323,A14,'架電リスト'!$J$5:$J$1323,"")</f>
        <v/>
      </c>
      <c r="E14" s="16">
        <f>COUNTIFS('架電リスト'!$B$5:$B$1323,$A14,'架電リスト'!$J$5:$J$1323,"不在・折返し待ち")</f>
        <v/>
      </c>
      <c r="F14" s="16">
        <f>COUNTIFS('架電リスト'!$B$5:$B$1323,$A14,'架電リスト'!$J$5:$J$1323,"担当者不在")</f>
        <v/>
      </c>
      <c r="G14" s="16">
        <f>COUNTIFS('架電リスト'!$B$5:$B$1323,$A14,'架電リスト'!$J$5:$J$1323,"資料送付")</f>
        <v/>
      </c>
      <c r="H14" s="16">
        <f>COUNTIFS('架電リスト'!$B$5:$B$1323,$A14,'架電リスト'!$J$5:$J$1323,"アポ獲得")</f>
        <v/>
      </c>
      <c r="I14" s="16">
        <f>COUNTIFS('架電リスト'!$B$5:$B$1323,$A14,'架電リスト'!$J$5:$J$1323,"検討中")</f>
        <v/>
      </c>
      <c r="J14" s="16">
        <f>COUNTIFS('架電リスト'!$B$5:$B$1323,$A14,'架電リスト'!$J$5:$J$1323,"NG")</f>
        <v/>
      </c>
      <c r="K14" s="16">
        <f>COUNTIFS('架電リスト'!$B$5:$B$1323,$A14,'架電リスト'!$J$5:$J$1323,"番号不明")</f>
        <v/>
      </c>
    </row>
    <row r="15">
      <c r="A15" s="16" t="inlineStr">
        <is>
          <t>千葉県</t>
        </is>
      </c>
      <c r="B15" s="16">
        <f>COUNTIF('架電リスト'!$B$5:$B$1323,A15)</f>
        <v/>
      </c>
      <c r="C15" s="16">
        <f>COUNTIFS('架電リスト'!$B$5:$B$1323,A15,'架電リスト'!$E$5:$E$1323,"&lt;&gt;")</f>
        <v/>
      </c>
      <c r="D15" s="16">
        <f>B15-COUNTIFS('架電リスト'!$B$5:$B$1323,A15,'架電リスト'!$J$5:$J$1323,"未架電")-COUNTIFS('架電リスト'!$B$5:$B$1323,A15,'架電リスト'!$J$5:$J$1323,"")</f>
        <v/>
      </c>
      <c r="E15" s="16">
        <f>COUNTIFS('架電リスト'!$B$5:$B$1323,$A15,'架電リスト'!$J$5:$J$1323,"不在・折返し待ち")</f>
        <v/>
      </c>
      <c r="F15" s="16">
        <f>COUNTIFS('架電リスト'!$B$5:$B$1323,$A15,'架電リスト'!$J$5:$J$1323,"担当者不在")</f>
        <v/>
      </c>
      <c r="G15" s="16">
        <f>COUNTIFS('架電リスト'!$B$5:$B$1323,$A15,'架電リスト'!$J$5:$J$1323,"資料送付")</f>
        <v/>
      </c>
      <c r="H15" s="16">
        <f>COUNTIFS('架電リスト'!$B$5:$B$1323,$A15,'架電リスト'!$J$5:$J$1323,"アポ獲得")</f>
        <v/>
      </c>
      <c r="I15" s="16">
        <f>COUNTIFS('架電リスト'!$B$5:$B$1323,$A15,'架電リスト'!$J$5:$J$1323,"検討中")</f>
        <v/>
      </c>
      <c r="J15" s="16">
        <f>COUNTIFS('架電リスト'!$B$5:$B$1323,$A15,'架電リスト'!$J$5:$J$1323,"NG")</f>
        <v/>
      </c>
      <c r="K15" s="16">
        <f>COUNTIFS('架電リスト'!$B$5:$B$1323,$A15,'架電リスト'!$J$5:$J$1323,"番号不明")</f>
        <v/>
      </c>
    </row>
    <row r="16">
      <c r="A16" s="16" t="inlineStr">
        <is>
          <t>東京都</t>
        </is>
      </c>
      <c r="B16" s="16">
        <f>COUNTIF('架電リスト'!$B$5:$B$1323,A16)</f>
        <v/>
      </c>
      <c r="C16" s="16">
        <f>COUNTIFS('架電リスト'!$B$5:$B$1323,A16,'架電リスト'!$E$5:$E$1323,"&lt;&gt;")</f>
        <v/>
      </c>
      <c r="D16" s="16">
        <f>B16-COUNTIFS('架電リスト'!$B$5:$B$1323,A16,'架電リスト'!$J$5:$J$1323,"未架電")-COUNTIFS('架電リスト'!$B$5:$B$1323,A16,'架電リスト'!$J$5:$J$1323,"")</f>
        <v/>
      </c>
      <c r="E16" s="16">
        <f>COUNTIFS('架電リスト'!$B$5:$B$1323,$A16,'架電リスト'!$J$5:$J$1323,"不在・折返し待ち")</f>
        <v/>
      </c>
      <c r="F16" s="16">
        <f>COUNTIFS('架電リスト'!$B$5:$B$1323,$A16,'架電リスト'!$J$5:$J$1323,"担当者不在")</f>
        <v/>
      </c>
      <c r="G16" s="16">
        <f>COUNTIFS('架電リスト'!$B$5:$B$1323,$A16,'架電リスト'!$J$5:$J$1323,"資料送付")</f>
        <v/>
      </c>
      <c r="H16" s="16">
        <f>COUNTIFS('架電リスト'!$B$5:$B$1323,$A16,'架電リスト'!$J$5:$J$1323,"アポ獲得")</f>
        <v/>
      </c>
      <c r="I16" s="16">
        <f>COUNTIFS('架電リスト'!$B$5:$B$1323,$A16,'架電リスト'!$J$5:$J$1323,"検討中")</f>
        <v/>
      </c>
      <c r="J16" s="16">
        <f>COUNTIFS('架電リスト'!$B$5:$B$1323,$A16,'架電リスト'!$J$5:$J$1323,"NG")</f>
        <v/>
      </c>
      <c r="K16" s="16">
        <f>COUNTIFS('架電リスト'!$B$5:$B$1323,$A16,'架電リスト'!$J$5:$J$1323,"番号不明")</f>
        <v/>
      </c>
    </row>
    <row r="17">
      <c r="A17" s="16" t="inlineStr">
        <is>
          <t>神奈川県</t>
        </is>
      </c>
      <c r="B17" s="16">
        <f>COUNTIF('架電リスト'!$B$5:$B$1323,A17)</f>
        <v/>
      </c>
      <c r="C17" s="16">
        <f>COUNTIFS('架電リスト'!$B$5:$B$1323,A17,'架電リスト'!$E$5:$E$1323,"&lt;&gt;")</f>
        <v/>
      </c>
      <c r="D17" s="16">
        <f>B17-COUNTIFS('架電リスト'!$B$5:$B$1323,A17,'架電リスト'!$J$5:$J$1323,"未架電")-COUNTIFS('架電リスト'!$B$5:$B$1323,A17,'架電リスト'!$J$5:$J$1323,"")</f>
        <v/>
      </c>
      <c r="E17" s="16">
        <f>COUNTIFS('架電リスト'!$B$5:$B$1323,$A17,'架電リスト'!$J$5:$J$1323,"不在・折返し待ち")</f>
        <v/>
      </c>
      <c r="F17" s="16">
        <f>COUNTIFS('架電リスト'!$B$5:$B$1323,$A17,'架電リスト'!$J$5:$J$1323,"担当者不在")</f>
        <v/>
      </c>
      <c r="G17" s="16">
        <f>COUNTIFS('架電リスト'!$B$5:$B$1323,$A17,'架電リスト'!$J$5:$J$1323,"資料送付")</f>
        <v/>
      </c>
      <c r="H17" s="16">
        <f>COUNTIFS('架電リスト'!$B$5:$B$1323,$A17,'架電リスト'!$J$5:$J$1323,"アポ獲得")</f>
        <v/>
      </c>
      <c r="I17" s="16">
        <f>COUNTIFS('架電リスト'!$B$5:$B$1323,$A17,'架電リスト'!$J$5:$J$1323,"検討中")</f>
        <v/>
      </c>
      <c r="J17" s="16">
        <f>COUNTIFS('架電リスト'!$B$5:$B$1323,$A17,'架電リスト'!$J$5:$J$1323,"NG")</f>
        <v/>
      </c>
      <c r="K17" s="16">
        <f>COUNTIFS('架電リスト'!$B$5:$B$1323,$A17,'架電リスト'!$J$5:$J$1323,"番号不明")</f>
        <v/>
      </c>
    </row>
    <row r="18">
      <c r="A18" s="16" t="inlineStr">
        <is>
          <t>新潟県</t>
        </is>
      </c>
      <c r="B18" s="16">
        <f>COUNTIF('架電リスト'!$B$5:$B$1323,A18)</f>
        <v/>
      </c>
      <c r="C18" s="16">
        <f>COUNTIFS('架電リスト'!$B$5:$B$1323,A18,'架電リスト'!$E$5:$E$1323,"&lt;&gt;")</f>
        <v/>
      </c>
      <c r="D18" s="16">
        <f>B18-COUNTIFS('架電リスト'!$B$5:$B$1323,A18,'架電リスト'!$J$5:$J$1323,"未架電")-COUNTIFS('架電リスト'!$B$5:$B$1323,A18,'架電リスト'!$J$5:$J$1323,"")</f>
        <v/>
      </c>
      <c r="E18" s="16">
        <f>COUNTIFS('架電リスト'!$B$5:$B$1323,$A18,'架電リスト'!$J$5:$J$1323,"不在・折返し待ち")</f>
        <v/>
      </c>
      <c r="F18" s="16">
        <f>COUNTIFS('架電リスト'!$B$5:$B$1323,$A18,'架電リスト'!$J$5:$J$1323,"担当者不在")</f>
        <v/>
      </c>
      <c r="G18" s="16">
        <f>COUNTIFS('架電リスト'!$B$5:$B$1323,$A18,'架電リスト'!$J$5:$J$1323,"資料送付")</f>
        <v/>
      </c>
      <c r="H18" s="16">
        <f>COUNTIFS('架電リスト'!$B$5:$B$1323,$A18,'架電リスト'!$J$5:$J$1323,"アポ獲得")</f>
        <v/>
      </c>
      <c r="I18" s="16">
        <f>COUNTIFS('架電リスト'!$B$5:$B$1323,$A18,'架電リスト'!$J$5:$J$1323,"検討中")</f>
        <v/>
      </c>
      <c r="J18" s="16">
        <f>COUNTIFS('架電リスト'!$B$5:$B$1323,$A18,'架電リスト'!$J$5:$J$1323,"NG")</f>
        <v/>
      </c>
      <c r="K18" s="16">
        <f>COUNTIFS('架電リスト'!$B$5:$B$1323,$A18,'架電リスト'!$J$5:$J$1323,"番号不明")</f>
        <v/>
      </c>
    </row>
    <row r="19">
      <c r="A19" s="16" t="inlineStr">
        <is>
          <t>富山県</t>
        </is>
      </c>
      <c r="B19" s="16">
        <f>COUNTIF('架電リスト'!$B$5:$B$1323,A19)</f>
        <v/>
      </c>
      <c r="C19" s="16">
        <f>COUNTIFS('架電リスト'!$B$5:$B$1323,A19,'架電リスト'!$E$5:$E$1323,"&lt;&gt;")</f>
        <v/>
      </c>
      <c r="D19" s="16">
        <f>B19-COUNTIFS('架電リスト'!$B$5:$B$1323,A19,'架電リスト'!$J$5:$J$1323,"未架電")-COUNTIFS('架電リスト'!$B$5:$B$1323,A19,'架電リスト'!$J$5:$J$1323,"")</f>
        <v/>
      </c>
      <c r="E19" s="16">
        <f>COUNTIFS('架電リスト'!$B$5:$B$1323,$A19,'架電リスト'!$J$5:$J$1323,"不在・折返し待ち")</f>
        <v/>
      </c>
      <c r="F19" s="16">
        <f>COUNTIFS('架電リスト'!$B$5:$B$1323,$A19,'架電リスト'!$J$5:$J$1323,"担当者不在")</f>
        <v/>
      </c>
      <c r="G19" s="16">
        <f>COUNTIFS('架電リスト'!$B$5:$B$1323,$A19,'架電リスト'!$J$5:$J$1323,"資料送付")</f>
        <v/>
      </c>
      <c r="H19" s="16">
        <f>COUNTIFS('架電リスト'!$B$5:$B$1323,$A19,'架電リスト'!$J$5:$J$1323,"アポ獲得")</f>
        <v/>
      </c>
      <c r="I19" s="16">
        <f>COUNTIFS('架電リスト'!$B$5:$B$1323,$A19,'架電リスト'!$J$5:$J$1323,"検討中")</f>
        <v/>
      </c>
      <c r="J19" s="16">
        <f>COUNTIFS('架電リスト'!$B$5:$B$1323,$A19,'架電リスト'!$J$5:$J$1323,"NG")</f>
        <v/>
      </c>
      <c r="K19" s="16">
        <f>COUNTIFS('架電リスト'!$B$5:$B$1323,$A19,'架電リスト'!$J$5:$J$1323,"番号不明")</f>
        <v/>
      </c>
    </row>
    <row r="20">
      <c r="A20" s="16" t="inlineStr">
        <is>
          <t>石川県</t>
        </is>
      </c>
      <c r="B20" s="16">
        <f>COUNTIF('架電リスト'!$B$5:$B$1323,A20)</f>
        <v/>
      </c>
      <c r="C20" s="16">
        <f>COUNTIFS('架電リスト'!$B$5:$B$1323,A20,'架電リスト'!$E$5:$E$1323,"&lt;&gt;")</f>
        <v/>
      </c>
      <c r="D20" s="16">
        <f>B20-COUNTIFS('架電リスト'!$B$5:$B$1323,A20,'架電リスト'!$J$5:$J$1323,"未架電")-COUNTIFS('架電リスト'!$B$5:$B$1323,A20,'架電リスト'!$J$5:$J$1323,"")</f>
        <v/>
      </c>
      <c r="E20" s="16">
        <f>COUNTIFS('架電リスト'!$B$5:$B$1323,$A20,'架電リスト'!$J$5:$J$1323,"不在・折返し待ち")</f>
        <v/>
      </c>
      <c r="F20" s="16">
        <f>COUNTIFS('架電リスト'!$B$5:$B$1323,$A20,'架電リスト'!$J$5:$J$1323,"担当者不在")</f>
        <v/>
      </c>
      <c r="G20" s="16">
        <f>COUNTIFS('架電リスト'!$B$5:$B$1323,$A20,'架電リスト'!$J$5:$J$1323,"資料送付")</f>
        <v/>
      </c>
      <c r="H20" s="16">
        <f>COUNTIFS('架電リスト'!$B$5:$B$1323,$A20,'架電リスト'!$J$5:$J$1323,"アポ獲得")</f>
        <v/>
      </c>
      <c r="I20" s="16">
        <f>COUNTIFS('架電リスト'!$B$5:$B$1323,$A20,'架電リスト'!$J$5:$J$1323,"検討中")</f>
        <v/>
      </c>
      <c r="J20" s="16">
        <f>COUNTIFS('架電リスト'!$B$5:$B$1323,$A20,'架電リスト'!$J$5:$J$1323,"NG")</f>
        <v/>
      </c>
      <c r="K20" s="16">
        <f>COUNTIFS('架電リスト'!$B$5:$B$1323,$A20,'架電リスト'!$J$5:$J$1323,"番号不明")</f>
        <v/>
      </c>
    </row>
    <row r="21">
      <c r="A21" s="16" t="inlineStr">
        <is>
          <t>福井県</t>
        </is>
      </c>
      <c r="B21" s="16">
        <f>COUNTIF('架電リスト'!$B$5:$B$1323,A21)</f>
        <v/>
      </c>
      <c r="C21" s="16">
        <f>COUNTIFS('架電リスト'!$B$5:$B$1323,A21,'架電リスト'!$E$5:$E$1323,"&lt;&gt;")</f>
        <v/>
      </c>
      <c r="D21" s="16">
        <f>B21-COUNTIFS('架電リスト'!$B$5:$B$1323,A21,'架電リスト'!$J$5:$J$1323,"未架電")-COUNTIFS('架電リスト'!$B$5:$B$1323,A21,'架電リスト'!$J$5:$J$1323,"")</f>
        <v/>
      </c>
      <c r="E21" s="16">
        <f>COUNTIFS('架電リスト'!$B$5:$B$1323,$A21,'架電リスト'!$J$5:$J$1323,"不在・折返し待ち")</f>
        <v/>
      </c>
      <c r="F21" s="16">
        <f>COUNTIFS('架電リスト'!$B$5:$B$1323,$A21,'架電リスト'!$J$5:$J$1323,"担当者不在")</f>
        <v/>
      </c>
      <c r="G21" s="16">
        <f>COUNTIFS('架電リスト'!$B$5:$B$1323,$A21,'架電リスト'!$J$5:$J$1323,"資料送付")</f>
        <v/>
      </c>
      <c r="H21" s="16">
        <f>COUNTIFS('架電リスト'!$B$5:$B$1323,$A21,'架電リスト'!$J$5:$J$1323,"アポ獲得")</f>
        <v/>
      </c>
      <c r="I21" s="16">
        <f>COUNTIFS('架電リスト'!$B$5:$B$1323,$A21,'架電リスト'!$J$5:$J$1323,"検討中")</f>
        <v/>
      </c>
      <c r="J21" s="16">
        <f>COUNTIFS('架電リスト'!$B$5:$B$1323,$A21,'架電リスト'!$J$5:$J$1323,"NG")</f>
        <v/>
      </c>
      <c r="K21" s="16">
        <f>COUNTIFS('架電リスト'!$B$5:$B$1323,$A21,'架電リスト'!$J$5:$J$1323,"番号不明")</f>
        <v/>
      </c>
    </row>
    <row r="22">
      <c r="A22" s="16" t="inlineStr">
        <is>
          <t>山梨県</t>
        </is>
      </c>
      <c r="B22" s="16">
        <f>COUNTIF('架電リスト'!$B$5:$B$1323,A22)</f>
        <v/>
      </c>
      <c r="C22" s="16">
        <f>COUNTIFS('架電リスト'!$B$5:$B$1323,A22,'架電リスト'!$E$5:$E$1323,"&lt;&gt;")</f>
        <v/>
      </c>
      <c r="D22" s="16">
        <f>B22-COUNTIFS('架電リスト'!$B$5:$B$1323,A22,'架電リスト'!$J$5:$J$1323,"未架電")-COUNTIFS('架電リスト'!$B$5:$B$1323,A22,'架電リスト'!$J$5:$J$1323,"")</f>
        <v/>
      </c>
      <c r="E22" s="16">
        <f>COUNTIFS('架電リスト'!$B$5:$B$1323,$A22,'架電リスト'!$J$5:$J$1323,"不在・折返し待ち")</f>
        <v/>
      </c>
      <c r="F22" s="16">
        <f>COUNTIFS('架電リスト'!$B$5:$B$1323,$A22,'架電リスト'!$J$5:$J$1323,"担当者不在")</f>
        <v/>
      </c>
      <c r="G22" s="16">
        <f>COUNTIFS('架電リスト'!$B$5:$B$1323,$A22,'架電リスト'!$J$5:$J$1323,"資料送付")</f>
        <v/>
      </c>
      <c r="H22" s="16">
        <f>COUNTIFS('架電リスト'!$B$5:$B$1323,$A22,'架電リスト'!$J$5:$J$1323,"アポ獲得")</f>
        <v/>
      </c>
      <c r="I22" s="16">
        <f>COUNTIFS('架電リスト'!$B$5:$B$1323,$A22,'架電リスト'!$J$5:$J$1323,"検討中")</f>
        <v/>
      </c>
      <c r="J22" s="16">
        <f>COUNTIFS('架電リスト'!$B$5:$B$1323,$A22,'架電リスト'!$J$5:$J$1323,"NG")</f>
        <v/>
      </c>
      <c r="K22" s="16">
        <f>COUNTIFS('架電リスト'!$B$5:$B$1323,$A22,'架電リスト'!$J$5:$J$1323,"番号不明")</f>
        <v/>
      </c>
    </row>
    <row r="23">
      <c r="A23" s="16" t="inlineStr">
        <is>
          <t>長野県</t>
        </is>
      </c>
      <c r="B23" s="16">
        <f>COUNTIF('架電リスト'!$B$5:$B$1323,A23)</f>
        <v/>
      </c>
      <c r="C23" s="16">
        <f>COUNTIFS('架電リスト'!$B$5:$B$1323,A23,'架電リスト'!$E$5:$E$1323,"&lt;&gt;")</f>
        <v/>
      </c>
      <c r="D23" s="16">
        <f>B23-COUNTIFS('架電リスト'!$B$5:$B$1323,A23,'架電リスト'!$J$5:$J$1323,"未架電")-COUNTIFS('架電リスト'!$B$5:$B$1323,A23,'架電リスト'!$J$5:$J$1323,"")</f>
        <v/>
      </c>
      <c r="E23" s="16">
        <f>COUNTIFS('架電リスト'!$B$5:$B$1323,$A23,'架電リスト'!$J$5:$J$1323,"不在・折返し待ち")</f>
        <v/>
      </c>
      <c r="F23" s="16">
        <f>COUNTIFS('架電リスト'!$B$5:$B$1323,$A23,'架電リスト'!$J$5:$J$1323,"担当者不在")</f>
        <v/>
      </c>
      <c r="G23" s="16">
        <f>COUNTIFS('架電リスト'!$B$5:$B$1323,$A23,'架電リスト'!$J$5:$J$1323,"資料送付")</f>
        <v/>
      </c>
      <c r="H23" s="16">
        <f>COUNTIFS('架電リスト'!$B$5:$B$1323,$A23,'架電リスト'!$J$5:$J$1323,"アポ獲得")</f>
        <v/>
      </c>
      <c r="I23" s="16">
        <f>COUNTIFS('架電リスト'!$B$5:$B$1323,$A23,'架電リスト'!$J$5:$J$1323,"検討中")</f>
        <v/>
      </c>
      <c r="J23" s="16">
        <f>COUNTIFS('架電リスト'!$B$5:$B$1323,$A23,'架電リスト'!$J$5:$J$1323,"NG")</f>
        <v/>
      </c>
      <c r="K23" s="16">
        <f>COUNTIFS('架電リスト'!$B$5:$B$1323,$A23,'架電リスト'!$J$5:$J$1323,"番号不明")</f>
        <v/>
      </c>
    </row>
    <row r="24">
      <c r="A24" s="16" t="inlineStr">
        <is>
          <t>岐阜県</t>
        </is>
      </c>
      <c r="B24" s="16">
        <f>COUNTIF('架電リスト'!$B$5:$B$1323,A24)</f>
        <v/>
      </c>
      <c r="C24" s="16">
        <f>COUNTIFS('架電リスト'!$B$5:$B$1323,A24,'架電リスト'!$E$5:$E$1323,"&lt;&gt;")</f>
        <v/>
      </c>
      <c r="D24" s="16">
        <f>B24-COUNTIFS('架電リスト'!$B$5:$B$1323,A24,'架電リスト'!$J$5:$J$1323,"未架電")-COUNTIFS('架電リスト'!$B$5:$B$1323,A24,'架電リスト'!$J$5:$J$1323,"")</f>
        <v/>
      </c>
      <c r="E24" s="16">
        <f>COUNTIFS('架電リスト'!$B$5:$B$1323,$A24,'架電リスト'!$J$5:$J$1323,"不在・折返し待ち")</f>
        <v/>
      </c>
      <c r="F24" s="16">
        <f>COUNTIFS('架電リスト'!$B$5:$B$1323,$A24,'架電リスト'!$J$5:$J$1323,"担当者不在")</f>
        <v/>
      </c>
      <c r="G24" s="16">
        <f>COUNTIFS('架電リスト'!$B$5:$B$1323,$A24,'架電リスト'!$J$5:$J$1323,"資料送付")</f>
        <v/>
      </c>
      <c r="H24" s="16">
        <f>COUNTIFS('架電リスト'!$B$5:$B$1323,$A24,'架電リスト'!$J$5:$J$1323,"アポ獲得")</f>
        <v/>
      </c>
      <c r="I24" s="16">
        <f>COUNTIFS('架電リスト'!$B$5:$B$1323,$A24,'架電リスト'!$J$5:$J$1323,"検討中")</f>
        <v/>
      </c>
      <c r="J24" s="16">
        <f>COUNTIFS('架電リスト'!$B$5:$B$1323,$A24,'架電リスト'!$J$5:$J$1323,"NG")</f>
        <v/>
      </c>
      <c r="K24" s="16">
        <f>COUNTIFS('架電リスト'!$B$5:$B$1323,$A24,'架電リスト'!$J$5:$J$1323,"番号不明")</f>
        <v/>
      </c>
    </row>
    <row r="25">
      <c r="A25" s="16" t="inlineStr">
        <is>
          <t>静岡県</t>
        </is>
      </c>
      <c r="B25" s="16">
        <f>COUNTIF('架電リスト'!$B$5:$B$1323,A25)</f>
        <v/>
      </c>
      <c r="C25" s="16">
        <f>COUNTIFS('架電リスト'!$B$5:$B$1323,A25,'架電リスト'!$E$5:$E$1323,"&lt;&gt;")</f>
        <v/>
      </c>
      <c r="D25" s="16">
        <f>B25-COUNTIFS('架電リスト'!$B$5:$B$1323,A25,'架電リスト'!$J$5:$J$1323,"未架電")-COUNTIFS('架電リスト'!$B$5:$B$1323,A25,'架電リスト'!$J$5:$J$1323,"")</f>
        <v/>
      </c>
      <c r="E25" s="16">
        <f>COUNTIFS('架電リスト'!$B$5:$B$1323,$A25,'架電リスト'!$J$5:$J$1323,"不在・折返し待ち")</f>
        <v/>
      </c>
      <c r="F25" s="16">
        <f>COUNTIFS('架電リスト'!$B$5:$B$1323,$A25,'架電リスト'!$J$5:$J$1323,"担当者不在")</f>
        <v/>
      </c>
      <c r="G25" s="16">
        <f>COUNTIFS('架電リスト'!$B$5:$B$1323,$A25,'架電リスト'!$J$5:$J$1323,"資料送付")</f>
        <v/>
      </c>
      <c r="H25" s="16">
        <f>COUNTIFS('架電リスト'!$B$5:$B$1323,$A25,'架電リスト'!$J$5:$J$1323,"アポ獲得")</f>
        <v/>
      </c>
      <c r="I25" s="16">
        <f>COUNTIFS('架電リスト'!$B$5:$B$1323,$A25,'架電リスト'!$J$5:$J$1323,"検討中")</f>
        <v/>
      </c>
      <c r="J25" s="16">
        <f>COUNTIFS('架電リスト'!$B$5:$B$1323,$A25,'架電リスト'!$J$5:$J$1323,"NG")</f>
        <v/>
      </c>
      <c r="K25" s="16">
        <f>COUNTIFS('架電リスト'!$B$5:$B$1323,$A25,'架電リスト'!$J$5:$J$1323,"番号不明")</f>
        <v/>
      </c>
    </row>
    <row r="26">
      <c r="A26" s="16" t="inlineStr">
        <is>
          <t>愛知県</t>
        </is>
      </c>
      <c r="B26" s="16">
        <f>COUNTIF('架電リスト'!$B$5:$B$1323,A26)</f>
        <v/>
      </c>
      <c r="C26" s="16">
        <f>COUNTIFS('架電リスト'!$B$5:$B$1323,A26,'架電リスト'!$E$5:$E$1323,"&lt;&gt;")</f>
        <v/>
      </c>
      <c r="D26" s="16">
        <f>B26-COUNTIFS('架電リスト'!$B$5:$B$1323,A26,'架電リスト'!$J$5:$J$1323,"未架電")-COUNTIFS('架電リスト'!$B$5:$B$1323,A26,'架電リスト'!$J$5:$J$1323,"")</f>
        <v/>
      </c>
      <c r="E26" s="16">
        <f>COUNTIFS('架電リスト'!$B$5:$B$1323,$A26,'架電リスト'!$J$5:$J$1323,"不在・折返し待ち")</f>
        <v/>
      </c>
      <c r="F26" s="16">
        <f>COUNTIFS('架電リスト'!$B$5:$B$1323,$A26,'架電リスト'!$J$5:$J$1323,"担当者不在")</f>
        <v/>
      </c>
      <c r="G26" s="16">
        <f>COUNTIFS('架電リスト'!$B$5:$B$1323,$A26,'架電リスト'!$J$5:$J$1323,"資料送付")</f>
        <v/>
      </c>
      <c r="H26" s="16">
        <f>COUNTIFS('架電リスト'!$B$5:$B$1323,$A26,'架電リスト'!$J$5:$J$1323,"アポ獲得")</f>
        <v/>
      </c>
      <c r="I26" s="16">
        <f>COUNTIFS('架電リスト'!$B$5:$B$1323,$A26,'架電リスト'!$J$5:$J$1323,"検討中")</f>
        <v/>
      </c>
      <c r="J26" s="16">
        <f>COUNTIFS('架電リスト'!$B$5:$B$1323,$A26,'架電リスト'!$J$5:$J$1323,"NG")</f>
        <v/>
      </c>
      <c r="K26" s="16">
        <f>COUNTIFS('架電リスト'!$B$5:$B$1323,$A26,'架電リスト'!$J$5:$J$1323,"番号不明")</f>
        <v/>
      </c>
    </row>
    <row r="27">
      <c r="A27" s="16" t="inlineStr">
        <is>
          <t>三重県</t>
        </is>
      </c>
      <c r="B27" s="16">
        <f>COUNTIF('架電リスト'!$B$5:$B$1323,A27)</f>
        <v/>
      </c>
      <c r="C27" s="16">
        <f>COUNTIFS('架電リスト'!$B$5:$B$1323,A27,'架電リスト'!$E$5:$E$1323,"&lt;&gt;")</f>
        <v/>
      </c>
      <c r="D27" s="16">
        <f>B27-COUNTIFS('架電リスト'!$B$5:$B$1323,A27,'架電リスト'!$J$5:$J$1323,"未架電")-COUNTIFS('架電リスト'!$B$5:$B$1323,A27,'架電リスト'!$J$5:$J$1323,"")</f>
        <v/>
      </c>
      <c r="E27" s="16">
        <f>COUNTIFS('架電リスト'!$B$5:$B$1323,$A27,'架電リスト'!$J$5:$J$1323,"不在・折返し待ち")</f>
        <v/>
      </c>
      <c r="F27" s="16">
        <f>COUNTIFS('架電リスト'!$B$5:$B$1323,$A27,'架電リスト'!$J$5:$J$1323,"担当者不在")</f>
        <v/>
      </c>
      <c r="G27" s="16">
        <f>COUNTIFS('架電リスト'!$B$5:$B$1323,$A27,'架電リスト'!$J$5:$J$1323,"資料送付")</f>
        <v/>
      </c>
      <c r="H27" s="16">
        <f>COUNTIFS('架電リスト'!$B$5:$B$1323,$A27,'架電リスト'!$J$5:$J$1323,"アポ獲得")</f>
        <v/>
      </c>
      <c r="I27" s="16">
        <f>COUNTIFS('架電リスト'!$B$5:$B$1323,$A27,'架電リスト'!$J$5:$J$1323,"検討中")</f>
        <v/>
      </c>
      <c r="J27" s="16">
        <f>COUNTIFS('架電リスト'!$B$5:$B$1323,$A27,'架電リスト'!$J$5:$J$1323,"NG")</f>
        <v/>
      </c>
      <c r="K27" s="16">
        <f>COUNTIFS('架電リスト'!$B$5:$B$1323,$A27,'架電リスト'!$J$5:$J$1323,"番号不明")</f>
        <v/>
      </c>
    </row>
    <row r="28">
      <c r="A28" s="16" t="inlineStr">
        <is>
          <t>滋賀県</t>
        </is>
      </c>
      <c r="B28" s="16">
        <f>COUNTIF('架電リスト'!$B$5:$B$1323,A28)</f>
        <v/>
      </c>
      <c r="C28" s="16">
        <f>COUNTIFS('架電リスト'!$B$5:$B$1323,A28,'架電リスト'!$E$5:$E$1323,"&lt;&gt;")</f>
        <v/>
      </c>
      <c r="D28" s="16">
        <f>B28-COUNTIFS('架電リスト'!$B$5:$B$1323,A28,'架電リスト'!$J$5:$J$1323,"未架電")-COUNTIFS('架電リスト'!$B$5:$B$1323,A28,'架電リスト'!$J$5:$J$1323,"")</f>
        <v/>
      </c>
      <c r="E28" s="16">
        <f>COUNTIFS('架電リスト'!$B$5:$B$1323,$A28,'架電リスト'!$J$5:$J$1323,"不在・折返し待ち")</f>
        <v/>
      </c>
      <c r="F28" s="16">
        <f>COUNTIFS('架電リスト'!$B$5:$B$1323,$A28,'架電リスト'!$J$5:$J$1323,"担当者不在")</f>
        <v/>
      </c>
      <c r="G28" s="16">
        <f>COUNTIFS('架電リスト'!$B$5:$B$1323,$A28,'架電リスト'!$J$5:$J$1323,"資料送付")</f>
        <v/>
      </c>
      <c r="H28" s="16">
        <f>COUNTIFS('架電リスト'!$B$5:$B$1323,$A28,'架電リスト'!$J$5:$J$1323,"アポ獲得")</f>
        <v/>
      </c>
      <c r="I28" s="16">
        <f>COUNTIFS('架電リスト'!$B$5:$B$1323,$A28,'架電リスト'!$J$5:$J$1323,"検討中")</f>
        <v/>
      </c>
      <c r="J28" s="16">
        <f>COUNTIFS('架電リスト'!$B$5:$B$1323,$A28,'架電リスト'!$J$5:$J$1323,"NG")</f>
        <v/>
      </c>
      <c r="K28" s="16">
        <f>COUNTIFS('架電リスト'!$B$5:$B$1323,$A28,'架電リスト'!$J$5:$J$1323,"番号不明")</f>
        <v/>
      </c>
    </row>
    <row r="29">
      <c r="A29" s="16" t="inlineStr">
        <is>
          <t>京都府</t>
        </is>
      </c>
      <c r="B29" s="16">
        <f>COUNTIF('架電リスト'!$B$5:$B$1323,A29)</f>
        <v/>
      </c>
      <c r="C29" s="16">
        <f>COUNTIFS('架電リスト'!$B$5:$B$1323,A29,'架電リスト'!$E$5:$E$1323,"&lt;&gt;")</f>
        <v/>
      </c>
      <c r="D29" s="16">
        <f>B29-COUNTIFS('架電リスト'!$B$5:$B$1323,A29,'架電リスト'!$J$5:$J$1323,"未架電")-COUNTIFS('架電リスト'!$B$5:$B$1323,A29,'架電リスト'!$J$5:$J$1323,"")</f>
        <v/>
      </c>
      <c r="E29" s="16">
        <f>COUNTIFS('架電リスト'!$B$5:$B$1323,$A29,'架電リスト'!$J$5:$J$1323,"不在・折返し待ち")</f>
        <v/>
      </c>
      <c r="F29" s="16">
        <f>COUNTIFS('架電リスト'!$B$5:$B$1323,$A29,'架電リスト'!$J$5:$J$1323,"担当者不在")</f>
        <v/>
      </c>
      <c r="G29" s="16">
        <f>COUNTIFS('架電リスト'!$B$5:$B$1323,$A29,'架電リスト'!$J$5:$J$1323,"資料送付")</f>
        <v/>
      </c>
      <c r="H29" s="16">
        <f>COUNTIFS('架電リスト'!$B$5:$B$1323,$A29,'架電リスト'!$J$5:$J$1323,"アポ獲得")</f>
        <v/>
      </c>
      <c r="I29" s="16">
        <f>COUNTIFS('架電リスト'!$B$5:$B$1323,$A29,'架電リスト'!$J$5:$J$1323,"検討中")</f>
        <v/>
      </c>
      <c r="J29" s="16">
        <f>COUNTIFS('架電リスト'!$B$5:$B$1323,$A29,'架電リスト'!$J$5:$J$1323,"NG")</f>
        <v/>
      </c>
      <c r="K29" s="16">
        <f>COUNTIFS('架電リスト'!$B$5:$B$1323,$A29,'架電リスト'!$J$5:$J$1323,"番号不明")</f>
        <v/>
      </c>
    </row>
    <row r="30">
      <c r="A30" s="16" t="inlineStr">
        <is>
          <t>大阪府</t>
        </is>
      </c>
      <c r="B30" s="16">
        <f>COUNTIF('架電リスト'!$B$5:$B$1323,A30)</f>
        <v/>
      </c>
      <c r="C30" s="16">
        <f>COUNTIFS('架電リスト'!$B$5:$B$1323,A30,'架電リスト'!$E$5:$E$1323,"&lt;&gt;")</f>
        <v/>
      </c>
      <c r="D30" s="16">
        <f>B30-COUNTIFS('架電リスト'!$B$5:$B$1323,A30,'架電リスト'!$J$5:$J$1323,"未架電")-COUNTIFS('架電リスト'!$B$5:$B$1323,A30,'架電リスト'!$J$5:$J$1323,"")</f>
        <v/>
      </c>
      <c r="E30" s="16">
        <f>COUNTIFS('架電リスト'!$B$5:$B$1323,$A30,'架電リスト'!$J$5:$J$1323,"不在・折返し待ち")</f>
        <v/>
      </c>
      <c r="F30" s="16">
        <f>COUNTIFS('架電リスト'!$B$5:$B$1323,$A30,'架電リスト'!$J$5:$J$1323,"担当者不在")</f>
        <v/>
      </c>
      <c r="G30" s="16">
        <f>COUNTIFS('架電リスト'!$B$5:$B$1323,$A30,'架電リスト'!$J$5:$J$1323,"資料送付")</f>
        <v/>
      </c>
      <c r="H30" s="16">
        <f>COUNTIFS('架電リスト'!$B$5:$B$1323,$A30,'架電リスト'!$J$5:$J$1323,"アポ獲得")</f>
        <v/>
      </c>
      <c r="I30" s="16">
        <f>COUNTIFS('架電リスト'!$B$5:$B$1323,$A30,'架電リスト'!$J$5:$J$1323,"検討中")</f>
        <v/>
      </c>
      <c r="J30" s="16">
        <f>COUNTIFS('架電リスト'!$B$5:$B$1323,$A30,'架電リスト'!$J$5:$J$1323,"NG")</f>
        <v/>
      </c>
      <c r="K30" s="16">
        <f>COUNTIFS('架電リスト'!$B$5:$B$1323,$A30,'架電リスト'!$J$5:$J$1323,"番号不明")</f>
        <v/>
      </c>
    </row>
    <row r="31">
      <c r="A31" s="16" t="inlineStr">
        <is>
          <t>兵庫県</t>
        </is>
      </c>
      <c r="B31" s="16">
        <f>COUNTIF('架電リスト'!$B$5:$B$1323,A31)</f>
        <v/>
      </c>
      <c r="C31" s="16">
        <f>COUNTIFS('架電リスト'!$B$5:$B$1323,A31,'架電リスト'!$E$5:$E$1323,"&lt;&gt;")</f>
        <v/>
      </c>
      <c r="D31" s="16">
        <f>B31-COUNTIFS('架電リスト'!$B$5:$B$1323,A31,'架電リスト'!$J$5:$J$1323,"未架電")-COUNTIFS('架電リスト'!$B$5:$B$1323,A31,'架電リスト'!$J$5:$J$1323,"")</f>
        <v/>
      </c>
      <c r="E31" s="16">
        <f>COUNTIFS('架電リスト'!$B$5:$B$1323,$A31,'架電リスト'!$J$5:$J$1323,"不在・折返し待ち")</f>
        <v/>
      </c>
      <c r="F31" s="16">
        <f>COUNTIFS('架電リスト'!$B$5:$B$1323,$A31,'架電リスト'!$J$5:$J$1323,"担当者不在")</f>
        <v/>
      </c>
      <c r="G31" s="16">
        <f>COUNTIFS('架電リスト'!$B$5:$B$1323,$A31,'架電リスト'!$J$5:$J$1323,"資料送付")</f>
        <v/>
      </c>
      <c r="H31" s="16">
        <f>COUNTIFS('架電リスト'!$B$5:$B$1323,$A31,'架電リスト'!$J$5:$J$1323,"アポ獲得")</f>
        <v/>
      </c>
      <c r="I31" s="16">
        <f>COUNTIFS('架電リスト'!$B$5:$B$1323,$A31,'架電リスト'!$J$5:$J$1323,"検討中")</f>
        <v/>
      </c>
      <c r="J31" s="16">
        <f>COUNTIFS('架電リスト'!$B$5:$B$1323,$A31,'架電リスト'!$J$5:$J$1323,"NG")</f>
        <v/>
      </c>
      <c r="K31" s="16">
        <f>COUNTIFS('架電リスト'!$B$5:$B$1323,$A31,'架電リスト'!$J$5:$J$1323,"番号不明")</f>
        <v/>
      </c>
    </row>
    <row r="32">
      <c r="A32" s="16" t="inlineStr">
        <is>
          <t>奈良県</t>
        </is>
      </c>
      <c r="B32" s="16">
        <f>COUNTIF('架電リスト'!$B$5:$B$1323,A32)</f>
        <v/>
      </c>
      <c r="C32" s="16">
        <f>COUNTIFS('架電リスト'!$B$5:$B$1323,A32,'架電リスト'!$E$5:$E$1323,"&lt;&gt;")</f>
        <v/>
      </c>
      <c r="D32" s="16">
        <f>B32-COUNTIFS('架電リスト'!$B$5:$B$1323,A32,'架電リスト'!$J$5:$J$1323,"未架電")-COUNTIFS('架電リスト'!$B$5:$B$1323,A32,'架電リスト'!$J$5:$J$1323,"")</f>
        <v/>
      </c>
      <c r="E32" s="16">
        <f>COUNTIFS('架電リスト'!$B$5:$B$1323,$A32,'架電リスト'!$J$5:$J$1323,"不在・折返し待ち")</f>
        <v/>
      </c>
      <c r="F32" s="16">
        <f>COUNTIFS('架電リスト'!$B$5:$B$1323,$A32,'架電リスト'!$J$5:$J$1323,"担当者不在")</f>
        <v/>
      </c>
      <c r="G32" s="16">
        <f>COUNTIFS('架電リスト'!$B$5:$B$1323,$A32,'架電リスト'!$J$5:$J$1323,"資料送付")</f>
        <v/>
      </c>
      <c r="H32" s="16">
        <f>COUNTIFS('架電リスト'!$B$5:$B$1323,$A32,'架電リスト'!$J$5:$J$1323,"アポ獲得")</f>
        <v/>
      </c>
      <c r="I32" s="16">
        <f>COUNTIFS('架電リスト'!$B$5:$B$1323,$A32,'架電リスト'!$J$5:$J$1323,"検討中")</f>
        <v/>
      </c>
      <c r="J32" s="16">
        <f>COUNTIFS('架電リスト'!$B$5:$B$1323,$A32,'架電リスト'!$J$5:$J$1323,"NG")</f>
        <v/>
      </c>
      <c r="K32" s="16">
        <f>COUNTIFS('架電リスト'!$B$5:$B$1323,$A32,'架電リスト'!$J$5:$J$1323,"番号不明")</f>
        <v/>
      </c>
    </row>
    <row r="33">
      <c r="A33" s="16" t="inlineStr">
        <is>
          <t>和歌山県</t>
        </is>
      </c>
      <c r="B33" s="16">
        <f>COUNTIF('架電リスト'!$B$5:$B$1323,A33)</f>
        <v/>
      </c>
      <c r="C33" s="16">
        <f>COUNTIFS('架電リスト'!$B$5:$B$1323,A33,'架電リスト'!$E$5:$E$1323,"&lt;&gt;")</f>
        <v/>
      </c>
      <c r="D33" s="16">
        <f>B33-COUNTIFS('架電リスト'!$B$5:$B$1323,A33,'架電リスト'!$J$5:$J$1323,"未架電")-COUNTIFS('架電リスト'!$B$5:$B$1323,A33,'架電リスト'!$J$5:$J$1323,"")</f>
        <v/>
      </c>
      <c r="E33" s="16">
        <f>COUNTIFS('架電リスト'!$B$5:$B$1323,$A33,'架電リスト'!$J$5:$J$1323,"不在・折返し待ち")</f>
        <v/>
      </c>
      <c r="F33" s="16">
        <f>COUNTIFS('架電リスト'!$B$5:$B$1323,$A33,'架電リスト'!$J$5:$J$1323,"担当者不在")</f>
        <v/>
      </c>
      <c r="G33" s="16">
        <f>COUNTIFS('架電リスト'!$B$5:$B$1323,$A33,'架電リスト'!$J$5:$J$1323,"資料送付")</f>
        <v/>
      </c>
      <c r="H33" s="16">
        <f>COUNTIFS('架電リスト'!$B$5:$B$1323,$A33,'架電リスト'!$J$5:$J$1323,"アポ獲得")</f>
        <v/>
      </c>
      <c r="I33" s="16">
        <f>COUNTIFS('架電リスト'!$B$5:$B$1323,$A33,'架電リスト'!$J$5:$J$1323,"検討中")</f>
        <v/>
      </c>
      <c r="J33" s="16">
        <f>COUNTIFS('架電リスト'!$B$5:$B$1323,$A33,'架電リスト'!$J$5:$J$1323,"NG")</f>
        <v/>
      </c>
      <c r="K33" s="16">
        <f>COUNTIFS('架電リスト'!$B$5:$B$1323,$A33,'架電リスト'!$J$5:$J$1323,"番号不明")</f>
        <v/>
      </c>
    </row>
    <row r="34">
      <c r="A34" s="16" t="inlineStr">
        <is>
          <t>鳥取県</t>
        </is>
      </c>
      <c r="B34" s="16">
        <f>COUNTIF('架電リスト'!$B$5:$B$1323,A34)</f>
        <v/>
      </c>
      <c r="C34" s="16">
        <f>COUNTIFS('架電リスト'!$B$5:$B$1323,A34,'架電リスト'!$E$5:$E$1323,"&lt;&gt;")</f>
        <v/>
      </c>
      <c r="D34" s="16">
        <f>B34-COUNTIFS('架電リスト'!$B$5:$B$1323,A34,'架電リスト'!$J$5:$J$1323,"未架電")-COUNTIFS('架電リスト'!$B$5:$B$1323,A34,'架電リスト'!$J$5:$J$1323,"")</f>
        <v/>
      </c>
      <c r="E34" s="16">
        <f>COUNTIFS('架電リスト'!$B$5:$B$1323,$A34,'架電リスト'!$J$5:$J$1323,"不在・折返し待ち")</f>
        <v/>
      </c>
      <c r="F34" s="16">
        <f>COUNTIFS('架電リスト'!$B$5:$B$1323,$A34,'架電リスト'!$J$5:$J$1323,"担当者不在")</f>
        <v/>
      </c>
      <c r="G34" s="16">
        <f>COUNTIFS('架電リスト'!$B$5:$B$1323,$A34,'架電リスト'!$J$5:$J$1323,"資料送付")</f>
        <v/>
      </c>
      <c r="H34" s="16">
        <f>COUNTIFS('架電リスト'!$B$5:$B$1323,$A34,'架電リスト'!$J$5:$J$1323,"アポ獲得")</f>
        <v/>
      </c>
      <c r="I34" s="16">
        <f>COUNTIFS('架電リスト'!$B$5:$B$1323,$A34,'架電リスト'!$J$5:$J$1323,"検討中")</f>
        <v/>
      </c>
      <c r="J34" s="16">
        <f>COUNTIFS('架電リスト'!$B$5:$B$1323,$A34,'架電リスト'!$J$5:$J$1323,"NG")</f>
        <v/>
      </c>
      <c r="K34" s="16">
        <f>COUNTIFS('架電リスト'!$B$5:$B$1323,$A34,'架電リスト'!$J$5:$J$1323,"番号不明")</f>
        <v/>
      </c>
    </row>
    <row r="35">
      <c r="A35" s="16" t="inlineStr">
        <is>
          <t>島根県</t>
        </is>
      </c>
      <c r="B35" s="16">
        <f>COUNTIF('架電リスト'!$B$5:$B$1323,A35)</f>
        <v/>
      </c>
      <c r="C35" s="16">
        <f>COUNTIFS('架電リスト'!$B$5:$B$1323,A35,'架電リスト'!$E$5:$E$1323,"&lt;&gt;")</f>
        <v/>
      </c>
      <c r="D35" s="16">
        <f>B35-COUNTIFS('架電リスト'!$B$5:$B$1323,A35,'架電リスト'!$J$5:$J$1323,"未架電")-COUNTIFS('架電リスト'!$B$5:$B$1323,A35,'架電リスト'!$J$5:$J$1323,"")</f>
        <v/>
      </c>
      <c r="E35" s="16">
        <f>COUNTIFS('架電リスト'!$B$5:$B$1323,$A35,'架電リスト'!$J$5:$J$1323,"不在・折返し待ち")</f>
        <v/>
      </c>
      <c r="F35" s="16">
        <f>COUNTIFS('架電リスト'!$B$5:$B$1323,$A35,'架電リスト'!$J$5:$J$1323,"担当者不在")</f>
        <v/>
      </c>
      <c r="G35" s="16">
        <f>COUNTIFS('架電リスト'!$B$5:$B$1323,$A35,'架電リスト'!$J$5:$J$1323,"資料送付")</f>
        <v/>
      </c>
      <c r="H35" s="16">
        <f>COUNTIFS('架電リスト'!$B$5:$B$1323,$A35,'架電リスト'!$J$5:$J$1323,"アポ獲得")</f>
        <v/>
      </c>
      <c r="I35" s="16">
        <f>COUNTIFS('架電リスト'!$B$5:$B$1323,$A35,'架電リスト'!$J$5:$J$1323,"検討中")</f>
        <v/>
      </c>
      <c r="J35" s="16">
        <f>COUNTIFS('架電リスト'!$B$5:$B$1323,$A35,'架電リスト'!$J$5:$J$1323,"NG")</f>
        <v/>
      </c>
      <c r="K35" s="16">
        <f>COUNTIFS('架電リスト'!$B$5:$B$1323,$A35,'架電リスト'!$J$5:$J$1323,"番号不明")</f>
        <v/>
      </c>
    </row>
    <row r="36">
      <c r="A36" s="16" t="inlineStr">
        <is>
          <t>岡山県</t>
        </is>
      </c>
      <c r="B36" s="16">
        <f>COUNTIF('架電リスト'!$B$5:$B$1323,A36)</f>
        <v/>
      </c>
      <c r="C36" s="16">
        <f>COUNTIFS('架電リスト'!$B$5:$B$1323,A36,'架電リスト'!$E$5:$E$1323,"&lt;&gt;")</f>
        <v/>
      </c>
      <c r="D36" s="16">
        <f>B36-COUNTIFS('架電リスト'!$B$5:$B$1323,A36,'架電リスト'!$J$5:$J$1323,"未架電")-COUNTIFS('架電リスト'!$B$5:$B$1323,A36,'架電リスト'!$J$5:$J$1323,"")</f>
        <v/>
      </c>
      <c r="E36" s="16">
        <f>COUNTIFS('架電リスト'!$B$5:$B$1323,$A36,'架電リスト'!$J$5:$J$1323,"不在・折返し待ち")</f>
        <v/>
      </c>
      <c r="F36" s="16">
        <f>COUNTIFS('架電リスト'!$B$5:$B$1323,$A36,'架電リスト'!$J$5:$J$1323,"担当者不在")</f>
        <v/>
      </c>
      <c r="G36" s="16">
        <f>COUNTIFS('架電リスト'!$B$5:$B$1323,$A36,'架電リスト'!$J$5:$J$1323,"資料送付")</f>
        <v/>
      </c>
      <c r="H36" s="16">
        <f>COUNTIFS('架電リスト'!$B$5:$B$1323,$A36,'架電リスト'!$J$5:$J$1323,"アポ獲得")</f>
        <v/>
      </c>
      <c r="I36" s="16">
        <f>COUNTIFS('架電リスト'!$B$5:$B$1323,$A36,'架電リスト'!$J$5:$J$1323,"検討中")</f>
        <v/>
      </c>
      <c r="J36" s="16">
        <f>COUNTIFS('架電リスト'!$B$5:$B$1323,$A36,'架電リスト'!$J$5:$J$1323,"NG")</f>
        <v/>
      </c>
      <c r="K36" s="16">
        <f>COUNTIFS('架電リスト'!$B$5:$B$1323,$A36,'架電リスト'!$J$5:$J$1323,"番号不明")</f>
        <v/>
      </c>
    </row>
    <row r="37">
      <c r="A37" s="16" t="inlineStr">
        <is>
          <t>広島県</t>
        </is>
      </c>
      <c r="B37" s="16">
        <f>COUNTIF('架電リスト'!$B$5:$B$1323,A37)</f>
        <v/>
      </c>
      <c r="C37" s="16">
        <f>COUNTIFS('架電リスト'!$B$5:$B$1323,A37,'架電リスト'!$E$5:$E$1323,"&lt;&gt;")</f>
        <v/>
      </c>
      <c r="D37" s="16">
        <f>B37-COUNTIFS('架電リスト'!$B$5:$B$1323,A37,'架電リスト'!$J$5:$J$1323,"未架電")-COUNTIFS('架電リスト'!$B$5:$B$1323,A37,'架電リスト'!$J$5:$J$1323,"")</f>
        <v/>
      </c>
      <c r="E37" s="16">
        <f>COUNTIFS('架電リスト'!$B$5:$B$1323,$A37,'架電リスト'!$J$5:$J$1323,"不在・折返し待ち")</f>
        <v/>
      </c>
      <c r="F37" s="16">
        <f>COUNTIFS('架電リスト'!$B$5:$B$1323,$A37,'架電リスト'!$J$5:$J$1323,"担当者不在")</f>
        <v/>
      </c>
      <c r="G37" s="16">
        <f>COUNTIFS('架電リスト'!$B$5:$B$1323,$A37,'架電リスト'!$J$5:$J$1323,"資料送付")</f>
        <v/>
      </c>
      <c r="H37" s="16">
        <f>COUNTIFS('架電リスト'!$B$5:$B$1323,$A37,'架電リスト'!$J$5:$J$1323,"アポ獲得")</f>
        <v/>
      </c>
      <c r="I37" s="16">
        <f>COUNTIFS('架電リスト'!$B$5:$B$1323,$A37,'架電リスト'!$J$5:$J$1323,"検討中")</f>
        <v/>
      </c>
      <c r="J37" s="16">
        <f>COUNTIFS('架電リスト'!$B$5:$B$1323,$A37,'架電リスト'!$J$5:$J$1323,"NG")</f>
        <v/>
      </c>
      <c r="K37" s="16">
        <f>COUNTIFS('架電リスト'!$B$5:$B$1323,$A37,'架電リスト'!$J$5:$J$1323,"番号不明")</f>
        <v/>
      </c>
    </row>
    <row r="38">
      <c r="A38" s="16" t="inlineStr">
        <is>
          <t>山口県</t>
        </is>
      </c>
      <c r="B38" s="16">
        <f>COUNTIF('架電リスト'!$B$5:$B$1323,A38)</f>
        <v/>
      </c>
      <c r="C38" s="16">
        <f>COUNTIFS('架電リスト'!$B$5:$B$1323,A38,'架電リスト'!$E$5:$E$1323,"&lt;&gt;")</f>
        <v/>
      </c>
      <c r="D38" s="16">
        <f>B38-COUNTIFS('架電リスト'!$B$5:$B$1323,A38,'架電リスト'!$J$5:$J$1323,"未架電")-COUNTIFS('架電リスト'!$B$5:$B$1323,A38,'架電リスト'!$J$5:$J$1323,"")</f>
        <v/>
      </c>
      <c r="E38" s="16">
        <f>COUNTIFS('架電リスト'!$B$5:$B$1323,$A38,'架電リスト'!$J$5:$J$1323,"不在・折返し待ち")</f>
        <v/>
      </c>
      <c r="F38" s="16">
        <f>COUNTIFS('架電リスト'!$B$5:$B$1323,$A38,'架電リスト'!$J$5:$J$1323,"担当者不在")</f>
        <v/>
      </c>
      <c r="G38" s="16">
        <f>COUNTIFS('架電リスト'!$B$5:$B$1323,$A38,'架電リスト'!$J$5:$J$1323,"資料送付")</f>
        <v/>
      </c>
      <c r="H38" s="16">
        <f>COUNTIFS('架電リスト'!$B$5:$B$1323,$A38,'架電リスト'!$J$5:$J$1323,"アポ獲得")</f>
        <v/>
      </c>
      <c r="I38" s="16">
        <f>COUNTIFS('架電リスト'!$B$5:$B$1323,$A38,'架電リスト'!$J$5:$J$1323,"検討中")</f>
        <v/>
      </c>
      <c r="J38" s="16">
        <f>COUNTIFS('架電リスト'!$B$5:$B$1323,$A38,'架電リスト'!$J$5:$J$1323,"NG")</f>
        <v/>
      </c>
      <c r="K38" s="16">
        <f>COUNTIFS('架電リスト'!$B$5:$B$1323,$A38,'架電リスト'!$J$5:$J$1323,"番号不明")</f>
        <v/>
      </c>
    </row>
    <row r="39">
      <c r="A39" s="16" t="inlineStr">
        <is>
          <t>徳島県</t>
        </is>
      </c>
      <c r="B39" s="16">
        <f>COUNTIF('架電リスト'!$B$5:$B$1323,A39)</f>
        <v/>
      </c>
      <c r="C39" s="16">
        <f>COUNTIFS('架電リスト'!$B$5:$B$1323,A39,'架電リスト'!$E$5:$E$1323,"&lt;&gt;")</f>
        <v/>
      </c>
      <c r="D39" s="16">
        <f>B39-COUNTIFS('架電リスト'!$B$5:$B$1323,A39,'架電リスト'!$J$5:$J$1323,"未架電")-COUNTIFS('架電リスト'!$B$5:$B$1323,A39,'架電リスト'!$J$5:$J$1323,"")</f>
        <v/>
      </c>
      <c r="E39" s="16">
        <f>COUNTIFS('架電リスト'!$B$5:$B$1323,$A39,'架電リスト'!$J$5:$J$1323,"不在・折返し待ち")</f>
        <v/>
      </c>
      <c r="F39" s="16">
        <f>COUNTIFS('架電リスト'!$B$5:$B$1323,$A39,'架電リスト'!$J$5:$J$1323,"担当者不在")</f>
        <v/>
      </c>
      <c r="G39" s="16">
        <f>COUNTIFS('架電リスト'!$B$5:$B$1323,$A39,'架電リスト'!$J$5:$J$1323,"資料送付")</f>
        <v/>
      </c>
      <c r="H39" s="16">
        <f>COUNTIFS('架電リスト'!$B$5:$B$1323,$A39,'架電リスト'!$J$5:$J$1323,"アポ獲得")</f>
        <v/>
      </c>
      <c r="I39" s="16">
        <f>COUNTIFS('架電リスト'!$B$5:$B$1323,$A39,'架電リスト'!$J$5:$J$1323,"検討中")</f>
        <v/>
      </c>
      <c r="J39" s="16">
        <f>COUNTIFS('架電リスト'!$B$5:$B$1323,$A39,'架電リスト'!$J$5:$J$1323,"NG")</f>
        <v/>
      </c>
      <c r="K39" s="16">
        <f>COUNTIFS('架電リスト'!$B$5:$B$1323,$A39,'架電リスト'!$J$5:$J$1323,"番号不明")</f>
        <v/>
      </c>
    </row>
    <row r="40">
      <c r="A40" s="16" t="inlineStr">
        <is>
          <t>香川県</t>
        </is>
      </c>
      <c r="B40" s="16">
        <f>COUNTIF('架電リスト'!$B$5:$B$1323,A40)</f>
        <v/>
      </c>
      <c r="C40" s="16">
        <f>COUNTIFS('架電リスト'!$B$5:$B$1323,A40,'架電リスト'!$E$5:$E$1323,"&lt;&gt;")</f>
        <v/>
      </c>
      <c r="D40" s="16">
        <f>B40-COUNTIFS('架電リスト'!$B$5:$B$1323,A40,'架電リスト'!$J$5:$J$1323,"未架電")-COUNTIFS('架電リスト'!$B$5:$B$1323,A40,'架電リスト'!$J$5:$J$1323,"")</f>
        <v/>
      </c>
      <c r="E40" s="16">
        <f>COUNTIFS('架電リスト'!$B$5:$B$1323,$A40,'架電リスト'!$J$5:$J$1323,"不在・折返し待ち")</f>
        <v/>
      </c>
      <c r="F40" s="16">
        <f>COUNTIFS('架電リスト'!$B$5:$B$1323,$A40,'架電リスト'!$J$5:$J$1323,"担当者不在")</f>
        <v/>
      </c>
      <c r="G40" s="16">
        <f>COUNTIFS('架電リスト'!$B$5:$B$1323,$A40,'架電リスト'!$J$5:$J$1323,"資料送付")</f>
        <v/>
      </c>
      <c r="H40" s="16">
        <f>COUNTIFS('架電リスト'!$B$5:$B$1323,$A40,'架電リスト'!$J$5:$J$1323,"アポ獲得")</f>
        <v/>
      </c>
      <c r="I40" s="16">
        <f>COUNTIFS('架電リスト'!$B$5:$B$1323,$A40,'架電リスト'!$J$5:$J$1323,"検討中")</f>
        <v/>
      </c>
      <c r="J40" s="16">
        <f>COUNTIFS('架電リスト'!$B$5:$B$1323,$A40,'架電リスト'!$J$5:$J$1323,"NG")</f>
        <v/>
      </c>
      <c r="K40" s="16">
        <f>COUNTIFS('架電リスト'!$B$5:$B$1323,$A40,'架電リスト'!$J$5:$J$1323,"番号不明")</f>
        <v/>
      </c>
    </row>
    <row r="41">
      <c r="A41" s="16" t="inlineStr">
        <is>
          <t>愛媛県</t>
        </is>
      </c>
      <c r="B41" s="16">
        <f>COUNTIF('架電リスト'!$B$5:$B$1323,A41)</f>
        <v/>
      </c>
      <c r="C41" s="16">
        <f>COUNTIFS('架電リスト'!$B$5:$B$1323,A41,'架電リスト'!$E$5:$E$1323,"&lt;&gt;")</f>
        <v/>
      </c>
      <c r="D41" s="16">
        <f>B41-COUNTIFS('架電リスト'!$B$5:$B$1323,A41,'架電リスト'!$J$5:$J$1323,"未架電")-COUNTIFS('架電リスト'!$B$5:$B$1323,A41,'架電リスト'!$J$5:$J$1323,"")</f>
        <v/>
      </c>
      <c r="E41" s="16">
        <f>COUNTIFS('架電リスト'!$B$5:$B$1323,$A41,'架電リスト'!$J$5:$J$1323,"不在・折返し待ち")</f>
        <v/>
      </c>
      <c r="F41" s="16">
        <f>COUNTIFS('架電リスト'!$B$5:$B$1323,$A41,'架電リスト'!$J$5:$J$1323,"担当者不在")</f>
        <v/>
      </c>
      <c r="G41" s="16">
        <f>COUNTIFS('架電リスト'!$B$5:$B$1323,$A41,'架電リスト'!$J$5:$J$1323,"資料送付")</f>
        <v/>
      </c>
      <c r="H41" s="16">
        <f>COUNTIFS('架電リスト'!$B$5:$B$1323,$A41,'架電リスト'!$J$5:$J$1323,"アポ獲得")</f>
        <v/>
      </c>
      <c r="I41" s="16">
        <f>COUNTIFS('架電リスト'!$B$5:$B$1323,$A41,'架電リスト'!$J$5:$J$1323,"検討中")</f>
        <v/>
      </c>
      <c r="J41" s="16">
        <f>COUNTIFS('架電リスト'!$B$5:$B$1323,$A41,'架電リスト'!$J$5:$J$1323,"NG")</f>
        <v/>
      </c>
      <c r="K41" s="16">
        <f>COUNTIFS('架電リスト'!$B$5:$B$1323,$A41,'架電リスト'!$J$5:$J$1323,"番号不明")</f>
        <v/>
      </c>
    </row>
    <row r="42">
      <c r="A42" s="16" t="inlineStr">
        <is>
          <t>高知県</t>
        </is>
      </c>
      <c r="B42" s="16">
        <f>COUNTIF('架電リスト'!$B$5:$B$1323,A42)</f>
        <v/>
      </c>
      <c r="C42" s="16">
        <f>COUNTIFS('架電リスト'!$B$5:$B$1323,A42,'架電リスト'!$E$5:$E$1323,"&lt;&gt;")</f>
        <v/>
      </c>
      <c r="D42" s="16">
        <f>B42-COUNTIFS('架電リスト'!$B$5:$B$1323,A42,'架電リスト'!$J$5:$J$1323,"未架電")-COUNTIFS('架電リスト'!$B$5:$B$1323,A42,'架電リスト'!$J$5:$J$1323,"")</f>
        <v/>
      </c>
      <c r="E42" s="16">
        <f>COUNTIFS('架電リスト'!$B$5:$B$1323,$A42,'架電リスト'!$J$5:$J$1323,"不在・折返し待ち")</f>
        <v/>
      </c>
      <c r="F42" s="16">
        <f>COUNTIFS('架電リスト'!$B$5:$B$1323,$A42,'架電リスト'!$J$5:$J$1323,"担当者不在")</f>
        <v/>
      </c>
      <c r="G42" s="16">
        <f>COUNTIFS('架電リスト'!$B$5:$B$1323,$A42,'架電リスト'!$J$5:$J$1323,"資料送付")</f>
        <v/>
      </c>
      <c r="H42" s="16">
        <f>COUNTIFS('架電リスト'!$B$5:$B$1323,$A42,'架電リスト'!$J$5:$J$1323,"アポ獲得")</f>
        <v/>
      </c>
      <c r="I42" s="16">
        <f>COUNTIFS('架電リスト'!$B$5:$B$1323,$A42,'架電リスト'!$J$5:$J$1323,"検討中")</f>
        <v/>
      </c>
      <c r="J42" s="16">
        <f>COUNTIFS('架電リスト'!$B$5:$B$1323,$A42,'架電リスト'!$J$5:$J$1323,"NG")</f>
        <v/>
      </c>
      <c r="K42" s="16">
        <f>COUNTIFS('架電リスト'!$B$5:$B$1323,$A42,'架電リスト'!$J$5:$J$1323,"番号不明")</f>
        <v/>
      </c>
    </row>
    <row r="43">
      <c r="A43" s="16" t="inlineStr">
        <is>
          <t>福岡県</t>
        </is>
      </c>
      <c r="B43" s="16">
        <f>COUNTIF('架電リスト'!$B$5:$B$1323,A43)</f>
        <v/>
      </c>
      <c r="C43" s="16">
        <f>COUNTIFS('架電リスト'!$B$5:$B$1323,A43,'架電リスト'!$E$5:$E$1323,"&lt;&gt;")</f>
        <v/>
      </c>
      <c r="D43" s="16">
        <f>B43-COUNTIFS('架電リスト'!$B$5:$B$1323,A43,'架電リスト'!$J$5:$J$1323,"未架電")-COUNTIFS('架電リスト'!$B$5:$B$1323,A43,'架電リスト'!$J$5:$J$1323,"")</f>
        <v/>
      </c>
      <c r="E43" s="16">
        <f>COUNTIFS('架電リスト'!$B$5:$B$1323,$A43,'架電リスト'!$J$5:$J$1323,"不在・折返し待ち")</f>
        <v/>
      </c>
      <c r="F43" s="16">
        <f>COUNTIFS('架電リスト'!$B$5:$B$1323,$A43,'架電リスト'!$J$5:$J$1323,"担当者不在")</f>
        <v/>
      </c>
      <c r="G43" s="16">
        <f>COUNTIFS('架電リスト'!$B$5:$B$1323,$A43,'架電リスト'!$J$5:$J$1323,"資料送付")</f>
        <v/>
      </c>
      <c r="H43" s="16">
        <f>COUNTIFS('架電リスト'!$B$5:$B$1323,$A43,'架電リスト'!$J$5:$J$1323,"アポ獲得")</f>
        <v/>
      </c>
      <c r="I43" s="16">
        <f>COUNTIFS('架電リスト'!$B$5:$B$1323,$A43,'架電リスト'!$J$5:$J$1323,"検討中")</f>
        <v/>
      </c>
      <c r="J43" s="16">
        <f>COUNTIFS('架電リスト'!$B$5:$B$1323,$A43,'架電リスト'!$J$5:$J$1323,"NG")</f>
        <v/>
      </c>
      <c r="K43" s="16">
        <f>COUNTIFS('架電リスト'!$B$5:$B$1323,$A43,'架電リスト'!$J$5:$J$1323,"番号不明")</f>
        <v/>
      </c>
    </row>
    <row r="44">
      <c r="A44" s="16" t="inlineStr">
        <is>
          <t>佐賀県</t>
        </is>
      </c>
      <c r="B44" s="16">
        <f>COUNTIF('架電リスト'!$B$5:$B$1323,A44)</f>
        <v/>
      </c>
      <c r="C44" s="16">
        <f>COUNTIFS('架電リスト'!$B$5:$B$1323,A44,'架電リスト'!$E$5:$E$1323,"&lt;&gt;")</f>
        <v/>
      </c>
      <c r="D44" s="16">
        <f>B44-COUNTIFS('架電リスト'!$B$5:$B$1323,A44,'架電リスト'!$J$5:$J$1323,"未架電")-COUNTIFS('架電リスト'!$B$5:$B$1323,A44,'架電リスト'!$J$5:$J$1323,"")</f>
        <v/>
      </c>
      <c r="E44" s="16">
        <f>COUNTIFS('架電リスト'!$B$5:$B$1323,$A44,'架電リスト'!$J$5:$J$1323,"不在・折返し待ち")</f>
        <v/>
      </c>
      <c r="F44" s="16">
        <f>COUNTIFS('架電リスト'!$B$5:$B$1323,$A44,'架電リスト'!$J$5:$J$1323,"担当者不在")</f>
        <v/>
      </c>
      <c r="G44" s="16">
        <f>COUNTIFS('架電リスト'!$B$5:$B$1323,$A44,'架電リスト'!$J$5:$J$1323,"資料送付")</f>
        <v/>
      </c>
      <c r="H44" s="16">
        <f>COUNTIFS('架電リスト'!$B$5:$B$1323,$A44,'架電リスト'!$J$5:$J$1323,"アポ獲得")</f>
        <v/>
      </c>
      <c r="I44" s="16">
        <f>COUNTIFS('架電リスト'!$B$5:$B$1323,$A44,'架電リスト'!$J$5:$J$1323,"検討中")</f>
        <v/>
      </c>
      <c r="J44" s="16">
        <f>COUNTIFS('架電リスト'!$B$5:$B$1323,$A44,'架電リスト'!$J$5:$J$1323,"NG")</f>
        <v/>
      </c>
      <c r="K44" s="16">
        <f>COUNTIFS('架電リスト'!$B$5:$B$1323,$A44,'架電リスト'!$J$5:$J$1323,"番号不明")</f>
        <v/>
      </c>
    </row>
    <row r="45">
      <c r="A45" s="16" t="inlineStr">
        <is>
          <t>長崎県</t>
        </is>
      </c>
      <c r="B45" s="16">
        <f>COUNTIF('架電リスト'!$B$5:$B$1323,A45)</f>
        <v/>
      </c>
      <c r="C45" s="16">
        <f>COUNTIFS('架電リスト'!$B$5:$B$1323,A45,'架電リスト'!$E$5:$E$1323,"&lt;&gt;")</f>
        <v/>
      </c>
      <c r="D45" s="16">
        <f>B45-COUNTIFS('架電リスト'!$B$5:$B$1323,A45,'架電リスト'!$J$5:$J$1323,"未架電")-COUNTIFS('架電リスト'!$B$5:$B$1323,A45,'架電リスト'!$J$5:$J$1323,"")</f>
        <v/>
      </c>
      <c r="E45" s="16">
        <f>COUNTIFS('架電リスト'!$B$5:$B$1323,$A45,'架電リスト'!$J$5:$J$1323,"不在・折返し待ち")</f>
        <v/>
      </c>
      <c r="F45" s="16">
        <f>COUNTIFS('架電リスト'!$B$5:$B$1323,$A45,'架電リスト'!$J$5:$J$1323,"担当者不在")</f>
        <v/>
      </c>
      <c r="G45" s="16">
        <f>COUNTIFS('架電リスト'!$B$5:$B$1323,$A45,'架電リスト'!$J$5:$J$1323,"資料送付")</f>
        <v/>
      </c>
      <c r="H45" s="16">
        <f>COUNTIFS('架電リスト'!$B$5:$B$1323,$A45,'架電リスト'!$J$5:$J$1323,"アポ獲得")</f>
        <v/>
      </c>
      <c r="I45" s="16">
        <f>COUNTIFS('架電リスト'!$B$5:$B$1323,$A45,'架電リスト'!$J$5:$J$1323,"検討中")</f>
        <v/>
      </c>
      <c r="J45" s="16">
        <f>COUNTIFS('架電リスト'!$B$5:$B$1323,$A45,'架電リスト'!$J$5:$J$1323,"NG")</f>
        <v/>
      </c>
      <c r="K45" s="16">
        <f>COUNTIFS('架電リスト'!$B$5:$B$1323,$A45,'架電リスト'!$J$5:$J$1323,"番号不明")</f>
        <v/>
      </c>
    </row>
    <row r="46">
      <c r="A46" s="16" t="inlineStr">
        <is>
          <t>熊本県</t>
        </is>
      </c>
      <c r="B46" s="16">
        <f>COUNTIF('架電リスト'!$B$5:$B$1323,A46)</f>
        <v/>
      </c>
      <c r="C46" s="16">
        <f>COUNTIFS('架電リスト'!$B$5:$B$1323,A46,'架電リスト'!$E$5:$E$1323,"&lt;&gt;")</f>
        <v/>
      </c>
      <c r="D46" s="16">
        <f>B46-COUNTIFS('架電リスト'!$B$5:$B$1323,A46,'架電リスト'!$J$5:$J$1323,"未架電")-COUNTIFS('架電リスト'!$B$5:$B$1323,A46,'架電リスト'!$J$5:$J$1323,"")</f>
        <v/>
      </c>
      <c r="E46" s="16">
        <f>COUNTIFS('架電リスト'!$B$5:$B$1323,$A46,'架電リスト'!$J$5:$J$1323,"不在・折返し待ち")</f>
        <v/>
      </c>
      <c r="F46" s="16">
        <f>COUNTIFS('架電リスト'!$B$5:$B$1323,$A46,'架電リスト'!$J$5:$J$1323,"担当者不在")</f>
        <v/>
      </c>
      <c r="G46" s="16">
        <f>COUNTIFS('架電リスト'!$B$5:$B$1323,$A46,'架電リスト'!$J$5:$J$1323,"資料送付")</f>
        <v/>
      </c>
      <c r="H46" s="16">
        <f>COUNTIFS('架電リスト'!$B$5:$B$1323,$A46,'架電リスト'!$J$5:$J$1323,"アポ獲得")</f>
        <v/>
      </c>
      <c r="I46" s="16">
        <f>COUNTIFS('架電リスト'!$B$5:$B$1323,$A46,'架電リスト'!$J$5:$J$1323,"検討中")</f>
        <v/>
      </c>
      <c r="J46" s="16">
        <f>COUNTIFS('架電リスト'!$B$5:$B$1323,$A46,'架電リスト'!$J$5:$J$1323,"NG")</f>
        <v/>
      </c>
      <c r="K46" s="16">
        <f>COUNTIFS('架電リスト'!$B$5:$B$1323,$A46,'架電リスト'!$J$5:$J$1323,"番号不明")</f>
        <v/>
      </c>
    </row>
    <row r="47">
      <c r="A47" s="17" t="inlineStr">
        <is>
          <t>合計</t>
        </is>
      </c>
      <c r="B47" s="17">
        <f>SUM(B4:B46)</f>
        <v/>
      </c>
      <c r="C47" s="17">
        <f>SUM(C4:C46)</f>
        <v/>
      </c>
      <c r="D47" s="17">
        <f>SUM(D4:D46)</f>
        <v/>
      </c>
      <c r="E47" s="17">
        <f>SUM(E4:E46)</f>
        <v/>
      </c>
      <c r="F47" s="17">
        <f>SUM(F4:F46)</f>
        <v/>
      </c>
      <c r="G47" s="17">
        <f>SUM(G4:G46)</f>
        <v/>
      </c>
      <c r="H47" s="17">
        <f>SUM(H4:H46)</f>
        <v/>
      </c>
      <c r="I47" s="17">
        <f>SUM(I4:I46)</f>
        <v/>
      </c>
      <c r="J47" s="17">
        <f>SUM(J4:J46)</f>
        <v/>
      </c>
      <c r="K47" s="17">
        <f>SUM(K4:K46)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・出典：ご提供いただいた学校ネットの検索結果（私立高校・43都道府県、1319校）の貼り付けデータ。並び順は都道府県ごとに元データの掲載順です。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2026-10-14T02:12:31Z</dcterms:created>
  <dcterms:modified xsi:type="dcterms:W3CDTF">2026-10-14T02:12:32Z</dcterms:modified>
</cp:coreProperties>
</file>