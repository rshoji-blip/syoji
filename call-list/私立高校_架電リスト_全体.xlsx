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'架電リスト'!$A$4:$O$825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473.html" TargetMode="External" Id="rId706" /><Relationship Type="http://schemas.openxmlformats.org/officeDocument/2006/relationships/hyperlink" Target="https://www.gakkou.net/kou/view/index_303432.html" TargetMode="External" Id="rId707" /><Relationship Type="http://schemas.openxmlformats.org/officeDocument/2006/relationships/hyperlink" Target="https://www.gakkou.net/kou/view/index_303304.html" TargetMode="External" Id="rId708" /><Relationship Type="http://schemas.openxmlformats.org/officeDocument/2006/relationships/hyperlink" Target="https://www.gakkou.net/kou/view/index_303307.html" TargetMode="External" Id="rId709" /><Relationship Type="http://schemas.openxmlformats.org/officeDocument/2006/relationships/hyperlink" Target="https://www.gakkou.net/kou/view/index_306559.html" TargetMode="External" Id="rId710" /><Relationship Type="http://schemas.openxmlformats.org/officeDocument/2006/relationships/hyperlink" Target="https://www.gakkou.net/kou/view/index_303335.html" TargetMode="External" Id="rId711" /><Relationship Type="http://schemas.openxmlformats.org/officeDocument/2006/relationships/hyperlink" Target="https://www.gakkou.net/kou/view/index_303374.html" TargetMode="External" Id="rId712" /><Relationship Type="http://schemas.openxmlformats.org/officeDocument/2006/relationships/hyperlink" Target="https://www.gakkou.net/kou/view/index_303386.html" TargetMode="External" Id="rId713" /><Relationship Type="http://schemas.openxmlformats.org/officeDocument/2006/relationships/hyperlink" Target="https://www.gakkou.net/kou/view/index_303377.html" TargetMode="External" Id="rId714" /><Relationship Type="http://schemas.openxmlformats.org/officeDocument/2006/relationships/hyperlink" Target="https://www.gakkou.net/kou/view/index_303420.html" TargetMode="External" Id="rId715" /><Relationship Type="http://schemas.openxmlformats.org/officeDocument/2006/relationships/hyperlink" Target="https://www.gakkou.net/kou/view/index_303349.html" TargetMode="External" Id="rId716" /><Relationship Type="http://schemas.openxmlformats.org/officeDocument/2006/relationships/hyperlink" Target="https://www.gakkou.net/kou/view/index_303398.html" TargetMode="External" Id="rId717" /><Relationship Type="http://schemas.openxmlformats.org/officeDocument/2006/relationships/hyperlink" Target="https://www.gakkou.net/kou/view/index_303391.html" TargetMode="External" Id="rId718" /><Relationship Type="http://schemas.openxmlformats.org/officeDocument/2006/relationships/hyperlink" Target="https://www.gakkou.net/kou/view/index_303388.html" TargetMode="External" Id="rId719" /><Relationship Type="http://schemas.openxmlformats.org/officeDocument/2006/relationships/hyperlink" Target="https://www.gakkou.net/kou/view/index_303368.html" TargetMode="External" Id="rId720" /><Relationship Type="http://schemas.openxmlformats.org/officeDocument/2006/relationships/hyperlink" Target="https://www.gakkou.net/kou/view/index_303371.html" TargetMode="External" Id="rId721" /><Relationship Type="http://schemas.openxmlformats.org/officeDocument/2006/relationships/hyperlink" Target="https://www.gakkou.net/kou/view/index_303416.html" TargetMode="External" Id="rId722" /><Relationship Type="http://schemas.openxmlformats.org/officeDocument/2006/relationships/hyperlink" Target="https://www.gakkou.net/kou/view/index_303395.html" TargetMode="External" Id="rId723" /><Relationship Type="http://schemas.openxmlformats.org/officeDocument/2006/relationships/hyperlink" Target="https://www.gakkou.net/kou/view/index_303390.html" TargetMode="External" Id="rId724" /><Relationship Type="http://schemas.openxmlformats.org/officeDocument/2006/relationships/hyperlink" Target="https://www.gakkou.net/kou/view/index_303312.html" TargetMode="External" Id="rId725" /><Relationship Type="http://schemas.openxmlformats.org/officeDocument/2006/relationships/hyperlink" Target="https://www.gakkou.net/kou/view/index_303406.html" TargetMode="External" Id="rId726" /><Relationship Type="http://schemas.openxmlformats.org/officeDocument/2006/relationships/hyperlink" Target="https://www.gakkou.net/kou/view/index_303356.html" TargetMode="External" Id="rId727" /><Relationship Type="http://schemas.openxmlformats.org/officeDocument/2006/relationships/hyperlink" Target="https://www.gakkou.net/kou/view/index_303450.html" TargetMode="External" Id="rId728" /><Relationship Type="http://schemas.openxmlformats.org/officeDocument/2006/relationships/hyperlink" Target="https://www.gakkou.net/kou/view/index_303333.html" TargetMode="External" Id="rId729" /><Relationship Type="http://schemas.openxmlformats.org/officeDocument/2006/relationships/hyperlink" Target="https://www.gakkou.net/kou/view/index_303401.html" TargetMode="External" Id="rId730" /><Relationship Type="http://schemas.openxmlformats.org/officeDocument/2006/relationships/hyperlink" Target="https://www.gakkou.net/kou/view/index_303311.html" TargetMode="External" Id="rId731" /><Relationship Type="http://schemas.openxmlformats.org/officeDocument/2006/relationships/hyperlink" Target="https://www.gakkou.net/kou/view/index_303474.html" TargetMode="External" Id="rId732" /><Relationship Type="http://schemas.openxmlformats.org/officeDocument/2006/relationships/hyperlink" Target="https://www.gakkou.net/kou/view/index_303376.html" TargetMode="External" Id="rId733" /><Relationship Type="http://schemas.openxmlformats.org/officeDocument/2006/relationships/hyperlink" Target="https://www.gakkou.net/kou/view/index_303367.html" TargetMode="External" Id="rId734" /><Relationship Type="http://schemas.openxmlformats.org/officeDocument/2006/relationships/hyperlink" Target="https://www.gakkou.net/kou/view/index_303328.html" TargetMode="External" Id="rId735" /><Relationship Type="http://schemas.openxmlformats.org/officeDocument/2006/relationships/hyperlink" Target="https://www.gakkou.net/kou/view/index_303310.html" TargetMode="External" Id="rId736" /><Relationship Type="http://schemas.openxmlformats.org/officeDocument/2006/relationships/hyperlink" Target="https://www.gakkou.net/kou/view/index_303426.html" TargetMode="External" Id="rId737" /><Relationship Type="http://schemas.openxmlformats.org/officeDocument/2006/relationships/hyperlink" Target="https://www.gakkou.net/kou/view/index_303425.html" TargetMode="External" Id="rId738" /><Relationship Type="http://schemas.openxmlformats.org/officeDocument/2006/relationships/hyperlink" Target="https://www.gakkou.net/kou/view/index_303423.html" TargetMode="External" Id="rId739" /><Relationship Type="http://schemas.openxmlformats.org/officeDocument/2006/relationships/hyperlink" Target="https://www.gakkou.net/kou/view/index_306572.html" TargetMode="External" Id="rId740" /><Relationship Type="http://schemas.openxmlformats.org/officeDocument/2006/relationships/hyperlink" Target="https://www.gakkou.net/kou/view/index_303422.html" TargetMode="External" Id="rId741" /><Relationship Type="http://schemas.openxmlformats.org/officeDocument/2006/relationships/hyperlink" Target="https://www.gakkou.net/kou/view/index_303447.html" TargetMode="External" Id="rId742" /><Relationship Type="http://schemas.openxmlformats.org/officeDocument/2006/relationships/hyperlink" Target="https://www.gakkou.net/kou/view/index_303438.html" TargetMode="External" Id="rId743" /><Relationship Type="http://schemas.openxmlformats.org/officeDocument/2006/relationships/hyperlink" Target="https://www.gakkou.net/kou/view/index_303306.html" TargetMode="External" Id="rId744" /><Relationship Type="http://schemas.openxmlformats.org/officeDocument/2006/relationships/hyperlink" Target="https://www.gakkou.net/kou/view/index_303412.html" TargetMode="External" Id="rId745" /><Relationship Type="http://schemas.openxmlformats.org/officeDocument/2006/relationships/hyperlink" Target="https://www.gakkou.net/kou/view/index_303411.html" TargetMode="External" Id="rId746" /><Relationship Type="http://schemas.openxmlformats.org/officeDocument/2006/relationships/hyperlink" Target="https://www.gakkou.net/kou/view/index_303317.html" TargetMode="External" Id="rId747" /><Relationship Type="http://schemas.openxmlformats.org/officeDocument/2006/relationships/hyperlink" Target="https://www.gakkou.net/kou/view/index_303402.html" TargetMode="External" Id="rId748" /><Relationship Type="http://schemas.openxmlformats.org/officeDocument/2006/relationships/hyperlink" Target="https://www.gakkou.net/kou/view/index_303728.html" TargetMode="External" Id="rId749" /><Relationship Type="http://schemas.openxmlformats.org/officeDocument/2006/relationships/hyperlink" Target="https://www.gakkou.net/kou/view/index_303597.html" TargetMode="External" Id="rId750" /><Relationship Type="http://schemas.openxmlformats.org/officeDocument/2006/relationships/hyperlink" Target="https://www.gakkou.net/kou/view/index_303594.html" TargetMode="External" Id="rId751" /><Relationship Type="http://schemas.openxmlformats.org/officeDocument/2006/relationships/hyperlink" Target="https://www.gakkou.net/kou/view/index_303511.html" TargetMode="External" Id="rId752" /><Relationship Type="http://schemas.openxmlformats.org/officeDocument/2006/relationships/hyperlink" Target="https://www.gakkou.net/kou/view/index_303595.html" TargetMode="External" Id="rId753" /><Relationship Type="http://schemas.openxmlformats.org/officeDocument/2006/relationships/hyperlink" Target="https://www.gakkou.net/kou/view/index_303619.html" TargetMode="External" Id="rId754" /><Relationship Type="http://schemas.openxmlformats.org/officeDocument/2006/relationships/hyperlink" Target="https://www.gakkou.net/kou/view/index_303747.html" TargetMode="External" Id="rId755" /><Relationship Type="http://schemas.openxmlformats.org/officeDocument/2006/relationships/hyperlink" Target="https://www.gakkou.net/kou/view/index_303536.html" TargetMode="External" Id="rId756" /><Relationship Type="http://schemas.openxmlformats.org/officeDocument/2006/relationships/hyperlink" Target="https://www.gakkou.net/kou/view/index_303680.html" TargetMode="External" Id="rId757" /><Relationship Type="http://schemas.openxmlformats.org/officeDocument/2006/relationships/hyperlink" Target="https://www.gakkou.net/kou/view/index_303606.html" TargetMode="External" Id="rId758" /><Relationship Type="http://schemas.openxmlformats.org/officeDocument/2006/relationships/hyperlink" Target="https://www.gakkou.net/kou/view/index_303525.html" TargetMode="External" Id="rId759" /><Relationship Type="http://schemas.openxmlformats.org/officeDocument/2006/relationships/hyperlink" Target="https://www.gakkou.net/kou/view/index_303593.html" TargetMode="External" Id="rId760" /><Relationship Type="http://schemas.openxmlformats.org/officeDocument/2006/relationships/hyperlink" Target="https://www.gakkou.net/kou/view/index_303614.html" TargetMode="External" Id="rId761" /><Relationship Type="http://schemas.openxmlformats.org/officeDocument/2006/relationships/hyperlink" Target="https://www.gakkou.net/kou/view/index_303581.html" TargetMode="External" Id="rId762" /><Relationship Type="http://schemas.openxmlformats.org/officeDocument/2006/relationships/hyperlink" Target="https://www.gakkou.net/kou/view/index_303550.html" TargetMode="External" Id="rId763" /><Relationship Type="http://schemas.openxmlformats.org/officeDocument/2006/relationships/hyperlink" Target="https://www.gakkou.net/kou/view/index_303476.html" TargetMode="External" Id="rId764" /><Relationship Type="http://schemas.openxmlformats.org/officeDocument/2006/relationships/hyperlink" Target="https://www.gakkou.net/kou/view/index_303587.html" TargetMode="External" Id="rId765" /><Relationship Type="http://schemas.openxmlformats.org/officeDocument/2006/relationships/hyperlink" Target="https://www.gakkou.net/kou/view/index_303726.html" TargetMode="External" Id="rId766" /><Relationship Type="http://schemas.openxmlformats.org/officeDocument/2006/relationships/hyperlink" Target="https://www.gakkou.net/kou/view/index_303602.html" TargetMode="External" Id="rId767" /><Relationship Type="http://schemas.openxmlformats.org/officeDocument/2006/relationships/hyperlink" Target="https://www.gakkou.net/kou/view/index_303712.html" TargetMode="External" Id="rId768" /><Relationship Type="http://schemas.openxmlformats.org/officeDocument/2006/relationships/hyperlink" Target="https://www.gakkou.net/kou/view/index_303677.html" TargetMode="External" Id="rId769" /><Relationship Type="http://schemas.openxmlformats.org/officeDocument/2006/relationships/hyperlink" Target="https://www.gakkou.net/kou/view/index_303635.html" TargetMode="External" Id="rId770" /><Relationship Type="http://schemas.openxmlformats.org/officeDocument/2006/relationships/hyperlink" Target="https://www.gakkou.net/kou/view/index_303739.html" TargetMode="External" Id="rId771" /><Relationship Type="http://schemas.openxmlformats.org/officeDocument/2006/relationships/hyperlink" Target="https://www.gakkou.net/kou/view/index_303706.html" TargetMode="External" Id="rId772" /><Relationship Type="http://schemas.openxmlformats.org/officeDocument/2006/relationships/hyperlink" Target="https://www.gakkou.net/kou/view/index_303722.html" TargetMode="External" Id="rId773" /><Relationship Type="http://schemas.openxmlformats.org/officeDocument/2006/relationships/hyperlink" Target="https://www.gakkou.net/kou/view/index_303685.html" TargetMode="External" Id="rId774" /><Relationship Type="http://schemas.openxmlformats.org/officeDocument/2006/relationships/hyperlink" Target="https://www.gakkou.net/kou/view/index_303572.html" TargetMode="External" Id="rId775" /><Relationship Type="http://schemas.openxmlformats.org/officeDocument/2006/relationships/hyperlink" Target="https://www.gakkou.net/kou/view/index_303610.html" TargetMode="External" Id="rId776" /><Relationship Type="http://schemas.openxmlformats.org/officeDocument/2006/relationships/hyperlink" Target="https://www.gakkou.net/kou/view/index_303623.html" TargetMode="External" Id="rId777" /><Relationship Type="http://schemas.openxmlformats.org/officeDocument/2006/relationships/hyperlink" Target="https://www.gakkou.net/kou/view/index_303702.html" TargetMode="External" Id="rId778" /><Relationship Type="http://schemas.openxmlformats.org/officeDocument/2006/relationships/hyperlink" Target="https://www.gakkou.net/kou/view/index_303490.html" TargetMode="External" Id="rId779" /><Relationship Type="http://schemas.openxmlformats.org/officeDocument/2006/relationships/hyperlink" Target="https://www.gakkou.net/kou/view/index_303621.html" TargetMode="External" Id="rId780" /><Relationship Type="http://schemas.openxmlformats.org/officeDocument/2006/relationships/hyperlink" Target="https://www.gakkou.net/kou/view/index_303578.html" TargetMode="External" Id="rId781" /><Relationship Type="http://schemas.openxmlformats.org/officeDocument/2006/relationships/hyperlink" Target="https://www.gakkou.net/kou/view/index_303605.html" TargetMode="External" Id="rId782" /><Relationship Type="http://schemas.openxmlformats.org/officeDocument/2006/relationships/hyperlink" Target="https://www.gakkou.net/kou/view/index_303628.html" TargetMode="External" Id="rId783" /><Relationship Type="http://schemas.openxmlformats.org/officeDocument/2006/relationships/hyperlink" Target="https://www.gakkou.net/kou/view/index_303502.html" TargetMode="External" Id="rId784" /><Relationship Type="http://schemas.openxmlformats.org/officeDocument/2006/relationships/hyperlink" Target="https://www.gakkou.net/kou/view/index_303629.html" TargetMode="External" Id="rId785" /><Relationship Type="http://schemas.openxmlformats.org/officeDocument/2006/relationships/hyperlink" Target="https://www.gakkou.net/kou/view/index_303480.html" TargetMode="External" Id="rId786" /><Relationship Type="http://schemas.openxmlformats.org/officeDocument/2006/relationships/hyperlink" Target="https://www.gakkou.net/kou/view/index_303558.html" TargetMode="External" Id="rId787" /><Relationship Type="http://schemas.openxmlformats.org/officeDocument/2006/relationships/hyperlink" Target="https://www.gakkou.net/kou/view/index_303613.html" TargetMode="External" Id="rId788" /><Relationship Type="http://schemas.openxmlformats.org/officeDocument/2006/relationships/hyperlink" Target="https://www.gakkou.net/kou/view/index_303616.html" TargetMode="External" Id="rId789" /><Relationship Type="http://schemas.openxmlformats.org/officeDocument/2006/relationships/hyperlink" Target="https://www.gakkou.net/kou/view/index_303598.html" TargetMode="External" Id="rId790" /><Relationship Type="http://schemas.openxmlformats.org/officeDocument/2006/relationships/hyperlink" Target="https://www.gakkou.net/kou/view/index_303566.html" TargetMode="External" Id="rId791" /><Relationship Type="http://schemas.openxmlformats.org/officeDocument/2006/relationships/hyperlink" Target="https://www.gakkou.net/kou/view/index_303609.html" TargetMode="External" Id="rId792" /><Relationship Type="http://schemas.openxmlformats.org/officeDocument/2006/relationships/hyperlink" Target="https://www.gakkou.net/kou/view/index_303586.html" TargetMode="External" Id="rId793" /><Relationship Type="http://schemas.openxmlformats.org/officeDocument/2006/relationships/hyperlink" Target="https://www.gakkou.net/kou/view/index_303612.html" TargetMode="External" Id="rId794" /><Relationship Type="http://schemas.openxmlformats.org/officeDocument/2006/relationships/hyperlink" Target="https://www.gakkou.net/kou/view/index_303577.html" TargetMode="External" Id="rId795" /><Relationship Type="http://schemas.openxmlformats.org/officeDocument/2006/relationships/hyperlink" Target="https://www.gakkou.net/kou/view/index_306756.html" TargetMode="External" Id="rId796" /><Relationship Type="http://schemas.openxmlformats.org/officeDocument/2006/relationships/hyperlink" Target="https://www.gakkou.net/kou/view/index_303611.html" TargetMode="External" Id="rId797" /><Relationship Type="http://schemas.openxmlformats.org/officeDocument/2006/relationships/hyperlink" Target="https://www.gakkou.net/kou/view/index_303640.html" TargetMode="External" Id="rId798" /><Relationship Type="http://schemas.openxmlformats.org/officeDocument/2006/relationships/hyperlink" Target="https://www.gakkou.net/kou/view/index_303513.html" TargetMode="External" Id="rId799" /><Relationship Type="http://schemas.openxmlformats.org/officeDocument/2006/relationships/hyperlink" Target="https://www.gakkou.net/kou/view/index_303519.html" TargetMode="External" Id="rId800" /><Relationship Type="http://schemas.openxmlformats.org/officeDocument/2006/relationships/hyperlink" Target="https://www.gakkou.net/kou/view/index_303478.html" TargetMode="External" Id="rId801" /><Relationship Type="http://schemas.openxmlformats.org/officeDocument/2006/relationships/hyperlink" Target="https://www.gakkou.net/kou/view/index_303695.html" TargetMode="External" Id="rId802" /><Relationship Type="http://schemas.openxmlformats.org/officeDocument/2006/relationships/hyperlink" Target="https://www.gakkou.net/kou/view/index_303556.html" TargetMode="External" Id="rId803" /><Relationship Type="http://schemas.openxmlformats.org/officeDocument/2006/relationships/hyperlink" Target="https://www.gakkou.net/kou/view/index_303817.html" TargetMode="External" Id="rId804" /><Relationship Type="http://schemas.openxmlformats.org/officeDocument/2006/relationships/hyperlink" Target="https://www.gakkou.net/kou/view/index_303798.html" TargetMode="External" Id="rId805" /><Relationship Type="http://schemas.openxmlformats.org/officeDocument/2006/relationships/hyperlink" Target="https://www.gakkou.net/kou/view/index_303775.html" TargetMode="External" Id="rId806" /><Relationship Type="http://schemas.openxmlformats.org/officeDocument/2006/relationships/hyperlink" Target="https://www.gakkou.net/kou/view/index_303805.html" TargetMode="External" Id="rId807" /><Relationship Type="http://schemas.openxmlformats.org/officeDocument/2006/relationships/hyperlink" Target="https://www.gakkou.net/kou/view/index_306465.html" TargetMode="External" Id="rId808" /><Relationship Type="http://schemas.openxmlformats.org/officeDocument/2006/relationships/hyperlink" Target="https://www.gakkou.net/kou/view/index_306358.html" TargetMode="External" Id="rId809" /><Relationship Type="http://schemas.openxmlformats.org/officeDocument/2006/relationships/hyperlink" Target="https://www.gakkou.net/kou/view/index_303752.html" TargetMode="External" Id="rId810" /><Relationship Type="http://schemas.openxmlformats.org/officeDocument/2006/relationships/hyperlink" Target="https://www.gakkou.net/kou/view/index_306543.html" TargetMode="External" Id="rId811" /><Relationship Type="http://schemas.openxmlformats.org/officeDocument/2006/relationships/hyperlink" Target="https://www.gakkou.net/kou/view/index_303800.html" TargetMode="External" Id="rId812" /><Relationship Type="http://schemas.openxmlformats.org/officeDocument/2006/relationships/hyperlink" Target="https://www.gakkou.net/kou/view/index_303816.html" TargetMode="External" Id="rId813" /><Relationship Type="http://schemas.openxmlformats.org/officeDocument/2006/relationships/hyperlink" Target="https://www.gakkou.net/kou/view/index_303781.html" TargetMode="External" Id="rId814" /><Relationship Type="http://schemas.openxmlformats.org/officeDocument/2006/relationships/hyperlink" Target="https://www.gakkou.net/kou/view/index_303789.html" TargetMode="External" Id="rId815" /><Relationship Type="http://schemas.openxmlformats.org/officeDocument/2006/relationships/hyperlink" Target="https://www.gakkou.net/kou/view/index_303786.html" TargetMode="External" Id="rId816" /><Relationship Type="http://schemas.openxmlformats.org/officeDocument/2006/relationships/hyperlink" Target="https://www.gakkou.net/kou/view/index_303767.html" TargetMode="External" Id="rId817" /><Relationship Type="http://schemas.openxmlformats.org/officeDocument/2006/relationships/hyperlink" Target="https://www.gakkou.net/kou/view/index_306361.html" TargetMode="External" Id="rId818" /><Relationship Type="http://schemas.openxmlformats.org/officeDocument/2006/relationships/hyperlink" Target="https://www.gakkou.net/kou/view/index_303793.html" TargetMode="External" Id="rId819" /><Relationship Type="http://schemas.openxmlformats.org/officeDocument/2006/relationships/hyperlink" Target="https://www.gakkou.net/kou/view/index_303772.html" TargetMode="External" Id="rId820" /><Relationship Type="http://schemas.openxmlformats.org/officeDocument/2006/relationships/hyperlink" Target="https://www.gakkou.net/kou/view/index_306544.html" TargetMode="External" Id="rId82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825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架電リスト（23都道府県／821校）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静岡県</t>
        </is>
      </c>
      <c r="C710" s="5" t="inlineStr">
        <is>
          <t>磐田市</t>
        </is>
      </c>
      <c r="D710" s="5" t="inlineStr">
        <is>
          <t>磐田東高等学校</t>
        </is>
      </c>
      <c r="E710" s="6" t="inlineStr">
        <is>
          <t>0538-32-6118</t>
        </is>
      </c>
      <c r="F710" s="7" t="inlineStr">
        <is>
          <t>高</t>
        </is>
      </c>
      <c r="G710" s="5" t="inlineStr">
        <is>
          <t>普通科・専門学科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公式サイトで確認。中高共通</t>
        </is>
      </c>
      <c r="N710" s="11" t="inlineStr">
        <is>
          <t>https://www.iwatahigashi-h.ed.jp/ ; https://www.mapion.co.jp/phonebook/M11004/22211/ILSP0000041612_ipclm/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静岡県</t>
        </is>
      </c>
      <c r="C711" s="5" t="inlineStr">
        <is>
          <t>浜松市中央区</t>
        </is>
      </c>
      <c r="D711" s="5" t="inlineStr">
        <is>
          <t>オイスカ浜松国際高等学校</t>
        </is>
      </c>
      <c r="E711" s="6" t="inlineStr">
        <is>
          <t>053-486-3011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公式サイトで確認。所在地は浜松市中央区</t>
        </is>
      </c>
      <c r="N711" s="11" t="inlineStr">
        <is>
          <t>https://www.oisca.ed.jp/school/access/ ; https://www.minkou.jp/hischool/school/646/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静岡県</t>
        </is>
      </c>
      <c r="C712" s="5" t="inlineStr">
        <is>
          <t>沼津市</t>
        </is>
      </c>
      <c r="D712" s="5" t="inlineStr">
        <is>
          <t>加藤学園暁秀高等学校</t>
        </is>
      </c>
      <c r="E712" s="6" t="inlineStr">
        <is>
          <t>055-924-1900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中高共通。加藤学園高校とは別の学校</t>
        </is>
      </c>
      <c r="N712" s="11" t="inlineStr">
        <is>
          <t>https://www.mapion.co.jp/phonebook/M11004/22203/ILSP0000041290_ipclm/ ; https://school.js88.com/scl_h/22009120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静岡県</t>
        </is>
      </c>
      <c r="C713" s="5" t="inlineStr">
        <is>
          <t>沼津市</t>
        </is>
      </c>
      <c r="D713" s="5" t="inlineStr">
        <is>
          <t>加藤学園高等学校</t>
        </is>
      </c>
      <c r="E713" s="6" t="inlineStr">
        <is>
          <t>055-921-0347</t>
        </is>
      </c>
      <c r="F713" s="7" t="inlineStr">
        <is>
          <t>高</t>
        </is>
      </c>
      <c r="G713" s="5" t="inlineStr">
        <is>
          <t>普通科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公式サイトに「代表」と記載。加藤学園暁秀とは別の学校</t>
        </is>
      </c>
      <c r="N713" s="11" t="inlineStr">
        <is>
          <t>https://www.katogaku.jp/KatohHS/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静岡県</t>
        </is>
      </c>
      <c r="C714" s="5" t="inlineStr">
        <is>
          <t>吉田町</t>
        </is>
      </c>
      <c r="D714" s="5" t="inlineStr">
        <is>
          <t>キラリ高等学校</t>
        </is>
      </c>
      <c r="E714" s="6" t="inlineStr">
        <is>
          <t>0548-33-4976</t>
        </is>
      </c>
      <c r="F714" s="7" t="inlineStr">
        <is>
          <t>高</t>
        </is>
      </c>
      <c r="G714" s="5" t="inlineStr">
        <is>
          <t>普通科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通信制。吉田本校の番号（公式サイト）</t>
        </is>
      </c>
      <c r="N714" s="11" t="inlineStr">
        <is>
          <t>https://www.kirari-highschool.jp/introduction/access/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静岡県</t>
        </is>
      </c>
      <c r="C715" s="5" t="inlineStr">
        <is>
          <t>御殿場市</t>
        </is>
      </c>
      <c r="D715" s="5" t="inlineStr">
        <is>
          <t>御殿場西高等学校</t>
        </is>
      </c>
      <c r="E715" s="6" t="inlineStr">
        <is>
          <t>0550-89-2466</t>
        </is>
      </c>
      <c r="F715" s="7" t="inlineStr">
        <is>
          <t>高</t>
        </is>
      </c>
      <c r="G715" s="5" t="inlineStr">
        <is>
          <t>普通科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公式サイトで確認</t>
        </is>
      </c>
      <c r="N715" s="11" t="inlineStr">
        <is>
          <t>https://gotembanishi-h.ed.jp/access/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静岡県</t>
        </is>
      </c>
      <c r="C716" s="5" t="inlineStr">
        <is>
          <t>静岡市葵区</t>
        </is>
      </c>
      <c r="D716" s="5" t="inlineStr">
        <is>
          <t>静岡英和女学院高等学校</t>
        </is>
      </c>
      <c r="E716" s="6" t="inlineStr">
        <is>
          <t>054-254-7401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中高共通。2つのサイトで一致</t>
        </is>
      </c>
      <c r="N716" s="11" t="inlineStr">
        <is>
          <t>https://www.mapion.co.jp/phonebook/M11004/22101/ILSP0000040742_ipclm/ ; https://shizu-hsmap.com/3460/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静岡県</t>
        </is>
      </c>
      <c r="C717" s="5" t="inlineStr">
        <is>
          <t>静岡市葵区</t>
        </is>
      </c>
      <c r="D717" s="5" t="inlineStr">
        <is>
          <t>静岡学園高等学校</t>
        </is>
      </c>
      <c r="E717" s="6" t="inlineStr">
        <is>
          <t>054-200-0191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公式サイトで確認。中高共通</t>
        </is>
      </c>
      <c r="N717" s="11" t="inlineStr">
        <is>
          <t>https://www.shizugaku.ed.jp/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静岡県</t>
        </is>
      </c>
      <c r="C718" s="5" t="inlineStr">
        <is>
          <t>静岡市葵区</t>
        </is>
      </c>
      <c r="D718" s="5" t="inlineStr">
        <is>
          <t>静岡北高等学校</t>
        </is>
      </c>
      <c r="E718" s="6" t="inlineStr">
        <is>
          <t>054-261-5801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公式サイトに「代表」と記載。中学校は054-267-6151</t>
        </is>
      </c>
      <c r="N718" s="11" t="inlineStr">
        <is>
          <t>https://shizukita.jp/contact/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静岡県</t>
        </is>
      </c>
      <c r="C719" s="5" t="inlineStr">
        <is>
          <t>浜松市中央区</t>
        </is>
      </c>
      <c r="D719" s="5" t="inlineStr">
        <is>
          <t>静岡県西遠女子学園高等学校</t>
        </is>
      </c>
      <c r="E719" s="6" t="inlineStr">
        <is>
          <t>053-461-0374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公式サイトで確認。中高共通。所在地は浜松市中央区</t>
        </is>
      </c>
      <c r="N719" s="11" t="inlineStr">
        <is>
          <t>https://www.seien.ed.jp/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静岡県</t>
        </is>
      </c>
      <c r="C720" s="5" t="inlineStr">
        <is>
          <t>富士市</t>
        </is>
      </c>
      <c r="D720" s="5" t="inlineStr">
        <is>
          <t>静岡県富士見高等学校</t>
        </is>
      </c>
      <c r="E720" s="6" t="inlineStr">
        <is>
          <t>0545-61-0250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公式サイトで確認。中高共通</t>
        </is>
      </c>
      <c r="N720" s="11" t="inlineStr">
        <is>
          <t>https://fujimi.ed.jp/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静岡県</t>
        </is>
      </c>
      <c r="C721" s="5" t="inlineStr">
        <is>
          <t>静岡市清水区</t>
        </is>
      </c>
      <c r="D721" s="5" t="inlineStr">
        <is>
          <t>静岡サレジオ高等学校</t>
        </is>
      </c>
      <c r="E721" s="6" t="inlineStr">
        <is>
          <t>054-345-2296</t>
        </is>
      </c>
      <c r="F721" s="7" t="inlineStr">
        <is>
          <t>高</t>
        </is>
      </c>
      <c r="G721" s="5" t="inlineStr">
        <is>
          <t>普通科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https://ssalesio.ac.jp/high/contact/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静岡県</t>
        </is>
      </c>
      <c r="C722" s="5" t="inlineStr">
        <is>
          <t>静岡市駿河区</t>
        </is>
      </c>
      <c r="D722" s="5" t="inlineStr">
        <is>
          <t>静岡女子高等学校</t>
        </is>
      </c>
      <c r="E722" s="6" t="inlineStr">
        <is>
          <t>054-285-2274</t>
        </is>
      </c>
      <c r="F722" s="7" t="inlineStr">
        <is>
          <t>高</t>
        </is>
      </c>
      <c r="G722" s="5" t="inlineStr">
        <is>
          <t>普通科・専門学科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公式サイトで確認</t>
        </is>
      </c>
      <c r="N722" s="11" t="inlineStr">
        <is>
          <t>https://shizuoka-joshi.ac.jp/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静岡県</t>
        </is>
      </c>
      <c r="C723" s="5" t="inlineStr">
        <is>
          <t>静岡市駿河区</t>
        </is>
      </c>
      <c r="D723" s="5" t="inlineStr">
        <is>
          <t>静岡聖光学院高等学校</t>
        </is>
      </c>
      <c r="E723" s="6" t="inlineStr">
        <is>
          <t>054-285-9136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中高共通。高校募集なし（完全中高一貫）。公式未確認</t>
        </is>
      </c>
      <c r="N723" s="11" t="inlineStr">
        <is>
          <t>https://www.mapion.co.jp/phonebook/M11004/22102/ILSP0000041139_ipclm/ ; https://itp.ne.jp/info/229451737200000899/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静岡県</t>
        </is>
      </c>
      <c r="C724" s="5" t="inlineStr">
        <is>
          <t>静岡市葵区</t>
        </is>
      </c>
      <c r="D724" s="5" t="inlineStr">
        <is>
          <t>静岡大成高等学校</t>
        </is>
      </c>
      <c r="E724" s="6" t="inlineStr">
        <is>
          <t>054-254-7334</t>
        </is>
      </c>
      <c r="F724" s="7" t="inlineStr">
        <is>
          <t>高</t>
        </is>
      </c>
      <c r="G724" s="5" t="inlineStr">
        <is>
          <t>普通科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複数サイトで一致、公式未確認</t>
        </is>
      </c>
      <c r="N724" s="11" t="inlineStr">
        <is>
          <t>https://www.mapion.co.jp/phonebook/M11004/22101/ILSP0000040794_ipclm/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静岡県</t>
        </is>
      </c>
      <c r="C725" s="5" t="inlineStr">
        <is>
          <t>静岡市葵区</t>
        </is>
      </c>
      <c r="D725" s="5" t="inlineStr">
        <is>
          <t>静岡雙葉高等学校</t>
        </is>
      </c>
      <c r="E725" s="6" t="inlineStr">
        <is>
          <t>054-255-0305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公式サイトで確認。中高共通</t>
        </is>
      </c>
      <c r="N725" s="11" t="inlineStr">
        <is>
          <t>https://shizuoka-futaba.ac.jp/graduate/certificate/ ; https://www.mapion.co.jp/phonebook/M11004/22101/ILSP0000041364_ipclm/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静岡県</t>
        </is>
      </c>
      <c r="C726" s="5" t="inlineStr">
        <is>
          <t>島田市</t>
        </is>
      </c>
      <c r="D726" s="5" t="inlineStr">
        <is>
          <t>島田樟誠高等学校</t>
        </is>
      </c>
      <c r="E726" s="6" t="inlineStr">
        <is>
          <t>0547-37-3116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複数サイトで一致、公式未確認</t>
        </is>
      </c>
      <c r="N726" s="11" t="inlineStr">
        <is>
          <t>https://www.mapion.co.jp/phonebook/M11004/22209/ILSP0000041690_ipclm/ ; https://www.minkou.jp/hischool/school/2271/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静岡市清水区</t>
        </is>
      </c>
      <c r="D727" s="5" t="inlineStr">
        <is>
          <t>清水国際高等学校</t>
        </is>
      </c>
      <c r="E727" s="6" t="inlineStr">
        <is>
          <t>054-366-4155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</t>
        </is>
      </c>
      <c r="N727" s="11" t="inlineStr">
        <is>
          <t>https://www.shimizu-kokusai.ac.jp/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静岡市駿河区</t>
        </is>
      </c>
      <c r="D728" s="5" t="inlineStr">
        <is>
          <t>城南静岡高等学校</t>
        </is>
      </c>
      <c r="E728" s="6" t="inlineStr">
        <is>
          <t>054-285-6156</t>
        </is>
      </c>
      <c r="F728" s="7" t="inlineStr">
        <is>
          <t>高</t>
        </is>
      </c>
      <c r="G728" s="5" t="inlineStr">
        <is>
          <t>普通科・専門学科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公式サイトで確認。中高共通</t>
        </is>
      </c>
      <c r="N728" s="11" t="inlineStr">
        <is>
          <t>https://www.johnan.ac.jp/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誠恵高等学校</t>
        </is>
      </c>
      <c r="E729" s="6" t="inlineStr">
        <is>
          <t>055-921-5088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公式サイトに「代表」と記載</t>
        </is>
      </c>
      <c r="N729" s="11" t="inlineStr">
        <is>
          <t>http://www.seikei-on.ac.jp/contact/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藤枝市</t>
        </is>
      </c>
      <c r="D730" s="5" t="inlineStr">
        <is>
          <t>静清高等学校</t>
        </is>
      </c>
      <c r="E730" s="6" t="inlineStr">
        <is>
          <t>054-641-6693</t>
        </is>
      </c>
      <c r="F730" s="7" t="inlineStr">
        <is>
          <t>高</t>
        </is>
      </c>
      <c r="G730" s="5" t="inlineStr">
        <is>
          <t>普通科・専門学科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公式サイトで確認。通信制課程も同じ番号</t>
        </is>
      </c>
      <c r="N730" s="11" t="inlineStr">
        <is>
          <t>https://seisei.ed.jp/access/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富士宮市</t>
        </is>
      </c>
      <c r="D731" s="5" t="inlineStr">
        <is>
          <t>星陵高等学校</t>
        </is>
      </c>
      <c r="E731" s="6" t="inlineStr">
        <is>
          <t>0544-24-4811</t>
        </is>
      </c>
      <c r="F731" s="7" t="inlineStr">
        <is>
          <t>高</t>
        </is>
      </c>
      <c r="G731" s="5" t="inlineStr">
        <is>
          <t>普通科・専門学科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公式サイトで確認（静岡理工科大学星陵中学校・高等学校）</t>
        </is>
      </c>
      <c r="N731" s="11" t="inlineStr">
        <is>
          <t>https://starhill.ed.jp/hs/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浜松市中央区</t>
        </is>
      </c>
      <c r="D732" s="5" t="inlineStr">
        <is>
          <t>聖隷クリストファー高等学校</t>
        </is>
      </c>
      <c r="E732" s="6" t="inlineStr">
        <is>
          <t>053-436-5313</t>
        </is>
      </c>
      <c r="F732" s="7" t="inlineStr">
        <is>
          <t>高</t>
        </is>
      </c>
      <c r="G732" s="5" t="inlineStr">
        <is>
          <t>普通科・専門学科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複数サイトで一致、公式未確認。所在地は浜松市中央区</t>
        </is>
      </c>
      <c r="N732" s="11" t="inlineStr">
        <is>
          <t>https://www.mapion.co.jp/phonebook/M11004/22138/ILSP0000041195_ipclm/ ; https://school.js88.com/scl_h/22009420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長泉町</t>
        </is>
      </c>
      <c r="D733" s="5" t="inlineStr">
        <is>
          <t>知徳高等学校</t>
        </is>
      </c>
      <c r="E733" s="6" t="inlineStr">
        <is>
          <t>055-975-0080</t>
        </is>
      </c>
      <c r="F733" s="7" t="inlineStr">
        <is>
          <t>高</t>
        </is>
      </c>
      <c r="G733" s="5" t="inlineStr">
        <is>
          <t>普通科・専門学科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複数サイトで一致。055-976-0735はFAXなので注意</t>
        </is>
      </c>
      <c r="N733" s="11" t="inlineStr">
        <is>
          <t>https://www.mapion.co.jp/phonebook/M11004/22342/ILSP0000041799_ipclm/ ; https://itp.ne.jp/info/225247068200000899/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静岡市清水区</t>
        </is>
      </c>
      <c r="D734" s="5" t="inlineStr">
        <is>
          <t>東海大学付属静岡翔洋高等学校</t>
        </is>
      </c>
      <c r="E734" s="6" t="inlineStr">
        <is>
          <t>054-334-0726</t>
        </is>
      </c>
      <c r="F734" s="7" t="inlineStr">
        <is>
          <t>高</t>
        </is>
      </c>
      <c r="G734" s="5" t="inlineStr">
        <is>
          <t>普通科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公式サイトで確認。中等部は054-334-1851</t>
        </is>
      </c>
      <c r="N734" s="11" t="inlineStr">
        <is>
          <t>https://www.shoyo.tokai.ed.jp/contact/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沼津市</t>
        </is>
      </c>
      <c r="D735" s="5" t="inlineStr">
        <is>
          <t>桐陽高等学校</t>
        </is>
      </c>
      <c r="E735" s="6" t="inlineStr">
        <is>
          <t>055-921-0350</t>
        </is>
      </c>
      <c r="F735" s="7" t="inlineStr">
        <is>
          <t>高</t>
        </is>
      </c>
      <c r="G735" s="5" t="inlineStr">
        <is>
          <t>普通科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公式サイトでは募集広報部の番号。055-921-0096を載せるサイトもあり（旧番号の可能性）</t>
        </is>
      </c>
      <c r="N735" s="11" t="inlineStr">
        <is>
          <t>https://toyo-numazu.ac.jp/contact/ ; https://www.mapion.co.jp/phonebook/M11004/22203/ILSP0000041817_ipclm/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菊川市</t>
        </is>
      </c>
      <c r="D736" s="5" t="inlineStr">
        <is>
          <t>常葉大学附属菊川高等学校</t>
        </is>
      </c>
      <c r="E736" s="6" t="inlineStr">
        <is>
          <t>0537-35-3171</t>
        </is>
      </c>
      <c r="F736" s="7" t="inlineStr">
        <is>
          <t>高</t>
        </is>
      </c>
      <c r="G736" s="5" t="inlineStr">
        <is>
          <t>普通科・専門学科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</t>
        </is>
      </c>
      <c r="N736" s="11" t="inlineStr">
        <is>
          <t>https://tokoha.net/kikugawa/guide/access/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静岡市葵区</t>
        </is>
      </c>
      <c r="D737" s="5" t="inlineStr">
        <is>
          <t>常葉大学附属橘高等学校</t>
        </is>
      </c>
      <c r="E737" s="6" t="inlineStr">
        <is>
          <t>054-261-2256</t>
        </is>
      </c>
      <c r="F737" s="7" t="inlineStr">
        <is>
          <t>高</t>
        </is>
      </c>
      <c r="G737" s="5" t="inlineStr">
        <is>
          <t>普通科・専門学科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https://www.tokoha.ac.jp/tachibana-jh/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静岡市葵区</t>
        </is>
      </c>
      <c r="D738" s="5" t="inlineStr">
        <is>
          <t>常葉大学附属常葉高等学校</t>
        </is>
      </c>
      <c r="E738" s="6" t="inlineStr">
        <is>
          <t>054-245-5401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中高共通の代表</t>
        </is>
      </c>
      <c r="N738" s="11" t="inlineStr">
        <is>
          <t>https://www.tokoha-u.ac.jp/university/links/ ; https://www.mapion.co.jp/phonebook/M11004/22101/ILSP0000041765_ipclm/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三島市</t>
        </is>
      </c>
      <c r="D739" s="5" t="inlineStr">
        <is>
          <t>日本大学三島高等学校</t>
        </is>
      </c>
      <c r="E739" s="6" t="inlineStr">
        <is>
          <t>055-988-3500</t>
        </is>
      </c>
      <c r="F739" s="7" t="inlineStr">
        <is>
          <t>高</t>
        </is>
      </c>
      <c r="G739" s="5" t="inlineStr">
        <is>
          <t>普通科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公式サイトで確認。中高共通</t>
        </is>
      </c>
      <c r="N739" s="11" t="inlineStr">
        <is>
          <t>https://www.mishima.hs.nihon-u.ac.jp/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沼津市</t>
        </is>
      </c>
      <c r="D740" s="5" t="inlineStr">
        <is>
          <t>沼津中央高等学校</t>
        </is>
      </c>
      <c r="E740" s="6" t="inlineStr">
        <is>
          <t>055-921-0346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公式サイトで確認</t>
        </is>
      </c>
      <c r="N740" s="11" t="inlineStr">
        <is>
          <t>https://www.n-chuo.ac.jp/contact ; https://www.mapion.co.jp/phonebook/M11004/22203/ILSP0000041058_ipclm/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浜松市中央区</t>
        </is>
      </c>
      <c r="D741" s="5" t="inlineStr">
        <is>
          <t>浜松開誠館高等学校</t>
        </is>
      </c>
      <c r="E741" s="6" t="inlineStr">
        <is>
          <t>053-456-7111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公式サイトで確認。中高共通</t>
        </is>
      </c>
      <c r="N741" s="11" t="inlineStr">
        <is>
          <t>https://www.kaiseikan.ed.jp/top-page/school-overview/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浜松市中央区</t>
        </is>
      </c>
      <c r="D742" s="5" t="inlineStr">
        <is>
          <t>浜松学院高等学校</t>
        </is>
      </c>
      <c r="E742" s="6" t="inlineStr">
        <is>
          <t>053-471-4136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【校名変更】2025年4月に「浜松学院興誠高等学校」へ改称。法人本部と同じ番号</t>
        </is>
      </c>
      <c r="N742" s="11" t="inlineStr">
        <is>
          <t>https://www.hamagaku.ac.jp/gakuin/schoolprospectus/history/ ; https://school.js88.com/scl_h/22009350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浜松市中央区</t>
        </is>
      </c>
      <c r="D743" s="5" t="inlineStr">
        <is>
          <t>浜松学芸高等学校</t>
        </is>
      </c>
      <c r="E743" s="6" t="inlineStr">
        <is>
          <t>053-471-5336</t>
        </is>
      </c>
      <c r="F743" s="7" t="inlineStr">
        <is>
          <t>高</t>
        </is>
      </c>
      <c r="G743" s="5" t="inlineStr">
        <is>
          <t>普通科・専門学科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公式サイトで確認</t>
        </is>
      </c>
      <c r="N743" s="11" t="inlineStr">
        <is>
          <t>https://www.gakugei.ed.jp/high/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浜松市中央区</t>
        </is>
      </c>
      <c r="D744" s="5" t="inlineStr">
        <is>
          <t>浜松啓陽高等学校</t>
        </is>
      </c>
      <c r="E744" s="6" t="inlineStr">
        <is>
          <t>053-420-0431</t>
        </is>
      </c>
      <c r="F744" s="7" t="inlineStr">
        <is>
          <t>高</t>
        </is>
      </c>
      <c r="G744" s="5" t="inlineStr">
        <is>
          <t>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通信制。公式サイトで確認</t>
        </is>
      </c>
      <c r="N744" s="11" t="inlineStr">
        <is>
          <t>https://keiyo.ed.jp/ ; https://school.js88.com/scl_h/34029510?page=6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浜松市中央区</t>
        </is>
      </c>
      <c r="D745" s="5" t="inlineStr">
        <is>
          <t>浜松修学舎高等学校</t>
        </is>
      </c>
      <c r="E745" s="6" t="inlineStr">
        <is>
          <t>053-461-7356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</t>
        </is>
      </c>
      <c r="N745" s="11" t="inlineStr">
        <is>
          <t>https://www.shugakusha.ed.jp/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浜松市中央区</t>
        </is>
      </c>
      <c r="D746" s="5" t="inlineStr">
        <is>
          <t>浜松聖星高等学校</t>
        </is>
      </c>
      <c r="E746" s="6" t="inlineStr">
        <is>
          <t>053-454-5376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公式サイトで確認</t>
        </is>
      </c>
      <c r="N746" s="11" t="inlineStr">
        <is>
          <t>https://hamamatsu-seisei.jp/about/school_outline.html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浜松市中央区</t>
        </is>
      </c>
      <c r="D747" s="5" t="inlineStr">
        <is>
          <t>浜松日体高等学校</t>
        </is>
      </c>
      <c r="E747" s="6" t="inlineStr">
        <is>
          <t>053-434-0632</t>
        </is>
      </c>
      <c r="F747" s="7" t="inlineStr">
        <is>
          <t>高</t>
        </is>
      </c>
      <c r="G747" s="5" t="inlineStr">
        <is>
          <t>普通科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</t>
        </is>
      </c>
      <c r="N747" s="11" t="inlineStr">
        <is>
          <t>https://www.h-nittai.ed.jp/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沼津市</t>
        </is>
      </c>
      <c r="D748" s="5" t="inlineStr">
        <is>
          <t>飛龍高等学校</t>
        </is>
      </c>
      <c r="E748" s="6" t="inlineStr">
        <is>
          <t>055-921-7942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公式サイトで確認。055-921-0348を載せるサイトは旧番号の可能性</t>
        </is>
      </c>
      <c r="N748" s="11" t="inlineStr">
        <is>
          <t>https://hiryu.ed.jp/about-us/access/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藤枝市</t>
        </is>
      </c>
      <c r="D749" s="5" t="inlineStr">
        <is>
          <t>藤枝順心高等学校</t>
        </is>
      </c>
      <c r="E749" s="6" t="inlineStr">
        <is>
          <t>054-635-1311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2つのサイトで一致、公式未確認</t>
        </is>
      </c>
      <c r="N749" s="11" t="inlineStr">
        <is>
          <t>https://www.mapion.co.jp/phonebook/M11004/22214/ILSP0000041630_ipclm/ ; https://school.js88.com/scl_h/22009310?page=9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藤枝市</t>
        </is>
      </c>
      <c r="D750" s="5" t="inlineStr">
        <is>
          <t>藤枝明誠高等学校</t>
        </is>
      </c>
      <c r="E750" s="6" t="inlineStr">
        <is>
          <t>054-635-8155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公式サイトの事務室の番号</t>
        </is>
      </c>
      <c r="N750" s="11" t="inlineStr">
        <is>
          <t>https://www.fgmeisei.ed.jp/contact/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裾野市</t>
        </is>
      </c>
      <c r="D751" s="5" t="inlineStr">
        <is>
          <t>不二聖心女子学院高等学校</t>
        </is>
      </c>
      <c r="E751" s="6" t="inlineStr">
        <is>
          <t>055-992-0213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公式サイトで確認。中高共通</t>
        </is>
      </c>
      <c r="N751" s="11" t="inlineStr">
        <is>
          <t>https://www.fujiseishin-jh.ed.jp/access/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焼津市</t>
        </is>
      </c>
      <c r="D752" s="5" t="inlineStr">
        <is>
          <t>焼津高等学校</t>
        </is>
      </c>
      <c r="E752" s="6" t="inlineStr">
        <is>
          <t>054-628-7235</t>
        </is>
      </c>
      <c r="F752" s="7" t="inlineStr">
        <is>
          <t>高</t>
        </is>
      </c>
      <c r="G752" s="5" t="inlineStr">
        <is>
          <t>総合学科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私立（学校法人松薫学園）。公式サイトで確認</t>
        </is>
      </c>
      <c r="N752" s="11" t="inlineStr">
        <is>
          <t>https://yaizu-h.ed.jp/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愛知県</t>
        </is>
      </c>
      <c r="C753" s="5" t="inlineStr">
        <is>
          <t>稲沢市</t>
        </is>
      </c>
      <c r="D753" s="5" t="inlineStr">
        <is>
          <t>愛知啓成高等学校</t>
        </is>
      </c>
      <c r="E753" s="6" t="inlineStr">
        <is>
          <t>0587-32-5141</t>
        </is>
      </c>
      <c r="F753" s="7" t="inlineStr">
        <is>
          <t>高</t>
        </is>
      </c>
      <c r="G753" s="5" t="inlineStr">
        <is>
          <t>普通科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</t>
        </is>
      </c>
      <c r="N753" s="11" t="inlineStr">
        <is>
          <t>https://keisei.ed.jp/ ; https://www.city.inazawa.aichi.jp/0000002446.html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愛知県</t>
        </is>
      </c>
      <c r="C754" s="5" t="inlineStr">
        <is>
          <t>名古屋市千種区</t>
        </is>
      </c>
      <c r="D754" s="5" t="inlineStr">
        <is>
          <t>愛知工業大学名電高等学校</t>
        </is>
      </c>
      <c r="E754" s="6" t="inlineStr">
        <is>
          <t>052-721-0311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公式サイトに「代表」と記載</t>
        </is>
      </c>
      <c r="N754" s="11" t="inlineStr">
        <is>
          <t>https://www.meiden.ed.jp/others/contact.html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愛知県</t>
        </is>
      </c>
      <c r="C755" s="5" t="inlineStr">
        <is>
          <t>名古屋市千種区</t>
        </is>
      </c>
      <c r="D755" s="5" t="inlineStr">
        <is>
          <t>愛知高等学校</t>
        </is>
      </c>
      <c r="E755" s="6" t="inlineStr">
        <is>
          <t>052-721-1521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公式サイトに「代表」と記載。中高共通</t>
        </is>
      </c>
      <c r="N755" s="11" t="inlineStr">
        <is>
          <t>https://www.aichi-h.ed.jp/hs/access/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愛知県</t>
        </is>
      </c>
      <c r="C756" s="5" t="inlineStr">
        <is>
          <t>岡崎市</t>
        </is>
      </c>
      <c r="D756" s="5" t="inlineStr">
        <is>
          <t>愛知産業大学三河高等学校</t>
        </is>
      </c>
      <c r="E756" s="6" t="inlineStr">
        <is>
          <t>0564-48-5211</t>
        </is>
      </c>
      <c r="F756" s="7" t="inlineStr">
        <is>
          <t>高</t>
        </is>
      </c>
      <c r="G756" s="5" t="inlineStr">
        <is>
          <t>普通科・専門学科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全日制の番号（公式サイト）。通信制課程は0564-48-5230</t>
        </is>
      </c>
      <c r="N756" s="11" t="inlineStr">
        <is>
          <t>https://www.mikawa.ed.jp/introduction/information/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愛知県</t>
        </is>
      </c>
      <c r="C757" s="5" t="inlineStr">
        <is>
          <t>名古屋市千種区</t>
        </is>
      </c>
      <c r="D757" s="5" t="inlineStr">
        <is>
          <t>愛知淑徳高等学校</t>
        </is>
      </c>
      <c r="E757" s="6" t="inlineStr">
        <is>
          <t>052-781-1151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公式サイトで代表番号として確認。中高共通</t>
        </is>
      </c>
      <c r="N757" s="11" t="inlineStr">
        <is>
          <t>https://www.aichishukutoku-h.jp/contact/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愛知県</t>
        </is>
      </c>
      <c r="C758" s="5" t="inlineStr">
        <is>
          <t>名古屋市瑞穂区</t>
        </is>
      </c>
      <c r="D758" s="5" t="inlineStr">
        <is>
          <t>愛知みずほ大学瑞穂高等学校</t>
        </is>
      </c>
      <c r="E758" s="6" t="inlineStr">
        <is>
          <t>052-882-1811</t>
        </is>
      </c>
      <c r="F758" s="7" t="inlineStr">
        <is>
          <t>高</t>
        </is>
      </c>
      <c r="G758" s="5" t="inlineStr">
        <is>
          <t>普通科・専門学科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</t>
        </is>
      </c>
      <c r="N758" s="11" t="inlineStr">
        <is>
          <t>https://www.aichi-mizuho.ac.jp/mhs/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愛知県</t>
        </is>
      </c>
      <c r="C759" s="5" t="inlineStr">
        <is>
          <t>弥富市</t>
        </is>
      </c>
      <c r="D759" s="5" t="inlineStr">
        <is>
          <t>愛知黎明高等学校</t>
        </is>
      </c>
      <c r="E759" s="6" t="inlineStr">
        <is>
          <t>0567-68-2233</t>
        </is>
      </c>
      <c r="F759" s="7" t="inlineStr">
        <is>
          <t>高</t>
        </is>
      </c>
      <c r="G759" s="5" t="inlineStr">
        <is>
          <t>普通科・専門学科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複数サイトで一致、公式未確認。定時制あり</t>
        </is>
      </c>
      <c r="N759" s="11" t="inlineStr">
        <is>
          <t>https://www.mapion.co.jp/phonebook/M11004/23235/ILSP0000040620_ipclm/ ; https://school.js88.com/scl_h/22011520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愛知県</t>
        </is>
      </c>
      <c r="C760" s="5" t="inlineStr">
        <is>
          <t>安城市</t>
        </is>
      </c>
      <c r="D760" s="5" t="inlineStr">
        <is>
          <t>安城学園高等学校</t>
        </is>
      </c>
      <c r="E760" s="6" t="inlineStr">
        <is>
          <t>0566-76-5105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公式サイトで確認。法人本部（0566-77-7788）とは別</t>
        </is>
      </c>
      <c r="N760" s="11" t="inlineStr">
        <is>
          <t>https://www.angaku.jp/contact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愛知県</t>
        </is>
      </c>
      <c r="C761" s="5" t="inlineStr">
        <is>
          <t>長久手市</t>
        </is>
      </c>
      <c r="D761" s="5" t="inlineStr">
        <is>
          <t>栄徳高等学校</t>
        </is>
      </c>
      <c r="E761" s="6" t="inlineStr">
        <is>
          <t>0561-62-5000</t>
        </is>
      </c>
      <c r="F761" s="7" t="inlineStr">
        <is>
          <t>高</t>
        </is>
      </c>
      <c r="G761" s="5" t="inlineStr">
        <is>
          <t>普通科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公式サイトに「代表」と記載</t>
        </is>
      </c>
      <c r="N761" s="11" t="inlineStr">
        <is>
          <t>https://www.eitoku-h.ed.jp/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愛知県</t>
        </is>
      </c>
      <c r="C762" s="5" t="inlineStr">
        <is>
          <t>名古屋市昭和区</t>
        </is>
      </c>
      <c r="D762" s="5" t="inlineStr">
        <is>
          <t>桜花学園高等学校</t>
        </is>
      </c>
      <c r="E762" s="6" t="inlineStr">
        <is>
          <t>052-741-1221</t>
        </is>
      </c>
      <c r="F762" s="7" t="inlineStr">
        <is>
          <t>高</t>
        </is>
      </c>
      <c r="G762" s="5" t="inlineStr">
        <is>
          <t>普通科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https://ohka-hs.com/profile/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愛知県</t>
        </is>
      </c>
      <c r="C763" s="5" t="inlineStr">
        <is>
          <t>岡崎市</t>
        </is>
      </c>
      <c r="D763" s="5" t="inlineStr">
        <is>
          <t>岡崎城西高等学校</t>
        </is>
      </c>
      <c r="E763" s="6" t="inlineStr">
        <is>
          <t>0564-31-4165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公式サイトで確認（安城学園岡崎城西）</t>
        </is>
      </c>
      <c r="N763" s="11" t="inlineStr">
        <is>
          <t>https://www.johsei.jp/contact/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愛知県</t>
        </is>
      </c>
      <c r="C764" s="5" t="inlineStr">
        <is>
          <t>名古屋市守山区</t>
        </is>
      </c>
      <c r="D764" s="5" t="inlineStr">
        <is>
          <t>菊華高等学校</t>
        </is>
      </c>
      <c r="E764" s="6" t="inlineStr">
        <is>
          <t>052-791-8261</t>
        </is>
      </c>
      <c r="F764" s="7" t="inlineStr">
        <is>
          <t>高</t>
        </is>
      </c>
      <c r="G764" s="5" t="inlineStr">
        <is>
          <t>普通科・専門学科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全日制の本校の番号（公式サイト）</t>
        </is>
      </c>
      <c r="N764" s="11" t="inlineStr">
        <is>
          <t>https://kikuka.ed.jp/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愛知県</t>
        </is>
      </c>
      <c r="C765" s="5" t="inlineStr">
        <is>
          <t>名古屋市瑞穂区</t>
        </is>
      </c>
      <c r="D765" s="5" t="inlineStr">
        <is>
          <t>享栄高等学校</t>
        </is>
      </c>
      <c r="E765" s="6" t="inlineStr">
        <is>
          <t>052-841-8151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公式サイトに「代表」と記載</t>
        </is>
      </c>
      <c r="N765" s="11" t="inlineStr">
        <is>
          <t>https://www.kyoei-h.ed.jp/contact/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愛知県</t>
        </is>
      </c>
      <c r="C766" s="5" t="inlineStr">
        <is>
          <t>名古屋市東区</t>
        </is>
      </c>
      <c r="D766" s="5" t="inlineStr">
        <is>
          <t>金城学院高等学校</t>
        </is>
      </c>
      <c r="E766" s="6" t="inlineStr">
        <is>
          <t>052-931-6236</t>
        </is>
      </c>
      <c r="F766" s="7" t="inlineStr">
        <is>
          <t>高</t>
        </is>
      </c>
      <c r="G766" s="5" t="inlineStr">
        <is>
          <t>普通科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高校の番号（公式サイト）。中学校は052-931-0821、大学は別番号</t>
        </is>
      </c>
      <c r="N766" s="11" t="inlineStr">
        <is>
          <t>https://www.hs.kinjo-u.ac.jp/contact/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愛知県</t>
        </is>
      </c>
      <c r="C767" s="5" t="inlineStr">
        <is>
          <t>名古屋市西区</t>
        </is>
      </c>
      <c r="D767" s="5" t="inlineStr">
        <is>
          <t>啓明学館高等学校</t>
        </is>
      </c>
      <c r="E767" s="6" t="inlineStr">
        <is>
          <t>052-571-2561</t>
        </is>
      </c>
      <c r="F767" s="13" t="inlineStr">
        <is>
          <t>中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公式サイトの事務所の番号（「代表」の表記なし）。職員室は052-571-7366</t>
        </is>
      </c>
      <c r="N767" s="11" t="inlineStr">
        <is>
          <t>https://keimeigakkan-h.ed.jp/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愛知県</t>
        </is>
      </c>
      <c r="C768" s="5" t="inlineStr">
        <is>
          <t>豊橋市</t>
        </is>
      </c>
      <c r="D768" s="5" t="inlineStr">
        <is>
          <t>桜丘高等学校（愛知県）</t>
        </is>
      </c>
      <c r="E768" s="6" t="inlineStr">
        <is>
          <t>0570-039-396</t>
        </is>
      </c>
      <c r="F768" s="13" t="inlineStr">
        <is>
          <t>中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公式サイトのナビダイヤル（学園・高校共通、通話料がかかる番号）。旧番号0532-61-6421が一部サイトに残る</t>
        </is>
      </c>
      <c r="N768" s="11" t="inlineStr">
        <is>
          <t>https://www.sakuragaoka-gakuen.ed.jp/h/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愛知県</t>
        </is>
      </c>
      <c r="C769" s="5" t="inlineStr">
        <is>
          <t>名古屋市東区</t>
        </is>
      </c>
      <c r="D769" s="5" t="inlineStr">
        <is>
          <t>至学館高等学校</t>
        </is>
      </c>
      <c r="E769" s="6" t="inlineStr">
        <is>
          <t>052-723-0851</t>
        </is>
      </c>
      <c r="F769" s="7" t="inlineStr">
        <is>
          <t>高</t>
        </is>
      </c>
      <c r="G769" s="5" t="inlineStr">
        <is>
          <t>普通科・専門学科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公式サイトで確認</t>
        </is>
      </c>
      <c r="N769" s="11" t="inlineStr">
        <is>
          <t>https://www.shigakukan-h.ed.jp/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一宮市</t>
        </is>
      </c>
      <c r="D770" s="5" t="inlineStr">
        <is>
          <t>修文学院高等学校</t>
        </is>
      </c>
      <c r="E770" s="6" t="inlineStr">
        <is>
          <t>0586-45-2102</t>
        </is>
      </c>
      <c r="F770" s="7" t="inlineStr">
        <is>
          <t>高</t>
        </is>
      </c>
      <c r="G770" s="5" t="inlineStr">
        <is>
          <t>普通科・専門学科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公式サイトで確認。【校名変更】2022年に修文女子高校から改称・共学化</t>
        </is>
      </c>
      <c r="N770" s="11" t="inlineStr">
        <is>
          <t>https://www.gakuin-hs.shubun.ac.jp/contact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椙山女学園高等学校</t>
        </is>
      </c>
      <c r="E771" s="6" t="inlineStr">
        <is>
          <t>052-751-8131</t>
        </is>
      </c>
      <c r="F771" s="7" t="inlineStr">
        <is>
          <t>高</t>
        </is>
      </c>
      <c r="G771" s="5" t="inlineStr">
        <is>
          <t>普通科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https://www.sugiyama-u.ac.jp/high/index.html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瀬戸市</t>
        </is>
      </c>
      <c r="D772" s="5" t="inlineStr">
        <is>
          <t>聖カピタニオ女子高等学校</t>
        </is>
      </c>
      <c r="E772" s="6" t="inlineStr">
        <is>
          <t>0561-82-7711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公式サイトで確認</t>
        </is>
      </c>
      <c r="N772" s="11" t="inlineStr">
        <is>
          <t>https://www.st-capitanio.ed.jp/access/access.html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扶桑町</t>
        </is>
      </c>
      <c r="D773" s="5" t="inlineStr">
        <is>
          <t>誠信高等学校</t>
        </is>
      </c>
      <c r="E773" s="6" t="inlineStr">
        <is>
          <t>0587-93-5380</t>
        </is>
      </c>
      <c r="F773" s="7" t="inlineStr">
        <is>
          <t>高</t>
        </is>
      </c>
      <c r="G773" s="5" t="inlineStr">
        <is>
          <t>普通科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公式サイトに「代表」と記載。0587-93-8172はFAXなので注意</t>
        </is>
      </c>
      <c r="N773" s="11" t="inlineStr">
        <is>
          <t>https://www.a-seishin.ed.jp/contact/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豊明市</t>
        </is>
      </c>
      <c r="D774" s="5" t="inlineStr">
        <is>
          <t>星城高等学校</t>
        </is>
      </c>
      <c r="E774" s="6" t="inlineStr">
        <is>
          <t>0562-97-3111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公式サイトに「代表」と記載</t>
        </is>
      </c>
      <c r="N774" s="11" t="inlineStr">
        <is>
          <t>https://www.seijoh.ed.jp/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愛西市</t>
        </is>
      </c>
      <c r="D775" s="5" t="inlineStr">
        <is>
          <t>清林館高等学校</t>
        </is>
      </c>
      <c r="E775" s="6" t="inlineStr">
        <is>
          <t>0567-28-3010</t>
        </is>
      </c>
      <c r="F775" s="7" t="inlineStr">
        <is>
          <t>高</t>
        </is>
      </c>
      <c r="G775" s="5" t="inlineStr">
        <is>
          <t>普通科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https://www.seirinkan.ed.jp/high/access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瀬戸市</t>
        </is>
      </c>
      <c r="D776" s="5" t="inlineStr">
        <is>
          <t>聖霊高等学校</t>
        </is>
      </c>
      <c r="E776" s="6" t="inlineStr">
        <is>
          <t>0561-21-3121</t>
        </is>
      </c>
      <c r="F776" s="7" t="inlineStr">
        <is>
          <t>高</t>
        </is>
      </c>
      <c r="G776" s="5" t="inlineStr">
        <is>
          <t>普通科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公式サイトで確認。中高共通</t>
        </is>
      </c>
      <c r="N776" s="11" t="inlineStr">
        <is>
          <t>https://www.seto-seirei-js.ed.jp/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一宮市</t>
        </is>
      </c>
      <c r="D777" s="5" t="inlineStr">
        <is>
          <t>大成高等学校（愛知県）</t>
        </is>
      </c>
      <c r="E777" s="6" t="inlineStr">
        <is>
          <t>0586-77-9900</t>
        </is>
      </c>
      <c r="F777" s="7" t="inlineStr">
        <is>
          <t>高</t>
        </is>
      </c>
      <c r="G777" s="5" t="inlineStr">
        <is>
          <t>普通科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公式サイトと一宮市のサイトで一致</t>
        </is>
      </c>
      <c r="N777" s="11" t="inlineStr">
        <is>
          <t>https://www.aichi-shinwa-taisei.ed.jp/high/ ; https://www.city.ichinomiya.aichi.jp/shisetsu/hoikugakko/1008935/1009298.html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江南市</t>
        </is>
      </c>
      <c r="D778" s="5" t="inlineStr">
        <is>
          <t>滝高等学校</t>
        </is>
      </c>
      <c r="E778" s="6" t="inlineStr">
        <is>
          <t>0587-56-2127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公式サイトで確認</t>
        </is>
      </c>
      <c r="N778" s="11" t="inlineStr">
        <is>
          <t>https://www.taki-hj.ac.jp/guide/access.html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名古屋市南区</t>
        </is>
      </c>
      <c r="D779" s="5" t="inlineStr">
        <is>
          <t>大同大学大同高等学校</t>
        </is>
      </c>
      <c r="E779" s="6" t="inlineStr">
        <is>
          <t>052-611-0511</t>
        </is>
      </c>
      <c r="F779" s="7" t="inlineStr">
        <is>
          <t>高</t>
        </is>
      </c>
      <c r="G779" s="5" t="inlineStr">
        <is>
          <t>普通科・専門学科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公式サイトに「代表」と記載</t>
        </is>
      </c>
      <c r="N779" s="11" t="inlineStr">
        <is>
          <t>https://www.daido-h.ed.jp/access/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名古屋市昭和区</t>
        </is>
      </c>
      <c r="D780" s="5" t="inlineStr">
        <is>
          <t>中京大学附属中京高等学校</t>
        </is>
      </c>
      <c r="E780" s="6" t="inlineStr">
        <is>
          <t>052-761-5311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公式サイトに「代表」と記載。通信制課程も同じ番号</t>
        </is>
      </c>
      <c r="N780" s="11" t="inlineStr">
        <is>
          <t>https://www.chukyo.ed.jp/contact/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日進市</t>
        </is>
      </c>
      <c r="D781" s="5" t="inlineStr">
        <is>
          <t>中部大学第一高等学校</t>
        </is>
      </c>
      <c r="E781" s="6" t="inlineStr">
        <is>
          <t>0561-73-8111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2つのサイトで一致、公式未確認</t>
        </is>
      </c>
      <c r="N781" s="11" t="inlineStr">
        <is>
          <t>https://www.mapion.co.jp/phonebook/M11004/23230/ILSP0000041881_ipclm/ ; https://www.gakkou.net/kou/view/index_303623.html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春日井市</t>
        </is>
      </c>
      <c r="D782" s="5" t="inlineStr">
        <is>
          <t>中部大学春日丘高等学校</t>
        </is>
      </c>
      <c r="E782" s="6" t="inlineStr">
        <is>
          <t>0568-51-1131</t>
        </is>
      </c>
      <c r="F782" s="7" t="inlineStr">
        <is>
          <t>高</t>
        </is>
      </c>
      <c r="G782" s="5" t="inlineStr">
        <is>
          <t>普通科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公式サイトで確認。中学校は0568-51-1115</t>
        </is>
      </c>
      <c r="N782" s="11" t="inlineStr">
        <is>
          <t>https://www.haruhigaoka.ed.jp/senior/ ; https://www.city.kasugai.lg.jp/shisei/shisetsu/kosodate/1010552/1010560.html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新城市</t>
        </is>
      </c>
      <c r="D783" s="5" t="inlineStr">
        <is>
          <t>黄柳野高等学校</t>
        </is>
      </c>
      <c r="E783" s="6" t="inlineStr">
        <is>
          <t>0536-34-0330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複数サイトで一致、公式未確認</t>
        </is>
      </c>
      <c r="N783" s="11" t="inlineStr">
        <is>
          <t>https://www.mapion.co.jp/phonebook/M11004/23221/ILSP0000041060_ipclm/ ; https://www.navitime.co.jp/poi?spot=00004-23108700184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名古屋市天白区</t>
        </is>
      </c>
      <c r="D784" s="5" t="inlineStr">
        <is>
          <t>東海学園高等学校</t>
        </is>
      </c>
      <c r="E784" s="6" t="inlineStr">
        <is>
          <t>052-801-6222</t>
        </is>
      </c>
      <c r="F784" s="7" t="inlineStr">
        <is>
          <t>高</t>
        </is>
      </c>
      <c r="G784" s="5" t="inlineStr">
        <is>
          <t>普通科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公式サイトで確認。東海高校（東区）とは別の学校</t>
        </is>
      </c>
      <c r="N784" s="11" t="inlineStr">
        <is>
          <t>https://tokaigakuen.ed.jp/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名古屋市東区</t>
        </is>
      </c>
      <c r="D785" s="5" t="inlineStr">
        <is>
          <t>東海高等学校</t>
        </is>
      </c>
      <c r="E785" s="6" t="inlineStr">
        <is>
          <t>052-936-5111</t>
        </is>
      </c>
      <c r="F785" s="7" t="inlineStr">
        <is>
          <t>高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中高共通の代表（事務所）。高校の直通は052-936-5112。東海学園（天白区）とは別の学校</t>
        </is>
      </c>
      <c r="N785" s="11" t="inlineStr">
        <is>
          <t>https://www.tokai-jh.ed.jp/profile/06.html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名古屋市名東区</t>
        </is>
      </c>
      <c r="D786" s="5" t="inlineStr">
        <is>
          <t>東邦高等学校</t>
        </is>
      </c>
      <c r="E786" s="6" t="inlineStr">
        <is>
          <t>052-782-1171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公式サイトに「代表」と記載。052-782-1241は愛知東邦大学の番号</t>
        </is>
      </c>
      <c r="N786" s="11" t="inlineStr">
        <is>
          <t>https://www.toho-h.ed.jp/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豊田市</t>
        </is>
      </c>
      <c r="D787" s="5" t="inlineStr">
        <is>
          <t>杜若高等学校</t>
        </is>
      </c>
      <c r="E787" s="6" t="inlineStr">
        <is>
          <t>0565-45-5000</t>
        </is>
      </c>
      <c r="F787" s="7" t="inlineStr">
        <is>
          <t>高</t>
        </is>
      </c>
      <c r="G787" s="5" t="inlineStr">
        <is>
          <t>普通科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</t>
        </is>
      </c>
      <c r="N787" s="11" t="inlineStr">
        <is>
          <t>https://www.tojaku-h.ed.jp/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豊川市</t>
        </is>
      </c>
      <c r="D788" s="5" t="inlineStr">
        <is>
          <t>豊川高等学校</t>
        </is>
      </c>
      <c r="E788" s="6" t="inlineStr">
        <is>
          <t>0533-86-4121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公式サイトに「学校代表」と記載</t>
        </is>
      </c>
      <c r="N788" s="11" t="inlineStr">
        <is>
          <t>https://toyokawa.ed.jp/contact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豊田市</t>
        </is>
      </c>
      <c r="D789" s="5" t="inlineStr">
        <is>
          <t>豊田大谷高等学校</t>
        </is>
      </c>
      <c r="E789" s="6" t="inlineStr">
        <is>
          <t>0565-48-3511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2つのサイトで一致（代表として掲載）、公式未確認</t>
        </is>
      </c>
      <c r="N789" s="11" t="inlineStr">
        <is>
          <t>https://www.navita.co.jp/s/11101207/ ; https://www.mapion.co.jp/phonebook/M11004/23211/ILSP0000041953_ipclm/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豊橋市</t>
        </is>
      </c>
      <c r="D790" s="5" t="inlineStr">
        <is>
          <t>豊橋中央高等学校</t>
        </is>
      </c>
      <c r="E790" s="6" t="inlineStr">
        <is>
          <t>0532-54-1301</t>
        </is>
      </c>
      <c r="F790" s="7" t="inlineStr">
        <is>
          <t>高</t>
        </is>
      </c>
      <c r="G790" s="5" t="inlineStr">
        <is>
          <t>普通科・専門学科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公式サイトで確認</t>
        </is>
      </c>
      <c r="N790" s="11" t="inlineStr">
        <is>
          <t>https://toyohashi-chuo.ed.jp/?page_id=53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名古屋市中村区</t>
        </is>
      </c>
      <c r="D791" s="5" t="inlineStr">
        <is>
          <t>同朋高等学校</t>
        </is>
      </c>
      <c r="E791" s="6" t="inlineStr">
        <is>
          <t>052-411-1159</t>
        </is>
      </c>
      <c r="F791" s="13" t="inlineStr">
        <is>
          <t>中</t>
        </is>
      </c>
      <c r="G791" s="5" t="inlineStr">
        <is>
          <t>普通科・専門学科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公式サイトの職員室の番号。入試広報室は052-411-1216。ほかの番号を載せるサイトもあり</t>
        </is>
      </c>
      <c r="N791" s="11" t="inlineStr">
        <is>
          <t>https://www.doho-h.ed.jp/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名古屋市瑞穂区</t>
        </is>
      </c>
      <c r="D792" s="5" t="inlineStr">
        <is>
          <t>名古屋葵大学高等学校</t>
        </is>
      </c>
      <c r="E792" s="6" t="inlineStr">
        <is>
          <t>052-841-8181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公式サイトで確認。中高共通。【校名変更】2025年4月に名古屋女子大学高校から改称</t>
        </is>
      </c>
      <c r="N792" s="11" t="inlineStr">
        <is>
          <t>https://www.nagoya-aoi.ed.jp/contact/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名古屋市瑞穂区</t>
        </is>
      </c>
      <c r="D793" s="5" t="inlineStr">
        <is>
          <t>名古屋大谷高等学校</t>
        </is>
      </c>
      <c r="E793" s="6" t="inlineStr">
        <is>
          <t>052-852-1121</t>
        </is>
      </c>
      <c r="F793" s="7" t="inlineStr">
        <is>
          <t>高</t>
        </is>
      </c>
      <c r="G793" s="5" t="inlineStr">
        <is>
          <t>普通科・専門学科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</t>
        </is>
      </c>
      <c r="N793" s="11" t="inlineStr">
        <is>
          <t>https://nagoyaotani.owari.ac.jp/access/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名古屋市千種区</t>
        </is>
      </c>
      <c r="D794" s="5" t="inlineStr">
        <is>
          <t>名古屋経済大学市邨高等学校</t>
        </is>
      </c>
      <c r="E794" s="6" t="inlineStr">
        <is>
          <t>052-721-0161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公式資料に「代表」と記載</t>
        </is>
      </c>
      <c r="N794" s="11" t="inlineStr">
        <is>
          <t>https://ichimura.ed.jp/access/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名古屋市瑞穂区</t>
        </is>
      </c>
      <c r="D795" s="5" t="inlineStr">
        <is>
          <t>名古屋経済大学高蔵高等学校</t>
        </is>
      </c>
      <c r="E795" s="6" t="inlineStr">
        <is>
          <t>052-853-0050</t>
        </is>
      </c>
      <c r="F795" s="7" t="inlineStr">
        <is>
          <t>高</t>
        </is>
      </c>
      <c r="G795" s="5" t="inlineStr">
        <is>
          <t>普通科・専門学科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公式サイトで確認。中高共通</t>
        </is>
      </c>
      <c r="N795" s="11" t="inlineStr">
        <is>
          <t>https://www.takakura-hj.info/access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名古屋市昭和区</t>
        </is>
      </c>
      <c r="D796" s="5" t="inlineStr">
        <is>
          <t>名古屋工業高等学校</t>
        </is>
      </c>
      <c r="E796" s="6" t="inlineStr">
        <is>
          <t>052-871-2681</t>
        </is>
      </c>
      <c r="F796" s="7" t="inlineStr">
        <is>
          <t>高</t>
        </is>
      </c>
      <c r="G796" s="5" t="inlineStr">
        <is>
          <t>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公式サイトと愛知県私学協会の資料で一致（私立）</t>
        </is>
      </c>
      <c r="N796" s="11" t="inlineStr">
        <is>
          <t>https://nagoya-th.ed.jp/ ; https://www.aichi-shigaku.gr.jp/guidebook2025/pageindices/index68.html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名古屋市東区</t>
        </is>
      </c>
      <c r="D797" s="5" t="inlineStr">
        <is>
          <t>名古屋高等学校</t>
        </is>
      </c>
      <c r="E797" s="6" t="inlineStr">
        <is>
          <t>052-721-5271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公式サイトで確認。052-722-2835は同窓会の番号</t>
        </is>
      </c>
      <c r="N797" s="11" t="inlineStr">
        <is>
          <t>https://www.meigaku.ac.jp/access/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名古屋市昭和区</t>
        </is>
      </c>
      <c r="D798" s="5" t="inlineStr">
        <is>
          <t>名古屋国際高等学校</t>
        </is>
      </c>
      <c r="E798" s="6" t="inlineStr">
        <is>
          <t>052-858-2200</t>
        </is>
      </c>
      <c r="F798" s="13" t="inlineStr">
        <is>
          <t>中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中高代表として掲載。高校の番号として052-853-5151を載せるサイトもあり食い違い</t>
        </is>
      </c>
      <c r="N798" s="11" t="inlineStr">
        <is>
          <t>https://www.unesco-school.mext.go.jp/schools/list/nagoya-international-junior-senior-high-school/ ; https://www.aichi.sc/gakkou/kokusai/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名古屋市中区</t>
        </is>
      </c>
      <c r="D799" s="5" t="inlineStr">
        <is>
          <t>名古屋たちばな高等学校</t>
        </is>
      </c>
      <c r="E799" s="6" t="inlineStr">
        <is>
          <t>052-322-1911</t>
        </is>
      </c>
      <c r="F799" s="7" t="inlineStr">
        <is>
          <t>高</t>
        </is>
      </c>
      <c r="G799" s="5" t="inlineStr">
        <is>
          <t>専門学科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</t>
        </is>
      </c>
      <c r="N799" s="11" t="inlineStr">
        <is>
          <t>https://tachibana-hs.ed.jp/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名古屋市昭和区</t>
        </is>
      </c>
      <c r="D800" s="5" t="inlineStr">
        <is>
          <t>南山高等学校 女子部</t>
        </is>
      </c>
      <c r="E800" s="6" t="inlineStr">
        <is>
          <t>052-831-0704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公式サイトで確認。中高共通。男子部とは別番号</t>
        </is>
      </c>
      <c r="N800" s="11" t="inlineStr">
        <is>
          <t>https://www.nanzan-girls.ed.jp/access.html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名古屋市昭和区</t>
        </is>
      </c>
      <c r="D801" s="5" t="inlineStr">
        <is>
          <t>南山高等学校 男子部</t>
        </is>
      </c>
      <c r="E801" s="6" t="inlineStr">
        <is>
          <t>052-831-6455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公式サイトで確認。女子部とは別番号</t>
        </is>
      </c>
      <c r="N801" s="11" t="inlineStr">
        <is>
          <t>https://www.nanzan-boys.ed.jp/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美浜町</t>
        </is>
      </c>
      <c r="D802" s="5" t="inlineStr">
        <is>
          <t>日本福祉大学付属高等学校</t>
        </is>
      </c>
      <c r="E802" s="6" t="inlineStr">
        <is>
          <t>0569-87-2311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公式サイトで確認。大学の代表（0569-87-2211）とは別</t>
        </is>
      </c>
      <c r="N802" s="11" t="inlineStr">
        <is>
          <t>https://www.n-fukushi.ac.jp/koukou/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岡崎市</t>
        </is>
      </c>
      <c r="D803" s="5" t="inlineStr">
        <is>
          <t>人間環境大学附属岡崎高等学校</t>
        </is>
      </c>
      <c r="E803" s="6" t="inlineStr">
        <is>
          <t>0564-22-0274</t>
        </is>
      </c>
      <c r="F803" s="7" t="inlineStr">
        <is>
          <t>高</t>
        </is>
      </c>
      <c r="G803" s="5" t="inlineStr">
        <is>
          <t>普通科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公式サイトで確認。2022年に旧校名から改称</t>
        </is>
      </c>
      <c r="N803" s="11" t="inlineStr">
        <is>
          <t>https://www.jinkan-okazaki.ed.jp/about/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岡崎市</t>
        </is>
      </c>
      <c r="D804" s="5" t="inlineStr">
        <is>
          <t>光ヶ丘女子高等学校</t>
        </is>
      </c>
      <c r="E804" s="6" t="inlineStr">
        <is>
          <t>0564-51-5651</t>
        </is>
      </c>
      <c r="F804" s="7" t="inlineStr">
        <is>
          <t>高</t>
        </is>
      </c>
      <c r="G804" s="5" t="inlineStr">
        <is>
          <t>普通科・専門学科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https://hikarigaoka-h.ed.jp/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豊橋市</t>
        </is>
      </c>
      <c r="D805" s="5" t="inlineStr">
        <is>
          <t>藤ノ花女子高等学校</t>
        </is>
      </c>
      <c r="E805" s="6" t="inlineStr">
        <is>
          <t>0532-61-5468</t>
        </is>
      </c>
      <c r="F805" s="7" t="inlineStr">
        <is>
          <t>高</t>
        </is>
      </c>
      <c r="G805" s="5" t="inlineStr">
        <is>
          <t>普通科・専門学科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公式サイトで確認</t>
        </is>
      </c>
      <c r="N805" s="11" t="inlineStr">
        <is>
          <t>https://www.fujinohana-h.ed.jp/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小牧市</t>
        </is>
      </c>
      <c r="D806" s="5" t="inlineStr">
        <is>
          <t>誉高等学校</t>
        </is>
      </c>
      <c r="E806" s="6" t="inlineStr">
        <is>
          <t>0568-79-7700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小牧市のサイトほかで一致、公式未確認</t>
        </is>
      </c>
      <c r="N806" s="11" t="inlineStr">
        <is>
          <t>https://www.mapion.co.jp/phonebook/M11004/23219/ILSP0000041861_ipclm/ ; https://www.city.komaki.aichi.jp/admin/soshiki/fumei/highscool/4872.html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名古屋市中村区</t>
        </is>
      </c>
      <c r="D807" s="5" t="inlineStr">
        <is>
          <t>名城大学附属高等学校</t>
        </is>
      </c>
      <c r="E807" s="6" t="inlineStr">
        <is>
          <t>052-481-7436</t>
        </is>
      </c>
      <c r="F807" s="7" t="inlineStr">
        <is>
          <t>高</t>
        </is>
      </c>
      <c r="G807" s="5" t="inlineStr">
        <is>
          <t>普通科・総合学科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https://www.meijo-h.ed.jp/profile/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三重県</t>
        </is>
      </c>
      <c r="C808" s="5" t="inlineStr">
        <is>
          <t>伊賀市</t>
        </is>
      </c>
      <c r="D808" s="5" t="inlineStr">
        <is>
          <t>愛農学園農業高等学校</t>
        </is>
      </c>
      <c r="E808" s="6" t="inlineStr">
        <is>
          <t>0595-52-0327</t>
        </is>
      </c>
      <c r="F808" s="7" t="inlineStr">
        <is>
          <t>高</t>
        </is>
      </c>
      <c r="G808" s="5" t="inlineStr">
        <is>
          <t>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公式サイトほかで一致</t>
        </is>
      </c>
      <c r="N808" s="11" t="inlineStr">
        <is>
          <t>https://ainogakuen.ed.jp/ ; https://www.mapion.co.jp/phonebook/M11004/24216/ILSP0000041735_ipclm/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三重県</t>
        </is>
      </c>
      <c r="C809" s="5" t="inlineStr">
        <is>
          <t>津市</t>
        </is>
      </c>
      <c r="D809" s="5" t="inlineStr">
        <is>
          <t>青山高等学校（三重県）</t>
        </is>
      </c>
      <c r="E809" s="6" t="inlineStr">
        <is>
          <t>059-262-4321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公式サイトに「代表」と記載</t>
        </is>
      </c>
      <c r="N809" s="11" t="inlineStr">
        <is>
          <t>https://aoyama-h.ed.jp/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三重県</t>
        </is>
      </c>
      <c r="C810" s="5" t="inlineStr">
        <is>
          <t>四日市市</t>
        </is>
      </c>
      <c r="D810" s="5" t="inlineStr">
        <is>
          <t>暁高等学校</t>
        </is>
      </c>
      <c r="E810" s="6" t="inlineStr">
        <is>
          <t>059-337-2347</t>
        </is>
      </c>
      <c r="F810" s="13" t="inlineStr">
        <is>
          <t>中</t>
        </is>
      </c>
      <c r="G810" s="5" t="inlineStr">
        <is>
          <t>普通科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公式サイトの3年制課程の番号（「代表」の表記なし）。中高一貫（6年制）は059-337-1213。059-337-2345を載せるサイトもあり</t>
        </is>
      </c>
      <c r="N810" s="11" t="inlineStr">
        <is>
          <t>https://www.akatsuki.ed.jp/akatsuki-h/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三重県</t>
        </is>
      </c>
      <c r="C811" s="5" t="inlineStr">
        <is>
          <t>伊勢市</t>
        </is>
      </c>
      <c r="D811" s="5" t="inlineStr">
        <is>
          <t>伊勢学園高等学校</t>
        </is>
      </c>
      <c r="E811" s="6" t="inlineStr">
        <is>
          <t>0596-22-4155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公式サイトで確認。0596-22-4836は法人事務局の番号</t>
        </is>
      </c>
      <c r="N811" s="11" t="inlineStr">
        <is>
          <t>https://www.isegakuen.ac.jp/contact.html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三重県</t>
        </is>
      </c>
      <c r="C812" s="5" t="inlineStr">
        <is>
          <t>伊勢市</t>
        </is>
      </c>
      <c r="D812" s="5" t="inlineStr">
        <is>
          <t>英心高等学校</t>
        </is>
      </c>
      <c r="E812" s="6" t="inlineStr">
        <is>
          <t>0596-28-2077</t>
        </is>
      </c>
      <c r="F812" s="7" t="inlineStr">
        <is>
          <t>高</t>
        </is>
      </c>
      <c r="G812" s="5" t="inlineStr">
        <is>
          <t>普通科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通信制。伊勢本校の番号（公式サイト）。桔梗が丘校は0595-41-1267</t>
        </is>
      </c>
      <c r="N812" s="11" t="inlineStr">
        <is>
          <t>https://www.ckip.jp/eishin/infomations/contact ; https://www.mapion.co.jp/phonebook/M11004/24203/ILSP0060149148_ipclm/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三重県</t>
        </is>
      </c>
      <c r="C813" s="5" t="inlineStr">
        <is>
          <t>四日市市</t>
        </is>
      </c>
      <c r="D813" s="5" t="inlineStr">
        <is>
          <t>大橋学園高等学校</t>
        </is>
      </c>
      <c r="E813" s="6" t="inlineStr">
        <is>
          <t>059-348-4800</t>
        </is>
      </c>
      <c r="F813" s="7" t="inlineStr">
        <is>
          <t>高</t>
        </is>
      </c>
      <c r="G813" s="5" t="inlineStr">
        <is>
          <t>普通科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通信制。公式サイトで確認。旧所在地の番号059-354-1357は使わない</t>
        </is>
      </c>
      <c r="N813" s="11" t="inlineStr">
        <is>
          <t>https://www.ohashigh.ed.jp/school_info/access/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三重県</t>
        </is>
      </c>
      <c r="C814" s="5" t="inlineStr">
        <is>
          <t>四日市市</t>
        </is>
      </c>
      <c r="D814" s="5" t="inlineStr">
        <is>
          <t>海星高等学校（三重県）</t>
        </is>
      </c>
      <c r="E814" s="6" t="inlineStr">
        <is>
          <t>059-345-0036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公式サイトで確認。中高共通</t>
        </is>
      </c>
      <c r="N814" s="11" t="inlineStr">
        <is>
          <t>https://www.kaisei.ed.jp/access/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三重県</t>
        </is>
      </c>
      <c r="C815" s="5" t="inlineStr">
        <is>
          <t>伊賀市</t>
        </is>
      </c>
      <c r="D815" s="5" t="inlineStr">
        <is>
          <t>神村学園高等部 伊賀分校</t>
        </is>
      </c>
      <c r="E815" s="6" t="inlineStr">
        <is>
          <t>0595-41-1234</t>
        </is>
      </c>
      <c r="F815" s="7" t="inlineStr">
        <is>
          <t>高</t>
        </is>
      </c>
      <c r="G815" s="5" t="inlineStr">
        <is>
          <t>普通科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公式サイトで確認（伊賀分校）。0595-53-1190を載せるサイトは旧番号の可能性</t>
        </is>
      </c>
      <c r="N815" s="11" t="inlineStr">
        <is>
          <t>https://angel.kamimura.ac.jp/koiki/iga/access/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三重県</t>
        </is>
      </c>
      <c r="C816" s="5" t="inlineStr">
        <is>
          <t>伊勢市</t>
        </is>
      </c>
      <c r="D816" s="5" t="inlineStr">
        <is>
          <t>皇學館高等学校</t>
        </is>
      </c>
      <c r="E816" s="6" t="inlineStr">
        <is>
          <t>0596-22-0205</t>
        </is>
      </c>
      <c r="F816" s="7" t="inlineStr">
        <is>
          <t>高</t>
        </is>
      </c>
      <c r="G816" s="5" t="inlineStr">
        <is>
          <t>普通科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https://www.kogakkan-h.jp/access/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三重県</t>
        </is>
      </c>
      <c r="C817" s="5" t="inlineStr">
        <is>
          <t>伊賀市</t>
        </is>
      </c>
      <c r="D817" s="5" t="inlineStr">
        <is>
          <t>桜丘高等学校（三重県）</t>
        </is>
      </c>
      <c r="E817" s="6" t="inlineStr">
        <is>
          <t>0595-38-1201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</t>
        </is>
      </c>
      <c r="N817" s="11" t="inlineStr">
        <is>
          <t>https://sakura-gaoka.ed.jp/ ; https://school.js88.com/scl_h/22012400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三重県</t>
        </is>
      </c>
      <c r="C818" s="5" t="inlineStr">
        <is>
          <t>鈴鹿市</t>
        </is>
      </c>
      <c r="D818" s="5" t="inlineStr">
        <is>
          <t>鈴鹿高等学校</t>
        </is>
      </c>
      <c r="E818" s="6" t="inlineStr">
        <is>
          <t>059-378-0307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</t>
        </is>
      </c>
      <c r="N818" s="11" t="inlineStr">
        <is>
          <t>https://suzukakyoei.ed.jp/suzukah/page06_00/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三重県</t>
        </is>
      </c>
      <c r="C819" s="5" t="inlineStr">
        <is>
          <t>津市</t>
        </is>
      </c>
      <c r="D819" s="5" t="inlineStr">
        <is>
          <t>セントヨゼフ女子学園高等学校</t>
        </is>
      </c>
      <c r="E819" s="6" t="inlineStr">
        <is>
          <t>059-227-6465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公式サイトで確認。中高共通</t>
        </is>
      </c>
      <c r="N819" s="11" t="inlineStr">
        <is>
          <t>https://sjjg.ac.jp/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三重県</t>
        </is>
      </c>
      <c r="C820" s="5" t="inlineStr">
        <is>
          <t>津市</t>
        </is>
      </c>
      <c r="D820" s="5" t="inlineStr">
        <is>
          <t>高田高等学校</t>
        </is>
      </c>
      <c r="E820" s="6" t="inlineStr">
        <is>
          <t>059-232-2004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公式サイトで確認。中高共通。学苑本部（059-231-0367）とは別</t>
        </is>
      </c>
      <c r="N820" s="11" t="inlineStr">
        <is>
          <t>https://www.mie-takada-hj.ed.jp/hj4/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三重県</t>
        </is>
      </c>
      <c r="C821" s="5" t="inlineStr">
        <is>
          <t>桑名市</t>
        </is>
      </c>
      <c r="D821" s="5" t="inlineStr">
        <is>
          <t>津田学園高等学校</t>
        </is>
      </c>
      <c r="E821" s="6" t="inlineStr">
        <is>
          <t>0594-31-6311</t>
        </is>
      </c>
      <c r="F821" s="7" t="inlineStr">
        <is>
          <t>高</t>
        </is>
      </c>
      <c r="G821" s="5" t="inlineStr">
        <is>
          <t>普通科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公式サイトで確認。中高共通</t>
        </is>
      </c>
      <c r="N821" s="11" t="inlineStr">
        <is>
          <t>https://tsudagakuen.ac.jp/access.html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三重県</t>
        </is>
      </c>
      <c r="C822" s="5" t="inlineStr">
        <is>
          <t>亀山市</t>
        </is>
      </c>
      <c r="D822" s="5" t="inlineStr">
        <is>
          <t>徳風高等学校</t>
        </is>
      </c>
      <c r="E822" s="6" t="inlineStr">
        <is>
          <t>0595-82-3561</t>
        </is>
      </c>
      <c r="F822" s="7" t="inlineStr">
        <is>
          <t>高</t>
        </is>
      </c>
      <c r="G822" s="5" t="inlineStr">
        <is>
          <t>普通科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通信制。公式サイトで確認（徳風技能専門学校と共通）</t>
        </is>
      </c>
      <c r="N822" s="11" t="inlineStr">
        <is>
          <t>https://mietokufu.ed.jp/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三重県</t>
        </is>
      </c>
      <c r="C823" s="5" t="inlineStr">
        <is>
          <t>松阪市</t>
        </is>
      </c>
      <c r="D823" s="5" t="inlineStr">
        <is>
          <t>三重高等学校</t>
        </is>
      </c>
      <c r="E823" s="6" t="inlineStr">
        <is>
          <t>0598-29-2959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公式サイトと三重県のサイトで一致</t>
        </is>
      </c>
      <c r="N823" s="11" t="inlineStr">
        <is>
          <t>https://www.mie-mie-h.ed.jp/high/ ; https://www.pref.mie.lg.jp/SIGAKU/HP/shigaku/20490021350.htm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三重県</t>
        </is>
      </c>
      <c r="C824" s="5" t="inlineStr">
        <is>
          <t>四日市市</t>
        </is>
      </c>
      <c r="D824" s="5" t="inlineStr">
        <is>
          <t>四日市メリノール学院高等学校</t>
        </is>
      </c>
      <c r="E824" s="6" t="inlineStr">
        <is>
          <t>059-326-0067</t>
        </is>
      </c>
      <c r="F824" s="7" t="inlineStr">
        <is>
          <t>高</t>
        </is>
      </c>
      <c r="G824" s="5" t="inlineStr">
        <is>
          <t>普通科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公式サイトで確認（中高共通の事務室）</t>
        </is>
      </c>
      <c r="N824" s="11" t="inlineStr">
        <is>
          <t>https://maryknoll.ed.jp/contact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志摩市</t>
        </is>
      </c>
      <c r="D825" s="5" t="inlineStr">
        <is>
          <t>代々木高等学校</t>
        </is>
      </c>
      <c r="E825" s="6" t="inlineStr">
        <is>
          <t>0599-56-0772</t>
        </is>
      </c>
      <c r="F825" s="13" t="inlineStr">
        <is>
          <t>中</t>
        </is>
      </c>
      <c r="G825" s="5" t="inlineStr">
        <is>
          <t>普通科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広域通信制。志摩の本校。公式の問い合わせページの番号。0599-56-0770を載せる公式ページもあり、どちらが代表か不明</t>
        </is>
      </c>
      <c r="N825" s="11" t="inlineStr">
        <is>
          <t>https://yoyogi.ed.jp/otoiawasetel/</t>
        </is>
      </c>
      <c r="O825" s="12" t="inlineStr">
        <is>
          <t>開く</t>
        </is>
      </c>
    </row>
  </sheetData>
  <autoFilter ref="A4:O825"/>
  <conditionalFormatting sqref="A5:O825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825" showDropDown="0" showInputMessage="0" showErrorMessage="0" allowBlank="1" type="list">
      <formula1>"未架電,不在・折返し待ち,担当者不在,資料送付,アポ獲得,検討中,NG,番号不明"</formula1>
    </dataValidation>
    <dataValidation sqref="H5:H825 K5:K825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COUNTIF('架電リスト'!$B$5:$B$825,A4)</f>
        <v/>
      </c>
      <c r="C4" s="16">
        <f>COUNTIFS('架電リスト'!$B$5:$B$825,A4,'架電リスト'!$E$5:$E$825,"&lt;&gt;")</f>
        <v/>
      </c>
      <c r="D4" s="16">
        <f>B4-COUNTIFS('架電リスト'!$B$5:$B$825,A4,'架電リスト'!$J$5:$J$825,"未架電")-COUNTIFS('架電リスト'!$B$5:$B$825,A4,'架電リスト'!$J$5:$J$825,"")</f>
        <v/>
      </c>
      <c r="E4" s="16">
        <f>COUNTIFS('架電リスト'!$B$5:$B$825,$A4,'架電リスト'!$J$5:$J$825,"不在・折返し待ち")</f>
        <v/>
      </c>
      <c r="F4" s="16">
        <f>COUNTIFS('架電リスト'!$B$5:$B$825,$A4,'架電リスト'!$J$5:$J$825,"担当者不在")</f>
        <v/>
      </c>
      <c r="G4" s="16">
        <f>COUNTIFS('架電リスト'!$B$5:$B$825,$A4,'架電リスト'!$J$5:$J$825,"資料送付")</f>
        <v/>
      </c>
      <c r="H4" s="16">
        <f>COUNTIFS('架電リスト'!$B$5:$B$825,$A4,'架電リスト'!$J$5:$J$825,"アポ獲得")</f>
        <v/>
      </c>
      <c r="I4" s="16">
        <f>COUNTIFS('架電リスト'!$B$5:$B$825,$A4,'架電リスト'!$J$5:$J$825,"検討中")</f>
        <v/>
      </c>
      <c r="J4" s="16">
        <f>COUNTIFS('架電リスト'!$B$5:$B$825,$A4,'架電リスト'!$J$5:$J$825,"NG")</f>
        <v/>
      </c>
      <c r="K4" s="16">
        <f>COUNTIFS('架電リスト'!$B$5:$B$825,$A4,'架電リスト'!$J$5:$J$825,"番号不明")</f>
        <v/>
      </c>
    </row>
    <row r="5">
      <c r="A5" s="16" t="inlineStr">
        <is>
          <t>青森県</t>
        </is>
      </c>
      <c r="B5" s="16">
        <f>COUNTIF('架電リスト'!$B$5:$B$825,A5)</f>
        <v/>
      </c>
      <c r="C5" s="16">
        <f>COUNTIFS('架電リスト'!$B$5:$B$825,A5,'架電リスト'!$E$5:$E$825,"&lt;&gt;")</f>
        <v/>
      </c>
      <c r="D5" s="16">
        <f>B5-COUNTIFS('架電リスト'!$B$5:$B$825,A5,'架電リスト'!$J$5:$J$825,"未架電")-COUNTIFS('架電リスト'!$B$5:$B$825,A5,'架電リスト'!$J$5:$J$825,"")</f>
        <v/>
      </c>
      <c r="E5" s="16">
        <f>COUNTIFS('架電リスト'!$B$5:$B$825,$A5,'架電リスト'!$J$5:$J$825,"不在・折返し待ち")</f>
        <v/>
      </c>
      <c r="F5" s="16">
        <f>COUNTIFS('架電リスト'!$B$5:$B$825,$A5,'架電リスト'!$J$5:$J$825,"担当者不在")</f>
        <v/>
      </c>
      <c r="G5" s="16">
        <f>COUNTIFS('架電リスト'!$B$5:$B$825,$A5,'架電リスト'!$J$5:$J$825,"資料送付")</f>
        <v/>
      </c>
      <c r="H5" s="16">
        <f>COUNTIFS('架電リスト'!$B$5:$B$825,$A5,'架電リスト'!$J$5:$J$825,"アポ獲得")</f>
        <v/>
      </c>
      <c r="I5" s="16">
        <f>COUNTIFS('架電リスト'!$B$5:$B$825,$A5,'架電リスト'!$J$5:$J$825,"検討中")</f>
        <v/>
      </c>
      <c r="J5" s="16">
        <f>COUNTIFS('架電リスト'!$B$5:$B$825,$A5,'架電リスト'!$J$5:$J$825,"NG")</f>
        <v/>
      </c>
      <c r="K5" s="16">
        <f>COUNTIFS('架電リスト'!$B$5:$B$825,$A5,'架電リスト'!$J$5:$J$825,"番号不明")</f>
        <v/>
      </c>
    </row>
    <row r="6">
      <c r="A6" s="16" t="inlineStr">
        <is>
          <t>岩手県</t>
        </is>
      </c>
      <c r="B6" s="16">
        <f>COUNTIF('架電リスト'!$B$5:$B$825,A6)</f>
        <v/>
      </c>
      <c r="C6" s="16">
        <f>COUNTIFS('架電リスト'!$B$5:$B$825,A6,'架電リスト'!$E$5:$E$825,"&lt;&gt;")</f>
        <v/>
      </c>
      <c r="D6" s="16">
        <f>B6-COUNTIFS('架電リスト'!$B$5:$B$825,A6,'架電リスト'!$J$5:$J$825,"未架電")-COUNTIFS('架電リスト'!$B$5:$B$825,A6,'架電リスト'!$J$5:$J$825,"")</f>
        <v/>
      </c>
      <c r="E6" s="16">
        <f>COUNTIFS('架電リスト'!$B$5:$B$825,$A6,'架電リスト'!$J$5:$J$825,"不在・折返し待ち")</f>
        <v/>
      </c>
      <c r="F6" s="16">
        <f>COUNTIFS('架電リスト'!$B$5:$B$825,$A6,'架電リスト'!$J$5:$J$825,"担当者不在")</f>
        <v/>
      </c>
      <c r="G6" s="16">
        <f>COUNTIFS('架電リスト'!$B$5:$B$825,$A6,'架電リスト'!$J$5:$J$825,"資料送付")</f>
        <v/>
      </c>
      <c r="H6" s="16">
        <f>COUNTIFS('架電リスト'!$B$5:$B$825,$A6,'架電リスト'!$J$5:$J$825,"アポ獲得")</f>
        <v/>
      </c>
      <c r="I6" s="16">
        <f>COUNTIFS('架電リスト'!$B$5:$B$825,$A6,'架電リスト'!$J$5:$J$825,"検討中")</f>
        <v/>
      </c>
      <c r="J6" s="16">
        <f>COUNTIFS('架電リスト'!$B$5:$B$825,$A6,'架電リスト'!$J$5:$J$825,"NG")</f>
        <v/>
      </c>
      <c r="K6" s="16">
        <f>COUNTIFS('架電リスト'!$B$5:$B$825,$A6,'架電リスト'!$J$5:$J$825,"番号不明")</f>
        <v/>
      </c>
    </row>
    <row r="7">
      <c r="A7" s="16" t="inlineStr">
        <is>
          <t>宮城県</t>
        </is>
      </c>
      <c r="B7" s="16">
        <f>COUNTIF('架電リスト'!$B$5:$B$825,A7)</f>
        <v/>
      </c>
      <c r="C7" s="16">
        <f>COUNTIFS('架電リスト'!$B$5:$B$825,A7,'架電リスト'!$E$5:$E$825,"&lt;&gt;")</f>
        <v/>
      </c>
      <c r="D7" s="16">
        <f>B7-COUNTIFS('架電リスト'!$B$5:$B$825,A7,'架電リスト'!$J$5:$J$825,"未架電")-COUNTIFS('架電リスト'!$B$5:$B$825,A7,'架電リスト'!$J$5:$J$825,"")</f>
        <v/>
      </c>
      <c r="E7" s="16">
        <f>COUNTIFS('架電リスト'!$B$5:$B$825,$A7,'架電リスト'!$J$5:$J$825,"不在・折返し待ち")</f>
        <v/>
      </c>
      <c r="F7" s="16">
        <f>COUNTIFS('架電リスト'!$B$5:$B$825,$A7,'架電リスト'!$J$5:$J$825,"担当者不在")</f>
        <v/>
      </c>
      <c r="G7" s="16">
        <f>COUNTIFS('架電リスト'!$B$5:$B$825,$A7,'架電リスト'!$J$5:$J$825,"資料送付")</f>
        <v/>
      </c>
      <c r="H7" s="16">
        <f>COUNTIFS('架電リスト'!$B$5:$B$825,$A7,'架電リスト'!$J$5:$J$825,"アポ獲得")</f>
        <v/>
      </c>
      <c r="I7" s="16">
        <f>COUNTIFS('架電リスト'!$B$5:$B$825,$A7,'架電リスト'!$J$5:$J$825,"検討中")</f>
        <v/>
      </c>
      <c r="J7" s="16">
        <f>COUNTIFS('架電リスト'!$B$5:$B$825,$A7,'架電リスト'!$J$5:$J$825,"NG")</f>
        <v/>
      </c>
      <c r="K7" s="16">
        <f>COUNTIFS('架電リスト'!$B$5:$B$825,$A7,'架電リスト'!$J$5:$J$825,"番号不明")</f>
        <v/>
      </c>
    </row>
    <row r="8">
      <c r="A8" s="16" t="inlineStr">
        <is>
          <t>秋田県</t>
        </is>
      </c>
      <c r="B8" s="16">
        <f>COUNTIF('架電リスト'!$B$5:$B$825,A8)</f>
        <v/>
      </c>
      <c r="C8" s="16">
        <f>COUNTIFS('架電リスト'!$B$5:$B$825,A8,'架電リスト'!$E$5:$E$825,"&lt;&gt;")</f>
        <v/>
      </c>
      <c r="D8" s="16">
        <f>B8-COUNTIFS('架電リスト'!$B$5:$B$825,A8,'架電リスト'!$J$5:$J$825,"未架電")-COUNTIFS('架電リスト'!$B$5:$B$825,A8,'架電リスト'!$J$5:$J$825,"")</f>
        <v/>
      </c>
      <c r="E8" s="16">
        <f>COUNTIFS('架電リスト'!$B$5:$B$825,$A8,'架電リスト'!$J$5:$J$825,"不在・折返し待ち")</f>
        <v/>
      </c>
      <c r="F8" s="16">
        <f>COUNTIFS('架電リスト'!$B$5:$B$825,$A8,'架電リスト'!$J$5:$J$825,"担当者不在")</f>
        <v/>
      </c>
      <c r="G8" s="16">
        <f>COUNTIFS('架電リスト'!$B$5:$B$825,$A8,'架電リスト'!$J$5:$J$825,"資料送付")</f>
        <v/>
      </c>
      <c r="H8" s="16">
        <f>COUNTIFS('架電リスト'!$B$5:$B$825,$A8,'架電リスト'!$J$5:$J$825,"アポ獲得")</f>
        <v/>
      </c>
      <c r="I8" s="16">
        <f>COUNTIFS('架電リスト'!$B$5:$B$825,$A8,'架電リスト'!$J$5:$J$825,"検討中")</f>
        <v/>
      </c>
      <c r="J8" s="16">
        <f>COUNTIFS('架電リスト'!$B$5:$B$825,$A8,'架電リスト'!$J$5:$J$825,"NG")</f>
        <v/>
      </c>
      <c r="K8" s="16">
        <f>COUNTIFS('架電リスト'!$B$5:$B$825,$A8,'架電リスト'!$J$5:$J$825,"番号不明")</f>
        <v/>
      </c>
    </row>
    <row r="9">
      <c r="A9" s="16" t="inlineStr">
        <is>
          <t>山形県</t>
        </is>
      </c>
      <c r="B9" s="16">
        <f>COUNTIF('架電リスト'!$B$5:$B$825,A9)</f>
        <v/>
      </c>
      <c r="C9" s="16">
        <f>COUNTIFS('架電リスト'!$B$5:$B$825,A9,'架電リスト'!$E$5:$E$825,"&lt;&gt;")</f>
        <v/>
      </c>
      <c r="D9" s="16">
        <f>B9-COUNTIFS('架電リスト'!$B$5:$B$825,A9,'架電リスト'!$J$5:$J$825,"未架電")-COUNTIFS('架電リスト'!$B$5:$B$825,A9,'架電リスト'!$J$5:$J$825,"")</f>
        <v/>
      </c>
      <c r="E9" s="16">
        <f>COUNTIFS('架電リスト'!$B$5:$B$825,$A9,'架電リスト'!$J$5:$J$825,"不在・折返し待ち")</f>
        <v/>
      </c>
      <c r="F9" s="16">
        <f>COUNTIFS('架電リスト'!$B$5:$B$825,$A9,'架電リスト'!$J$5:$J$825,"担当者不在")</f>
        <v/>
      </c>
      <c r="G9" s="16">
        <f>COUNTIFS('架電リスト'!$B$5:$B$825,$A9,'架電リスト'!$J$5:$J$825,"資料送付")</f>
        <v/>
      </c>
      <c r="H9" s="16">
        <f>COUNTIFS('架電リスト'!$B$5:$B$825,$A9,'架電リスト'!$J$5:$J$825,"アポ獲得")</f>
        <v/>
      </c>
      <c r="I9" s="16">
        <f>COUNTIFS('架電リスト'!$B$5:$B$825,$A9,'架電リスト'!$J$5:$J$825,"検討中")</f>
        <v/>
      </c>
      <c r="J9" s="16">
        <f>COUNTIFS('架電リスト'!$B$5:$B$825,$A9,'架電リスト'!$J$5:$J$825,"NG")</f>
        <v/>
      </c>
      <c r="K9" s="16">
        <f>COUNTIFS('架電リスト'!$B$5:$B$825,$A9,'架電リスト'!$J$5:$J$825,"番号不明")</f>
        <v/>
      </c>
    </row>
    <row r="10">
      <c r="A10" s="16" t="inlineStr">
        <is>
          <t>福島県</t>
        </is>
      </c>
      <c r="B10" s="16">
        <f>COUNTIF('架電リスト'!$B$5:$B$825,A10)</f>
        <v/>
      </c>
      <c r="C10" s="16">
        <f>COUNTIFS('架電リスト'!$B$5:$B$825,A10,'架電リスト'!$E$5:$E$825,"&lt;&gt;")</f>
        <v/>
      </c>
      <c r="D10" s="16">
        <f>B10-COUNTIFS('架電リスト'!$B$5:$B$825,A10,'架電リスト'!$J$5:$J$825,"未架電")-COUNTIFS('架電リスト'!$B$5:$B$825,A10,'架電リスト'!$J$5:$J$825,"")</f>
        <v/>
      </c>
      <c r="E10" s="16">
        <f>COUNTIFS('架電リスト'!$B$5:$B$825,$A10,'架電リスト'!$J$5:$J$825,"不在・折返し待ち")</f>
        <v/>
      </c>
      <c r="F10" s="16">
        <f>COUNTIFS('架電リスト'!$B$5:$B$825,$A10,'架電リスト'!$J$5:$J$825,"担当者不在")</f>
        <v/>
      </c>
      <c r="G10" s="16">
        <f>COUNTIFS('架電リスト'!$B$5:$B$825,$A10,'架電リスト'!$J$5:$J$825,"資料送付")</f>
        <v/>
      </c>
      <c r="H10" s="16">
        <f>COUNTIFS('架電リスト'!$B$5:$B$825,$A10,'架電リスト'!$J$5:$J$825,"アポ獲得")</f>
        <v/>
      </c>
      <c r="I10" s="16">
        <f>COUNTIFS('架電リスト'!$B$5:$B$825,$A10,'架電リスト'!$J$5:$J$825,"検討中")</f>
        <v/>
      </c>
      <c r="J10" s="16">
        <f>COUNTIFS('架電リスト'!$B$5:$B$825,$A10,'架電リスト'!$J$5:$J$825,"NG")</f>
        <v/>
      </c>
      <c r="K10" s="16">
        <f>COUNTIFS('架電リスト'!$B$5:$B$825,$A10,'架電リスト'!$J$5:$J$825,"番号不明")</f>
        <v/>
      </c>
    </row>
    <row r="11">
      <c r="A11" s="16" t="inlineStr">
        <is>
          <t>茨城県</t>
        </is>
      </c>
      <c r="B11" s="16">
        <f>COUNTIF('架電リスト'!$B$5:$B$825,A11)</f>
        <v/>
      </c>
      <c r="C11" s="16">
        <f>COUNTIFS('架電リスト'!$B$5:$B$825,A11,'架電リスト'!$E$5:$E$825,"&lt;&gt;")</f>
        <v/>
      </c>
      <c r="D11" s="16">
        <f>B11-COUNTIFS('架電リスト'!$B$5:$B$825,A11,'架電リスト'!$J$5:$J$825,"未架電")-COUNTIFS('架電リスト'!$B$5:$B$825,A11,'架電リスト'!$J$5:$J$825,"")</f>
        <v/>
      </c>
      <c r="E11" s="16">
        <f>COUNTIFS('架電リスト'!$B$5:$B$825,$A11,'架電リスト'!$J$5:$J$825,"不在・折返し待ち")</f>
        <v/>
      </c>
      <c r="F11" s="16">
        <f>COUNTIFS('架電リスト'!$B$5:$B$825,$A11,'架電リスト'!$J$5:$J$825,"担当者不在")</f>
        <v/>
      </c>
      <c r="G11" s="16">
        <f>COUNTIFS('架電リスト'!$B$5:$B$825,$A11,'架電リスト'!$J$5:$J$825,"資料送付")</f>
        <v/>
      </c>
      <c r="H11" s="16">
        <f>COUNTIFS('架電リスト'!$B$5:$B$825,$A11,'架電リスト'!$J$5:$J$825,"アポ獲得")</f>
        <v/>
      </c>
      <c r="I11" s="16">
        <f>COUNTIFS('架電リスト'!$B$5:$B$825,$A11,'架電リスト'!$J$5:$J$825,"検討中")</f>
        <v/>
      </c>
      <c r="J11" s="16">
        <f>COUNTIFS('架電リスト'!$B$5:$B$825,$A11,'架電リスト'!$J$5:$J$825,"NG")</f>
        <v/>
      </c>
      <c r="K11" s="16">
        <f>COUNTIFS('架電リスト'!$B$5:$B$825,$A11,'架電リスト'!$J$5:$J$825,"番号不明")</f>
        <v/>
      </c>
    </row>
    <row r="12">
      <c r="A12" s="16" t="inlineStr">
        <is>
          <t>栃木県</t>
        </is>
      </c>
      <c r="B12" s="16">
        <f>COUNTIF('架電リスト'!$B$5:$B$825,A12)</f>
        <v/>
      </c>
      <c r="C12" s="16">
        <f>COUNTIFS('架電リスト'!$B$5:$B$825,A12,'架電リスト'!$E$5:$E$825,"&lt;&gt;")</f>
        <v/>
      </c>
      <c r="D12" s="16">
        <f>B12-COUNTIFS('架電リスト'!$B$5:$B$825,A12,'架電リスト'!$J$5:$J$825,"未架電")-COUNTIFS('架電リスト'!$B$5:$B$825,A12,'架電リスト'!$J$5:$J$825,"")</f>
        <v/>
      </c>
      <c r="E12" s="16">
        <f>COUNTIFS('架電リスト'!$B$5:$B$825,$A12,'架電リスト'!$J$5:$J$825,"不在・折返し待ち")</f>
        <v/>
      </c>
      <c r="F12" s="16">
        <f>COUNTIFS('架電リスト'!$B$5:$B$825,$A12,'架電リスト'!$J$5:$J$825,"担当者不在")</f>
        <v/>
      </c>
      <c r="G12" s="16">
        <f>COUNTIFS('架電リスト'!$B$5:$B$825,$A12,'架電リスト'!$J$5:$J$825,"資料送付")</f>
        <v/>
      </c>
      <c r="H12" s="16">
        <f>COUNTIFS('架電リスト'!$B$5:$B$825,$A12,'架電リスト'!$J$5:$J$825,"アポ獲得")</f>
        <v/>
      </c>
      <c r="I12" s="16">
        <f>COUNTIFS('架電リスト'!$B$5:$B$825,$A12,'架電リスト'!$J$5:$J$825,"検討中")</f>
        <v/>
      </c>
      <c r="J12" s="16">
        <f>COUNTIFS('架電リスト'!$B$5:$B$825,$A12,'架電リスト'!$J$5:$J$825,"NG")</f>
        <v/>
      </c>
      <c r="K12" s="16">
        <f>COUNTIFS('架電リスト'!$B$5:$B$825,$A12,'架電リスト'!$J$5:$J$825,"番号不明")</f>
        <v/>
      </c>
    </row>
    <row r="13">
      <c r="A13" s="16" t="inlineStr">
        <is>
          <t>群馬県</t>
        </is>
      </c>
      <c r="B13" s="16">
        <f>COUNTIF('架電リスト'!$B$5:$B$825,A13)</f>
        <v/>
      </c>
      <c r="C13" s="16">
        <f>COUNTIFS('架電リスト'!$B$5:$B$825,A13,'架電リスト'!$E$5:$E$825,"&lt;&gt;")</f>
        <v/>
      </c>
      <c r="D13" s="16">
        <f>B13-COUNTIFS('架電リスト'!$B$5:$B$825,A13,'架電リスト'!$J$5:$J$825,"未架電")-COUNTIFS('架電リスト'!$B$5:$B$825,A13,'架電リスト'!$J$5:$J$825,"")</f>
        <v/>
      </c>
      <c r="E13" s="16">
        <f>COUNTIFS('架電リスト'!$B$5:$B$825,$A13,'架電リスト'!$J$5:$J$825,"不在・折返し待ち")</f>
        <v/>
      </c>
      <c r="F13" s="16">
        <f>COUNTIFS('架電リスト'!$B$5:$B$825,$A13,'架電リスト'!$J$5:$J$825,"担当者不在")</f>
        <v/>
      </c>
      <c r="G13" s="16">
        <f>COUNTIFS('架電リスト'!$B$5:$B$825,$A13,'架電リスト'!$J$5:$J$825,"資料送付")</f>
        <v/>
      </c>
      <c r="H13" s="16">
        <f>COUNTIFS('架電リスト'!$B$5:$B$825,$A13,'架電リスト'!$J$5:$J$825,"アポ獲得")</f>
        <v/>
      </c>
      <c r="I13" s="16">
        <f>COUNTIFS('架電リスト'!$B$5:$B$825,$A13,'架電リスト'!$J$5:$J$825,"検討中")</f>
        <v/>
      </c>
      <c r="J13" s="16">
        <f>COUNTIFS('架電リスト'!$B$5:$B$825,$A13,'架電リスト'!$J$5:$J$825,"NG")</f>
        <v/>
      </c>
      <c r="K13" s="16">
        <f>COUNTIFS('架電リスト'!$B$5:$B$825,$A13,'架電リスト'!$J$5:$J$825,"番号不明")</f>
        <v/>
      </c>
    </row>
    <row r="14">
      <c r="A14" s="16" t="inlineStr">
        <is>
          <t>埼玉県</t>
        </is>
      </c>
      <c r="B14" s="16">
        <f>COUNTIF('架電リスト'!$B$5:$B$825,A14)</f>
        <v/>
      </c>
      <c r="C14" s="16">
        <f>COUNTIFS('架電リスト'!$B$5:$B$825,A14,'架電リスト'!$E$5:$E$825,"&lt;&gt;")</f>
        <v/>
      </c>
      <c r="D14" s="16">
        <f>B14-COUNTIFS('架電リスト'!$B$5:$B$825,A14,'架電リスト'!$J$5:$J$825,"未架電")-COUNTIFS('架電リスト'!$B$5:$B$825,A14,'架電リスト'!$J$5:$J$825,"")</f>
        <v/>
      </c>
      <c r="E14" s="16">
        <f>COUNTIFS('架電リスト'!$B$5:$B$825,$A14,'架電リスト'!$J$5:$J$825,"不在・折返し待ち")</f>
        <v/>
      </c>
      <c r="F14" s="16">
        <f>COUNTIFS('架電リスト'!$B$5:$B$825,$A14,'架電リスト'!$J$5:$J$825,"担当者不在")</f>
        <v/>
      </c>
      <c r="G14" s="16">
        <f>COUNTIFS('架電リスト'!$B$5:$B$825,$A14,'架電リスト'!$J$5:$J$825,"資料送付")</f>
        <v/>
      </c>
      <c r="H14" s="16">
        <f>COUNTIFS('架電リスト'!$B$5:$B$825,$A14,'架電リスト'!$J$5:$J$825,"アポ獲得")</f>
        <v/>
      </c>
      <c r="I14" s="16">
        <f>COUNTIFS('架電リスト'!$B$5:$B$825,$A14,'架電リスト'!$J$5:$J$825,"検討中")</f>
        <v/>
      </c>
      <c r="J14" s="16">
        <f>COUNTIFS('架電リスト'!$B$5:$B$825,$A14,'架電リスト'!$J$5:$J$825,"NG")</f>
        <v/>
      </c>
      <c r="K14" s="16">
        <f>COUNTIFS('架電リスト'!$B$5:$B$825,$A14,'架電リスト'!$J$5:$J$825,"番号不明")</f>
        <v/>
      </c>
    </row>
    <row r="15">
      <c r="A15" s="16" t="inlineStr">
        <is>
          <t>千葉県</t>
        </is>
      </c>
      <c r="B15" s="16">
        <f>COUNTIF('架電リスト'!$B$5:$B$825,A15)</f>
        <v/>
      </c>
      <c r="C15" s="16">
        <f>COUNTIFS('架電リスト'!$B$5:$B$825,A15,'架電リスト'!$E$5:$E$825,"&lt;&gt;")</f>
        <v/>
      </c>
      <c r="D15" s="16">
        <f>B15-COUNTIFS('架電リスト'!$B$5:$B$825,A15,'架電リスト'!$J$5:$J$825,"未架電")-COUNTIFS('架電リスト'!$B$5:$B$825,A15,'架電リスト'!$J$5:$J$825,"")</f>
        <v/>
      </c>
      <c r="E15" s="16">
        <f>COUNTIFS('架電リスト'!$B$5:$B$825,$A15,'架電リスト'!$J$5:$J$825,"不在・折返し待ち")</f>
        <v/>
      </c>
      <c r="F15" s="16">
        <f>COUNTIFS('架電リスト'!$B$5:$B$825,$A15,'架電リスト'!$J$5:$J$825,"担当者不在")</f>
        <v/>
      </c>
      <c r="G15" s="16">
        <f>COUNTIFS('架電リスト'!$B$5:$B$825,$A15,'架電リスト'!$J$5:$J$825,"資料送付")</f>
        <v/>
      </c>
      <c r="H15" s="16">
        <f>COUNTIFS('架電リスト'!$B$5:$B$825,$A15,'架電リスト'!$J$5:$J$825,"アポ獲得")</f>
        <v/>
      </c>
      <c r="I15" s="16">
        <f>COUNTIFS('架電リスト'!$B$5:$B$825,$A15,'架電リスト'!$J$5:$J$825,"検討中")</f>
        <v/>
      </c>
      <c r="J15" s="16">
        <f>COUNTIFS('架電リスト'!$B$5:$B$825,$A15,'架電リスト'!$J$5:$J$825,"NG")</f>
        <v/>
      </c>
      <c r="K15" s="16">
        <f>COUNTIFS('架電リスト'!$B$5:$B$825,$A15,'架電リスト'!$J$5:$J$825,"番号不明")</f>
        <v/>
      </c>
    </row>
    <row r="16">
      <c r="A16" s="16" t="inlineStr">
        <is>
          <t>東京都</t>
        </is>
      </c>
      <c r="B16" s="16">
        <f>COUNTIF('架電リスト'!$B$5:$B$825,A16)</f>
        <v/>
      </c>
      <c r="C16" s="16">
        <f>COUNTIFS('架電リスト'!$B$5:$B$825,A16,'架電リスト'!$E$5:$E$825,"&lt;&gt;")</f>
        <v/>
      </c>
      <c r="D16" s="16">
        <f>B16-COUNTIFS('架電リスト'!$B$5:$B$825,A16,'架電リスト'!$J$5:$J$825,"未架電")-COUNTIFS('架電リスト'!$B$5:$B$825,A16,'架電リスト'!$J$5:$J$825,"")</f>
        <v/>
      </c>
      <c r="E16" s="16">
        <f>COUNTIFS('架電リスト'!$B$5:$B$825,$A16,'架電リスト'!$J$5:$J$825,"不在・折返し待ち")</f>
        <v/>
      </c>
      <c r="F16" s="16">
        <f>COUNTIFS('架電リスト'!$B$5:$B$825,$A16,'架電リスト'!$J$5:$J$825,"担当者不在")</f>
        <v/>
      </c>
      <c r="G16" s="16">
        <f>COUNTIFS('架電リスト'!$B$5:$B$825,$A16,'架電リスト'!$J$5:$J$825,"資料送付")</f>
        <v/>
      </c>
      <c r="H16" s="16">
        <f>COUNTIFS('架電リスト'!$B$5:$B$825,$A16,'架電リスト'!$J$5:$J$825,"アポ獲得")</f>
        <v/>
      </c>
      <c r="I16" s="16">
        <f>COUNTIFS('架電リスト'!$B$5:$B$825,$A16,'架電リスト'!$J$5:$J$825,"検討中")</f>
        <v/>
      </c>
      <c r="J16" s="16">
        <f>COUNTIFS('架電リスト'!$B$5:$B$825,$A16,'架電リスト'!$J$5:$J$825,"NG")</f>
        <v/>
      </c>
      <c r="K16" s="16">
        <f>COUNTIFS('架電リスト'!$B$5:$B$825,$A16,'架電リスト'!$J$5:$J$825,"番号不明")</f>
        <v/>
      </c>
    </row>
    <row r="17">
      <c r="A17" s="16" t="inlineStr">
        <is>
          <t>神奈川県</t>
        </is>
      </c>
      <c r="B17" s="16">
        <f>COUNTIF('架電リスト'!$B$5:$B$825,A17)</f>
        <v/>
      </c>
      <c r="C17" s="16">
        <f>COUNTIFS('架電リスト'!$B$5:$B$825,A17,'架電リスト'!$E$5:$E$825,"&lt;&gt;")</f>
        <v/>
      </c>
      <c r="D17" s="16">
        <f>B17-COUNTIFS('架電リスト'!$B$5:$B$825,A17,'架電リスト'!$J$5:$J$825,"未架電")-COUNTIFS('架電リスト'!$B$5:$B$825,A17,'架電リスト'!$J$5:$J$825,"")</f>
        <v/>
      </c>
      <c r="E17" s="16">
        <f>COUNTIFS('架電リスト'!$B$5:$B$825,$A17,'架電リスト'!$J$5:$J$825,"不在・折返し待ち")</f>
        <v/>
      </c>
      <c r="F17" s="16">
        <f>COUNTIFS('架電リスト'!$B$5:$B$825,$A17,'架電リスト'!$J$5:$J$825,"担当者不在")</f>
        <v/>
      </c>
      <c r="G17" s="16">
        <f>COUNTIFS('架電リスト'!$B$5:$B$825,$A17,'架電リスト'!$J$5:$J$825,"資料送付")</f>
        <v/>
      </c>
      <c r="H17" s="16">
        <f>COUNTIFS('架電リスト'!$B$5:$B$825,$A17,'架電リスト'!$J$5:$J$825,"アポ獲得")</f>
        <v/>
      </c>
      <c r="I17" s="16">
        <f>COUNTIFS('架電リスト'!$B$5:$B$825,$A17,'架電リスト'!$J$5:$J$825,"検討中")</f>
        <v/>
      </c>
      <c r="J17" s="16">
        <f>COUNTIFS('架電リスト'!$B$5:$B$825,$A17,'架電リスト'!$J$5:$J$825,"NG")</f>
        <v/>
      </c>
      <c r="K17" s="16">
        <f>COUNTIFS('架電リスト'!$B$5:$B$825,$A17,'架電リスト'!$J$5:$J$825,"番号不明")</f>
        <v/>
      </c>
    </row>
    <row r="18">
      <c r="A18" s="16" t="inlineStr">
        <is>
          <t>新潟県</t>
        </is>
      </c>
      <c r="B18" s="16">
        <f>COUNTIF('架電リスト'!$B$5:$B$825,A18)</f>
        <v/>
      </c>
      <c r="C18" s="16">
        <f>COUNTIFS('架電リスト'!$B$5:$B$825,A18,'架電リスト'!$E$5:$E$825,"&lt;&gt;")</f>
        <v/>
      </c>
      <c r="D18" s="16">
        <f>B18-COUNTIFS('架電リスト'!$B$5:$B$825,A18,'架電リスト'!$J$5:$J$825,"未架電")-COUNTIFS('架電リスト'!$B$5:$B$825,A18,'架電リスト'!$J$5:$J$825,"")</f>
        <v/>
      </c>
      <c r="E18" s="16">
        <f>COUNTIFS('架電リスト'!$B$5:$B$825,$A18,'架電リスト'!$J$5:$J$825,"不在・折返し待ち")</f>
        <v/>
      </c>
      <c r="F18" s="16">
        <f>COUNTIFS('架電リスト'!$B$5:$B$825,$A18,'架電リスト'!$J$5:$J$825,"担当者不在")</f>
        <v/>
      </c>
      <c r="G18" s="16">
        <f>COUNTIFS('架電リスト'!$B$5:$B$825,$A18,'架電リスト'!$J$5:$J$825,"資料送付")</f>
        <v/>
      </c>
      <c r="H18" s="16">
        <f>COUNTIFS('架電リスト'!$B$5:$B$825,$A18,'架電リスト'!$J$5:$J$825,"アポ獲得")</f>
        <v/>
      </c>
      <c r="I18" s="16">
        <f>COUNTIFS('架電リスト'!$B$5:$B$825,$A18,'架電リスト'!$J$5:$J$825,"検討中")</f>
        <v/>
      </c>
      <c r="J18" s="16">
        <f>COUNTIFS('架電リスト'!$B$5:$B$825,$A18,'架電リスト'!$J$5:$J$825,"NG")</f>
        <v/>
      </c>
      <c r="K18" s="16">
        <f>COUNTIFS('架電リスト'!$B$5:$B$825,$A18,'架電リスト'!$J$5:$J$825,"番号不明")</f>
        <v/>
      </c>
    </row>
    <row r="19">
      <c r="A19" s="16" t="inlineStr">
        <is>
          <t>富山県</t>
        </is>
      </c>
      <c r="B19" s="16">
        <f>COUNTIF('架電リスト'!$B$5:$B$825,A19)</f>
        <v/>
      </c>
      <c r="C19" s="16">
        <f>COUNTIFS('架電リスト'!$B$5:$B$825,A19,'架電リスト'!$E$5:$E$825,"&lt;&gt;")</f>
        <v/>
      </c>
      <c r="D19" s="16">
        <f>B19-COUNTIFS('架電リスト'!$B$5:$B$825,A19,'架電リスト'!$J$5:$J$825,"未架電")-COUNTIFS('架電リスト'!$B$5:$B$825,A19,'架電リスト'!$J$5:$J$825,"")</f>
        <v/>
      </c>
      <c r="E19" s="16">
        <f>COUNTIFS('架電リスト'!$B$5:$B$825,$A19,'架電リスト'!$J$5:$J$825,"不在・折返し待ち")</f>
        <v/>
      </c>
      <c r="F19" s="16">
        <f>COUNTIFS('架電リスト'!$B$5:$B$825,$A19,'架電リスト'!$J$5:$J$825,"担当者不在")</f>
        <v/>
      </c>
      <c r="G19" s="16">
        <f>COUNTIFS('架電リスト'!$B$5:$B$825,$A19,'架電リスト'!$J$5:$J$825,"資料送付")</f>
        <v/>
      </c>
      <c r="H19" s="16">
        <f>COUNTIFS('架電リスト'!$B$5:$B$825,$A19,'架電リスト'!$J$5:$J$825,"アポ獲得")</f>
        <v/>
      </c>
      <c r="I19" s="16">
        <f>COUNTIFS('架電リスト'!$B$5:$B$825,$A19,'架電リスト'!$J$5:$J$825,"検討中")</f>
        <v/>
      </c>
      <c r="J19" s="16">
        <f>COUNTIFS('架電リスト'!$B$5:$B$825,$A19,'架電リスト'!$J$5:$J$825,"NG")</f>
        <v/>
      </c>
      <c r="K19" s="16">
        <f>COUNTIFS('架電リスト'!$B$5:$B$825,$A19,'架電リスト'!$J$5:$J$825,"番号不明")</f>
        <v/>
      </c>
    </row>
    <row r="20">
      <c r="A20" s="16" t="inlineStr">
        <is>
          <t>石川県</t>
        </is>
      </c>
      <c r="B20" s="16">
        <f>COUNTIF('架電リスト'!$B$5:$B$825,A20)</f>
        <v/>
      </c>
      <c r="C20" s="16">
        <f>COUNTIFS('架電リスト'!$B$5:$B$825,A20,'架電リスト'!$E$5:$E$825,"&lt;&gt;")</f>
        <v/>
      </c>
      <c r="D20" s="16">
        <f>B20-COUNTIFS('架電リスト'!$B$5:$B$825,A20,'架電リスト'!$J$5:$J$825,"未架電")-COUNTIFS('架電リスト'!$B$5:$B$825,A20,'架電リスト'!$J$5:$J$825,"")</f>
        <v/>
      </c>
      <c r="E20" s="16">
        <f>COUNTIFS('架電リスト'!$B$5:$B$825,$A20,'架電リスト'!$J$5:$J$825,"不在・折返し待ち")</f>
        <v/>
      </c>
      <c r="F20" s="16">
        <f>COUNTIFS('架電リスト'!$B$5:$B$825,$A20,'架電リスト'!$J$5:$J$825,"担当者不在")</f>
        <v/>
      </c>
      <c r="G20" s="16">
        <f>COUNTIFS('架電リスト'!$B$5:$B$825,$A20,'架電リスト'!$J$5:$J$825,"資料送付")</f>
        <v/>
      </c>
      <c r="H20" s="16">
        <f>COUNTIFS('架電リスト'!$B$5:$B$825,$A20,'架電リスト'!$J$5:$J$825,"アポ獲得")</f>
        <v/>
      </c>
      <c r="I20" s="16">
        <f>COUNTIFS('架電リスト'!$B$5:$B$825,$A20,'架電リスト'!$J$5:$J$825,"検討中")</f>
        <v/>
      </c>
      <c r="J20" s="16">
        <f>COUNTIFS('架電リスト'!$B$5:$B$825,$A20,'架電リスト'!$J$5:$J$825,"NG")</f>
        <v/>
      </c>
      <c r="K20" s="16">
        <f>COUNTIFS('架電リスト'!$B$5:$B$825,$A20,'架電リスト'!$J$5:$J$825,"番号不明")</f>
        <v/>
      </c>
    </row>
    <row r="21">
      <c r="A21" s="16" t="inlineStr">
        <is>
          <t>福井県</t>
        </is>
      </c>
      <c r="B21" s="16">
        <f>COUNTIF('架電リスト'!$B$5:$B$825,A21)</f>
        <v/>
      </c>
      <c r="C21" s="16">
        <f>COUNTIFS('架電リスト'!$B$5:$B$825,A21,'架電リスト'!$E$5:$E$825,"&lt;&gt;")</f>
        <v/>
      </c>
      <c r="D21" s="16">
        <f>B21-COUNTIFS('架電リスト'!$B$5:$B$825,A21,'架電リスト'!$J$5:$J$825,"未架電")-COUNTIFS('架電リスト'!$B$5:$B$825,A21,'架電リスト'!$J$5:$J$825,"")</f>
        <v/>
      </c>
      <c r="E21" s="16">
        <f>COUNTIFS('架電リスト'!$B$5:$B$825,$A21,'架電リスト'!$J$5:$J$825,"不在・折返し待ち")</f>
        <v/>
      </c>
      <c r="F21" s="16">
        <f>COUNTIFS('架電リスト'!$B$5:$B$825,$A21,'架電リスト'!$J$5:$J$825,"担当者不在")</f>
        <v/>
      </c>
      <c r="G21" s="16">
        <f>COUNTIFS('架電リスト'!$B$5:$B$825,$A21,'架電リスト'!$J$5:$J$825,"資料送付")</f>
        <v/>
      </c>
      <c r="H21" s="16">
        <f>COUNTIFS('架電リスト'!$B$5:$B$825,$A21,'架電リスト'!$J$5:$J$825,"アポ獲得")</f>
        <v/>
      </c>
      <c r="I21" s="16">
        <f>COUNTIFS('架電リスト'!$B$5:$B$825,$A21,'架電リスト'!$J$5:$J$825,"検討中")</f>
        <v/>
      </c>
      <c r="J21" s="16">
        <f>COUNTIFS('架電リスト'!$B$5:$B$825,$A21,'架電リスト'!$J$5:$J$825,"NG")</f>
        <v/>
      </c>
      <c r="K21" s="16">
        <f>COUNTIFS('架電リスト'!$B$5:$B$825,$A21,'架電リスト'!$J$5:$J$825,"番号不明")</f>
        <v/>
      </c>
    </row>
    <row r="22">
      <c r="A22" s="16" t="inlineStr">
        <is>
          <t>山梨県</t>
        </is>
      </c>
      <c r="B22" s="16">
        <f>COUNTIF('架電リスト'!$B$5:$B$825,A22)</f>
        <v/>
      </c>
      <c r="C22" s="16">
        <f>COUNTIFS('架電リスト'!$B$5:$B$825,A22,'架電リスト'!$E$5:$E$825,"&lt;&gt;")</f>
        <v/>
      </c>
      <c r="D22" s="16">
        <f>B22-COUNTIFS('架電リスト'!$B$5:$B$825,A22,'架電リスト'!$J$5:$J$825,"未架電")-COUNTIFS('架電リスト'!$B$5:$B$825,A22,'架電リスト'!$J$5:$J$825,"")</f>
        <v/>
      </c>
      <c r="E22" s="16">
        <f>COUNTIFS('架電リスト'!$B$5:$B$825,$A22,'架電リスト'!$J$5:$J$825,"不在・折返し待ち")</f>
        <v/>
      </c>
      <c r="F22" s="16">
        <f>COUNTIFS('架電リスト'!$B$5:$B$825,$A22,'架電リスト'!$J$5:$J$825,"担当者不在")</f>
        <v/>
      </c>
      <c r="G22" s="16">
        <f>COUNTIFS('架電リスト'!$B$5:$B$825,$A22,'架電リスト'!$J$5:$J$825,"資料送付")</f>
        <v/>
      </c>
      <c r="H22" s="16">
        <f>COUNTIFS('架電リスト'!$B$5:$B$825,$A22,'架電リスト'!$J$5:$J$825,"アポ獲得")</f>
        <v/>
      </c>
      <c r="I22" s="16">
        <f>COUNTIFS('架電リスト'!$B$5:$B$825,$A22,'架電リスト'!$J$5:$J$825,"検討中")</f>
        <v/>
      </c>
      <c r="J22" s="16">
        <f>COUNTIFS('架電リスト'!$B$5:$B$825,$A22,'架電リスト'!$J$5:$J$825,"NG")</f>
        <v/>
      </c>
      <c r="K22" s="16">
        <f>COUNTIFS('架電リスト'!$B$5:$B$825,$A22,'架電リスト'!$J$5:$J$825,"番号不明")</f>
        <v/>
      </c>
    </row>
    <row r="23">
      <c r="A23" s="16" t="inlineStr">
        <is>
          <t>長野県</t>
        </is>
      </c>
      <c r="B23" s="16">
        <f>COUNTIF('架電リスト'!$B$5:$B$825,A23)</f>
        <v/>
      </c>
      <c r="C23" s="16">
        <f>COUNTIFS('架電リスト'!$B$5:$B$825,A23,'架電リスト'!$E$5:$E$825,"&lt;&gt;")</f>
        <v/>
      </c>
      <c r="D23" s="16">
        <f>B23-COUNTIFS('架電リスト'!$B$5:$B$825,A23,'架電リスト'!$J$5:$J$825,"未架電")-COUNTIFS('架電リスト'!$B$5:$B$825,A23,'架電リスト'!$J$5:$J$825,"")</f>
        <v/>
      </c>
      <c r="E23" s="16">
        <f>COUNTIFS('架電リスト'!$B$5:$B$825,$A23,'架電リスト'!$J$5:$J$825,"不在・折返し待ち")</f>
        <v/>
      </c>
      <c r="F23" s="16">
        <f>COUNTIFS('架電リスト'!$B$5:$B$825,$A23,'架電リスト'!$J$5:$J$825,"担当者不在")</f>
        <v/>
      </c>
      <c r="G23" s="16">
        <f>COUNTIFS('架電リスト'!$B$5:$B$825,$A23,'架電リスト'!$J$5:$J$825,"資料送付")</f>
        <v/>
      </c>
      <c r="H23" s="16">
        <f>COUNTIFS('架電リスト'!$B$5:$B$825,$A23,'架電リスト'!$J$5:$J$825,"アポ獲得")</f>
        <v/>
      </c>
      <c r="I23" s="16">
        <f>COUNTIFS('架電リスト'!$B$5:$B$825,$A23,'架電リスト'!$J$5:$J$825,"検討中")</f>
        <v/>
      </c>
      <c r="J23" s="16">
        <f>COUNTIFS('架電リスト'!$B$5:$B$825,$A23,'架電リスト'!$J$5:$J$825,"NG")</f>
        <v/>
      </c>
      <c r="K23" s="16">
        <f>COUNTIFS('架電リスト'!$B$5:$B$825,$A23,'架電リスト'!$J$5:$J$825,"番号不明")</f>
        <v/>
      </c>
    </row>
    <row r="24">
      <c r="A24" s="16" t="inlineStr">
        <is>
          <t>静岡県</t>
        </is>
      </c>
      <c r="B24" s="16">
        <f>COUNTIF('架電リスト'!$B$5:$B$825,A24)</f>
        <v/>
      </c>
      <c r="C24" s="16">
        <f>COUNTIFS('架電リスト'!$B$5:$B$825,A24,'架電リスト'!$E$5:$E$825,"&lt;&gt;")</f>
        <v/>
      </c>
      <c r="D24" s="16">
        <f>B24-COUNTIFS('架電リスト'!$B$5:$B$825,A24,'架電リスト'!$J$5:$J$825,"未架電")-COUNTIFS('架電リスト'!$B$5:$B$825,A24,'架電リスト'!$J$5:$J$825,"")</f>
        <v/>
      </c>
      <c r="E24" s="16">
        <f>COUNTIFS('架電リスト'!$B$5:$B$825,$A24,'架電リスト'!$J$5:$J$825,"不在・折返し待ち")</f>
        <v/>
      </c>
      <c r="F24" s="16">
        <f>COUNTIFS('架電リスト'!$B$5:$B$825,$A24,'架電リスト'!$J$5:$J$825,"担当者不在")</f>
        <v/>
      </c>
      <c r="G24" s="16">
        <f>COUNTIFS('架電リスト'!$B$5:$B$825,$A24,'架電リスト'!$J$5:$J$825,"資料送付")</f>
        <v/>
      </c>
      <c r="H24" s="16">
        <f>COUNTIFS('架電リスト'!$B$5:$B$825,$A24,'架電リスト'!$J$5:$J$825,"アポ獲得")</f>
        <v/>
      </c>
      <c r="I24" s="16">
        <f>COUNTIFS('架電リスト'!$B$5:$B$825,$A24,'架電リスト'!$J$5:$J$825,"検討中")</f>
        <v/>
      </c>
      <c r="J24" s="16">
        <f>COUNTIFS('架電リスト'!$B$5:$B$825,$A24,'架電リスト'!$J$5:$J$825,"NG")</f>
        <v/>
      </c>
      <c r="K24" s="16">
        <f>COUNTIFS('架電リスト'!$B$5:$B$825,$A24,'架電リスト'!$J$5:$J$825,"番号不明")</f>
        <v/>
      </c>
    </row>
    <row r="25">
      <c r="A25" s="16" t="inlineStr">
        <is>
          <t>愛知県</t>
        </is>
      </c>
      <c r="B25" s="16">
        <f>COUNTIF('架電リスト'!$B$5:$B$825,A25)</f>
        <v/>
      </c>
      <c r="C25" s="16">
        <f>COUNTIFS('架電リスト'!$B$5:$B$825,A25,'架電リスト'!$E$5:$E$825,"&lt;&gt;")</f>
        <v/>
      </c>
      <c r="D25" s="16">
        <f>B25-COUNTIFS('架電リスト'!$B$5:$B$825,A25,'架電リスト'!$J$5:$J$825,"未架電")-COUNTIFS('架電リスト'!$B$5:$B$825,A25,'架電リスト'!$J$5:$J$825,"")</f>
        <v/>
      </c>
      <c r="E25" s="16">
        <f>COUNTIFS('架電リスト'!$B$5:$B$825,$A25,'架電リスト'!$J$5:$J$825,"不在・折返し待ち")</f>
        <v/>
      </c>
      <c r="F25" s="16">
        <f>COUNTIFS('架電リスト'!$B$5:$B$825,$A25,'架電リスト'!$J$5:$J$825,"担当者不在")</f>
        <v/>
      </c>
      <c r="G25" s="16">
        <f>COUNTIFS('架電リスト'!$B$5:$B$825,$A25,'架電リスト'!$J$5:$J$825,"資料送付")</f>
        <v/>
      </c>
      <c r="H25" s="16">
        <f>COUNTIFS('架電リスト'!$B$5:$B$825,$A25,'架電リスト'!$J$5:$J$825,"アポ獲得")</f>
        <v/>
      </c>
      <c r="I25" s="16">
        <f>COUNTIFS('架電リスト'!$B$5:$B$825,$A25,'架電リスト'!$J$5:$J$825,"検討中")</f>
        <v/>
      </c>
      <c r="J25" s="16">
        <f>COUNTIFS('架電リスト'!$B$5:$B$825,$A25,'架電リスト'!$J$5:$J$825,"NG")</f>
        <v/>
      </c>
      <c r="K25" s="16">
        <f>COUNTIFS('架電リスト'!$B$5:$B$825,$A25,'架電リスト'!$J$5:$J$825,"番号不明")</f>
        <v/>
      </c>
    </row>
    <row r="26">
      <c r="A26" s="16" t="inlineStr">
        <is>
          <t>三重県</t>
        </is>
      </c>
      <c r="B26" s="16">
        <f>COUNTIF('架電リスト'!$B$5:$B$825,A26)</f>
        <v/>
      </c>
      <c r="C26" s="16">
        <f>COUNTIFS('架電リスト'!$B$5:$B$825,A26,'架電リスト'!$E$5:$E$825,"&lt;&gt;")</f>
        <v/>
      </c>
      <c r="D26" s="16">
        <f>B26-COUNTIFS('架電リスト'!$B$5:$B$825,A26,'架電リスト'!$J$5:$J$825,"未架電")-COUNTIFS('架電リスト'!$B$5:$B$825,A26,'架電リスト'!$J$5:$J$825,"")</f>
        <v/>
      </c>
      <c r="E26" s="16">
        <f>COUNTIFS('架電リスト'!$B$5:$B$825,$A26,'架電リスト'!$J$5:$J$825,"不在・折返し待ち")</f>
        <v/>
      </c>
      <c r="F26" s="16">
        <f>COUNTIFS('架電リスト'!$B$5:$B$825,$A26,'架電リスト'!$J$5:$J$825,"担当者不在")</f>
        <v/>
      </c>
      <c r="G26" s="16">
        <f>COUNTIFS('架電リスト'!$B$5:$B$825,$A26,'架電リスト'!$J$5:$J$825,"資料送付")</f>
        <v/>
      </c>
      <c r="H26" s="16">
        <f>COUNTIFS('架電リスト'!$B$5:$B$825,$A26,'架電リスト'!$J$5:$J$825,"アポ獲得")</f>
        <v/>
      </c>
      <c r="I26" s="16">
        <f>COUNTIFS('架電リスト'!$B$5:$B$825,$A26,'架電リスト'!$J$5:$J$825,"検討中")</f>
        <v/>
      </c>
      <c r="J26" s="16">
        <f>COUNTIFS('架電リスト'!$B$5:$B$825,$A26,'架電リスト'!$J$5:$J$825,"NG")</f>
        <v/>
      </c>
      <c r="K26" s="16">
        <f>COUNTIFS('架電リスト'!$B$5:$B$825,$A26,'架電リスト'!$J$5:$J$825,"番号不明")</f>
        <v/>
      </c>
    </row>
    <row r="27">
      <c r="A27" s="17" t="inlineStr">
        <is>
          <t>合計</t>
        </is>
      </c>
      <c r="B27" s="17">
        <f>SUM(B4:B26)</f>
        <v/>
      </c>
      <c r="C27" s="17">
        <f>SUM(C4:C26)</f>
        <v/>
      </c>
      <c r="D27" s="17">
        <f>SUM(D4:D26)</f>
        <v/>
      </c>
      <c r="E27" s="17">
        <f>SUM(E4:E26)</f>
        <v/>
      </c>
      <c r="F27" s="17">
        <f>SUM(F4:F26)</f>
        <v/>
      </c>
      <c r="G27" s="17">
        <f>SUM(G4:G26)</f>
        <v/>
      </c>
      <c r="H27" s="17">
        <f>SUM(H4:H26)</f>
        <v/>
      </c>
      <c r="I27" s="17">
        <f>SUM(I4:I26)</f>
        <v/>
      </c>
      <c r="J27" s="17">
        <f>SUM(J4:J26)</f>
        <v/>
      </c>
      <c r="K27" s="17">
        <f>SUM(K4:K26)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・出典：ご提供いただいた学校ネットの検索結果（私立高校・23都道府県、821校）の貼り付けデータ。並び順は都道府県ごとに元データの掲載順です。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2026-10-13T08:56:10Z</dcterms:created>
  <dcterms:modified xsi:type="dcterms:W3CDTF">2026-10-13T08:56:11Z</dcterms:modified>
</cp:coreProperties>
</file>