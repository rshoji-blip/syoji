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'架電リスト'!$A$4:$O$1374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Relationship Type="http://schemas.openxmlformats.org/officeDocument/2006/relationships/hyperlink" Target="https://www.gakkou.net/kou/view/index_306033.html" TargetMode="External" Id="rId1320" /><Relationship Type="http://schemas.openxmlformats.org/officeDocument/2006/relationships/hyperlink" Target="https://www.gakkou.net/kou/view/index_305980.html" TargetMode="External" Id="rId1321" /><Relationship Type="http://schemas.openxmlformats.org/officeDocument/2006/relationships/hyperlink" Target="https://www.gakkou.net/kou/view/index_305968.html" TargetMode="External" Id="rId1322" /><Relationship Type="http://schemas.openxmlformats.org/officeDocument/2006/relationships/hyperlink" Target="https://www.gakkou.net/kou/view/index_305977.html" TargetMode="External" Id="rId1323" /><Relationship Type="http://schemas.openxmlformats.org/officeDocument/2006/relationships/hyperlink" Target="https://www.gakkou.net/kou/view/index_305964.html" TargetMode="External" Id="rId1324" /><Relationship Type="http://schemas.openxmlformats.org/officeDocument/2006/relationships/hyperlink" Target="https://www.gakkou.net/kou/view/index_306028.html" TargetMode="External" Id="rId1325" /><Relationship Type="http://schemas.openxmlformats.org/officeDocument/2006/relationships/hyperlink" Target="https://www.gakkou.net/kou/view/index_306027.html" TargetMode="External" Id="rId1326" /><Relationship Type="http://schemas.openxmlformats.org/officeDocument/2006/relationships/hyperlink" Target="https://www.gakkou.net/kou/view/index_306021.html" TargetMode="External" Id="rId1327" /><Relationship Type="http://schemas.openxmlformats.org/officeDocument/2006/relationships/hyperlink" Target="https://www.gakkou.net/kou/view/index_305993.html" TargetMode="External" Id="rId1328" /><Relationship Type="http://schemas.openxmlformats.org/officeDocument/2006/relationships/hyperlink" Target="https://www.gakkou.net/kou/view/index_305976.html" TargetMode="External" Id="rId1329" /><Relationship Type="http://schemas.openxmlformats.org/officeDocument/2006/relationships/hyperlink" Target="https://www.gakkou.net/kou/view/index_306007.html" TargetMode="External" Id="rId1330" /><Relationship Type="http://schemas.openxmlformats.org/officeDocument/2006/relationships/hyperlink" Target="https://www.gakkou.net/kou/view/index_306005.html" TargetMode="External" Id="rId1331" /><Relationship Type="http://schemas.openxmlformats.org/officeDocument/2006/relationships/hyperlink" Target="https://www.gakkou.net/kou/view/index_305996.html" TargetMode="External" Id="rId1332" /><Relationship Type="http://schemas.openxmlformats.org/officeDocument/2006/relationships/hyperlink" Target="https://www.gakkou.net/kou/view/index_305974.html" TargetMode="External" Id="rId1333" /><Relationship Type="http://schemas.openxmlformats.org/officeDocument/2006/relationships/hyperlink" Target="https://www.gakkou.net/kou/view/index_306107.html" TargetMode="External" Id="rId1334" /><Relationship Type="http://schemas.openxmlformats.org/officeDocument/2006/relationships/hyperlink" Target="https://www.gakkou.net/kou/view/index_306114.html" TargetMode="External" Id="rId1335" /><Relationship Type="http://schemas.openxmlformats.org/officeDocument/2006/relationships/hyperlink" Target="https://www.gakkou.net/kou/view/index_306078.html" TargetMode="External" Id="rId1336" /><Relationship Type="http://schemas.openxmlformats.org/officeDocument/2006/relationships/hyperlink" Target="https://www.gakkou.net/kou/view/index_306100.html" TargetMode="External" Id="rId1337" /><Relationship Type="http://schemas.openxmlformats.org/officeDocument/2006/relationships/hyperlink" Target="https://www.gakkou.net/kou/view/index_306105.html" TargetMode="External" Id="rId1338" /><Relationship Type="http://schemas.openxmlformats.org/officeDocument/2006/relationships/hyperlink" Target="https://www.gakkou.net/kou/view/index_306112.html" TargetMode="External" Id="rId1339" /><Relationship Type="http://schemas.openxmlformats.org/officeDocument/2006/relationships/hyperlink" Target="https://www.gakkou.net/kou/view/index_306056.html" TargetMode="External" Id="rId1340" /><Relationship Type="http://schemas.openxmlformats.org/officeDocument/2006/relationships/hyperlink" Target="https://www.gakkou.net/kou/view/index_306072.html" TargetMode="External" Id="rId1341" /><Relationship Type="http://schemas.openxmlformats.org/officeDocument/2006/relationships/hyperlink" Target="https://www.gakkou.net/kou/view/index_306060.html" TargetMode="External" Id="rId1342" /><Relationship Type="http://schemas.openxmlformats.org/officeDocument/2006/relationships/hyperlink" Target="https://www.gakkou.net/kou/view/index_306063.html" TargetMode="External" Id="rId1343" /><Relationship Type="http://schemas.openxmlformats.org/officeDocument/2006/relationships/hyperlink" Target="https://www.gakkou.net/kou/view/index_306095.html" TargetMode="External" Id="rId1344" /><Relationship Type="http://schemas.openxmlformats.org/officeDocument/2006/relationships/hyperlink" Target="https://www.gakkou.net/kou/view/index_306092.html" TargetMode="External" Id="rId1345" /><Relationship Type="http://schemas.openxmlformats.org/officeDocument/2006/relationships/hyperlink" Target="https://www.gakkou.net/kou/view/index_306059.html" TargetMode="External" Id="rId1346" /><Relationship Type="http://schemas.openxmlformats.org/officeDocument/2006/relationships/hyperlink" Target="https://www.gakkou.net/kou/view/index_306061.html" TargetMode="External" Id="rId1347" /><Relationship Type="http://schemas.openxmlformats.org/officeDocument/2006/relationships/hyperlink" Target="https://www.gakkou.net/kou/view/index_306054.html" TargetMode="External" Id="rId1348" /><Relationship Type="http://schemas.openxmlformats.org/officeDocument/2006/relationships/hyperlink" Target="https://www.gakkou.net/kou/view/index_306122.html" TargetMode="External" Id="rId1349" /><Relationship Type="http://schemas.openxmlformats.org/officeDocument/2006/relationships/hyperlink" Target="https://www.gakkou.net/kou/view/index_306198.html" TargetMode="External" Id="rId1350" /><Relationship Type="http://schemas.openxmlformats.org/officeDocument/2006/relationships/hyperlink" Target="https://www.gakkou.net/kou/view/index_306182.html" TargetMode="External" Id="rId1351" /><Relationship Type="http://schemas.openxmlformats.org/officeDocument/2006/relationships/hyperlink" Target="https://www.gakkou.net/kou/view/index_306208.html" TargetMode="External" Id="rId1352" /><Relationship Type="http://schemas.openxmlformats.org/officeDocument/2006/relationships/hyperlink" Target="https://www.gakkou.net/kou/view/index_306126.html" TargetMode="External" Id="rId1353" /><Relationship Type="http://schemas.openxmlformats.org/officeDocument/2006/relationships/hyperlink" Target="https://www.gakkou.net/kou/view/index_306431.html" TargetMode="External" Id="rId1354" /><Relationship Type="http://schemas.openxmlformats.org/officeDocument/2006/relationships/hyperlink" Target="https://www.gakkou.net/kou/view/index_306123.html" TargetMode="External" Id="rId1355" /><Relationship Type="http://schemas.openxmlformats.org/officeDocument/2006/relationships/hyperlink" Target="https://www.gakkou.net/kou/view/index_306131.html" TargetMode="External" Id="rId1356" /><Relationship Type="http://schemas.openxmlformats.org/officeDocument/2006/relationships/hyperlink" Target="https://www.gakkou.net/kou/view/index_306209.html" TargetMode="External" Id="rId1357" /><Relationship Type="http://schemas.openxmlformats.org/officeDocument/2006/relationships/hyperlink" Target="https://www.gakkou.net/kou/view/index_306124.html" TargetMode="External" Id="rId1358" /><Relationship Type="http://schemas.openxmlformats.org/officeDocument/2006/relationships/hyperlink" Target="https://www.gakkou.net/kou/view/index_306213.html" TargetMode="External" Id="rId1359" /><Relationship Type="http://schemas.openxmlformats.org/officeDocument/2006/relationships/hyperlink" Target="https://www.gakkou.net/kou/view/index_306158.html" TargetMode="External" Id="rId1360" /><Relationship Type="http://schemas.openxmlformats.org/officeDocument/2006/relationships/hyperlink" Target="https://www.gakkou.net/kou/view/index_306184.html" TargetMode="External" Id="rId1361" /><Relationship Type="http://schemas.openxmlformats.org/officeDocument/2006/relationships/hyperlink" Target="https://www.gakkou.net/kou/view/index_306130.html" TargetMode="External" Id="rId1362" /><Relationship Type="http://schemas.openxmlformats.org/officeDocument/2006/relationships/hyperlink" Target="https://www.gakkou.net/kou/view/index_306226.html" TargetMode="External" Id="rId1363" /><Relationship Type="http://schemas.openxmlformats.org/officeDocument/2006/relationships/hyperlink" Target="https://www.gakkou.net/kou/view/index_306127.html" TargetMode="External" Id="rId1364" /><Relationship Type="http://schemas.openxmlformats.org/officeDocument/2006/relationships/hyperlink" Target="https://www.gakkou.net/kou/view/index_306149.html" TargetMode="External" Id="rId1365" /><Relationship Type="http://schemas.openxmlformats.org/officeDocument/2006/relationships/hyperlink" Target="https://www.gakkou.net/kou/view/index_306190.html" TargetMode="External" Id="rId1366" /><Relationship Type="http://schemas.openxmlformats.org/officeDocument/2006/relationships/hyperlink" Target="https://www.gakkou.net/kou/view/index_306492.html" TargetMode="External" Id="rId1367" /><Relationship Type="http://schemas.openxmlformats.org/officeDocument/2006/relationships/hyperlink" Target="https://www.gakkou.net/kou/view/index_306132.html" TargetMode="External" Id="rId1368" /><Relationship Type="http://schemas.openxmlformats.org/officeDocument/2006/relationships/hyperlink" Target="https://www.gakkou.net/kou/view/index_306220.html" TargetMode="External" Id="rId1369" /><Relationship Type="http://schemas.openxmlformats.org/officeDocument/2006/relationships/hyperlink" Target="https://www.gakkou.net/kou/view/index_306173.html" TargetMode="External" Id="rId137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7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架電リスト（46都道府県／1370校）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  <row r="1300">
      <c r="A1300" s="4" t="n">
        <v>1296</v>
      </c>
      <c r="B1300" s="5" t="inlineStr">
        <is>
          <t>熊本県</t>
        </is>
      </c>
      <c r="C1300" s="5" t="inlineStr">
        <is>
          <t>荒尾市</t>
        </is>
      </c>
      <c r="D1300" s="5" t="inlineStr">
        <is>
          <t>有明高等学校</t>
        </is>
      </c>
      <c r="E1300" s="6" t="inlineStr">
        <is>
          <t>0968-63-0545</t>
        </is>
      </c>
      <c r="F1300" s="7" t="inlineStr">
        <is>
          <t>高</t>
        </is>
      </c>
      <c r="G1300" s="5" t="inlineStr">
        <is>
          <t>普通科・専門学科</t>
        </is>
      </c>
      <c r="H1300" s="8" t="n"/>
      <c r="I1300" s="9" t="n"/>
      <c r="J1300" s="9" t="inlineStr">
        <is>
          <t>未架電</t>
        </is>
      </c>
      <c r="K1300" s="8" t="n"/>
      <c r="L1300" s="9" t="n"/>
      <c r="M1300" s="10" t="inlineStr">
        <is>
          <t>職員室0968-63-0958、衛生看護専攻科0968-63-0546</t>
        </is>
      </c>
      <c r="N1300" s="11" t="inlineStr">
        <is>
          <t>https://ariake-hs.ed.jp/contact/</t>
        </is>
      </c>
      <c r="O1300" s="12" t="inlineStr">
        <is>
          <t>開く</t>
        </is>
      </c>
    </row>
    <row r="1301">
      <c r="A1301" s="4" t="n">
        <v>1297</v>
      </c>
      <c r="B1301" s="5" t="inlineStr">
        <is>
          <t>熊本県</t>
        </is>
      </c>
      <c r="C1301" s="5" t="inlineStr">
        <is>
          <t>熊本市中央区</t>
        </is>
      </c>
      <c r="D1301" s="5" t="inlineStr">
        <is>
          <t>開新高等学校</t>
        </is>
      </c>
      <c r="E1301" s="6" t="inlineStr">
        <is>
          <t>096-366-1201</t>
        </is>
      </c>
      <c r="F1301" s="7" t="inlineStr">
        <is>
          <t>高</t>
        </is>
      </c>
      <c r="G1301" s="5" t="inlineStr">
        <is>
          <t>普通科・専門学科・総合学科</t>
        </is>
      </c>
      <c r="H1301" s="8" t="n"/>
      <c r="I1301" s="9" t="n"/>
      <c r="J1301" s="9" t="inlineStr">
        <is>
          <t>未架電</t>
        </is>
      </c>
      <c r="K1301" s="8" t="n"/>
      <c r="L1301" s="9" t="n"/>
      <c r="M1301" s="10" t="n"/>
      <c r="N1301" s="11" t="inlineStr">
        <is>
          <t>https://www.kaishin.ed.jp/</t>
        </is>
      </c>
      <c r="O1301" s="12" t="inlineStr">
        <is>
          <t>開く</t>
        </is>
      </c>
    </row>
    <row r="1302">
      <c r="A1302" s="4" t="n">
        <v>1298</v>
      </c>
      <c r="B1302" s="5" t="inlineStr">
        <is>
          <t>熊本県</t>
        </is>
      </c>
      <c r="C1302" s="5" t="inlineStr">
        <is>
          <t>菊池市</t>
        </is>
      </c>
      <c r="D1302" s="5" t="inlineStr">
        <is>
          <t>菊池女子高等学校</t>
        </is>
      </c>
      <c r="E1302" s="6" t="inlineStr">
        <is>
          <t>0968-25-3032</t>
        </is>
      </c>
      <c r="F1302" s="7" t="inlineStr">
        <is>
          <t>高</t>
        </is>
      </c>
      <c r="G1302" s="5" t="inlineStr">
        <is>
          <t>普通科・専門学科</t>
        </is>
      </c>
      <c r="H1302" s="8" t="n"/>
      <c r="I1302" s="9" t="n"/>
      <c r="J1302" s="9" t="inlineStr">
        <is>
          <t>未架電</t>
        </is>
      </c>
      <c r="K1302" s="8" t="n"/>
      <c r="L1302" s="9" t="n"/>
      <c r="M1302" s="10" t="inlineStr">
        <is>
          <t>2026年9月に「菊女北辰高等学校」へ校名変更（男子も受入れ）</t>
        </is>
      </c>
      <c r="N1302" s="11" t="inlineStr">
        <is>
          <t>https://www.kikuchijoshi.ac.jp/</t>
        </is>
      </c>
      <c r="O1302" s="12" t="inlineStr">
        <is>
          <t>開く</t>
        </is>
      </c>
    </row>
    <row r="1303">
      <c r="A1303" s="4" t="n">
        <v>1299</v>
      </c>
      <c r="B1303" s="5" t="inlineStr">
        <is>
          <t>熊本県</t>
        </is>
      </c>
      <c r="C1303" s="5" t="inlineStr">
        <is>
          <t>熊本市中央区</t>
        </is>
      </c>
      <c r="D1303" s="5" t="inlineStr">
        <is>
          <t>九州学院高等学校</t>
        </is>
      </c>
      <c r="E1303" s="6" t="inlineStr">
        <is>
          <t>096-364-6134</t>
        </is>
      </c>
      <c r="F1303" s="7" t="inlineStr">
        <is>
          <t>高</t>
        </is>
      </c>
      <c r="G1303" s="5" t="inlineStr">
        <is>
          <t>普通科</t>
        </is>
      </c>
      <c r="H1303" s="8" t="n"/>
      <c r="I1303" s="9" t="n"/>
      <c r="J1303" s="9" t="inlineStr">
        <is>
          <t>未架電</t>
        </is>
      </c>
      <c r="K1303" s="8" t="n"/>
      <c r="L1303" s="9" t="n"/>
      <c r="M1303" s="10" t="n"/>
      <c r="N1303" s="11" t="inlineStr">
        <is>
          <t>https://kyugaku.ed.jp/hs/guide/</t>
        </is>
      </c>
      <c r="O1303" s="12" t="inlineStr">
        <is>
          <t>開く</t>
        </is>
      </c>
    </row>
    <row r="1304">
      <c r="A1304" s="4" t="n">
        <v>1300</v>
      </c>
      <c r="B1304" s="5" t="inlineStr">
        <is>
          <t>熊本県</t>
        </is>
      </c>
      <c r="C1304" s="5" t="inlineStr">
        <is>
          <t>熊本市中央区</t>
        </is>
      </c>
      <c r="D1304" s="5" t="inlineStr">
        <is>
          <t>熊本学園大学付属高等学校</t>
        </is>
      </c>
      <c r="E1304" s="6" t="inlineStr">
        <is>
          <t>096-371-2551</t>
        </is>
      </c>
      <c r="F1304" s="7" t="inlineStr">
        <is>
          <t>高</t>
        </is>
      </c>
      <c r="G1304" s="5" t="inlineStr">
        <is>
          <t>普通科</t>
        </is>
      </c>
      <c r="H1304" s="8" t="n"/>
      <c r="I1304" s="9" t="n"/>
      <c r="J1304" s="9" t="inlineStr">
        <is>
          <t>未架電</t>
        </is>
      </c>
      <c r="K1304" s="8" t="n"/>
      <c r="L1304" s="9" t="n"/>
      <c r="M1304" s="10" t="inlineStr">
        <is>
          <t>付属中学校は096-364-2316</t>
        </is>
      </c>
      <c r="N1304" s="11" t="inlineStr">
        <is>
          <t>https://www.kumagaku-h.ed.jp/</t>
        </is>
      </c>
      <c r="O1304" s="12" t="inlineStr">
        <is>
          <t>開く</t>
        </is>
      </c>
    </row>
    <row r="1305">
      <c r="A1305" s="4" t="n">
        <v>1301</v>
      </c>
      <c r="B1305" s="5" t="inlineStr">
        <is>
          <t>熊本県</t>
        </is>
      </c>
      <c r="C1305" s="5" t="inlineStr">
        <is>
          <t>熊本市中央区</t>
        </is>
      </c>
      <c r="D1305" s="5" t="inlineStr">
        <is>
          <t>熊本国府高等学校</t>
        </is>
      </c>
      <c r="E1305" s="6" t="inlineStr">
        <is>
          <t>096-366-1276</t>
        </is>
      </c>
      <c r="F1305" s="7" t="inlineStr">
        <is>
          <t>高</t>
        </is>
      </c>
      <c r="G1305" s="5" t="inlineStr">
        <is>
          <t>普通科・専門学科</t>
        </is>
      </c>
      <c r="H1305" s="8" t="n"/>
      <c r="I1305" s="9" t="n"/>
      <c r="J1305" s="9" t="inlineStr">
        <is>
          <t>未架電</t>
        </is>
      </c>
      <c r="K1305" s="8" t="n"/>
      <c r="L1305" s="9" t="n"/>
      <c r="M1305" s="10" t="n"/>
      <c r="N1305" s="11" t="inlineStr">
        <is>
          <t>http://www.kumamotokokufu-h.ed.jp/access.html</t>
        </is>
      </c>
      <c r="O1305" s="12" t="inlineStr">
        <is>
          <t>開く</t>
        </is>
      </c>
    </row>
    <row r="1306">
      <c r="A1306" s="4" t="n">
        <v>1302</v>
      </c>
      <c r="B1306" s="5" t="inlineStr">
        <is>
          <t>熊本県</t>
        </is>
      </c>
      <c r="C1306" s="5" t="inlineStr">
        <is>
          <t>熊本市中央区</t>
        </is>
      </c>
      <c r="D1306" s="5" t="inlineStr">
        <is>
          <t>熊本信愛女学院高等学校</t>
        </is>
      </c>
      <c r="E1306" s="6" t="inlineStr">
        <is>
          <t>096-354-5355</t>
        </is>
      </c>
      <c r="F1306" s="7" t="inlineStr">
        <is>
          <t>高</t>
        </is>
      </c>
      <c r="G1306" s="5" t="inlineStr">
        <is>
          <t>普通科</t>
        </is>
      </c>
      <c r="H1306" s="8" t="n"/>
      <c r="I1306" s="9" t="n"/>
      <c r="J1306" s="9" t="inlineStr">
        <is>
          <t>未架電</t>
        </is>
      </c>
      <c r="K1306" s="8" t="n"/>
      <c r="L1306" s="9" t="n"/>
      <c r="M1306" s="10" t="n"/>
      <c r="N1306" s="11" t="inlineStr">
        <is>
          <t>https://www.kumamoto-shin-ai.ed.jp/</t>
        </is>
      </c>
      <c r="O1306" s="12" t="inlineStr">
        <is>
          <t>開く</t>
        </is>
      </c>
    </row>
    <row r="1307">
      <c r="A1307" s="4" t="n">
        <v>1303</v>
      </c>
      <c r="B1307" s="5" t="inlineStr">
        <is>
          <t>熊本県</t>
        </is>
      </c>
      <c r="C1307" s="5" t="inlineStr">
        <is>
          <t>南阿蘇村</t>
        </is>
      </c>
      <c r="D1307" s="5" t="inlineStr">
        <is>
          <t>くまもと清陵高等学校</t>
        </is>
      </c>
      <c r="E1307" s="6" t="inlineStr">
        <is>
          <t>0967-63-8251</t>
        </is>
      </c>
      <c r="F1307" s="7" t="inlineStr">
        <is>
          <t>高</t>
        </is>
      </c>
      <c r="G1307" s="5" t="inlineStr">
        <is>
          <t>普通科</t>
        </is>
      </c>
      <c r="H1307" s="8" t="n"/>
      <c r="I1307" s="9" t="n"/>
      <c r="J1307" s="9" t="inlineStr">
        <is>
          <t>未架電</t>
        </is>
      </c>
      <c r="K1307" s="8" t="n"/>
      <c r="L1307" s="9" t="n"/>
      <c r="M1307" s="10" t="inlineStr">
        <is>
          <t>通信制・南阿蘇村の本校</t>
        </is>
      </c>
      <c r="N1307" s="11" t="inlineStr">
        <is>
          <t>https://www.k-seiryo.jp/</t>
        </is>
      </c>
      <c r="O1307" s="12" t="inlineStr">
        <is>
          <t>開く</t>
        </is>
      </c>
    </row>
    <row r="1308">
      <c r="A1308" s="4" t="n">
        <v>1304</v>
      </c>
      <c r="B1308" s="5" t="inlineStr">
        <is>
          <t>熊本県</t>
        </is>
      </c>
      <c r="C1308" s="5" t="inlineStr">
        <is>
          <t>熊本市中央区</t>
        </is>
      </c>
      <c r="D1308" s="5" t="inlineStr">
        <is>
          <t>熊本中央高等学校</t>
        </is>
      </c>
      <c r="E1308" s="6" t="inlineStr">
        <is>
          <t>096-354-2333</t>
        </is>
      </c>
      <c r="F1308" s="7" t="inlineStr">
        <is>
          <t>高</t>
        </is>
      </c>
      <c r="G1308" s="5" t="inlineStr">
        <is>
          <t>普通科・専門学科</t>
        </is>
      </c>
      <c r="H1308" s="8" t="n"/>
      <c r="I1308" s="9" t="n"/>
      <c r="J1308" s="9" t="inlineStr">
        <is>
          <t>未架電</t>
        </is>
      </c>
      <c r="K1308" s="8" t="n"/>
      <c r="L1308" s="9" t="n"/>
      <c r="M1308" s="10" t="inlineStr">
        <is>
          <t>看護専攻科は096-354-2337</t>
        </is>
      </c>
      <c r="N1308" s="11" t="inlineStr">
        <is>
          <t>https://kasumigakuen.ac.jp/pages/248/</t>
        </is>
      </c>
      <c r="O1308" s="12" t="inlineStr">
        <is>
          <t>開く</t>
        </is>
      </c>
    </row>
    <row r="1309">
      <c r="A1309" s="4" t="n">
        <v>1305</v>
      </c>
      <c r="B1309" s="5" t="inlineStr">
        <is>
          <t>熊本県</t>
        </is>
      </c>
      <c r="C1309" s="5" t="inlineStr">
        <is>
          <t>熊本市東区</t>
        </is>
      </c>
      <c r="D1309" s="5" t="inlineStr">
        <is>
          <t>熊本マリスト学園高等学校</t>
        </is>
      </c>
      <c r="E1309" s="6" t="inlineStr">
        <is>
          <t>096-368-2131</t>
        </is>
      </c>
      <c r="F1309" s="7" t="inlineStr">
        <is>
          <t>高</t>
        </is>
      </c>
      <c r="G1309" s="5" t="inlineStr">
        <is>
          <t>普通科</t>
        </is>
      </c>
      <c r="H1309" s="8" t="n"/>
      <c r="I1309" s="9" t="n"/>
      <c r="J1309" s="9" t="inlineStr">
        <is>
          <t>未架電</t>
        </is>
      </c>
      <c r="K1309" s="8" t="n"/>
      <c r="L1309" s="9" t="n"/>
      <c r="M1309" s="10" t="inlineStr">
        <is>
          <t>中高共通番号</t>
        </is>
      </c>
      <c r="N1309" s="11" t="inlineStr">
        <is>
          <t>https://www.marist.ed.jp/</t>
        </is>
      </c>
      <c r="O1309" s="12" t="inlineStr">
        <is>
          <t>開く</t>
        </is>
      </c>
    </row>
    <row r="1310">
      <c r="A1310" s="4" t="n">
        <v>1306</v>
      </c>
      <c r="B1310" s="5" t="inlineStr">
        <is>
          <t>熊本県</t>
        </is>
      </c>
      <c r="C1310" s="5" t="inlineStr">
        <is>
          <t>熊本市中央区</t>
        </is>
      </c>
      <c r="D1310" s="5" t="inlineStr">
        <is>
          <t>慶誠高等学校</t>
        </is>
      </c>
      <c r="E1310" s="6" t="inlineStr">
        <is>
          <t>096-366-0128</t>
        </is>
      </c>
      <c r="F1310" s="7" t="inlineStr">
        <is>
          <t>高</t>
        </is>
      </c>
      <c r="G1310" s="5" t="inlineStr">
        <is>
          <t>普通科・専門学科</t>
        </is>
      </c>
      <c r="H1310" s="8" t="n"/>
      <c r="I1310" s="9" t="n"/>
      <c r="J1310" s="9" t="inlineStr">
        <is>
          <t>未架電</t>
        </is>
      </c>
      <c r="K1310" s="8" t="n"/>
      <c r="L1310" s="9" t="n"/>
      <c r="M1310" s="10" t="n"/>
      <c r="N1310" s="11" t="inlineStr">
        <is>
          <t>https://keisei-h.ed.jp/</t>
        </is>
      </c>
      <c r="O1310" s="12" t="inlineStr">
        <is>
          <t>開く</t>
        </is>
      </c>
    </row>
    <row r="1311">
      <c r="A1311" s="4" t="n">
        <v>1307</v>
      </c>
      <c r="B1311" s="5" t="inlineStr">
        <is>
          <t>熊本県</t>
        </is>
      </c>
      <c r="C1311" s="5" t="inlineStr">
        <is>
          <t>八代市</t>
        </is>
      </c>
      <c r="D1311" s="5" t="inlineStr">
        <is>
          <t>秀岳館高等学校</t>
        </is>
      </c>
      <c r="E1311" s="6" t="inlineStr">
        <is>
          <t>0965-33-5134</t>
        </is>
      </c>
      <c r="F1311" s="7" t="inlineStr">
        <is>
          <t>高</t>
        </is>
      </c>
      <c r="G1311" s="5" t="inlineStr">
        <is>
          <t>普通科・専門学科</t>
        </is>
      </c>
      <c r="H1311" s="8" t="n"/>
      <c r="I1311" s="9" t="n"/>
      <c r="J1311" s="9" t="inlineStr">
        <is>
          <t>未架電</t>
        </is>
      </c>
      <c r="K1311" s="8" t="n"/>
      <c r="L1311" s="9" t="n"/>
      <c r="M1311" s="10" t="n"/>
      <c r="N1311" s="11" t="inlineStr">
        <is>
          <t>https://syugakukan.ed.jp/</t>
        </is>
      </c>
      <c r="O1311" s="12" t="inlineStr">
        <is>
          <t>開く</t>
        </is>
      </c>
    </row>
    <row r="1312">
      <c r="A1312" s="4" t="n">
        <v>1308</v>
      </c>
      <c r="B1312" s="5" t="inlineStr">
        <is>
          <t>熊本県</t>
        </is>
      </c>
      <c r="C1312" s="5" t="inlineStr">
        <is>
          <t>熊本市中央区</t>
        </is>
      </c>
      <c r="D1312" s="5" t="inlineStr">
        <is>
          <t>尚絅高等学校</t>
        </is>
      </c>
      <c r="E1312" s="6" t="inlineStr">
        <is>
          <t>096-366-0295</t>
        </is>
      </c>
      <c r="F1312" s="7" t="inlineStr">
        <is>
          <t>高</t>
        </is>
      </c>
      <c r="G1312" s="5" t="inlineStr">
        <is>
          <t>普通科</t>
        </is>
      </c>
      <c r="H1312" s="8" t="n"/>
      <c r="I1312" s="9" t="n"/>
      <c r="J1312" s="9" t="inlineStr">
        <is>
          <t>未架電</t>
        </is>
      </c>
      <c r="K1312" s="8" t="n"/>
      <c r="L1312" s="9" t="n"/>
      <c r="M1312" s="10" t="inlineStr">
        <is>
          <t>中高共通。学園事務局は096-364-0116</t>
        </is>
      </c>
      <c r="N1312" s="11" t="inlineStr">
        <is>
          <t>https://www.shokei-gakuen.ac.jp/jh-hs/contacts/</t>
        </is>
      </c>
      <c r="O1312" s="12" t="inlineStr">
        <is>
          <t>開く</t>
        </is>
      </c>
    </row>
    <row r="1313">
      <c r="A1313" s="4" t="n">
        <v>1309</v>
      </c>
      <c r="B1313" s="5" t="inlineStr">
        <is>
          <t>熊本県</t>
        </is>
      </c>
      <c r="C1313" s="5" t="inlineStr">
        <is>
          <t>熊本市中央区</t>
        </is>
      </c>
      <c r="D1313" s="5" t="inlineStr">
        <is>
          <t>真和高等学校</t>
        </is>
      </c>
      <c r="E1313" s="6" t="inlineStr">
        <is>
          <t>096-364-8176</t>
        </is>
      </c>
      <c r="F1313" s="7" t="inlineStr">
        <is>
          <t>高</t>
        </is>
      </c>
      <c r="G1313" s="5" t="inlineStr">
        <is>
          <t>普通科</t>
        </is>
      </c>
      <c r="H1313" s="8" t="n"/>
      <c r="I1313" s="9" t="n"/>
      <c r="J1313" s="9" t="inlineStr">
        <is>
          <t>未架電</t>
        </is>
      </c>
      <c r="K1313" s="8" t="n"/>
      <c r="L1313" s="9" t="n"/>
      <c r="M1313" s="10" t="inlineStr">
        <is>
          <t>鎮西高校と同じ番号（鎮西学園の受付）。職員室096-366-6177の掲載もあり</t>
        </is>
      </c>
      <c r="N1313" s="11" t="inlineStr">
        <is>
          <t>https://www.shinwa.ed.jp/list00527.html</t>
        </is>
      </c>
      <c r="O1313" s="12" t="inlineStr">
        <is>
          <t>開く</t>
        </is>
      </c>
    </row>
    <row r="1314">
      <c r="A1314" s="4" t="n">
        <v>1310</v>
      </c>
      <c r="B1314" s="5" t="inlineStr">
        <is>
          <t>熊本県</t>
        </is>
      </c>
      <c r="C1314" s="5" t="inlineStr">
        <is>
          <t>山鹿市</t>
        </is>
      </c>
      <c r="D1314" s="5" t="inlineStr">
        <is>
          <t>城北高等学校（熊本県）</t>
        </is>
      </c>
      <c r="E1314" s="6" t="inlineStr">
        <is>
          <t>0968-44-8111</t>
        </is>
      </c>
      <c r="F1314" s="7" t="inlineStr">
        <is>
          <t>高</t>
        </is>
      </c>
      <c r="G1314" s="5" t="inlineStr">
        <is>
          <t>普通科・専門学科</t>
        </is>
      </c>
      <c r="H1314" s="8" t="n"/>
      <c r="I1314" s="9" t="n"/>
      <c r="J1314" s="9" t="inlineStr">
        <is>
          <t>未架電</t>
        </is>
      </c>
      <c r="K1314" s="8" t="n"/>
      <c r="L1314" s="9" t="n"/>
      <c r="M1314" s="10" t="n"/>
      <c r="N1314" s="11" t="inlineStr">
        <is>
          <t>https://johoku-hs.ed.jp/contact/</t>
        </is>
      </c>
      <c r="O1314" s="12" t="inlineStr">
        <is>
          <t>開く</t>
        </is>
      </c>
    </row>
    <row r="1315">
      <c r="A1315" s="4" t="n">
        <v>1311</v>
      </c>
      <c r="B1315" s="5" t="inlineStr">
        <is>
          <t>熊本県</t>
        </is>
      </c>
      <c r="C1315" s="5" t="inlineStr">
        <is>
          <t>玉名市</t>
        </is>
      </c>
      <c r="D1315" s="5" t="inlineStr">
        <is>
          <t>専修大学熊本玉名高等学校</t>
        </is>
      </c>
      <c r="E1315" s="6" t="inlineStr">
        <is>
          <t>0968-72-4151</t>
        </is>
      </c>
      <c r="F1315" s="7" t="inlineStr">
        <is>
          <t>高</t>
        </is>
      </c>
      <c r="G1315" s="5" t="inlineStr">
        <is>
          <t>普通科・専門学科</t>
        </is>
      </c>
      <c r="H1315" s="8" t="n"/>
      <c r="I1315" s="9" t="n"/>
      <c r="J1315" s="9" t="inlineStr">
        <is>
          <t>未架電</t>
        </is>
      </c>
      <c r="K1315" s="8" t="n"/>
      <c r="L1315" s="9" t="n"/>
      <c r="M1315" s="10" t="n"/>
      <c r="N1315" s="11" t="inlineStr">
        <is>
          <t>http://www.senshu.ac.jp/access</t>
        </is>
      </c>
      <c r="O1315" s="12" t="inlineStr">
        <is>
          <t>開く</t>
        </is>
      </c>
    </row>
    <row r="1316">
      <c r="A1316" s="4" t="n">
        <v>1312</v>
      </c>
      <c r="B1316" s="5" t="inlineStr">
        <is>
          <t>熊本県</t>
        </is>
      </c>
      <c r="C1316" s="5" t="inlineStr">
        <is>
          <t>玉名市</t>
        </is>
      </c>
      <c r="D1316" s="5" t="inlineStr">
        <is>
          <t>玉名女子高等学校</t>
        </is>
      </c>
      <c r="E1316" s="6" t="inlineStr">
        <is>
          <t>0968-72-5161</t>
        </is>
      </c>
      <c r="F1316" s="7" t="inlineStr">
        <is>
          <t>高</t>
        </is>
      </c>
      <c r="G1316" s="5" t="inlineStr">
        <is>
          <t>普通科・専門学科</t>
        </is>
      </c>
      <c r="H1316" s="8" t="n"/>
      <c r="I1316" s="9" t="n"/>
      <c r="J1316" s="9" t="inlineStr">
        <is>
          <t>未架電</t>
        </is>
      </c>
      <c r="K1316" s="8" t="n"/>
      <c r="L1316" s="9" t="n"/>
      <c r="M1316" s="10" t="n"/>
      <c r="N1316" s="11" t="inlineStr">
        <is>
          <t>http://www.tamanajoshi-h.ed.jp/</t>
        </is>
      </c>
      <c r="O1316" s="12" t="inlineStr">
        <is>
          <t>開く</t>
        </is>
      </c>
    </row>
    <row r="1317">
      <c r="A1317" s="4" t="n">
        <v>1313</v>
      </c>
      <c r="B1317" s="5" t="inlineStr">
        <is>
          <t>熊本県</t>
        </is>
      </c>
      <c r="C1317" s="5" t="inlineStr">
        <is>
          <t>熊本市中央区</t>
        </is>
      </c>
      <c r="D1317" s="5" t="inlineStr">
        <is>
          <t>鎮西高等学校</t>
        </is>
      </c>
      <c r="E1317" s="6" t="inlineStr">
        <is>
          <t>096-364-8176</t>
        </is>
      </c>
      <c r="F1317" s="7" t="inlineStr">
        <is>
          <t>高</t>
        </is>
      </c>
      <c r="G1317" s="5" t="inlineStr">
        <is>
          <t>普通科</t>
        </is>
      </c>
      <c r="H1317" s="8" t="n"/>
      <c r="I1317" s="9" t="n"/>
      <c r="J1317" s="9" t="inlineStr">
        <is>
          <t>未架電</t>
        </is>
      </c>
      <c r="K1317" s="8" t="n"/>
      <c r="L1317" s="9" t="n"/>
      <c r="M1317" s="10" t="inlineStr">
        <is>
          <t>真和中高と同じ番号（鎮西学園）</t>
        </is>
      </c>
      <c r="N1317" s="11" t="inlineStr">
        <is>
          <t>http://www.chinzei.ed.jp/index.html</t>
        </is>
      </c>
      <c r="O1317" s="12" t="inlineStr">
        <is>
          <t>開く</t>
        </is>
      </c>
    </row>
    <row r="1318">
      <c r="A1318" s="4" t="n">
        <v>1314</v>
      </c>
      <c r="B1318" s="5" t="inlineStr">
        <is>
          <t>熊本県</t>
        </is>
      </c>
      <c r="C1318" s="5" t="inlineStr">
        <is>
          <t>熊本市東区</t>
        </is>
      </c>
      <c r="D1318" s="5" t="inlineStr">
        <is>
          <t>東海大学付属熊本星翔高等学校</t>
        </is>
      </c>
      <c r="E1318" s="6" t="inlineStr">
        <is>
          <t>096-382-1146</t>
        </is>
      </c>
      <c r="F1318" s="7" t="inlineStr">
        <is>
          <t>高</t>
        </is>
      </c>
      <c r="G1318" s="5" t="inlineStr">
        <is>
          <t>普通科</t>
        </is>
      </c>
      <c r="H1318" s="8" t="n"/>
      <c r="I1318" s="9" t="n"/>
      <c r="J1318" s="9" t="inlineStr">
        <is>
          <t>未架電</t>
        </is>
      </c>
      <c r="K1318" s="8" t="n"/>
      <c r="L1318" s="9" t="n"/>
      <c r="M1318" s="10" t="n"/>
      <c r="N1318" s="11" t="inlineStr">
        <is>
          <t>https://www.seisho.tokai.ed.jp/access/</t>
        </is>
      </c>
      <c r="O1318" s="12" t="inlineStr">
        <is>
          <t>開く</t>
        </is>
      </c>
    </row>
    <row r="1319">
      <c r="A1319" s="4" t="n">
        <v>1315</v>
      </c>
      <c r="B1319" s="5" t="inlineStr">
        <is>
          <t>熊本県</t>
        </is>
      </c>
      <c r="C1319" s="5" t="inlineStr">
        <is>
          <t>山都町</t>
        </is>
      </c>
      <c r="D1319" s="5" t="inlineStr">
        <is>
          <t>一ツ葉高等学校</t>
        </is>
      </c>
      <c r="E1319" s="6" t="inlineStr">
        <is>
          <t>0967-72-3344</t>
        </is>
      </c>
      <c r="F1319" s="7" t="inlineStr">
        <is>
          <t>高</t>
        </is>
      </c>
      <c r="G1319" s="5" t="inlineStr">
        <is>
          <t>普通科</t>
        </is>
      </c>
      <c r="H1319" s="8" t="n"/>
      <c r="I1319" s="9" t="n"/>
      <c r="J1319" s="9" t="inlineStr">
        <is>
          <t>未架電</t>
        </is>
      </c>
      <c r="K1319" s="8" t="n"/>
      <c r="L1319" s="9" t="n"/>
      <c r="M1319" s="10" t="inlineStr">
        <is>
          <t>通信制・山都町の本校。フリーダイヤル0120-277-128</t>
        </is>
      </c>
      <c r="N1319" s="11" t="inlineStr">
        <is>
          <t>https://www.hitotsuba.ed.jp/campus/principal/</t>
        </is>
      </c>
      <c r="O1319" s="12" t="inlineStr">
        <is>
          <t>開く</t>
        </is>
      </c>
    </row>
    <row r="1320">
      <c r="A1320" s="4" t="n">
        <v>1316</v>
      </c>
      <c r="B1320" s="5" t="inlineStr">
        <is>
          <t>熊本県</t>
        </is>
      </c>
      <c r="C1320" s="5" t="inlineStr">
        <is>
          <t>熊本市西区</t>
        </is>
      </c>
      <c r="D1320" s="5" t="inlineStr">
        <is>
          <t>文徳高等学校</t>
        </is>
      </c>
      <c r="E1320" s="6" t="inlineStr">
        <is>
          <t>096-354-6416</t>
        </is>
      </c>
      <c r="F1320" s="7" t="inlineStr">
        <is>
          <t>高</t>
        </is>
      </c>
      <c r="G1320" s="5" t="inlineStr">
        <is>
          <t>普通科・専門学科</t>
        </is>
      </c>
      <c r="H1320" s="8" t="n"/>
      <c r="I1320" s="9" t="n"/>
      <c r="J1320" s="9" t="inlineStr">
        <is>
          <t>未架電</t>
        </is>
      </c>
      <c r="K1320" s="8" t="n"/>
      <c r="L1320" s="9" t="n"/>
      <c r="M1320" s="10" t="inlineStr">
        <is>
          <t>文徳中学校は096-323-6677</t>
        </is>
      </c>
      <c r="N1320" s="11" t="inlineStr">
        <is>
          <t>https://www.buntoku-h.ed.jp/buntoku/access/</t>
        </is>
      </c>
      <c r="O1320" s="12" t="inlineStr">
        <is>
          <t>開く</t>
        </is>
      </c>
    </row>
    <row r="1321">
      <c r="A1321" s="4" t="n">
        <v>1317</v>
      </c>
      <c r="B1321" s="5" t="inlineStr">
        <is>
          <t>熊本県</t>
        </is>
      </c>
      <c r="C1321" s="5" t="inlineStr">
        <is>
          <t>八代市</t>
        </is>
      </c>
      <c r="D1321" s="5" t="inlineStr">
        <is>
          <t>八代白百合学園高等学校</t>
        </is>
      </c>
      <c r="E1321" s="6" t="inlineStr">
        <is>
          <t>0965-32-2354</t>
        </is>
      </c>
      <c r="F1321" s="7" t="inlineStr">
        <is>
          <t>高</t>
        </is>
      </c>
      <c r="G1321" s="5" t="inlineStr">
        <is>
          <t>普通科</t>
        </is>
      </c>
      <c r="H1321" s="8" t="n"/>
      <c r="I1321" s="9" t="n"/>
      <c r="J1321" s="9" t="inlineStr">
        <is>
          <t>未架電</t>
        </is>
      </c>
      <c r="K1321" s="8" t="n"/>
      <c r="L1321" s="9" t="n"/>
      <c r="M1321" s="10" t="n"/>
      <c r="N1321" s="11" t="inlineStr">
        <is>
          <t>https://yatsushiro-shirayuri.ed.jp/</t>
        </is>
      </c>
      <c r="O1321" s="12" t="inlineStr">
        <is>
          <t>開く</t>
        </is>
      </c>
    </row>
    <row r="1322">
      <c r="A1322" s="4" t="n">
        <v>1318</v>
      </c>
      <c r="B1322" s="5" t="inlineStr">
        <is>
          <t>熊本県</t>
        </is>
      </c>
      <c r="C1322" s="5" t="inlineStr">
        <is>
          <t>天草市</t>
        </is>
      </c>
      <c r="D1322" s="5" t="inlineStr">
        <is>
          <t>勇志国際高等学校</t>
        </is>
      </c>
      <c r="E1322" s="6" t="inlineStr">
        <is>
          <t>0969-67-3911</t>
        </is>
      </c>
      <c r="F1322" s="13" t="inlineStr">
        <is>
          <t>中</t>
        </is>
      </c>
      <c r="G1322" s="5" t="inlineStr">
        <is>
          <t>普通科</t>
        </is>
      </c>
      <c r="H1322" s="8" t="n"/>
      <c r="I1322" s="9" t="n"/>
      <c r="J1322" s="9" t="inlineStr">
        <is>
          <t>未架電</t>
        </is>
      </c>
      <c r="K1322" s="8" t="n"/>
      <c r="L1322" s="9" t="n"/>
      <c r="M1322" s="10" t="inlineStr">
        <is>
          <t>通信制・天草市の本校。現公式はフリーダイヤル0120-593-135を案内</t>
        </is>
      </c>
      <c r="N1322" s="11" t="inlineStr">
        <is>
          <t>https://zba.jp/tsushin-highschool/schools/detail-yushikokusai/pref-43/</t>
        </is>
      </c>
      <c r="O1322" s="12" t="inlineStr">
        <is>
          <t>開く</t>
        </is>
      </c>
    </row>
    <row r="1323">
      <c r="A1323" s="4" t="n">
        <v>1319</v>
      </c>
      <c r="B1323" s="5" t="inlineStr">
        <is>
          <t>熊本県</t>
        </is>
      </c>
      <c r="C1323" s="5" t="inlineStr">
        <is>
          <t>熊本市中央区</t>
        </is>
      </c>
      <c r="D1323" s="5" t="inlineStr">
        <is>
          <t>ルーテル学院高等学校</t>
        </is>
      </c>
      <c r="E1323" s="6" t="inlineStr">
        <is>
          <t>096-343-3246</t>
        </is>
      </c>
      <c r="F1323" s="7" t="inlineStr">
        <is>
          <t>高</t>
        </is>
      </c>
      <c r="G1323" s="5" t="inlineStr">
        <is>
          <t>普通科</t>
        </is>
      </c>
      <c r="H1323" s="8" t="n"/>
      <c r="I1323" s="9" t="n"/>
      <c r="J1323" s="9" t="inlineStr">
        <is>
          <t>未架電</t>
        </is>
      </c>
      <c r="K1323" s="8" t="n"/>
      <c r="L1323" s="9" t="n"/>
      <c r="M1323" s="10" t="inlineStr">
        <is>
          <t>中高共通。法人事務局は096-343-3111</t>
        </is>
      </c>
      <c r="N1323" s="11" t="inlineStr">
        <is>
          <t>https://luther.ed.jp/</t>
        </is>
      </c>
      <c r="O1323" s="12" t="inlineStr">
        <is>
          <t>開く</t>
        </is>
      </c>
    </row>
    <row r="1324">
      <c r="A1324" s="4" t="n">
        <v>1320</v>
      </c>
      <c r="B1324" s="5" t="inlineStr">
        <is>
          <t>大分県</t>
        </is>
      </c>
      <c r="C1324" s="5" t="inlineStr">
        <is>
          <t>竹田市</t>
        </is>
      </c>
      <c r="D1324" s="5" t="inlineStr">
        <is>
          <t>稲葉学園高等学校</t>
        </is>
      </c>
      <c r="E1324" s="6" t="inlineStr">
        <is>
          <t>0974-63-3223</t>
        </is>
      </c>
      <c r="F1324" s="7" t="inlineStr">
        <is>
          <t>高</t>
        </is>
      </c>
      <c r="G1324" s="5" t="inlineStr">
        <is>
          <t>普通科</t>
        </is>
      </c>
      <c r="H1324" s="8" t="n"/>
      <c r="I1324" s="9" t="n"/>
      <c r="J1324" s="9" t="inlineStr">
        <is>
          <t>未架電</t>
        </is>
      </c>
      <c r="K1324" s="8" t="n"/>
      <c r="L1324" s="9" t="n"/>
      <c r="M1324" s="10" t="inlineStr">
        <is>
          <t>旧・竹田南高等学校。NAVITIMEは0974-63-3613を掲載</t>
        </is>
      </c>
      <c r="N1324" s="11" t="inlineStr">
        <is>
          <t>https://inabagakuen.jp/access/</t>
        </is>
      </c>
      <c r="O1324" s="12" t="inlineStr">
        <is>
          <t>開く</t>
        </is>
      </c>
    </row>
    <row r="1325">
      <c r="A1325" s="4" t="n">
        <v>1321</v>
      </c>
      <c r="B1325" s="5" t="inlineStr">
        <is>
          <t>大分県</t>
        </is>
      </c>
      <c r="C1325" s="5" t="inlineStr">
        <is>
          <t>大分市</t>
        </is>
      </c>
      <c r="D1325" s="5" t="inlineStr">
        <is>
          <t>岩田高等学校</t>
        </is>
      </c>
      <c r="E1325" s="6" t="inlineStr">
        <is>
          <t>097-558-3007</t>
        </is>
      </c>
      <c r="F1325" s="7" t="inlineStr">
        <is>
          <t>高</t>
        </is>
      </c>
      <c r="G1325" s="5" t="inlineStr">
        <is>
          <t>普通科</t>
        </is>
      </c>
      <c r="H1325" s="8" t="n"/>
      <c r="I1325" s="9" t="n"/>
      <c r="J1325" s="9" t="inlineStr">
        <is>
          <t>未架電</t>
        </is>
      </c>
      <c r="K1325" s="8" t="n"/>
      <c r="L1325" s="9" t="n"/>
      <c r="M1325" s="10" t="inlineStr">
        <is>
          <t>中高共通番号</t>
        </is>
      </c>
      <c r="N1325" s="11" t="inlineStr">
        <is>
          <t>https://www.iwata.ed.jp/menu2-6.html</t>
        </is>
      </c>
      <c r="O1325" s="12" t="inlineStr">
        <is>
          <t>開く</t>
        </is>
      </c>
    </row>
    <row r="1326">
      <c r="A1326" s="4" t="n">
        <v>1322</v>
      </c>
      <c r="B1326" s="5" t="inlineStr">
        <is>
          <t>大分県</t>
        </is>
      </c>
      <c r="C1326" s="5" t="inlineStr">
        <is>
          <t>大分市</t>
        </is>
      </c>
      <c r="D1326" s="5" t="inlineStr">
        <is>
          <t>大分高等学校</t>
        </is>
      </c>
      <c r="E1326" s="6" t="inlineStr">
        <is>
          <t>097-551-1101</t>
        </is>
      </c>
      <c r="F1326" s="7" t="inlineStr">
        <is>
          <t>高</t>
        </is>
      </c>
      <c r="G1326" s="5" t="inlineStr">
        <is>
          <t>普通科・専門学科</t>
        </is>
      </c>
      <c r="H1326" s="8" t="n"/>
      <c r="I1326" s="9" t="n"/>
      <c r="J1326" s="9" t="inlineStr">
        <is>
          <t>未架電</t>
        </is>
      </c>
      <c r="K1326" s="8" t="n"/>
      <c r="L1326" s="9" t="n"/>
      <c r="M1326" s="10" t="inlineStr">
        <is>
          <t>大分中学校を併設</t>
        </is>
      </c>
      <c r="N1326" s="11" t="inlineStr">
        <is>
          <t>http://www.oita-h.ed.jp/about/access.php</t>
        </is>
      </c>
      <c r="O1326" s="12" t="inlineStr">
        <is>
          <t>開く</t>
        </is>
      </c>
    </row>
    <row r="1327">
      <c r="A1327" s="4" t="n">
        <v>1323</v>
      </c>
      <c r="B1327" s="5" t="inlineStr">
        <is>
          <t>大分県</t>
        </is>
      </c>
      <c r="C1327" s="5" t="inlineStr">
        <is>
          <t>大分市</t>
        </is>
      </c>
      <c r="D1327" s="5" t="inlineStr">
        <is>
          <t>大分国際情報高等学校</t>
        </is>
      </c>
      <c r="E1327" s="6" t="inlineStr">
        <is>
          <t>097-558-3734</t>
        </is>
      </c>
      <c r="F1327" s="7" t="inlineStr">
        <is>
          <t>高</t>
        </is>
      </c>
      <c r="G1327" s="5" t="inlineStr">
        <is>
          <t>普通科</t>
        </is>
      </c>
      <c r="H1327" s="8" t="n"/>
      <c r="I1327" s="9" t="n"/>
      <c r="J1327" s="9" t="inlineStr">
        <is>
          <t>未架電</t>
        </is>
      </c>
      <c r="K1327" s="8" t="n"/>
      <c r="L1327" s="9" t="n"/>
      <c r="M1327" s="10" t="n"/>
      <c r="N1327" s="11" t="inlineStr">
        <is>
          <t>https://kokujou.ed.jp/school.php</t>
        </is>
      </c>
      <c r="O1327" s="12" t="inlineStr">
        <is>
          <t>開く</t>
        </is>
      </c>
    </row>
    <row r="1328">
      <c r="A1328" s="4" t="n">
        <v>1324</v>
      </c>
      <c r="B1328" s="5" t="inlineStr">
        <is>
          <t>大分県</t>
        </is>
      </c>
      <c r="C1328" s="5" t="inlineStr">
        <is>
          <t>大分市</t>
        </is>
      </c>
      <c r="D1328" s="5" t="inlineStr">
        <is>
          <t>大分東明高等学校</t>
        </is>
      </c>
      <c r="E1328" s="6" t="inlineStr">
        <is>
          <t>097-535-0201</t>
        </is>
      </c>
      <c r="F1328" s="7" t="inlineStr">
        <is>
          <t>高</t>
        </is>
      </c>
      <c r="G1328" s="5" t="inlineStr">
        <is>
          <t>普通科・専門学科</t>
        </is>
      </c>
      <c r="H1328" s="8" t="n"/>
      <c r="I1328" s="9" t="n"/>
      <c r="J1328" s="9" t="inlineStr">
        <is>
          <t>未架電</t>
        </is>
      </c>
      <c r="K1328" s="8" t="n"/>
      <c r="L1328" s="9" t="n"/>
      <c r="M1328" s="10" t="inlineStr">
        <is>
          <t>法人（平松学園）代表と同じ番号</t>
        </is>
      </c>
      <c r="N1328" s="11" t="inlineStr">
        <is>
          <t>https://www.hiramatsu.ac.jp/tomei</t>
        </is>
      </c>
      <c r="O1328" s="12" t="inlineStr">
        <is>
          <t>開く</t>
        </is>
      </c>
    </row>
    <row r="1329">
      <c r="A1329" s="4" t="n">
        <v>1325</v>
      </c>
      <c r="B1329" s="5" t="inlineStr">
        <is>
          <t>大分県</t>
        </is>
      </c>
      <c r="C1329" s="5" t="inlineStr">
        <is>
          <t>日田市</t>
        </is>
      </c>
      <c r="D1329" s="5" t="inlineStr">
        <is>
          <t>昭和学園高等学校</t>
        </is>
      </c>
      <c r="E1329" s="6" t="inlineStr">
        <is>
          <t>0973-22-7420</t>
        </is>
      </c>
      <c r="F1329" s="7" t="inlineStr">
        <is>
          <t>高</t>
        </is>
      </c>
      <c r="G1329" s="5" t="inlineStr">
        <is>
          <t>普通科・専門学科</t>
        </is>
      </c>
      <c r="H1329" s="8" t="n"/>
      <c r="I1329" s="9" t="n"/>
      <c r="J1329" s="9" t="inlineStr">
        <is>
          <t>未架電</t>
        </is>
      </c>
      <c r="K1329" s="8" t="n"/>
      <c r="L1329" s="9" t="n"/>
      <c r="M1329" s="10" t="inlineStr">
        <is>
          <t>事務室番号</t>
        </is>
      </c>
      <c r="N1329" s="11" t="inlineStr">
        <is>
          <t>https://www.showa-h.ed.jp/blank-38</t>
        </is>
      </c>
      <c r="O1329" s="12" t="inlineStr">
        <is>
          <t>開く</t>
        </is>
      </c>
    </row>
    <row r="1330">
      <c r="A1330" s="4" t="n">
        <v>1326</v>
      </c>
      <c r="B1330" s="5" t="inlineStr">
        <is>
          <t>大分県</t>
        </is>
      </c>
      <c r="C1330" s="5" t="inlineStr">
        <is>
          <t>日田市</t>
        </is>
      </c>
      <c r="D1330" s="5" t="inlineStr">
        <is>
          <t>藤蔭高等学校</t>
        </is>
      </c>
      <c r="E1330" s="6" t="inlineStr">
        <is>
          <t>0973-24-2737</t>
        </is>
      </c>
      <c r="F1330" s="7" t="inlineStr">
        <is>
          <t>高</t>
        </is>
      </c>
      <c r="G1330" s="5" t="inlineStr">
        <is>
          <t>普通科・専門学科</t>
        </is>
      </c>
      <c r="H1330" s="8" t="n"/>
      <c r="I1330" s="9" t="n"/>
      <c r="J1330" s="9" t="inlineStr">
        <is>
          <t>未架電</t>
        </is>
      </c>
      <c r="K1330" s="8" t="n"/>
      <c r="L1330" s="9" t="n"/>
      <c r="M1330" s="10" t="inlineStr">
        <is>
          <t>通信制課程は0973-23-6655</t>
        </is>
      </c>
      <c r="N1330" s="11" t="inlineStr">
        <is>
          <t>http://tohin.ac.jp/</t>
        </is>
      </c>
      <c r="O1330" s="12" t="inlineStr">
        <is>
          <t>開く</t>
        </is>
      </c>
    </row>
    <row r="1331">
      <c r="A1331" s="4" t="n">
        <v>1327</v>
      </c>
      <c r="B1331" s="5" t="inlineStr">
        <is>
          <t>大分県</t>
        </is>
      </c>
      <c r="C1331" s="5" t="inlineStr">
        <is>
          <t>佐伯市</t>
        </is>
      </c>
      <c r="D1331" s="5" t="inlineStr">
        <is>
          <t>日本文理大学附属高等学校</t>
        </is>
      </c>
      <c r="E1331" s="6" t="inlineStr">
        <is>
          <t>0972-22-3501</t>
        </is>
      </c>
      <c r="F1331" s="7" t="inlineStr">
        <is>
          <t>高</t>
        </is>
      </c>
      <c r="G1331" s="5" t="inlineStr">
        <is>
          <t>普通科・専門学科</t>
        </is>
      </c>
      <c r="H1331" s="8" t="n"/>
      <c r="I1331" s="9" t="n"/>
      <c r="J1331" s="9" t="inlineStr">
        <is>
          <t>未架電</t>
        </is>
      </c>
      <c r="K1331" s="8" t="n"/>
      <c r="L1331" s="9" t="n"/>
      <c r="M1331" s="10" t="n"/>
      <c r="N1331" s="11" t="inlineStr">
        <is>
          <t>https://www.nbu-h.ed.jp/</t>
        </is>
      </c>
      <c r="O1331" s="12" t="inlineStr">
        <is>
          <t>開く</t>
        </is>
      </c>
    </row>
    <row r="1332">
      <c r="A1332" s="4" t="n">
        <v>1328</v>
      </c>
      <c r="B1332" s="5" t="inlineStr">
        <is>
          <t>大分県</t>
        </is>
      </c>
      <c r="C1332" s="5" t="inlineStr">
        <is>
          <t>中津市</t>
        </is>
      </c>
      <c r="D1332" s="5" t="inlineStr">
        <is>
          <t>東九州龍谷高等学校</t>
        </is>
      </c>
      <c r="E1332" s="6" t="inlineStr">
        <is>
          <t>0979-22-0416</t>
        </is>
      </c>
      <c r="F1332" s="7" t="inlineStr">
        <is>
          <t>高</t>
        </is>
      </c>
      <c r="G1332" s="5" t="inlineStr">
        <is>
          <t>普通科・専門学科</t>
        </is>
      </c>
      <c r="H1332" s="8" t="n"/>
      <c r="I1332" s="9" t="n"/>
      <c r="J1332" s="9" t="inlineStr">
        <is>
          <t>未架電</t>
        </is>
      </c>
      <c r="K1332" s="8" t="n"/>
      <c r="L1332" s="9" t="n"/>
      <c r="M1332" s="10" t="inlineStr">
        <is>
          <t>事務室番号。職員室は0979-22-2555</t>
        </is>
      </c>
      <c r="N1332" s="11" t="inlineStr">
        <is>
          <t>https://hk-ryukoku.ed.jp/</t>
        </is>
      </c>
      <c r="O1332" s="12" t="inlineStr">
        <is>
          <t>開く</t>
        </is>
      </c>
    </row>
    <row r="1333">
      <c r="A1333" s="4" t="n">
        <v>1329</v>
      </c>
      <c r="B1333" s="5" t="inlineStr">
        <is>
          <t>大分県</t>
        </is>
      </c>
      <c r="C1333" s="5" t="inlineStr">
        <is>
          <t>大分市</t>
        </is>
      </c>
      <c r="D1333" s="5" t="inlineStr">
        <is>
          <t>福徳学院高等学校</t>
        </is>
      </c>
      <c r="E1333" s="6" t="inlineStr">
        <is>
          <t>097-544-3551</t>
        </is>
      </c>
      <c r="F1333" s="7" t="inlineStr">
        <is>
          <t>高</t>
        </is>
      </c>
      <c r="G1333" s="5" t="inlineStr">
        <is>
          <t>普通科・専門学科</t>
        </is>
      </c>
      <c r="H1333" s="8" t="n"/>
      <c r="I1333" s="9" t="n"/>
      <c r="J1333" s="9" t="inlineStr">
        <is>
          <t>未架電</t>
        </is>
      </c>
      <c r="K1333" s="8" t="n"/>
      <c r="L1333" s="9" t="n"/>
      <c r="M1333" s="10" t="n"/>
      <c r="N1333" s="11" t="inlineStr">
        <is>
          <t>https://fukutoku.ed.jp/access/</t>
        </is>
      </c>
      <c r="O1333" s="12" t="inlineStr">
        <is>
          <t>開く</t>
        </is>
      </c>
    </row>
    <row r="1334">
      <c r="A1334" s="4" t="n">
        <v>1330</v>
      </c>
      <c r="B1334" s="5" t="inlineStr">
        <is>
          <t>大分県</t>
        </is>
      </c>
      <c r="C1334" s="5" t="inlineStr">
        <is>
          <t>別府市</t>
        </is>
      </c>
      <c r="D1334" s="5" t="inlineStr">
        <is>
          <t>別府溝部学園高等学校</t>
        </is>
      </c>
      <c r="E1334" s="6" t="inlineStr">
        <is>
          <t>0977-67-6908</t>
        </is>
      </c>
      <c r="F1334" s="7" t="inlineStr">
        <is>
          <t>高</t>
        </is>
      </c>
      <c r="G1334" s="5" t="inlineStr">
        <is>
          <t>普通科・専門学科</t>
        </is>
      </c>
      <c r="H1334" s="8" t="n"/>
      <c r="I1334" s="9" t="n"/>
      <c r="J1334" s="9" t="inlineStr">
        <is>
          <t>未架電</t>
        </is>
      </c>
      <c r="K1334" s="8" t="n"/>
      <c r="L1334" s="9" t="n"/>
      <c r="M1334" s="10" t="inlineStr">
        <is>
          <t>電話帳サイトは0977-66-0224（短大と同番号）を掲載</t>
        </is>
      </c>
      <c r="N1334" s="11" t="inlineStr">
        <is>
          <t>https://www.mizobe-h.ed.jp/about</t>
        </is>
      </c>
      <c r="O1334" s="12" t="inlineStr">
        <is>
          <t>開く</t>
        </is>
      </c>
    </row>
    <row r="1335">
      <c r="A1335" s="4" t="n">
        <v>1331</v>
      </c>
      <c r="B1335" s="5" t="inlineStr">
        <is>
          <t>大分県</t>
        </is>
      </c>
      <c r="C1335" s="5" t="inlineStr">
        <is>
          <t>別府市</t>
        </is>
      </c>
      <c r="D1335" s="5" t="inlineStr">
        <is>
          <t>明豊高等学校</t>
        </is>
      </c>
      <c r="E1335" s="6" t="inlineStr">
        <is>
          <t>0977-27-3311</t>
        </is>
      </c>
      <c r="F1335" s="7" t="inlineStr">
        <is>
          <t>高</t>
        </is>
      </c>
      <c r="G1335" s="5" t="inlineStr">
        <is>
          <t>普通科・専門学科</t>
        </is>
      </c>
      <c r="H1335" s="8" t="n"/>
      <c r="I1335" s="9" t="n"/>
      <c r="J1335" s="9" t="inlineStr">
        <is>
          <t>未架電</t>
        </is>
      </c>
      <c r="K1335" s="8" t="n"/>
      <c r="L1335" s="9" t="n"/>
      <c r="M1335" s="10" t="n"/>
      <c r="N1335" s="11" t="inlineStr">
        <is>
          <t>https://meiho-beppu.jp/access/</t>
        </is>
      </c>
      <c r="O1335" s="12" t="inlineStr">
        <is>
          <t>開く</t>
        </is>
      </c>
    </row>
    <row r="1336">
      <c r="A1336" s="4" t="n">
        <v>1332</v>
      </c>
      <c r="B1336" s="5" t="inlineStr">
        <is>
          <t>大分県</t>
        </is>
      </c>
      <c r="C1336" s="5" t="inlineStr">
        <is>
          <t>宇佐市</t>
        </is>
      </c>
      <c r="D1336" s="5" t="inlineStr">
        <is>
          <t>柳ケ浦高等学校</t>
        </is>
      </c>
      <c r="E1336" s="6" t="inlineStr">
        <is>
          <t>0978-38-0033</t>
        </is>
      </c>
      <c r="F1336" s="7" t="inlineStr">
        <is>
          <t>高</t>
        </is>
      </c>
      <c r="G1336" s="5" t="inlineStr">
        <is>
          <t>普通科・専門学科</t>
        </is>
      </c>
      <c r="H1336" s="8" t="n"/>
      <c r="I1336" s="9" t="n"/>
      <c r="J1336" s="9" t="inlineStr">
        <is>
          <t>未架電</t>
        </is>
      </c>
      <c r="K1336" s="8" t="n"/>
      <c r="L1336" s="9" t="n"/>
      <c r="M1336" s="10" t="inlineStr">
        <is>
          <t>公式表記は「柳ヶ浦」</t>
        </is>
      </c>
      <c r="N1336" s="11" t="inlineStr">
        <is>
          <t>https://yanagigaura.ed.jp/pages/1</t>
        </is>
      </c>
      <c r="O1336" s="12" t="inlineStr">
        <is>
          <t>開く</t>
        </is>
      </c>
    </row>
    <row r="1337">
      <c r="A1337" s="4" t="n">
        <v>1333</v>
      </c>
      <c r="B1337" s="5" t="inlineStr">
        <is>
          <t>大分県</t>
        </is>
      </c>
      <c r="C1337" s="5" t="inlineStr">
        <is>
          <t>大分市</t>
        </is>
      </c>
      <c r="D1337" s="5" t="inlineStr">
        <is>
          <t>楊志館高等学校</t>
        </is>
      </c>
      <c r="E1337" s="6" t="inlineStr">
        <is>
          <t>097-543-6711</t>
        </is>
      </c>
      <c r="F1337" s="7" t="inlineStr">
        <is>
          <t>高</t>
        </is>
      </c>
      <c r="G1337" s="5" t="inlineStr">
        <is>
          <t>普通科・専門学科</t>
        </is>
      </c>
      <c r="H1337" s="8" t="n"/>
      <c r="I1337" s="9" t="n"/>
      <c r="J1337" s="9" t="inlineStr">
        <is>
          <t>未架電</t>
        </is>
      </c>
      <c r="K1337" s="8" t="n"/>
      <c r="L1337" s="9" t="n"/>
      <c r="M1337" s="10" t="inlineStr">
        <is>
          <t>法人（後藤学園）のページで確認</t>
        </is>
      </c>
      <c r="N1337" s="11" t="inlineStr">
        <is>
          <t>https://www.gotogakuen.ac.jp/yoshikan</t>
        </is>
      </c>
      <c r="O1337" s="12" t="inlineStr">
        <is>
          <t>開く</t>
        </is>
      </c>
    </row>
    <row r="1338">
      <c r="A1338" s="4" t="n">
        <v>1334</v>
      </c>
      <c r="B1338" s="5" t="inlineStr">
        <is>
          <t>宮崎県</t>
        </is>
      </c>
      <c r="C1338" s="5" t="inlineStr">
        <is>
          <t>三股町</t>
        </is>
      </c>
      <c r="D1338" s="5" t="inlineStr">
        <is>
          <t>櫻美学園高等学校</t>
        </is>
      </c>
      <c r="E1338" s="6" t="inlineStr">
        <is>
          <t>0986-52-1010</t>
        </is>
      </c>
      <c r="F1338" s="7" t="inlineStr">
        <is>
          <t>高</t>
        </is>
      </c>
      <c r="G1338" s="5" t="inlineStr">
        <is>
          <t>普通科・専門学科</t>
        </is>
      </c>
      <c r="H1338" s="8" t="n"/>
      <c r="I1338" s="9" t="n"/>
      <c r="J1338" s="9" t="inlineStr">
        <is>
          <t>未架電</t>
        </is>
      </c>
      <c r="K1338" s="8" t="n"/>
      <c r="L1338" s="9" t="n"/>
      <c r="M1338" s="10" t="inlineStr">
        <is>
          <t>2025年4月に都城東高等学校から校名変更</t>
        </is>
      </c>
      <c r="N1338" s="11" t="inlineStr">
        <is>
          <t>https://oubi.ed.jp/</t>
        </is>
      </c>
      <c r="O1338" s="12" t="inlineStr">
        <is>
          <t>開く</t>
        </is>
      </c>
    </row>
    <row r="1339">
      <c r="A1339" s="4" t="n">
        <v>1335</v>
      </c>
      <c r="B1339" s="5" t="inlineStr">
        <is>
          <t>宮崎県</t>
        </is>
      </c>
      <c r="C1339" s="5" t="inlineStr">
        <is>
          <t>小林市</t>
        </is>
      </c>
      <c r="D1339" s="5" t="inlineStr">
        <is>
          <t>小林西高等学校</t>
        </is>
      </c>
      <c r="E1339" s="6" t="inlineStr">
        <is>
          <t>0984-22-5155</t>
        </is>
      </c>
      <c r="F1339" s="7" t="inlineStr">
        <is>
          <t>高</t>
        </is>
      </c>
      <c r="G1339" s="5" t="inlineStr">
        <is>
          <t>普通科・専門学科</t>
        </is>
      </c>
      <c r="H1339" s="8" t="n"/>
      <c r="I1339" s="9" t="n"/>
      <c r="J1339" s="9" t="inlineStr">
        <is>
          <t>未架電</t>
        </is>
      </c>
      <c r="K1339" s="8" t="n"/>
      <c r="L1339" s="9" t="n"/>
      <c r="M1339" s="10" t="inlineStr">
        <is>
          <t>県サイトとも一致</t>
        </is>
      </c>
      <c r="N1339" s="11" t="inlineStr">
        <is>
          <t>https://www.kobayashi-nishi.net/</t>
        </is>
      </c>
      <c r="O1339" s="12" t="inlineStr">
        <is>
          <t>開く</t>
        </is>
      </c>
    </row>
    <row r="1340">
      <c r="A1340" s="4" t="n">
        <v>1336</v>
      </c>
      <c r="B1340" s="5" t="inlineStr">
        <is>
          <t>宮崎県</t>
        </is>
      </c>
      <c r="C1340" s="5" t="inlineStr">
        <is>
          <t>延岡市</t>
        </is>
      </c>
      <c r="D1340" s="5" t="inlineStr">
        <is>
          <t>聖心ウルスラ学園高等学校</t>
        </is>
      </c>
      <c r="E1340" s="6" t="inlineStr">
        <is>
          <t>0982-33-3472</t>
        </is>
      </c>
      <c r="F1340" s="7" t="inlineStr">
        <is>
          <t>高</t>
        </is>
      </c>
      <c r="G1340" s="5" t="inlineStr">
        <is>
          <t>普通科・専門学科</t>
        </is>
      </c>
      <c r="H1340" s="8" t="n"/>
      <c r="I1340" s="9" t="n"/>
      <c r="J1340" s="9" t="inlineStr">
        <is>
          <t>未架電</t>
        </is>
      </c>
      <c r="K1340" s="8" t="n"/>
      <c r="L1340" s="9" t="n"/>
      <c r="M1340" s="10" t="inlineStr">
        <is>
          <t>電話帳サイトの0982-31-3058は公式と不一致</t>
        </is>
      </c>
      <c r="N1340" s="11" t="inlineStr">
        <is>
          <t>https://ursula.ed.jp/high/</t>
        </is>
      </c>
      <c r="O1340" s="12" t="inlineStr">
        <is>
          <t>開く</t>
        </is>
      </c>
    </row>
    <row r="1341">
      <c r="A1341" s="4" t="n">
        <v>1337</v>
      </c>
      <c r="B1341" s="5" t="inlineStr">
        <is>
          <t>宮崎県</t>
        </is>
      </c>
      <c r="C1341" s="5" t="inlineStr">
        <is>
          <t>日南市</t>
        </is>
      </c>
      <c r="D1341" s="5" t="inlineStr">
        <is>
          <t>日南学園高等学校</t>
        </is>
      </c>
      <c r="E1341" s="6" t="inlineStr">
        <is>
          <t>0987-23-1311</t>
        </is>
      </c>
      <c r="F1341" s="7" t="inlineStr">
        <is>
          <t>高</t>
        </is>
      </c>
      <c r="G1341" s="5" t="inlineStr">
        <is>
          <t>普通科・専門学科</t>
        </is>
      </c>
      <c r="H1341" s="8" t="n"/>
      <c r="I1341" s="9" t="n"/>
      <c r="J1341" s="9" t="inlineStr">
        <is>
          <t>未架電</t>
        </is>
      </c>
      <c r="K1341" s="8" t="n"/>
      <c r="L1341" s="9" t="n"/>
      <c r="M1341" s="10" t="inlineStr">
        <is>
          <t>日南本校の番号</t>
        </is>
      </c>
      <c r="N1341" s="11" t="inlineStr">
        <is>
          <t>https://www.nichigaku-highschool.info/</t>
        </is>
      </c>
      <c r="O1341" s="12" t="inlineStr">
        <is>
          <t>開く</t>
        </is>
      </c>
    </row>
    <row r="1342">
      <c r="A1342" s="4" t="n">
        <v>1338</v>
      </c>
      <c r="B1342" s="5" t="inlineStr">
        <is>
          <t>宮崎県</t>
        </is>
      </c>
      <c r="C1342" s="5" t="inlineStr">
        <is>
          <t>宮崎市</t>
        </is>
      </c>
      <c r="D1342" s="5" t="inlineStr">
        <is>
          <t>日南学園高等学校 宮崎穎学館</t>
        </is>
      </c>
      <c r="E1342" s="6" t="inlineStr">
        <is>
          <t>0985-86-1021</t>
        </is>
      </c>
      <c r="F1342" s="7" t="inlineStr">
        <is>
          <t>高</t>
        </is>
      </c>
      <c r="G1342" s="5" t="inlineStr">
        <is>
          <t>専門学科</t>
        </is>
      </c>
      <c r="H1342" s="8" t="n"/>
      <c r="I1342" s="9" t="n"/>
      <c r="J1342" s="9" t="inlineStr">
        <is>
          <t>未架電</t>
        </is>
      </c>
      <c r="K1342" s="8" t="n"/>
      <c r="L1342" s="9" t="n"/>
      <c r="M1342" s="10" t="inlineStr">
        <is>
          <t>宮崎市田野町の校舎（本校とは別番号）</t>
        </is>
      </c>
      <c r="N1342" s="11" t="inlineStr">
        <is>
          <t>https://www.eigakukan.ed.jp/</t>
        </is>
      </c>
      <c r="O1342" s="12" t="inlineStr">
        <is>
          <t>開く</t>
        </is>
      </c>
    </row>
    <row r="1343">
      <c r="A1343" s="4" t="n">
        <v>1339</v>
      </c>
      <c r="B1343" s="5" t="inlineStr">
        <is>
          <t>宮崎県</t>
        </is>
      </c>
      <c r="C1343" s="5" t="inlineStr">
        <is>
          <t>えびの市</t>
        </is>
      </c>
      <c r="D1343" s="5" t="inlineStr">
        <is>
          <t>日章学園九州国際高等学校</t>
        </is>
      </c>
      <c r="E1343" s="6" t="inlineStr">
        <is>
          <t>0984-35-3500</t>
        </is>
      </c>
      <c r="F1343" s="13" t="inlineStr">
        <is>
          <t>中</t>
        </is>
      </c>
      <c r="G1343" s="5" t="inlineStr">
        <is>
          <t>普通科</t>
        </is>
      </c>
      <c r="H1343" s="8" t="n"/>
      <c r="I1343" s="9" t="n"/>
      <c r="J1343" s="9" t="inlineStr">
        <is>
          <t>未架電</t>
        </is>
      </c>
      <c r="K1343" s="8" t="n"/>
      <c r="L1343" s="9" t="n"/>
      <c r="M1343" s="10" t="inlineStr">
        <is>
          <t>公式未確認。私学協会・学校情報サイトで一致</t>
        </is>
      </c>
      <c r="N1343" s="11" t="inlineStr">
        <is>
          <t>https://www.miyazaki-shigaku.jp/</t>
        </is>
      </c>
      <c r="O1343" s="12" t="inlineStr">
        <is>
          <t>開く</t>
        </is>
      </c>
    </row>
    <row r="1344">
      <c r="A1344" s="4" t="n">
        <v>1340</v>
      </c>
      <c r="B1344" s="5" t="inlineStr">
        <is>
          <t>宮崎県</t>
        </is>
      </c>
      <c r="C1344" s="5" t="inlineStr">
        <is>
          <t>宮崎市</t>
        </is>
      </c>
      <c r="D1344" s="5" t="inlineStr">
        <is>
          <t>日章学園高等学校</t>
        </is>
      </c>
      <c r="E1344" s="6" t="inlineStr">
        <is>
          <t>0985-39-1321</t>
        </is>
      </c>
      <c r="F1344" s="7" t="inlineStr">
        <is>
          <t>高</t>
        </is>
      </c>
      <c r="G1344" s="5" t="inlineStr">
        <is>
          <t>普通科・専門学科</t>
        </is>
      </c>
      <c r="H1344" s="8" t="n"/>
      <c r="I1344" s="9" t="n"/>
      <c r="J1344" s="9" t="inlineStr">
        <is>
          <t>未架電</t>
        </is>
      </c>
      <c r="K1344" s="8" t="n"/>
      <c r="L1344" s="9" t="n"/>
      <c r="M1344" s="10" t="inlineStr">
        <is>
          <t>宮崎市・県サイトとも一致</t>
        </is>
      </c>
      <c r="N1344" s="11" t="inlineStr">
        <is>
          <t>https://nissho.ed.jp/</t>
        </is>
      </c>
      <c r="O1344" s="12" t="inlineStr">
        <is>
          <t>開く</t>
        </is>
      </c>
    </row>
    <row r="1345">
      <c r="A1345" s="4" t="n">
        <v>1341</v>
      </c>
      <c r="B1345" s="5" t="inlineStr">
        <is>
          <t>宮崎県</t>
        </is>
      </c>
      <c r="C1345" s="5" t="inlineStr">
        <is>
          <t>延岡市</t>
        </is>
      </c>
      <c r="D1345" s="5" t="inlineStr">
        <is>
          <t>延岡学園高等学校</t>
        </is>
      </c>
      <c r="E1345" s="6" t="inlineStr">
        <is>
          <t>0982-33-3227</t>
        </is>
      </c>
      <c r="F1345" s="7" t="inlineStr">
        <is>
          <t>高</t>
        </is>
      </c>
      <c r="G1345" s="5" t="inlineStr">
        <is>
          <t>普通科・専門学科</t>
        </is>
      </c>
      <c r="H1345" s="8" t="n"/>
      <c r="I1345" s="9" t="n"/>
      <c r="J1345" s="9" t="inlineStr">
        <is>
          <t>未架電</t>
        </is>
      </c>
      <c r="K1345" s="8" t="n"/>
      <c r="L1345" s="9" t="n"/>
      <c r="M1345" s="10" t="inlineStr">
        <is>
          <t>代表番号</t>
        </is>
      </c>
      <c r="N1345" s="11" t="inlineStr">
        <is>
          <t>https://nobeokagakuen-ed.jp/</t>
        </is>
      </c>
      <c r="O1345" s="12" t="inlineStr">
        <is>
          <t>開く</t>
        </is>
      </c>
    </row>
    <row r="1346">
      <c r="A1346" s="4" t="n">
        <v>1342</v>
      </c>
      <c r="B1346" s="5" t="inlineStr">
        <is>
          <t>宮崎県</t>
        </is>
      </c>
      <c r="C1346" s="5" t="inlineStr">
        <is>
          <t>宮崎市</t>
        </is>
      </c>
      <c r="D1346" s="5" t="inlineStr">
        <is>
          <t>日向学院高等学校</t>
        </is>
      </c>
      <c r="E1346" s="6" t="inlineStr">
        <is>
          <t>0985-22-8296</t>
        </is>
      </c>
      <c r="F1346" s="7" t="inlineStr">
        <is>
          <t>高</t>
        </is>
      </c>
      <c r="G1346" s="5" t="inlineStr">
        <is>
          <t>普通科</t>
        </is>
      </c>
      <c r="H1346" s="8" t="n"/>
      <c r="I1346" s="9" t="n"/>
      <c r="J1346" s="9" t="inlineStr">
        <is>
          <t>未架電</t>
        </is>
      </c>
      <c r="K1346" s="8" t="n"/>
      <c r="L1346" s="9" t="n"/>
      <c r="M1346" s="10" t="inlineStr">
        <is>
          <t>代表番号</t>
        </is>
      </c>
      <c r="N1346" s="11" t="inlineStr">
        <is>
          <t>https://www.hyugagakuin.ac.jp/</t>
        </is>
      </c>
      <c r="O1346" s="12" t="inlineStr">
        <is>
          <t>開く</t>
        </is>
      </c>
    </row>
    <row r="1347">
      <c r="A1347" s="4" t="n">
        <v>1343</v>
      </c>
      <c r="B1347" s="5" t="inlineStr">
        <is>
          <t>宮崎県</t>
        </is>
      </c>
      <c r="C1347" s="5" t="inlineStr">
        <is>
          <t>宮崎市</t>
        </is>
      </c>
      <c r="D1347" s="5" t="inlineStr">
        <is>
          <t>鵬翔高等学校</t>
        </is>
      </c>
      <c r="E1347" s="6" t="inlineStr">
        <is>
          <t>0985-52-2020</t>
        </is>
      </c>
      <c r="F1347" s="7" t="inlineStr">
        <is>
          <t>高</t>
        </is>
      </c>
      <c r="G1347" s="5" t="inlineStr">
        <is>
          <t>専門学科</t>
        </is>
      </c>
      <c r="H1347" s="8" t="n"/>
      <c r="I1347" s="9" t="n"/>
      <c r="J1347" s="9" t="inlineStr">
        <is>
          <t>未架電</t>
        </is>
      </c>
      <c r="K1347" s="8" t="n"/>
      <c r="L1347" s="9" t="n"/>
      <c r="M1347" s="10" t="inlineStr">
        <is>
          <t>事務室代表。入試広報部直通は0985-52-3312</t>
        </is>
      </c>
      <c r="N1347" s="11" t="inlineStr">
        <is>
          <t>https://www.hosho.ed.jp/contact/</t>
        </is>
      </c>
      <c r="O1347" s="12" t="inlineStr">
        <is>
          <t>開く</t>
        </is>
      </c>
    </row>
    <row r="1348">
      <c r="A1348" s="4" t="n">
        <v>1344</v>
      </c>
      <c r="B1348" s="5" t="inlineStr">
        <is>
          <t>宮崎県</t>
        </is>
      </c>
      <c r="C1348" s="5" t="inlineStr">
        <is>
          <t>都城市</t>
        </is>
      </c>
      <c r="D1348" s="5" t="inlineStr">
        <is>
          <t>都城高等学校</t>
        </is>
      </c>
      <c r="E1348" s="6" t="inlineStr">
        <is>
          <t>0986-23-2477</t>
        </is>
      </c>
      <c r="F1348" s="7" t="inlineStr">
        <is>
          <t>高</t>
        </is>
      </c>
      <c r="G1348" s="5" t="inlineStr">
        <is>
          <t>普通科・専門学科</t>
        </is>
      </c>
      <c r="H1348" s="8" t="n"/>
      <c r="I1348" s="9" t="n"/>
      <c r="J1348" s="9" t="inlineStr">
        <is>
          <t>未架電</t>
        </is>
      </c>
      <c r="K1348" s="8" t="n"/>
      <c r="L1348" s="9" t="n"/>
      <c r="M1348" s="10" t="inlineStr">
        <is>
          <t>県サイトとも一致</t>
        </is>
      </c>
      <c r="N1348" s="11" t="inlineStr">
        <is>
          <t>https://kubogakuen.ac.jp/</t>
        </is>
      </c>
      <c r="O1348" s="12" t="inlineStr">
        <is>
          <t>開く</t>
        </is>
      </c>
    </row>
    <row r="1349">
      <c r="A1349" s="4" t="n">
        <v>1345</v>
      </c>
      <c r="B1349" s="5" t="inlineStr">
        <is>
          <t>宮崎県</t>
        </is>
      </c>
      <c r="C1349" s="5" t="inlineStr">
        <is>
          <t>都城市</t>
        </is>
      </c>
      <c r="D1349" s="5" t="inlineStr">
        <is>
          <t>都城聖ドミニコ学園高等学校</t>
        </is>
      </c>
      <c r="E1349" s="6" t="inlineStr">
        <is>
          <t>0986-39-1303</t>
        </is>
      </c>
      <c r="F1349" s="7" t="inlineStr">
        <is>
          <t>高</t>
        </is>
      </c>
      <c r="G1349" s="5" t="inlineStr">
        <is>
          <t>普通科</t>
        </is>
      </c>
      <c r="H1349" s="8" t="n"/>
      <c r="I1349" s="9" t="n"/>
      <c r="J1349" s="9" t="inlineStr">
        <is>
          <t>未架電</t>
        </is>
      </c>
      <c r="K1349" s="8" t="n"/>
      <c r="L1349" s="9" t="n"/>
      <c r="M1349" s="10" t="inlineStr">
        <is>
          <t>私学協会とも一致</t>
        </is>
      </c>
      <c r="N1349" s="11" t="inlineStr">
        <is>
          <t>https://www.mdominico.com/</t>
        </is>
      </c>
      <c r="O1349" s="12" t="inlineStr">
        <is>
          <t>開く</t>
        </is>
      </c>
    </row>
    <row r="1350">
      <c r="A1350" s="4" t="n">
        <v>1346</v>
      </c>
      <c r="B1350" s="5" t="inlineStr">
        <is>
          <t>宮崎県</t>
        </is>
      </c>
      <c r="C1350" s="5" t="inlineStr">
        <is>
          <t>宮崎市</t>
        </is>
      </c>
      <c r="D1350" s="5" t="inlineStr">
        <is>
          <t>宮崎学園高等学校</t>
        </is>
      </c>
      <c r="E1350" s="6" t="inlineStr">
        <is>
          <t>0985-23-5318</t>
        </is>
      </c>
      <c r="F1350" s="7" t="inlineStr">
        <is>
          <t>高</t>
        </is>
      </c>
      <c r="G1350" s="5" t="inlineStr">
        <is>
          <t>普通科・専門学科</t>
        </is>
      </c>
      <c r="H1350" s="8" t="n"/>
      <c r="I1350" s="9" t="n"/>
      <c r="J1350" s="9" t="inlineStr">
        <is>
          <t>未架電</t>
        </is>
      </c>
      <c r="K1350" s="8" t="n"/>
      <c r="L1350" s="9" t="n"/>
      <c r="M1350" s="10" t="inlineStr">
        <is>
          <t>法人サイト・宮崎市サイトで一致</t>
        </is>
      </c>
      <c r="N1350" s="11" t="inlineStr">
        <is>
          <t>https://www.miyagaku.ed.jp/houjinhonbu/access.html</t>
        </is>
      </c>
      <c r="O1350" s="12" t="inlineStr">
        <is>
          <t>開く</t>
        </is>
      </c>
    </row>
    <row r="1351">
      <c r="A1351" s="4" t="n">
        <v>1347</v>
      </c>
      <c r="B1351" s="5" t="inlineStr">
        <is>
          <t>宮崎県</t>
        </is>
      </c>
      <c r="C1351" s="5" t="inlineStr">
        <is>
          <t>宮崎市</t>
        </is>
      </c>
      <c r="D1351" s="5" t="inlineStr">
        <is>
          <t>宮崎第一高等学校</t>
        </is>
      </c>
      <c r="E1351" s="6" t="inlineStr">
        <is>
          <t>0985-56-2626</t>
        </is>
      </c>
      <c r="F1351" s="13" t="inlineStr">
        <is>
          <t>中</t>
        </is>
      </c>
      <c r="G1351" s="5" t="inlineStr">
        <is>
          <t>普通科・専門学科</t>
        </is>
      </c>
      <c r="H1351" s="8" t="n"/>
      <c r="I1351" s="9" t="n"/>
      <c r="J1351" s="9" t="inlineStr">
        <is>
          <t>未架電</t>
        </is>
      </c>
      <c r="K1351" s="8" t="n"/>
      <c r="L1351" s="9" t="n"/>
      <c r="M1351" s="10" t="inlineStr">
        <is>
          <t>公式未確認。県・宮崎市・私学協会で一致</t>
        </is>
      </c>
      <c r="N1351" s="11" t="inlineStr">
        <is>
          <t>https://www.sun.pref.miyazaki.lg.jp/facilities_view/58.html</t>
        </is>
      </c>
      <c r="O1351" s="12" t="inlineStr">
        <is>
          <t>開く</t>
        </is>
      </c>
    </row>
    <row r="1352">
      <c r="A1352" s="4" t="n">
        <v>1348</v>
      </c>
      <c r="B1352" s="5" t="inlineStr">
        <is>
          <t>宮崎県</t>
        </is>
      </c>
      <c r="C1352" s="5" t="inlineStr">
        <is>
          <t>宮崎市</t>
        </is>
      </c>
      <c r="D1352" s="5" t="inlineStr">
        <is>
          <t>宮崎日本大学高等学校</t>
        </is>
      </c>
      <c r="E1352" s="6" t="inlineStr">
        <is>
          <t>0985-39-1121</t>
        </is>
      </c>
      <c r="F1352" s="7" t="inlineStr">
        <is>
          <t>高</t>
        </is>
      </c>
      <c r="G1352" s="5" t="inlineStr">
        <is>
          <t>専門学科</t>
        </is>
      </c>
      <c r="H1352" s="8" t="n"/>
      <c r="I1352" s="9" t="n"/>
      <c r="J1352" s="9" t="inlineStr">
        <is>
          <t>未架電</t>
        </is>
      </c>
      <c r="K1352" s="8" t="n"/>
      <c r="L1352" s="9" t="n"/>
      <c r="M1352" s="10" t="inlineStr">
        <is>
          <t>代表番号。県サイトとも一致</t>
        </is>
      </c>
      <c r="N1352" s="11" t="inlineStr">
        <is>
          <t>https://www.m-nichidai.com/</t>
        </is>
      </c>
      <c r="O1352" s="12" t="inlineStr">
        <is>
          <t>開く</t>
        </is>
      </c>
    </row>
    <row r="1353">
      <c r="A1353" s="4" t="n">
        <v>1349</v>
      </c>
      <c r="B1353" s="5" t="inlineStr">
        <is>
          <t>鹿児島県</t>
        </is>
      </c>
      <c r="C1353" s="5" t="inlineStr">
        <is>
          <t>鹿児島市</t>
        </is>
      </c>
      <c r="D1353" s="5" t="inlineStr">
        <is>
          <t>池田高等学校</t>
        </is>
      </c>
      <c r="E1353" s="6" t="inlineStr">
        <is>
          <t>099-282-7888</t>
        </is>
      </c>
      <c r="F1353" s="7" t="inlineStr">
        <is>
          <t>高</t>
        </is>
      </c>
      <c r="G1353" s="5" t="inlineStr">
        <is>
          <t>普通科</t>
        </is>
      </c>
      <c r="H1353" s="8" t="n"/>
      <c r="I1353" s="9" t="n"/>
      <c r="J1353" s="9" t="inlineStr">
        <is>
          <t>未架電</t>
        </is>
      </c>
      <c r="K1353" s="8" t="n"/>
      <c r="L1353" s="9" t="n"/>
      <c r="M1353" s="10" t="inlineStr">
        <is>
          <t>県私学協会とも一致。中高一貫（池田学園）</t>
        </is>
      </c>
      <c r="N1353" s="11" t="inlineStr">
        <is>
          <t>http://ikeda-gakuen.ed.jp/</t>
        </is>
      </c>
      <c r="O1353" s="12" t="inlineStr">
        <is>
          <t>開く</t>
        </is>
      </c>
    </row>
    <row r="1354">
      <c r="A1354" s="4" t="n">
        <v>1350</v>
      </c>
      <c r="B1354" s="5" t="inlineStr">
        <is>
          <t>鹿児島県</t>
        </is>
      </c>
      <c r="C1354" s="5" t="inlineStr">
        <is>
          <t>出水市</t>
        </is>
      </c>
      <c r="D1354" s="5" t="inlineStr">
        <is>
          <t>出水中央高等学校</t>
        </is>
      </c>
      <c r="E1354" s="6" t="inlineStr">
        <is>
          <t>0996-62-0500</t>
        </is>
      </c>
      <c r="F1354" s="7" t="inlineStr">
        <is>
          <t>高</t>
        </is>
      </c>
      <c r="G1354" s="5" t="inlineStr">
        <is>
          <t>普通科・専門学科</t>
        </is>
      </c>
      <c r="H1354" s="8" t="n"/>
      <c r="I1354" s="9" t="n"/>
      <c r="J1354" s="9" t="inlineStr">
        <is>
          <t>未架電</t>
        </is>
      </c>
      <c r="K1354" s="8" t="n"/>
      <c r="L1354" s="9" t="n"/>
      <c r="M1354" s="10" t="inlineStr">
        <is>
          <t>代表番号。広報室は0996-62-6677</t>
        </is>
      </c>
      <c r="N1354" s="11" t="inlineStr">
        <is>
          <t>https://izumi.ac.jp/school-info/facility-info/</t>
        </is>
      </c>
      <c r="O1354" s="12" t="inlineStr">
        <is>
          <t>開く</t>
        </is>
      </c>
    </row>
    <row r="1355">
      <c r="A1355" s="4" t="n">
        <v>1351</v>
      </c>
      <c r="B1355" s="5" t="inlineStr">
        <is>
          <t>鹿児島県</t>
        </is>
      </c>
      <c r="C1355" s="5" t="inlineStr">
        <is>
          <t>伊佐市</t>
        </is>
      </c>
      <c r="D1355" s="5" t="inlineStr">
        <is>
          <t>大口明光学園高等学校</t>
        </is>
      </c>
      <c r="E1355" s="6" t="inlineStr">
        <is>
          <t>0995-22-0609</t>
        </is>
      </c>
      <c r="F1355" s="7" t="inlineStr">
        <is>
          <t>高</t>
        </is>
      </c>
      <c r="G1355" s="5" t="inlineStr">
        <is>
          <t>普通科</t>
        </is>
      </c>
      <c r="H1355" s="8" t="n"/>
      <c r="I1355" s="9" t="n"/>
      <c r="J1355" s="9" t="inlineStr">
        <is>
          <t>未架電</t>
        </is>
      </c>
      <c r="K1355" s="8" t="n"/>
      <c r="L1355" s="9" t="n"/>
      <c r="M1355" s="10" t="inlineStr">
        <is>
          <t>2022年4月に共学化</t>
        </is>
      </c>
      <c r="N1355" s="11" t="inlineStr">
        <is>
          <t>https://www.okuchimeiko.ac.jp/inquiry/index.html</t>
        </is>
      </c>
      <c r="O1355" s="12" t="inlineStr">
        <is>
          <t>開く</t>
        </is>
      </c>
    </row>
    <row r="1356">
      <c r="A1356" s="4" t="n">
        <v>1352</v>
      </c>
      <c r="B1356" s="5" t="inlineStr">
        <is>
          <t>鹿児島県</t>
        </is>
      </c>
      <c r="C1356" s="5" t="inlineStr">
        <is>
          <t>日置市</t>
        </is>
      </c>
      <c r="D1356" s="5" t="inlineStr">
        <is>
          <t>鹿児島育英館高等学校</t>
        </is>
      </c>
      <c r="E1356" s="6" t="inlineStr">
        <is>
          <t>099-273-1407</t>
        </is>
      </c>
      <c r="F1356" s="7" t="inlineStr">
        <is>
          <t>高</t>
        </is>
      </c>
      <c r="G1356" s="5" t="inlineStr">
        <is>
          <t>普通科</t>
        </is>
      </c>
      <c r="H1356" s="8" t="n"/>
      <c r="I1356" s="9" t="n"/>
      <c r="J1356" s="9" t="inlineStr">
        <is>
          <t>未架電</t>
        </is>
      </c>
      <c r="K1356" s="8" t="n"/>
      <c r="L1356" s="9" t="n"/>
      <c r="M1356" s="10" t="inlineStr">
        <is>
          <t>2027年度に「日章学園育英館高等学校」へ校名変更予定</t>
        </is>
      </c>
      <c r="N1356" s="11" t="inlineStr">
        <is>
          <t>https://ikueikan.ed.jp/contact/</t>
        </is>
      </c>
      <c r="O1356" s="12" t="inlineStr">
        <is>
          <t>開く</t>
        </is>
      </c>
    </row>
    <row r="1357">
      <c r="A1357" s="4" t="n">
        <v>1353</v>
      </c>
      <c r="B1357" s="5" t="inlineStr">
        <is>
          <t>鹿児島県</t>
        </is>
      </c>
      <c r="C1357" s="5" t="inlineStr">
        <is>
          <t>鹿児島市</t>
        </is>
      </c>
      <c r="D1357" s="5" t="inlineStr">
        <is>
          <t>鹿児島高等学校</t>
        </is>
      </c>
      <c r="E1357" s="6" t="inlineStr">
        <is>
          <t>099-255-3211</t>
        </is>
      </c>
      <c r="F1357" s="7" t="inlineStr">
        <is>
          <t>高</t>
        </is>
      </c>
      <c r="G1357" s="5" t="inlineStr">
        <is>
          <t>普通科・専門学科</t>
        </is>
      </c>
      <c r="H1357" s="8" t="n"/>
      <c r="I1357" s="9" t="n"/>
      <c r="J1357" s="9" t="inlineStr">
        <is>
          <t>未架電</t>
        </is>
      </c>
      <c r="K1357" s="8" t="n"/>
      <c r="L1357" s="9" t="n"/>
      <c r="M1357" s="10" t="n"/>
      <c r="N1357" s="11" t="inlineStr">
        <is>
          <t>https://www.kagoshima-h.ed.jp/about/</t>
        </is>
      </c>
      <c r="O1357" s="12" t="inlineStr">
        <is>
          <t>開く</t>
        </is>
      </c>
    </row>
    <row r="1358">
      <c r="A1358" s="4" t="n">
        <v>1354</v>
      </c>
      <c r="B1358" s="5" t="inlineStr">
        <is>
          <t>鹿児島県</t>
        </is>
      </c>
      <c r="C1358" s="5" t="inlineStr">
        <is>
          <t>鹿児島市</t>
        </is>
      </c>
      <c r="D1358" s="5" t="inlineStr">
        <is>
          <t>鹿児島修学館高等学校</t>
        </is>
      </c>
      <c r="E1358" s="6" t="inlineStr">
        <is>
          <t>099-258-2211</t>
        </is>
      </c>
      <c r="F1358" s="7" t="inlineStr">
        <is>
          <t>高</t>
        </is>
      </c>
      <c r="G1358" s="5" t="inlineStr">
        <is>
          <t>普通科</t>
        </is>
      </c>
      <c r="H1358" s="8" t="n"/>
      <c r="I1358" s="9" t="n"/>
      <c r="J1358" s="9" t="inlineStr">
        <is>
          <t>未架電</t>
        </is>
      </c>
      <c r="K1358" s="8" t="n"/>
      <c r="L1358" s="9" t="n"/>
      <c r="M1358" s="10" t="n"/>
      <c r="N1358" s="11" t="inlineStr">
        <is>
          <t>https://www.shugakukan.ed.jp/profile/</t>
        </is>
      </c>
      <c r="O1358" s="12" t="inlineStr">
        <is>
          <t>開く</t>
        </is>
      </c>
    </row>
    <row r="1359">
      <c r="A1359" s="4" t="n">
        <v>1355</v>
      </c>
      <c r="B1359" s="5" t="inlineStr">
        <is>
          <t>鹿児島県</t>
        </is>
      </c>
      <c r="C1359" s="5" t="inlineStr">
        <is>
          <t>鹿児島市</t>
        </is>
      </c>
      <c r="D1359" s="5" t="inlineStr">
        <is>
          <t>鹿児島実業高等学校</t>
        </is>
      </c>
      <c r="E1359" s="6" t="inlineStr">
        <is>
          <t>099-286-1313</t>
        </is>
      </c>
      <c r="F1359" s="7" t="inlineStr">
        <is>
          <t>高</t>
        </is>
      </c>
      <c r="G1359" s="5" t="inlineStr">
        <is>
          <t>普通科・専門学科・総合学科</t>
        </is>
      </c>
      <c r="H1359" s="8" t="n"/>
      <c r="I1359" s="9" t="n"/>
      <c r="J1359" s="9" t="inlineStr">
        <is>
          <t>未架電</t>
        </is>
      </c>
      <c r="K1359" s="8" t="n"/>
      <c r="L1359" s="9" t="n"/>
      <c r="M1359" s="10" t="inlineStr">
        <is>
          <t>通信制課程は099-286-1508</t>
        </is>
      </c>
      <c r="N1359" s="11" t="inlineStr">
        <is>
          <t>https://www.kajitsu.ac.jp/</t>
        </is>
      </c>
      <c r="O1359" s="12" t="inlineStr">
        <is>
          <t>開く</t>
        </is>
      </c>
    </row>
    <row r="1360">
      <c r="A1360" s="4" t="n">
        <v>1356</v>
      </c>
      <c r="B1360" s="5" t="inlineStr">
        <is>
          <t>鹿児島県</t>
        </is>
      </c>
      <c r="C1360" s="5" t="inlineStr">
        <is>
          <t>鹿児島市</t>
        </is>
      </c>
      <c r="D1360" s="5" t="inlineStr">
        <is>
          <t>鹿児島純心女子高等学校</t>
        </is>
      </c>
      <c r="E1360" s="6" t="inlineStr">
        <is>
          <t>099-254-4121</t>
        </is>
      </c>
      <c r="F1360" s="7" t="inlineStr">
        <is>
          <t>高</t>
        </is>
      </c>
      <c r="G1360" s="5" t="inlineStr">
        <is>
          <t>普通科</t>
        </is>
      </c>
      <c r="H1360" s="8" t="n"/>
      <c r="I1360" s="9" t="n"/>
      <c r="J1360" s="9" t="inlineStr">
        <is>
          <t>未架電</t>
        </is>
      </c>
      <c r="K1360" s="8" t="n"/>
      <c r="L1360" s="9" t="n"/>
      <c r="M1360" s="10" t="inlineStr">
        <is>
          <t>受付は平日9:00〜16:30</t>
        </is>
      </c>
      <c r="N1360" s="11" t="inlineStr">
        <is>
          <t>https://www.k-junshin.ed.jp/</t>
        </is>
      </c>
      <c r="O1360" s="12" t="inlineStr">
        <is>
          <t>開く</t>
        </is>
      </c>
    </row>
    <row r="1361">
      <c r="A1361" s="4" t="n">
        <v>1357</v>
      </c>
      <c r="B1361" s="5" t="inlineStr">
        <is>
          <t>鹿児島県</t>
        </is>
      </c>
      <c r="C1361" s="5" t="inlineStr">
        <is>
          <t>日置市</t>
        </is>
      </c>
      <c r="D1361" s="5" t="inlineStr">
        <is>
          <t>鹿児島城西高等学校</t>
        </is>
      </c>
      <c r="E1361" s="6" t="inlineStr">
        <is>
          <t>099-273-1234</t>
        </is>
      </c>
      <c r="F1361" s="7" t="inlineStr">
        <is>
          <t>高</t>
        </is>
      </c>
      <c r="G1361" s="5" t="inlineStr">
        <is>
          <t>普通科・専門学科</t>
        </is>
      </c>
      <c r="H1361" s="8" t="n"/>
      <c r="I1361" s="9" t="n"/>
      <c r="J1361" s="9" t="inlineStr">
        <is>
          <t>未架電</t>
        </is>
      </c>
      <c r="K1361" s="8" t="n"/>
      <c r="L1361" s="9" t="n"/>
      <c r="M1361" s="10" t="n"/>
      <c r="N1361" s="11" t="inlineStr">
        <is>
          <t>https://kjh.ed.jp/introduction</t>
        </is>
      </c>
      <c r="O1361" s="12" t="inlineStr">
        <is>
          <t>開く</t>
        </is>
      </c>
    </row>
    <row r="1362">
      <c r="A1362" s="4" t="n">
        <v>1358</v>
      </c>
      <c r="B1362" s="5" t="inlineStr">
        <is>
          <t>鹿児島県</t>
        </is>
      </c>
      <c r="C1362" s="5" t="inlineStr">
        <is>
          <t>鹿児島市</t>
        </is>
      </c>
      <c r="D1362" s="5" t="inlineStr">
        <is>
          <t>鹿児島情報高等学校</t>
        </is>
      </c>
      <c r="E1362" s="6" t="inlineStr">
        <is>
          <t>099-268-3101</t>
        </is>
      </c>
      <c r="F1362" s="7" t="inlineStr">
        <is>
          <t>高</t>
        </is>
      </c>
      <c r="G1362" s="5" t="inlineStr">
        <is>
          <t>普通科・専門学科</t>
        </is>
      </c>
      <c r="H1362" s="8" t="n"/>
      <c r="I1362" s="9" t="n"/>
      <c r="J1362" s="9" t="inlineStr">
        <is>
          <t>未架電</t>
        </is>
      </c>
      <c r="K1362" s="8" t="n"/>
      <c r="L1362" s="9" t="n"/>
      <c r="M1362" s="10" t="n"/>
      <c r="N1362" s="11" t="inlineStr">
        <is>
          <t>https://ka-joho.jp/contactus/</t>
        </is>
      </c>
      <c r="O1362" s="12" t="inlineStr">
        <is>
          <t>開く</t>
        </is>
      </c>
    </row>
    <row r="1363">
      <c r="A1363" s="4" t="n">
        <v>1359</v>
      </c>
      <c r="B1363" s="5" t="inlineStr">
        <is>
          <t>鹿児島県</t>
        </is>
      </c>
      <c r="C1363" s="5" t="inlineStr">
        <is>
          <t>霧島市</t>
        </is>
      </c>
      <c r="D1363" s="5" t="inlineStr">
        <is>
          <t>鹿児島第一高等学校</t>
        </is>
      </c>
      <c r="E1363" s="6" t="inlineStr">
        <is>
          <t>0995-46-4608</t>
        </is>
      </c>
      <c r="F1363" s="7" t="inlineStr">
        <is>
          <t>高</t>
        </is>
      </c>
      <c r="G1363" s="5" t="inlineStr">
        <is>
          <t>普通科</t>
        </is>
      </c>
      <c r="H1363" s="8" t="n"/>
      <c r="I1363" s="9" t="n"/>
      <c r="J1363" s="9" t="inlineStr">
        <is>
          <t>未架電</t>
        </is>
      </c>
      <c r="K1363" s="8" t="n"/>
      <c r="L1363" s="9" t="n"/>
      <c r="M1363" s="10" t="inlineStr">
        <is>
          <t>フリーダイヤル0120-56-4608</t>
        </is>
      </c>
      <c r="N1363" s="11" t="inlineStr">
        <is>
          <t>https://h-kd.tsuzuki-edu.ac.jp/access/</t>
        </is>
      </c>
      <c r="O1363" s="12" t="inlineStr">
        <is>
          <t>開く</t>
        </is>
      </c>
    </row>
    <row r="1364">
      <c r="A1364" s="4" t="n">
        <v>1360</v>
      </c>
      <c r="B1364" s="5" t="inlineStr">
        <is>
          <t>鹿児島県</t>
        </is>
      </c>
      <c r="C1364" s="5" t="inlineStr">
        <is>
          <t>鹿屋市</t>
        </is>
      </c>
      <c r="D1364" s="5" t="inlineStr">
        <is>
          <t>鹿屋中央高等学校</t>
        </is>
      </c>
      <c r="E1364" s="6" t="inlineStr">
        <is>
          <t>0994-43-3310</t>
        </is>
      </c>
      <c r="F1364" s="7" t="inlineStr">
        <is>
          <t>高</t>
        </is>
      </c>
      <c r="G1364" s="5" t="inlineStr">
        <is>
          <t>専門学科</t>
        </is>
      </c>
      <c r="H1364" s="8" t="n"/>
      <c r="I1364" s="9" t="n"/>
      <c r="J1364" s="9" t="inlineStr">
        <is>
          <t>未架電</t>
        </is>
      </c>
      <c r="K1364" s="8" t="n"/>
      <c r="L1364" s="9" t="n"/>
      <c r="M1364" s="10" t="inlineStr">
        <is>
          <t>鹿屋市サイトとも一致</t>
        </is>
      </c>
      <c r="N1364" s="11" t="inlineStr">
        <is>
          <t>https://www.kanoya-chuo.ed.jp/</t>
        </is>
      </c>
      <c r="O1364" s="12" t="inlineStr">
        <is>
          <t>開く</t>
        </is>
      </c>
    </row>
    <row r="1365">
      <c r="A1365" s="4" t="n">
        <v>1361</v>
      </c>
      <c r="B1365" s="5" t="inlineStr">
        <is>
          <t>鹿児島県</t>
        </is>
      </c>
      <c r="C1365" s="5" t="inlineStr">
        <is>
          <t>いちき串木野市</t>
        </is>
      </c>
      <c r="D1365" s="5" t="inlineStr">
        <is>
          <t>神村学園高等部</t>
        </is>
      </c>
      <c r="E1365" s="6" t="inlineStr">
        <is>
          <t>0996-32-3232</t>
        </is>
      </c>
      <c r="F1365" s="7" t="inlineStr">
        <is>
          <t>高</t>
        </is>
      </c>
      <c r="G1365" s="5" t="inlineStr">
        <is>
          <t>普通科・専門学科</t>
        </is>
      </c>
      <c r="H1365" s="8" t="n"/>
      <c r="I1365" s="9" t="n"/>
      <c r="J1365" s="9" t="inlineStr">
        <is>
          <t>未架電</t>
        </is>
      </c>
      <c r="K1365" s="8" t="n"/>
      <c r="L1365" s="9" t="n"/>
      <c r="M1365" s="10" t="inlineStr">
        <is>
          <t>いちき串木野市サイトとも一致</t>
        </is>
      </c>
      <c r="N1365" s="11" t="inlineStr">
        <is>
          <t>https://angel.kamimura.ac.jp/access/</t>
        </is>
      </c>
      <c r="O1365" s="12" t="inlineStr">
        <is>
          <t>開く</t>
        </is>
      </c>
    </row>
    <row r="1366">
      <c r="A1366" s="4" t="n">
        <v>1362</v>
      </c>
      <c r="B1366" s="5" t="inlineStr">
        <is>
          <t>鹿児島県</t>
        </is>
      </c>
      <c r="C1366" s="5" t="inlineStr">
        <is>
          <t>鹿児島市</t>
        </is>
      </c>
      <c r="D1366" s="5" t="inlineStr">
        <is>
          <t>志學館高等部</t>
        </is>
      </c>
      <c r="E1366" s="6" t="inlineStr">
        <is>
          <t>099-252-1038</t>
        </is>
      </c>
      <c r="F1366" s="7" t="inlineStr">
        <is>
          <t>高</t>
        </is>
      </c>
      <c r="G1366" s="5" t="inlineStr">
        <is>
          <t>普通科</t>
        </is>
      </c>
      <c r="H1366" s="8" t="n"/>
      <c r="I1366" s="9" t="n"/>
      <c r="J1366" s="9" t="inlineStr">
        <is>
          <t>未架電</t>
        </is>
      </c>
      <c r="K1366" s="8" t="n"/>
      <c r="L1366" s="9" t="n"/>
      <c r="M1366" s="10" t="inlineStr">
        <is>
          <t>中等部と共通番号</t>
        </is>
      </c>
      <c r="N1366" s="11" t="inlineStr">
        <is>
          <t>https://www.jh.shigakukan.ac.jp/</t>
        </is>
      </c>
      <c r="O1366" s="12" t="inlineStr">
        <is>
          <t>開く</t>
        </is>
      </c>
    </row>
    <row r="1367">
      <c r="A1367" s="4" t="n">
        <v>1363</v>
      </c>
      <c r="B1367" s="5" t="inlineStr">
        <is>
          <t>鹿児島県</t>
        </is>
      </c>
      <c r="C1367" s="5" t="inlineStr">
        <is>
          <t>志布志市</t>
        </is>
      </c>
      <c r="D1367" s="5" t="inlineStr">
        <is>
          <t>尚志館高等学校</t>
        </is>
      </c>
      <c r="E1367" s="6" t="inlineStr">
        <is>
          <t>099-472-1318</t>
        </is>
      </c>
      <c r="F1367" s="7" t="inlineStr">
        <is>
          <t>高</t>
        </is>
      </c>
      <c r="G1367" s="5" t="inlineStr">
        <is>
          <t>普通科・専門学科</t>
        </is>
      </c>
      <c r="H1367" s="8" t="n"/>
      <c r="I1367" s="9" t="n"/>
      <c r="J1367" s="9" t="inlineStr">
        <is>
          <t>未架電</t>
        </is>
      </c>
      <c r="K1367" s="8" t="n"/>
      <c r="L1367" s="9" t="n"/>
      <c r="M1367" s="10" t="n"/>
      <c r="N1367" s="11" t="inlineStr">
        <is>
          <t>https://www.shoshikan.ed.jp/</t>
        </is>
      </c>
      <c r="O1367" s="12" t="inlineStr">
        <is>
          <t>開く</t>
        </is>
      </c>
    </row>
    <row r="1368">
      <c r="A1368" s="4" t="n">
        <v>1364</v>
      </c>
      <c r="B1368" s="5" t="inlineStr">
        <is>
          <t>鹿児島県</t>
        </is>
      </c>
      <c r="C1368" s="5" t="inlineStr">
        <is>
          <t>鹿児島市</t>
        </is>
      </c>
      <c r="D1368" s="5" t="inlineStr">
        <is>
          <t>樟南高等学校</t>
        </is>
      </c>
      <c r="E1368" s="6" t="inlineStr">
        <is>
          <t>099-281-2900</t>
        </is>
      </c>
      <c r="F1368" s="7" t="inlineStr">
        <is>
          <t>高</t>
        </is>
      </c>
      <c r="G1368" s="5" t="inlineStr">
        <is>
          <t>普通科・専門学科</t>
        </is>
      </c>
      <c r="H1368" s="8" t="n"/>
      <c r="I1368" s="9" t="n"/>
      <c r="J1368" s="9" t="inlineStr">
        <is>
          <t>未架電</t>
        </is>
      </c>
      <c r="K1368" s="8" t="n"/>
      <c r="L1368" s="9" t="n"/>
      <c r="M1368" s="10" t="inlineStr">
        <is>
          <t>学園本部は099-281-3611</t>
        </is>
      </c>
      <c r="N1368" s="11" t="inlineStr">
        <is>
          <t>https://www.shonan-h.ac.jp/</t>
        </is>
      </c>
      <c r="O1368" s="12" t="inlineStr">
        <is>
          <t>開く</t>
        </is>
      </c>
    </row>
    <row r="1369">
      <c r="A1369" s="4" t="n">
        <v>1365</v>
      </c>
      <c r="B1369" s="5" t="inlineStr">
        <is>
          <t>鹿児島県</t>
        </is>
      </c>
      <c r="C1369" s="5" t="inlineStr">
        <is>
          <t>天城町</t>
        </is>
      </c>
      <c r="D1369" s="5" t="inlineStr">
        <is>
          <t>樟南第二高等学校</t>
        </is>
      </c>
      <c r="E1369" s="6" t="inlineStr">
        <is>
          <t>0997-85-2511</t>
        </is>
      </c>
      <c r="F1369" s="7" t="inlineStr">
        <is>
          <t>高</t>
        </is>
      </c>
      <c r="G1369" s="5" t="inlineStr">
        <is>
          <t>普通科・専門学科</t>
        </is>
      </c>
      <c r="H1369" s="8" t="n"/>
      <c r="I1369" s="9" t="n"/>
      <c r="J1369" s="9" t="inlineStr">
        <is>
          <t>未架電</t>
        </is>
      </c>
      <c r="K1369" s="8" t="n"/>
      <c r="L1369" s="9" t="n"/>
      <c r="M1369" s="10" t="n"/>
      <c r="N1369" s="11" t="inlineStr">
        <is>
          <t>https://www.shonandaini.jp/</t>
        </is>
      </c>
      <c r="O1369" s="12" t="inlineStr">
        <is>
          <t>開く</t>
        </is>
      </c>
    </row>
    <row r="1370">
      <c r="A1370" s="4" t="n">
        <v>1366</v>
      </c>
      <c r="B1370" s="5" t="inlineStr">
        <is>
          <t>鹿児島県</t>
        </is>
      </c>
      <c r="C1370" s="5" t="inlineStr">
        <is>
          <t>南さつま市</t>
        </is>
      </c>
      <c r="D1370" s="5" t="inlineStr">
        <is>
          <t>鳳凰高等学校</t>
        </is>
      </c>
      <c r="E1370" s="6" t="inlineStr">
        <is>
          <t>0993-53-3633</t>
        </is>
      </c>
      <c r="F1370" s="7" t="inlineStr">
        <is>
          <t>高</t>
        </is>
      </c>
      <c r="G1370" s="5" t="inlineStr">
        <is>
          <t>普通科・専門学科</t>
        </is>
      </c>
      <c r="H1370" s="8" t="n"/>
      <c r="I1370" s="9" t="n"/>
      <c r="J1370" s="9" t="inlineStr">
        <is>
          <t>未架電</t>
        </is>
      </c>
      <c r="K1370" s="8" t="n"/>
      <c r="L1370" s="9" t="n"/>
      <c r="M1370" s="10" t="n"/>
      <c r="N1370" s="11" t="inlineStr">
        <is>
          <t>https://hooh.ed.jp/info/introduction/outline/</t>
        </is>
      </c>
      <c r="O1370" s="12" t="inlineStr">
        <is>
          <t>開く</t>
        </is>
      </c>
    </row>
    <row r="1371">
      <c r="A1371" s="4" t="n">
        <v>1367</v>
      </c>
      <c r="B1371" s="5" t="inlineStr">
        <is>
          <t>鹿児島県</t>
        </is>
      </c>
      <c r="C1371" s="5" t="inlineStr">
        <is>
          <t>屋久島町</t>
        </is>
      </c>
      <c r="D1371" s="5" t="inlineStr">
        <is>
          <t>屋久島おおぞら高等学校</t>
        </is>
      </c>
      <c r="E1371" s="6" t="inlineStr">
        <is>
          <t>0997-47-3300</t>
        </is>
      </c>
      <c r="F1371" s="13" t="inlineStr">
        <is>
          <t>中</t>
        </is>
      </c>
      <c r="G1371" s="5" t="inlineStr">
        <is>
          <t>普通科</t>
        </is>
      </c>
      <c r="H1371" s="8" t="n"/>
      <c r="I1371" s="9" t="n"/>
      <c r="J1371" s="9" t="inlineStr">
        <is>
          <t>未架電</t>
        </is>
      </c>
      <c r="K1371" s="8" t="n"/>
      <c r="L1371" s="9" t="n"/>
      <c r="M1371" s="10" t="inlineStr">
        <is>
          <t>通信制・屋久島町の本校。公式未確認、私学協会等で一致。全体問合せは0120-43-8940</t>
        </is>
      </c>
      <c r="N1371" s="11" t="inlineStr">
        <is>
          <t>http://kagoshima-shigaku.com/school/id19.html</t>
        </is>
      </c>
      <c r="O1371" s="12" t="inlineStr">
        <is>
          <t>開く</t>
        </is>
      </c>
    </row>
    <row r="1372">
      <c r="A1372" s="4" t="n">
        <v>1368</v>
      </c>
      <c r="B1372" s="5" t="inlineStr">
        <is>
          <t>鹿児島県</t>
        </is>
      </c>
      <c r="C1372" s="5" t="inlineStr">
        <is>
          <t>鹿児島市</t>
        </is>
      </c>
      <c r="D1372" s="5" t="inlineStr">
        <is>
          <t>ラ・サール高等学校</t>
        </is>
      </c>
      <c r="E1372" s="6" t="inlineStr">
        <is>
          <t>099-268-3121</t>
        </is>
      </c>
      <c r="F1372" s="7" t="inlineStr">
        <is>
          <t>高</t>
        </is>
      </c>
      <c r="G1372" s="5" t="inlineStr">
        <is>
          <t>普通科</t>
        </is>
      </c>
      <c r="H1372" s="8" t="n"/>
      <c r="I1372" s="9" t="n"/>
      <c r="J1372" s="9" t="inlineStr">
        <is>
          <t>未架電</t>
        </is>
      </c>
      <c r="K1372" s="8" t="n"/>
      <c r="L1372" s="9" t="n"/>
      <c r="M1372" s="10" t="inlineStr">
        <is>
          <t>学園代表番号</t>
        </is>
      </c>
      <c r="N1372" s="11" t="inlineStr">
        <is>
          <t>https://www.lasalle.ed.jp/about/access/</t>
        </is>
      </c>
      <c r="O1372" s="12" t="inlineStr">
        <is>
          <t>開く</t>
        </is>
      </c>
    </row>
    <row r="1373">
      <c r="A1373" s="4" t="n">
        <v>1369</v>
      </c>
      <c r="B1373" s="5" t="inlineStr">
        <is>
          <t>鹿児島県</t>
        </is>
      </c>
      <c r="C1373" s="5" t="inlineStr">
        <is>
          <t>姶良市</t>
        </is>
      </c>
      <c r="D1373" s="5" t="inlineStr">
        <is>
          <t>龍桜高等学校</t>
        </is>
      </c>
      <c r="E1373" s="6" t="inlineStr">
        <is>
          <t>0995-63-3001</t>
        </is>
      </c>
      <c r="F1373" s="7" t="inlineStr">
        <is>
          <t>高</t>
        </is>
      </c>
      <c r="G1373" s="5" t="inlineStr">
        <is>
          <t>専門学科</t>
        </is>
      </c>
      <c r="H1373" s="8" t="n"/>
      <c r="I1373" s="9" t="n"/>
      <c r="J1373" s="9" t="inlineStr">
        <is>
          <t>未架電</t>
        </is>
      </c>
      <c r="K1373" s="8" t="n"/>
      <c r="L1373" s="9" t="n"/>
      <c r="M1373" s="10" t="inlineStr">
        <is>
          <t>姶良市サイトとも一致</t>
        </is>
      </c>
      <c r="N1373" s="11" t="inlineStr">
        <is>
          <t>https://gh-kagoshima.ac.jp/otoi.html</t>
        </is>
      </c>
      <c r="O1373" s="12" t="inlineStr">
        <is>
          <t>開く</t>
        </is>
      </c>
    </row>
    <row r="1374">
      <c r="A1374" s="4" t="n">
        <v>1370</v>
      </c>
      <c r="B1374" s="5" t="inlineStr">
        <is>
          <t>鹿児島県</t>
        </is>
      </c>
      <c r="C1374" s="5" t="inlineStr">
        <is>
          <t>薩摩川内市</t>
        </is>
      </c>
      <c r="D1374" s="5" t="inlineStr">
        <is>
          <t>れいめい高等学校</t>
        </is>
      </c>
      <c r="E1374" s="6" t="inlineStr">
        <is>
          <t>0996-23-3178</t>
        </is>
      </c>
      <c r="F1374" s="7" t="inlineStr">
        <is>
          <t>高</t>
        </is>
      </c>
      <c r="G1374" s="5" t="inlineStr">
        <is>
          <t>普通科・専門学科</t>
        </is>
      </c>
      <c r="H1374" s="8" t="n"/>
      <c r="I1374" s="9" t="n"/>
      <c r="J1374" s="9" t="inlineStr">
        <is>
          <t>未架電</t>
        </is>
      </c>
      <c r="K1374" s="8" t="n"/>
      <c r="L1374" s="9" t="n"/>
      <c r="M1374" s="10" t="inlineStr">
        <is>
          <t>0996-23-5111は学校法人の番号</t>
        </is>
      </c>
      <c r="N1374" s="11" t="inlineStr">
        <is>
          <t>https://reimei.ed.jp/</t>
        </is>
      </c>
      <c r="O1374" s="12" t="inlineStr">
        <is>
          <t>開く</t>
        </is>
      </c>
    </row>
  </sheetData>
  <autoFilter ref="A4:O1374"/>
  <conditionalFormatting sqref="A5:O1374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374" showDropDown="0" showInputMessage="0" showErrorMessage="0" allowBlank="1" type="list">
      <formula1>"未架電,不在・折返し待ち,担当者不在,資料送付,アポ獲得,検討中,NG,番号不明"</formula1>
    </dataValidation>
    <dataValidation sqref="H5:H1374 K5:K1374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  <hyperlink xmlns:r="http://schemas.openxmlformats.org/officeDocument/2006/relationships" ref="O1300" r:id="rId1296"/>
    <hyperlink xmlns:r="http://schemas.openxmlformats.org/officeDocument/2006/relationships" ref="O1301" r:id="rId1297"/>
    <hyperlink xmlns:r="http://schemas.openxmlformats.org/officeDocument/2006/relationships" ref="O1302" r:id="rId1298"/>
    <hyperlink xmlns:r="http://schemas.openxmlformats.org/officeDocument/2006/relationships" ref="O1303" r:id="rId1299"/>
    <hyperlink xmlns:r="http://schemas.openxmlformats.org/officeDocument/2006/relationships" ref="O1304" r:id="rId1300"/>
    <hyperlink xmlns:r="http://schemas.openxmlformats.org/officeDocument/2006/relationships" ref="O1305" r:id="rId1301"/>
    <hyperlink xmlns:r="http://schemas.openxmlformats.org/officeDocument/2006/relationships" ref="O1306" r:id="rId1302"/>
    <hyperlink xmlns:r="http://schemas.openxmlformats.org/officeDocument/2006/relationships" ref="O1307" r:id="rId1303"/>
    <hyperlink xmlns:r="http://schemas.openxmlformats.org/officeDocument/2006/relationships" ref="O1308" r:id="rId1304"/>
    <hyperlink xmlns:r="http://schemas.openxmlformats.org/officeDocument/2006/relationships" ref="O1309" r:id="rId1305"/>
    <hyperlink xmlns:r="http://schemas.openxmlformats.org/officeDocument/2006/relationships" ref="O1310" r:id="rId1306"/>
    <hyperlink xmlns:r="http://schemas.openxmlformats.org/officeDocument/2006/relationships" ref="O1311" r:id="rId1307"/>
    <hyperlink xmlns:r="http://schemas.openxmlformats.org/officeDocument/2006/relationships" ref="O1312" r:id="rId1308"/>
    <hyperlink xmlns:r="http://schemas.openxmlformats.org/officeDocument/2006/relationships" ref="O1313" r:id="rId1309"/>
    <hyperlink xmlns:r="http://schemas.openxmlformats.org/officeDocument/2006/relationships" ref="O1314" r:id="rId1310"/>
    <hyperlink xmlns:r="http://schemas.openxmlformats.org/officeDocument/2006/relationships" ref="O1315" r:id="rId1311"/>
    <hyperlink xmlns:r="http://schemas.openxmlformats.org/officeDocument/2006/relationships" ref="O1316" r:id="rId1312"/>
    <hyperlink xmlns:r="http://schemas.openxmlformats.org/officeDocument/2006/relationships" ref="O1317" r:id="rId1313"/>
    <hyperlink xmlns:r="http://schemas.openxmlformats.org/officeDocument/2006/relationships" ref="O1318" r:id="rId1314"/>
    <hyperlink xmlns:r="http://schemas.openxmlformats.org/officeDocument/2006/relationships" ref="O1319" r:id="rId1315"/>
    <hyperlink xmlns:r="http://schemas.openxmlformats.org/officeDocument/2006/relationships" ref="O1320" r:id="rId1316"/>
    <hyperlink xmlns:r="http://schemas.openxmlformats.org/officeDocument/2006/relationships" ref="O1321" r:id="rId1317"/>
    <hyperlink xmlns:r="http://schemas.openxmlformats.org/officeDocument/2006/relationships" ref="O1322" r:id="rId1318"/>
    <hyperlink xmlns:r="http://schemas.openxmlformats.org/officeDocument/2006/relationships" ref="O1323" r:id="rId1319"/>
    <hyperlink xmlns:r="http://schemas.openxmlformats.org/officeDocument/2006/relationships" ref="O1324" r:id="rId1320"/>
    <hyperlink xmlns:r="http://schemas.openxmlformats.org/officeDocument/2006/relationships" ref="O1325" r:id="rId1321"/>
    <hyperlink xmlns:r="http://schemas.openxmlformats.org/officeDocument/2006/relationships" ref="O1326" r:id="rId1322"/>
    <hyperlink xmlns:r="http://schemas.openxmlformats.org/officeDocument/2006/relationships" ref="O1327" r:id="rId1323"/>
    <hyperlink xmlns:r="http://schemas.openxmlformats.org/officeDocument/2006/relationships" ref="O1328" r:id="rId1324"/>
    <hyperlink xmlns:r="http://schemas.openxmlformats.org/officeDocument/2006/relationships" ref="O1329" r:id="rId1325"/>
    <hyperlink xmlns:r="http://schemas.openxmlformats.org/officeDocument/2006/relationships" ref="O1330" r:id="rId1326"/>
    <hyperlink xmlns:r="http://schemas.openxmlformats.org/officeDocument/2006/relationships" ref="O1331" r:id="rId1327"/>
    <hyperlink xmlns:r="http://schemas.openxmlformats.org/officeDocument/2006/relationships" ref="O1332" r:id="rId1328"/>
    <hyperlink xmlns:r="http://schemas.openxmlformats.org/officeDocument/2006/relationships" ref="O1333" r:id="rId1329"/>
    <hyperlink xmlns:r="http://schemas.openxmlformats.org/officeDocument/2006/relationships" ref="O1334" r:id="rId1330"/>
    <hyperlink xmlns:r="http://schemas.openxmlformats.org/officeDocument/2006/relationships" ref="O1335" r:id="rId1331"/>
    <hyperlink xmlns:r="http://schemas.openxmlformats.org/officeDocument/2006/relationships" ref="O1336" r:id="rId1332"/>
    <hyperlink xmlns:r="http://schemas.openxmlformats.org/officeDocument/2006/relationships" ref="O1337" r:id="rId1333"/>
    <hyperlink xmlns:r="http://schemas.openxmlformats.org/officeDocument/2006/relationships" ref="O1338" r:id="rId1334"/>
    <hyperlink xmlns:r="http://schemas.openxmlformats.org/officeDocument/2006/relationships" ref="O1339" r:id="rId1335"/>
    <hyperlink xmlns:r="http://schemas.openxmlformats.org/officeDocument/2006/relationships" ref="O1340" r:id="rId1336"/>
    <hyperlink xmlns:r="http://schemas.openxmlformats.org/officeDocument/2006/relationships" ref="O1341" r:id="rId1337"/>
    <hyperlink xmlns:r="http://schemas.openxmlformats.org/officeDocument/2006/relationships" ref="O1342" r:id="rId1338"/>
    <hyperlink xmlns:r="http://schemas.openxmlformats.org/officeDocument/2006/relationships" ref="O1343" r:id="rId1339"/>
    <hyperlink xmlns:r="http://schemas.openxmlformats.org/officeDocument/2006/relationships" ref="O1344" r:id="rId1340"/>
    <hyperlink xmlns:r="http://schemas.openxmlformats.org/officeDocument/2006/relationships" ref="O1345" r:id="rId1341"/>
    <hyperlink xmlns:r="http://schemas.openxmlformats.org/officeDocument/2006/relationships" ref="O1346" r:id="rId1342"/>
    <hyperlink xmlns:r="http://schemas.openxmlformats.org/officeDocument/2006/relationships" ref="O1347" r:id="rId1343"/>
    <hyperlink xmlns:r="http://schemas.openxmlformats.org/officeDocument/2006/relationships" ref="O1348" r:id="rId1344"/>
    <hyperlink xmlns:r="http://schemas.openxmlformats.org/officeDocument/2006/relationships" ref="O1349" r:id="rId1345"/>
    <hyperlink xmlns:r="http://schemas.openxmlformats.org/officeDocument/2006/relationships" ref="O1350" r:id="rId1346"/>
    <hyperlink xmlns:r="http://schemas.openxmlformats.org/officeDocument/2006/relationships" ref="O1351" r:id="rId1347"/>
    <hyperlink xmlns:r="http://schemas.openxmlformats.org/officeDocument/2006/relationships" ref="O1352" r:id="rId1348"/>
    <hyperlink xmlns:r="http://schemas.openxmlformats.org/officeDocument/2006/relationships" ref="O1353" r:id="rId1349"/>
    <hyperlink xmlns:r="http://schemas.openxmlformats.org/officeDocument/2006/relationships" ref="O1354" r:id="rId1350"/>
    <hyperlink xmlns:r="http://schemas.openxmlformats.org/officeDocument/2006/relationships" ref="O1355" r:id="rId1351"/>
    <hyperlink xmlns:r="http://schemas.openxmlformats.org/officeDocument/2006/relationships" ref="O1356" r:id="rId1352"/>
    <hyperlink xmlns:r="http://schemas.openxmlformats.org/officeDocument/2006/relationships" ref="O1357" r:id="rId1353"/>
    <hyperlink xmlns:r="http://schemas.openxmlformats.org/officeDocument/2006/relationships" ref="O1358" r:id="rId1354"/>
    <hyperlink xmlns:r="http://schemas.openxmlformats.org/officeDocument/2006/relationships" ref="O1359" r:id="rId1355"/>
    <hyperlink xmlns:r="http://schemas.openxmlformats.org/officeDocument/2006/relationships" ref="O1360" r:id="rId1356"/>
    <hyperlink xmlns:r="http://schemas.openxmlformats.org/officeDocument/2006/relationships" ref="O1361" r:id="rId1357"/>
    <hyperlink xmlns:r="http://schemas.openxmlformats.org/officeDocument/2006/relationships" ref="O1362" r:id="rId1358"/>
    <hyperlink xmlns:r="http://schemas.openxmlformats.org/officeDocument/2006/relationships" ref="O1363" r:id="rId1359"/>
    <hyperlink xmlns:r="http://schemas.openxmlformats.org/officeDocument/2006/relationships" ref="O1364" r:id="rId1360"/>
    <hyperlink xmlns:r="http://schemas.openxmlformats.org/officeDocument/2006/relationships" ref="O1365" r:id="rId1361"/>
    <hyperlink xmlns:r="http://schemas.openxmlformats.org/officeDocument/2006/relationships" ref="O1366" r:id="rId1362"/>
    <hyperlink xmlns:r="http://schemas.openxmlformats.org/officeDocument/2006/relationships" ref="O1367" r:id="rId1363"/>
    <hyperlink xmlns:r="http://schemas.openxmlformats.org/officeDocument/2006/relationships" ref="O1368" r:id="rId1364"/>
    <hyperlink xmlns:r="http://schemas.openxmlformats.org/officeDocument/2006/relationships" ref="O1369" r:id="rId1365"/>
    <hyperlink xmlns:r="http://schemas.openxmlformats.org/officeDocument/2006/relationships" ref="O1370" r:id="rId1366"/>
    <hyperlink xmlns:r="http://schemas.openxmlformats.org/officeDocument/2006/relationships" ref="O1371" r:id="rId1367"/>
    <hyperlink xmlns:r="http://schemas.openxmlformats.org/officeDocument/2006/relationships" ref="O1372" r:id="rId1368"/>
    <hyperlink xmlns:r="http://schemas.openxmlformats.org/officeDocument/2006/relationships" ref="O1373" r:id="rId1369"/>
    <hyperlink xmlns:r="http://schemas.openxmlformats.org/officeDocument/2006/relationships" ref="O1374" r:id="rId1370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COUNTIF('架電リスト'!$B$5:$B$1374,A4)</f>
        <v/>
      </c>
      <c r="C4" s="16">
        <f>COUNTIFS('架電リスト'!$B$5:$B$1374,A4,'架電リスト'!$E$5:$E$1374,"&lt;&gt;")</f>
        <v/>
      </c>
      <c r="D4" s="16">
        <f>B4-COUNTIFS('架電リスト'!$B$5:$B$1374,A4,'架電リスト'!$J$5:$J$1374,"未架電")-COUNTIFS('架電リスト'!$B$5:$B$1374,A4,'架電リスト'!$J$5:$J$1374,"")</f>
        <v/>
      </c>
      <c r="E4" s="16">
        <f>COUNTIFS('架電リスト'!$B$5:$B$1374,$A4,'架電リスト'!$J$5:$J$1374,"不在・折返し待ち")</f>
        <v/>
      </c>
      <c r="F4" s="16">
        <f>COUNTIFS('架電リスト'!$B$5:$B$1374,$A4,'架電リスト'!$J$5:$J$1374,"担当者不在")</f>
        <v/>
      </c>
      <c r="G4" s="16">
        <f>COUNTIFS('架電リスト'!$B$5:$B$1374,$A4,'架電リスト'!$J$5:$J$1374,"資料送付")</f>
        <v/>
      </c>
      <c r="H4" s="16">
        <f>COUNTIFS('架電リスト'!$B$5:$B$1374,$A4,'架電リスト'!$J$5:$J$1374,"アポ獲得")</f>
        <v/>
      </c>
      <c r="I4" s="16">
        <f>COUNTIFS('架電リスト'!$B$5:$B$1374,$A4,'架電リスト'!$J$5:$J$1374,"検討中")</f>
        <v/>
      </c>
      <c r="J4" s="16">
        <f>COUNTIFS('架電リスト'!$B$5:$B$1374,$A4,'架電リスト'!$J$5:$J$1374,"NG")</f>
        <v/>
      </c>
      <c r="K4" s="16">
        <f>COUNTIFS('架電リスト'!$B$5:$B$1374,$A4,'架電リスト'!$J$5:$J$1374,"番号不明")</f>
        <v/>
      </c>
    </row>
    <row r="5">
      <c r="A5" s="16" t="inlineStr">
        <is>
          <t>青森県</t>
        </is>
      </c>
      <c r="B5" s="16">
        <f>COUNTIF('架電リスト'!$B$5:$B$1374,A5)</f>
        <v/>
      </c>
      <c r="C5" s="16">
        <f>COUNTIFS('架電リスト'!$B$5:$B$1374,A5,'架電リスト'!$E$5:$E$1374,"&lt;&gt;")</f>
        <v/>
      </c>
      <c r="D5" s="16">
        <f>B5-COUNTIFS('架電リスト'!$B$5:$B$1374,A5,'架電リスト'!$J$5:$J$1374,"未架電")-COUNTIFS('架電リスト'!$B$5:$B$1374,A5,'架電リスト'!$J$5:$J$1374,"")</f>
        <v/>
      </c>
      <c r="E5" s="16">
        <f>COUNTIFS('架電リスト'!$B$5:$B$1374,$A5,'架電リスト'!$J$5:$J$1374,"不在・折返し待ち")</f>
        <v/>
      </c>
      <c r="F5" s="16">
        <f>COUNTIFS('架電リスト'!$B$5:$B$1374,$A5,'架電リスト'!$J$5:$J$1374,"担当者不在")</f>
        <v/>
      </c>
      <c r="G5" s="16">
        <f>COUNTIFS('架電リスト'!$B$5:$B$1374,$A5,'架電リスト'!$J$5:$J$1374,"資料送付")</f>
        <v/>
      </c>
      <c r="H5" s="16">
        <f>COUNTIFS('架電リスト'!$B$5:$B$1374,$A5,'架電リスト'!$J$5:$J$1374,"アポ獲得")</f>
        <v/>
      </c>
      <c r="I5" s="16">
        <f>COUNTIFS('架電リスト'!$B$5:$B$1374,$A5,'架電リスト'!$J$5:$J$1374,"検討中")</f>
        <v/>
      </c>
      <c r="J5" s="16">
        <f>COUNTIFS('架電リスト'!$B$5:$B$1374,$A5,'架電リスト'!$J$5:$J$1374,"NG")</f>
        <v/>
      </c>
      <c r="K5" s="16">
        <f>COUNTIFS('架電リスト'!$B$5:$B$1374,$A5,'架電リスト'!$J$5:$J$1374,"番号不明")</f>
        <v/>
      </c>
    </row>
    <row r="6">
      <c r="A6" s="16" t="inlineStr">
        <is>
          <t>岩手県</t>
        </is>
      </c>
      <c r="B6" s="16">
        <f>COUNTIF('架電リスト'!$B$5:$B$1374,A6)</f>
        <v/>
      </c>
      <c r="C6" s="16">
        <f>COUNTIFS('架電リスト'!$B$5:$B$1374,A6,'架電リスト'!$E$5:$E$1374,"&lt;&gt;")</f>
        <v/>
      </c>
      <c r="D6" s="16">
        <f>B6-COUNTIFS('架電リスト'!$B$5:$B$1374,A6,'架電リスト'!$J$5:$J$1374,"未架電")-COUNTIFS('架電リスト'!$B$5:$B$1374,A6,'架電リスト'!$J$5:$J$1374,"")</f>
        <v/>
      </c>
      <c r="E6" s="16">
        <f>COUNTIFS('架電リスト'!$B$5:$B$1374,$A6,'架電リスト'!$J$5:$J$1374,"不在・折返し待ち")</f>
        <v/>
      </c>
      <c r="F6" s="16">
        <f>COUNTIFS('架電リスト'!$B$5:$B$1374,$A6,'架電リスト'!$J$5:$J$1374,"担当者不在")</f>
        <v/>
      </c>
      <c r="G6" s="16">
        <f>COUNTIFS('架電リスト'!$B$5:$B$1374,$A6,'架電リスト'!$J$5:$J$1374,"資料送付")</f>
        <v/>
      </c>
      <c r="H6" s="16">
        <f>COUNTIFS('架電リスト'!$B$5:$B$1374,$A6,'架電リスト'!$J$5:$J$1374,"アポ獲得")</f>
        <v/>
      </c>
      <c r="I6" s="16">
        <f>COUNTIFS('架電リスト'!$B$5:$B$1374,$A6,'架電リスト'!$J$5:$J$1374,"検討中")</f>
        <v/>
      </c>
      <c r="J6" s="16">
        <f>COUNTIFS('架電リスト'!$B$5:$B$1374,$A6,'架電リスト'!$J$5:$J$1374,"NG")</f>
        <v/>
      </c>
      <c r="K6" s="16">
        <f>COUNTIFS('架電リスト'!$B$5:$B$1374,$A6,'架電リスト'!$J$5:$J$1374,"番号不明")</f>
        <v/>
      </c>
    </row>
    <row r="7">
      <c r="A7" s="16" t="inlineStr">
        <is>
          <t>宮城県</t>
        </is>
      </c>
      <c r="B7" s="16">
        <f>COUNTIF('架電リスト'!$B$5:$B$1374,A7)</f>
        <v/>
      </c>
      <c r="C7" s="16">
        <f>COUNTIFS('架電リスト'!$B$5:$B$1374,A7,'架電リスト'!$E$5:$E$1374,"&lt;&gt;")</f>
        <v/>
      </c>
      <c r="D7" s="16">
        <f>B7-COUNTIFS('架電リスト'!$B$5:$B$1374,A7,'架電リスト'!$J$5:$J$1374,"未架電")-COUNTIFS('架電リスト'!$B$5:$B$1374,A7,'架電リスト'!$J$5:$J$1374,"")</f>
        <v/>
      </c>
      <c r="E7" s="16">
        <f>COUNTIFS('架電リスト'!$B$5:$B$1374,$A7,'架電リスト'!$J$5:$J$1374,"不在・折返し待ち")</f>
        <v/>
      </c>
      <c r="F7" s="16">
        <f>COUNTIFS('架電リスト'!$B$5:$B$1374,$A7,'架電リスト'!$J$5:$J$1374,"担当者不在")</f>
        <v/>
      </c>
      <c r="G7" s="16">
        <f>COUNTIFS('架電リスト'!$B$5:$B$1374,$A7,'架電リスト'!$J$5:$J$1374,"資料送付")</f>
        <v/>
      </c>
      <c r="H7" s="16">
        <f>COUNTIFS('架電リスト'!$B$5:$B$1374,$A7,'架電リスト'!$J$5:$J$1374,"アポ獲得")</f>
        <v/>
      </c>
      <c r="I7" s="16">
        <f>COUNTIFS('架電リスト'!$B$5:$B$1374,$A7,'架電リスト'!$J$5:$J$1374,"検討中")</f>
        <v/>
      </c>
      <c r="J7" s="16">
        <f>COUNTIFS('架電リスト'!$B$5:$B$1374,$A7,'架電リスト'!$J$5:$J$1374,"NG")</f>
        <v/>
      </c>
      <c r="K7" s="16">
        <f>COUNTIFS('架電リスト'!$B$5:$B$1374,$A7,'架電リスト'!$J$5:$J$1374,"番号不明")</f>
        <v/>
      </c>
    </row>
    <row r="8">
      <c r="A8" s="16" t="inlineStr">
        <is>
          <t>秋田県</t>
        </is>
      </c>
      <c r="B8" s="16">
        <f>COUNTIF('架電リスト'!$B$5:$B$1374,A8)</f>
        <v/>
      </c>
      <c r="C8" s="16">
        <f>COUNTIFS('架電リスト'!$B$5:$B$1374,A8,'架電リスト'!$E$5:$E$1374,"&lt;&gt;")</f>
        <v/>
      </c>
      <c r="D8" s="16">
        <f>B8-COUNTIFS('架電リスト'!$B$5:$B$1374,A8,'架電リスト'!$J$5:$J$1374,"未架電")-COUNTIFS('架電リスト'!$B$5:$B$1374,A8,'架電リスト'!$J$5:$J$1374,"")</f>
        <v/>
      </c>
      <c r="E8" s="16">
        <f>COUNTIFS('架電リスト'!$B$5:$B$1374,$A8,'架電リスト'!$J$5:$J$1374,"不在・折返し待ち")</f>
        <v/>
      </c>
      <c r="F8" s="16">
        <f>COUNTIFS('架電リスト'!$B$5:$B$1374,$A8,'架電リスト'!$J$5:$J$1374,"担当者不在")</f>
        <v/>
      </c>
      <c r="G8" s="16">
        <f>COUNTIFS('架電リスト'!$B$5:$B$1374,$A8,'架電リスト'!$J$5:$J$1374,"資料送付")</f>
        <v/>
      </c>
      <c r="H8" s="16">
        <f>COUNTIFS('架電リスト'!$B$5:$B$1374,$A8,'架電リスト'!$J$5:$J$1374,"アポ獲得")</f>
        <v/>
      </c>
      <c r="I8" s="16">
        <f>COUNTIFS('架電リスト'!$B$5:$B$1374,$A8,'架電リスト'!$J$5:$J$1374,"検討中")</f>
        <v/>
      </c>
      <c r="J8" s="16">
        <f>COUNTIFS('架電リスト'!$B$5:$B$1374,$A8,'架電リスト'!$J$5:$J$1374,"NG")</f>
        <v/>
      </c>
      <c r="K8" s="16">
        <f>COUNTIFS('架電リスト'!$B$5:$B$1374,$A8,'架電リスト'!$J$5:$J$1374,"番号不明")</f>
        <v/>
      </c>
    </row>
    <row r="9">
      <c r="A9" s="16" t="inlineStr">
        <is>
          <t>山形県</t>
        </is>
      </c>
      <c r="B9" s="16">
        <f>COUNTIF('架電リスト'!$B$5:$B$1374,A9)</f>
        <v/>
      </c>
      <c r="C9" s="16">
        <f>COUNTIFS('架電リスト'!$B$5:$B$1374,A9,'架電リスト'!$E$5:$E$1374,"&lt;&gt;")</f>
        <v/>
      </c>
      <c r="D9" s="16">
        <f>B9-COUNTIFS('架電リスト'!$B$5:$B$1374,A9,'架電リスト'!$J$5:$J$1374,"未架電")-COUNTIFS('架電リスト'!$B$5:$B$1374,A9,'架電リスト'!$J$5:$J$1374,"")</f>
        <v/>
      </c>
      <c r="E9" s="16">
        <f>COUNTIFS('架電リスト'!$B$5:$B$1374,$A9,'架電リスト'!$J$5:$J$1374,"不在・折返し待ち")</f>
        <v/>
      </c>
      <c r="F9" s="16">
        <f>COUNTIFS('架電リスト'!$B$5:$B$1374,$A9,'架電リスト'!$J$5:$J$1374,"担当者不在")</f>
        <v/>
      </c>
      <c r="G9" s="16">
        <f>COUNTIFS('架電リスト'!$B$5:$B$1374,$A9,'架電リスト'!$J$5:$J$1374,"資料送付")</f>
        <v/>
      </c>
      <c r="H9" s="16">
        <f>COUNTIFS('架電リスト'!$B$5:$B$1374,$A9,'架電リスト'!$J$5:$J$1374,"アポ獲得")</f>
        <v/>
      </c>
      <c r="I9" s="16">
        <f>COUNTIFS('架電リスト'!$B$5:$B$1374,$A9,'架電リスト'!$J$5:$J$1374,"検討中")</f>
        <v/>
      </c>
      <c r="J9" s="16">
        <f>COUNTIFS('架電リスト'!$B$5:$B$1374,$A9,'架電リスト'!$J$5:$J$1374,"NG")</f>
        <v/>
      </c>
      <c r="K9" s="16">
        <f>COUNTIFS('架電リスト'!$B$5:$B$1374,$A9,'架電リスト'!$J$5:$J$1374,"番号不明")</f>
        <v/>
      </c>
    </row>
    <row r="10">
      <c r="A10" s="16" t="inlineStr">
        <is>
          <t>福島県</t>
        </is>
      </c>
      <c r="B10" s="16">
        <f>COUNTIF('架電リスト'!$B$5:$B$1374,A10)</f>
        <v/>
      </c>
      <c r="C10" s="16">
        <f>COUNTIFS('架電リスト'!$B$5:$B$1374,A10,'架電リスト'!$E$5:$E$1374,"&lt;&gt;")</f>
        <v/>
      </c>
      <c r="D10" s="16">
        <f>B10-COUNTIFS('架電リスト'!$B$5:$B$1374,A10,'架電リスト'!$J$5:$J$1374,"未架電")-COUNTIFS('架電リスト'!$B$5:$B$1374,A10,'架電リスト'!$J$5:$J$1374,"")</f>
        <v/>
      </c>
      <c r="E10" s="16">
        <f>COUNTIFS('架電リスト'!$B$5:$B$1374,$A10,'架電リスト'!$J$5:$J$1374,"不在・折返し待ち")</f>
        <v/>
      </c>
      <c r="F10" s="16">
        <f>COUNTIFS('架電リスト'!$B$5:$B$1374,$A10,'架電リスト'!$J$5:$J$1374,"担当者不在")</f>
        <v/>
      </c>
      <c r="G10" s="16">
        <f>COUNTIFS('架電リスト'!$B$5:$B$1374,$A10,'架電リスト'!$J$5:$J$1374,"資料送付")</f>
        <v/>
      </c>
      <c r="H10" s="16">
        <f>COUNTIFS('架電リスト'!$B$5:$B$1374,$A10,'架電リスト'!$J$5:$J$1374,"アポ獲得")</f>
        <v/>
      </c>
      <c r="I10" s="16">
        <f>COUNTIFS('架電リスト'!$B$5:$B$1374,$A10,'架電リスト'!$J$5:$J$1374,"検討中")</f>
        <v/>
      </c>
      <c r="J10" s="16">
        <f>COUNTIFS('架電リスト'!$B$5:$B$1374,$A10,'架電リスト'!$J$5:$J$1374,"NG")</f>
        <v/>
      </c>
      <c r="K10" s="16">
        <f>COUNTIFS('架電リスト'!$B$5:$B$1374,$A10,'架電リスト'!$J$5:$J$1374,"番号不明")</f>
        <v/>
      </c>
    </row>
    <row r="11">
      <c r="A11" s="16" t="inlineStr">
        <is>
          <t>茨城県</t>
        </is>
      </c>
      <c r="B11" s="16">
        <f>COUNTIF('架電リスト'!$B$5:$B$1374,A11)</f>
        <v/>
      </c>
      <c r="C11" s="16">
        <f>COUNTIFS('架電リスト'!$B$5:$B$1374,A11,'架電リスト'!$E$5:$E$1374,"&lt;&gt;")</f>
        <v/>
      </c>
      <c r="D11" s="16">
        <f>B11-COUNTIFS('架電リスト'!$B$5:$B$1374,A11,'架電リスト'!$J$5:$J$1374,"未架電")-COUNTIFS('架電リスト'!$B$5:$B$1374,A11,'架電リスト'!$J$5:$J$1374,"")</f>
        <v/>
      </c>
      <c r="E11" s="16">
        <f>COUNTIFS('架電リスト'!$B$5:$B$1374,$A11,'架電リスト'!$J$5:$J$1374,"不在・折返し待ち")</f>
        <v/>
      </c>
      <c r="F11" s="16">
        <f>COUNTIFS('架電リスト'!$B$5:$B$1374,$A11,'架電リスト'!$J$5:$J$1374,"担当者不在")</f>
        <v/>
      </c>
      <c r="G11" s="16">
        <f>COUNTIFS('架電リスト'!$B$5:$B$1374,$A11,'架電リスト'!$J$5:$J$1374,"資料送付")</f>
        <v/>
      </c>
      <c r="H11" s="16">
        <f>COUNTIFS('架電リスト'!$B$5:$B$1374,$A11,'架電リスト'!$J$5:$J$1374,"アポ獲得")</f>
        <v/>
      </c>
      <c r="I11" s="16">
        <f>COUNTIFS('架電リスト'!$B$5:$B$1374,$A11,'架電リスト'!$J$5:$J$1374,"検討中")</f>
        <v/>
      </c>
      <c r="J11" s="16">
        <f>COUNTIFS('架電リスト'!$B$5:$B$1374,$A11,'架電リスト'!$J$5:$J$1374,"NG")</f>
        <v/>
      </c>
      <c r="K11" s="16">
        <f>COUNTIFS('架電リスト'!$B$5:$B$1374,$A11,'架電リスト'!$J$5:$J$1374,"番号不明")</f>
        <v/>
      </c>
    </row>
    <row r="12">
      <c r="A12" s="16" t="inlineStr">
        <is>
          <t>栃木県</t>
        </is>
      </c>
      <c r="B12" s="16">
        <f>COUNTIF('架電リスト'!$B$5:$B$1374,A12)</f>
        <v/>
      </c>
      <c r="C12" s="16">
        <f>COUNTIFS('架電リスト'!$B$5:$B$1374,A12,'架電リスト'!$E$5:$E$1374,"&lt;&gt;")</f>
        <v/>
      </c>
      <c r="D12" s="16">
        <f>B12-COUNTIFS('架電リスト'!$B$5:$B$1374,A12,'架電リスト'!$J$5:$J$1374,"未架電")-COUNTIFS('架電リスト'!$B$5:$B$1374,A12,'架電リスト'!$J$5:$J$1374,"")</f>
        <v/>
      </c>
      <c r="E12" s="16">
        <f>COUNTIFS('架電リスト'!$B$5:$B$1374,$A12,'架電リスト'!$J$5:$J$1374,"不在・折返し待ち")</f>
        <v/>
      </c>
      <c r="F12" s="16">
        <f>COUNTIFS('架電リスト'!$B$5:$B$1374,$A12,'架電リスト'!$J$5:$J$1374,"担当者不在")</f>
        <v/>
      </c>
      <c r="G12" s="16">
        <f>COUNTIFS('架電リスト'!$B$5:$B$1374,$A12,'架電リスト'!$J$5:$J$1374,"資料送付")</f>
        <v/>
      </c>
      <c r="H12" s="16">
        <f>COUNTIFS('架電リスト'!$B$5:$B$1374,$A12,'架電リスト'!$J$5:$J$1374,"アポ獲得")</f>
        <v/>
      </c>
      <c r="I12" s="16">
        <f>COUNTIFS('架電リスト'!$B$5:$B$1374,$A12,'架電リスト'!$J$5:$J$1374,"検討中")</f>
        <v/>
      </c>
      <c r="J12" s="16">
        <f>COUNTIFS('架電リスト'!$B$5:$B$1374,$A12,'架電リスト'!$J$5:$J$1374,"NG")</f>
        <v/>
      </c>
      <c r="K12" s="16">
        <f>COUNTIFS('架電リスト'!$B$5:$B$1374,$A12,'架電リスト'!$J$5:$J$1374,"番号不明")</f>
        <v/>
      </c>
    </row>
    <row r="13">
      <c r="A13" s="16" t="inlineStr">
        <is>
          <t>群馬県</t>
        </is>
      </c>
      <c r="B13" s="16">
        <f>COUNTIF('架電リスト'!$B$5:$B$1374,A13)</f>
        <v/>
      </c>
      <c r="C13" s="16">
        <f>COUNTIFS('架電リスト'!$B$5:$B$1374,A13,'架電リスト'!$E$5:$E$1374,"&lt;&gt;")</f>
        <v/>
      </c>
      <c r="D13" s="16">
        <f>B13-COUNTIFS('架電リスト'!$B$5:$B$1374,A13,'架電リスト'!$J$5:$J$1374,"未架電")-COUNTIFS('架電リスト'!$B$5:$B$1374,A13,'架電リスト'!$J$5:$J$1374,"")</f>
        <v/>
      </c>
      <c r="E13" s="16">
        <f>COUNTIFS('架電リスト'!$B$5:$B$1374,$A13,'架電リスト'!$J$5:$J$1374,"不在・折返し待ち")</f>
        <v/>
      </c>
      <c r="F13" s="16">
        <f>COUNTIFS('架電リスト'!$B$5:$B$1374,$A13,'架電リスト'!$J$5:$J$1374,"担当者不在")</f>
        <v/>
      </c>
      <c r="G13" s="16">
        <f>COUNTIFS('架電リスト'!$B$5:$B$1374,$A13,'架電リスト'!$J$5:$J$1374,"資料送付")</f>
        <v/>
      </c>
      <c r="H13" s="16">
        <f>COUNTIFS('架電リスト'!$B$5:$B$1374,$A13,'架電リスト'!$J$5:$J$1374,"アポ獲得")</f>
        <v/>
      </c>
      <c r="I13" s="16">
        <f>COUNTIFS('架電リスト'!$B$5:$B$1374,$A13,'架電リスト'!$J$5:$J$1374,"検討中")</f>
        <v/>
      </c>
      <c r="J13" s="16">
        <f>COUNTIFS('架電リスト'!$B$5:$B$1374,$A13,'架電リスト'!$J$5:$J$1374,"NG")</f>
        <v/>
      </c>
      <c r="K13" s="16">
        <f>COUNTIFS('架電リスト'!$B$5:$B$1374,$A13,'架電リスト'!$J$5:$J$1374,"番号不明")</f>
        <v/>
      </c>
    </row>
    <row r="14">
      <c r="A14" s="16" t="inlineStr">
        <is>
          <t>埼玉県</t>
        </is>
      </c>
      <c r="B14" s="16">
        <f>COUNTIF('架電リスト'!$B$5:$B$1374,A14)</f>
        <v/>
      </c>
      <c r="C14" s="16">
        <f>COUNTIFS('架電リスト'!$B$5:$B$1374,A14,'架電リスト'!$E$5:$E$1374,"&lt;&gt;")</f>
        <v/>
      </c>
      <c r="D14" s="16">
        <f>B14-COUNTIFS('架電リスト'!$B$5:$B$1374,A14,'架電リスト'!$J$5:$J$1374,"未架電")-COUNTIFS('架電リスト'!$B$5:$B$1374,A14,'架電リスト'!$J$5:$J$1374,"")</f>
        <v/>
      </c>
      <c r="E14" s="16">
        <f>COUNTIFS('架電リスト'!$B$5:$B$1374,$A14,'架電リスト'!$J$5:$J$1374,"不在・折返し待ち")</f>
        <v/>
      </c>
      <c r="F14" s="16">
        <f>COUNTIFS('架電リスト'!$B$5:$B$1374,$A14,'架電リスト'!$J$5:$J$1374,"担当者不在")</f>
        <v/>
      </c>
      <c r="G14" s="16">
        <f>COUNTIFS('架電リスト'!$B$5:$B$1374,$A14,'架電リスト'!$J$5:$J$1374,"資料送付")</f>
        <v/>
      </c>
      <c r="H14" s="16">
        <f>COUNTIFS('架電リスト'!$B$5:$B$1374,$A14,'架電リスト'!$J$5:$J$1374,"アポ獲得")</f>
        <v/>
      </c>
      <c r="I14" s="16">
        <f>COUNTIFS('架電リスト'!$B$5:$B$1374,$A14,'架電リスト'!$J$5:$J$1374,"検討中")</f>
        <v/>
      </c>
      <c r="J14" s="16">
        <f>COUNTIFS('架電リスト'!$B$5:$B$1374,$A14,'架電リスト'!$J$5:$J$1374,"NG")</f>
        <v/>
      </c>
      <c r="K14" s="16">
        <f>COUNTIFS('架電リスト'!$B$5:$B$1374,$A14,'架電リスト'!$J$5:$J$1374,"番号不明")</f>
        <v/>
      </c>
    </row>
    <row r="15">
      <c r="A15" s="16" t="inlineStr">
        <is>
          <t>千葉県</t>
        </is>
      </c>
      <c r="B15" s="16">
        <f>COUNTIF('架電リスト'!$B$5:$B$1374,A15)</f>
        <v/>
      </c>
      <c r="C15" s="16">
        <f>COUNTIFS('架電リスト'!$B$5:$B$1374,A15,'架電リスト'!$E$5:$E$1374,"&lt;&gt;")</f>
        <v/>
      </c>
      <c r="D15" s="16">
        <f>B15-COUNTIFS('架電リスト'!$B$5:$B$1374,A15,'架電リスト'!$J$5:$J$1374,"未架電")-COUNTIFS('架電リスト'!$B$5:$B$1374,A15,'架電リスト'!$J$5:$J$1374,"")</f>
        <v/>
      </c>
      <c r="E15" s="16">
        <f>COUNTIFS('架電リスト'!$B$5:$B$1374,$A15,'架電リスト'!$J$5:$J$1374,"不在・折返し待ち")</f>
        <v/>
      </c>
      <c r="F15" s="16">
        <f>COUNTIFS('架電リスト'!$B$5:$B$1374,$A15,'架電リスト'!$J$5:$J$1374,"担当者不在")</f>
        <v/>
      </c>
      <c r="G15" s="16">
        <f>COUNTIFS('架電リスト'!$B$5:$B$1374,$A15,'架電リスト'!$J$5:$J$1374,"資料送付")</f>
        <v/>
      </c>
      <c r="H15" s="16">
        <f>COUNTIFS('架電リスト'!$B$5:$B$1374,$A15,'架電リスト'!$J$5:$J$1374,"アポ獲得")</f>
        <v/>
      </c>
      <c r="I15" s="16">
        <f>COUNTIFS('架電リスト'!$B$5:$B$1374,$A15,'架電リスト'!$J$5:$J$1374,"検討中")</f>
        <v/>
      </c>
      <c r="J15" s="16">
        <f>COUNTIFS('架電リスト'!$B$5:$B$1374,$A15,'架電リスト'!$J$5:$J$1374,"NG")</f>
        <v/>
      </c>
      <c r="K15" s="16">
        <f>COUNTIFS('架電リスト'!$B$5:$B$1374,$A15,'架電リスト'!$J$5:$J$1374,"番号不明")</f>
        <v/>
      </c>
    </row>
    <row r="16">
      <c r="A16" s="16" t="inlineStr">
        <is>
          <t>東京都</t>
        </is>
      </c>
      <c r="B16" s="16">
        <f>COUNTIF('架電リスト'!$B$5:$B$1374,A16)</f>
        <v/>
      </c>
      <c r="C16" s="16">
        <f>COUNTIFS('架電リスト'!$B$5:$B$1374,A16,'架電リスト'!$E$5:$E$1374,"&lt;&gt;")</f>
        <v/>
      </c>
      <c r="D16" s="16">
        <f>B16-COUNTIFS('架電リスト'!$B$5:$B$1374,A16,'架電リスト'!$J$5:$J$1374,"未架電")-COUNTIFS('架電リスト'!$B$5:$B$1374,A16,'架電リスト'!$J$5:$J$1374,"")</f>
        <v/>
      </c>
      <c r="E16" s="16">
        <f>COUNTIFS('架電リスト'!$B$5:$B$1374,$A16,'架電リスト'!$J$5:$J$1374,"不在・折返し待ち")</f>
        <v/>
      </c>
      <c r="F16" s="16">
        <f>COUNTIFS('架電リスト'!$B$5:$B$1374,$A16,'架電リスト'!$J$5:$J$1374,"担当者不在")</f>
        <v/>
      </c>
      <c r="G16" s="16">
        <f>COUNTIFS('架電リスト'!$B$5:$B$1374,$A16,'架電リスト'!$J$5:$J$1374,"資料送付")</f>
        <v/>
      </c>
      <c r="H16" s="16">
        <f>COUNTIFS('架電リスト'!$B$5:$B$1374,$A16,'架電リスト'!$J$5:$J$1374,"アポ獲得")</f>
        <v/>
      </c>
      <c r="I16" s="16">
        <f>COUNTIFS('架電リスト'!$B$5:$B$1374,$A16,'架電リスト'!$J$5:$J$1374,"検討中")</f>
        <v/>
      </c>
      <c r="J16" s="16">
        <f>COUNTIFS('架電リスト'!$B$5:$B$1374,$A16,'架電リスト'!$J$5:$J$1374,"NG")</f>
        <v/>
      </c>
      <c r="K16" s="16">
        <f>COUNTIFS('架電リスト'!$B$5:$B$1374,$A16,'架電リスト'!$J$5:$J$1374,"番号不明")</f>
        <v/>
      </c>
    </row>
    <row r="17">
      <c r="A17" s="16" t="inlineStr">
        <is>
          <t>神奈川県</t>
        </is>
      </c>
      <c r="B17" s="16">
        <f>COUNTIF('架電リスト'!$B$5:$B$1374,A17)</f>
        <v/>
      </c>
      <c r="C17" s="16">
        <f>COUNTIFS('架電リスト'!$B$5:$B$1374,A17,'架電リスト'!$E$5:$E$1374,"&lt;&gt;")</f>
        <v/>
      </c>
      <c r="D17" s="16">
        <f>B17-COUNTIFS('架電リスト'!$B$5:$B$1374,A17,'架電リスト'!$J$5:$J$1374,"未架電")-COUNTIFS('架電リスト'!$B$5:$B$1374,A17,'架電リスト'!$J$5:$J$1374,"")</f>
        <v/>
      </c>
      <c r="E17" s="16">
        <f>COUNTIFS('架電リスト'!$B$5:$B$1374,$A17,'架電リスト'!$J$5:$J$1374,"不在・折返し待ち")</f>
        <v/>
      </c>
      <c r="F17" s="16">
        <f>COUNTIFS('架電リスト'!$B$5:$B$1374,$A17,'架電リスト'!$J$5:$J$1374,"担当者不在")</f>
        <v/>
      </c>
      <c r="G17" s="16">
        <f>COUNTIFS('架電リスト'!$B$5:$B$1374,$A17,'架電リスト'!$J$5:$J$1374,"資料送付")</f>
        <v/>
      </c>
      <c r="H17" s="16">
        <f>COUNTIFS('架電リスト'!$B$5:$B$1374,$A17,'架電リスト'!$J$5:$J$1374,"アポ獲得")</f>
        <v/>
      </c>
      <c r="I17" s="16">
        <f>COUNTIFS('架電リスト'!$B$5:$B$1374,$A17,'架電リスト'!$J$5:$J$1374,"検討中")</f>
        <v/>
      </c>
      <c r="J17" s="16">
        <f>COUNTIFS('架電リスト'!$B$5:$B$1374,$A17,'架電リスト'!$J$5:$J$1374,"NG")</f>
        <v/>
      </c>
      <c r="K17" s="16">
        <f>COUNTIFS('架電リスト'!$B$5:$B$1374,$A17,'架電リスト'!$J$5:$J$1374,"番号不明")</f>
        <v/>
      </c>
    </row>
    <row r="18">
      <c r="A18" s="16" t="inlineStr">
        <is>
          <t>新潟県</t>
        </is>
      </c>
      <c r="B18" s="16">
        <f>COUNTIF('架電リスト'!$B$5:$B$1374,A18)</f>
        <v/>
      </c>
      <c r="C18" s="16">
        <f>COUNTIFS('架電リスト'!$B$5:$B$1374,A18,'架電リスト'!$E$5:$E$1374,"&lt;&gt;")</f>
        <v/>
      </c>
      <c r="D18" s="16">
        <f>B18-COUNTIFS('架電リスト'!$B$5:$B$1374,A18,'架電リスト'!$J$5:$J$1374,"未架電")-COUNTIFS('架電リスト'!$B$5:$B$1374,A18,'架電リスト'!$J$5:$J$1374,"")</f>
        <v/>
      </c>
      <c r="E18" s="16">
        <f>COUNTIFS('架電リスト'!$B$5:$B$1374,$A18,'架電リスト'!$J$5:$J$1374,"不在・折返し待ち")</f>
        <v/>
      </c>
      <c r="F18" s="16">
        <f>COUNTIFS('架電リスト'!$B$5:$B$1374,$A18,'架電リスト'!$J$5:$J$1374,"担当者不在")</f>
        <v/>
      </c>
      <c r="G18" s="16">
        <f>COUNTIFS('架電リスト'!$B$5:$B$1374,$A18,'架電リスト'!$J$5:$J$1374,"資料送付")</f>
        <v/>
      </c>
      <c r="H18" s="16">
        <f>COUNTIFS('架電リスト'!$B$5:$B$1374,$A18,'架電リスト'!$J$5:$J$1374,"アポ獲得")</f>
        <v/>
      </c>
      <c r="I18" s="16">
        <f>COUNTIFS('架電リスト'!$B$5:$B$1374,$A18,'架電リスト'!$J$5:$J$1374,"検討中")</f>
        <v/>
      </c>
      <c r="J18" s="16">
        <f>COUNTIFS('架電リスト'!$B$5:$B$1374,$A18,'架電リスト'!$J$5:$J$1374,"NG")</f>
        <v/>
      </c>
      <c r="K18" s="16">
        <f>COUNTIFS('架電リスト'!$B$5:$B$1374,$A18,'架電リスト'!$J$5:$J$1374,"番号不明")</f>
        <v/>
      </c>
    </row>
    <row r="19">
      <c r="A19" s="16" t="inlineStr">
        <is>
          <t>富山県</t>
        </is>
      </c>
      <c r="B19" s="16">
        <f>COUNTIF('架電リスト'!$B$5:$B$1374,A19)</f>
        <v/>
      </c>
      <c r="C19" s="16">
        <f>COUNTIFS('架電リスト'!$B$5:$B$1374,A19,'架電リスト'!$E$5:$E$1374,"&lt;&gt;")</f>
        <v/>
      </c>
      <c r="D19" s="16">
        <f>B19-COUNTIFS('架電リスト'!$B$5:$B$1374,A19,'架電リスト'!$J$5:$J$1374,"未架電")-COUNTIFS('架電リスト'!$B$5:$B$1374,A19,'架電リスト'!$J$5:$J$1374,"")</f>
        <v/>
      </c>
      <c r="E19" s="16">
        <f>COUNTIFS('架電リスト'!$B$5:$B$1374,$A19,'架電リスト'!$J$5:$J$1374,"不在・折返し待ち")</f>
        <v/>
      </c>
      <c r="F19" s="16">
        <f>COUNTIFS('架電リスト'!$B$5:$B$1374,$A19,'架電リスト'!$J$5:$J$1374,"担当者不在")</f>
        <v/>
      </c>
      <c r="G19" s="16">
        <f>COUNTIFS('架電リスト'!$B$5:$B$1374,$A19,'架電リスト'!$J$5:$J$1374,"資料送付")</f>
        <v/>
      </c>
      <c r="H19" s="16">
        <f>COUNTIFS('架電リスト'!$B$5:$B$1374,$A19,'架電リスト'!$J$5:$J$1374,"アポ獲得")</f>
        <v/>
      </c>
      <c r="I19" s="16">
        <f>COUNTIFS('架電リスト'!$B$5:$B$1374,$A19,'架電リスト'!$J$5:$J$1374,"検討中")</f>
        <v/>
      </c>
      <c r="J19" s="16">
        <f>COUNTIFS('架電リスト'!$B$5:$B$1374,$A19,'架電リスト'!$J$5:$J$1374,"NG")</f>
        <v/>
      </c>
      <c r="K19" s="16">
        <f>COUNTIFS('架電リスト'!$B$5:$B$1374,$A19,'架電リスト'!$J$5:$J$1374,"番号不明")</f>
        <v/>
      </c>
    </row>
    <row r="20">
      <c r="A20" s="16" t="inlineStr">
        <is>
          <t>石川県</t>
        </is>
      </c>
      <c r="B20" s="16">
        <f>COUNTIF('架電リスト'!$B$5:$B$1374,A20)</f>
        <v/>
      </c>
      <c r="C20" s="16">
        <f>COUNTIFS('架電リスト'!$B$5:$B$1374,A20,'架電リスト'!$E$5:$E$1374,"&lt;&gt;")</f>
        <v/>
      </c>
      <c r="D20" s="16">
        <f>B20-COUNTIFS('架電リスト'!$B$5:$B$1374,A20,'架電リスト'!$J$5:$J$1374,"未架電")-COUNTIFS('架電リスト'!$B$5:$B$1374,A20,'架電リスト'!$J$5:$J$1374,"")</f>
        <v/>
      </c>
      <c r="E20" s="16">
        <f>COUNTIFS('架電リスト'!$B$5:$B$1374,$A20,'架電リスト'!$J$5:$J$1374,"不在・折返し待ち")</f>
        <v/>
      </c>
      <c r="F20" s="16">
        <f>COUNTIFS('架電リスト'!$B$5:$B$1374,$A20,'架電リスト'!$J$5:$J$1374,"担当者不在")</f>
        <v/>
      </c>
      <c r="G20" s="16">
        <f>COUNTIFS('架電リスト'!$B$5:$B$1374,$A20,'架電リスト'!$J$5:$J$1374,"資料送付")</f>
        <v/>
      </c>
      <c r="H20" s="16">
        <f>COUNTIFS('架電リスト'!$B$5:$B$1374,$A20,'架電リスト'!$J$5:$J$1374,"アポ獲得")</f>
        <v/>
      </c>
      <c r="I20" s="16">
        <f>COUNTIFS('架電リスト'!$B$5:$B$1374,$A20,'架電リスト'!$J$5:$J$1374,"検討中")</f>
        <v/>
      </c>
      <c r="J20" s="16">
        <f>COUNTIFS('架電リスト'!$B$5:$B$1374,$A20,'架電リスト'!$J$5:$J$1374,"NG")</f>
        <v/>
      </c>
      <c r="K20" s="16">
        <f>COUNTIFS('架電リスト'!$B$5:$B$1374,$A20,'架電リスト'!$J$5:$J$1374,"番号不明")</f>
        <v/>
      </c>
    </row>
    <row r="21">
      <c r="A21" s="16" t="inlineStr">
        <is>
          <t>福井県</t>
        </is>
      </c>
      <c r="B21" s="16">
        <f>COUNTIF('架電リスト'!$B$5:$B$1374,A21)</f>
        <v/>
      </c>
      <c r="C21" s="16">
        <f>COUNTIFS('架電リスト'!$B$5:$B$1374,A21,'架電リスト'!$E$5:$E$1374,"&lt;&gt;")</f>
        <v/>
      </c>
      <c r="D21" s="16">
        <f>B21-COUNTIFS('架電リスト'!$B$5:$B$1374,A21,'架電リスト'!$J$5:$J$1374,"未架電")-COUNTIFS('架電リスト'!$B$5:$B$1374,A21,'架電リスト'!$J$5:$J$1374,"")</f>
        <v/>
      </c>
      <c r="E21" s="16">
        <f>COUNTIFS('架電リスト'!$B$5:$B$1374,$A21,'架電リスト'!$J$5:$J$1374,"不在・折返し待ち")</f>
        <v/>
      </c>
      <c r="F21" s="16">
        <f>COUNTIFS('架電リスト'!$B$5:$B$1374,$A21,'架電リスト'!$J$5:$J$1374,"担当者不在")</f>
        <v/>
      </c>
      <c r="G21" s="16">
        <f>COUNTIFS('架電リスト'!$B$5:$B$1374,$A21,'架電リスト'!$J$5:$J$1374,"資料送付")</f>
        <v/>
      </c>
      <c r="H21" s="16">
        <f>COUNTIFS('架電リスト'!$B$5:$B$1374,$A21,'架電リスト'!$J$5:$J$1374,"アポ獲得")</f>
        <v/>
      </c>
      <c r="I21" s="16">
        <f>COUNTIFS('架電リスト'!$B$5:$B$1374,$A21,'架電リスト'!$J$5:$J$1374,"検討中")</f>
        <v/>
      </c>
      <c r="J21" s="16">
        <f>COUNTIFS('架電リスト'!$B$5:$B$1374,$A21,'架電リスト'!$J$5:$J$1374,"NG")</f>
        <v/>
      </c>
      <c r="K21" s="16">
        <f>COUNTIFS('架電リスト'!$B$5:$B$1374,$A21,'架電リスト'!$J$5:$J$1374,"番号不明")</f>
        <v/>
      </c>
    </row>
    <row r="22">
      <c r="A22" s="16" t="inlineStr">
        <is>
          <t>山梨県</t>
        </is>
      </c>
      <c r="B22" s="16">
        <f>COUNTIF('架電リスト'!$B$5:$B$1374,A22)</f>
        <v/>
      </c>
      <c r="C22" s="16">
        <f>COUNTIFS('架電リスト'!$B$5:$B$1374,A22,'架電リスト'!$E$5:$E$1374,"&lt;&gt;")</f>
        <v/>
      </c>
      <c r="D22" s="16">
        <f>B22-COUNTIFS('架電リスト'!$B$5:$B$1374,A22,'架電リスト'!$J$5:$J$1374,"未架電")-COUNTIFS('架電リスト'!$B$5:$B$1374,A22,'架電リスト'!$J$5:$J$1374,"")</f>
        <v/>
      </c>
      <c r="E22" s="16">
        <f>COUNTIFS('架電リスト'!$B$5:$B$1374,$A22,'架電リスト'!$J$5:$J$1374,"不在・折返し待ち")</f>
        <v/>
      </c>
      <c r="F22" s="16">
        <f>COUNTIFS('架電リスト'!$B$5:$B$1374,$A22,'架電リスト'!$J$5:$J$1374,"担当者不在")</f>
        <v/>
      </c>
      <c r="G22" s="16">
        <f>COUNTIFS('架電リスト'!$B$5:$B$1374,$A22,'架電リスト'!$J$5:$J$1374,"資料送付")</f>
        <v/>
      </c>
      <c r="H22" s="16">
        <f>COUNTIFS('架電リスト'!$B$5:$B$1374,$A22,'架電リスト'!$J$5:$J$1374,"アポ獲得")</f>
        <v/>
      </c>
      <c r="I22" s="16">
        <f>COUNTIFS('架電リスト'!$B$5:$B$1374,$A22,'架電リスト'!$J$5:$J$1374,"検討中")</f>
        <v/>
      </c>
      <c r="J22" s="16">
        <f>COUNTIFS('架電リスト'!$B$5:$B$1374,$A22,'架電リスト'!$J$5:$J$1374,"NG")</f>
        <v/>
      </c>
      <c r="K22" s="16">
        <f>COUNTIFS('架電リスト'!$B$5:$B$1374,$A22,'架電リスト'!$J$5:$J$1374,"番号不明")</f>
        <v/>
      </c>
    </row>
    <row r="23">
      <c r="A23" s="16" t="inlineStr">
        <is>
          <t>長野県</t>
        </is>
      </c>
      <c r="B23" s="16">
        <f>COUNTIF('架電リスト'!$B$5:$B$1374,A23)</f>
        <v/>
      </c>
      <c r="C23" s="16">
        <f>COUNTIFS('架電リスト'!$B$5:$B$1374,A23,'架電リスト'!$E$5:$E$1374,"&lt;&gt;")</f>
        <v/>
      </c>
      <c r="D23" s="16">
        <f>B23-COUNTIFS('架電リスト'!$B$5:$B$1374,A23,'架電リスト'!$J$5:$J$1374,"未架電")-COUNTIFS('架電リスト'!$B$5:$B$1374,A23,'架電リスト'!$J$5:$J$1374,"")</f>
        <v/>
      </c>
      <c r="E23" s="16">
        <f>COUNTIFS('架電リスト'!$B$5:$B$1374,$A23,'架電リスト'!$J$5:$J$1374,"不在・折返し待ち")</f>
        <v/>
      </c>
      <c r="F23" s="16">
        <f>COUNTIFS('架電リスト'!$B$5:$B$1374,$A23,'架電リスト'!$J$5:$J$1374,"担当者不在")</f>
        <v/>
      </c>
      <c r="G23" s="16">
        <f>COUNTIFS('架電リスト'!$B$5:$B$1374,$A23,'架電リスト'!$J$5:$J$1374,"資料送付")</f>
        <v/>
      </c>
      <c r="H23" s="16">
        <f>COUNTIFS('架電リスト'!$B$5:$B$1374,$A23,'架電リスト'!$J$5:$J$1374,"アポ獲得")</f>
        <v/>
      </c>
      <c r="I23" s="16">
        <f>COUNTIFS('架電リスト'!$B$5:$B$1374,$A23,'架電リスト'!$J$5:$J$1374,"検討中")</f>
        <v/>
      </c>
      <c r="J23" s="16">
        <f>COUNTIFS('架電リスト'!$B$5:$B$1374,$A23,'架電リスト'!$J$5:$J$1374,"NG")</f>
        <v/>
      </c>
      <c r="K23" s="16">
        <f>COUNTIFS('架電リスト'!$B$5:$B$1374,$A23,'架電リスト'!$J$5:$J$1374,"番号不明")</f>
        <v/>
      </c>
    </row>
    <row r="24">
      <c r="A24" s="16" t="inlineStr">
        <is>
          <t>岐阜県</t>
        </is>
      </c>
      <c r="B24" s="16">
        <f>COUNTIF('架電リスト'!$B$5:$B$1374,A24)</f>
        <v/>
      </c>
      <c r="C24" s="16">
        <f>COUNTIFS('架電リスト'!$B$5:$B$1374,A24,'架電リスト'!$E$5:$E$1374,"&lt;&gt;")</f>
        <v/>
      </c>
      <c r="D24" s="16">
        <f>B24-COUNTIFS('架電リスト'!$B$5:$B$1374,A24,'架電リスト'!$J$5:$J$1374,"未架電")-COUNTIFS('架電リスト'!$B$5:$B$1374,A24,'架電リスト'!$J$5:$J$1374,"")</f>
        <v/>
      </c>
      <c r="E24" s="16">
        <f>COUNTIFS('架電リスト'!$B$5:$B$1374,$A24,'架電リスト'!$J$5:$J$1374,"不在・折返し待ち")</f>
        <v/>
      </c>
      <c r="F24" s="16">
        <f>COUNTIFS('架電リスト'!$B$5:$B$1374,$A24,'架電リスト'!$J$5:$J$1374,"担当者不在")</f>
        <v/>
      </c>
      <c r="G24" s="16">
        <f>COUNTIFS('架電リスト'!$B$5:$B$1374,$A24,'架電リスト'!$J$5:$J$1374,"資料送付")</f>
        <v/>
      </c>
      <c r="H24" s="16">
        <f>COUNTIFS('架電リスト'!$B$5:$B$1374,$A24,'架電リスト'!$J$5:$J$1374,"アポ獲得")</f>
        <v/>
      </c>
      <c r="I24" s="16">
        <f>COUNTIFS('架電リスト'!$B$5:$B$1374,$A24,'架電リスト'!$J$5:$J$1374,"検討中")</f>
        <v/>
      </c>
      <c r="J24" s="16">
        <f>COUNTIFS('架電リスト'!$B$5:$B$1374,$A24,'架電リスト'!$J$5:$J$1374,"NG")</f>
        <v/>
      </c>
      <c r="K24" s="16">
        <f>COUNTIFS('架電リスト'!$B$5:$B$1374,$A24,'架電リスト'!$J$5:$J$1374,"番号不明")</f>
        <v/>
      </c>
    </row>
    <row r="25">
      <c r="A25" s="16" t="inlineStr">
        <is>
          <t>静岡県</t>
        </is>
      </c>
      <c r="B25" s="16">
        <f>COUNTIF('架電リスト'!$B$5:$B$1374,A25)</f>
        <v/>
      </c>
      <c r="C25" s="16">
        <f>COUNTIFS('架電リスト'!$B$5:$B$1374,A25,'架電リスト'!$E$5:$E$1374,"&lt;&gt;")</f>
        <v/>
      </c>
      <c r="D25" s="16">
        <f>B25-COUNTIFS('架電リスト'!$B$5:$B$1374,A25,'架電リスト'!$J$5:$J$1374,"未架電")-COUNTIFS('架電リスト'!$B$5:$B$1374,A25,'架電リスト'!$J$5:$J$1374,"")</f>
        <v/>
      </c>
      <c r="E25" s="16">
        <f>COUNTIFS('架電リスト'!$B$5:$B$1374,$A25,'架電リスト'!$J$5:$J$1374,"不在・折返し待ち")</f>
        <v/>
      </c>
      <c r="F25" s="16">
        <f>COUNTIFS('架電リスト'!$B$5:$B$1374,$A25,'架電リスト'!$J$5:$J$1374,"担当者不在")</f>
        <v/>
      </c>
      <c r="G25" s="16">
        <f>COUNTIFS('架電リスト'!$B$5:$B$1374,$A25,'架電リスト'!$J$5:$J$1374,"資料送付")</f>
        <v/>
      </c>
      <c r="H25" s="16">
        <f>COUNTIFS('架電リスト'!$B$5:$B$1374,$A25,'架電リスト'!$J$5:$J$1374,"アポ獲得")</f>
        <v/>
      </c>
      <c r="I25" s="16">
        <f>COUNTIFS('架電リスト'!$B$5:$B$1374,$A25,'架電リスト'!$J$5:$J$1374,"検討中")</f>
        <v/>
      </c>
      <c r="J25" s="16">
        <f>COUNTIFS('架電リスト'!$B$5:$B$1374,$A25,'架電リスト'!$J$5:$J$1374,"NG")</f>
        <v/>
      </c>
      <c r="K25" s="16">
        <f>COUNTIFS('架電リスト'!$B$5:$B$1374,$A25,'架電リスト'!$J$5:$J$1374,"番号不明")</f>
        <v/>
      </c>
    </row>
    <row r="26">
      <c r="A26" s="16" t="inlineStr">
        <is>
          <t>愛知県</t>
        </is>
      </c>
      <c r="B26" s="16">
        <f>COUNTIF('架電リスト'!$B$5:$B$1374,A26)</f>
        <v/>
      </c>
      <c r="C26" s="16">
        <f>COUNTIFS('架電リスト'!$B$5:$B$1374,A26,'架電リスト'!$E$5:$E$1374,"&lt;&gt;")</f>
        <v/>
      </c>
      <c r="D26" s="16">
        <f>B26-COUNTIFS('架電リスト'!$B$5:$B$1374,A26,'架電リスト'!$J$5:$J$1374,"未架電")-COUNTIFS('架電リスト'!$B$5:$B$1374,A26,'架電リスト'!$J$5:$J$1374,"")</f>
        <v/>
      </c>
      <c r="E26" s="16">
        <f>COUNTIFS('架電リスト'!$B$5:$B$1374,$A26,'架電リスト'!$J$5:$J$1374,"不在・折返し待ち")</f>
        <v/>
      </c>
      <c r="F26" s="16">
        <f>COUNTIFS('架電リスト'!$B$5:$B$1374,$A26,'架電リスト'!$J$5:$J$1374,"担当者不在")</f>
        <v/>
      </c>
      <c r="G26" s="16">
        <f>COUNTIFS('架電リスト'!$B$5:$B$1374,$A26,'架電リスト'!$J$5:$J$1374,"資料送付")</f>
        <v/>
      </c>
      <c r="H26" s="16">
        <f>COUNTIFS('架電リスト'!$B$5:$B$1374,$A26,'架電リスト'!$J$5:$J$1374,"アポ獲得")</f>
        <v/>
      </c>
      <c r="I26" s="16">
        <f>COUNTIFS('架電リスト'!$B$5:$B$1374,$A26,'架電リスト'!$J$5:$J$1374,"検討中")</f>
        <v/>
      </c>
      <c r="J26" s="16">
        <f>COUNTIFS('架電リスト'!$B$5:$B$1374,$A26,'架電リスト'!$J$5:$J$1374,"NG")</f>
        <v/>
      </c>
      <c r="K26" s="16">
        <f>COUNTIFS('架電リスト'!$B$5:$B$1374,$A26,'架電リスト'!$J$5:$J$1374,"番号不明")</f>
        <v/>
      </c>
    </row>
    <row r="27">
      <c r="A27" s="16" t="inlineStr">
        <is>
          <t>三重県</t>
        </is>
      </c>
      <c r="B27" s="16">
        <f>COUNTIF('架電リスト'!$B$5:$B$1374,A27)</f>
        <v/>
      </c>
      <c r="C27" s="16">
        <f>COUNTIFS('架電リスト'!$B$5:$B$1374,A27,'架電リスト'!$E$5:$E$1374,"&lt;&gt;")</f>
        <v/>
      </c>
      <c r="D27" s="16">
        <f>B27-COUNTIFS('架電リスト'!$B$5:$B$1374,A27,'架電リスト'!$J$5:$J$1374,"未架電")-COUNTIFS('架電リスト'!$B$5:$B$1374,A27,'架電リスト'!$J$5:$J$1374,"")</f>
        <v/>
      </c>
      <c r="E27" s="16">
        <f>COUNTIFS('架電リスト'!$B$5:$B$1374,$A27,'架電リスト'!$J$5:$J$1374,"不在・折返し待ち")</f>
        <v/>
      </c>
      <c r="F27" s="16">
        <f>COUNTIFS('架電リスト'!$B$5:$B$1374,$A27,'架電リスト'!$J$5:$J$1374,"担当者不在")</f>
        <v/>
      </c>
      <c r="G27" s="16">
        <f>COUNTIFS('架電リスト'!$B$5:$B$1374,$A27,'架電リスト'!$J$5:$J$1374,"資料送付")</f>
        <v/>
      </c>
      <c r="H27" s="16">
        <f>COUNTIFS('架電リスト'!$B$5:$B$1374,$A27,'架電リスト'!$J$5:$J$1374,"アポ獲得")</f>
        <v/>
      </c>
      <c r="I27" s="16">
        <f>COUNTIFS('架電リスト'!$B$5:$B$1374,$A27,'架電リスト'!$J$5:$J$1374,"検討中")</f>
        <v/>
      </c>
      <c r="J27" s="16">
        <f>COUNTIFS('架電リスト'!$B$5:$B$1374,$A27,'架電リスト'!$J$5:$J$1374,"NG")</f>
        <v/>
      </c>
      <c r="K27" s="16">
        <f>COUNTIFS('架電リスト'!$B$5:$B$1374,$A27,'架電リスト'!$J$5:$J$1374,"番号不明")</f>
        <v/>
      </c>
    </row>
    <row r="28">
      <c r="A28" s="16" t="inlineStr">
        <is>
          <t>滋賀県</t>
        </is>
      </c>
      <c r="B28" s="16">
        <f>COUNTIF('架電リスト'!$B$5:$B$1374,A28)</f>
        <v/>
      </c>
      <c r="C28" s="16">
        <f>COUNTIFS('架電リスト'!$B$5:$B$1374,A28,'架電リスト'!$E$5:$E$1374,"&lt;&gt;")</f>
        <v/>
      </c>
      <c r="D28" s="16">
        <f>B28-COUNTIFS('架電リスト'!$B$5:$B$1374,A28,'架電リスト'!$J$5:$J$1374,"未架電")-COUNTIFS('架電リスト'!$B$5:$B$1374,A28,'架電リスト'!$J$5:$J$1374,"")</f>
        <v/>
      </c>
      <c r="E28" s="16">
        <f>COUNTIFS('架電リスト'!$B$5:$B$1374,$A28,'架電リスト'!$J$5:$J$1374,"不在・折返し待ち")</f>
        <v/>
      </c>
      <c r="F28" s="16">
        <f>COUNTIFS('架電リスト'!$B$5:$B$1374,$A28,'架電リスト'!$J$5:$J$1374,"担当者不在")</f>
        <v/>
      </c>
      <c r="G28" s="16">
        <f>COUNTIFS('架電リスト'!$B$5:$B$1374,$A28,'架電リスト'!$J$5:$J$1374,"資料送付")</f>
        <v/>
      </c>
      <c r="H28" s="16">
        <f>COUNTIFS('架電リスト'!$B$5:$B$1374,$A28,'架電リスト'!$J$5:$J$1374,"アポ獲得")</f>
        <v/>
      </c>
      <c r="I28" s="16">
        <f>COUNTIFS('架電リスト'!$B$5:$B$1374,$A28,'架電リスト'!$J$5:$J$1374,"検討中")</f>
        <v/>
      </c>
      <c r="J28" s="16">
        <f>COUNTIFS('架電リスト'!$B$5:$B$1374,$A28,'架電リスト'!$J$5:$J$1374,"NG")</f>
        <v/>
      </c>
      <c r="K28" s="16">
        <f>COUNTIFS('架電リスト'!$B$5:$B$1374,$A28,'架電リスト'!$J$5:$J$1374,"番号不明")</f>
        <v/>
      </c>
    </row>
    <row r="29">
      <c r="A29" s="16" t="inlineStr">
        <is>
          <t>京都府</t>
        </is>
      </c>
      <c r="B29" s="16">
        <f>COUNTIF('架電リスト'!$B$5:$B$1374,A29)</f>
        <v/>
      </c>
      <c r="C29" s="16">
        <f>COUNTIFS('架電リスト'!$B$5:$B$1374,A29,'架電リスト'!$E$5:$E$1374,"&lt;&gt;")</f>
        <v/>
      </c>
      <c r="D29" s="16">
        <f>B29-COUNTIFS('架電リスト'!$B$5:$B$1374,A29,'架電リスト'!$J$5:$J$1374,"未架電")-COUNTIFS('架電リスト'!$B$5:$B$1374,A29,'架電リスト'!$J$5:$J$1374,"")</f>
        <v/>
      </c>
      <c r="E29" s="16">
        <f>COUNTIFS('架電リスト'!$B$5:$B$1374,$A29,'架電リスト'!$J$5:$J$1374,"不在・折返し待ち")</f>
        <v/>
      </c>
      <c r="F29" s="16">
        <f>COUNTIFS('架電リスト'!$B$5:$B$1374,$A29,'架電リスト'!$J$5:$J$1374,"担当者不在")</f>
        <v/>
      </c>
      <c r="G29" s="16">
        <f>COUNTIFS('架電リスト'!$B$5:$B$1374,$A29,'架電リスト'!$J$5:$J$1374,"資料送付")</f>
        <v/>
      </c>
      <c r="H29" s="16">
        <f>COUNTIFS('架電リスト'!$B$5:$B$1374,$A29,'架電リスト'!$J$5:$J$1374,"アポ獲得")</f>
        <v/>
      </c>
      <c r="I29" s="16">
        <f>COUNTIFS('架電リスト'!$B$5:$B$1374,$A29,'架電リスト'!$J$5:$J$1374,"検討中")</f>
        <v/>
      </c>
      <c r="J29" s="16">
        <f>COUNTIFS('架電リスト'!$B$5:$B$1374,$A29,'架電リスト'!$J$5:$J$1374,"NG")</f>
        <v/>
      </c>
      <c r="K29" s="16">
        <f>COUNTIFS('架電リスト'!$B$5:$B$1374,$A29,'架電リスト'!$J$5:$J$1374,"番号不明")</f>
        <v/>
      </c>
    </row>
    <row r="30">
      <c r="A30" s="16" t="inlineStr">
        <is>
          <t>大阪府</t>
        </is>
      </c>
      <c r="B30" s="16">
        <f>COUNTIF('架電リスト'!$B$5:$B$1374,A30)</f>
        <v/>
      </c>
      <c r="C30" s="16">
        <f>COUNTIFS('架電リスト'!$B$5:$B$1374,A30,'架電リスト'!$E$5:$E$1374,"&lt;&gt;")</f>
        <v/>
      </c>
      <c r="D30" s="16">
        <f>B30-COUNTIFS('架電リスト'!$B$5:$B$1374,A30,'架電リスト'!$J$5:$J$1374,"未架電")-COUNTIFS('架電リスト'!$B$5:$B$1374,A30,'架電リスト'!$J$5:$J$1374,"")</f>
        <v/>
      </c>
      <c r="E30" s="16">
        <f>COUNTIFS('架電リスト'!$B$5:$B$1374,$A30,'架電リスト'!$J$5:$J$1374,"不在・折返し待ち")</f>
        <v/>
      </c>
      <c r="F30" s="16">
        <f>COUNTIFS('架電リスト'!$B$5:$B$1374,$A30,'架電リスト'!$J$5:$J$1374,"担当者不在")</f>
        <v/>
      </c>
      <c r="G30" s="16">
        <f>COUNTIFS('架電リスト'!$B$5:$B$1374,$A30,'架電リスト'!$J$5:$J$1374,"資料送付")</f>
        <v/>
      </c>
      <c r="H30" s="16">
        <f>COUNTIFS('架電リスト'!$B$5:$B$1374,$A30,'架電リスト'!$J$5:$J$1374,"アポ獲得")</f>
        <v/>
      </c>
      <c r="I30" s="16">
        <f>COUNTIFS('架電リスト'!$B$5:$B$1374,$A30,'架電リスト'!$J$5:$J$1374,"検討中")</f>
        <v/>
      </c>
      <c r="J30" s="16">
        <f>COUNTIFS('架電リスト'!$B$5:$B$1374,$A30,'架電リスト'!$J$5:$J$1374,"NG")</f>
        <v/>
      </c>
      <c r="K30" s="16">
        <f>COUNTIFS('架電リスト'!$B$5:$B$1374,$A30,'架電リスト'!$J$5:$J$1374,"番号不明")</f>
        <v/>
      </c>
    </row>
    <row r="31">
      <c r="A31" s="16" t="inlineStr">
        <is>
          <t>兵庫県</t>
        </is>
      </c>
      <c r="B31" s="16">
        <f>COUNTIF('架電リスト'!$B$5:$B$1374,A31)</f>
        <v/>
      </c>
      <c r="C31" s="16">
        <f>COUNTIFS('架電リスト'!$B$5:$B$1374,A31,'架電リスト'!$E$5:$E$1374,"&lt;&gt;")</f>
        <v/>
      </c>
      <c r="D31" s="16">
        <f>B31-COUNTIFS('架電リスト'!$B$5:$B$1374,A31,'架電リスト'!$J$5:$J$1374,"未架電")-COUNTIFS('架電リスト'!$B$5:$B$1374,A31,'架電リスト'!$J$5:$J$1374,"")</f>
        <v/>
      </c>
      <c r="E31" s="16">
        <f>COUNTIFS('架電リスト'!$B$5:$B$1374,$A31,'架電リスト'!$J$5:$J$1374,"不在・折返し待ち")</f>
        <v/>
      </c>
      <c r="F31" s="16">
        <f>COUNTIFS('架電リスト'!$B$5:$B$1374,$A31,'架電リスト'!$J$5:$J$1374,"担当者不在")</f>
        <v/>
      </c>
      <c r="G31" s="16">
        <f>COUNTIFS('架電リスト'!$B$5:$B$1374,$A31,'架電リスト'!$J$5:$J$1374,"資料送付")</f>
        <v/>
      </c>
      <c r="H31" s="16">
        <f>COUNTIFS('架電リスト'!$B$5:$B$1374,$A31,'架電リスト'!$J$5:$J$1374,"アポ獲得")</f>
        <v/>
      </c>
      <c r="I31" s="16">
        <f>COUNTIFS('架電リスト'!$B$5:$B$1374,$A31,'架電リスト'!$J$5:$J$1374,"検討中")</f>
        <v/>
      </c>
      <c r="J31" s="16">
        <f>COUNTIFS('架電リスト'!$B$5:$B$1374,$A31,'架電リスト'!$J$5:$J$1374,"NG")</f>
        <v/>
      </c>
      <c r="K31" s="16">
        <f>COUNTIFS('架電リスト'!$B$5:$B$1374,$A31,'架電リスト'!$J$5:$J$1374,"番号不明")</f>
        <v/>
      </c>
    </row>
    <row r="32">
      <c r="A32" s="16" t="inlineStr">
        <is>
          <t>奈良県</t>
        </is>
      </c>
      <c r="B32" s="16">
        <f>COUNTIF('架電リスト'!$B$5:$B$1374,A32)</f>
        <v/>
      </c>
      <c r="C32" s="16">
        <f>COUNTIFS('架電リスト'!$B$5:$B$1374,A32,'架電リスト'!$E$5:$E$1374,"&lt;&gt;")</f>
        <v/>
      </c>
      <c r="D32" s="16">
        <f>B32-COUNTIFS('架電リスト'!$B$5:$B$1374,A32,'架電リスト'!$J$5:$J$1374,"未架電")-COUNTIFS('架電リスト'!$B$5:$B$1374,A32,'架電リスト'!$J$5:$J$1374,"")</f>
        <v/>
      </c>
      <c r="E32" s="16">
        <f>COUNTIFS('架電リスト'!$B$5:$B$1374,$A32,'架電リスト'!$J$5:$J$1374,"不在・折返し待ち")</f>
        <v/>
      </c>
      <c r="F32" s="16">
        <f>COUNTIFS('架電リスト'!$B$5:$B$1374,$A32,'架電リスト'!$J$5:$J$1374,"担当者不在")</f>
        <v/>
      </c>
      <c r="G32" s="16">
        <f>COUNTIFS('架電リスト'!$B$5:$B$1374,$A32,'架電リスト'!$J$5:$J$1374,"資料送付")</f>
        <v/>
      </c>
      <c r="H32" s="16">
        <f>COUNTIFS('架電リスト'!$B$5:$B$1374,$A32,'架電リスト'!$J$5:$J$1374,"アポ獲得")</f>
        <v/>
      </c>
      <c r="I32" s="16">
        <f>COUNTIFS('架電リスト'!$B$5:$B$1374,$A32,'架電リスト'!$J$5:$J$1374,"検討中")</f>
        <v/>
      </c>
      <c r="J32" s="16">
        <f>COUNTIFS('架電リスト'!$B$5:$B$1374,$A32,'架電リスト'!$J$5:$J$1374,"NG")</f>
        <v/>
      </c>
      <c r="K32" s="16">
        <f>COUNTIFS('架電リスト'!$B$5:$B$1374,$A32,'架電リスト'!$J$5:$J$1374,"番号不明")</f>
        <v/>
      </c>
    </row>
    <row r="33">
      <c r="A33" s="16" t="inlineStr">
        <is>
          <t>和歌山県</t>
        </is>
      </c>
      <c r="B33" s="16">
        <f>COUNTIF('架電リスト'!$B$5:$B$1374,A33)</f>
        <v/>
      </c>
      <c r="C33" s="16">
        <f>COUNTIFS('架電リスト'!$B$5:$B$1374,A33,'架電リスト'!$E$5:$E$1374,"&lt;&gt;")</f>
        <v/>
      </c>
      <c r="D33" s="16">
        <f>B33-COUNTIFS('架電リスト'!$B$5:$B$1374,A33,'架電リスト'!$J$5:$J$1374,"未架電")-COUNTIFS('架電リスト'!$B$5:$B$1374,A33,'架電リスト'!$J$5:$J$1374,"")</f>
        <v/>
      </c>
      <c r="E33" s="16">
        <f>COUNTIFS('架電リスト'!$B$5:$B$1374,$A33,'架電リスト'!$J$5:$J$1374,"不在・折返し待ち")</f>
        <v/>
      </c>
      <c r="F33" s="16">
        <f>COUNTIFS('架電リスト'!$B$5:$B$1374,$A33,'架電リスト'!$J$5:$J$1374,"担当者不在")</f>
        <v/>
      </c>
      <c r="G33" s="16">
        <f>COUNTIFS('架電リスト'!$B$5:$B$1374,$A33,'架電リスト'!$J$5:$J$1374,"資料送付")</f>
        <v/>
      </c>
      <c r="H33" s="16">
        <f>COUNTIFS('架電リスト'!$B$5:$B$1374,$A33,'架電リスト'!$J$5:$J$1374,"アポ獲得")</f>
        <v/>
      </c>
      <c r="I33" s="16">
        <f>COUNTIFS('架電リスト'!$B$5:$B$1374,$A33,'架電リスト'!$J$5:$J$1374,"検討中")</f>
        <v/>
      </c>
      <c r="J33" s="16">
        <f>COUNTIFS('架電リスト'!$B$5:$B$1374,$A33,'架電リスト'!$J$5:$J$1374,"NG")</f>
        <v/>
      </c>
      <c r="K33" s="16">
        <f>COUNTIFS('架電リスト'!$B$5:$B$1374,$A33,'架電リスト'!$J$5:$J$1374,"番号不明")</f>
        <v/>
      </c>
    </row>
    <row r="34">
      <c r="A34" s="16" t="inlineStr">
        <is>
          <t>鳥取県</t>
        </is>
      </c>
      <c r="B34" s="16">
        <f>COUNTIF('架電リスト'!$B$5:$B$1374,A34)</f>
        <v/>
      </c>
      <c r="C34" s="16">
        <f>COUNTIFS('架電リスト'!$B$5:$B$1374,A34,'架電リスト'!$E$5:$E$1374,"&lt;&gt;")</f>
        <v/>
      </c>
      <c r="D34" s="16">
        <f>B34-COUNTIFS('架電リスト'!$B$5:$B$1374,A34,'架電リスト'!$J$5:$J$1374,"未架電")-COUNTIFS('架電リスト'!$B$5:$B$1374,A34,'架電リスト'!$J$5:$J$1374,"")</f>
        <v/>
      </c>
      <c r="E34" s="16">
        <f>COUNTIFS('架電リスト'!$B$5:$B$1374,$A34,'架電リスト'!$J$5:$J$1374,"不在・折返し待ち")</f>
        <v/>
      </c>
      <c r="F34" s="16">
        <f>COUNTIFS('架電リスト'!$B$5:$B$1374,$A34,'架電リスト'!$J$5:$J$1374,"担当者不在")</f>
        <v/>
      </c>
      <c r="G34" s="16">
        <f>COUNTIFS('架電リスト'!$B$5:$B$1374,$A34,'架電リスト'!$J$5:$J$1374,"資料送付")</f>
        <v/>
      </c>
      <c r="H34" s="16">
        <f>COUNTIFS('架電リスト'!$B$5:$B$1374,$A34,'架電リスト'!$J$5:$J$1374,"アポ獲得")</f>
        <v/>
      </c>
      <c r="I34" s="16">
        <f>COUNTIFS('架電リスト'!$B$5:$B$1374,$A34,'架電リスト'!$J$5:$J$1374,"検討中")</f>
        <v/>
      </c>
      <c r="J34" s="16">
        <f>COUNTIFS('架電リスト'!$B$5:$B$1374,$A34,'架電リスト'!$J$5:$J$1374,"NG")</f>
        <v/>
      </c>
      <c r="K34" s="16">
        <f>COUNTIFS('架電リスト'!$B$5:$B$1374,$A34,'架電リスト'!$J$5:$J$1374,"番号不明")</f>
        <v/>
      </c>
    </row>
    <row r="35">
      <c r="A35" s="16" t="inlineStr">
        <is>
          <t>島根県</t>
        </is>
      </c>
      <c r="B35" s="16">
        <f>COUNTIF('架電リスト'!$B$5:$B$1374,A35)</f>
        <v/>
      </c>
      <c r="C35" s="16">
        <f>COUNTIFS('架電リスト'!$B$5:$B$1374,A35,'架電リスト'!$E$5:$E$1374,"&lt;&gt;")</f>
        <v/>
      </c>
      <c r="D35" s="16">
        <f>B35-COUNTIFS('架電リスト'!$B$5:$B$1374,A35,'架電リスト'!$J$5:$J$1374,"未架電")-COUNTIFS('架電リスト'!$B$5:$B$1374,A35,'架電リスト'!$J$5:$J$1374,"")</f>
        <v/>
      </c>
      <c r="E35" s="16">
        <f>COUNTIFS('架電リスト'!$B$5:$B$1374,$A35,'架電リスト'!$J$5:$J$1374,"不在・折返し待ち")</f>
        <v/>
      </c>
      <c r="F35" s="16">
        <f>COUNTIFS('架電リスト'!$B$5:$B$1374,$A35,'架電リスト'!$J$5:$J$1374,"担当者不在")</f>
        <v/>
      </c>
      <c r="G35" s="16">
        <f>COUNTIFS('架電リスト'!$B$5:$B$1374,$A35,'架電リスト'!$J$5:$J$1374,"資料送付")</f>
        <v/>
      </c>
      <c r="H35" s="16">
        <f>COUNTIFS('架電リスト'!$B$5:$B$1374,$A35,'架電リスト'!$J$5:$J$1374,"アポ獲得")</f>
        <v/>
      </c>
      <c r="I35" s="16">
        <f>COUNTIFS('架電リスト'!$B$5:$B$1374,$A35,'架電リスト'!$J$5:$J$1374,"検討中")</f>
        <v/>
      </c>
      <c r="J35" s="16">
        <f>COUNTIFS('架電リスト'!$B$5:$B$1374,$A35,'架電リスト'!$J$5:$J$1374,"NG")</f>
        <v/>
      </c>
      <c r="K35" s="16">
        <f>COUNTIFS('架電リスト'!$B$5:$B$1374,$A35,'架電リスト'!$J$5:$J$1374,"番号不明")</f>
        <v/>
      </c>
    </row>
    <row r="36">
      <c r="A36" s="16" t="inlineStr">
        <is>
          <t>岡山県</t>
        </is>
      </c>
      <c r="B36" s="16">
        <f>COUNTIF('架電リスト'!$B$5:$B$1374,A36)</f>
        <v/>
      </c>
      <c r="C36" s="16">
        <f>COUNTIFS('架電リスト'!$B$5:$B$1374,A36,'架電リスト'!$E$5:$E$1374,"&lt;&gt;")</f>
        <v/>
      </c>
      <c r="D36" s="16">
        <f>B36-COUNTIFS('架電リスト'!$B$5:$B$1374,A36,'架電リスト'!$J$5:$J$1374,"未架電")-COUNTIFS('架電リスト'!$B$5:$B$1374,A36,'架電リスト'!$J$5:$J$1374,"")</f>
        <v/>
      </c>
      <c r="E36" s="16">
        <f>COUNTIFS('架電リスト'!$B$5:$B$1374,$A36,'架電リスト'!$J$5:$J$1374,"不在・折返し待ち")</f>
        <v/>
      </c>
      <c r="F36" s="16">
        <f>COUNTIFS('架電リスト'!$B$5:$B$1374,$A36,'架電リスト'!$J$5:$J$1374,"担当者不在")</f>
        <v/>
      </c>
      <c r="G36" s="16">
        <f>COUNTIFS('架電リスト'!$B$5:$B$1374,$A36,'架電リスト'!$J$5:$J$1374,"資料送付")</f>
        <v/>
      </c>
      <c r="H36" s="16">
        <f>COUNTIFS('架電リスト'!$B$5:$B$1374,$A36,'架電リスト'!$J$5:$J$1374,"アポ獲得")</f>
        <v/>
      </c>
      <c r="I36" s="16">
        <f>COUNTIFS('架電リスト'!$B$5:$B$1374,$A36,'架電リスト'!$J$5:$J$1374,"検討中")</f>
        <v/>
      </c>
      <c r="J36" s="16">
        <f>COUNTIFS('架電リスト'!$B$5:$B$1374,$A36,'架電リスト'!$J$5:$J$1374,"NG")</f>
        <v/>
      </c>
      <c r="K36" s="16">
        <f>COUNTIFS('架電リスト'!$B$5:$B$1374,$A36,'架電リスト'!$J$5:$J$1374,"番号不明")</f>
        <v/>
      </c>
    </row>
    <row r="37">
      <c r="A37" s="16" t="inlineStr">
        <is>
          <t>広島県</t>
        </is>
      </c>
      <c r="B37" s="16">
        <f>COUNTIF('架電リスト'!$B$5:$B$1374,A37)</f>
        <v/>
      </c>
      <c r="C37" s="16">
        <f>COUNTIFS('架電リスト'!$B$5:$B$1374,A37,'架電リスト'!$E$5:$E$1374,"&lt;&gt;")</f>
        <v/>
      </c>
      <c r="D37" s="16">
        <f>B37-COUNTIFS('架電リスト'!$B$5:$B$1374,A37,'架電リスト'!$J$5:$J$1374,"未架電")-COUNTIFS('架電リスト'!$B$5:$B$1374,A37,'架電リスト'!$J$5:$J$1374,"")</f>
        <v/>
      </c>
      <c r="E37" s="16">
        <f>COUNTIFS('架電リスト'!$B$5:$B$1374,$A37,'架電リスト'!$J$5:$J$1374,"不在・折返し待ち")</f>
        <v/>
      </c>
      <c r="F37" s="16">
        <f>COUNTIFS('架電リスト'!$B$5:$B$1374,$A37,'架電リスト'!$J$5:$J$1374,"担当者不在")</f>
        <v/>
      </c>
      <c r="G37" s="16">
        <f>COUNTIFS('架電リスト'!$B$5:$B$1374,$A37,'架電リスト'!$J$5:$J$1374,"資料送付")</f>
        <v/>
      </c>
      <c r="H37" s="16">
        <f>COUNTIFS('架電リスト'!$B$5:$B$1374,$A37,'架電リスト'!$J$5:$J$1374,"アポ獲得")</f>
        <v/>
      </c>
      <c r="I37" s="16">
        <f>COUNTIFS('架電リスト'!$B$5:$B$1374,$A37,'架電リスト'!$J$5:$J$1374,"検討中")</f>
        <v/>
      </c>
      <c r="J37" s="16">
        <f>COUNTIFS('架電リスト'!$B$5:$B$1374,$A37,'架電リスト'!$J$5:$J$1374,"NG")</f>
        <v/>
      </c>
      <c r="K37" s="16">
        <f>COUNTIFS('架電リスト'!$B$5:$B$1374,$A37,'架電リスト'!$J$5:$J$1374,"番号不明")</f>
        <v/>
      </c>
    </row>
    <row r="38">
      <c r="A38" s="16" t="inlineStr">
        <is>
          <t>山口県</t>
        </is>
      </c>
      <c r="B38" s="16">
        <f>COUNTIF('架電リスト'!$B$5:$B$1374,A38)</f>
        <v/>
      </c>
      <c r="C38" s="16">
        <f>COUNTIFS('架電リスト'!$B$5:$B$1374,A38,'架電リスト'!$E$5:$E$1374,"&lt;&gt;")</f>
        <v/>
      </c>
      <c r="D38" s="16">
        <f>B38-COUNTIFS('架電リスト'!$B$5:$B$1374,A38,'架電リスト'!$J$5:$J$1374,"未架電")-COUNTIFS('架電リスト'!$B$5:$B$1374,A38,'架電リスト'!$J$5:$J$1374,"")</f>
        <v/>
      </c>
      <c r="E38" s="16">
        <f>COUNTIFS('架電リスト'!$B$5:$B$1374,$A38,'架電リスト'!$J$5:$J$1374,"不在・折返し待ち")</f>
        <v/>
      </c>
      <c r="F38" s="16">
        <f>COUNTIFS('架電リスト'!$B$5:$B$1374,$A38,'架電リスト'!$J$5:$J$1374,"担当者不在")</f>
        <v/>
      </c>
      <c r="G38" s="16">
        <f>COUNTIFS('架電リスト'!$B$5:$B$1374,$A38,'架電リスト'!$J$5:$J$1374,"資料送付")</f>
        <v/>
      </c>
      <c r="H38" s="16">
        <f>COUNTIFS('架電リスト'!$B$5:$B$1374,$A38,'架電リスト'!$J$5:$J$1374,"アポ獲得")</f>
        <v/>
      </c>
      <c r="I38" s="16">
        <f>COUNTIFS('架電リスト'!$B$5:$B$1374,$A38,'架電リスト'!$J$5:$J$1374,"検討中")</f>
        <v/>
      </c>
      <c r="J38" s="16">
        <f>COUNTIFS('架電リスト'!$B$5:$B$1374,$A38,'架電リスト'!$J$5:$J$1374,"NG")</f>
        <v/>
      </c>
      <c r="K38" s="16">
        <f>COUNTIFS('架電リスト'!$B$5:$B$1374,$A38,'架電リスト'!$J$5:$J$1374,"番号不明")</f>
        <v/>
      </c>
    </row>
    <row r="39">
      <c r="A39" s="16" t="inlineStr">
        <is>
          <t>徳島県</t>
        </is>
      </c>
      <c r="B39" s="16">
        <f>COUNTIF('架電リスト'!$B$5:$B$1374,A39)</f>
        <v/>
      </c>
      <c r="C39" s="16">
        <f>COUNTIFS('架電リスト'!$B$5:$B$1374,A39,'架電リスト'!$E$5:$E$1374,"&lt;&gt;")</f>
        <v/>
      </c>
      <c r="D39" s="16">
        <f>B39-COUNTIFS('架電リスト'!$B$5:$B$1374,A39,'架電リスト'!$J$5:$J$1374,"未架電")-COUNTIFS('架電リスト'!$B$5:$B$1374,A39,'架電リスト'!$J$5:$J$1374,"")</f>
        <v/>
      </c>
      <c r="E39" s="16">
        <f>COUNTIFS('架電リスト'!$B$5:$B$1374,$A39,'架電リスト'!$J$5:$J$1374,"不在・折返し待ち")</f>
        <v/>
      </c>
      <c r="F39" s="16">
        <f>COUNTIFS('架電リスト'!$B$5:$B$1374,$A39,'架電リスト'!$J$5:$J$1374,"担当者不在")</f>
        <v/>
      </c>
      <c r="G39" s="16">
        <f>COUNTIFS('架電リスト'!$B$5:$B$1374,$A39,'架電リスト'!$J$5:$J$1374,"資料送付")</f>
        <v/>
      </c>
      <c r="H39" s="16">
        <f>COUNTIFS('架電リスト'!$B$5:$B$1374,$A39,'架電リスト'!$J$5:$J$1374,"アポ獲得")</f>
        <v/>
      </c>
      <c r="I39" s="16">
        <f>COUNTIFS('架電リスト'!$B$5:$B$1374,$A39,'架電リスト'!$J$5:$J$1374,"検討中")</f>
        <v/>
      </c>
      <c r="J39" s="16">
        <f>COUNTIFS('架電リスト'!$B$5:$B$1374,$A39,'架電リスト'!$J$5:$J$1374,"NG")</f>
        <v/>
      </c>
      <c r="K39" s="16">
        <f>COUNTIFS('架電リスト'!$B$5:$B$1374,$A39,'架電リスト'!$J$5:$J$1374,"番号不明")</f>
        <v/>
      </c>
    </row>
    <row r="40">
      <c r="A40" s="16" t="inlineStr">
        <is>
          <t>香川県</t>
        </is>
      </c>
      <c r="B40" s="16">
        <f>COUNTIF('架電リスト'!$B$5:$B$1374,A40)</f>
        <v/>
      </c>
      <c r="C40" s="16">
        <f>COUNTIFS('架電リスト'!$B$5:$B$1374,A40,'架電リスト'!$E$5:$E$1374,"&lt;&gt;")</f>
        <v/>
      </c>
      <c r="D40" s="16">
        <f>B40-COUNTIFS('架電リスト'!$B$5:$B$1374,A40,'架電リスト'!$J$5:$J$1374,"未架電")-COUNTIFS('架電リスト'!$B$5:$B$1374,A40,'架電リスト'!$J$5:$J$1374,"")</f>
        <v/>
      </c>
      <c r="E40" s="16">
        <f>COUNTIFS('架電リスト'!$B$5:$B$1374,$A40,'架電リスト'!$J$5:$J$1374,"不在・折返し待ち")</f>
        <v/>
      </c>
      <c r="F40" s="16">
        <f>COUNTIFS('架電リスト'!$B$5:$B$1374,$A40,'架電リスト'!$J$5:$J$1374,"担当者不在")</f>
        <v/>
      </c>
      <c r="G40" s="16">
        <f>COUNTIFS('架電リスト'!$B$5:$B$1374,$A40,'架電リスト'!$J$5:$J$1374,"資料送付")</f>
        <v/>
      </c>
      <c r="H40" s="16">
        <f>COUNTIFS('架電リスト'!$B$5:$B$1374,$A40,'架電リスト'!$J$5:$J$1374,"アポ獲得")</f>
        <v/>
      </c>
      <c r="I40" s="16">
        <f>COUNTIFS('架電リスト'!$B$5:$B$1374,$A40,'架電リスト'!$J$5:$J$1374,"検討中")</f>
        <v/>
      </c>
      <c r="J40" s="16">
        <f>COUNTIFS('架電リスト'!$B$5:$B$1374,$A40,'架電リスト'!$J$5:$J$1374,"NG")</f>
        <v/>
      </c>
      <c r="K40" s="16">
        <f>COUNTIFS('架電リスト'!$B$5:$B$1374,$A40,'架電リスト'!$J$5:$J$1374,"番号不明")</f>
        <v/>
      </c>
    </row>
    <row r="41">
      <c r="A41" s="16" t="inlineStr">
        <is>
          <t>愛媛県</t>
        </is>
      </c>
      <c r="B41" s="16">
        <f>COUNTIF('架電リスト'!$B$5:$B$1374,A41)</f>
        <v/>
      </c>
      <c r="C41" s="16">
        <f>COUNTIFS('架電リスト'!$B$5:$B$1374,A41,'架電リスト'!$E$5:$E$1374,"&lt;&gt;")</f>
        <v/>
      </c>
      <c r="D41" s="16">
        <f>B41-COUNTIFS('架電リスト'!$B$5:$B$1374,A41,'架電リスト'!$J$5:$J$1374,"未架電")-COUNTIFS('架電リスト'!$B$5:$B$1374,A41,'架電リスト'!$J$5:$J$1374,"")</f>
        <v/>
      </c>
      <c r="E41" s="16">
        <f>COUNTIFS('架電リスト'!$B$5:$B$1374,$A41,'架電リスト'!$J$5:$J$1374,"不在・折返し待ち")</f>
        <v/>
      </c>
      <c r="F41" s="16">
        <f>COUNTIFS('架電リスト'!$B$5:$B$1374,$A41,'架電リスト'!$J$5:$J$1374,"担当者不在")</f>
        <v/>
      </c>
      <c r="G41" s="16">
        <f>COUNTIFS('架電リスト'!$B$5:$B$1374,$A41,'架電リスト'!$J$5:$J$1374,"資料送付")</f>
        <v/>
      </c>
      <c r="H41" s="16">
        <f>COUNTIFS('架電リスト'!$B$5:$B$1374,$A41,'架電リスト'!$J$5:$J$1374,"アポ獲得")</f>
        <v/>
      </c>
      <c r="I41" s="16">
        <f>COUNTIFS('架電リスト'!$B$5:$B$1374,$A41,'架電リスト'!$J$5:$J$1374,"検討中")</f>
        <v/>
      </c>
      <c r="J41" s="16">
        <f>COUNTIFS('架電リスト'!$B$5:$B$1374,$A41,'架電リスト'!$J$5:$J$1374,"NG")</f>
        <v/>
      </c>
      <c r="K41" s="16">
        <f>COUNTIFS('架電リスト'!$B$5:$B$1374,$A41,'架電リスト'!$J$5:$J$1374,"番号不明")</f>
        <v/>
      </c>
    </row>
    <row r="42">
      <c r="A42" s="16" t="inlineStr">
        <is>
          <t>高知県</t>
        </is>
      </c>
      <c r="B42" s="16">
        <f>COUNTIF('架電リスト'!$B$5:$B$1374,A42)</f>
        <v/>
      </c>
      <c r="C42" s="16">
        <f>COUNTIFS('架電リスト'!$B$5:$B$1374,A42,'架電リスト'!$E$5:$E$1374,"&lt;&gt;")</f>
        <v/>
      </c>
      <c r="D42" s="16">
        <f>B42-COUNTIFS('架電リスト'!$B$5:$B$1374,A42,'架電リスト'!$J$5:$J$1374,"未架電")-COUNTIFS('架電リスト'!$B$5:$B$1374,A42,'架電リスト'!$J$5:$J$1374,"")</f>
        <v/>
      </c>
      <c r="E42" s="16">
        <f>COUNTIFS('架電リスト'!$B$5:$B$1374,$A42,'架電リスト'!$J$5:$J$1374,"不在・折返し待ち")</f>
        <v/>
      </c>
      <c r="F42" s="16">
        <f>COUNTIFS('架電リスト'!$B$5:$B$1374,$A42,'架電リスト'!$J$5:$J$1374,"担当者不在")</f>
        <v/>
      </c>
      <c r="G42" s="16">
        <f>COUNTIFS('架電リスト'!$B$5:$B$1374,$A42,'架電リスト'!$J$5:$J$1374,"資料送付")</f>
        <v/>
      </c>
      <c r="H42" s="16">
        <f>COUNTIFS('架電リスト'!$B$5:$B$1374,$A42,'架電リスト'!$J$5:$J$1374,"アポ獲得")</f>
        <v/>
      </c>
      <c r="I42" s="16">
        <f>COUNTIFS('架電リスト'!$B$5:$B$1374,$A42,'架電リスト'!$J$5:$J$1374,"検討中")</f>
        <v/>
      </c>
      <c r="J42" s="16">
        <f>COUNTIFS('架電リスト'!$B$5:$B$1374,$A42,'架電リスト'!$J$5:$J$1374,"NG")</f>
        <v/>
      </c>
      <c r="K42" s="16">
        <f>COUNTIFS('架電リスト'!$B$5:$B$1374,$A42,'架電リスト'!$J$5:$J$1374,"番号不明")</f>
        <v/>
      </c>
    </row>
    <row r="43">
      <c r="A43" s="16" t="inlineStr">
        <is>
          <t>福岡県</t>
        </is>
      </c>
      <c r="B43" s="16">
        <f>COUNTIF('架電リスト'!$B$5:$B$1374,A43)</f>
        <v/>
      </c>
      <c r="C43" s="16">
        <f>COUNTIFS('架電リスト'!$B$5:$B$1374,A43,'架電リスト'!$E$5:$E$1374,"&lt;&gt;")</f>
        <v/>
      </c>
      <c r="D43" s="16">
        <f>B43-COUNTIFS('架電リスト'!$B$5:$B$1374,A43,'架電リスト'!$J$5:$J$1374,"未架電")-COUNTIFS('架電リスト'!$B$5:$B$1374,A43,'架電リスト'!$J$5:$J$1374,"")</f>
        <v/>
      </c>
      <c r="E43" s="16">
        <f>COUNTIFS('架電リスト'!$B$5:$B$1374,$A43,'架電リスト'!$J$5:$J$1374,"不在・折返し待ち")</f>
        <v/>
      </c>
      <c r="F43" s="16">
        <f>COUNTIFS('架電リスト'!$B$5:$B$1374,$A43,'架電リスト'!$J$5:$J$1374,"担当者不在")</f>
        <v/>
      </c>
      <c r="G43" s="16">
        <f>COUNTIFS('架電リスト'!$B$5:$B$1374,$A43,'架電リスト'!$J$5:$J$1374,"資料送付")</f>
        <v/>
      </c>
      <c r="H43" s="16">
        <f>COUNTIFS('架電リスト'!$B$5:$B$1374,$A43,'架電リスト'!$J$5:$J$1374,"アポ獲得")</f>
        <v/>
      </c>
      <c r="I43" s="16">
        <f>COUNTIFS('架電リスト'!$B$5:$B$1374,$A43,'架電リスト'!$J$5:$J$1374,"検討中")</f>
        <v/>
      </c>
      <c r="J43" s="16">
        <f>COUNTIFS('架電リスト'!$B$5:$B$1374,$A43,'架電リスト'!$J$5:$J$1374,"NG")</f>
        <v/>
      </c>
      <c r="K43" s="16">
        <f>COUNTIFS('架電リスト'!$B$5:$B$1374,$A43,'架電リスト'!$J$5:$J$1374,"番号不明")</f>
        <v/>
      </c>
    </row>
    <row r="44">
      <c r="A44" s="16" t="inlineStr">
        <is>
          <t>佐賀県</t>
        </is>
      </c>
      <c r="B44" s="16">
        <f>COUNTIF('架電リスト'!$B$5:$B$1374,A44)</f>
        <v/>
      </c>
      <c r="C44" s="16">
        <f>COUNTIFS('架電リスト'!$B$5:$B$1374,A44,'架電リスト'!$E$5:$E$1374,"&lt;&gt;")</f>
        <v/>
      </c>
      <c r="D44" s="16">
        <f>B44-COUNTIFS('架電リスト'!$B$5:$B$1374,A44,'架電リスト'!$J$5:$J$1374,"未架電")-COUNTIFS('架電リスト'!$B$5:$B$1374,A44,'架電リスト'!$J$5:$J$1374,"")</f>
        <v/>
      </c>
      <c r="E44" s="16">
        <f>COUNTIFS('架電リスト'!$B$5:$B$1374,$A44,'架電リスト'!$J$5:$J$1374,"不在・折返し待ち")</f>
        <v/>
      </c>
      <c r="F44" s="16">
        <f>COUNTIFS('架電リスト'!$B$5:$B$1374,$A44,'架電リスト'!$J$5:$J$1374,"担当者不在")</f>
        <v/>
      </c>
      <c r="G44" s="16">
        <f>COUNTIFS('架電リスト'!$B$5:$B$1374,$A44,'架電リスト'!$J$5:$J$1374,"資料送付")</f>
        <v/>
      </c>
      <c r="H44" s="16">
        <f>COUNTIFS('架電リスト'!$B$5:$B$1374,$A44,'架電リスト'!$J$5:$J$1374,"アポ獲得")</f>
        <v/>
      </c>
      <c r="I44" s="16">
        <f>COUNTIFS('架電リスト'!$B$5:$B$1374,$A44,'架電リスト'!$J$5:$J$1374,"検討中")</f>
        <v/>
      </c>
      <c r="J44" s="16">
        <f>COUNTIFS('架電リスト'!$B$5:$B$1374,$A44,'架電リスト'!$J$5:$J$1374,"NG")</f>
        <v/>
      </c>
      <c r="K44" s="16">
        <f>COUNTIFS('架電リスト'!$B$5:$B$1374,$A44,'架電リスト'!$J$5:$J$1374,"番号不明")</f>
        <v/>
      </c>
    </row>
    <row r="45">
      <c r="A45" s="16" t="inlineStr">
        <is>
          <t>長崎県</t>
        </is>
      </c>
      <c r="B45" s="16">
        <f>COUNTIF('架電リスト'!$B$5:$B$1374,A45)</f>
        <v/>
      </c>
      <c r="C45" s="16">
        <f>COUNTIFS('架電リスト'!$B$5:$B$1374,A45,'架電リスト'!$E$5:$E$1374,"&lt;&gt;")</f>
        <v/>
      </c>
      <c r="D45" s="16">
        <f>B45-COUNTIFS('架電リスト'!$B$5:$B$1374,A45,'架電リスト'!$J$5:$J$1374,"未架電")-COUNTIFS('架電リスト'!$B$5:$B$1374,A45,'架電リスト'!$J$5:$J$1374,"")</f>
        <v/>
      </c>
      <c r="E45" s="16">
        <f>COUNTIFS('架電リスト'!$B$5:$B$1374,$A45,'架電リスト'!$J$5:$J$1374,"不在・折返し待ち")</f>
        <v/>
      </c>
      <c r="F45" s="16">
        <f>COUNTIFS('架電リスト'!$B$5:$B$1374,$A45,'架電リスト'!$J$5:$J$1374,"担当者不在")</f>
        <v/>
      </c>
      <c r="G45" s="16">
        <f>COUNTIFS('架電リスト'!$B$5:$B$1374,$A45,'架電リスト'!$J$5:$J$1374,"資料送付")</f>
        <v/>
      </c>
      <c r="H45" s="16">
        <f>COUNTIFS('架電リスト'!$B$5:$B$1374,$A45,'架電リスト'!$J$5:$J$1374,"アポ獲得")</f>
        <v/>
      </c>
      <c r="I45" s="16">
        <f>COUNTIFS('架電リスト'!$B$5:$B$1374,$A45,'架電リスト'!$J$5:$J$1374,"検討中")</f>
        <v/>
      </c>
      <c r="J45" s="16">
        <f>COUNTIFS('架電リスト'!$B$5:$B$1374,$A45,'架電リスト'!$J$5:$J$1374,"NG")</f>
        <v/>
      </c>
      <c r="K45" s="16">
        <f>COUNTIFS('架電リスト'!$B$5:$B$1374,$A45,'架電リスト'!$J$5:$J$1374,"番号不明")</f>
        <v/>
      </c>
    </row>
    <row r="46">
      <c r="A46" s="16" t="inlineStr">
        <is>
          <t>熊本県</t>
        </is>
      </c>
      <c r="B46" s="16">
        <f>COUNTIF('架電リスト'!$B$5:$B$1374,A46)</f>
        <v/>
      </c>
      <c r="C46" s="16">
        <f>COUNTIFS('架電リスト'!$B$5:$B$1374,A46,'架電リスト'!$E$5:$E$1374,"&lt;&gt;")</f>
        <v/>
      </c>
      <c r="D46" s="16">
        <f>B46-COUNTIFS('架電リスト'!$B$5:$B$1374,A46,'架電リスト'!$J$5:$J$1374,"未架電")-COUNTIFS('架電リスト'!$B$5:$B$1374,A46,'架電リスト'!$J$5:$J$1374,"")</f>
        <v/>
      </c>
      <c r="E46" s="16">
        <f>COUNTIFS('架電リスト'!$B$5:$B$1374,$A46,'架電リスト'!$J$5:$J$1374,"不在・折返し待ち")</f>
        <v/>
      </c>
      <c r="F46" s="16">
        <f>COUNTIFS('架電リスト'!$B$5:$B$1374,$A46,'架電リスト'!$J$5:$J$1374,"担当者不在")</f>
        <v/>
      </c>
      <c r="G46" s="16">
        <f>COUNTIFS('架電リスト'!$B$5:$B$1374,$A46,'架電リスト'!$J$5:$J$1374,"資料送付")</f>
        <v/>
      </c>
      <c r="H46" s="16">
        <f>COUNTIFS('架電リスト'!$B$5:$B$1374,$A46,'架電リスト'!$J$5:$J$1374,"アポ獲得")</f>
        <v/>
      </c>
      <c r="I46" s="16">
        <f>COUNTIFS('架電リスト'!$B$5:$B$1374,$A46,'架電リスト'!$J$5:$J$1374,"検討中")</f>
        <v/>
      </c>
      <c r="J46" s="16">
        <f>COUNTIFS('架電リスト'!$B$5:$B$1374,$A46,'架電リスト'!$J$5:$J$1374,"NG")</f>
        <v/>
      </c>
      <c r="K46" s="16">
        <f>COUNTIFS('架電リスト'!$B$5:$B$1374,$A46,'架電リスト'!$J$5:$J$1374,"番号不明")</f>
        <v/>
      </c>
    </row>
    <row r="47">
      <c r="A47" s="16" t="inlineStr">
        <is>
          <t>大分県</t>
        </is>
      </c>
      <c r="B47" s="16">
        <f>COUNTIF('架電リスト'!$B$5:$B$1374,A47)</f>
        <v/>
      </c>
      <c r="C47" s="16">
        <f>COUNTIFS('架電リスト'!$B$5:$B$1374,A47,'架電リスト'!$E$5:$E$1374,"&lt;&gt;")</f>
        <v/>
      </c>
      <c r="D47" s="16">
        <f>B47-COUNTIFS('架電リスト'!$B$5:$B$1374,A47,'架電リスト'!$J$5:$J$1374,"未架電")-COUNTIFS('架電リスト'!$B$5:$B$1374,A47,'架電リスト'!$J$5:$J$1374,"")</f>
        <v/>
      </c>
      <c r="E47" s="16">
        <f>COUNTIFS('架電リスト'!$B$5:$B$1374,$A47,'架電リスト'!$J$5:$J$1374,"不在・折返し待ち")</f>
        <v/>
      </c>
      <c r="F47" s="16">
        <f>COUNTIFS('架電リスト'!$B$5:$B$1374,$A47,'架電リスト'!$J$5:$J$1374,"担当者不在")</f>
        <v/>
      </c>
      <c r="G47" s="16">
        <f>COUNTIFS('架電リスト'!$B$5:$B$1374,$A47,'架電リスト'!$J$5:$J$1374,"資料送付")</f>
        <v/>
      </c>
      <c r="H47" s="16">
        <f>COUNTIFS('架電リスト'!$B$5:$B$1374,$A47,'架電リスト'!$J$5:$J$1374,"アポ獲得")</f>
        <v/>
      </c>
      <c r="I47" s="16">
        <f>COUNTIFS('架電リスト'!$B$5:$B$1374,$A47,'架電リスト'!$J$5:$J$1374,"検討中")</f>
        <v/>
      </c>
      <c r="J47" s="16">
        <f>COUNTIFS('架電リスト'!$B$5:$B$1374,$A47,'架電リスト'!$J$5:$J$1374,"NG")</f>
        <v/>
      </c>
      <c r="K47" s="16">
        <f>COUNTIFS('架電リスト'!$B$5:$B$1374,$A47,'架電リスト'!$J$5:$J$1374,"番号不明")</f>
        <v/>
      </c>
    </row>
    <row r="48">
      <c r="A48" s="16" t="inlineStr">
        <is>
          <t>宮崎県</t>
        </is>
      </c>
      <c r="B48" s="16">
        <f>COUNTIF('架電リスト'!$B$5:$B$1374,A48)</f>
        <v/>
      </c>
      <c r="C48" s="16">
        <f>COUNTIFS('架電リスト'!$B$5:$B$1374,A48,'架電リスト'!$E$5:$E$1374,"&lt;&gt;")</f>
        <v/>
      </c>
      <c r="D48" s="16">
        <f>B48-COUNTIFS('架電リスト'!$B$5:$B$1374,A48,'架電リスト'!$J$5:$J$1374,"未架電")-COUNTIFS('架電リスト'!$B$5:$B$1374,A48,'架電リスト'!$J$5:$J$1374,"")</f>
        <v/>
      </c>
      <c r="E48" s="16">
        <f>COUNTIFS('架電リスト'!$B$5:$B$1374,$A48,'架電リスト'!$J$5:$J$1374,"不在・折返し待ち")</f>
        <v/>
      </c>
      <c r="F48" s="16">
        <f>COUNTIFS('架電リスト'!$B$5:$B$1374,$A48,'架電リスト'!$J$5:$J$1374,"担当者不在")</f>
        <v/>
      </c>
      <c r="G48" s="16">
        <f>COUNTIFS('架電リスト'!$B$5:$B$1374,$A48,'架電リスト'!$J$5:$J$1374,"資料送付")</f>
        <v/>
      </c>
      <c r="H48" s="16">
        <f>COUNTIFS('架電リスト'!$B$5:$B$1374,$A48,'架電リスト'!$J$5:$J$1374,"アポ獲得")</f>
        <v/>
      </c>
      <c r="I48" s="16">
        <f>COUNTIFS('架電リスト'!$B$5:$B$1374,$A48,'架電リスト'!$J$5:$J$1374,"検討中")</f>
        <v/>
      </c>
      <c r="J48" s="16">
        <f>COUNTIFS('架電リスト'!$B$5:$B$1374,$A48,'架電リスト'!$J$5:$J$1374,"NG")</f>
        <v/>
      </c>
      <c r="K48" s="16">
        <f>COUNTIFS('架電リスト'!$B$5:$B$1374,$A48,'架電リスト'!$J$5:$J$1374,"番号不明")</f>
        <v/>
      </c>
    </row>
    <row r="49">
      <c r="A49" s="16" t="inlineStr">
        <is>
          <t>鹿児島県</t>
        </is>
      </c>
      <c r="B49" s="16">
        <f>COUNTIF('架電リスト'!$B$5:$B$1374,A49)</f>
        <v/>
      </c>
      <c r="C49" s="16">
        <f>COUNTIFS('架電リスト'!$B$5:$B$1374,A49,'架電リスト'!$E$5:$E$1374,"&lt;&gt;")</f>
        <v/>
      </c>
      <c r="D49" s="16">
        <f>B49-COUNTIFS('架電リスト'!$B$5:$B$1374,A49,'架電リスト'!$J$5:$J$1374,"未架電")-COUNTIFS('架電リスト'!$B$5:$B$1374,A49,'架電リスト'!$J$5:$J$1374,"")</f>
        <v/>
      </c>
      <c r="E49" s="16">
        <f>COUNTIFS('架電リスト'!$B$5:$B$1374,$A49,'架電リスト'!$J$5:$J$1374,"不在・折返し待ち")</f>
        <v/>
      </c>
      <c r="F49" s="16">
        <f>COUNTIFS('架電リスト'!$B$5:$B$1374,$A49,'架電リスト'!$J$5:$J$1374,"担当者不在")</f>
        <v/>
      </c>
      <c r="G49" s="16">
        <f>COUNTIFS('架電リスト'!$B$5:$B$1374,$A49,'架電リスト'!$J$5:$J$1374,"資料送付")</f>
        <v/>
      </c>
      <c r="H49" s="16">
        <f>COUNTIFS('架電リスト'!$B$5:$B$1374,$A49,'架電リスト'!$J$5:$J$1374,"アポ獲得")</f>
        <v/>
      </c>
      <c r="I49" s="16">
        <f>COUNTIFS('架電リスト'!$B$5:$B$1374,$A49,'架電リスト'!$J$5:$J$1374,"検討中")</f>
        <v/>
      </c>
      <c r="J49" s="16">
        <f>COUNTIFS('架電リスト'!$B$5:$B$1374,$A49,'架電リスト'!$J$5:$J$1374,"NG")</f>
        <v/>
      </c>
      <c r="K49" s="16">
        <f>COUNTIFS('架電リスト'!$B$5:$B$1374,$A49,'架電リスト'!$J$5:$J$1374,"番号不明")</f>
        <v/>
      </c>
    </row>
    <row r="50">
      <c r="A50" s="17" t="inlineStr">
        <is>
          <t>合計</t>
        </is>
      </c>
      <c r="B50" s="17">
        <f>SUM(B4:B49)</f>
        <v/>
      </c>
      <c r="C50" s="17">
        <f>SUM(C4:C49)</f>
        <v/>
      </c>
      <c r="D50" s="17">
        <f>SUM(D4:D49)</f>
        <v/>
      </c>
      <c r="E50" s="17">
        <f>SUM(E4:E49)</f>
        <v/>
      </c>
      <c r="F50" s="17">
        <f>SUM(F4:F49)</f>
        <v/>
      </c>
      <c r="G50" s="17">
        <f>SUM(G4:G49)</f>
        <v/>
      </c>
      <c r="H50" s="17">
        <f>SUM(H4:H49)</f>
        <v/>
      </c>
      <c r="I50" s="17">
        <f>SUM(I4:I49)</f>
        <v/>
      </c>
      <c r="J50" s="17">
        <f>SUM(J4:J49)</f>
        <v/>
      </c>
      <c r="K50" s="17">
        <f>SUM(K4:K49)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・出典：ご提供いただいた学校ネットの検索結果（私立高校・46都道府県、1370校）の貼り付けデータ。並び順は都道府県ごとに元データの掲載順です。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2026-10-14T02:20:04Z</dcterms:created>
  <dcterms:modified xsi:type="dcterms:W3CDTF">2026-10-14T02:20:05Z</dcterms:modified>
</cp:coreProperties>
</file>