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'架電リスト'!$A$4:$O$853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853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架電リスト（25都道府県／849校）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</sheetData>
  <autoFilter ref="A4:O853"/>
  <conditionalFormatting sqref="A5:O853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853" showDropDown="0" showInputMessage="0" showErrorMessage="0" allowBlank="1" type="list">
      <formula1>"未架電,不在・折返し待ち,担当者不在,資料送付,アポ獲得,検討中,NG,番号不明"</formula1>
    </dataValidation>
    <dataValidation sqref="H5:H853 K5:K853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COUNTIF('架電リスト'!$B$5:$B$853,A4)</f>
        <v/>
      </c>
      <c r="C4" s="16">
        <f>COUNTIFS('架電リスト'!$B$5:$B$853,A4,'架電リスト'!$E$5:$E$853,"&lt;&gt;")</f>
        <v/>
      </c>
      <c r="D4" s="16">
        <f>B4-COUNTIFS('架電リスト'!$B$5:$B$853,A4,'架電リスト'!$J$5:$J$853,"未架電")-COUNTIFS('架電リスト'!$B$5:$B$853,A4,'架電リスト'!$J$5:$J$853,"")</f>
        <v/>
      </c>
      <c r="E4" s="16">
        <f>COUNTIFS('架電リスト'!$B$5:$B$853,$A4,'架電リスト'!$J$5:$J$853,"不在・折返し待ち")</f>
        <v/>
      </c>
      <c r="F4" s="16">
        <f>COUNTIFS('架電リスト'!$B$5:$B$853,$A4,'架電リスト'!$J$5:$J$853,"担当者不在")</f>
        <v/>
      </c>
      <c r="G4" s="16">
        <f>COUNTIFS('架電リスト'!$B$5:$B$853,$A4,'架電リスト'!$J$5:$J$853,"資料送付")</f>
        <v/>
      </c>
      <c r="H4" s="16">
        <f>COUNTIFS('架電リスト'!$B$5:$B$853,$A4,'架電リスト'!$J$5:$J$853,"アポ獲得")</f>
        <v/>
      </c>
      <c r="I4" s="16">
        <f>COUNTIFS('架電リスト'!$B$5:$B$853,$A4,'架電リスト'!$J$5:$J$853,"検討中")</f>
        <v/>
      </c>
      <c r="J4" s="16">
        <f>COUNTIFS('架電リスト'!$B$5:$B$853,$A4,'架電リスト'!$J$5:$J$853,"NG")</f>
        <v/>
      </c>
      <c r="K4" s="16">
        <f>COUNTIFS('架電リスト'!$B$5:$B$853,$A4,'架電リスト'!$J$5:$J$853,"番号不明")</f>
        <v/>
      </c>
    </row>
    <row r="5">
      <c r="A5" s="16" t="inlineStr">
        <is>
          <t>青森県</t>
        </is>
      </c>
      <c r="B5" s="16">
        <f>COUNTIF('架電リスト'!$B$5:$B$853,A5)</f>
        <v/>
      </c>
      <c r="C5" s="16">
        <f>COUNTIFS('架電リスト'!$B$5:$B$853,A5,'架電リスト'!$E$5:$E$853,"&lt;&gt;")</f>
        <v/>
      </c>
      <c r="D5" s="16">
        <f>B5-COUNTIFS('架電リスト'!$B$5:$B$853,A5,'架電リスト'!$J$5:$J$853,"未架電")-COUNTIFS('架電リスト'!$B$5:$B$853,A5,'架電リスト'!$J$5:$J$853,"")</f>
        <v/>
      </c>
      <c r="E5" s="16">
        <f>COUNTIFS('架電リスト'!$B$5:$B$853,$A5,'架電リスト'!$J$5:$J$853,"不在・折返し待ち")</f>
        <v/>
      </c>
      <c r="F5" s="16">
        <f>COUNTIFS('架電リスト'!$B$5:$B$853,$A5,'架電リスト'!$J$5:$J$853,"担当者不在")</f>
        <v/>
      </c>
      <c r="G5" s="16">
        <f>COUNTIFS('架電リスト'!$B$5:$B$853,$A5,'架電リスト'!$J$5:$J$853,"資料送付")</f>
        <v/>
      </c>
      <c r="H5" s="16">
        <f>COUNTIFS('架電リスト'!$B$5:$B$853,$A5,'架電リスト'!$J$5:$J$853,"アポ獲得")</f>
        <v/>
      </c>
      <c r="I5" s="16">
        <f>COUNTIFS('架電リスト'!$B$5:$B$853,$A5,'架電リスト'!$J$5:$J$853,"検討中")</f>
        <v/>
      </c>
      <c r="J5" s="16">
        <f>COUNTIFS('架電リスト'!$B$5:$B$853,$A5,'架電リスト'!$J$5:$J$853,"NG")</f>
        <v/>
      </c>
      <c r="K5" s="16">
        <f>COUNTIFS('架電リスト'!$B$5:$B$853,$A5,'架電リスト'!$J$5:$J$853,"番号不明")</f>
        <v/>
      </c>
    </row>
    <row r="6">
      <c r="A6" s="16" t="inlineStr">
        <is>
          <t>岩手県</t>
        </is>
      </c>
      <c r="B6" s="16">
        <f>COUNTIF('架電リスト'!$B$5:$B$853,A6)</f>
        <v/>
      </c>
      <c r="C6" s="16">
        <f>COUNTIFS('架電リスト'!$B$5:$B$853,A6,'架電リスト'!$E$5:$E$853,"&lt;&gt;")</f>
        <v/>
      </c>
      <c r="D6" s="16">
        <f>B6-COUNTIFS('架電リスト'!$B$5:$B$853,A6,'架電リスト'!$J$5:$J$853,"未架電")-COUNTIFS('架電リスト'!$B$5:$B$853,A6,'架電リスト'!$J$5:$J$853,"")</f>
        <v/>
      </c>
      <c r="E6" s="16">
        <f>COUNTIFS('架電リスト'!$B$5:$B$853,$A6,'架電リスト'!$J$5:$J$853,"不在・折返し待ち")</f>
        <v/>
      </c>
      <c r="F6" s="16">
        <f>COUNTIFS('架電リスト'!$B$5:$B$853,$A6,'架電リスト'!$J$5:$J$853,"担当者不在")</f>
        <v/>
      </c>
      <c r="G6" s="16">
        <f>COUNTIFS('架電リスト'!$B$5:$B$853,$A6,'架電リスト'!$J$5:$J$853,"資料送付")</f>
        <v/>
      </c>
      <c r="H6" s="16">
        <f>COUNTIFS('架電リスト'!$B$5:$B$853,$A6,'架電リスト'!$J$5:$J$853,"アポ獲得")</f>
        <v/>
      </c>
      <c r="I6" s="16">
        <f>COUNTIFS('架電リスト'!$B$5:$B$853,$A6,'架電リスト'!$J$5:$J$853,"検討中")</f>
        <v/>
      </c>
      <c r="J6" s="16">
        <f>COUNTIFS('架電リスト'!$B$5:$B$853,$A6,'架電リスト'!$J$5:$J$853,"NG")</f>
        <v/>
      </c>
      <c r="K6" s="16">
        <f>COUNTIFS('架電リスト'!$B$5:$B$853,$A6,'架電リスト'!$J$5:$J$853,"番号不明")</f>
        <v/>
      </c>
    </row>
    <row r="7">
      <c r="A7" s="16" t="inlineStr">
        <is>
          <t>宮城県</t>
        </is>
      </c>
      <c r="B7" s="16">
        <f>COUNTIF('架電リスト'!$B$5:$B$853,A7)</f>
        <v/>
      </c>
      <c r="C7" s="16">
        <f>COUNTIFS('架電リスト'!$B$5:$B$853,A7,'架電リスト'!$E$5:$E$853,"&lt;&gt;")</f>
        <v/>
      </c>
      <c r="D7" s="16">
        <f>B7-COUNTIFS('架電リスト'!$B$5:$B$853,A7,'架電リスト'!$J$5:$J$853,"未架電")-COUNTIFS('架電リスト'!$B$5:$B$853,A7,'架電リスト'!$J$5:$J$853,"")</f>
        <v/>
      </c>
      <c r="E7" s="16">
        <f>COUNTIFS('架電リスト'!$B$5:$B$853,$A7,'架電リスト'!$J$5:$J$853,"不在・折返し待ち")</f>
        <v/>
      </c>
      <c r="F7" s="16">
        <f>COUNTIFS('架電リスト'!$B$5:$B$853,$A7,'架電リスト'!$J$5:$J$853,"担当者不在")</f>
        <v/>
      </c>
      <c r="G7" s="16">
        <f>COUNTIFS('架電リスト'!$B$5:$B$853,$A7,'架電リスト'!$J$5:$J$853,"資料送付")</f>
        <v/>
      </c>
      <c r="H7" s="16">
        <f>COUNTIFS('架電リスト'!$B$5:$B$853,$A7,'架電リスト'!$J$5:$J$853,"アポ獲得")</f>
        <v/>
      </c>
      <c r="I7" s="16">
        <f>COUNTIFS('架電リスト'!$B$5:$B$853,$A7,'架電リスト'!$J$5:$J$853,"検討中")</f>
        <v/>
      </c>
      <c r="J7" s="16">
        <f>COUNTIFS('架電リスト'!$B$5:$B$853,$A7,'架電リスト'!$J$5:$J$853,"NG")</f>
        <v/>
      </c>
      <c r="K7" s="16">
        <f>COUNTIFS('架電リスト'!$B$5:$B$853,$A7,'架電リスト'!$J$5:$J$853,"番号不明")</f>
        <v/>
      </c>
    </row>
    <row r="8">
      <c r="A8" s="16" t="inlineStr">
        <is>
          <t>秋田県</t>
        </is>
      </c>
      <c r="B8" s="16">
        <f>COUNTIF('架電リスト'!$B$5:$B$853,A8)</f>
        <v/>
      </c>
      <c r="C8" s="16">
        <f>COUNTIFS('架電リスト'!$B$5:$B$853,A8,'架電リスト'!$E$5:$E$853,"&lt;&gt;")</f>
        <v/>
      </c>
      <c r="D8" s="16">
        <f>B8-COUNTIFS('架電リスト'!$B$5:$B$853,A8,'架電リスト'!$J$5:$J$853,"未架電")-COUNTIFS('架電リスト'!$B$5:$B$853,A8,'架電リスト'!$J$5:$J$853,"")</f>
        <v/>
      </c>
      <c r="E8" s="16">
        <f>COUNTIFS('架電リスト'!$B$5:$B$853,$A8,'架電リスト'!$J$5:$J$853,"不在・折返し待ち")</f>
        <v/>
      </c>
      <c r="F8" s="16">
        <f>COUNTIFS('架電リスト'!$B$5:$B$853,$A8,'架電リスト'!$J$5:$J$853,"担当者不在")</f>
        <v/>
      </c>
      <c r="G8" s="16">
        <f>COUNTIFS('架電リスト'!$B$5:$B$853,$A8,'架電リスト'!$J$5:$J$853,"資料送付")</f>
        <v/>
      </c>
      <c r="H8" s="16">
        <f>COUNTIFS('架電リスト'!$B$5:$B$853,$A8,'架電リスト'!$J$5:$J$853,"アポ獲得")</f>
        <v/>
      </c>
      <c r="I8" s="16">
        <f>COUNTIFS('架電リスト'!$B$5:$B$853,$A8,'架電リスト'!$J$5:$J$853,"検討中")</f>
        <v/>
      </c>
      <c r="J8" s="16">
        <f>COUNTIFS('架電リスト'!$B$5:$B$853,$A8,'架電リスト'!$J$5:$J$853,"NG")</f>
        <v/>
      </c>
      <c r="K8" s="16">
        <f>COUNTIFS('架電リスト'!$B$5:$B$853,$A8,'架電リスト'!$J$5:$J$853,"番号不明")</f>
        <v/>
      </c>
    </row>
    <row r="9">
      <c r="A9" s="16" t="inlineStr">
        <is>
          <t>山形県</t>
        </is>
      </c>
      <c r="B9" s="16">
        <f>COUNTIF('架電リスト'!$B$5:$B$853,A9)</f>
        <v/>
      </c>
      <c r="C9" s="16">
        <f>COUNTIFS('架電リスト'!$B$5:$B$853,A9,'架電リスト'!$E$5:$E$853,"&lt;&gt;")</f>
        <v/>
      </c>
      <c r="D9" s="16">
        <f>B9-COUNTIFS('架電リスト'!$B$5:$B$853,A9,'架電リスト'!$J$5:$J$853,"未架電")-COUNTIFS('架電リスト'!$B$5:$B$853,A9,'架電リスト'!$J$5:$J$853,"")</f>
        <v/>
      </c>
      <c r="E9" s="16">
        <f>COUNTIFS('架電リスト'!$B$5:$B$853,$A9,'架電リスト'!$J$5:$J$853,"不在・折返し待ち")</f>
        <v/>
      </c>
      <c r="F9" s="16">
        <f>COUNTIFS('架電リスト'!$B$5:$B$853,$A9,'架電リスト'!$J$5:$J$853,"担当者不在")</f>
        <v/>
      </c>
      <c r="G9" s="16">
        <f>COUNTIFS('架電リスト'!$B$5:$B$853,$A9,'架電リスト'!$J$5:$J$853,"資料送付")</f>
        <v/>
      </c>
      <c r="H9" s="16">
        <f>COUNTIFS('架電リスト'!$B$5:$B$853,$A9,'架電リスト'!$J$5:$J$853,"アポ獲得")</f>
        <v/>
      </c>
      <c r="I9" s="16">
        <f>COUNTIFS('架電リスト'!$B$5:$B$853,$A9,'架電リスト'!$J$5:$J$853,"検討中")</f>
        <v/>
      </c>
      <c r="J9" s="16">
        <f>COUNTIFS('架電リスト'!$B$5:$B$853,$A9,'架電リスト'!$J$5:$J$853,"NG")</f>
        <v/>
      </c>
      <c r="K9" s="16">
        <f>COUNTIFS('架電リスト'!$B$5:$B$853,$A9,'架電リスト'!$J$5:$J$853,"番号不明")</f>
        <v/>
      </c>
    </row>
    <row r="10">
      <c r="A10" s="16" t="inlineStr">
        <is>
          <t>福島県</t>
        </is>
      </c>
      <c r="B10" s="16">
        <f>COUNTIF('架電リスト'!$B$5:$B$853,A10)</f>
        <v/>
      </c>
      <c r="C10" s="16">
        <f>COUNTIFS('架電リスト'!$B$5:$B$853,A10,'架電リスト'!$E$5:$E$853,"&lt;&gt;")</f>
        <v/>
      </c>
      <c r="D10" s="16">
        <f>B10-COUNTIFS('架電リスト'!$B$5:$B$853,A10,'架電リスト'!$J$5:$J$853,"未架電")-COUNTIFS('架電リスト'!$B$5:$B$853,A10,'架電リスト'!$J$5:$J$853,"")</f>
        <v/>
      </c>
      <c r="E10" s="16">
        <f>COUNTIFS('架電リスト'!$B$5:$B$853,$A10,'架電リスト'!$J$5:$J$853,"不在・折返し待ち")</f>
        <v/>
      </c>
      <c r="F10" s="16">
        <f>COUNTIFS('架電リスト'!$B$5:$B$853,$A10,'架電リスト'!$J$5:$J$853,"担当者不在")</f>
        <v/>
      </c>
      <c r="G10" s="16">
        <f>COUNTIFS('架電リスト'!$B$5:$B$853,$A10,'架電リスト'!$J$5:$J$853,"資料送付")</f>
        <v/>
      </c>
      <c r="H10" s="16">
        <f>COUNTIFS('架電リスト'!$B$5:$B$853,$A10,'架電リスト'!$J$5:$J$853,"アポ獲得")</f>
        <v/>
      </c>
      <c r="I10" s="16">
        <f>COUNTIFS('架電リスト'!$B$5:$B$853,$A10,'架電リスト'!$J$5:$J$853,"検討中")</f>
        <v/>
      </c>
      <c r="J10" s="16">
        <f>COUNTIFS('架電リスト'!$B$5:$B$853,$A10,'架電リスト'!$J$5:$J$853,"NG")</f>
        <v/>
      </c>
      <c r="K10" s="16">
        <f>COUNTIFS('架電リスト'!$B$5:$B$853,$A10,'架電リスト'!$J$5:$J$853,"番号不明")</f>
        <v/>
      </c>
    </row>
    <row r="11">
      <c r="A11" s="16" t="inlineStr">
        <is>
          <t>茨城県</t>
        </is>
      </c>
      <c r="B11" s="16">
        <f>COUNTIF('架電リスト'!$B$5:$B$853,A11)</f>
        <v/>
      </c>
      <c r="C11" s="16">
        <f>COUNTIFS('架電リスト'!$B$5:$B$853,A11,'架電リスト'!$E$5:$E$853,"&lt;&gt;")</f>
        <v/>
      </c>
      <c r="D11" s="16">
        <f>B11-COUNTIFS('架電リスト'!$B$5:$B$853,A11,'架電リスト'!$J$5:$J$853,"未架電")-COUNTIFS('架電リスト'!$B$5:$B$853,A11,'架電リスト'!$J$5:$J$853,"")</f>
        <v/>
      </c>
      <c r="E11" s="16">
        <f>COUNTIFS('架電リスト'!$B$5:$B$853,$A11,'架電リスト'!$J$5:$J$853,"不在・折返し待ち")</f>
        <v/>
      </c>
      <c r="F11" s="16">
        <f>COUNTIFS('架電リスト'!$B$5:$B$853,$A11,'架電リスト'!$J$5:$J$853,"担当者不在")</f>
        <v/>
      </c>
      <c r="G11" s="16">
        <f>COUNTIFS('架電リスト'!$B$5:$B$853,$A11,'架電リスト'!$J$5:$J$853,"資料送付")</f>
        <v/>
      </c>
      <c r="H11" s="16">
        <f>COUNTIFS('架電リスト'!$B$5:$B$853,$A11,'架電リスト'!$J$5:$J$853,"アポ獲得")</f>
        <v/>
      </c>
      <c r="I11" s="16">
        <f>COUNTIFS('架電リスト'!$B$5:$B$853,$A11,'架電リスト'!$J$5:$J$853,"検討中")</f>
        <v/>
      </c>
      <c r="J11" s="16">
        <f>COUNTIFS('架電リスト'!$B$5:$B$853,$A11,'架電リスト'!$J$5:$J$853,"NG")</f>
        <v/>
      </c>
      <c r="K11" s="16">
        <f>COUNTIFS('架電リスト'!$B$5:$B$853,$A11,'架電リスト'!$J$5:$J$853,"番号不明")</f>
        <v/>
      </c>
    </row>
    <row r="12">
      <c r="A12" s="16" t="inlineStr">
        <is>
          <t>栃木県</t>
        </is>
      </c>
      <c r="B12" s="16">
        <f>COUNTIF('架電リスト'!$B$5:$B$853,A12)</f>
        <v/>
      </c>
      <c r="C12" s="16">
        <f>COUNTIFS('架電リスト'!$B$5:$B$853,A12,'架電リスト'!$E$5:$E$853,"&lt;&gt;")</f>
        <v/>
      </c>
      <c r="D12" s="16">
        <f>B12-COUNTIFS('架電リスト'!$B$5:$B$853,A12,'架電リスト'!$J$5:$J$853,"未架電")-COUNTIFS('架電リスト'!$B$5:$B$853,A12,'架電リスト'!$J$5:$J$853,"")</f>
        <v/>
      </c>
      <c r="E12" s="16">
        <f>COUNTIFS('架電リスト'!$B$5:$B$853,$A12,'架電リスト'!$J$5:$J$853,"不在・折返し待ち")</f>
        <v/>
      </c>
      <c r="F12" s="16">
        <f>COUNTIFS('架電リスト'!$B$5:$B$853,$A12,'架電リスト'!$J$5:$J$853,"担当者不在")</f>
        <v/>
      </c>
      <c r="G12" s="16">
        <f>COUNTIFS('架電リスト'!$B$5:$B$853,$A12,'架電リスト'!$J$5:$J$853,"資料送付")</f>
        <v/>
      </c>
      <c r="H12" s="16">
        <f>COUNTIFS('架電リスト'!$B$5:$B$853,$A12,'架電リスト'!$J$5:$J$853,"アポ獲得")</f>
        <v/>
      </c>
      <c r="I12" s="16">
        <f>COUNTIFS('架電リスト'!$B$5:$B$853,$A12,'架電リスト'!$J$5:$J$853,"検討中")</f>
        <v/>
      </c>
      <c r="J12" s="16">
        <f>COUNTIFS('架電リスト'!$B$5:$B$853,$A12,'架電リスト'!$J$5:$J$853,"NG")</f>
        <v/>
      </c>
      <c r="K12" s="16">
        <f>COUNTIFS('架電リスト'!$B$5:$B$853,$A12,'架電リスト'!$J$5:$J$853,"番号不明")</f>
        <v/>
      </c>
    </row>
    <row r="13">
      <c r="A13" s="16" t="inlineStr">
        <is>
          <t>群馬県</t>
        </is>
      </c>
      <c r="B13" s="16">
        <f>COUNTIF('架電リスト'!$B$5:$B$853,A13)</f>
        <v/>
      </c>
      <c r="C13" s="16">
        <f>COUNTIFS('架電リスト'!$B$5:$B$853,A13,'架電リスト'!$E$5:$E$853,"&lt;&gt;")</f>
        <v/>
      </c>
      <c r="D13" s="16">
        <f>B13-COUNTIFS('架電リスト'!$B$5:$B$853,A13,'架電リスト'!$J$5:$J$853,"未架電")-COUNTIFS('架電リスト'!$B$5:$B$853,A13,'架電リスト'!$J$5:$J$853,"")</f>
        <v/>
      </c>
      <c r="E13" s="16">
        <f>COUNTIFS('架電リスト'!$B$5:$B$853,$A13,'架電リスト'!$J$5:$J$853,"不在・折返し待ち")</f>
        <v/>
      </c>
      <c r="F13" s="16">
        <f>COUNTIFS('架電リスト'!$B$5:$B$853,$A13,'架電リスト'!$J$5:$J$853,"担当者不在")</f>
        <v/>
      </c>
      <c r="G13" s="16">
        <f>COUNTIFS('架電リスト'!$B$5:$B$853,$A13,'架電リスト'!$J$5:$J$853,"資料送付")</f>
        <v/>
      </c>
      <c r="H13" s="16">
        <f>COUNTIFS('架電リスト'!$B$5:$B$853,$A13,'架電リスト'!$J$5:$J$853,"アポ獲得")</f>
        <v/>
      </c>
      <c r="I13" s="16">
        <f>COUNTIFS('架電リスト'!$B$5:$B$853,$A13,'架電リスト'!$J$5:$J$853,"検討中")</f>
        <v/>
      </c>
      <c r="J13" s="16">
        <f>COUNTIFS('架電リスト'!$B$5:$B$853,$A13,'架電リスト'!$J$5:$J$853,"NG")</f>
        <v/>
      </c>
      <c r="K13" s="16">
        <f>COUNTIFS('架電リスト'!$B$5:$B$853,$A13,'架電リスト'!$J$5:$J$853,"番号不明")</f>
        <v/>
      </c>
    </row>
    <row r="14">
      <c r="A14" s="16" t="inlineStr">
        <is>
          <t>埼玉県</t>
        </is>
      </c>
      <c r="B14" s="16">
        <f>COUNTIF('架電リスト'!$B$5:$B$853,A14)</f>
        <v/>
      </c>
      <c r="C14" s="16">
        <f>COUNTIFS('架電リスト'!$B$5:$B$853,A14,'架電リスト'!$E$5:$E$853,"&lt;&gt;")</f>
        <v/>
      </c>
      <c r="D14" s="16">
        <f>B14-COUNTIFS('架電リスト'!$B$5:$B$853,A14,'架電リスト'!$J$5:$J$853,"未架電")-COUNTIFS('架電リスト'!$B$5:$B$853,A14,'架電リスト'!$J$5:$J$853,"")</f>
        <v/>
      </c>
      <c r="E14" s="16">
        <f>COUNTIFS('架電リスト'!$B$5:$B$853,$A14,'架電リスト'!$J$5:$J$853,"不在・折返し待ち")</f>
        <v/>
      </c>
      <c r="F14" s="16">
        <f>COUNTIFS('架電リスト'!$B$5:$B$853,$A14,'架電リスト'!$J$5:$J$853,"担当者不在")</f>
        <v/>
      </c>
      <c r="G14" s="16">
        <f>COUNTIFS('架電リスト'!$B$5:$B$853,$A14,'架電リスト'!$J$5:$J$853,"資料送付")</f>
        <v/>
      </c>
      <c r="H14" s="16">
        <f>COUNTIFS('架電リスト'!$B$5:$B$853,$A14,'架電リスト'!$J$5:$J$853,"アポ獲得")</f>
        <v/>
      </c>
      <c r="I14" s="16">
        <f>COUNTIFS('架電リスト'!$B$5:$B$853,$A14,'架電リスト'!$J$5:$J$853,"検討中")</f>
        <v/>
      </c>
      <c r="J14" s="16">
        <f>COUNTIFS('架電リスト'!$B$5:$B$853,$A14,'架電リスト'!$J$5:$J$853,"NG")</f>
        <v/>
      </c>
      <c r="K14" s="16">
        <f>COUNTIFS('架電リスト'!$B$5:$B$853,$A14,'架電リスト'!$J$5:$J$853,"番号不明")</f>
        <v/>
      </c>
    </row>
    <row r="15">
      <c r="A15" s="16" t="inlineStr">
        <is>
          <t>千葉県</t>
        </is>
      </c>
      <c r="B15" s="16">
        <f>COUNTIF('架電リスト'!$B$5:$B$853,A15)</f>
        <v/>
      </c>
      <c r="C15" s="16">
        <f>COUNTIFS('架電リスト'!$B$5:$B$853,A15,'架電リスト'!$E$5:$E$853,"&lt;&gt;")</f>
        <v/>
      </c>
      <c r="D15" s="16">
        <f>B15-COUNTIFS('架電リスト'!$B$5:$B$853,A15,'架電リスト'!$J$5:$J$853,"未架電")-COUNTIFS('架電リスト'!$B$5:$B$853,A15,'架電リスト'!$J$5:$J$853,"")</f>
        <v/>
      </c>
      <c r="E15" s="16">
        <f>COUNTIFS('架電リスト'!$B$5:$B$853,$A15,'架電リスト'!$J$5:$J$853,"不在・折返し待ち")</f>
        <v/>
      </c>
      <c r="F15" s="16">
        <f>COUNTIFS('架電リスト'!$B$5:$B$853,$A15,'架電リスト'!$J$5:$J$853,"担当者不在")</f>
        <v/>
      </c>
      <c r="G15" s="16">
        <f>COUNTIFS('架電リスト'!$B$5:$B$853,$A15,'架電リスト'!$J$5:$J$853,"資料送付")</f>
        <v/>
      </c>
      <c r="H15" s="16">
        <f>COUNTIFS('架電リスト'!$B$5:$B$853,$A15,'架電リスト'!$J$5:$J$853,"アポ獲得")</f>
        <v/>
      </c>
      <c r="I15" s="16">
        <f>COUNTIFS('架電リスト'!$B$5:$B$853,$A15,'架電リスト'!$J$5:$J$853,"検討中")</f>
        <v/>
      </c>
      <c r="J15" s="16">
        <f>COUNTIFS('架電リスト'!$B$5:$B$853,$A15,'架電リスト'!$J$5:$J$853,"NG")</f>
        <v/>
      </c>
      <c r="K15" s="16">
        <f>COUNTIFS('架電リスト'!$B$5:$B$853,$A15,'架電リスト'!$J$5:$J$853,"番号不明")</f>
        <v/>
      </c>
    </row>
    <row r="16">
      <c r="A16" s="16" t="inlineStr">
        <is>
          <t>東京都</t>
        </is>
      </c>
      <c r="B16" s="16">
        <f>COUNTIF('架電リスト'!$B$5:$B$853,A16)</f>
        <v/>
      </c>
      <c r="C16" s="16">
        <f>COUNTIFS('架電リスト'!$B$5:$B$853,A16,'架電リスト'!$E$5:$E$853,"&lt;&gt;")</f>
        <v/>
      </c>
      <c r="D16" s="16">
        <f>B16-COUNTIFS('架電リスト'!$B$5:$B$853,A16,'架電リスト'!$J$5:$J$853,"未架電")-COUNTIFS('架電リスト'!$B$5:$B$853,A16,'架電リスト'!$J$5:$J$853,"")</f>
        <v/>
      </c>
      <c r="E16" s="16">
        <f>COUNTIFS('架電リスト'!$B$5:$B$853,$A16,'架電リスト'!$J$5:$J$853,"不在・折返し待ち")</f>
        <v/>
      </c>
      <c r="F16" s="16">
        <f>COUNTIFS('架電リスト'!$B$5:$B$853,$A16,'架電リスト'!$J$5:$J$853,"担当者不在")</f>
        <v/>
      </c>
      <c r="G16" s="16">
        <f>COUNTIFS('架電リスト'!$B$5:$B$853,$A16,'架電リスト'!$J$5:$J$853,"資料送付")</f>
        <v/>
      </c>
      <c r="H16" s="16">
        <f>COUNTIFS('架電リスト'!$B$5:$B$853,$A16,'架電リスト'!$J$5:$J$853,"アポ獲得")</f>
        <v/>
      </c>
      <c r="I16" s="16">
        <f>COUNTIFS('架電リスト'!$B$5:$B$853,$A16,'架電リスト'!$J$5:$J$853,"検討中")</f>
        <v/>
      </c>
      <c r="J16" s="16">
        <f>COUNTIFS('架電リスト'!$B$5:$B$853,$A16,'架電リスト'!$J$5:$J$853,"NG")</f>
        <v/>
      </c>
      <c r="K16" s="16">
        <f>COUNTIFS('架電リスト'!$B$5:$B$853,$A16,'架電リスト'!$J$5:$J$853,"番号不明")</f>
        <v/>
      </c>
    </row>
    <row r="17">
      <c r="A17" s="16" t="inlineStr">
        <is>
          <t>神奈川県</t>
        </is>
      </c>
      <c r="B17" s="16">
        <f>COUNTIF('架電リスト'!$B$5:$B$853,A17)</f>
        <v/>
      </c>
      <c r="C17" s="16">
        <f>COUNTIFS('架電リスト'!$B$5:$B$853,A17,'架電リスト'!$E$5:$E$853,"&lt;&gt;")</f>
        <v/>
      </c>
      <c r="D17" s="16">
        <f>B17-COUNTIFS('架電リスト'!$B$5:$B$853,A17,'架電リスト'!$J$5:$J$853,"未架電")-COUNTIFS('架電リスト'!$B$5:$B$853,A17,'架電リスト'!$J$5:$J$853,"")</f>
        <v/>
      </c>
      <c r="E17" s="16">
        <f>COUNTIFS('架電リスト'!$B$5:$B$853,$A17,'架電リスト'!$J$5:$J$853,"不在・折返し待ち")</f>
        <v/>
      </c>
      <c r="F17" s="16">
        <f>COUNTIFS('架電リスト'!$B$5:$B$853,$A17,'架電リスト'!$J$5:$J$853,"担当者不在")</f>
        <v/>
      </c>
      <c r="G17" s="16">
        <f>COUNTIFS('架電リスト'!$B$5:$B$853,$A17,'架電リスト'!$J$5:$J$853,"資料送付")</f>
        <v/>
      </c>
      <c r="H17" s="16">
        <f>COUNTIFS('架電リスト'!$B$5:$B$853,$A17,'架電リスト'!$J$5:$J$853,"アポ獲得")</f>
        <v/>
      </c>
      <c r="I17" s="16">
        <f>COUNTIFS('架電リスト'!$B$5:$B$853,$A17,'架電リスト'!$J$5:$J$853,"検討中")</f>
        <v/>
      </c>
      <c r="J17" s="16">
        <f>COUNTIFS('架電リスト'!$B$5:$B$853,$A17,'架電リスト'!$J$5:$J$853,"NG")</f>
        <v/>
      </c>
      <c r="K17" s="16">
        <f>COUNTIFS('架電リスト'!$B$5:$B$853,$A17,'架電リスト'!$J$5:$J$853,"番号不明")</f>
        <v/>
      </c>
    </row>
    <row r="18">
      <c r="A18" s="16" t="inlineStr">
        <is>
          <t>新潟県</t>
        </is>
      </c>
      <c r="B18" s="16">
        <f>COUNTIF('架電リスト'!$B$5:$B$853,A18)</f>
        <v/>
      </c>
      <c r="C18" s="16">
        <f>COUNTIFS('架電リスト'!$B$5:$B$853,A18,'架電リスト'!$E$5:$E$853,"&lt;&gt;")</f>
        <v/>
      </c>
      <c r="D18" s="16">
        <f>B18-COUNTIFS('架電リスト'!$B$5:$B$853,A18,'架電リスト'!$J$5:$J$853,"未架電")-COUNTIFS('架電リスト'!$B$5:$B$853,A18,'架電リスト'!$J$5:$J$853,"")</f>
        <v/>
      </c>
      <c r="E18" s="16">
        <f>COUNTIFS('架電リスト'!$B$5:$B$853,$A18,'架電リスト'!$J$5:$J$853,"不在・折返し待ち")</f>
        <v/>
      </c>
      <c r="F18" s="16">
        <f>COUNTIFS('架電リスト'!$B$5:$B$853,$A18,'架電リスト'!$J$5:$J$853,"担当者不在")</f>
        <v/>
      </c>
      <c r="G18" s="16">
        <f>COUNTIFS('架電リスト'!$B$5:$B$853,$A18,'架電リスト'!$J$5:$J$853,"資料送付")</f>
        <v/>
      </c>
      <c r="H18" s="16">
        <f>COUNTIFS('架電リスト'!$B$5:$B$853,$A18,'架電リスト'!$J$5:$J$853,"アポ獲得")</f>
        <v/>
      </c>
      <c r="I18" s="16">
        <f>COUNTIFS('架電リスト'!$B$5:$B$853,$A18,'架電リスト'!$J$5:$J$853,"検討中")</f>
        <v/>
      </c>
      <c r="J18" s="16">
        <f>COUNTIFS('架電リスト'!$B$5:$B$853,$A18,'架電リスト'!$J$5:$J$853,"NG")</f>
        <v/>
      </c>
      <c r="K18" s="16">
        <f>COUNTIFS('架電リスト'!$B$5:$B$853,$A18,'架電リスト'!$J$5:$J$853,"番号不明")</f>
        <v/>
      </c>
    </row>
    <row r="19">
      <c r="A19" s="16" t="inlineStr">
        <is>
          <t>富山県</t>
        </is>
      </c>
      <c r="B19" s="16">
        <f>COUNTIF('架電リスト'!$B$5:$B$853,A19)</f>
        <v/>
      </c>
      <c r="C19" s="16">
        <f>COUNTIFS('架電リスト'!$B$5:$B$853,A19,'架電リスト'!$E$5:$E$853,"&lt;&gt;")</f>
        <v/>
      </c>
      <c r="D19" s="16">
        <f>B19-COUNTIFS('架電リスト'!$B$5:$B$853,A19,'架電リスト'!$J$5:$J$853,"未架電")-COUNTIFS('架電リスト'!$B$5:$B$853,A19,'架電リスト'!$J$5:$J$853,"")</f>
        <v/>
      </c>
      <c r="E19" s="16">
        <f>COUNTIFS('架電リスト'!$B$5:$B$853,$A19,'架電リスト'!$J$5:$J$853,"不在・折返し待ち")</f>
        <v/>
      </c>
      <c r="F19" s="16">
        <f>COUNTIFS('架電リスト'!$B$5:$B$853,$A19,'架電リスト'!$J$5:$J$853,"担当者不在")</f>
        <v/>
      </c>
      <c r="G19" s="16">
        <f>COUNTIFS('架電リスト'!$B$5:$B$853,$A19,'架電リスト'!$J$5:$J$853,"資料送付")</f>
        <v/>
      </c>
      <c r="H19" s="16">
        <f>COUNTIFS('架電リスト'!$B$5:$B$853,$A19,'架電リスト'!$J$5:$J$853,"アポ獲得")</f>
        <v/>
      </c>
      <c r="I19" s="16">
        <f>COUNTIFS('架電リスト'!$B$5:$B$853,$A19,'架電リスト'!$J$5:$J$853,"検討中")</f>
        <v/>
      </c>
      <c r="J19" s="16">
        <f>COUNTIFS('架電リスト'!$B$5:$B$853,$A19,'架電リスト'!$J$5:$J$853,"NG")</f>
        <v/>
      </c>
      <c r="K19" s="16">
        <f>COUNTIFS('架電リスト'!$B$5:$B$853,$A19,'架電リスト'!$J$5:$J$853,"番号不明")</f>
        <v/>
      </c>
    </row>
    <row r="20">
      <c r="A20" s="16" t="inlineStr">
        <is>
          <t>石川県</t>
        </is>
      </c>
      <c r="B20" s="16">
        <f>COUNTIF('架電リスト'!$B$5:$B$853,A20)</f>
        <v/>
      </c>
      <c r="C20" s="16">
        <f>COUNTIFS('架電リスト'!$B$5:$B$853,A20,'架電リスト'!$E$5:$E$853,"&lt;&gt;")</f>
        <v/>
      </c>
      <c r="D20" s="16">
        <f>B20-COUNTIFS('架電リスト'!$B$5:$B$853,A20,'架電リスト'!$J$5:$J$853,"未架電")-COUNTIFS('架電リスト'!$B$5:$B$853,A20,'架電リスト'!$J$5:$J$853,"")</f>
        <v/>
      </c>
      <c r="E20" s="16">
        <f>COUNTIFS('架電リスト'!$B$5:$B$853,$A20,'架電リスト'!$J$5:$J$853,"不在・折返し待ち")</f>
        <v/>
      </c>
      <c r="F20" s="16">
        <f>COUNTIFS('架電リスト'!$B$5:$B$853,$A20,'架電リスト'!$J$5:$J$853,"担当者不在")</f>
        <v/>
      </c>
      <c r="G20" s="16">
        <f>COUNTIFS('架電リスト'!$B$5:$B$853,$A20,'架電リスト'!$J$5:$J$853,"資料送付")</f>
        <v/>
      </c>
      <c r="H20" s="16">
        <f>COUNTIFS('架電リスト'!$B$5:$B$853,$A20,'架電リスト'!$J$5:$J$853,"アポ獲得")</f>
        <v/>
      </c>
      <c r="I20" s="16">
        <f>COUNTIFS('架電リスト'!$B$5:$B$853,$A20,'架電リスト'!$J$5:$J$853,"検討中")</f>
        <v/>
      </c>
      <c r="J20" s="16">
        <f>COUNTIFS('架電リスト'!$B$5:$B$853,$A20,'架電リスト'!$J$5:$J$853,"NG")</f>
        <v/>
      </c>
      <c r="K20" s="16">
        <f>COUNTIFS('架電リスト'!$B$5:$B$853,$A20,'架電リスト'!$J$5:$J$853,"番号不明")</f>
        <v/>
      </c>
    </row>
    <row r="21">
      <c r="A21" s="16" t="inlineStr">
        <is>
          <t>福井県</t>
        </is>
      </c>
      <c r="B21" s="16">
        <f>COUNTIF('架電リスト'!$B$5:$B$853,A21)</f>
        <v/>
      </c>
      <c r="C21" s="16">
        <f>COUNTIFS('架電リスト'!$B$5:$B$853,A21,'架電リスト'!$E$5:$E$853,"&lt;&gt;")</f>
        <v/>
      </c>
      <c r="D21" s="16">
        <f>B21-COUNTIFS('架電リスト'!$B$5:$B$853,A21,'架電リスト'!$J$5:$J$853,"未架電")-COUNTIFS('架電リスト'!$B$5:$B$853,A21,'架電リスト'!$J$5:$J$853,"")</f>
        <v/>
      </c>
      <c r="E21" s="16">
        <f>COUNTIFS('架電リスト'!$B$5:$B$853,$A21,'架電リスト'!$J$5:$J$853,"不在・折返し待ち")</f>
        <v/>
      </c>
      <c r="F21" s="16">
        <f>COUNTIFS('架電リスト'!$B$5:$B$853,$A21,'架電リスト'!$J$5:$J$853,"担当者不在")</f>
        <v/>
      </c>
      <c r="G21" s="16">
        <f>COUNTIFS('架電リスト'!$B$5:$B$853,$A21,'架電リスト'!$J$5:$J$853,"資料送付")</f>
        <v/>
      </c>
      <c r="H21" s="16">
        <f>COUNTIFS('架電リスト'!$B$5:$B$853,$A21,'架電リスト'!$J$5:$J$853,"アポ獲得")</f>
        <v/>
      </c>
      <c r="I21" s="16">
        <f>COUNTIFS('架電リスト'!$B$5:$B$853,$A21,'架電リスト'!$J$5:$J$853,"検討中")</f>
        <v/>
      </c>
      <c r="J21" s="16">
        <f>COUNTIFS('架電リスト'!$B$5:$B$853,$A21,'架電リスト'!$J$5:$J$853,"NG")</f>
        <v/>
      </c>
      <c r="K21" s="16">
        <f>COUNTIFS('架電リスト'!$B$5:$B$853,$A21,'架電リスト'!$J$5:$J$853,"番号不明")</f>
        <v/>
      </c>
    </row>
    <row r="22">
      <c r="A22" s="16" t="inlineStr">
        <is>
          <t>山梨県</t>
        </is>
      </c>
      <c r="B22" s="16">
        <f>COUNTIF('架電リスト'!$B$5:$B$853,A22)</f>
        <v/>
      </c>
      <c r="C22" s="16">
        <f>COUNTIFS('架電リスト'!$B$5:$B$853,A22,'架電リスト'!$E$5:$E$853,"&lt;&gt;")</f>
        <v/>
      </c>
      <c r="D22" s="16">
        <f>B22-COUNTIFS('架電リスト'!$B$5:$B$853,A22,'架電リスト'!$J$5:$J$853,"未架電")-COUNTIFS('架電リスト'!$B$5:$B$853,A22,'架電リスト'!$J$5:$J$853,"")</f>
        <v/>
      </c>
      <c r="E22" s="16">
        <f>COUNTIFS('架電リスト'!$B$5:$B$853,$A22,'架電リスト'!$J$5:$J$853,"不在・折返し待ち")</f>
        <v/>
      </c>
      <c r="F22" s="16">
        <f>COUNTIFS('架電リスト'!$B$5:$B$853,$A22,'架電リスト'!$J$5:$J$853,"担当者不在")</f>
        <v/>
      </c>
      <c r="G22" s="16">
        <f>COUNTIFS('架電リスト'!$B$5:$B$853,$A22,'架電リスト'!$J$5:$J$853,"資料送付")</f>
        <v/>
      </c>
      <c r="H22" s="16">
        <f>COUNTIFS('架電リスト'!$B$5:$B$853,$A22,'架電リスト'!$J$5:$J$853,"アポ獲得")</f>
        <v/>
      </c>
      <c r="I22" s="16">
        <f>COUNTIFS('架電リスト'!$B$5:$B$853,$A22,'架電リスト'!$J$5:$J$853,"検討中")</f>
        <v/>
      </c>
      <c r="J22" s="16">
        <f>COUNTIFS('架電リスト'!$B$5:$B$853,$A22,'架電リスト'!$J$5:$J$853,"NG")</f>
        <v/>
      </c>
      <c r="K22" s="16">
        <f>COUNTIFS('架電リスト'!$B$5:$B$853,$A22,'架電リスト'!$J$5:$J$853,"番号不明")</f>
        <v/>
      </c>
    </row>
    <row r="23">
      <c r="A23" s="16" t="inlineStr">
        <is>
          <t>長野県</t>
        </is>
      </c>
      <c r="B23" s="16">
        <f>COUNTIF('架電リスト'!$B$5:$B$853,A23)</f>
        <v/>
      </c>
      <c r="C23" s="16">
        <f>COUNTIFS('架電リスト'!$B$5:$B$853,A23,'架電リスト'!$E$5:$E$853,"&lt;&gt;")</f>
        <v/>
      </c>
      <c r="D23" s="16">
        <f>B23-COUNTIFS('架電リスト'!$B$5:$B$853,A23,'架電リスト'!$J$5:$J$853,"未架電")-COUNTIFS('架電リスト'!$B$5:$B$853,A23,'架電リスト'!$J$5:$J$853,"")</f>
        <v/>
      </c>
      <c r="E23" s="16">
        <f>COUNTIFS('架電リスト'!$B$5:$B$853,$A23,'架電リスト'!$J$5:$J$853,"不在・折返し待ち")</f>
        <v/>
      </c>
      <c r="F23" s="16">
        <f>COUNTIFS('架電リスト'!$B$5:$B$853,$A23,'架電リスト'!$J$5:$J$853,"担当者不在")</f>
        <v/>
      </c>
      <c r="G23" s="16">
        <f>COUNTIFS('架電リスト'!$B$5:$B$853,$A23,'架電リスト'!$J$5:$J$853,"資料送付")</f>
        <v/>
      </c>
      <c r="H23" s="16">
        <f>COUNTIFS('架電リスト'!$B$5:$B$853,$A23,'架電リスト'!$J$5:$J$853,"アポ獲得")</f>
        <v/>
      </c>
      <c r="I23" s="16">
        <f>COUNTIFS('架電リスト'!$B$5:$B$853,$A23,'架電リスト'!$J$5:$J$853,"検討中")</f>
        <v/>
      </c>
      <c r="J23" s="16">
        <f>COUNTIFS('架電リスト'!$B$5:$B$853,$A23,'架電リスト'!$J$5:$J$853,"NG")</f>
        <v/>
      </c>
      <c r="K23" s="16">
        <f>COUNTIFS('架電リスト'!$B$5:$B$853,$A23,'架電リスト'!$J$5:$J$853,"番号不明")</f>
        <v/>
      </c>
    </row>
    <row r="24">
      <c r="A24" s="16" t="inlineStr">
        <is>
          <t>岐阜県</t>
        </is>
      </c>
      <c r="B24" s="16">
        <f>COUNTIF('架電リスト'!$B$5:$B$853,A24)</f>
        <v/>
      </c>
      <c r="C24" s="16">
        <f>COUNTIFS('架電リスト'!$B$5:$B$853,A24,'架電リスト'!$E$5:$E$853,"&lt;&gt;")</f>
        <v/>
      </c>
      <c r="D24" s="16">
        <f>B24-COUNTIFS('架電リスト'!$B$5:$B$853,A24,'架電リスト'!$J$5:$J$853,"未架電")-COUNTIFS('架電リスト'!$B$5:$B$853,A24,'架電リスト'!$J$5:$J$853,"")</f>
        <v/>
      </c>
      <c r="E24" s="16">
        <f>COUNTIFS('架電リスト'!$B$5:$B$853,$A24,'架電リスト'!$J$5:$J$853,"不在・折返し待ち")</f>
        <v/>
      </c>
      <c r="F24" s="16">
        <f>COUNTIFS('架電リスト'!$B$5:$B$853,$A24,'架電リスト'!$J$5:$J$853,"担当者不在")</f>
        <v/>
      </c>
      <c r="G24" s="16">
        <f>COUNTIFS('架電リスト'!$B$5:$B$853,$A24,'架電リスト'!$J$5:$J$853,"資料送付")</f>
        <v/>
      </c>
      <c r="H24" s="16">
        <f>COUNTIFS('架電リスト'!$B$5:$B$853,$A24,'架電リスト'!$J$5:$J$853,"アポ獲得")</f>
        <v/>
      </c>
      <c r="I24" s="16">
        <f>COUNTIFS('架電リスト'!$B$5:$B$853,$A24,'架電リスト'!$J$5:$J$853,"検討中")</f>
        <v/>
      </c>
      <c r="J24" s="16">
        <f>COUNTIFS('架電リスト'!$B$5:$B$853,$A24,'架電リスト'!$J$5:$J$853,"NG")</f>
        <v/>
      </c>
      <c r="K24" s="16">
        <f>COUNTIFS('架電リスト'!$B$5:$B$853,$A24,'架電リスト'!$J$5:$J$853,"番号不明")</f>
        <v/>
      </c>
    </row>
    <row r="25">
      <c r="A25" s="16" t="inlineStr">
        <is>
          <t>静岡県</t>
        </is>
      </c>
      <c r="B25" s="16">
        <f>COUNTIF('架電リスト'!$B$5:$B$853,A25)</f>
        <v/>
      </c>
      <c r="C25" s="16">
        <f>COUNTIFS('架電リスト'!$B$5:$B$853,A25,'架電リスト'!$E$5:$E$853,"&lt;&gt;")</f>
        <v/>
      </c>
      <c r="D25" s="16">
        <f>B25-COUNTIFS('架電リスト'!$B$5:$B$853,A25,'架電リスト'!$J$5:$J$853,"未架電")-COUNTIFS('架電リスト'!$B$5:$B$853,A25,'架電リスト'!$J$5:$J$853,"")</f>
        <v/>
      </c>
      <c r="E25" s="16">
        <f>COUNTIFS('架電リスト'!$B$5:$B$853,$A25,'架電リスト'!$J$5:$J$853,"不在・折返し待ち")</f>
        <v/>
      </c>
      <c r="F25" s="16">
        <f>COUNTIFS('架電リスト'!$B$5:$B$853,$A25,'架電リスト'!$J$5:$J$853,"担当者不在")</f>
        <v/>
      </c>
      <c r="G25" s="16">
        <f>COUNTIFS('架電リスト'!$B$5:$B$853,$A25,'架電リスト'!$J$5:$J$853,"資料送付")</f>
        <v/>
      </c>
      <c r="H25" s="16">
        <f>COUNTIFS('架電リスト'!$B$5:$B$853,$A25,'架電リスト'!$J$5:$J$853,"アポ獲得")</f>
        <v/>
      </c>
      <c r="I25" s="16">
        <f>COUNTIFS('架電リスト'!$B$5:$B$853,$A25,'架電リスト'!$J$5:$J$853,"検討中")</f>
        <v/>
      </c>
      <c r="J25" s="16">
        <f>COUNTIFS('架電リスト'!$B$5:$B$853,$A25,'架電リスト'!$J$5:$J$853,"NG")</f>
        <v/>
      </c>
      <c r="K25" s="16">
        <f>COUNTIFS('架電リスト'!$B$5:$B$853,$A25,'架電リスト'!$J$5:$J$853,"番号不明")</f>
        <v/>
      </c>
    </row>
    <row r="26">
      <c r="A26" s="16" t="inlineStr">
        <is>
          <t>愛知県</t>
        </is>
      </c>
      <c r="B26" s="16">
        <f>COUNTIF('架電リスト'!$B$5:$B$853,A26)</f>
        <v/>
      </c>
      <c r="C26" s="16">
        <f>COUNTIFS('架電リスト'!$B$5:$B$853,A26,'架電リスト'!$E$5:$E$853,"&lt;&gt;")</f>
        <v/>
      </c>
      <c r="D26" s="16">
        <f>B26-COUNTIFS('架電リスト'!$B$5:$B$853,A26,'架電リスト'!$J$5:$J$853,"未架電")-COUNTIFS('架電リスト'!$B$5:$B$853,A26,'架電リスト'!$J$5:$J$853,"")</f>
        <v/>
      </c>
      <c r="E26" s="16">
        <f>COUNTIFS('架電リスト'!$B$5:$B$853,$A26,'架電リスト'!$J$5:$J$853,"不在・折返し待ち")</f>
        <v/>
      </c>
      <c r="F26" s="16">
        <f>COUNTIFS('架電リスト'!$B$5:$B$853,$A26,'架電リスト'!$J$5:$J$853,"担当者不在")</f>
        <v/>
      </c>
      <c r="G26" s="16">
        <f>COUNTIFS('架電リスト'!$B$5:$B$853,$A26,'架電リスト'!$J$5:$J$853,"資料送付")</f>
        <v/>
      </c>
      <c r="H26" s="16">
        <f>COUNTIFS('架電リスト'!$B$5:$B$853,$A26,'架電リスト'!$J$5:$J$853,"アポ獲得")</f>
        <v/>
      </c>
      <c r="I26" s="16">
        <f>COUNTIFS('架電リスト'!$B$5:$B$853,$A26,'架電リスト'!$J$5:$J$853,"検討中")</f>
        <v/>
      </c>
      <c r="J26" s="16">
        <f>COUNTIFS('架電リスト'!$B$5:$B$853,$A26,'架電リスト'!$J$5:$J$853,"NG")</f>
        <v/>
      </c>
      <c r="K26" s="16">
        <f>COUNTIFS('架電リスト'!$B$5:$B$853,$A26,'架電リスト'!$J$5:$J$853,"番号不明")</f>
        <v/>
      </c>
    </row>
    <row r="27">
      <c r="A27" s="16" t="inlineStr">
        <is>
          <t>三重県</t>
        </is>
      </c>
      <c r="B27" s="16">
        <f>COUNTIF('架電リスト'!$B$5:$B$853,A27)</f>
        <v/>
      </c>
      <c r="C27" s="16">
        <f>COUNTIFS('架電リスト'!$B$5:$B$853,A27,'架電リスト'!$E$5:$E$853,"&lt;&gt;")</f>
        <v/>
      </c>
      <c r="D27" s="16">
        <f>B27-COUNTIFS('架電リスト'!$B$5:$B$853,A27,'架電リスト'!$J$5:$J$853,"未架電")-COUNTIFS('架電リスト'!$B$5:$B$853,A27,'架電リスト'!$J$5:$J$853,"")</f>
        <v/>
      </c>
      <c r="E27" s="16">
        <f>COUNTIFS('架電リスト'!$B$5:$B$853,$A27,'架電リスト'!$J$5:$J$853,"不在・折返し待ち")</f>
        <v/>
      </c>
      <c r="F27" s="16">
        <f>COUNTIFS('架電リスト'!$B$5:$B$853,$A27,'架電リスト'!$J$5:$J$853,"担当者不在")</f>
        <v/>
      </c>
      <c r="G27" s="16">
        <f>COUNTIFS('架電リスト'!$B$5:$B$853,$A27,'架電リスト'!$J$5:$J$853,"資料送付")</f>
        <v/>
      </c>
      <c r="H27" s="16">
        <f>COUNTIFS('架電リスト'!$B$5:$B$853,$A27,'架電リスト'!$J$5:$J$853,"アポ獲得")</f>
        <v/>
      </c>
      <c r="I27" s="16">
        <f>COUNTIFS('架電リスト'!$B$5:$B$853,$A27,'架電リスト'!$J$5:$J$853,"検討中")</f>
        <v/>
      </c>
      <c r="J27" s="16">
        <f>COUNTIFS('架電リスト'!$B$5:$B$853,$A27,'架電リスト'!$J$5:$J$853,"NG")</f>
        <v/>
      </c>
      <c r="K27" s="16">
        <f>COUNTIFS('架電リスト'!$B$5:$B$853,$A27,'架電リスト'!$J$5:$J$853,"番号不明")</f>
        <v/>
      </c>
    </row>
    <row r="28">
      <c r="A28" s="16" t="inlineStr">
        <is>
          <t>滋賀県</t>
        </is>
      </c>
      <c r="B28" s="16">
        <f>COUNTIF('架電リスト'!$B$5:$B$853,A28)</f>
        <v/>
      </c>
      <c r="C28" s="16">
        <f>COUNTIFS('架電リスト'!$B$5:$B$853,A28,'架電リスト'!$E$5:$E$853,"&lt;&gt;")</f>
        <v/>
      </c>
      <c r="D28" s="16">
        <f>B28-COUNTIFS('架電リスト'!$B$5:$B$853,A28,'架電リスト'!$J$5:$J$853,"未架電")-COUNTIFS('架電リスト'!$B$5:$B$853,A28,'架電リスト'!$J$5:$J$853,"")</f>
        <v/>
      </c>
      <c r="E28" s="16">
        <f>COUNTIFS('架電リスト'!$B$5:$B$853,$A28,'架電リスト'!$J$5:$J$853,"不在・折返し待ち")</f>
        <v/>
      </c>
      <c r="F28" s="16">
        <f>COUNTIFS('架電リスト'!$B$5:$B$853,$A28,'架電リスト'!$J$5:$J$853,"担当者不在")</f>
        <v/>
      </c>
      <c r="G28" s="16">
        <f>COUNTIFS('架電リスト'!$B$5:$B$853,$A28,'架電リスト'!$J$5:$J$853,"資料送付")</f>
        <v/>
      </c>
      <c r="H28" s="16">
        <f>COUNTIFS('架電リスト'!$B$5:$B$853,$A28,'架電リスト'!$J$5:$J$853,"アポ獲得")</f>
        <v/>
      </c>
      <c r="I28" s="16">
        <f>COUNTIFS('架電リスト'!$B$5:$B$853,$A28,'架電リスト'!$J$5:$J$853,"検討中")</f>
        <v/>
      </c>
      <c r="J28" s="16">
        <f>COUNTIFS('架電リスト'!$B$5:$B$853,$A28,'架電リスト'!$J$5:$J$853,"NG")</f>
        <v/>
      </c>
      <c r="K28" s="16">
        <f>COUNTIFS('架電リスト'!$B$5:$B$853,$A28,'架電リスト'!$J$5:$J$853,"番号不明")</f>
        <v/>
      </c>
    </row>
    <row r="29">
      <c r="A29" s="17" t="inlineStr">
        <is>
          <t>合計</t>
        </is>
      </c>
      <c r="B29" s="17">
        <f>SUM(B4:B28)</f>
        <v/>
      </c>
      <c r="C29" s="17">
        <f>SUM(C4:C28)</f>
        <v/>
      </c>
      <c r="D29" s="17">
        <f>SUM(D4:D28)</f>
        <v/>
      </c>
      <c r="E29" s="17">
        <f>SUM(E4:E28)</f>
        <v/>
      </c>
      <c r="F29" s="17">
        <f>SUM(F4:F28)</f>
        <v/>
      </c>
      <c r="G29" s="17">
        <f>SUM(G4:G28)</f>
        <v/>
      </c>
      <c r="H29" s="17">
        <f>SUM(H4:H28)</f>
        <v/>
      </c>
      <c r="I29" s="17">
        <f>SUM(I4:I28)</f>
        <v/>
      </c>
      <c r="J29" s="17">
        <f>SUM(J4:J28)</f>
        <v/>
      </c>
      <c r="K29" s="17">
        <f>SUM(K4:K28)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・出典：ご提供いただいた学校ネットの検索結果（私立高校・25都道府県、849校）の貼り付けデータ。並び順は都道府県ごとに元データの掲載順です。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2026-10-14T00:59:27Z</dcterms:created>
  <dcterms:modified xsi:type="dcterms:W3CDTF">2026-10-14T00:59:28Z</dcterms:modified>
</cp:coreProperties>
</file>