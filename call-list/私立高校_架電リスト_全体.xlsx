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'架電リスト'!$A$4:$O$1162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853.html" TargetMode="External" Id="rId1078" /><Relationship Type="http://schemas.openxmlformats.org/officeDocument/2006/relationships/hyperlink" Target="https://www.gakkou.net/kou/view/index_304927.html" TargetMode="External" Id="rId1079" /><Relationship Type="http://schemas.openxmlformats.org/officeDocument/2006/relationships/hyperlink" Target="https://www.gakkou.net/kou/view/index_304868.html" TargetMode="External" Id="rId1080" /><Relationship Type="http://schemas.openxmlformats.org/officeDocument/2006/relationships/hyperlink" Target="https://www.gakkou.net/kou/view/index_304865.html" TargetMode="External" Id="rId1081" /><Relationship Type="http://schemas.openxmlformats.org/officeDocument/2006/relationships/hyperlink" Target="https://www.gakkou.net/kou/view/index_304838.html" TargetMode="External" Id="rId1082" /><Relationship Type="http://schemas.openxmlformats.org/officeDocument/2006/relationships/hyperlink" Target="https://www.gakkou.net/kou/view/index_304930.html" TargetMode="External" Id="rId1083" /><Relationship Type="http://schemas.openxmlformats.org/officeDocument/2006/relationships/hyperlink" Target="https://www.gakkou.net/kou/view/index_304831.html" TargetMode="External" Id="rId1084" /><Relationship Type="http://schemas.openxmlformats.org/officeDocument/2006/relationships/hyperlink" Target="https://www.gakkou.net/kou/view/index_304871.html" TargetMode="External" Id="rId1085" /><Relationship Type="http://schemas.openxmlformats.org/officeDocument/2006/relationships/hyperlink" Target="https://www.gakkou.net/kou/view/index_304823.html" TargetMode="External" Id="rId1086" /><Relationship Type="http://schemas.openxmlformats.org/officeDocument/2006/relationships/hyperlink" Target="https://www.gakkou.net/kou/view/index_304909.html" TargetMode="External" Id="rId1087" /><Relationship Type="http://schemas.openxmlformats.org/officeDocument/2006/relationships/hyperlink" Target="https://www.gakkou.net/kou/view/index_304880.html" TargetMode="External" Id="rId1088" /><Relationship Type="http://schemas.openxmlformats.org/officeDocument/2006/relationships/hyperlink" Target="https://www.gakkou.net/kou/view/index_304829.html" TargetMode="External" Id="rId1089" /><Relationship Type="http://schemas.openxmlformats.org/officeDocument/2006/relationships/hyperlink" Target="https://www.gakkou.net/kou/view/index_304875.html" TargetMode="External" Id="rId1090" /><Relationship Type="http://schemas.openxmlformats.org/officeDocument/2006/relationships/hyperlink" Target="https://www.gakkou.net/kou/view/index_304883.html" TargetMode="External" Id="rId1091" /><Relationship Type="http://schemas.openxmlformats.org/officeDocument/2006/relationships/hyperlink" Target="https://www.gakkou.net/kou/view/index_304881.html" TargetMode="External" Id="rId1092" /><Relationship Type="http://schemas.openxmlformats.org/officeDocument/2006/relationships/hyperlink" Target="https://www.gakkou.net/kou/view/index_304912.html" TargetMode="External" Id="rId1093" /><Relationship Type="http://schemas.openxmlformats.org/officeDocument/2006/relationships/hyperlink" Target="https://www.gakkou.net/kou/view/index_304928.html" TargetMode="External" Id="rId1094" /><Relationship Type="http://schemas.openxmlformats.org/officeDocument/2006/relationships/hyperlink" Target="https://www.gakkou.net/kou/view/index_304849.html" TargetMode="External" Id="rId1095" /><Relationship Type="http://schemas.openxmlformats.org/officeDocument/2006/relationships/hyperlink" Target="https://www.gakkou.net/kou/view/index_304832.html" TargetMode="External" Id="rId1096" /><Relationship Type="http://schemas.openxmlformats.org/officeDocument/2006/relationships/hyperlink" Target="https://www.gakkou.net/kou/view/index_304837.html" TargetMode="External" Id="rId1097" /><Relationship Type="http://schemas.openxmlformats.org/officeDocument/2006/relationships/hyperlink" Target="https://www.gakkou.net/kou/view/index_304827.html" TargetMode="External" Id="rId1098" /><Relationship Type="http://schemas.openxmlformats.org/officeDocument/2006/relationships/hyperlink" Target="https://www.gakkou.net/kou/view/index_304917.html" TargetMode="External" Id="rId1099" /><Relationship Type="http://schemas.openxmlformats.org/officeDocument/2006/relationships/hyperlink" Target="https://www.gakkou.net/kou/view/index_304830.html" TargetMode="External" Id="rId1100" /><Relationship Type="http://schemas.openxmlformats.org/officeDocument/2006/relationships/hyperlink" Target="https://www.gakkou.net/kou/view/index_305020.html" TargetMode="External" Id="rId1101" /><Relationship Type="http://schemas.openxmlformats.org/officeDocument/2006/relationships/hyperlink" Target="https://www.gakkou.net/kou/view/index_304938.html" TargetMode="External" Id="rId1102" /><Relationship Type="http://schemas.openxmlformats.org/officeDocument/2006/relationships/hyperlink" Target="https://www.gakkou.net/kou/view/index_304959.html" TargetMode="External" Id="rId1103" /><Relationship Type="http://schemas.openxmlformats.org/officeDocument/2006/relationships/hyperlink" Target="https://www.gakkou.net/kou/view/index_304963.html" TargetMode="External" Id="rId1104" /><Relationship Type="http://schemas.openxmlformats.org/officeDocument/2006/relationships/hyperlink" Target="https://www.gakkou.net/kou/view/index_305103.html" TargetMode="External" Id="rId1105" /><Relationship Type="http://schemas.openxmlformats.org/officeDocument/2006/relationships/hyperlink" Target="https://www.gakkou.net/kou/view/index_304947.html" TargetMode="External" Id="rId1106" /><Relationship Type="http://schemas.openxmlformats.org/officeDocument/2006/relationships/hyperlink" Target="https://www.gakkou.net/kou/view/index_304958.html" TargetMode="External" Id="rId1107" /><Relationship Type="http://schemas.openxmlformats.org/officeDocument/2006/relationships/hyperlink" Target="https://www.gakkou.net/kou/view/index_306447.html" TargetMode="External" Id="rId1108" /><Relationship Type="http://schemas.openxmlformats.org/officeDocument/2006/relationships/hyperlink" Target="https://www.gakkou.net/kou/view/index_305034.html" TargetMode="External" Id="rId1109" /><Relationship Type="http://schemas.openxmlformats.org/officeDocument/2006/relationships/hyperlink" Target="https://www.gakkou.net/kou/view/index_305074.html" TargetMode="External" Id="rId1110" /><Relationship Type="http://schemas.openxmlformats.org/officeDocument/2006/relationships/hyperlink" Target="https://www.gakkou.net/kou/view/index_305049.html" TargetMode="External" Id="rId1111" /><Relationship Type="http://schemas.openxmlformats.org/officeDocument/2006/relationships/hyperlink" Target="https://www.gakkou.net/kou/view/index_304937.html" TargetMode="External" Id="rId1112" /><Relationship Type="http://schemas.openxmlformats.org/officeDocument/2006/relationships/hyperlink" Target="https://www.gakkou.net/kou/view/index_305071.html" TargetMode="External" Id="rId1113" /><Relationship Type="http://schemas.openxmlformats.org/officeDocument/2006/relationships/hyperlink" Target="https://www.gakkou.net/kou/view/index_305016.html" TargetMode="External" Id="rId1114" /><Relationship Type="http://schemas.openxmlformats.org/officeDocument/2006/relationships/hyperlink" Target="https://www.gakkou.net/kou/view/index_305059.html" TargetMode="External" Id="rId1115" /><Relationship Type="http://schemas.openxmlformats.org/officeDocument/2006/relationships/hyperlink" Target="https://www.gakkou.net/kou/view/index_304974.html" TargetMode="External" Id="rId1116" /><Relationship Type="http://schemas.openxmlformats.org/officeDocument/2006/relationships/hyperlink" Target="https://www.gakkou.net/kou/view/index_305046.html" TargetMode="External" Id="rId1117" /><Relationship Type="http://schemas.openxmlformats.org/officeDocument/2006/relationships/hyperlink" Target="https://www.gakkou.net/kou/view/index_304979.html" TargetMode="External" Id="rId1118" /><Relationship Type="http://schemas.openxmlformats.org/officeDocument/2006/relationships/hyperlink" Target="https://www.gakkou.net/kou/view/index_306435.html" TargetMode="External" Id="rId1119" /><Relationship Type="http://schemas.openxmlformats.org/officeDocument/2006/relationships/hyperlink" Target="https://www.gakkou.net/kou/view/index_306471.html" TargetMode="External" Id="rId1120" /><Relationship Type="http://schemas.openxmlformats.org/officeDocument/2006/relationships/hyperlink" Target="https://www.gakkou.net/kou/view/index_305050.html" TargetMode="External" Id="rId1121" /><Relationship Type="http://schemas.openxmlformats.org/officeDocument/2006/relationships/hyperlink" Target="https://www.gakkou.net/kou/view/index_305062.html" TargetMode="External" Id="rId1122" /><Relationship Type="http://schemas.openxmlformats.org/officeDocument/2006/relationships/hyperlink" Target="https://www.gakkou.net/kou/view/index_305055.html" TargetMode="External" Id="rId1123" /><Relationship Type="http://schemas.openxmlformats.org/officeDocument/2006/relationships/hyperlink" Target="https://www.gakkou.net/kou/view/index_305054.html" TargetMode="External" Id="rId1124" /><Relationship Type="http://schemas.openxmlformats.org/officeDocument/2006/relationships/hyperlink" Target="https://www.gakkou.net/kou/view/index_305064.html" TargetMode="External" Id="rId1125" /><Relationship Type="http://schemas.openxmlformats.org/officeDocument/2006/relationships/hyperlink" Target="https://www.gakkou.net/kou/view/index_305044.html" TargetMode="External" Id="rId1126" /><Relationship Type="http://schemas.openxmlformats.org/officeDocument/2006/relationships/hyperlink" Target="https://www.gakkou.net/kou/view/index_304998.html" TargetMode="External" Id="rId1127" /><Relationship Type="http://schemas.openxmlformats.org/officeDocument/2006/relationships/hyperlink" Target="https://www.gakkou.net/kou/view/index_305053.html" TargetMode="External" Id="rId1128" /><Relationship Type="http://schemas.openxmlformats.org/officeDocument/2006/relationships/hyperlink" Target="https://www.gakkou.net/kou/view/index_305037.html" TargetMode="External" Id="rId1129" /><Relationship Type="http://schemas.openxmlformats.org/officeDocument/2006/relationships/hyperlink" Target="https://www.gakkou.net/kou/view/index_305031.html" TargetMode="External" Id="rId1130" /><Relationship Type="http://schemas.openxmlformats.org/officeDocument/2006/relationships/hyperlink" Target="https://www.gakkou.net/kou/view/index_305041.html" TargetMode="External" Id="rId1131" /><Relationship Type="http://schemas.openxmlformats.org/officeDocument/2006/relationships/hyperlink" Target="https://www.gakkou.net/kou/view/index_305012.html" TargetMode="External" Id="rId1132" /><Relationship Type="http://schemas.openxmlformats.org/officeDocument/2006/relationships/hyperlink" Target="https://www.gakkou.net/kou/view/index_305043.html" TargetMode="External" Id="rId1133" /><Relationship Type="http://schemas.openxmlformats.org/officeDocument/2006/relationships/hyperlink" Target="https://www.gakkou.net/kou/view/index_305039.html" TargetMode="External" Id="rId1134" /><Relationship Type="http://schemas.openxmlformats.org/officeDocument/2006/relationships/hyperlink" Target="https://www.gakkou.net/kou/view/index_305026.html" TargetMode="External" Id="rId1135" /><Relationship Type="http://schemas.openxmlformats.org/officeDocument/2006/relationships/hyperlink" Target="https://www.gakkou.net/kou/view/index_304960.html" TargetMode="External" Id="rId1136" /><Relationship Type="http://schemas.openxmlformats.org/officeDocument/2006/relationships/hyperlink" Target="https://www.gakkou.net/kou/view/index_305010.html" TargetMode="External" Id="rId1137" /><Relationship Type="http://schemas.openxmlformats.org/officeDocument/2006/relationships/hyperlink" Target="https://www.gakkou.net/kou/view/index_305196.html" TargetMode="External" Id="rId1138" /><Relationship Type="http://schemas.openxmlformats.org/officeDocument/2006/relationships/hyperlink" Target="https://www.gakkou.net/kou/view/index_305180.html" TargetMode="External" Id="rId1139" /><Relationship Type="http://schemas.openxmlformats.org/officeDocument/2006/relationships/hyperlink" Target="https://www.gakkou.net/kou/view/index_305175.html" TargetMode="External" Id="rId1140" /><Relationship Type="http://schemas.openxmlformats.org/officeDocument/2006/relationships/hyperlink" Target="https://www.gakkou.net/kou/view/index_305182.html" TargetMode="External" Id="rId1141" /><Relationship Type="http://schemas.openxmlformats.org/officeDocument/2006/relationships/hyperlink" Target="https://www.gakkou.net/kou/view/index_305162.html" TargetMode="External" Id="rId1142" /><Relationship Type="http://schemas.openxmlformats.org/officeDocument/2006/relationships/hyperlink" Target="https://www.gakkou.net/kou/view/index_305152.html" TargetMode="External" Id="rId1143" /><Relationship Type="http://schemas.openxmlformats.org/officeDocument/2006/relationships/hyperlink" Target="https://www.gakkou.net/kou/view/index_305148.html" TargetMode="External" Id="rId1144" /><Relationship Type="http://schemas.openxmlformats.org/officeDocument/2006/relationships/hyperlink" Target="https://www.gakkou.net/kou/view/index_306695.html" TargetMode="External" Id="rId1145" /><Relationship Type="http://schemas.openxmlformats.org/officeDocument/2006/relationships/hyperlink" Target="https://www.gakkou.net/kou/view/index_305127.html" TargetMode="External" Id="rId1146" /><Relationship Type="http://schemas.openxmlformats.org/officeDocument/2006/relationships/hyperlink" Target="https://www.gakkou.net/kou/view/index_305199.html" TargetMode="External" Id="rId1147" /><Relationship Type="http://schemas.openxmlformats.org/officeDocument/2006/relationships/hyperlink" Target="https://www.gakkou.net/kou/view/index_305143.html" TargetMode="External" Id="rId1148" /><Relationship Type="http://schemas.openxmlformats.org/officeDocument/2006/relationships/hyperlink" Target="https://www.gakkou.net/kou/view/index_305106.html" TargetMode="External" Id="rId1149" /><Relationship Type="http://schemas.openxmlformats.org/officeDocument/2006/relationships/hyperlink" Target="https://www.gakkou.net/kou/view/index_305165.html" TargetMode="External" Id="rId1150" /><Relationship Type="http://schemas.openxmlformats.org/officeDocument/2006/relationships/hyperlink" Target="https://www.gakkou.net/kou/view/index_305204.html" TargetMode="External" Id="rId1151" /><Relationship Type="http://schemas.openxmlformats.org/officeDocument/2006/relationships/hyperlink" Target="https://www.gakkou.net/kou/view/index_305170.html" TargetMode="External" Id="rId1152" /><Relationship Type="http://schemas.openxmlformats.org/officeDocument/2006/relationships/hyperlink" Target="https://www.gakkou.net/kou/view/index_305190.html" TargetMode="External" Id="rId1153" /><Relationship Type="http://schemas.openxmlformats.org/officeDocument/2006/relationships/hyperlink" Target="https://www.gakkou.net/kou/view/index_305150.html" TargetMode="External" Id="rId1154" /><Relationship Type="http://schemas.openxmlformats.org/officeDocument/2006/relationships/hyperlink" Target="https://www.gakkou.net/kou/view/index_305151.html" TargetMode="External" Id="rId1155" /><Relationship Type="http://schemas.openxmlformats.org/officeDocument/2006/relationships/hyperlink" Target="https://www.gakkou.net/kou/view/index_305115.html" TargetMode="External" Id="rId1156" /><Relationship Type="http://schemas.openxmlformats.org/officeDocument/2006/relationships/hyperlink" Target="https://www.gakkou.net/kou/view/index_305173.html" TargetMode="External" Id="rId1157" /><Relationship Type="http://schemas.openxmlformats.org/officeDocument/2006/relationships/hyperlink" Target="https://www.gakkou.net/kou/view/index_306500.html" TargetMode="External" Id="rId115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16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架電リスト（34都道府県／1158校）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岡山県</t>
        </is>
      </c>
      <c r="C1082" s="5" t="inlineStr">
        <is>
          <t>岡山市東区</t>
        </is>
      </c>
      <c r="D1082" s="5" t="inlineStr">
        <is>
          <t>岡山学芸館高等学校</t>
        </is>
      </c>
      <c r="E1082" s="6" t="inlineStr">
        <is>
          <t>086-942-3864</t>
        </is>
      </c>
      <c r="F1082" s="7" t="inlineStr">
        <is>
          <t>高</t>
        </is>
      </c>
      <c r="G1082" s="5" t="inlineStr">
        <is>
          <t>普通科・専門学科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inlineStr">
        <is>
          <t>通信制課程も同じ番号</t>
        </is>
      </c>
      <c r="N1082" s="11" t="inlineStr">
        <is>
          <t>https://www.gakugeikan.ed.jp/contact/index.html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岡山県</t>
        </is>
      </c>
      <c r="C1083" s="5" t="inlineStr">
        <is>
          <t>新見市</t>
        </is>
      </c>
      <c r="D1083" s="5" t="inlineStr">
        <is>
          <t>岡山県共生高等学校</t>
        </is>
      </c>
      <c r="E1083" s="6" t="inlineStr">
        <is>
          <t>0867-72-0526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0867-72-8032はFAX</t>
        </is>
      </c>
      <c r="N1083" s="11" t="inlineStr">
        <is>
          <t>https://www.kyousei.ed.jp/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岡山県</t>
        </is>
      </c>
      <c r="C1084" s="5" t="inlineStr">
        <is>
          <t>倉敷市</t>
        </is>
      </c>
      <c r="D1084" s="5" t="inlineStr">
        <is>
          <t>岡山県作陽高等学校</t>
        </is>
      </c>
      <c r="E1084" s="6" t="inlineStr">
        <is>
          <t>086-441-1281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2023年4月に倉敷市玉島へ移転し「作陽学園高等学校」に校名変更。津山の旧番号0868-23-2188は使用不可の可能性</t>
        </is>
      </c>
      <c r="N1084" s="11" t="inlineStr">
        <is>
          <t>https://www.sakuyo-h.ed.jp/access/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岡山県</t>
        </is>
      </c>
      <c r="C1085" s="5" t="inlineStr">
        <is>
          <t>津山市</t>
        </is>
      </c>
      <c r="D1085" s="5" t="inlineStr">
        <is>
          <t>岡山県美作高等学校</t>
        </is>
      </c>
      <c r="E1085" s="6" t="inlineStr">
        <is>
          <t>0868-22-4838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inlineStr">
        <is>
          <t>全日制の番号。通信制課程は0868-23-3116</t>
        </is>
      </c>
      <c r="N1085" s="11" t="inlineStr">
        <is>
          <t>https://mimasaka.jp/gakuen/houjin.html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岡山県</t>
        </is>
      </c>
      <c r="C1086" s="5" t="inlineStr">
        <is>
          <t>岡山市南区</t>
        </is>
      </c>
      <c r="D1086" s="5" t="inlineStr">
        <is>
          <t>岡山高等学校</t>
        </is>
      </c>
      <c r="E1086" s="6" t="inlineStr">
        <is>
          <t>086-282-6336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inlineStr">
        <is>
          <t>中高一貫</t>
        </is>
      </c>
      <c r="N1086" s="11" t="inlineStr">
        <is>
          <t>https://www.okayama-h.ed.jp/access/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岡山県</t>
        </is>
      </c>
      <c r="C1087" s="5" t="inlineStr">
        <is>
          <t>浅口市</t>
        </is>
      </c>
      <c r="D1087" s="5" t="inlineStr">
        <is>
          <t>おかやま山陽高等学校</t>
        </is>
      </c>
      <c r="E1087" s="6" t="inlineStr">
        <is>
          <t>0865-44-3100</t>
        </is>
      </c>
      <c r="F1087" s="7" t="inlineStr">
        <is>
          <t>高</t>
        </is>
      </c>
      <c r="G1087" s="5" t="inlineStr">
        <is>
          <t>普通科・専門学科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教員室直通は0865-44-7149</t>
        </is>
      </c>
      <c r="N1087" s="11" t="inlineStr">
        <is>
          <t>https://www.okayama-sanyo-hs.ed.jp/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岡山県</t>
        </is>
      </c>
      <c r="C1088" s="5" t="inlineStr">
        <is>
          <t>岡山市北区</t>
        </is>
      </c>
      <c r="D1088" s="5" t="inlineStr">
        <is>
          <t>岡山商科大学附属高等学校</t>
        </is>
      </c>
      <c r="E1088" s="6" t="inlineStr">
        <is>
          <t>086-252-3407</t>
        </is>
      </c>
      <c r="F1088" s="7" t="inlineStr">
        <is>
          <t>高</t>
        </is>
      </c>
      <c r="G1088" s="5" t="inlineStr">
        <is>
          <t>専門学科・総合学科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https://www.osu-h.ed.jp/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岡山県</t>
        </is>
      </c>
      <c r="C1089" s="5" t="inlineStr">
        <is>
          <t>赤磐市</t>
        </is>
      </c>
      <c r="D1089" s="5" t="inlineStr">
        <is>
          <t>岡山白陵高等学校</t>
        </is>
      </c>
      <c r="E1089" s="6" t="inlineStr">
        <is>
          <t>086-995-1255</t>
        </is>
      </c>
      <c r="F1089" s="7" t="inlineStr">
        <is>
          <t>高</t>
        </is>
      </c>
      <c r="G1089" s="5" t="inlineStr">
        <is>
          <t>普通科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inlineStr">
        <is>
          <t>中学校併設</t>
        </is>
      </c>
      <c r="N1089" s="11" t="inlineStr">
        <is>
          <t>https://www.okahaku.ed.jp/access_inquiry/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岡山県</t>
        </is>
      </c>
      <c r="C1090" s="5" t="inlineStr">
        <is>
          <t>岡山市北区</t>
        </is>
      </c>
      <c r="D1090" s="5" t="inlineStr">
        <is>
          <t>岡山理科大学附属高等学校</t>
        </is>
      </c>
      <c r="E1090" s="6" t="inlineStr">
        <is>
          <t>086-256-8511</t>
        </is>
      </c>
      <c r="F1090" s="7" t="inlineStr">
        <is>
          <t>高</t>
        </is>
      </c>
      <c r="G1090" s="5" t="inlineStr">
        <is>
          <t>普通科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通信制課程直通は086-256-8562</t>
        </is>
      </c>
      <c r="N1090" s="11" t="inlineStr">
        <is>
          <t>https://okayama.ridaifu.net/contact/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岡山県</t>
        </is>
      </c>
      <c r="C1091" s="5" t="inlineStr">
        <is>
          <t>笠岡市</t>
        </is>
      </c>
      <c r="D1091" s="5" t="inlineStr">
        <is>
          <t>岡山龍谷高等学校</t>
        </is>
      </c>
      <c r="E1091" s="6" t="inlineStr">
        <is>
          <t>0865-63-2525</t>
        </is>
      </c>
      <c r="F1091" s="7" t="inlineStr">
        <is>
          <t>高</t>
        </is>
      </c>
      <c r="G1091" s="5" t="inlineStr">
        <is>
          <t>普通科・専門学科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inlineStr">
        <is>
          <t>職員室は0865-63-2526</t>
        </is>
      </c>
      <c r="N1091" s="11" t="inlineStr">
        <is>
          <t>https://www.ok-ryukoku.ed.jp/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倉敷市</t>
        </is>
      </c>
      <c r="D1092" s="5" t="inlineStr">
        <is>
          <t>川崎医科大学附属高等学校</t>
        </is>
      </c>
      <c r="E1092" s="6" t="inlineStr">
        <is>
          <t>086-462-3666</t>
        </is>
      </c>
      <c r="F1092" s="7" t="inlineStr">
        <is>
          <t>高</t>
        </is>
      </c>
      <c r="G1092" s="5" t="inlineStr">
        <is>
          <t>普通科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n"/>
      <c r="N1092" s="11" t="inlineStr">
        <is>
          <t>https://s.kawasaki-m.ac.jp/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岡山市北区</t>
        </is>
      </c>
      <c r="D1093" s="5" t="inlineStr">
        <is>
          <t>関西高等学校</t>
        </is>
      </c>
      <c r="E1093" s="6" t="inlineStr">
        <is>
          <t>086-252-5121</t>
        </is>
      </c>
      <c r="F1093" s="7" t="inlineStr">
        <is>
          <t>高</t>
        </is>
      </c>
      <c r="G1093" s="5" t="inlineStr">
        <is>
          <t>普通科・専門学科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n"/>
      <c r="N1093" s="11" t="inlineStr">
        <is>
          <t>https://kanzei.ac.jp/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吉備中央町</t>
        </is>
      </c>
      <c r="D1094" s="5" t="inlineStr">
        <is>
          <t>吉備高原学園高等学校</t>
        </is>
      </c>
      <c r="E1094" s="6" t="inlineStr">
        <is>
          <t>0866-56-8211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全寮制</t>
        </is>
      </c>
      <c r="N1094" s="11" t="inlineStr">
        <is>
          <t>https://www.kibikogengakuen.ed.jp/inquiry/form/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倉敷市</t>
        </is>
      </c>
      <c r="D1095" s="5" t="inlineStr">
        <is>
          <t>倉敷高等学校</t>
        </is>
      </c>
      <c r="E1095" s="6" t="inlineStr">
        <is>
          <t>086-462-9000</t>
        </is>
      </c>
      <c r="F1095" s="7" t="inlineStr">
        <is>
          <t>高</t>
        </is>
      </c>
      <c r="G1095" s="5" t="inlineStr">
        <is>
          <t>普通科・専門学科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岡山県私学協会の一覧とも一致</t>
        </is>
      </c>
      <c r="N1095" s="11" t="inlineStr">
        <is>
          <t>https://www.kurashiki.ac.jp/news/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倉敷市</t>
        </is>
      </c>
      <c r="D1096" s="5" t="inlineStr">
        <is>
          <t>倉敷翠松高等学校</t>
        </is>
      </c>
      <c r="E1096" s="6" t="inlineStr">
        <is>
          <t>086-422-3565</t>
        </is>
      </c>
      <c r="F1096" s="7" t="inlineStr">
        <is>
          <t>高</t>
        </is>
      </c>
      <c r="G1096" s="5" t="inlineStr">
        <is>
          <t>普通科・専門学科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教務室086-422-3570、専攻科086-427-0941</t>
        </is>
      </c>
      <c r="N1096" s="11" t="inlineStr">
        <is>
          <t>https://www.suisho.ed.jp/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井原市</t>
        </is>
      </c>
      <c r="D1097" s="5" t="inlineStr">
        <is>
          <t>興譲館高等学校</t>
        </is>
      </c>
      <c r="E1097" s="6" t="inlineStr">
        <is>
          <t>0866-62-0124</t>
        </is>
      </c>
      <c r="F1097" s="7" t="inlineStr">
        <is>
          <t>高</t>
        </is>
      </c>
      <c r="G1097" s="5" t="inlineStr">
        <is>
          <t>普通科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井原市の本校。通信制課程は0120-445033</t>
        </is>
      </c>
      <c r="N1097" s="11" t="inlineStr">
        <is>
          <t>https://kojokan-h.ed.jp/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浅口市</t>
        </is>
      </c>
      <c r="D1098" s="5" t="inlineStr">
        <is>
          <t>金光学園高等学校</t>
        </is>
      </c>
      <c r="E1098" s="6" t="inlineStr">
        <is>
          <t>0865-42-3131</t>
        </is>
      </c>
      <c r="F1098" s="7" t="inlineStr">
        <is>
          <t>高</t>
        </is>
      </c>
      <c r="G1098" s="5" t="inlineStr">
        <is>
          <t>普通科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inlineStr">
        <is>
          <t>中高共通番号</t>
        </is>
      </c>
      <c r="N1098" s="11" t="inlineStr">
        <is>
          <t>https://www.konkougakuen.net/high/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岡山市中区</t>
        </is>
      </c>
      <c r="D1099" s="5" t="inlineStr">
        <is>
          <t>山陽学園高等学校</t>
        </is>
      </c>
      <c r="E1099" s="6" t="inlineStr">
        <is>
          <t>086-272-1181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中高共通番号</t>
        </is>
      </c>
      <c r="N1099" s="11" t="inlineStr">
        <is>
          <t>https://www.sanyogakuen.ed.jp/school/access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就実高等学校</t>
        </is>
      </c>
      <c r="E1100" s="6" t="inlineStr">
        <is>
          <t>086-225-1326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n"/>
      <c r="N1100" s="11" t="inlineStr">
        <is>
          <t>https://www.shujitsu-gakuen.jp/contact/index.html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倉敷市</t>
        </is>
      </c>
      <c r="D1101" s="5" t="inlineStr">
        <is>
          <t>清心女子高等学校（岡山県）</t>
        </is>
      </c>
      <c r="E1101" s="6" t="inlineStr">
        <is>
          <t>086-462-1661</t>
        </is>
      </c>
      <c r="F1101" s="7" t="inlineStr">
        <is>
          <t>高</t>
        </is>
      </c>
      <c r="G1101" s="5" t="inlineStr">
        <is>
          <t>普通科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ノートルダム清心学園（倉敷市）。中学校併設</t>
        </is>
      </c>
      <c r="N1101" s="11" t="inlineStr">
        <is>
          <t>https://www.nd-seishin.ac.jp/school/access/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岡山市北区</t>
        </is>
      </c>
      <c r="D1102" s="5" t="inlineStr">
        <is>
          <t>創志学園高等学校</t>
        </is>
      </c>
      <c r="E1102" s="6" t="inlineStr">
        <is>
          <t>086-252-2101</t>
        </is>
      </c>
      <c r="F1102" s="7" t="inlineStr">
        <is>
          <t>高</t>
        </is>
      </c>
      <c r="G1102" s="5" t="inlineStr">
        <is>
          <t>普通科・専門学科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inlineStr">
        <is>
          <t>入試広報室は0120-151752</t>
        </is>
      </c>
      <c r="N1102" s="11" t="inlineStr">
        <is>
          <t>https://www.soshigakuen.ed.jp/access/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高梁市</t>
        </is>
      </c>
      <c r="D1103" s="5" t="inlineStr">
        <is>
          <t>方谷學舎高等学校</t>
        </is>
      </c>
      <c r="E1103" s="6" t="inlineStr">
        <is>
          <t>0866-22-2205</t>
        </is>
      </c>
      <c r="F1103" s="7" t="inlineStr">
        <is>
          <t>高</t>
        </is>
      </c>
      <c r="G1103" s="5" t="inlineStr">
        <is>
          <t>普通科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inlineStr">
        <is>
          <t>2023年6月に「岡山県高梁日新高等学校」から校名変更。事務室番号（教務室は0866-56-0015）</t>
        </is>
      </c>
      <c r="N1103" s="11" t="inlineStr">
        <is>
          <t>https://www.houkoku-gakusha.ed.jp/introduction/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岡山市北区</t>
        </is>
      </c>
      <c r="D1104" s="5" t="inlineStr">
        <is>
          <t>明誠学院高等学校</t>
        </is>
      </c>
      <c r="E1104" s="6" t="inlineStr">
        <is>
          <t>086-252-5247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n"/>
      <c r="N1104" s="11" t="inlineStr">
        <is>
          <t>https://www.meiseigakuin.ac.jp/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広島県</t>
        </is>
      </c>
      <c r="C1105" s="5" t="inlineStr">
        <is>
          <t>広島市安佐南区</t>
        </is>
      </c>
      <c r="D1105" s="5" t="inlineStr">
        <is>
          <t>AICJ高等学校</t>
        </is>
      </c>
      <c r="E1105" s="6" t="inlineStr">
        <is>
          <t>082-832-5037</t>
        </is>
      </c>
      <c r="F1105" s="7" t="inlineStr">
        <is>
          <t>高</t>
        </is>
      </c>
      <c r="G1105" s="5" t="inlineStr">
        <is>
          <t>普通科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一部サイトに旧番号らしい082-874-3081の記載あり</t>
        </is>
      </c>
      <c r="N1105" s="11" t="inlineStr">
        <is>
          <t>https://aicj.ed.jp/access.html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広島県</t>
        </is>
      </c>
      <c r="C1106" s="5" t="inlineStr">
        <is>
          <t>福山市</t>
        </is>
      </c>
      <c r="D1106" s="5" t="inlineStr">
        <is>
          <t>盈進高等学校</t>
        </is>
      </c>
      <c r="E1106" s="6" t="inlineStr">
        <is>
          <t>084-955-2333</t>
        </is>
      </c>
      <c r="F1106" s="7" t="inlineStr">
        <is>
          <t>高</t>
        </is>
      </c>
      <c r="G1106" s="5" t="inlineStr">
        <is>
          <t>普通科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中高共通の代表番号</t>
        </is>
      </c>
      <c r="N1106" s="11" t="inlineStr">
        <is>
          <t>https://www.eishin.ed.jp/access/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広島県</t>
        </is>
      </c>
      <c r="C1107" s="5" t="inlineStr">
        <is>
          <t>福山市</t>
        </is>
      </c>
      <c r="D1107" s="5" t="inlineStr">
        <is>
          <t>英数学館高等学校</t>
        </is>
      </c>
      <c r="E1107" s="6" t="inlineStr">
        <is>
          <t>084-941-4115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一部サイトに084-941-4117の記載あり（旧番号か）</t>
        </is>
      </c>
      <c r="N1107" s="11" t="inlineStr">
        <is>
          <t>https://goto.eisu-ejs.ac.jp/access/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広島県</t>
        </is>
      </c>
      <c r="C1108" s="5" t="inlineStr">
        <is>
          <t>尾道市</t>
        </is>
      </c>
      <c r="D1108" s="5" t="inlineStr">
        <is>
          <t>尾道高等学校</t>
        </is>
      </c>
      <c r="E1108" s="6" t="inlineStr">
        <is>
          <t>0848-20-6612</t>
        </is>
      </c>
      <c r="F1108" s="7" t="inlineStr">
        <is>
          <t>高</t>
        </is>
      </c>
      <c r="G1108" s="5" t="inlineStr">
        <is>
          <t>普通科・専門学科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2009年に向島町へ移転。旧番号0848-23-2311が残るサイトあり</t>
        </is>
      </c>
      <c r="N1108" s="11" t="inlineStr">
        <is>
          <t>https://onomichi.ac.jp/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広島県</t>
        </is>
      </c>
      <c r="C1109" s="5" t="inlineStr">
        <is>
          <t>東広島市</t>
        </is>
      </c>
      <c r="D1109" s="5" t="inlineStr">
        <is>
          <t>近畿大学附属広島高等学校東広島校</t>
        </is>
      </c>
      <c r="E1109" s="6" t="inlineStr">
        <is>
          <t>082-434-7111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n"/>
      <c r="N1109" s="11" t="inlineStr">
        <is>
          <t>https://hh.kindai.ac.jp/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広島県</t>
        </is>
      </c>
      <c r="C1110" s="5" t="inlineStr">
        <is>
          <t>福山市</t>
        </is>
      </c>
      <c r="D1110" s="5" t="inlineStr">
        <is>
          <t>近畿大学附属広島高等学校福山校</t>
        </is>
      </c>
      <c r="E1110" s="6" t="inlineStr">
        <is>
          <t>084-951-2695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inlineStr">
        <is>
          <t>旧称は近畿大学附属福山高等学校</t>
        </is>
      </c>
      <c r="N1110" s="11" t="inlineStr">
        <is>
          <t>https://www.fukuyama.kindai.ac.jp/gakko/gakko-shokai.html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広島県</t>
        </is>
      </c>
      <c r="C1111" s="5" t="inlineStr">
        <is>
          <t>福山市</t>
        </is>
      </c>
      <c r="D1111" s="5" t="inlineStr">
        <is>
          <t>銀河学院高等学校</t>
        </is>
      </c>
      <c r="E1111" s="6" t="inlineStr">
        <is>
          <t>084-941-9292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公式（法人事務室）に記載、複数サイトも一致</t>
        </is>
      </c>
      <c r="N1111" s="11" t="inlineStr">
        <is>
          <t>https://www.ginga.ac.jp/donationginga/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広島県</t>
        </is>
      </c>
      <c r="C1112" s="5" t="inlineStr">
        <is>
          <t>呉市</t>
        </is>
      </c>
      <c r="D1112" s="5" t="inlineStr">
        <is>
          <t>呉青山高等学校</t>
        </is>
      </c>
      <c r="E1112" s="6" t="inlineStr">
        <is>
          <t>0823-32-1721</t>
        </is>
      </c>
      <c r="F1112" s="7" t="inlineStr">
        <is>
          <t>高</t>
        </is>
      </c>
      <c r="G1112" s="5" t="inlineStr">
        <is>
          <t>普通科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2027年4月に「星の杜広島中学校・高等学校」へ校名変更予定</t>
        </is>
      </c>
      <c r="N1112" s="11" t="inlineStr">
        <is>
          <t>https://www.kureaoyama.ed.jp/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広島県</t>
        </is>
      </c>
      <c r="C1113" s="5" t="inlineStr">
        <is>
          <t>広島市安佐南区</t>
        </is>
      </c>
      <c r="D1113" s="5" t="inlineStr">
        <is>
          <t>広陵高等学校</t>
        </is>
      </c>
      <c r="E1113" s="6" t="inlineStr">
        <is>
          <t>082-848-1321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n"/>
      <c r="N1113" s="11" t="inlineStr">
        <is>
          <t>https://www.koryo.ac.jp/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広島県</t>
        </is>
      </c>
      <c r="C1114" s="5" t="inlineStr">
        <is>
          <t>呉市</t>
        </is>
      </c>
      <c r="D1114" s="5" t="inlineStr">
        <is>
          <t>呉港高等学校</t>
        </is>
      </c>
      <c r="E1114" s="6" t="inlineStr">
        <is>
          <t>0823-71-9163</t>
        </is>
      </c>
      <c r="F1114" s="7" t="inlineStr">
        <is>
          <t>高</t>
        </is>
      </c>
      <c r="G1114" s="5" t="inlineStr">
        <is>
          <t>普通科・専門学科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https://www.goko.ac.jp/?page_id=96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広島市西区</t>
        </is>
      </c>
      <c r="D1115" s="5" t="inlineStr">
        <is>
          <t>山陽高等学校</t>
        </is>
      </c>
      <c r="E1115" s="6" t="inlineStr">
        <is>
          <t>082-232-9156</t>
        </is>
      </c>
      <c r="F1115" s="7" t="inlineStr">
        <is>
          <t>高</t>
        </is>
      </c>
      <c r="G1115" s="5" t="inlineStr">
        <is>
          <t>普通科・専門学科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正式名は広島山陽学園山陽高等学校</t>
        </is>
      </c>
      <c r="N1115" s="11" t="inlineStr">
        <is>
          <t>https://www.sanyo.ed.jp/gakkou/access/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廿日市市</t>
        </is>
      </c>
      <c r="D1116" s="5" t="inlineStr">
        <is>
          <t>山陽女学園高等部</t>
        </is>
      </c>
      <c r="E1116" s="6" t="inlineStr">
        <is>
          <t>0829-32-2222</t>
        </is>
      </c>
      <c r="F1116" s="7" t="inlineStr">
        <is>
          <t>高</t>
        </is>
      </c>
      <c r="G1116" s="5" t="inlineStr">
        <is>
          <t>普通科・専門学科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通信制リアライズコースは0829-32-3330</t>
        </is>
      </c>
      <c r="N1116" s="11" t="inlineStr">
        <is>
          <t>https://sanyo-jogakuen.ed.jp/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呉市</t>
        </is>
      </c>
      <c r="D1117" s="5" t="inlineStr">
        <is>
          <t>清水ヶ丘高等学校</t>
        </is>
      </c>
      <c r="E1117" s="6" t="inlineStr">
        <is>
          <t>0823-23-1520</t>
        </is>
      </c>
      <c r="F1117" s="7" t="inlineStr">
        <is>
          <t>高</t>
        </is>
      </c>
      <c r="G1117" s="5" t="inlineStr">
        <is>
          <t>普通科・専門学科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法人事務局は0823-22-0012</t>
        </is>
      </c>
      <c r="N1117" s="11" t="inlineStr">
        <is>
          <t>https://www.shimizugaoka.ed.jp/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広島市中区</t>
        </is>
      </c>
      <c r="D1118" s="5" t="inlineStr">
        <is>
          <t>修道高等学校</t>
        </is>
      </c>
      <c r="E1118" s="6" t="inlineStr">
        <is>
          <t>082-241-8291</t>
        </is>
      </c>
      <c r="F1118" s="7" t="inlineStr">
        <is>
          <t>高</t>
        </is>
      </c>
      <c r="G1118" s="5" t="inlineStr">
        <is>
          <t>普通科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中高共通の代表番号</t>
        </is>
      </c>
      <c r="N1118" s="11" t="inlineStr">
        <is>
          <t>https://www.shudo-h.ed.jp/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広島市南区</t>
        </is>
      </c>
      <c r="D1119" s="5" t="inlineStr">
        <is>
          <t>進徳女子高等学校</t>
        </is>
      </c>
      <c r="E1119" s="6" t="inlineStr">
        <is>
          <t>082-251-6431</t>
        </is>
      </c>
      <c r="F1119" s="7" t="inlineStr">
        <is>
          <t>高</t>
        </is>
      </c>
      <c r="G1119" s="5" t="inlineStr">
        <is>
          <t>普通科・専門学科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https://www.shintoku.ed.jp/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三原市</t>
        </is>
      </c>
      <c r="D1120" s="5" t="inlineStr">
        <is>
          <t>如水館高等学校</t>
        </is>
      </c>
      <c r="E1120" s="6" t="inlineStr">
        <is>
          <t>0848-63-2423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n"/>
      <c r="N1120" s="11" t="inlineStr">
        <is>
          <t>https://www.josuikan.ed.jp/about/gaiyou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広島市西区</t>
        </is>
      </c>
      <c r="D1121" s="5" t="inlineStr">
        <is>
          <t>崇徳高等学校</t>
        </is>
      </c>
      <c r="E1121" s="6" t="inlineStr">
        <is>
          <t>082-237-9331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n"/>
      <c r="N1121" s="11" t="inlineStr">
        <is>
          <t>https://www.sotoku.ed.jp/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東広島市</t>
        </is>
      </c>
      <c r="D1122" s="5" t="inlineStr">
        <is>
          <t>武田高等学校</t>
        </is>
      </c>
      <c r="E1122" s="6" t="inlineStr">
        <is>
          <t>0823-82-2331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n"/>
      <c r="N1122" s="11" t="inlineStr">
        <is>
          <t>https://takeda.ed.jp/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福山市</t>
        </is>
      </c>
      <c r="D1123" s="5" t="inlineStr">
        <is>
          <t>東林館高等学校</t>
        </is>
      </c>
      <c r="E1123" s="6" t="inlineStr">
        <is>
          <t>084-923-4543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inlineStr">
        <is>
          <t>通信制。2010年に本校を神石高原町から福山市へ移転。旧番号0847-85-2041が残るサイトあり</t>
        </is>
      </c>
      <c r="N1123" s="11" t="inlineStr">
        <is>
          <t>https://www.tohrinkan.com/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広島市中区</t>
        </is>
      </c>
      <c r="D1124" s="5" t="inlineStr">
        <is>
          <t>並木学院高等学校</t>
        </is>
      </c>
      <c r="E1124" s="6" t="inlineStr">
        <is>
          <t>082-241-9066</t>
        </is>
      </c>
      <c r="F1124" s="7" t="inlineStr">
        <is>
          <t>高</t>
        </is>
      </c>
      <c r="G1124" s="5" t="inlineStr">
        <is>
          <t>普通科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inlineStr">
        <is>
          <t>FAXは082-241-5211</t>
        </is>
      </c>
      <c r="N1124" s="11" t="inlineStr">
        <is>
          <t>https://namikigakuin.ac.jp/school-info/group/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ノートルダム清心高等学校</t>
        </is>
      </c>
      <c r="E1125" s="6" t="inlineStr">
        <is>
          <t>082-271-1724</t>
        </is>
      </c>
      <c r="F1125" s="7" t="inlineStr">
        <is>
          <t>高</t>
        </is>
      </c>
      <c r="G1125" s="5" t="inlineStr">
        <is>
          <t>普通科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中高共通番号</t>
        </is>
      </c>
      <c r="N1125" s="11" t="inlineStr">
        <is>
          <t>https://www.hiro-seishin.ed.jp/contact/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広島市南区</t>
        </is>
      </c>
      <c r="D1126" s="5" t="inlineStr">
        <is>
          <t>比治山学園高等学校</t>
        </is>
      </c>
      <c r="E1126" s="6" t="inlineStr">
        <is>
          <t>082-251-4478</t>
        </is>
      </c>
      <c r="F1126" s="7" t="inlineStr">
        <is>
          <t>高</t>
        </is>
      </c>
      <c r="G1126" s="5" t="inlineStr">
        <is>
          <t>普通科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旧・比治山女子。2026年4月に共学化・校名変更。新サイト https://www.hijiyama-h.ed.jp/</t>
        </is>
      </c>
      <c r="N1126" s="11" t="inlineStr">
        <is>
          <t>https://www.hijiyamajoshi-h.ed.jp/education/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広島市西区</t>
        </is>
      </c>
      <c r="D1127" s="5" t="inlineStr">
        <is>
          <t>広島学院高等学校</t>
        </is>
      </c>
      <c r="E1127" s="6" t="inlineStr">
        <is>
          <t>082-271-0241</t>
        </is>
      </c>
      <c r="F1127" s="7" t="inlineStr">
        <is>
          <t>高</t>
        </is>
      </c>
      <c r="G1127" s="5" t="inlineStr">
        <is>
          <t>普通科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中高共通番号</t>
        </is>
      </c>
      <c r="N1127" s="11" t="inlineStr">
        <is>
          <t>https://www.hiroshimagakuin.ed.jp/contact/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広島市西区</t>
        </is>
      </c>
      <c r="D1128" s="5" t="inlineStr">
        <is>
          <t>広島工業大学高等学校</t>
        </is>
      </c>
      <c r="E1128" s="6" t="inlineStr">
        <is>
          <t>082-277-9205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全日制（西区）。通信制（安佐南区）は082-849-6755</t>
        </is>
      </c>
      <c r="N1128" s="11" t="inlineStr">
        <is>
          <t>https://www.kodaikoko.ed.jp/zennichi/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海田町</t>
        </is>
      </c>
      <c r="D1129" s="5" t="inlineStr">
        <is>
          <t>広島国際学院高等学校</t>
        </is>
      </c>
      <c r="E1129" s="6" t="inlineStr">
        <is>
          <t>082-823-3401</t>
        </is>
      </c>
      <c r="F1129" s="7" t="inlineStr">
        <is>
          <t>高</t>
        </is>
      </c>
      <c r="G1129" s="5" t="inlineStr">
        <is>
          <t>普通科・総合学科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inlineStr">
        <is>
          <t>全日制（海田町）。通信制の中野キャンパスは082-820-2515</t>
        </is>
      </c>
      <c r="N1129" s="11" t="inlineStr">
        <is>
          <t>https://www.hi.hkg.ac.jp/access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広島市東区</t>
        </is>
      </c>
      <c r="D1130" s="5" t="inlineStr">
        <is>
          <t>広島桜が丘高等学校</t>
        </is>
      </c>
      <c r="E1130" s="6" t="inlineStr">
        <is>
          <t>082-262-0128</t>
        </is>
      </c>
      <c r="F1130" s="13" t="inlineStr">
        <is>
          <t>中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inlineStr">
        <is>
          <t>公式未確認、複数サイトで一致</t>
        </is>
      </c>
      <c r="N1130" s="11" t="inlineStr">
        <is>
          <t>https://www.mapion.co.jp/phonebook/M11004/34102/ILSP0000041015_ipclm/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三原市</t>
        </is>
      </c>
      <c r="D1131" s="5" t="inlineStr">
        <is>
          <t>広島三育学院高等学校</t>
        </is>
      </c>
      <c r="E1131" s="6" t="inlineStr">
        <is>
          <t>0847-33-0311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https://www.saniku.ac.jp/hiroshima/about/profile.php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広島市西区</t>
        </is>
      </c>
      <c r="D1132" s="5" t="inlineStr">
        <is>
          <t>広島修道大学ひろしま協創高等学校</t>
        </is>
      </c>
      <c r="E1132" s="6" t="inlineStr">
        <is>
          <t>082-278-1101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https://www.shudo-u.ac.jp/fuzoku/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坂町</t>
        </is>
      </c>
      <c r="D1133" s="5" t="inlineStr">
        <is>
          <t>広島翔洋高等学校</t>
        </is>
      </c>
      <c r="E1133" s="6" t="inlineStr">
        <is>
          <t>082-884-1616</t>
        </is>
      </c>
      <c r="F1133" s="7" t="inlineStr">
        <is>
          <t>高</t>
        </is>
      </c>
      <c r="G1133" s="5" t="inlineStr">
        <is>
          <t>普通科・専門学科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n"/>
      <c r="N1133" s="11" t="inlineStr">
        <is>
          <t>https://www.h-shoyo.ed.jp/overview/details.php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北広島町</t>
        </is>
      </c>
      <c r="D1134" s="5" t="inlineStr">
        <is>
          <t>広島新庄高等学校</t>
        </is>
      </c>
      <c r="E1134" s="6" t="inlineStr">
        <is>
          <t>0826-82-2323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n"/>
      <c r="N1134" s="11" t="inlineStr">
        <is>
          <t>https://www.shinjou.jp/toiawase/toiawase.html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広島市東区</t>
        </is>
      </c>
      <c r="D1135" s="5" t="inlineStr">
        <is>
          <t>広島城北高等学校</t>
        </is>
      </c>
      <c r="E1135" s="6" t="inlineStr">
        <is>
          <t>082-229-0111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n"/>
      <c r="N1135" s="11" t="inlineStr">
        <is>
          <t>https://hiroshimajohoku.ed.jp/school/about/access/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広島市中区</t>
        </is>
      </c>
      <c r="D1136" s="5" t="inlineStr">
        <is>
          <t>広島女学院高等学校</t>
        </is>
      </c>
      <c r="E1136" s="6" t="inlineStr">
        <is>
          <t>082-228-4131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n"/>
      <c r="N1136" s="11" t="inlineStr">
        <is>
          <t>https://www.hjs.ed.jp/contact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広島市東区</t>
        </is>
      </c>
      <c r="D1137" s="5" t="inlineStr">
        <is>
          <t>広島県瀬戸内高等学校</t>
        </is>
      </c>
      <c r="E1137" s="6" t="inlineStr">
        <is>
          <t>082-261-1296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公式では入試広報部の番号として掲載。082-261-1298とするサイトもあり</t>
        </is>
      </c>
      <c r="N1137" s="11" t="inlineStr">
        <is>
          <t>https://www.setouchi-h.ed.jp/extrance1.html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広島市佐伯区</t>
        </is>
      </c>
      <c r="D1138" s="5" t="inlineStr">
        <is>
          <t>広島なぎさ高等学校</t>
        </is>
      </c>
      <c r="E1138" s="6" t="inlineStr">
        <is>
          <t>082-921-2137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n"/>
      <c r="N1138" s="11" t="inlineStr">
        <is>
          <t>https://www.nagisa.ed.jp/high/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広島市安佐北区</t>
        </is>
      </c>
      <c r="D1139" s="5" t="inlineStr">
        <is>
          <t>広島文教大学附属高等学校</t>
        </is>
      </c>
      <c r="E1139" s="6" t="inlineStr">
        <is>
          <t>082-814-3192</t>
        </is>
      </c>
      <c r="F1139" s="7" t="inlineStr">
        <is>
          <t>高</t>
        </is>
      </c>
      <c r="G1139" s="5" t="inlineStr">
        <is>
          <t>普通科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n"/>
      <c r="N1139" s="11" t="inlineStr">
        <is>
          <t>https://www.h-bunkyo.ac.jp/highschool/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福山市</t>
        </is>
      </c>
      <c r="D1140" s="5" t="inlineStr">
        <is>
          <t>福山暁の星女子高等学校</t>
        </is>
      </c>
      <c r="E1140" s="6" t="inlineStr">
        <is>
          <t>084-922-1682</t>
        </is>
      </c>
      <c r="F1140" s="7" t="inlineStr">
        <is>
          <t>高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n"/>
      <c r="N1140" s="11" t="inlineStr">
        <is>
          <t>https://www.akenohoshi-cyukou.ed.jp/about/access/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広島市中区</t>
        </is>
      </c>
      <c r="D1141" s="5" t="inlineStr">
        <is>
          <t>安田女子高等学校</t>
        </is>
      </c>
      <c r="E1141" s="6" t="inlineStr">
        <is>
          <t>082-221-3304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inlineStr">
        <is>
          <t>高校部の番号。中学部は082-221-3362</t>
        </is>
      </c>
      <c r="N1141" s="11" t="inlineStr">
        <is>
          <t>https://www.yasuda-u.ac.jp/jh/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山口県</t>
        </is>
      </c>
      <c r="C1142" s="5" t="inlineStr">
        <is>
          <t>宇部市</t>
        </is>
      </c>
      <c r="D1142" s="5" t="inlineStr">
        <is>
          <t>宇部鴻城高等学校</t>
        </is>
      </c>
      <c r="E1142" s="6" t="inlineStr">
        <is>
          <t>0836-41-8109</t>
        </is>
      </c>
      <c r="F1142" s="7" t="inlineStr">
        <is>
          <t>高</t>
        </is>
      </c>
      <c r="G1142" s="5" t="inlineStr">
        <is>
          <t>普通科・専門学科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https://www.ubekojo-h.ed.jp/contact/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山口県</t>
        </is>
      </c>
      <c r="C1143" s="5" t="inlineStr">
        <is>
          <t>宇部市</t>
        </is>
      </c>
      <c r="D1143" s="5" t="inlineStr">
        <is>
          <t>宇部フロンティア大学付属香川高等学校</t>
        </is>
      </c>
      <c r="E1143" s="6" t="inlineStr">
        <is>
          <t>0836-35-9574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inlineStr">
        <is>
          <t>普通科職員室0836-35-9578、専門部職員室0836-35-9583</t>
        </is>
      </c>
      <c r="N1143" s="11" t="inlineStr">
        <is>
          <t>https://www.kagawa-h.ed.jp/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山口県</t>
        </is>
      </c>
      <c r="C1144" s="5" t="inlineStr">
        <is>
          <t>宇部市</t>
        </is>
      </c>
      <c r="D1144" s="5" t="inlineStr">
        <is>
          <t>慶進高等学校</t>
        </is>
      </c>
      <c r="E1144" s="6" t="inlineStr">
        <is>
          <t>0836-34-1111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https://www.keishin-ug.ed.jp/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山口県</t>
        </is>
      </c>
      <c r="C1145" s="5" t="inlineStr">
        <is>
          <t>山陽小野田市</t>
        </is>
      </c>
      <c r="D1145" s="5" t="inlineStr">
        <is>
          <t>ザビエル高等学校</t>
        </is>
      </c>
      <c r="E1145" s="6" t="inlineStr">
        <is>
          <t>0836-83-3587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inlineStr">
        <is>
          <t>正式表記は「サビエル高等学校」</t>
        </is>
      </c>
      <c r="N1145" s="11" t="inlineStr">
        <is>
          <t>https://xavier.ed.jp/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山口県</t>
        </is>
      </c>
      <c r="C1146" s="5" t="inlineStr">
        <is>
          <t>下関市</t>
        </is>
      </c>
      <c r="D1146" s="5" t="inlineStr">
        <is>
          <t>下関国際高等学校</t>
        </is>
      </c>
      <c r="E1146" s="6" t="inlineStr">
        <is>
          <t>083-256-2321</t>
        </is>
      </c>
      <c r="F1146" s="7" t="inlineStr">
        <is>
          <t>高</t>
        </is>
      </c>
      <c r="G1146" s="5" t="inlineStr">
        <is>
          <t>普通科・専門学科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https://www.shiboyama.ac.jp/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山口県</t>
        </is>
      </c>
      <c r="C1147" s="5" t="inlineStr">
        <is>
          <t>下関市</t>
        </is>
      </c>
      <c r="D1147" s="5" t="inlineStr">
        <is>
          <t>下関短期大学付属高等学校</t>
        </is>
      </c>
      <c r="E1147" s="6" t="inlineStr">
        <is>
          <t>083-232-3785</t>
        </is>
      </c>
      <c r="F1147" s="7" t="inlineStr">
        <is>
          <t>高</t>
        </is>
      </c>
      <c r="G1147" s="5" t="inlineStr">
        <is>
          <t>普通科・専門学科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短大の番号（083-223-0339）とは別</t>
        </is>
      </c>
      <c r="N1147" s="11" t="inlineStr">
        <is>
          <t>https://www.shimotan-hs.jp/pages/13/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山口県</t>
        </is>
      </c>
      <c r="C1148" s="5" t="inlineStr">
        <is>
          <t>防府市</t>
        </is>
      </c>
      <c r="D1148" s="5" t="inlineStr">
        <is>
          <t>誠英高等学校</t>
        </is>
      </c>
      <c r="E1148" s="6" t="inlineStr">
        <is>
          <t>0835-38-5252</t>
        </is>
      </c>
      <c r="F1148" s="7" t="inlineStr">
        <is>
          <t>高</t>
        </is>
      </c>
      <c r="G1148" s="5" t="inlineStr">
        <is>
          <t>普通科・専門学科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inlineStr">
        <is>
          <t>通信制課程は0835-38-6161（第三者サイト）</t>
        </is>
      </c>
      <c r="N1148" s="11" t="inlineStr">
        <is>
          <t>https://seiei.ac.jp/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山口県</t>
        </is>
      </c>
      <c r="C1149" s="5" t="inlineStr">
        <is>
          <t>山口市</t>
        </is>
      </c>
      <c r="D1149" s="5" t="inlineStr">
        <is>
          <t>精華学園高等学校</t>
        </is>
      </c>
      <c r="E1149" s="6" t="inlineStr">
        <is>
          <t>083-976-8833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inlineStr">
        <is>
          <t>広域通信制・山口本校</t>
        </is>
      </c>
      <c r="N1149" s="11" t="inlineStr">
        <is>
          <t>https://www.seikagakuen.ac.jp/archives/691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山口県</t>
        </is>
      </c>
      <c r="C1150" s="5" t="inlineStr">
        <is>
          <t>光市</t>
        </is>
      </c>
      <c r="D1150" s="5" t="inlineStr">
        <is>
          <t>聖光高等学校</t>
        </is>
      </c>
      <c r="E1150" s="6" t="inlineStr">
        <is>
          <t>0833-72-1187</t>
        </is>
      </c>
      <c r="F1150" s="7" t="inlineStr">
        <is>
          <t>高</t>
        </is>
      </c>
      <c r="G1150" s="5" t="inlineStr">
        <is>
          <t>普通科・専門学科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inlineStr">
        <is>
          <t>通信制は0833-72-7070（第三者サイト）</t>
        </is>
      </c>
      <c r="N1150" s="11" t="inlineStr">
        <is>
          <t>https://www.seiko-h.ed.jp/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山口県</t>
        </is>
      </c>
      <c r="C1151" s="5" t="inlineStr">
        <is>
          <t>美祢市</t>
        </is>
      </c>
      <c r="D1151" s="5" t="inlineStr">
        <is>
          <t>成進高等学校</t>
        </is>
      </c>
      <c r="E1151" s="6" t="inlineStr">
        <is>
          <t>0837-52-1350</t>
        </is>
      </c>
      <c r="F1151" s="7" t="inlineStr">
        <is>
          <t>高</t>
        </is>
      </c>
      <c r="G1151" s="5" t="inlineStr">
        <is>
          <t>普通科・専門学科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n"/>
      <c r="N1151" s="11" t="inlineStr">
        <is>
          <t>https://www.mine-c.ed.jp/profile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防府市</t>
        </is>
      </c>
      <c r="D1152" s="5" t="inlineStr">
        <is>
          <t>高川学園高等学校</t>
        </is>
      </c>
      <c r="E1152" s="6" t="inlineStr">
        <is>
          <t>0835-33-0101</t>
        </is>
      </c>
      <c r="F1152" s="7" t="inlineStr">
        <is>
          <t>高</t>
        </is>
      </c>
      <c r="G1152" s="5" t="inlineStr">
        <is>
          <t>普通科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https://takagawagakuen.com/high/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岩国市</t>
        </is>
      </c>
      <c r="D1153" s="5" t="inlineStr">
        <is>
          <t>高水高等学校</t>
        </is>
      </c>
      <c r="E1153" s="6" t="inlineStr">
        <is>
          <t>0827-31-7191</t>
        </is>
      </c>
      <c r="F1153" s="7" t="inlineStr">
        <is>
          <t>高</t>
        </is>
      </c>
      <c r="G1153" s="5" t="inlineStr">
        <is>
          <t>普通科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中高共通番号</t>
        </is>
      </c>
      <c r="N1153" s="11" t="inlineStr">
        <is>
          <t>https://www.takamizu.ed.jp/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山口市</t>
        </is>
      </c>
      <c r="D1154" s="5" t="inlineStr">
        <is>
          <t>中村女子高等学校</t>
        </is>
      </c>
      <c r="E1154" s="6" t="inlineStr">
        <is>
          <t>083-922-0418</t>
        </is>
      </c>
      <c r="F1154" s="7" t="inlineStr">
        <is>
          <t>高</t>
        </is>
      </c>
      <c r="G1154" s="5" t="inlineStr">
        <is>
          <t>普通科・専門学科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inlineStr">
        <is>
          <t>現校名は山口中村学園高等学校（2025年度から共学化）。専攻科は083-928-1331</t>
        </is>
      </c>
      <c r="N1154" s="11" t="inlineStr">
        <is>
          <t>https://www.y-nakamura.jp/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長門市</t>
        </is>
      </c>
      <c r="D1155" s="5" t="inlineStr">
        <is>
          <t>長門高等学校</t>
        </is>
      </c>
      <c r="E1155" s="6" t="inlineStr">
        <is>
          <t>0837-22-2944</t>
        </is>
      </c>
      <c r="F1155" s="7" t="inlineStr">
        <is>
          <t>高</t>
        </is>
      </c>
      <c r="G1155" s="5" t="inlineStr">
        <is>
          <t>普通科・専門学科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n"/>
      <c r="N1155" s="11" t="inlineStr">
        <is>
          <t>https://nagato.ac.jp/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山口市</t>
        </is>
      </c>
      <c r="D1156" s="5" t="inlineStr">
        <is>
          <t>野田学園高等学校</t>
        </is>
      </c>
      <c r="E1156" s="6" t="inlineStr">
        <is>
          <t>083-922-5000</t>
        </is>
      </c>
      <c r="F1156" s="7" t="inlineStr">
        <is>
          <t>高</t>
        </is>
      </c>
      <c r="G1156" s="5" t="inlineStr">
        <is>
          <t>普通科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https://www.nodagakuen.ed.jp/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萩市</t>
        </is>
      </c>
      <c r="D1157" s="5" t="inlineStr">
        <is>
          <t>萩光塩学院高等学校</t>
        </is>
      </c>
      <c r="E1157" s="6" t="inlineStr">
        <is>
          <t>0838-22-0782</t>
        </is>
      </c>
      <c r="F1157" s="7" t="inlineStr">
        <is>
          <t>高</t>
        </is>
      </c>
      <c r="G1157" s="5" t="inlineStr">
        <is>
          <t>普通科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小中高共通の代表番号（法人サイトでも一致）</t>
        </is>
      </c>
      <c r="N1157" s="11" t="inlineStr">
        <is>
          <t>https://www.yamaguchi-shigaku.or.jp/tyukou/pdf/2025/20_hagikouen2025.pdf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下関市</t>
        </is>
      </c>
      <c r="D1158" s="5" t="inlineStr">
        <is>
          <t>早鞆高等学校</t>
        </is>
      </c>
      <c r="E1158" s="6" t="inlineStr">
        <is>
          <t>083-231-0080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n"/>
      <c r="N1158" s="11" t="inlineStr">
        <is>
          <t>https://www.hayatomo.ac.jp/course/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下関市</t>
        </is>
      </c>
      <c r="D1159" s="5" t="inlineStr">
        <is>
          <t>梅光学院高等学校</t>
        </is>
      </c>
      <c r="E1159" s="6" t="inlineStr">
        <is>
          <t>083-227-1200</t>
        </is>
      </c>
      <c r="F1159" s="7" t="inlineStr">
        <is>
          <t>高</t>
        </is>
      </c>
      <c r="G1159" s="5" t="inlineStr">
        <is>
          <t>普通科・専門学科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法人本部は083-227-1000</t>
        </is>
      </c>
      <c r="N1159" s="11" t="inlineStr">
        <is>
          <t>https://www.baiko.ac.jp/highschool/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柳井市</t>
        </is>
      </c>
      <c r="D1160" s="5" t="inlineStr">
        <is>
          <t>柳井学園高等学校</t>
        </is>
      </c>
      <c r="E1160" s="6" t="inlineStr">
        <is>
          <t>0820-22-0214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n"/>
      <c r="N1160" s="11" t="inlineStr">
        <is>
          <t>https://yanai-g.ed.jp/contact/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山口市</t>
        </is>
      </c>
      <c r="D1161" s="5" t="inlineStr">
        <is>
          <t>山口県鴻城高等学校</t>
        </is>
      </c>
      <c r="E1161" s="6" t="inlineStr">
        <is>
          <t>083-972-0307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inlineStr">
        <is>
          <t>衛生看護専攻科（宇部市）は別番号</t>
        </is>
      </c>
      <c r="N1161" s="11" t="inlineStr">
        <is>
          <t>https://www.y-kojohs.jp/access/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周南市</t>
        </is>
      </c>
      <c r="D1162" s="5" t="inlineStr">
        <is>
          <t>山口県桜ケ丘高等学校</t>
        </is>
      </c>
      <c r="E1162" s="6" t="inlineStr">
        <is>
          <t>0834-21-0331</t>
        </is>
      </c>
      <c r="F1162" s="7" t="inlineStr">
        <is>
          <t>高</t>
        </is>
      </c>
      <c r="G1162" s="5" t="inlineStr">
        <is>
          <t>普通科・専門学科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inlineStr">
        <is>
          <t>晃英館コースは0834-33-3131</t>
        </is>
      </c>
      <c r="N1162" s="11" t="inlineStr">
        <is>
          <t>https://www.y-sakuragaoka.ed.jp/contact.html</t>
        </is>
      </c>
      <c r="O1162" s="12" t="inlineStr">
        <is>
          <t>開く</t>
        </is>
      </c>
    </row>
  </sheetData>
  <autoFilter ref="A4:O1162"/>
  <conditionalFormatting sqref="A5:O1162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162" showDropDown="0" showInputMessage="0" showErrorMessage="0" allowBlank="1" type="list">
      <formula1>"未架電,不在・折返し待ち,担当者不在,資料送付,アポ獲得,検討中,NG,番号不明"</formula1>
    </dataValidation>
    <dataValidation sqref="H5:H1162 K5:K1162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COUNTIF('架電リスト'!$B$5:$B$1162,A4)</f>
        <v/>
      </c>
      <c r="C4" s="16">
        <f>COUNTIFS('架電リスト'!$B$5:$B$1162,A4,'架電リスト'!$E$5:$E$1162,"&lt;&gt;")</f>
        <v/>
      </c>
      <c r="D4" s="16">
        <f>B4-COUNTIFS('架電リスト'!$B$5:$B$1162,A4,'架電リスト'!$J$5:$J$1162,"未架電")-COUNTIFS('架電リスト'!$B$5:$B$1162,A4,'架電リスト'!$J$5:$J$1162,"")</f>
        <v/>
      </c>
      <c r="E4" s="16">
        <f>COUNTIFS('架電リスト'!$B$5:$B$1162,$A4,'架電リスト'!$J$5:$J$1162,"不在・折返し待ち")</f>
        <v/>
      </c>
      <c r="F4" s="16">
        <f>COUNTIFS('架電リスト'!$B$5:$B$1162,$A4,'架電リスト'!$J$5:$J$1162,"担当者不在")</f>
        <v/>
      </c>
      <c r="G4" s="16">
        <f>COUNTIFS('架電リスト'!$B$5:$B$1162,$A4,'架電リスト'!$J$5:$J$1162,"資料送付")</f>
        <v/>
      </c>
      <c r="H4" s="16">
        <f>COUNTIFS('架電リスト'!$B$5:$B$1162,$A4,'架電リスト'!$J$5:$J$1162,"アポ獲得")</f>
        <v/>
      </c>
      <c r="I4" s="16">
        <f>COUNTIFS('架電リスト'!$B$5:$B$1162,$A4,'架電リスト'!$J$5:$J$1162,"検討中")</f>
        <v/>
      </c>
      <c r="J4" s="16">
        <f>COUNTIFS('架電リスト'!$B$5:$B$1162,$A4,'架電リスト'!$J$5:$J$1162,"NG")</f>
        <v/>
      </c>
      <c r="K4" s="16">
        <f>COUNTIFS('架電リスト'!$B$5:$B$1162,$A4,'架電リスト'!$J$5:$J$1162,"番号不明")</f>
        <v/>
      </c>
    </row>
    <row r="5">
      <c r="A5" s="16" t="inlineStr">
        <is>
          <t>青森県</t>
        </is>
      </c>
      <c r="B5" s="16">
        <f>COUNTIF('架電リスト'!$B$5:$B$1162,A5)</f>
        <v/>
      </c>
      <c r="C5" s="16">
        <f>COUNTIFS('架電リスト'!$B$5:$B$1162,A5,'架電リスト'!$E$5:$E$1162,"&lt;&gt;")</f>
        <v/>
      </c>
      <c r="D5" s="16">
        <f>B5-COUNTIFS('架電リスト'!$B$5:$B$1162,A5,'架電リスト'!$J$5:$J$1162,"未架電")-COUNTIFS('架電リスト'!$B$5:$B$1162,A5,'架電リスト'!$J$5:$J$1162,"")</f>
        <v/>
      </c>
      <c r="E5" s="16">
        <f>COUNTIFS('架電リスト'!$B$5:$B$1162,$A5,'架電リスト'!$J$5:$J$1162,"不在・折返し待ち")</f>
        <v/>
      </c>
      <c r="F5" s="16">
        <f>COUNTIFS('架電リスト'!$B$5:$B$1162,$A5,'架電リスト'!$J$5:$J$1162,"担当者不在")</f>
        <v/>
      </c>
      <c r="G5" s="16">
        <f>COUNTIFS('架電リスト'!$B$5:$B$1162,$A5,'架電リスト'!$J$5:$J$1162,"資料送付")</f>
        <v/>
      </c>
      <c r="H5" s="16">
        <f>COUNTIFS('架電リスト'!$B$5:$B$1162,$A5,'架電リスト'!$J$5:$J$1162,"アポ獲得")</f>
        <v/>
      </c>
      <c r="I5" s="16">
        <f>COUNTIFS('架電リスト'!$B$5:$B$1162,$A5,'架電リスト'!$J$5:$J$1162,"検討中")</f>
        <v/>
      </c>
      <c r="J5" s="16">
        <f>COUNTIFS('架電リスト'!$B$5:$B$1162,$A5,'架電リスト'!$J$5:$J$1162,"NG")</f>
        <v/>
      </c>
      <c r="K5" s="16">
        <f>COUNTIFS('架電リスト'!$B$5:$B$1162,$A5,'架電リスト'!$J$5:$J$1162,"番号不明")</f>
        <v/>
      </c>
    </row>
    <row r="6">
      <c r="A6" s="16" t="inlineStr">
        <is>
          <t>岩手県</t>
        </is>
      </c>
      <c r="B6" s="16">
        <f>COUNTIF('架電リスト'!$B$5:$B$1162,A6)</f>
        <v/>
      </c>
      <c r="C6" s="16">
        <f>COUNTIFS('架電リスト'!$B$5:$B$1162,A6,'架電リスト'!$E$5:$E$1162,"&lt;&gt;")</f>
        <v/>
      </c>
      <c r="D6" s="16">
        <f>B6-COUNTIFS('架電リスト'!$B$5:$B$1162,A6,'架電リスト'!$J$5:$J$1162,"未架電")-COUNTIFS('架電リスト'!$B$5:$B$1162,A6,'架電リスト'!$J$5:$J$1162,"")</f>
        <v/>
      </c>
      <c r="E6" s="16">
        <f>COUNTIFS('架電リスト'!$B$5:$B$1162,$A6,'架電リスト'!$J$5:$J$1162,"不在・折返し待ち")</f>
        <v/>
      </c>
      <c r="F6" s="16">
        <f>COUNTIFS('架電リスト'!$B$5:$B$1162,$A6,'架電リスト'!$J$5:$J$1162,"担当者不在")</f>
        <v/>
      </c>
      <c r="G6" s="16">
        <f>COUNTIFS('架電リスト'!$B$5:$B$1162,$A6,'架電リスト'!$J$5:$J$1162,"資料送付")</f>
        <v/>
      </c>
      <c r="H6" s="16">
        <f>COUNTIFS('架電リスト'!$B$5:$B$1162,$A6,'架電リスト'!$J$5:$J$1162,"アポ獲得")</f>
        <v/>
      </c>
      <c r="I6" s="16">
        <f>COUNTIFS('架電リスト'!$B$5:$B$1162,$A6,'架電リスト'!$J$5:$J$1162,"検討中")</f>
        <v/>
      </c>
      <c r="J6" s="16">
        <f>COUNTIFS('架電リスト'!$B$5:$B$1162,$A6,'架電リスト'!$J$5:$J$1162,"NG")</f>
        <v/>
      </c>
      <c r="K6" s="16">
        <f>COUNTIFS('架電リスト'!$B$5:$B$1162,$A6,'架電リスト'!$J$5:$J$1162,"番号不明")</f>
        <v/>
      </c>
    </row>
    <row r="7">
      <c r="A7" s="16" t="inlineStr">
        <is>
          <t>宮城県</t>
        </is>
      </c>
      <c r="B7" s="16">
        <f>COUNTIF('架電リスト'!$B$5:$B$1162,A7)</f>
        <v/>
      </c>
      <c r="C7" s="16">
        <f>COUNTIFS('架電リスト'!$B$5:$B$1162,A7,'架電リスト'!$E$5:$E$1162,"&lt;&gt;")</f>
        <v/>
      </c>
      <c r="D7" s="16">
        <f>B7-COUNTIFS('架電リスト'!$B$5:$B$1162,A7,'架電リスト'!$J$5:$J$1162,"未架電")-COUNTIFS('架電リスト'!$B$5:$B$1162,A7,'架電リスト'!$J$5:$J$1162,"")</f>
        <v/>
      </c>
      <c r="E7" s="16">
        <f>COUNTIFS('架電リスト'!$B$5:$B$1162,$A7,'架電リスト'!$J$5:$J$1162,"不在・折返し待ち")</f>
        <v/>
      </c>
      <c r="F7" s="16">
        <f>COUNTIFS('架電リスト'!$B$5:$B$1162,$A7,'架電リスト'!$J$5:$J$1162,"担当者不在")</f>
        <v/>
      </c>
      <c r="G7" s="16">
        <f>COUNTIFS('架電リスト'!$B$5:$B$1162,$A7,'架電リスト'!$J$5:$J$1162,"資料送付")</f>
        <v/>
      </c>
      <c r="H7" s="16">
        <f>COUNTIFS('架電リスト'!$B$5:$B$1162,$A7,'架電リスト'!$J$5:$J$1162,"アポ獲得")</f>
        <v/>
      </c>
      <c r="I7" s="16">
        <f>COUNTIFS('架電リスト'!$B$5:$B$1162,$A7,'架電リスト'!$J$5:$J$1162,"検討中")</f>
        <v/>
      </c>
      <c r="J7" s="16">
        <f>COUNTIFS('架電リスト'!$B$5:$B$1162,$A7,'架電リスト'!$J$5:$J$1162,"NG")</f>
        <v/>
      </c>
      <c r="K7" s="16">
        <f>COUNTIFS('架電リスト'!$B$5:$B$1162,$A7,'架電リスト'!$J$5:$J$1162,"番号不明")</f>
        <v/>
      </c>
    </row>
    <row r="8">
      <c r="A8" s="16" t="inlineStr">
        <is>
          <t>秋田県</t>
        </is>
      </c>
      <c r="B8" s="16">
        <f>COUNTIF('架電リスト'!$B$5:$B$1162,A8)</f>
        <v/>
      </c>
      <c r="C8" s="16">
        <f>COUNTIFS('架電リスト'!$B$5:$B$1162,A8,'架電リスト'!$E$5:$E$1162,"&lt;&gt;")</f>
        <v/>
      </c>
      <c r="D8" s="16">
        <f>B8-COUNTIFS('架電リスト'!$B$5:$B$1162,A8,'架電リスト'!$J$5:$J$1162,"未架電")-COUNTIFS('架電リスト'!$B$5:$B$1162,A8,'架電リスト'!$J$5:$J$1162,"")</f>
        <v/>
      </c>
      <c r="E8" s="16">
        <f>COUNTIFS('架電リスト'!$B$5:$B$1162,$A8,'架電リスト'!$J$5:$J$1162,"不在・折返し待ち")</f>
        <v/>
      </c>
      <c r="F8" s="16">
        <f>COUNTIFS('架電リスト'!$B$5:$B$1162,$A8,'架電リスト'!$J$5:$J$1162,"担当者不在")</f>
        <v/>
      </c>
      <c r="G8" s="16">
        <f>COUNTIFS('架電リスト'!$B$5:$B$1162,$A8,'架電リスト'!$J$5:$J$1162,"資料送付")</f>
        <v/>
      </c>
      <c r="H8" s="16">
        <f>COUNTIFS('架電リスト'!$B$5:$B$1162,$A8,'架電リスト'!$J$5:$J$1162,"アポ獲得")</f>
        <v/>
      </c>
      <c r="I8" s="16">
        <f>COUNTIFS('架電リスト'!$B$5:$B$1162,$A8,'架電リスト'!$J$5:$J$1162,"検討中")</f>
        <v/>
      </c>
      <c r="J8" s="16">
        <f>COUNTIFS('架電リスト'!$B$5:$B$1162,$A8,'架電リスト'!$J$5:$J$1162,"NG")</f>
        <v/>
      </c>
      <c r="K8" s="16">
        <f>COUNTIFS('架電リスト'!$B$5:$B$1162,$A8,'架電リスト'!$J$5:$J$1162,"番号不明")</f>
        <v/>
      </c>
    </row>
    <row r="9">
      <c r="A9" s="16" t="inlineStr">
        <is>
          <t>山形県</t>
        </is>
      </c>
      <c r="B9" s="16">
        <f>COUNTIF('架電リスト'!$B$5:$B$1162,A9)</f>
        <v/>
      </c>
      <c r="C9" s="16">
        <f>COUNTIFS('架電リスト'!$B$5:$B$1162,A9,'架電リスト'!$E$5:$E$1162,"&lt;&gt;")</f>
        <v/>
      </c>
      <c r="D9" s="16">
        <f>B9-COUNTIFS('架電リスト'!$B$5:$B$1162,A9,'架電リスト'!$J$5:$J$1162,"未架電")-COUNTIFS('架電リスト'!$B$5:$B$1162,A9,'架電リスト'!$J$5:$J$1162,"")</f>
        <v/>
      </c>
      <c r="E9" s="16">
        <f>COUNTIFS('架電リスト'!$B$5:$B$1162,$A9,'架電リスト'!$J$5:$J$1162,"不在・折返し待ち")</f>
        <v/>
      </c>
      <c r="F9" s="16">
        <f>COUNTIFS('架電リスト'!$B$5:$B$1162,$A9,'架電リスト'!$J$5:$J$1162,"担当者不在")</f>
        <v/>
      </c>
      <c r="G9" s="16">
        <f>COUNTIFS('架電リスト'!$B$5:$B$1162,$A9,'架電リスト'!$J$5:$J$1162,"資料送付")</f>
        <v/>
      </c>
      <c r="H9" s="16">
        <f>COUNTIFS('架電リスト'!$B$5:$B$1162,$A9,'架電リスト'!$J$5:$J$1162,"アポ獲得")</f>
        <v/>
      </c>
      <c r="I9" s="16">
        <f>COUNTIFS('架電リスト'!$B$5:$B$1162,$A9,'架電リスト'!$J$5:$J$1162,"検討中")</f>
        <v/>
      </c>
      <c r="J9" s="16">
        <f>COUNTIFS('架電リスト'!$B$5:$B$1162,$A9,'架電リスト'!$J$5:$J$1162,"NG")</f>
        <v/>
      </c>
      <c r="K9" s="16">
        <f>COUNTIFS('架電リスト'!$B$5:$B$1162,$A9,'架電リスト'!$J$5:$J$1162,"番号不明")</f>
        <v/>
      </c>
    </row>
    <row r="10">
      <c r="A10" s="16" t="inlineStr">
        <is>
          <t>福島県</t>
        </is>
      </c>
      <c r="B10" s="16">
        <f>COUNTIF('架電リスト'!$B$5:$B$1162,A10)</f>
        <v/>
      </c>
      <c r="C10" s="16">
        <f>COUNTIFS('架電リスト'!$B$5:$B$1162,A10,'架電リスト'!$E$5:$E$1162,"&lt;&gt;")</f>
        <v/>
      </c>
      <c r="D10" s="16">
        <f>B10-COUNTIFS('架電リスト'!$B$5:$B$1162,A10,'架電リスト'!$J$5:$J$1162,"未架電")-COUNTIFS('架電リスト'!$B$5:$B$1162,A10,'架電リスト'!$J$5:$J$1162,"")</f>
        <v/>
      </c>
      <c r="E10" s="16">
        <f>COUNTIFS('架電リスト'!$B$5:$B$1162,$A10,'架電リスト'!$J$5:$J$1162,"不在・折返し待ち")</f>
        <v/>
      </c>
      <c r="F10" s="16">
        <f>COUNTIFS('架電リスト'!$B$5:$B$1162,$A10,'架電リスト'!$J$5:$J$1162,"担当者不在")</f>
        <v/>
      </c>
      <c r="G10" s="16">
        <f>COUNTIFS('架電リスト'!$B$5:$B$1162,$A10,'架電リスト'!$J$5:$J$1162,"資料送付")</f>
        <v/>
      </c>
      <c r="H10" s="16">
        <f>COUNTIFS('架電リスト'!$B$5:$B$1162,$A10,'架電リスト'!$J$5:$J$1162,"アポ獲得")</f>
        <v/>
      </c>
      <c r="I10" s="16">
        <f>COUNTIFS('架電リスト'!$B$5:$B$1162,$A10,'架電リスト'!$J$5:$J$1162,"検討中")</f>
        <v/>
      </c>
      <c r="J10" s="16">
        <f>COUNTIFS('架電リスト'!$B$5:$B$1162,$A10,'架電リスト'!$J$5:$J$1162,"NG")</f>
        <v/>
      </c>
      <c r="K10" s="16">
        <f>COUNTIFS('架電リスト'!$B$5:$B$1162,$A10,'架電リスト'!$J$5:$J$1162,"番号不明")</f>
        <v/>
      </c>
    </row>
    <row r="11">
      <c r="A11" s="16" t="inlineStr">
        <is>
          <t>茨城県</t>
        </is>
      </c>
      <c r="B11" s="16">
        <f>COUNTIF('架電リスト'!$B$5:$B$1162,A11)</f>
        <v/>
      </c>
      <c r="C11" s="16">
        <f>COUNTIFS('架電リスト'!$B$5:$B$1162,A11,'架電リスト'!$E$5:$E$1162,"&lt;&gt;")</f>
        <v/>
      </c>
      <c r="D11" s="16">
        <f>B11-COUNTIFS('架電リスト'!$B$5:$B$1162,A11,'架電リスト'!$J$5:$J$1162,"未架電")-COUNTIFS('架電リスト'!$B$5:$B$1162,A11,'架電リスト'!$J$5:$J$1162,"")</f>
        <v/>
      </c>
      <c r="E11" s="16">
        <f>COUNTIFS('架電リスト'!$B$5:$B$1162,$A11,'架電リスト'!$J$5:$J$1162,"不在・折返し待ち")</f>
        <v/>
      </c>
      <c r="F11" s="16">
        <f>COUNTIFS('架電リスト'!$B$5:$B$1162,$A11,'架電リスト'!$J$5:$J$1162,"担当者不在")</f>
        <v/>
      </c>
      <c r="G11" s="16">
        <f>COUNTIFS('架電リスト'!$B$5:$B$1162,$A11,'架電リスト'!$J$5:$J$1162,"資料送付")</f>
        <v/>
      </c>
      <c r="H11" s="16">
        <f>COUNTIFS('架電リスト'!$B$5:$B$1162,$A11,'架電リスト'!$J$5:$J$1162,"アポ獲得")</f>
        <v/>
      </c>
      <c r="I11" s="16">
        <f>COUNTIFS('架電リスト'!$B$5:$B$1162,$A11,'架電リスト'!$J$5:$J$1162,"検討中")</f>
        <v/>
      </c>
      <c r="J11" s="16">
        <f>COUNTIFS('架電リスト'!$B$5:$B$1162,$A11,'架電リスト'!$J$5:$J$1162,"NG")</f>
        <v/>
      </c>
      <c r="K11" s="16">
        <f>COUNTIFS('架電リスト'!$B$5:$B$1162,$A11,'架電リスト'!$J$5:$J$1162,"番号不明")</f>
        <v/>
      </c>
    </row>
    <row r="12">
      <c r="A12" s="16" t="inlineStr">
        <is>
          <t>栃木県</t>
        </is>
      </c>
      <c r="B12" s="16">
        <f>COUNTIF('架電リスト'!$B$5:$B$1162,A12)</f>
        <v/>
      </c>
      <c r="C12" s="16">
        <f>COUNTIFS('架電リスト'!$B$5:$B$1162,A12,'架電リスト'!$E$5:$E$1162,"&lt;&gt;")</f>
        <v/>
      </c>
      <c r="D12" s="16">
        <f>B12-COUNTIFS('架電リスト'!$B$5:$B$1162,A12,'架電リスト'!$J$5:$J$1162,"未架電")-COUNTIFS('架電リスト'!$B$5:$B$1162,A12,'架電リスト'!$J$5:$J$1162,"")</f>
        <v/>
      </c>
      <c r="E12" s="16">
        <f>COUNTIFS('架電リスト'!$B$5:$B$1162,$A12,'架電リスト'!$J$5:$J$1162,"不在・折返し待ち")</f>
        <v/>
      </c>
      <c r="F12" s="16">
        <f>COUNTIFS('架電リスト'!$B$5:$B$1162,$A12,'架電リスト'!$J$5:$J$1162,"担当者不在")</f>
        <v/>
      </c>
      <c r="G12" s="16">
        <f>COUNTIFS('架電リスト'!$B$5:$B$1162,$A12,'架電リスト'!$J$5:$J$1162,"資料送付")</f>
        <v/>
      </c>
      <c r="H12" s="16">
        <f>COUNTIFS('架電リスト'!$B$5:$B$1162,$A12,'架電リスト'!$J$5:$J$1162,"アポ獲得")</f>
        <v/>
      </c>
      <c r="I12" s="16">
        <f>COUNTIFS('架電リスト'!$B$5:$B$1162,$A12,'架電リスト'!$J$5:$J$1162,"検討中")</f>
        <v/>
      </c>
      <c r="J12" s="16">
        <f>COUNTIFS('架電リスト'!$B$5:$B$1162,$A12,'架電リスト'!$J$5:$J$1162,"NG")</f>
        <v/>
      </c>
      <c r="K12" s="16">
        <f>COUNTIFS('架電リスト'!$B$5:$B$1162,$A12,'架電リスト'!$J$5:$J$1162,"番号不明")</f>
        <v/>
      </c>
    </row>
    <row r="13">
      <c r="A13" s="16" t="inlineStr">
        <is>
          <t>群馬県</t>
        </is>
      </c>
      <c r="B13" s="16">
        <f>COUNTIF('架電リスト'!$B$5:$B$1162,A13)</f>
        <v/>
      </c>
      <c r="C13" s="16">
        <f>COUNTIFS('架電リスト'!$B$5:$B$1162,A13,'架電リスト'!$E$5:$E$1162,"&lt;&gt;")</f>
        <v/>
      </c>
      <c r="D13" s="16">
        <f>B13-COUNTIFS('架電リスト'!$B$5:$B$1162,A13,'架電リスト'!$J$5:$J$1162,"未架電")-COUNTIFS('架電リスト'!$B$5:$B$1162,A13,'架電リスト'!$J$5:$J$1162,"")</f>
        <v/>
      </c>
      <c r="E13" s="16">
        <f>COUNTIFS('架電リスト'!$B$5:$B$1162,$A13,'架電リスト'!$J$5:$J$1162,"不在・折返し待ち")</f>
        <v/>
      </c>
      <c r="F13" s="16">
        <f>COUNTIFS('架電リスト'!$B$5:$B$1162,$A13,'架電リスト'!$J$5:$J$1162,"担当者不在")</f>
        <v/>
      </c>
      <c r="G13" s="16">
        <f>COUNTIFS('架電リスト'!$B$5:$B$1162,$A13,'架電リスト'!$J$5:$J$1162,"資料送付")</f>
        <v/>
      </c>
      <c r="H13" s="16">
        <f>COUNTIFS('架電リスト'!$B$5:$B$1162,$A13,'架電リスト'!$J$5:$J$1162,"アポ獲得")</f>
        <v/>
      </c>
      <c r="I13" s="16">
        <f>COUNTIFS('架電リスト'!$B$5:$B$1162,$A13,'架電リスト'!$J$5:$J$1162,"検討中")</f>
        <v/>
      </c>
      <c r="J13" s="16">
        <f>COUNTIFS('架電リスト'!$B$5:$B$1162,$A13,'架電リスト'!$J$5:$J$1162,"NG")</f>
        <v/>
      </c>
      <c r="K13" s="16">
        <f>COUNTIFS('架電リスト'!$B$5:$B$1162,$A13,'架電リスト'!$J$5:$J$1162,"番号不明")</f>
        <v/>
      </c>
    </row>
    <row r="14">
      <c r="A14" s="16" t="inlineStr">
        <is>
          <t>埼玉県</t>
        </is>
      </c>
      <c r="B14" s="16">
        <f>COUNTIF('架電リスト'!$B$5:$B$1162,A14)</f>
        <v/>
      </c>
      <c r="C14" s="16">
        <f>COUNTIFS('架電リスト'!$B$5:$B$1162,A14,'架電リスト'!$E$5:$E$1162,"&lt;&gt;")</f>
        <v/>
      </c>
      <c r="D14" s="16">
        <f>B14-COUNTIFS('架電リスト'!$B$5:$B$1162,A14,'架電リスト'!$J$5:$J$1162,"未架電")-COUNTIFS('架電リスト'!$B$5:$B$1162,A14,'架電リスト'!$J$5:$J$1162,"")</f>
        <v/>
      </c>
      <c r="E14" s="16">
        <f>COUNTIFS('架電リスト'!$B$5:$B$1162,$A14,'架電リスト'!$J$5:$J$1162,"不在・折返し待ち")</f>
        <v/>
      </c>
      <c r="F14" s="16">
        <f>COUNTIFS('架電リスト'!$B$5:$B$1162,$A14,'架電リスト'!$J$5:$J$1162,"担当者不在")</f>
        <v/>
      </c>
      <c r="G14" s="16">
        <f>COUNTIFS('架電リスト'!$B$5:$B$1162,$A14,'架電リスト'!$J$5:$J$1162,"資料送付")</f>
        <v/>
      </c>
      <c r="H14" s="16">
        <f>COUNTIFS('架電リスト'!$B$5:$B$1162,$A14,'架電リスト'!$J$5:$J$1162,"アポ獲得")</f>
        <v/>
      </c>
      <c r="I14" s="16">
        <f>COUNTIFS('架電リスト'!$B$5:$B$1162,$A14,'架電リスト'!$J$5:$J$1162,"検討中")</f>
        <v/>
      </c>
      <c r="J14" s="16">
        <f>COUNTIFS('架電リスト'!$B$5:$B$1162,$A14,'架電リスト'!$J$5:$J$1162,"NG")</f>
        <v/>
      </c>
      <c r="K14" s="16">
        <f>COUNTIFS('架電リスト'!$B$5:$B$1162,$A14,'架電リスト'!$J$5:$J$1162,"番号不明")</f>
        <v/>
      </c>
    </row>
    <row r="15">
      <c r="A15" s="16" t="inlineStr">
        <is>
          <t>千葉県</t>
        </is>
      </c>
      <c r="B15" s="16">
        <f>COUNTIF('架電リスト'!$B$5:$B$1162,A15)</f>
        <v/>
      </c>
      <c r="C15" s="16">
        <f>COUNTIFS('架電リスト'!$B$5:$B$1162,A15,'架電リスト'!$E$5:$E$1162,"&lt;&gt;")</f>
        <v/>
      </c>
      <c r="D15" s="16">
        <f>B15-COUNTIFS('架電リスト'!$B$5:$B$1162,A15,'架電リスト'!$J$5:$J$1162,"未架電")-COUNTIFS('架電リスト'!$B$5:$B$1162,A15,'架電リスト'!$J$5:$J$1162,"")</f>
        <v/>
      </c>
      <c r="E15" s="16">
        <f>COUNTIFS('架電リスト'!$B$5:$B$1162,$A15,'架電リスト'!$J$5:$J$1162,"不在・折返し待ち")</f>
        <v/>
      </c>
      <c r="F15" s="16">
        <f>COUNTIFS('架電リスト'!$B$5:$B$1162,$A15,'架電リスト'!$J$5:$J$1162,"担当者不在")</f>
        <v/>
      </c>
      <c r="G15" s="16">
        <f>COUNTIFS('架電リスト'!$B$5:$B$1162,$A15,'架電リスト'!$J$5:$J$1162,"資料送付")</f>
        <v/>
      </c>
      <c r="H15" s="16">
        <f>COUNTIFS('架電リスト'!$B$5:$B$1162,$A15,'架電リスト'!$J$5:$J$1162,"アポ獲得")</f>
        <v/>
      </c>
      <c r="I15" s="16">
        <f>COUNTIFS('架電リスト'!$B$5:$B$1162,$A15,'架電リスト'!$J$5:$J$1162,"検討中")</f>
        <v/>
      </c>
      <c r="J15" s="16">
        <f>COUNTIFS('架電リスト'!$B$5:$B$1162,$A15,'架電リスト'!$J$5:$J$1162,"NG")</f>
        <v/>
      </c>
      <c r="K15" s="16">
        <f>COUNTIFS('架電リスト'!$B$5:$B$1162,$A15,'架電リスト'!$J$5:$J$1162,"番号不明")</f>
        <v/>
      </c>
    </row>
    <row r="16">
      <c r="A16" s="16" t="inlineStr">
        <is>
          <t>東京都</t>
        </is>
      </c>
      <c r="B16" s="16">
        <f>COUNTIF('架電リスト'!$B$5:$B$1162,A16)</f>
        <v/>
      </c>
      <c r="C16" s="16">
        <f>COUNTIFS('架電リスト'!$B$5:$B$1162,A16,'架電リスト'!$E$5:$E$1162,"&lt;&gt;")</f>
        <v/>
      </c>
      <c r="D16" s="16">
        <f>B16-COUNTIFS('架電リスト'!$B$5:$B$1162,A16,'架電リスト'!$J$5:$J$1162,"未架電")-COUNTIFS('架電リスト'!$B$5:$B$1162,A16,'架電リスト'!$J$5:$J$1162,"")</f>
        <v/>
      </c>
      <c r="E16" s="16">
        <f>COUNTIFS('架電リスト'!$B$5:$B$1162,$A16,'架電リスト'!$J$5:$J$1162,"不在・折返し待ち")</f>
        <v/>
      </c>
      <c r="F16" s="16">
        <f>COUNTIFS('架電リスト'!$B$5:$B$1162,$A16,'架電リスト'!$J$5:$J$1162,"担当者不在")</f>
        <v/>
      </c>
      <c r="G16" s="16">
        <f>COUNTIFS('架電リスト'!$B$5:$B$1162,$A16,'架電リスト'!$J$5:$J$1162,"資料送付")</f>
        <v/>
      </c>
      <c r="H16" s="16">
        <f>COUNTIFS('架電リスト'!$B$5:$B$1162,$A16,'架電リスト'!$J$5:$J$1162,"アポ獲得")</f>
        <v/>
      </c>
      <c r="I16" s="16">
        <f>COUNTIFS('架電リスト'!$B$5:$B$1162,$A16,'架電リスト'!$J$5:$J$1162,"検討中")</f>
        <v/>
      </c>
      <c r="J16" s="16">
        <f>COUNTIFS('架電リスト'!$B$5:$B$1162,$A16,'架電リスト'!$J$5:$J$1162,"NG")</f>
        <v/>
      </c>
      <c r="K16" s="16">
        <f>COUNTIFS('架電リスト'!$B$5:$B$1162,$A16,'架電リスト'!$J$5:$J$1162,"番号不明")</f>
        <v/>
      </c>
    </row>
    <row r="17">
      <c r="A17" s="16" t="inlineStr">
        <is>
          <t>神奈川県</t>
        </is>
      </c>
      <c r="B17" s="16">
        <f>COUNTIF('架電リスト'!$B$5:$B$1162,A17)</f>
        <v/>
      </c>
      <c r="C17" s="16">
        <f>COUNTIFS('架電リスト'!$B$5:$B$1162,A17,'架電リスト'!$E$5:$E$1162,"&lt;&gt;")</f>
        <v/>
      </c>
      <c r="D17" s="16">
        <f>B17-COUNTIFS('架電リスト'!$B$5:$B$1162,A17,'架電リスト'!$J$5:$J$1162,"未架電")-COUNTIFS('架電リスト'!$B$5:$B$1162,A17,'架電リスト'!$J$5:$J$1162,"")</f>
        <v/>
      </c>
      <c r="E17" s="16">
        <f>COUNTIFS('架電リスト'!$B$5:$B$1162,$A17,'架電リスト'!$J$5:$J$1162,"不在・折返し待ち")</f>
        <v/>
      </c>
      <c r="F17" s="16">
        <f>COUNTIFS('架電リスト'!$B$5:$B$1162,$A17,'架電リスト'!$J$5:$J$1162,"担当者不在")</f>
        <v/>
      </c>
      <c r="G17" s="16">
        <f>COUNTIFS('架電リスト'!$B$5:$B$1162,$A17,'架電リスト'!$J$5:$J$1162,"資料送付")</f>
        <v/>
      </c>
      <c r="H17" s="16">
        <f>COUNTIFS('架電リスト'!$B$5:$B$1162,$A17,'架電リスト'!$J$5:$J$1162,"アポ獲得")</f>
        <v/>
      </c>
      <c r="I17" s="16">
        <f>COUNTIFS('架電リスト'!$B$5:$B$1162,$A17,'架電リスト'!$J$5:$J$1162,"検討中")</f>
        <v/>
      </c>
      <c r="J17" s="16">
        <f>COUNTIFS('架電リスト'!$B$5:$B$1162,$A17,'架電リスト'!$J$5:$J$1162,"NG")</f>
        <v/>
      </c>
      <c r="K17" s="16">
        <f>COUNTIFS('架電リスト'!$B$5:$B$1162,$A17,'架電リスト'!$J$5:$J$1162,"番号不明")</f>
        <v/>
      </c>
    </row>
    <row r="18">
      <c r="A18" s="16" t="inlineStr">
        <is>
          <t>新潟県</t>
        </is>
      </c>
      <c r="B18" s="16">
        <f>COUNTIF('架電リスト'!$B$5:$B$1162,A18)</f>
        <v/>
      </c>
      <c r="C18" s="16">
        <f>COUNTIFS('架電リスト'!$B$5:$B$1162,A18,'架電リスト'!$E$5:$E$1162,"&lt;&gt;")</f>
        <v/>
      </c>
      <c r="D18" s="16">
        <f>B18-COUNTIFS('架電リスト'!$B$5:$B$1162,A18,'架電リスト'!$J$5:$J$1162,"未架電")-COUNTIFS('架電リスト'!$B$5:$B$1162,A18,'架電リスト'!$J$5:$J$1162,"")</f>
        <v/>
      </c>
      <c r="E18" s="16">
        <f>COUNTIFS('架電リスト'!$B$5:$B$1162,$A18,'架電リスト'!$J$5:$J$1162,"不在・折返し待ち")</f>
        <v/>
      </c>
      <c r="F18" s="16">
        <f>COUNTIFS('架電リスト'!$B$5:$B$1162,$A18,'架電リスト'!$J$5:$J$1162,"担当者不在")</f>
        <v/>
      </c>
      <c r="G18" s="16">
        <f>COUNTIFS('架電リスト'!$B$5:$B$1162,$A18,'架電リスト'!$J$5:$J$1162,"資料送付")</f>
        <v/>
      </c>
      <c r="H18" s="16">
        <f>COUNTIFS('架電リスト'!$B$5:$B$1162,$A18,'架電リスト'!$J$5:$J$1162,"アポ獲得")</f>
        <v/>
      </c>
      <c r="I18" s="16">
        <f>COUNTIFS('架電リスト'!$B$5:$B$1162,$A18,'架電リスト'!$J$5:$J$1162,"検討中")</f>
        <v/>
      </c>
      <c r="J18" s="16">
        <f>COUNTIFS('架電リスト'!$B$5:$B$1162,$A18,'架電リスト'!$J$5:$J$1162,"NG")</f>
        <v/>
      </c>
      <c r="K18" s="16">
        <f>COUNTIFS('架電リスト'!$B$5:$B$1162,$A18,'架電リスト'!$J$5:$J$1162,"番号不明")</f>
        <v/>
      </c>
    </row>
    <row r="19">
      <c r="A19" s="16" t="inlineStr">
        <is>
          <t>富山県</t>
        </is>
      </c>
      <c r="B19" s="16">
        <f>COUNTIF('架電リスト'!$B$5:$B$1162,A19)</f>
        <v/>
      </c>
      <c r="C19" s="16">
        <f>COUNTIFS('架電リスト'!$B$5:$B$1162,A19,'架電リスト'!$E$5:$E$1162,"&lt;&gt;")</f>
        <v/>
      </c>
      <c r="D19" s="16">
        <f>B19-COUNTIFS('架電リスト'!$B$5:$B$1162,A19,'架電リスト'!$J$5:$J$1162,"未架電")-COUNTIFS('架電リスト'!$B$5:$B$1162,A19,'架電リスト'!$J$5:$J$1162,"")</f>
        <v/>
      </c>
      <c r="E19" s="16">
        <f>COUNTIFS('架電リスト'!$B$5:$B$1162,$A19,'架電リスト'!$J$5:$J$1162,"不在・折返し待ち")</f>
        <v/>
      </c>
      <c r="F19" s="16">
        <f>COUNTIFS('架電リスト'!$B$5:$B$1162,$A19,'架電リスト'!$J$5:$J$1162,"担当者不在")</f>
        <v/>
      </c>
      <c r="G19" s="16">
        <f>COUNTIFS('架電リスト'!$B$5:$B$1162,$A19,'架電リスト'!$J$5:$J$1162,"資料送付")</f>
        <v/>
      </c>
      <c r="H19" s="16">
        <f>COUNTIFS('架電リスト'!$B$5:$B$1162,$A19,'架電リスト'!$J$5:$J$1162,"アポ獲得")</f>
        <v/>
      </c>
      <c r="I19" s="16">
        <f>COUNTIFS('架電リスト'!$B$5:$B$1162,$A19,'架電リスト'!$J$5:$J$1162,"検討中")</f>
        <v/>
      </c>
      <c r="J19" s="16">
        <f>COUNTIFS('架電リスト'!$B$5:$B$1162,$A19,'架電リスト'!$J$5:$J$1162,"NG")</f>
        <v/>
      </c>
      <c r="K19" s="16">
        <f>COUNTIFS('架電リスト'!$B$5:$B$1162,$A19,'架電リスト'!$J$5:$J$1162,"番号不明")</f>
        <v/>
      </c>
    </row>
    <row r="20">
      <c r="A20" s="16" t="inlineStr">
        <is>
          <t>石川県</t>
        </is>
      </c>
      <c r="B20" s="16">
        <f>COUNTIF('架電リスト'!$B$5:$B$1162,A20)</f>
        <v/>
      </c>
      <c r="C20" s="16">
        <f>COUNTIFS('架電リスト'!$B$5:$B$1162,A20,'架電リスト'!$E$5:$E$1162,"&lt;&gt;")</f>
        <v/>
      </c>
      <c r="D20" s="16">
        <f>B20-COUNTIFS('架電リスト'!$B$5:$B$1162,A20,'架電リスト'!$J$5:$J$1162,"未架電")-COUNTIFS('架電リスト'!$B$5:$B$1162,A20,'架電リスト'!$J$5:$J$1162,"")</f>
        <v/>
      </c>
      <c r="E20" s="16">
        <f>COUNTIFS('架電リスト'!$B$5:$B$1162,$A20,'架電リスト'!$J$5:$J$1162,"不在・折返し待ち")</f>
        <v/>
      </c>
      <c r="F20" s="16">
        <f>COUNTIFS('架電リスト'!$B$5:$B$1162,$A20,'架電リスト'!$J$5:$J$1162,"担当者不在")</f>
        <v/>
      </c>
      <c r="G20" s="16">
        <f>COUNTIFS('架電リスト'!$B$5:$B$1162,$A20,'架電リスト'!$J$5:$J$1162,"資料送付")</f>
        <v/>
      </c>
      <c r="H20" s="16">
        <f>COUNTIFS('架電リスト'!$B$5:$B$1162,$A20,'架電リスト'!$J$5:$J$1162,"アポ獲得")</f>
        <v/>
      </c>
      <c r="I20" s="16">
        <f>COUNTIFS('架電リスト'!$B$5:$B$1162,$A20,'架電リスト'!$J$5:$J$1162,"検討中")</f>
        <v/>
      </c>
      <c r="J20" s="16">
        <f>COUNTIFS('架電リスト'!$B$5:$B$1162,$A20,'架電リスト'!$J$5:$J$1162,"NG")</f>
        <v/>
      </c>
      <c r="K20" s="16">
        <f>COUNTIFS('架電リスト'!$B$5:$B$1162,$A20,'架電リスト'!$J$5:$J$1162,"番号不明")</f>
        <v/>
      </c>
    </row>
    <row r="21">
      <c r="A21" s="16" t="inlineStr">
        <is>
          <t>福井県</t>
        </is>
      </c>
      <c r="B21" s="16">
        <f>COUNTIF('架電リスト'!$B$5:$B$1162,A21)</f>
        <v/>
      </c>
      <c r="C21" s="16">
        <f>COUNTIFS('架電リスト'!$B$5:$B$1162,A21,'架電リスト'!$E$5:$E$1162,"&lt;&gt;")</f>
        <v/>
      </c>
      <c r="D21" s="16">
        <f>B21-COUNTIFS('架電リスト'!$B$5:$B$1162,A21,'架電リスト'!$J$5:$J$1162,"未架電")-COUNTIFS('架電リスト'!$B$5:$B$1162,A21,'架電リスト'!$J$5:$J$1162,"")</f>
        <v/>
      </c>
      <c r="E21" s="16">
        <f>COUNTIFS('架電リスト'!$B$5:$B$1162,$A21,'架電リスト'!$J$5:$J$1162,"不在・折返し待ち")</f>
        <v/>
      </c>
      <c r="F21" s="16">
        <f>COUNTIFS('架電リスト'!$B$5:$B$1162,$A21,'架電リスト'!$J$5:$J$1162,"担当者不在")</f>
        <v/>
      </c>
      <c r="G21" s="16">
        <f>COUNTIFS('架電リスト'!$B$5:$B$1162,$A21,'架電リスト'!$J$5:$J$1162,"資料送付")</f>
        <v/>
      </c>
      <c r="H21" s="16">
        <f>COUNTIFS('架電リスト'!$B$5:$B$1162,$A21,'架電リスト'!$J$5:$J$1162,"アポ獲得")</f>
        <v/>
      </c>
      <c r="I21" s="16">
        <f>COUNTIFS('架電リスト'!$B$5:$B$1162,$A21,'架電リスト'!$J$5:$J$1162,"検討中")</f>
        <v/>
      </c>
      <c r="J21" s="16">
        <f>COUNTIFS('架電リスト'!$B$5:$B$1162,$A21,'架電リスト'!$J$5:$J$1162,"NG")</f>
        <v/>
      </c>
      <c r="K21" s="16">
        <f>COUNTIFS('架電リスト'!$B$5:$B$1162,$A21,'架電リスト'!$J$5:$J$1162,"番号不明")</f>
        <v/>
      </c>
    </row>
    <row r="22">
      <c r="A22" s="16" t="inlineStr">
        <is>
          <t>山梨県</t>
        </is>
      </c>
      <c r="B22" s="16">
        <f>COUNTIF('架電リスト'!$B$5:$B$1162,A22)</f>
        <v/>
      </c>
      <c r="C22" s="16">
        <f>COUNTIFS('架電リスト'!$B$5:$B$1162,A22,'架電リスト'!$E$5:$E$1162,"&lt;&gt;")</f>
        <v/>
      </c>
      <c r="D22" s="16">
        <f>B22-COUNTIFS('架電リスト'!$B$5:$B$1162,A22,'架電リスト'!$J$5:$J$1162,"未架電")-COUNTIFS('架電リスト'!$B$5:$B$1162,A22,'架電リスト'!$J$5:$J$1162,"")</f>
        <v/>
      </c>
      <c r="E22" s="16">
        <f>COUNTIFS('架電リスト'!$B$5:$B$1162,$A22,'架電リスト'!$J$5:$J$1162,"不在・折返し待ち")</f>
        <v/>
      </c>
      <c r="F22" s="16">
        <f>COUNTIFS('架電リスト'!$B$5:$B$1162,$A22,'架電リスト'!$J$5:$J$1162,"担当者不在")</f>
        <v/>
      </c>
      <c r="G22" s="16">
        <f>COUNTIFS('架電リスト'!$B$5:$B$1162,$A22,'架電リスト'!$J$5:$J$1162,"資料送付")</f>
        <v/>
      </c>
      <c r="H22" s="16">
        <f>COUNTIFS('架電リスト'!$B$5:$B$1162,$A22,'架電リスト'!$J$5:$J$1162,"アポ獲得")</f>
        <v/>
      </c>
      <c r="I22" s="16">
        <f>COUNTIFS('架電リスト'!$B$5:$B$1162,$A22,'架電リスト'!$J$5:$J$1162,"検討中")</f>
        <v/>
      </c>
      <c r="J22" s="16">
        <f>COUNTIFS('架電リスト'!$B$5:$B$1162,$A22,'架電リスト'!$J$5:$J$1162,"NG")</f>
        <v/>
      </c>
      <c r="K22" s="16">
        <f>COUNTIFS('架電リスト'!$B$5:$B$1162,$A22,'架電リスト'!$J$5:$J$1162,"番号不明")</f>
        <v/>
      </c>
    </row>
    <row r="23">
      <c r="A23" s="16" t="inlineStr">
        <is>
          <t>長野県</t>
        </is>
      </c>
      <c r="B23" s="16">
        <f>COUNTIF('架電リスト'!$B$5:$B$1162,A23)</f>
        <v/>
      </c>
      <c r="C23" s="16">
        <f>COUNTIFS('架電リスト'!$B$5:$B$1162,A23,'架電リスト'!$E$5:$E$1162,"&lt;&gt;")</f>
        <v/>
      </c>
      <c r="D23" s="16">
        <f>B23-COUNTIFS('架電リスト'!$B$5:$B$1162,A23,'架電リスト'!$J$5:$J$1162,"未架電")-COUNTIFS('架電リスト'!$B$5:$B$1162,A23,'架電リスト'!$J$5:$J$1162,"")</f>
        <v/>
      </c>
      <c r="E23" s="16">
        <f>COUNTIFS('架電リスト'!$B$5:$B$1162,$A23,'架電リスト'!$J$5:$J$1162,"不在・折返し待ち")</f>
        <v/>
      </c>
      <c r="F23" s="16">
        <f>COUNTIFS('架電リスト'!$B$5:$B$1162,$A23,'架電リスト'!$J$5:$J$1162,"担当者不在")</f>
        <v/>
      </c>
      <c r="G23" s="16">
        <f>COUNTIFS('架電リスト'!$B$5:$B$1162,$A23,'架電リスト'!$J$5:$J$1162,"資料送付")</f>
        <v/>
      </c>
      <c r="H23" s="16">
        <f>COUNTIFS('架電リスト'!$B$5:$B$1162,$A23,'架電リスト'!$J$5:$J$1162,"アポ獲得")</f>
        <v/>
      </c>
      <c r="I23" s="16">
        <f>COUNTIFS('架電リスト'!$B$5:$B$1162,$A23,'架電リスト'!$J$5:$J$1162,"検討中")</f>
        <v/>
      </c>
      <c r="J23" s="16">
        <f>COUNTIFS('架電リスト'!$B$5:$B$1162,$A23,'架電リスト'!$J$5:$J$1162,"NG")</f>
        <v/>
      </c>
      <c r="K23" s="16">
        <f>COUNTIFS('架電リスト'!$B$5:$B$1162,$A23,'架電リスト'!$J$5:$J$1162,"番号不明")</f>
        <v/>
      </c>
    </row>
    <row r="24">
      <c r="A24" s="16" t="inlineStr">
        <is>
          <t>岐阜県</t>
        </is>
      </c>
      <c r="B24" s="16">
        <f>COUNTIF('架電リスト'!$B$5:$B$1162,A24)</f>
        <v/>
      </c>
      <c r="C24" s="16">
        <f>COUNTIFS('架電リスト'!$B$5:$B$1162,A24,'架電リスト'!$E$5:$E$1162,"&lt;&gt;")</f>
        <v/>
      </c>
      <c r="D24" s="16">
        <f>B24-COUNTIFS('架電リスト'!$B$5:$B$1162,A24,'架電リスト'!$J$5:$J$1162,"未架電")-COUNTIFS('架電リスト'!$B$5:$B$1162,A24,'架電リスト'!$J$5:$J$1162,"")</f>
        <v/>
      </c>
      <c r="E24" s="16">
        <f>COUNTIFS('架電リスト'!$B$5:$B$1162,$A24,'架電リスト'!$J$5:$J$1162,"不在・折返し待ち")</f>
        <v/>
      </c>
      <c r="F24" s="16">
        <f>COUNTIFS('架電リスト'!$B$5:$B$1162,$A24,'架電リスト'!$J$5:$J$1162,"担当者不在")</f>
        <v/>
      </c>
      <c r="G24" s="16">
        <f>COUNTIFS('架電リスト'!$B$5:$B$1162,$A24,'架電リスト'!$J$5:$J$1162,"資料送付")</f>
        <v/>
      </c>
      <c r="H24" s="16">
        <f>COUNTIFS('架電リスト'!$B$5:$B$1162,$A24,'架電リスト'!$J$5:$J$1162,"アポ獲得")</f>
        <v/>
      </c>
      <c r="I24" s="16">
        <f>COUNTIFS('架電リスト'!$B$5:$B$1162,$A24,'架電リスト'!$J$5:$J$1162,"検討中")</f>
        <v/>
      </c>
      <c r="J24" s="16">
        <f>COUNTIFS('架電リスト'!$B$5:$B$1162,$A24,'架電リスト'!$J$5:$J$1162,"NG")</f>
        <v/>
      </c>
      <c r="K24" s="16">
        <f>COUNTIFS('架電リスト'!$B$5:$B$1162,$A24,'架電リスト'!$J$5:$J$1162,"番号不明")</f>
        <v/>
      </c>
    </row>
    <row r="25">
      <c r="A25" s="16" t="inlineStr">
        <is>
          <t>静岡県</t>
        </is>
      </c>
      <c r="B25" s="16">
        <f>COUNTIF('架電リスト'!$B$5:$B$1162,A25)</f>
        <v/>
      </c>
      <c r="C25" s="16">
        <f>COUNTIFS('架電リスト'!$B$5:$B$1162,A25,'架電リスト'!$E$5:$E$1162,"&lt;&gt;")</f>
        <v/>
      </c>
      <c r="D25" s="16">
        <f>B25-COUNTIFS('架電リスト'!$B$5:$B$1162,A25,'架電リスト'!$J$5:$J$1162,"未架電")-COUNTIFS('架電リスト'!$B$5:$B$1162,A25,'架電リスト'!$J$5:$J$1162,"")</f>
        <v/>
      </c>
      <c r="E25" s="16">
        <f>COUNTIFS('架電リスト'!$B$5:$B$1162,$A25,'架電リスト'!$J$5:$J$1162,"不在・折返し待ち")</f>
        <v/>
      </c>
      <c r="F25" s="16">
        <f>COUNTIFS('架電リスト'!$B$5:$B$1162,$A25,'架電リスト'!$J$5:$J$1162,"担当者不在")</f>
        <v/>
      </c>
      <c r="G25" s="16">
        <f>COUNTIFS('架電リスト'!$B$5:$B$1162,$A25,'架電リスト'!$J$5:$J$1162,"資料送付")</f>
        <v/>
      </c>
      <c r="H25" s="16">
        <f>COUNTIFS('架電リスト'!$B$5:$B$1162,$A25,'架電リスト'!$J$5:$J$1162,"アポ獲得")</f>
        <v/>
      </c>
      <c r="I25" s="16">
        <f>COUNTIFS('架電リスト'!$B$5:$B$1162,$A25,'架電リスト'!$J$5:$J$1162,"検討中")</f>
        <v/>
      </c>
      <c r="J25" s="16">
        <f>COUNTIFS('架電リスト'!$B$5:$B$1162,$A25,'架電リスト'!$J$5:$J$1162,"NG")</f>
        <v/>
      </c>
      <c r="K25" s="16">
        <f>COUNTIFS('架電リスト'!$B$5:$B$1162,$A25,'架電リスト'!$J$5:$J$1162,"番号不明")</f>
        <v/>
      </c>
    </row>
    <row r="26">
      <c r="A26" s="16" t="inlineStr">
        <is>
          <t>愛知県</t>
        </is>
      </c>
      <c r="B26" s="16">
        <f>COUNTIF('架電リスト'!$B$5:$B$1162,A26)</f>
        <v/>
      </c>
      <c r="C26" s="16">
        <f>COUNTIFS('架電リスト'!$B$5:$B$1162,A26,'架電リスト'!$E$5:$E$1162,"&lt;&gt;")</f>
        <v/>
      </c>
      <c r="D26" s="16">
        <f>B26-COUNTIFS('架電リスト'!$B$5:$B$1162,A26,'架電リスト'!$J$5:$J$1162,"未架電")-COUNTIFS('架電リスト'!$B$5:$B$1162,A26,'架電リスト'!$J$5:$J$1162,"")</f>
        <v/>
      </c>
      <c r="E26" s="16">
        <f>COUNTIFS('架電リスト'!$B$5:$B$1162,$A26,'架電リスト'!$J$5:$J$1162,"不在・折返し待ち")</f>
        <v/>
      </c>
      <c r="F26" s="16">
        <f>COUNTIFS('架電リスト'!$B$5:$B$1162,$A26,'架電リスト'!$J$5:$J$1162,"担当者不在")</f>
        <v/>
      </c>
      <c r="G26" s="16">
        <f>COUNTIFS('架電リスト'!$B$5:$B$1162,$A26,'架電リスト'!$J$5:$J$1162,"資料送付")</f>
        <v/>
      </c>
      <c r="H26" s="16">
        <f>COUNTIFS('架電リスト'!$B$5:$B$1162,$A26,'架電リスト'!$J$5:$J$1162,"アポ獲得")</f>
        <v/>
      </c>
      <c r="I26" s="16">
        <f>COUNTIFS('架電リスト'!$B$5:$B$1162,$A26,'架電リスト'!$J$5:$J$1162,"検討中")</f>
        <v/>
      </c>
      <c r="J26" s="16">
        <f>COUNTIFS('架電リスト'!$B$5:$B$1162,$A26,'架電リスト'!$J$5:$J$1162,"NG")</f>
        <v/>
      </c>
      <c r="K26" s="16">
        <f>COUNTIFS('架電リスト'!$B$5:$B$1162,$A26,'架電リスト'!$J$5:$J$1162,"番号不明")</f>
        <v/>
      </c>
    </row>
    <row r="27">
      <c r="A27" s="16" t="inlineStr">
        <is>
          <t>三重県</t>
        </is>
      </c>
      <c r="B27" s="16">
        <f>COUNTIF('架電リスト'!$B$5:$B$1162,A27)</f>
        <v/>
      </c>
      <c r="C27" s="16">
        <f>COUNTIFS('架電リスト'!$B$5:$B$1162,A27,'架電リスト'!$E$5:$E$1162,"&lt;&gt;")</f>
        <v/>
      </c>
      <c r="D27" s="16">
        <f>B27-COUNTIFS('架電リスト'!$B$5:$B$1162,A27,'架電リスト'!$J$5:$J$1162,"未架電")-COUNTIFS('架電リスト'!$B$5:$B$1162,A27,'架電リスト'!$J$5:$J$1162,"")</f>
        <v/>
      </c>
      <c r="E27" s="16">
        <f>COUNTIFS('架電リスト'!$B$5:$B$1162,$A27,'架電リスト'!$J$5:$J$1162,"不在・折返し待ち")</f>
        <v/>
      </c>
      <c r="F27" s="16">
        <f>COUNTIFS('架電リスト'!$B$5:$B$1162,$A27,'架電リスト'!$J$5:$J$1162,"担当者不在")</f>
        <v/>
      </c>
      <c r="G27" s="16">
        <f>COUNTIFS('架電リスト'!$B$5:$B$1162,$A27,'架電リスト'!$J$5:$J$1162,"資料送付")</f>
        <v/>
      </c>
      <c r="H27" s="16">
        <f>COUNTIFS('架電リスト'!$B$5:$B$1162,$A27,'架電リスト'!$J$5:$J$1162,"アポ獲得")</f>
        <v/>
      </c>
      <c r="I27" s="16">
        <f>COUNTIFS('架電リスト'!$B$5:$B$1162,$A27,'架電リスト'!$J$5:$J$1162,"検討中")</f>
        <v/>
      </c>
      <c r="J27" s="16">
        <f>COUNTIFS('架電リスト'!$B$5:$B$1162,$A27,'架電リスト'!$J$5:$J$1162,"NG")</f>
        <v/>
      </c>
      <c r="K27" s="16">
        <f>COUNTIFS('架電リスト'!$B$5:$B$1162,$A27,'架電リスト'!$J$5:$J$1162,"番号不明")</f>
        <v/>
      </c>
    </row>
    <row r="28">
      <c r="A28" s="16" t="inlineStr">
        <is>
          <t>滋賀県</t>
        </is>
      </c>
      <c r="B28" s="16">
        <f>COUNTIF('架電リスト'!$B$5:$B$1162,A28)</f>
        <v/>
      </c>
      <c r="C28" s="16">
        <f>COUNTIFS('架電リスト'!$B$5:$B$1162,A28,'架電リスト'!$E$5:$E$1162,"&lt;&gt;")</f>
        <v/>
      </c>
      <c r="D28" s="16">
        <f>B28-COUNTIFS('架電リスト'!$B$5:$B$1162,A28,'架電リスト'!$J$5:$J$1162,"未架電")-COUNTIFS('架電リスト'!$B$5:$B$1162,A28,'架電リスト'!$J$5:$J$1162,"")</f>
        <v/>
      </c>
      <c r="E28" s="16">
        <f>COUNTIFS('架電リスト'!$B$5:$B$1162,$A28,'架電リスト'!$J$5:$J$1162,"不在・折返し待ち")</f>
        <v/>
      </c>
      <c r="F28" s="16">
        <f>COUNTIFS('架電リスト'!$B$5:$B$1162,$A28,'架電リスト'!$J$5:$J$1162,"担当者不在")</f>
        <v/>
      </c>
      <c r="G28" s="16">
        <f>COUNTIFS('架電リスト'!$B$5:$B$1162,$A28,'架電リスト'!$J$5:$J$1162,"資料送付")</f>
        <v/>
      </c>
      <c r="H28" s="16">
        <f>COUNTIFS('架電リスト'!$B$5:$B$1162,$A28,'架電リスト'!$J$5:$J$1162,"アポ獲得")</f>
        <v/>
      </c>
      <c r="I28" s="16">
        <f>COUNTIFS('架電リスト'!$B$5:$B$1162,$A28,'架電リスト'!$J$5:$J$1162,"検討中")</f>
        <v/>
      </c>
      <c r="J28" s="16">
        <f>COUNTIFS('架電リスト'!$B$5:$B$1162,$A28,'架電リスト'!$J$5:$J$1162,"NG")</f>
        <v/>
      </c>
      <c r="K28" s="16">
        <f>COUNTIFS('架電リスト'!$B$5:$B$1162,$A28,'架電リスト'!$J$5:$J$1162,"番号不明")</f>
        <v/>
      </c>
    </row>
    <row r="29">
      <c r="A29" s="16" t="inlineStr">
        <is>
          <t>京都府</t>
        </is>
      </c>
      <c r="B29" s="16">
        <f>COUNTIF('架電リスト'!$B$5:$B$1162,A29)</f>
        <v/>
      </c>
      <c r="C29" s="16">
        <f>COUNTIFS('架電リスト'!$B$5:$B$1162,A29,'架電リスト'!$E$5:$E$1162,"&lt;&gt;")</f>
        <v/>
      </c>
      <c r="D29" s="16">
        <f>B29-COUNTIFS('架電リスト'!$B$5:$B$1162,A29,'架電リスト'!$J$5:$J$1162,"未架電")-COUNTIFS('架電リスト'!$B$5:$B$1162,A29,'架電リスト'!$J$5:$J$1162,"")</f>
        <v/>
      </c>
      <c r="E29" s="16">
        <f>COUNTIFS('架電リスト'!$B$5:$B$1162,$A29,'架電リスト'!$J$5:$J$1162,"不在・折返し待ち")</f>
        <v/>
      </c>
      <c r="F29" s="16">
        <f>COUNTIFS('架電リスト'!$B$5:$B$1162,$A29,'架電リスト'!$J$5:$J$1162,"担当者不在")</f>
        <v/>
      </c>
      <c r="G29" s="16">
        <f>COUNTIFS('架電リスト'!$B$5:$B$1162,$A29,'架電リスト'!$J$5:$J$1162,"資料送付")</f>
        <v/>
      </c>
      <c r="H29" s="16">
        <f>COUNTIFS('架電リスト'!$B$5:$B$1162,$A29,'架電リスト'!$J$5:$J$1162,"アポ獲得")</f>
        <v/>
      </c>
      <c r="I29" s="16">
        <f>COUNTIFS('架電リスト'!$B$5:$B$1162,$A29,'架電リスト'!$J$5:$J$1162,"検討中")</f>
        <v/>
      </c>
      <c r="J29" s="16">
        <f>COUNTIFS('架電リスト'!$B$5:$B$1162,$A29,'架電リスト'!$J$5:$J$1162,"NG")</f>
        <v/>
      </c>
      <c r="K29" s="16">
        <f>COUNTIFS('架電リスト'!$B$5:$B$1162,$A29,'架電リスト'!$J$5:$J$1162,"番号不明")</f>
        <v/>
      </c>
    </row>
    <row r="30">
      <c r="A30" s="16" t="inlineStr">
        <is>
          <t>大阪府</t>
        </is>
      </c>
      <c r="B30" s="16">
        <f>COUNTIF('架電リスト'!$B$5:$B$1162,A30)</f>
        <v/>
      </c>
      <c r="C30" s="16">
        <f>COUNTIFS('架電リスト'!$B$5:$B$1162,A30,'架電リスト'!$E$5:$E$1162,"&lt;&gt;")</f>
        <v/>
      </c>
      <c r="D30" s="16">
        <f>B30-COUNTIFS('架電リスト'!$B$5:$B$1162,A30,'架電リスト'!$J$5:$J$1162,"未架電")-COUNTIFS('架電リスト'!$B$5:$B$1162,A30,'架電リスト'!$J$5:$J$1162,"")</f>
        <v/>
      </c>
      <c r="E30" s="16">
        <f>COUNTIFS('架電リスト'!$B$5:$B$1162,$A30,'架電リスト'!$J$5:$J$1162,"不在・折返し待ち")</f>
        <v/>
      </c>
      <c r="F30" s="16">
        <f>COUNTIFS('架電リスト'!$B$5:$B$1162,$A30,'架電リスト'!$J$5:$J$1162,"担当者不在")</f>
        <v/>
      </c>
      <c r="G30" s="16">
        <f>COUNTIFS('架電リスト'!$B$5:$B$1162,$A30,'架電リスト'!$J$5:$J$1162,"資料送付")</f>
        <v/>
      </c>
      <c r="H30" s="16">
        <f>COUNTIFS('架電リスト'!$B$5:$B$1162,$A30,'架電リスト'!$J$5:$J$1162,"アポ獲得")</f>
        <v/>
      </c>
      <c r="I30" s="16">
        <f>COUNTIFS('架電リスト'!$B$5:$B$1162,$A30,'架電リスト'!$J$5:$J$1162,"検討中")</f>
        <v/>
      </c>
      <c r="J30" s="16">
        <f>COUNTIFS('架電リスト'!$B$5:$B$1162,$A30,'架電リスト'!$J$5:$J$1162,"NG")</f>
        <v/>
      </c>
      <c r="K30" s="16">
        <f>COUNTIFS('架電リスト'!$B$5:$B$1162,$A30,'架電リスト'!$J$5:$J$1162,"番号不明")</f>
        <v/>
      </c>
    </row>
    <row r="31">
      <c r="A31" s="16" t="inlineStr">
        <is>
          <t>兵庫県</t>
        </is>
      </c>
      <c r="B31" s="16">
        <f>COUNTIF('架電リスト'!$B$5:$B$1162,A31)</f>
        <v/>
      </c>
      <c r="C31" s="16">
        <f>COUNTIFS('架電リスト'!$B$5:$B$1162,A31,'架電リスト'!$E$5:$E$1162,"&lt;&gt;")</f>
        <v/>
      </c>
      <c r="D31" s="16">
        <f>B31-COUNTIFS('架電リスト'!$B$5:$B$1162,A31,'架電リスト'!$J$5:$J$1162,"未架電")-COUNTIFS('架電リスト'!$B$5:$B$1162,A31,'架電リスト'!$J$5:$J$1162,"")</f>
        <v/>
      </c>
      <c r="E31" s="16">
        <f>COUNTIFS('架電リスト'!$B$5:$B$1162,$A31,'架電リスト'!$J$5:$J$1162,"不在・折返し待ち")</f>
        <v/>
      </c>
      <c r="F31" s="16">
        <f>COUNTIFS('架電リスト'!$B$5:$B$1162,$A31,'架電リスト'!$J$5:$J$1162,"担当者不在")</f>
        <v/>
      </c>
      <c r="G31" s="16">
        <f>COUNTIFS('架電リスト'!$B$5:$B$1162,$A31,'架電リスト'!$J$5:$J$1162,"資料送付")</f>
        <v/>
      </c>
      <c r="H31" s="16">
        <f>COUNTIFS('架電リスト'!$B$5:$B$1162,$A31,'架電リスト'!$J$5:$J$1162,"アポ獲得")</f>
        <v/>
      </c>
      <c r="I31" s="16">
        <f>COUNTIFS('架電リスト'!$B$5:$B$1162,$A31,'架電リスト'!$J$5:$J$1162,"検討中")</f>
        <v/>
      </c>
      <c r="J31" s="16">
        <f>COUNTIFS('架電リスト'!$B$5:$B$1162,$A31,'架電リスト'!$J$5:$J$1162,"NG")</f>
        <v/>
      </c>
      <c r="K31" s="16">
        <f>COUNTIFS('架電リスト'!$B$5:$B$1162,$A31,'架電リスト'!$J$5:$J$1162,"番号不明")</f>
        <v/>
      </c>
    </row>
    <row r="32">
      <c r="A32" s="16" t="inlineStr">
        <is>
          <t>奈良県</t>
        </is>
      </c>
      <c r="B32" s="16">
        <f>COUNTIF('架電リスト'!$B$5:$B$1162,A32)</f>
        <v/>
      </c>
      <c r="C32" s="16">
        <f>COUNTIFS('架電リスト'!$B$5:$B$1162,A32,'架電リスト'!$E$5:$E$1162,"&lt;&gt;")</f>
        <v/>
      </c>
      <c r="D32" s="16">
        <f>B32-COUNTIFS('架電リスト'!$B$5:$B$1162,A32,'架電リスト'!$J$5:$J$1162,"未架電")-COUNTIFS('架電リスト'!$B$5:$B$1162,A32,'架電リスト'!$J$5:$J$1162,"")</f>
        <v/>
      </c>
      <c r="E32" s="16">
        <f>COUNTIFS('架電リスト'!$B$5:$B$1162,$A32,'架電リスト'!$J$5:$J$1162,"不在・折返し待ち")</f>
        <v/>
      </c>
      <c r="F32" s="16">
        <f>COUNTIFS('架電リスト'!$B$5:$B$1162,$A32,'架電リスト'!$J$5:$J$1162,"担当者不在")</f>
        <v/>
      </c>
      <c r="G32" s="16">
        <f>COUNTIFS('架電リスト'!$B$5:$B$1162,$A32,'架電リスト'!$J$5:$J$1162,"資料送付")</f>
        <v/>
      </c>
      <c r="H32" s="16">
        <f>COUNTIFS('架電リスト'!$B$5:$B$1162,$A32,'架電リスト'!$J$5:$J$1162,"アポ獲得")</f>
        <v/>
      </c>
      <c r="I32" s="16">
        <f>COUNTIFS('架電リスト'!$B$5:$B$1162,$A32,'架電リスト'!$J$5:$J$1162,"検討中")</f>
        <v/>
      </c>
      <c r="J32" s="16">
        <f>COUNTIFS('架電リスト'!$B$5:$B$1162,$A32,'架電リスト'!$J$5:$J$1162,"NG")</f>
        <v/>
      </c>
      <c r="K32" s="16">
        <f>COUNTIFS('架電リスト'!$B$5:$B$1162,$A32,'架電リスト'!$J$5:$J$1162,"番号不明")</f>
        <v/>
      </c>
    </row>
    <row r="33">
      <c r="A33" s="16" t="inlineStr">
        <is>
          <t>和歌山県</t>
        </is>
      </c>
      <c r="B33" s="16">
        <f>COUNTIF('架電リスト'!$B$5:$B$1162,A33)</f>
        <v/>
      </c>
      <c r="C33" s="16">
        <f>COUNTIFS('架電リスト'!$B$5:$B$1162,A33,'架電リスト'!$E$5:$E$1162,"&lt;&gt;")</f>
        <v/>
      </c>
      <c r="D33" s="16">
        <f>B33-COUNTIFS('架電リスト'!$B$5:$B$1162,A33,'架電リスト'!$J$5:$J$1162,"未架電")-COUNTIFS('架電リスト'!$B$5:$B$1162,A33,'架電リスト'!$J$5:$J$1162,"")</f>
        <v/>
      </c>
      <c r="E33" s="16">
        <f>COUNTIFS('架電リスト'!$B$5:$B$1162,$A33,'架電リスト'!$J$5:$J$1162,"不在・折返し待ち")</f>
        <v/>
      </c>
      <c r="F33" s="16">
        <f>COUNTIFS('架電リスト'!$B$5:$B$1162,$A33,'架電リスト'!$J$5:$J$1162,"担当者不在")</f>
        <v/>
      </c>
      <c r="G33" s="16">
        <f>COUNTIFS('架電リスト'!$B$5:$B$1162,$A33,'架電リスト'!$J$5:$J$1162,"資料送付")</f>
        <v/>
      </c>
      <c r="H33" s="16">
        <f>COUNTIFS('架電リスト'!$B$5:$B$1162,$A33,'架電リスト'!$J$5:$J$1162,"アポ獲得")</f>
        <v/>
      </c>
      <c r="I33" s="16">
        <f>COUNTIFS('架電リスト'!$B$5:$B$1162,$A33,'架電リスト'!$J$5:$J$1162,"検討中")</f>
        <v/>
      </c>
      <c r="J33" s="16">
        <f>COUNTIFS('架電リスト'!$B$5:$B$1162,$A33,'架電リスト'!$J$5:$J$1162,"NG")</f>
        <v/>
      </c>
      <c r="K33" s="16">
        <f>COUNTIFS('架電リスト'!$B$5:$B$1162,$A33,'架電リスト'!$J$5:$J$1162,"番号不明")</f>
        <v/>
      </c>
    </row>
    <row r="34">
      <c r="A34" s="16" t="inlineStr">
        <is>
          <t>鳥取県</t>
        </is>
      </c>
      <c r="B34" s="16">
        <f>COUNTIF('架電リスト'!$B$5:$B$1162,A34)</f>
        <v/>
      </c>
      <c r="C34" s="16">
        <f>COUNTIFS('架電リスト'!$B$5:$B$1162,A34,'架電リスト'!$E$5:$E$1162,"&lt;&gt;")</f>
        <v/>
      </c>
      <c r="D34" s="16">
        <f>B34-COUNTIFS('架電リスト'!$B$5:$B$1162,A34,'架電リスト'!$J$5:$J$1162,"未架電")-COUNTIFS('架電リスト'!$B$5:$B$1162,A34,'架電リスト'!$J$5:$J$1162,"")</f>
        <v/>
      </c>
      <c r="E34" s="16">
        <f>COUNTIFS('架電リスト'!$B$5:$B$1162,$A34,'架電リスト'!$J$5:$J$1162,"不在・折返し待ち")</f>
        <v/>
      </c>
      <c r="F34" s="16">
        <f>COUNTIFS('架電リスト'!$B$5:$B$1162,$A34,'架電リスト'!$J$5:$J$1162,"担当者不在")</f>
        <v/>
      </c>
      <c r="G34" s="16">
        <f>COUNTIFS('架電リスト'!$B$5:$B$1162,$A34,'架電リスト'!$J$5:$J$1162,"資料送付")</f>
        <v/>
      </c>
      <c r="H34" s="16">
        <f>COUNTIFS('架電リスト'!$B$5:$B$1162,$A34,'架電リスト'!$J$5:$J$1162,"アポ獲得")</f>
        <v/>
      </c>
      <c r="I34" s="16">
        <f>COUNTIFS('架電リスト'!$B$5:$B$1162,$A34,'架電リスト'!$J$5:$J$1162,"検討中")</f>
        <v/>
      </c>
      <c r="J34" s="16">
        <f>COUNTIFS('架電リスト'!$B$5:$B$1162,$A34,'架電リスト'!$J$5:$J$1162,"NG")</f>
        <v/>
      </c>
      <c r="K34" s="16">
        <f>COUNTIFS('架電リスト'!$B$5:$B$1162,$A34,'架電リスト'!$J$5:$J$1162,"番号不明")</f>
        <v/>
      </c>
    </row>
    <row r="35">
      <c r="A35" s="16" t="inlineStr">
        <is>
          <t>岡山県</t>
        </is>
      </c>
      <c r="B35" s="16">
        <f>COUNTIF('架電リスト'!$B$5:$B$1162,A35)</f>
        <v/>
      </c>
      <c r="C35" s="16">
        <f>COUNTIFS('架電リスト'!$B$5:$B$1162,A35,'架電リスト'!$E$5:$E$1162,"&lt;&gt;")</f>
        <v/>
      </c>
      <c r="D35" s="16">
        <f>B35-COUNTIFS('架電リスト'!$B$5:$B$1162,A35,'架電リスト'!$J$5:$J$1162,"未架電")-COUNTIFS('架電リスト'!$B$5:$B$1162,A35,'架電リスト'!$J$5:$J$1162,"")</f>
        <v/>
      </c>
      <c r="E35" s="16">
        <f>COUNTIFS('架電リスト'!$B$5:$B$1162,$A35,'架電リスト'!$J$5:$J$1162,"不在・折返し待ち")</f>
        <v/>
      </c>
      <c r="F35" s="16">
        <f>COUNTIFS('架電リスト'!$B$5:$B$1162,$A35,'架電リスト'!$J$5:$J$1162,"担当者不在")</f>
        <v/>
      </c>
      <c r="G35" s="16">
        <f>COUNTIFS('架電リスト'!$B$5:$B$1162,$A35,'架電リスト'!$J$5:$J$1162,"資料送付")</f>
        <v/>
      </c>
      <c r="H35" s="16">
        <f>COUNTIFS('架電リスト'!$B$5:$B$1162,$A35,'架電リスト'!$J$5:$J$1162,"アポ獲得")</f>
        <v/>
      </c>
      <c r="I35" s="16">
        <f>COUNTIFS('架電リスト'!$B$5:$B$1162,$A35,'架電リスト'!$J$5:$J$1162,"検討中")</f>
        <v/>
      </c>
      <c r="J35" s="16">
        <f>COUNTIFS('架電リスト'!$B$5:$B$1162,$A35,'架電リスト'!$J$5:$J$1162,"NG")</f>
        <v/>
      </c>
      <c r="K35" s="16">
        <f>COUNTIFS('架電リスト'!$B$5:$B$1162,$A35,'架電リスト'!$J$5:$J$1162,"番号不明")</f>
        <v/>
      </c>
    </row>
    <row r="36">
      <c r="A36" s="16" t="inlineStr">
        <is>
          <t>広島県</t>
        </is>
      </c>
      <c r="B36" s="16">
        <f>COUNTIF('架電リスト'!$B$5:$B$1162,A36)</f>
        <v/>
      </c>
      <c r="C36" s="16">
        <f>COUNTIFS('架電リスト'!$B$5:$B$1162,A36,'架電リスト'!$E$5:$E$1162,"&lt;&gt;")</f>
        <v/>
      </c>
      <c r="D36" s="16">
        <f>B36-COUNTIFS('架電リスト'!$B$5:$B$1162,A36,'架電リスト'!$J$5:$J$1162,"未架電")-COUNTIFS('架電リスト'!$B$5:$B$1162,A36,'架電リスト'!$J$5:$J$1162,"")</f>
        <v/>
      </c>
      <c r="E36" s="16">
        <f>COUNTIFS('架電リスト'!$B$5:$B$1162,$A36,'架電リスト'!$J$5:$J$1162,"不在・折返し待ち")</f>
        <v/>
      </c>
      <c r="F36" s="16">
        <f>COUNTIFS('架電リスト'!$B$5:$B$1162,$A36,'架電リスト'!$J$5:$J$1162,"担当者不在")</f>
        <v/>
      </c>
      <c r="G36" s="16">
        <f>COUNTIFS('架電リスト'!$B$5:$B$1162,$A36,'架電リスト'!$J$5:$J$1162,"資料送付")</f>
        <v/>
      </c>
      <c r="H36" s="16">
        <f>COUNTIFS('架電リスト'!$B$5:$B$1162,$A36,'架電リスト'!$J$5:$J$1162,"アポ獲得")</f>
        <v/>
      </c>
      <c r="I36" s="16">
        <f>COUNTIFS('架電リスト'!$B$5:$B$1162,$A36,'架電リスト'!$J$5:$J$1162,"検討中")</f>
        <v/>
      </c>
      <c r="J36" s="16">
        <f>COUNTIFS('架電リスト'!$B$5:$B$1162,$A36,'架電リスト'!$J$5:$J$1162,"NG")</f>
        <v/>
      </c>
      <c r="K36" s="16">
        <f>COUNTIFS('架電リスト'!$B$5:$B$1162,$A36,'架電リスト'!$J$5:$J$1162,"番号不明")</f>
        <v/>
      </c>
    </row>
    <row r="37">
      <c r="A37" s="16" t="inlineStr">
        <is>
          <t>山口県</t>
        </is>
      </c>
      <c r="B37" s="16">
        <f>COUNTIF('架電リスト'!$B$5:$B$1162,A37)</f>
        <v/>
      </c>
      <c r="C37" s="16">
        <f>COUNTIFS('架電リスト'!$B$5:$B$1162,A37,'架電リスト'!$E$5:$E$1162,"&lt;&gt;")</f>
        <v/>
      </c>
      <c r="D37" s="16">
        <f>B37-COUNTIFS('架電リスト'!$B$5:$B$1162,A37,'架電リスト'!$J$5:$J$1162,"未架電")-COUNTIFS('架電リスト'!$B$5:$B$1162,A37,'架電リスト'!$J$5:$J$1162,"")</f>
        <v/>
      </c>
      <c r="E37" s="16">
        <f>COUNTIFS('架電リスト'!$B$5:$B$1162,$A37,'架電リスト'!$J$5:$J$1162,"不在・折返し待ち")</f>
        <v/>
      </c>
      <c r="F37" s="16">
        <f>COUNTIFS('架電リスト'!$B$5:$B$1162,$A37,'架電リスト'!$J$5:$J$1162,"担当者不在")</f>
        <v/>
      </c>
      <c r="G37" s="16">
        <f>COUNTIFS('架電リスト'!$B$5:$B$1162,$A37,'架電リスト'!$J$5:$J$1162,"資料送付")</f>
        <v/>
      </c>
      <c r="H37" s="16">
        <f>COUNTIFS('架電リスト'!$B$5:$B$1162,$A37,'架電リスト'!$J$5:$J$1162,"アポ獲得")</f>
        <v/>
      </c>
      <c r="I37" s="16">
        <f>COUNTIFS('架電リスト'!$B$5:$B$1162,$A37,'架電リスト'!$J$5:$J$1162,"検討中")</f>
        <v/>
      </c>
      <c r="J37" s="16">
        <f>COUNTIFS('架電リスト'!$B$5:$B$1162,$A37,'架電リスト'!$J$5:$J$1162,"NG")</f>
        <v/>
      </c>
      <c r="K37" s="16">
        <f>COUNTIFS('架電リスト'!$B$5:$B$1162,$A37,'架電リスト'!$J$5:$J$1162,"番号不明")</f>
        <v/>
      </c>
    </row>
    <row r="38">
      <c r="A38" s="17" t="inlineStr">
        <is>
          <t>合計</t>
        </is>
      </c>
      <c r="B38" s="17">
        <f>SUM(B4:B37)</f>
        <v/>
      </c>
      <c r="C38" s="17">
        <f>SUM(C4:C37)</f>
        <v/>
      </c>
      <c r="D38" s="17">
        <f>SUM(D4:D37)</f>
        <v/>
      </c>
      <c r="E38" s="17">
        <f>SUM(E4:E37)</f>
        <v/>
      </c>
      <c r="F38" s="17">
        <f>SUM(F4:F37)</f>
        <v/>
      </c>
      <c r="G38" s="17">
        <f>SUM(G4:G37)</f>
        <v/>
      </c>
      <c r="H38" s="17">
        <f>SUM(H4:H37)</f>
        <v/>
      </c>
      <c r="I38" s="17">
        <f>SUM(I4:I37)</f>
        <v/>
      </c>
      <c r="J38" s="17">
        <f>SUM(J4:J37)</f>
        <v/>
      </c>
      <c r="K38" s="17">
        <f>SUM(K4:K37)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・出典：ご提供いただいた学校ネットの検索結果（私立高校・34都道府県、1158校）の貼り付けデータ。並び順は都道府県ごとに元データの掲載順です。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2026-10-14T01:48:06Z</dcterms:created>
  <dcterms:modified xsi:type="dcterms:W3CDTF">2026-10-14T01:48:08Z</dcterms:modified>
</cp:coreProperties>
</file>