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'架電リスト'!$A$4:$O$1019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725.html" TargetMode="External" Id="rId991" /><Relationship Type="http://schemas.openxmlformats.org/officeDocument/2006/relationships/hyperlink" Target="https://www.gakkou.net/kou/view/index_304606.html" TargetMode="External" Id="rId992" /><Relationship Type="http://schemas.openxmlformats.org/officeDocument/2006/relationships/hyperlink" Target="https://www.gakkou.net/kou/view/index_304627.html" TargetMode="External" Id="rId993" /><Relationship Type="http://schemas.openxmlformats.org/officeDocument/2006/relationships/hyperlink" Target="https://www.gakkou.net/kou/view/index_304645.html" TargetMode="External" Id="rId994" /><Relationship Type="http://schemas.openxmlformats.org/officeDocument/2006/relationships/hyperlink" Target="https://www.gakkou.net/kou/view/index_306487.html" TargetMode="External" Id="rId995" /><Relationship Type="http://schemas.openxmlformats.org/officeDocument/2006/relationships/hyperlink" Target="https://www.gakkou.net/kou/view/index_304602.html" TargetMode="External" Id="rId996" /><Relationship Type="http://schemas.openxmlformats.org/officeDocument/2006/relationships/hyperlink" Target="https://www.gakkou.net/kou/view/index_304613.html" TargetMode="External" Id="rId997" /><Relationship Type="http://schemas.openxmlformats.org/officeDocument/2006/relationships/hyperlink" Target="https://www.gakkou.net/kou/view/index_304615.html" TargetMode="External" Id="rId998" /><Relationship Type="http://schemas.openxmlformats.org/officeDocument/2006/relationships/hyperlink" Target="https://www.gakkou.net/kou/view/index_304607.html" TargetMode="External" Id="rId999" /><Relationship Type="http://schemas.openxmlformats.org/officeDocument/2006/relationships/hyperlink" Target="https://www.gakkou.net/kou/view/index_304598.html" TargetMode="External" Id="rId1000" /><Relationship Type="http://schemas.openxmlformats.org/officeDocument/2006/relationships/hyperlink" Target="https://www.gakkou.net/kou/view/index_304656.html" TargetMode="External" Id="rId1001" /><Relationship Type="http://schemas.openxmlformats.org/officeDocument/2006/relationships/hyperlink" Target="https://www.gakkou.net/kou/view/index_306692.html" TargetMode="External" Id="rId1002" /><Relationship Type="http://schemas.openxmlformats.org/officeDocument/2006/relationships/hyperlink" Target="https://www.gakkou.net/kou/view/index_304599.html" TargetMode="External" Id="rId1003" /><Relationship Type="http://schemas.openxmlformats.org/officeDocument/2006/relationships/hyperlink" Target="https://www.gakkou.net/kou/view/index_304611.html" TargetMode="External" Id="rId1004" /><Relationship Type="http://schemas.openxmlformats.org/officeDocument/2006/relationships/hyperlink" Target="https://www.gakkou.net/kou/view/index_304636.html" TargetMode="External" Id="rId1005" /><Relationship Type="http://schemas.openxmlformats.org/officeDocument/2006/relationships/hyperlink" Target="https://www.gakkou.net/kou/view/index_304640.html" TargetMode="External" Id="rId1006" /><Relationship Type="http://schemas.openxmlformats.org/officeDocument/2006/relationships/hyperlink" Target="https://www.gakkou.net/kou/view/index_304675.html" TargetMode="External" Id="rId1007" /><Relationship Type="http://schemas.openxmlformats.org/officeDocument/2006/relationships/hyperlink" Target="https://www.gakkou.net/kou/view/index_304703.html" TargetMode="External" Id="rId1008" /><Relationship Type="http://schemas.openxmlformats.org/officeDocument/2006/relationships/hyperlink" Target="https://www.gakkou.net/kou/view/index_304674.html" TargetMode="External" Id="rId1009" /><Relationship Type="http://schemas.openxmlformats.org/officeDocument/2006/relationships/hyperlink" Target="https://www.gakkou.net/kou/view/index_306498.html" TargetMode="External" Id="rId1010" /><Relationship Type="http://schemas.openxmlformats.org/officeDocument/2006/relationships/hyperlink" Target="https://www.gakkou.net/kou/view/index_304707.html" TargetMode="External" Id="rId1011" /><Relationship Type="http://schemas.openxmlformats.org/officeDocument/2006/relationships/hyperlink" Target="https://www.gakkou.net/kou/view/index_304663.html" TargetMode="External" Id="rId1012" /><Relationship Type="http://schemas.openxmlformats.org/officeDocument/2006/relationships/hyperlink" Target="https://www.gakkou.net/kou/view/index_304704.html" TargetMode="External" Id="rId1013" /><Relationship Type="http://schemas.openxmlformats.org/officeDocument/2006/relationships/hyperlink" Target="https://www.gakkou.net/kou/view/index_304669.html" TargetMode="External" Id="rId1014" /><Relationship Type="http://schemas.openxmlformats.org/officeDocument/2006/relationships/hyperlink" Target="https://www.gakkou.net/kou/view/index_304712.html" TargetMode="External" Id="rId101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0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架電リスト（29都道府県／1015校）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奈良県</t>
        </is>
      </c>
      <c r="C995" s="5" t="inlineStr">
        <is>
          <t>天理市</t>
        </is>
      </c>
      <c r="D995" s="5" t="inlineStr">
        <is>
          <t>飛鳥未来高等学校</t>
        </is>
      </c>
      <c r="E995" s="6" t="inlineStr">
        <is>
          <t>0743-61-0031</t>
        </is>
      </c>
      <c r="F995" s="7" t="inlineStr">
        <is>
          <t>高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通信制・天理市の奈良本校の番号。他キャンパスは別番号</t>
        </is>
      </c>
      <c r="N995" s="11" t="inlineStr">
        <is>
          <t>https://www.sanko.ac.jp/asuka/group/outline/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奈良県</t>
        </is>
      </c>
      <c r="C996" s="5" t="inlineStr">
        <is>
          <t>奈良市</t>
        </is>
      </c>
      <c r="D996" s="5" t="inlineStr">
        <is>
          <t>育英西高等学校</t>
        </is>
      </c>
      <c r="E996" s="6" t="inlineStr">
        <is>
          <t>0742-47-0688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https://www.ikuei.ed.jp/ikunishi/about/access/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奈良県</t>
        </is>
      </c>
      <c r="C997" s="5" t="inlineStr">
        <is>
          <t>橿原市</t>
        </is>
      </c>
      <c r="D997" s="5" t="inlineStr">
        <is>
          <t>橿原学院高等学校</t>
        </is>
      </c>
      <c r="E997" s="6" t="inlineStr">
        <is>
          <t>0744-27-3242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代表番号。一部サイトに0744-27-0742の記載あり（旧番号の可能性）</t>
        </is>
      </c>
      <c r="N997" s="11" t="inlineStr">
        <is>
          <t>https://www.kashigaku.ed.jp/introduction-access.html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奈良県</t>
        </is>
      </c>
      <c r="C998" s="5" t="inlineStr">
        <is>
          <t>五條市</t>
        </is>
      </c>
      <c r="D998" s="5" t="inlineStr">
        <is>
          <t>智辯学園高等学校</t>
        </is>
      </c>
      <c r="E998" s="6" t="inlineStr">
        <is>
          <t>0747-22-3191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inlineStr">
        <is>
          <t>募集要項に代表として記載</t>
        </is>
      </c>
      <c r="N998" s="11" t="inlineStr">
        <is>
          <t>https://www.chiben.ac.jp/gojo/wp-content/uploads/sites/5/2025/07/13b1883b7cc9a504f8251f3cfd903829.pdf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奈良県</t>
        </is>
      </c>
      <c r="C999" s="5" t="inlineStr">
        <is>
          <t>香芝市</t>
        </is>
      </c>
      <c r="D999" s="5" t="inlineStr">
        <is>
          <t>智辯学園奈良カレッジ高等部</t>
        </is>
      </c>
      <c r="E999" s="6" t="inlineStr">
        <is>
          <t>0745-79-1111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inlineStr">
        <is>
          <t>香芝市HP（2021年）は0745-76-2001を掲載</t>
        </is>
      </c>
      <c r="N999" s="11" t="inlineStr">
        <is>
          <t>https://www.chiben.ac.jp/naracollege/futures/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奈良県</t>
        </is>
      </c>
      <c r="C1000" s="5" t="inlineStr">
        <is>
          <t>奈良市</t>
        </is>
      </c>
      <c r="D1000" s="5" t="inlineStr">
        <is>
          <t>帝塚山高等学校</t>
        </is>
      </c>
      <c r="E1000" s="6" t="inlineStr">
        <is>
          <t>0742-41-4685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中高事務室の番号。学園代表は0742-43-4433</t>
        </is>
      </c>
      <c r="N1000" s="11" t="inlineStr">
        <is>
          <t>https://www.tezukayama-h.ed.jp/access/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奈良県</t>
        </is>
      </c>
      <c r="C1001" s="5" t="inlineStr">
        <is>
          <t>天理市</t>
        </is>
      </c>
      <c r="D1001" s="5" t="inlineStr">
        <is>
          <t>天理教校学園高等学校</t>
        </is>
      </c>
      <c r="E1001" s="14" t="n"/>
      <c r="F1001" s="15" t="inlineStr">
        <is>
          <t>要調査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【閉校】2023年3月31日に閉校。閉校前の代表は0743-63-1511。架電対象外</t>
        </is>
      </c>
      <c r="N1001" s="11" t="inlineStr">
        <is>
          <t>https://rirc.or.jp/database/?rircdb=16033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奈良県</t>
        </is>
      </c>
      <c r="C1002" s="5" t="inlineStr">
        <is>
          <t>天理市</t>
        </is>
      </c>
      <c r="D1002" s="5" t="inlineStr">
        <is>
          <t>天理高等学校</t>
        </is>
      </c>
      <c r="E1002" s="6" t="inlineStr">
        <is>
          <t>0743-63-7691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全日制（第一部）の番号。定時制（第二部）は0743-63-7682</t>
        </is>
      </c>
      <c r="N1002" s="11" t="inlineStr">
        <is>
          <t>https://www.tenri-h.ed.jp/1bu/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奈良県</t>
        </is>
      </c>
      <c r="C1003" s="5" t="inlineStr">
        <is>
          <t>奈良市</t>
        </is>
      </c>
      <c r="D1003" s="5" t="inlineStr">
        <is>
          <t>東大寺学園高等学校</t>
        </is>
      </c>
      <c r="E1003" s="6" t="inlineStr">
        <is>
          <t>0742-47-5511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中高共通番号</t>
        </is>
      </c>
      <c r="N1003" s="11" t="inlineStr">
        <is>
          <t>https://www.tdj.ac.jp/access.html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奈良県</t>
        </is>
      </c>
      <c r="C1004" s="5" t="inlineStr">
        <is>
          <t>奈良市</t>
        </is>
      </c>
      <c r="D1004" s="5" t="inlineStr">
        <is>
          <t>奈良育英高等学校</t>
        </is>
      </c>
      <c r="E1004" s="6" t="inlineStr">
        <is>
          <t>0742-26-2845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中高共通番号</t>
        </is>
      </c>
      <c r="N1004" s="11" t="inlineStr">
        <is>
          <t>https://www.ikuei.ed.jp/ikuei-jh/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奈良県</t>
        </is>
      </c>
      <c r="C1005" s="5" t="inlineStr">
        <is>
          <t>大和郡山市</t>
        </is>
      </c>
      <c r="D1005" s="5" t="inlineStr">
        <is>
          <t>奈良学園高等学校</t>
        </is>
      </c>
      <c r="E1005" s="6" t="inlineStr">
        <is>
          <t>0743-54-0351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中高共通番号</t>
        </is>
      </c>
      <c r="N1005" s="11" t="inlineStr">
        <is>
          <t>https://www.naragakuen.ed.jp/info/edu_corp.html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奈良県</t>
        </is>
      </c>
      <c r="C1006" s="5" t="inlineStr">
        <is>
          <t>奈良市</t>
        </is>
      </c>
      <c r="D1006" s="5" t="inlineStr">
        <is>
          <t>奈良学園登美ヶ丘高等学校</t>
        </is>
      </c>
      <c r="E1006" s="6" t="inlineStr">
        <is>
          <t>0742-93-5111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代表番号。地図サイトに0742-93-5500の記載あり</t>
        </is>
      </c>
      <c r="N1006" s="11" t="inlineStr">
        <is>
          <t>https://www.naragakuen.jp/inquary/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奈良県</t>
        </is>
      </c>
      <c r="C1007" s="5" t="inlineStr">
        <is>
          <t>奈良市</t>
        </is>
      </c>
      <c r="D1007" s="5" t="inlineStr">
        <is>
          <t>奈良女子高等学校</t>
        </is>
      </c>
      <c r="E1007" s="6" t="inlineStr">
        <is>
          <t>0742-33-3601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白藤学園。通信制課程も同じ番号</t>
        </is>
      </c>
      <c r="N1007" s="11" t="inlineStr">
        <is>
          <t>https://shirafuji.ac.jp/shirafuji_high/?page_id=43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奈良県</t>
        </is>
      </c>
      <c r="C1008" s="5" t="inlineStr">
        <is>
          <t>奈良市</t>
        </is>
      </c>
      <c r="D1008" s="5" t="inlineStr">
        <is>
          <t>奈良大学附属高等学校</t>
        </is>
      </c>
      <c r="E1008" s="6" t="inlineStr">
        <is>
          <t>0742-41-8840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n"/>
      <c r="N1008" s="11" t="inlineStr">
        <is>
          <t>https://www.nara-u-h.ed.jp/access/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奈良県</t>
        </is>
      </c>
      <c r="C1009" s="5" t="inlineStr">
        <is>
          <t>大和高田市</t>
        </is>
      </c>
      <c r="D1009" s="5" t="inlineStr">
        <is>
          <t>奈良文化高等学校</t>
        </is>
      </c>
      <c r="E1009" s="6" t="inlineStr">
        <is>
          <t>0745-22-8315</t>
        </is>
      </c>
      <c r="F1009" s="7" t="inlineStr">
        <is>
          <t>高</t>
        </is>
      </c>
      <c r="G1009" s="5" t="inlineStr">
        <is>
          <t>普通科・専門学科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法人ページには0745-22-8268も掲載</t>
        </is>
      </c>
      <c r="N1009" s="11" t="inlineStr">
        <is>
          <t>https://www.narabunka.ed.jp/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奈良県</t>
        </is>
      </c>
      <c r="C1010" s="5" t="inlineStr">
        <is>
          <t>河合町</t>
        </is>
      </c>
      <c r="D1010" s="5" t="inlineStr">
        <is>
          <t>西大和学園高等学校</t>
        </is>
      </c>
      <c r="E1010" s="6" t="inlineStr">
        <is>
          <t>0745-73-6565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inlineStr">
        <is>
          <t>中高共通番号</t>
        </is>
      </c>
      <c r="N1010" s="11" t="inlineStr">
        <is>
          <t>https://www.nishiyamato.ed.jp/contact/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和歌山県</t>
        </is>
      </c>
      <c r="C1011" s="5" t="inlineStr">
        <is>
          <t>和歌山市</t>
        </is>
      </c>
      <c r="D1011" s="5" t="inlineStr">
        <is>
          <t>開智高等学校（和歌山県）</t>
        </is>
      </c>
      <c r="E1011" s="6" t="inlineStr">
        <is>
          <t>073-461-8080</t>
        </is>
      </c>
      <c r="F1011" s="7" t="inlineStr">
        <is>
          <t>高</t>
        </is>
      </c>
      <c r="G1011" s="5" t="inlineStr">
        <is>
          <t>普通科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inlineStr">
        <is>
          <t>中学校併設</t>
        </is>
      </c>
      <c r="N1011" s="11" t="inlineStr">
        <is>
          <t>https://www.kaichi.ed.jp/about/access.html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和歌山県</t>
        </is>
      </c>
      <c r="C1012" s="5" t="inlineStr">
        <is>
          <t>新宮市</t>
        </is>
      </c>
      <c r="D1012" s="5" t="inlineStr">
        <is>
          <t>近畿大学附属新宮高等学校</t>
        </is>
      </c>
      <c r="E1012" s="6" t="inlineStr">
        <is>
          <t>0735-22-2005</t>
        </is>
      </c>
      <c r="F1012" s="7" t="inlineStr">
        <is>
          <t>高</t>
        </is>
      </c>
      <c r="G1012" s="5" t="inlineStr">
        <is>
          <t>普通科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中学校併設</t>
        </is>
      </c>
      <c r="N1012" s="11" t="inlineStr">
        <is>
          <t>https://www.shingu.kindai.ac.jp/current_students-graduates/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和歌山県</t>
        </is>
      </c>
      <c r="C1013" s="5" t="inlineStr">
        <is>
          <t>和歌山市</t>
        </is>
      </c>
      <c r="D1013" s="5" t="inlineStr">
        <is>
          <t>近畿大学附属和歌山高等学校</t>
        </is>
      </c>
      <c r="E1013" s="6" t="inlineStr">
        <is>
          <t>073-452-1161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中学校併設</t>
        </is>
      </c>
      <c r="N1013" s="11" t="inlineStr">
        <is>
          <t>https://www.hwaka.kindai.ac.jp/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和歌山県</t>
        </is>
      </c>
      <c r="C1014" s="5" t="inlineStr">
        <is>
          <t>紀美野町</t>
        </is>
      </c>
      <c r="D1014" s="5" t="inlineStr">
        <is>
          <t>慶風高等学校</t>
        </is>
      </c>
      <c r="E1014" s="6" t="inlineStr">
        <is>
          <t>073-498-0100</t>
        </is>
      </c>
      <c r="F1014" s="7" t="inlineStr">
        <is>
          <t>高</t>
        </is>
      </c>
      <c r="G1014" s="5" t="inlineStr">
        <is>
          <t>普通科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inlineStr">
        <is>
          <t>通信制・紀美野町の本校。法人本部（和歌山市）は073-474-2828</t>
        </is>
      </c>
      <c r="N1014" s="11" t="inlineStr">
        <is>
          <t>https://keifu.ac.jp/access/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和歌山県</t>
        </is>
      </c>
      <c r="C1015" s="5" t="inlineStr">
        <is>
          <t>高野町</t>
        </is>
      </c>
      <c r="D1015" s="5" t="inlineStr">
        <is>
          <t>高野山高等学校</t>
        </is>
      </c>
      <c r="E1015" s="6" t="inlineStr">
        <is>
          <t>0736-56-2204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https://www.koyasan-h.ed.jp/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和歌山県</t>
        </is>
      </c>
      <c r="C1016" s="5" t="inlineStr">
        <is>
          <t>和歌山市</t>
        </is>
      </c>
      <c r="D1016" s="5" t="inlineStr">
        <is>
          <t>智辯学園和歌山高等学校</t>
        </is>
      </c>
      <c r="E1016" s="6" t="inlineStr">
        <is>
          <t>073-479-2811</t>
        </is>
      </c>
      <c r="F1016" s="7" t="inlineStr">
        <is>
          <t>高</t>
        </is>
      </c>
      <c r="G1016" s="5" t="inlineStr">
        <is>
          <t>普通科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inlineStr">
        <is>
          <t>中学校併設</t>
        </is>
      </c>
      <c r="N1016" s="11" t="inlineStr">
        <is>
          <t>https://www.chiben.ac.jp/wakayama/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和歌山県</t>
        </is>
      </c>
      <c r="C1017" s="5" t="inlineStr">
        <is>
          <t>橋本市</t>
        </is>
      </c>
      <c r="D1017" s="5" t="inlineStr">
        <is>
          <t>初芝橋本高等学校</t>
        </is>
      </c>
      <c r="E1017" s="6" t="inlineStr">
        <is>
          <t>0736-37-5600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inlineStr">
        <is>
          <t>2025年4月に運営法人が利晶学園へ改称（校名は変更なし）</t>
        </is>
      </c>
      <c r="N1017" s="11" t="inlineStr">
        <is>
          <t>https://www.rishogakuen.ed.jp/hatsuhashi/guide/enkaku.html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和歌山県</t>
        </is>
      </c>
      <c r="C1018" s="5" t="inlineStr">
        <is>
          <t>和歌山市</t>
        </is>
      </c>
      <c r="D1018" s="5" t="inlineStr">
        <is>
          <t>和歌山信愛高等学校</t>
        </is>
      </c>
      <c r="E1018" s="6" t="inlineStr">
        <is>
          <t>073-424-1141</t>
        </is>
      </c>
      <c r="F1018" s="7" t="inlineStr">
        <is>
          <t>高</t>
        </is>
      </c>
      <c r="G1018" s="5" t="inlineStr">
        <is>
          <t>普通科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中学校併設</t>
        </is>
      </c>
      <c r="N1018" s="11" t="inlineStr">
        <is>
          <t>https://www.shin-ai.ac.jp/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和歌山県</t>
        </is>
      </c>
      <c r="C1019" s="5" t="inlineStr">
        <is>
          <t>日高川町</t>
        </is>
      </c>
      <c r="D1019" s="5" t="inlineStr">
        <is>
          <t>和歌山南陵高等学校</t>
        </is>
      </c>
      <c r="E1019" s="6" t="inlineStr">
        <is>
          <t>0738-53-0316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経営難で一時募集停止命令→2024年11月解除、募集再開済み</t>
        </is>
      </c>
      <c r="N1019" s="11" t="inlineStr">
        <is>
          <t>https://w-nanryo.ed.jp/contact/</t>
        </is>
      </c>
      <c r="O1019" s="12" t="inlineStr">
        <is>
          <t>開く</t>
        </is>
      </c>
    </row>
  </sheetData>
  <autoFilter ref="A4:O1019"/>
  <conditionalFormatting sqref="A5:O101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019" showDropDown="0" showInputMessage="0" showErrorMessage="0" allowBlank="1" type="list">
      <formula1>"未架電,不在・折返し待ち,担当者不在,資料送付,アポ獲得,検討中,NG,番号不明"</formula1>
    </dataValidation>
    <dataValidation sqref="H5:H1019 K5:K101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COUNTIF('架電リスト'!$B$5:$B$1019,A4)</f>
        <v/>
      </c>
      <c r="C4" s="16">
        <f>COUNTIFS('架電リスト'!$B$5:$B$1019,A4,'架電リスト'!$E$5:$E$1019,"&lt;&gt;")</f>
        <v/>
      </c>
      <c r="D4" s="16">
        <f>B4-COUNTIFS('架電リスト'!$B$5:$B$1019,A4,'架電リスト'!$J$5:$J$1019,"未架電")-COUNTIFS('架電リスト'!$B$5:$B$1019,A4,'架電リスト'!$J$5:$J$1019,"")</f>
        <v/>
      </c>
      <c r="E4" s="16">
        <f>COUNTIFS('架電リスト'!$B$5:$B$1019,$A4,'架電リスト'!$J$5:$J$1019,"不在・折返し待ち")</f>
        <v/>
      </c>
      <c r="F4" s="16">
        <f>COUNTIFS('架電リスト'!$B$5:$B$1019,$A4,'架電リスト'!$J$5:$J$1019,"担当者不在")</f>
        <v/>
      </c>
      <c r="G4" s="16">
        <f>COUNTIFS('架電リスト'!$B$5:$B$1019,$A4,'架電リスト'!$J$5:$J$1019,"資料送付")</f>
        <v/>
      </c>
      <c r="H4" s="16">
        <f>COUNTIFS('架電リスト'!$B$5:$B$1019,$A4,'架電リスト'!$J$5:$J$1019,"アポ獲得")</f>
        <v/>
      </c>
      <c r="I4" s="16">
        <f>COUNTIFS('架電リスト'!$B$5:$B$1019,$A4,'架電リスト'!$J$5:$J$1019,"検討中")</f>
        <v/>
      </c>
      <c r="J4" s="16">
        <f>COUNTIFS('架電リスト'!$B$5:$B$1019,$A4,'架電リスト'!$J$5:$J$1019,"NG")</f>
        <v/>
      </c>
      <c r="K4" s="16">
        <f>COUNTIFS('架電リスト'!$B$5:$B$1019,$A4,'架電リスト'!$J$5:$J$1019,"番号不明")</f>
        <v/>
      </c>
    </row>
    <row r="5">
      <c r="A5" s="16" t="inlineStr">
        <is>
          <t>青森県</t>
        </is>
      </c>
      <c r="B5" s="16">
        <f>COUNTIF('架電リスト'!$B$5:$B$1019,A5)</f>
        <v/>
      </c>
      <c r="C5" s="16">
        <f>COUNTIFS('架電リスト'!$B$5:$B$1019,A5,'架電リスト'!$E$5:$E$1019,"&lt;&gt;")</f>
        <v/>
      </c>
      <c r="D5" s="16">
        <f>B5-COUNTIFS('架電リスト'!$B$5:$B$1019,A5,'架電リスト'!$J$5:$J$1019,"未架電")-COUNTIFS('架電リスト'!$B$5:$B$1019,A5,'架電リスト'!$J$5:$J$1019,"")</f>
        <v/>
      </c>
      <c r="E5" s="16">
        <f>COUNTIFS('架電リスト'!$B$5:$B$1019,$A5,'架電リスト'!$J$5:$J$1019,"不在・折返し待ち")</f>
        <v/>
      </c>
      <c r="F5" s="16">
        <f>COUNTIFS('架電リスト'!$B$5:$B$1019,$A5,'架電リスト'!$J$5:$J$1019,"担当者不在")</f>
        <v/>
      </c>
      <c r="G5" s="16">
        <f>COUNTIFS('架電リスト'!$B$5:$B$1019,$A5,'架電リスト'!$J$5:$J$1019,"資料送付")</f>
        <v/>
      </c>
      <c r="H5" s="16">
        <f>COUNTIFS('架電リスト'!$B$5:$B$1019,$A5,'架電リスト'!$J$5:$J$1019,"アポ獲得")</f>
        <v/>
      </c>
      <c r="I5" s="16">
        <f>COUNTIFS('架電リスト'!$B$5:$B$1019,$A5,'架電リスト'!$J$5:$J$1019,"検討中")</f>
        <v/>
      </c>
      <c r="J5" s="16">
        <f>COUNTIFS('架電リスト'!$B$5:$B$1019,$A5,'架電リスト'!$J$5:$J$1019,"NG")</f>
        <v/>
      </c>
      <c r="K5" s="16">
        <f>COUNTIFS('架電リスト'!$B$5:$B$1019,$A5,'架電リスト'!$J$5:$J$1019,"番号不明")</f>
        <v/>
      </c>
    </row>
    <row r="6">
      <c r="A6" s="16" t="inlineStr">
        <is>
          <t>岩手県</t>
        </is>
      </c>
      <c r="B6" s="16">
        <f>COUNTIF('架電リスト'!$B$5:$B$1019,A6)</f>
        <v/>
      </c>
      <c r="C6" s="16">
        <f>COUNTIFS('架電リスト'!$B$5:$B$1019,A6,'架電リスト'!$E$5:$E$1019,"&lt;&gt;")</f>
        <v/>
      </c>
      <c r="D6" s="16">
        <f>B6-COUNTIFS('架電リスト'!$B$5:$B$1019,A6,'架電リスト'!$J$5:$J$1019,"未架電")-COUNTIFS('架電リスト'!$B$5:$B$1019,A6,'架電リスト'!$J$5:$J$1019,"")</f>
        <v/>
      </c>
      <c r="E6" s="16">
        <f>COUNTIFS('架電リスト'!$B$5:$B$1019,$A6,'架電リスト'!$J$5:$J$1019,"不在・折返し待ち")</f>
        <v/>
      </c>
      <c r="F6" s="16">
        <f>COUNTIFS('架電リスト'!$B$5:$B$1019,$A6,'架電リスト'!$J$5:$J$1019,"担当者不在")</f>
        <v/>
      </c>
      <c r="G6" s="16">
        <f>COUNTIFS('架電リスト'!$B$5:$B$1019,$A6,'架電リスト'!$J$5:$J$1019,"資料送付")</f>
        <v/>
      </c>
      <c r="H6" s="16">
        <f>COUNTIFS('架電リスト'!$B$5:$B$1019,$A6,'架電リスト'!$J$5:$J$1019,"アポ獲得")</f>
        <v/>
      </c>
      <c r="I6" s="16">
        <f>COUNTIFS('架電リスト'!$B$5:$B$1019,$A6,'架電リスト'!$J$5:$J$1019,"検討中")</f>
        <v/>
      </c>
      <c r="J6" s="16">
        <f>COUNTIFS('架電リスト'!$B$5:$B$1019,$A6,'架電リスト'!$J$5:$J$1019,"NG")</f>
        <v/>
      </c>
      <c r="K6" s="16">
        <f>COUNTIFS('架電リスト'!$B$5:$B$1019,$A6,'架電リスト'!$J$5:$J$1019,"番号不明")</f>
        <v/>
      </c>
    </row>
    <row r="7">
      <c r="A7" s="16" t="inlineStr">
        <is>
          <t>宮城県</t>
        </is>
      </c>
      <c r="B7" s="16">
        <f>COUNTIF('架電リスト'!$B$5:$B$1019,A7)</f>
        <v/>
      </c>
      <c r="C7" s="16">
        <f>COUNTIFS('架電リスト'!$B$5:$B$1019,A7,'架電リスト'!$E$5:$E$1019,"&lt;&gt;")</f>
        <v/>
      </c>
      <c r="D7" s="16">
        <f>B7-COUNTIFS('架電リスト'!$B$5:$B$1019,A7,'架電リスト'!$J$5:$J$1019,"未架電")-COUNTIFS('架電リスト'!$B$5:$B$1019,A7,'架電リスト'!$J$5:$J$1019,"")</f>
        <v/>
      </c>
      <c r="E7" s="16">
        <f>COUNTIFS('架電リスト'!$B$5:$B$1019,$A7,'架電リスト'!$J$5:$J$1019,"不在・折返し待ち")</f>
        <v/>
      </c>
      <c r="F7" s="16">
        <f>COUNTIFS('架電リスト'!$B$5:$B$1019,$A7,'架電リスト'!$J$5:$J$1019,"担当者不在")</f>
        <v/>
      </c>
      <c r="G7" s="16">
        <f>COUNTIFS('架電リスト'!$B$5:$B$1019,$A7,'架電リスト'!$J$5:$J$1019,"資料送付")</f>
        <v/>
      </c>
      <c r="H7" s="16">
        <f>COUNTIFS('架電リスト'!$B$5:$B$1019,$A7,'架電リスト'!$J$5:$J$1019,"アポ獲得")</f>
        <v/>
      </c>
      <c r="I7" s="16">
        <f>COUNTIFS('架電リスト'!$B$5:$B$1019,$A7,'架電リスト'!$J$5:$J$1019,"検討中")</f>
        <v/>
      </c>
      <c r="J7" s="16">
        <f>COUNTIFS('架電リスト'!$B$5:$B$1019,$A7,'架電リスト'!$J$5:$J$1019,"NG")</f>
        <v/>
      </c>
      <c r="K7" s="16">
        <f>COUNTIFS('架電リスト'!$B$5:$B$1019,$A7,'架電リスト'!$J$5:$J$1019,"番号不明")</f>
        <v/>
      </c>
    </row>
    <row r="8">
      <c r="A8" s="16" t="inlineStr">
        <is>
          <t>秋田県</t>
        </is>
      </c>
      <c r="B8" s="16">
        <f>COUNTIF('架電リスト'!$B$5:$B$1019,A8)</f>
        <v/>
      </c>
      <c r="C8" s="16">
        <f>COUNTIFS('架電リスト'!$B$5:$B$1019,A8,'架電リスト'!$E$5:$E$1019,"&lt;&gt;")</f>
        <v/>
      </c>
      <c r="D8" s="16">
        <f>B8-COUNTIFS('架電リスト'!$B$5:$B$1019,A8,'架電リスト'!$J$5:$J$1019,"未架電")-COUNTIFS('架電リスト'!$B$5:$B$1019,A8,'架電リスト'!$J$5:$J$1019,"")</f>
        <v/>
      </c>
      <c r="E8" s="16">
        <f>COUNTIFS('架電リスト'!$B$5:$B$1019,$A8,'架電リスト'!$J$5:$J$1019,"不在・折返し待ち")</f>
        <v/>
      </c>
      <c r="F8" s="16">
        <f>COUNTIFS('架電リスト'!$B$5:$B$1019,$A8,'架電リスト'!$J$5:$J$1019,"担当者不在")</f>
        <v/>
      </c>
      <c r="G8" s="16">
        <f>COUNTIFS('架電リスト'!$B$5:$B$1019,$A8,'架電リスト'!$J$5:$J$1019,"資料送付")</f>
        <v/>
      </c>
      <c r="H8" s="16">
        <f>COUNTIFS('架電リスト'!$B$5:$B$1019,$A8,'架電リスト'!$J$5:$J$1019,"アポ獲得")</f>
        <v/>
      </c>
      <c r="I8" s="16">
        <f>COUNTIFS('架電リスト'!$B$5:$B$1019,$A8,'架電リスト'!$J$5:$J$1019,"検討中")</f>
        <v/>
      </c>
      <c r="J8" s="16">
        <f>COUNTIFS('架電リスト'!$B$5:$B$1019,$A8,'架電リスト'!$J$5:$J$1019,"NG")</f>
        <v/>
      </c>
      <c r="K8" s="16">
        <f>COUNTIFS('架電リスト'!$B$5:$B$1019,$A8,'架電リスト'!$J$5:$J$1019,"番号不明")</f>
        <v/>
      </c>
    </row>
    <row r="9">
      <c r="A9" s="16" t="inlineStr">
        <is>
          <t>山形県</t>
        </is>
      </c>
      <c r="B9" s="16">
        <f>COUNTIF('架電リスト'!$B$5:$B$1019,A9)</f>
        <v/>
      </c>
      <c r="C9" s="16">
        <f>COUNTIFS('架電リスト'!$B$5:$B$1019,A9,'架電リスト'!$E$5:$E$1019,"&lt;&gt;")</f>
        <v/>
      </c>
      <c r="D9" s="16">
        <f>B9-COUNTIFS('架電リスト'!$B$5:$B$1019,A9,'架電リスト'!$J$5:$J$1019,"未架電")-COUNTIFS('架電リスト'!$B$5:$B$1019,A9,'架電リスト'!$J$5:$J$1019,"")</f>
        <v/>
      </c>
      <c r="E9" s="16">
        <f>COUNTIFS('架電リスト'!$B$5:$B$1019,$A9,'架電リスト'!$J$5:$J$1019,"不在・折返し待ち")</f>
        <v/>
      </c>
      <c r="F9" s="16">
        <f>COUNTIFS('架電リスト'!$B$5:$B$1019,$A9,'架電リスト'!$J$5:$J$1019,"担当者不在")</f>
        <v/>
      </c>
      <c r="G9" s="16">
        <f>COUNTIFS('架電リスト'!$B$5:$B$1019,$A9,'架電リスト'!$J$5:$J$1019,"資料送付")</f>
        <v/>
      </c>
      <c r="H9" s="16">
        <f>COUNTIFS('架電リスト'!$B$5:$B$1019,$A9,'架電リスト'!$J$5:$J$1019,"アポ獲得")</f>
        <v/>
      </c>
      <c r="I9" s="16">
        <f>COUNTIFS('架電リスト'!$B$5:$B$1019,$A9,'架電リスト'!$J$5:$J$1019,"検討中")</f>
        <v/>
      </c>
      <c r="J9" s="16">
        <f>COUNTIFS('架電リスト'!$B$5:$B$1019,$A9,'架電リスト'!$J$5:$J$1019,"NG")</f>
        <v/>
      </c>
      <c r="K9" s="16">
        <f>COUNTIFS('架電リスト'!$B$5:$B$1019,$A9,'架電リスト'!$J$5:$J$1019,"番号不明")</f>
        <v/>
      </c>
    </row>
    <row r="10">
      <c r="A10" s="16" t="inlineStr">
        <is>
          <t>福島県</t>
        </is>
      </c>
      <c r="B10" s="16">
        <f>COUNTIF('架電リスト'!$B$5:$B$1019,A10)</f>
        <v/>
      </c>
      <c r="C10" s="16">
        <f>COUNTIFS('架電リスト'!$B$5:$B$1019,A10,'架電リスト'!$E$5:$E$1019,"&lt;&gt;")</f>
        <v/>
      </c>
      <c r="D10" s="16">
        <f>B10-COUNTIFS('架電リスト'!$B$5:$B$1019,A10,'架電リスト'!$J$5:$J$1019,"未架電")-COUNTIFS('架電リスト'!$B$5:$B$1019,A10,'架電リスト'!$J$5:$J$1019,"")</f>
        <v/>
      </c>
      <c r="E10" s="16">
        <f>COUNTIFS('架電リスト'!$B$5:$B$1019,$A10,'架電リスト'!$J$5:$J$1019,"不在・折返し待ち")</f>
        <v/>
      </c>
      <c r="F10" s="16">
        <f>COUNTIFS('架電リスト'!$B$5:$B$1019,$A10,'架電リスト'!$J$5:$J$1019,"担当者不在")</f>
        <v/>
      </c>
      <c r="G10" s="16">
        <f>COUNTIFS('架電リスト'!$B$5:$B$1019,$A10,'架電リスト'!$J$5:$J$1019,"資料送付")</f>
        <v/>
      </c>
      <c r="H10" s="16">
        <f>COUNTIFS('架電リスト'!$B$5:$B$1019,$A10,'架電リスト'!$J$5:$J$1019,"アポ獲得")</f>
        <v/>
      </c>
      <c r="I10" s="16">
        <f>COUNTIFS('架電リスト'!$B$5:$B$1019,$A10,'架電リスト'!$J$5:$J$1019,"検討中")</f>
        <v/>
      </c>
      <c r="J10" s="16">
        <f>COUNTIFS('架電リスト'!$B$5:$B$1019,$A10,'架電リスト'!$J$5:$J$1019,"NG")</f>
        <v/>
      </c>
      <c r="K10" s="16">
        <f>COUNTIFS('架電リスト'!$B$5:$B$1019,$A10,'架電リスト'!$J$5:$J$1019,"番号不明")</f>
        <v/>
      </c>
    </row>
    <row r="11">
      <c r="A11" s="16" t="inlineStr">
        <is>
          <t>茨城県</t>
        </is>
      </c>
      <c r="B11" s="16">
        <f>COUNTIF('架電リスト'!$B$5:$B$1019,A11)</f>
        <v/>
      </c>
      <c r="C11" s="16">
        <f>COUNTIFS('架電リスト'!$B$5:$B$1019,A11,'架電リスト'!$E$5:$E$1019,"&lt;&gt;")</f>
        <v/>
      </c>
      <c r="D11" s="16">
        <f>B11-COUNTIFS('架電リスト'!$B$5:$B$1019,A11,'架電リスト'!$J$5:$J$1019,"未架電")-COUNTIFS('架電リスト'!$B$5:$B$1019,A11,'架電リスト'!$J$5:$J$1019,"")</f>
        <v/>
      </c>
      <c r="E11" s="16">
        <f>COUNTIFS('架電リスト'!$B$5:$B$1019,$A11,'架電リスト'!$J$5:$J$1019,"不在・折返し待ち")</f>
        <v/>
      </c>
      <c r="F11" s="16">
        <f>COUNTIFS('架電リスト'!$B$5:$B$1019,$A11,'架電リスト'!$J$5:$J$1019,"担当者不在")</f>
        <v/>
      </c>
      <c r="G11" s="16">
        <f>COUNTIFS('架電リスト'!$B$5:$B$1019,$A11,'架電リスト'!$J$5:$J$1019,"資料送付")</f>
        <v/>
      </c>
      <c r="H11" s="16">
        <f>COUNTIFS('架電リスト'!$B$5:$B$1019,$A11,'架電リスト'!$J$5:$J$1019,"アポ獲得")</f>
        <v/>
      </c>
      <c r="I11" s="16">
        <f>COUNTIFS('架電リスト'!$B$5:$B$1019,$A11,'架電リスト'!$J$5:$J$1019,"検討中")</f>
        <v/>
      </c>
      <c r="J11" s="16">
        <f>COUNTIFS('架電リスト'!$B$5:$B$1019,$A11,'架電リスト'!$J$5:$J$1019,"NG")</f>
        <v/>
      </c>
      <c r="K11" s="16">
        <f>COUNTIFS('架電リスト'!$B$5:$B$1019,$A11,'架電リスト'!$J$5:$J$1019,"番号不明")</f>
        <v/>
      </c>
    </row>
    <row r="12">
      <c r="A12" s="16" t="inlineStr">
        <is>
          <t>栃木県</t>
        </is>
      </c>
      <c r="B12" s="16">
        <f>COUNTIF('架電リスト'!$B$5:$B$1019,A12)</f>
        <v/>
      </c>
      <c r="C12" s="16">
        <f>COUNTIFS('架電リスト'!$B$5:$B$1019,A12,'架電リスト'!$E$5:$E$1019,"&lt;&gt;")</f>
        <v/>
      </c>
      <c r="D12" s="16">
        <f>B12-COUNTIFS('架電リスト'!$B$5:$B$1019,A12,'架電リスト'!$J$5:$J$1019,"未架電")-COUNTIFS('架電リスト'!$B$5:$B$1019,A12,'架電リスト'!$J$5:$J$1019,"")</f>
        <v/>
      </c>
      <c r="E12" s="16">
        <f>COUNTIFS('架電リスト'!$B$5:$B$1019,$A12,'架電リスト'!$J$5:$J$1019,"不在・折返し待ち")</f>
        <v/>
      </c>
      <c r="F12" s="16">
        <f>COUNTIFS('架電リスト'!$B$5:$B$1019,$A12,'架電リスト'!$J$5:$J$1019,"担当者不在")</f>
        <v/>
      </c>
      <c r="G12" s="16">
        <f>COUNTIFS('架電リスト'!$B$5:$B$1019,$A12,'架電リスト'!$J$5:$J$1019,"資料送付")</f>
        <v/>
      </c>
      <c r="H12" s="16">
        <f>COUNTIFS('架電リスト'!$B$5:$B$1019,$A12,'架電リスト'!$J$5:$J$1019,"アポ獲得")</f>
        <v/>
      </c>
      <c r="I12" s="16">
        <f>COUNTIFS('架電リスト'!$B$5:$B$1019,$A12,'架電リスト'!$J$5:$J$1019,"検討中")</f>
        <v/>
      </c>
      <c r="J12" s="16">
        <f>COUNTIFS('架電リスト'!$B$5:$B$1019,$A12,'架電リスト'!$J$5:$J$1019,"NG")</f>
        <v/>
      </c>
      <c r="K12" s="16">
        <f>COUNTIFS('架電リスト'!$B$5:$B$1019,$A12,'架電リスト'!$J$5:$J$1019,"番号不明")</f>
        <v/>
      </c>
    </row>
    <row r="13">
      <c r="A13" s="16" t="inlineStr">
        <is>
          <t>群馬県</t>
        </is>
      </c>
      <c r="B13" s="16">
        <f>COUNTIF('架電リスト'!$B$5:$B$1019,A13)</f>
        <v/>
      </c>
      <c r="C13" s="16">
        <f>COUNTIFS('架電リスト'!$B$5:$B$1019,A13,'架電リスト'!$E$5:$E$1019,"&lt;&gt;")</f>
        <v/>
      </c>
      <c r="D13" s="16">
        <f>B13-COUNTIFS('架電リスト'!$B$5:$B$1019,A13,'架電リスト'!$J$5:$J$1019,"未架電")-COUNTIFS('架電リスト'!$B$5:$B$1019,A13,'架電リスト'!$J$5:$J$1019,"")</f>
        <v/>
      </c>
      <c r="E13" s="16">
        <f>COUNTIFS('架電リスト'!$B$5:$B$1019,$A13,'架電リスト'!$J$5:$J$1019,"不在・折返し待ち")</f>
        <v/>
      </c>
      <c r="F13" s="16">
        <f>COUNTIFS('架電リスト'!$B$5:$B$1019,$A13,'架電リスト'!$J$5:$J$1019,"担当者不在")</f>
        <v/>
      </c>
      <c r="G13" s="16">
        <f>COUNTIFS('架電リスト'!$B$5:$B$1019,$A13,'架電リスト'!$J$5:$J$1019,"資料送付")</f>
        <v/>
      </c>
      <c r="H13" s="16">
        <f>COUNTIFS('架電リスト'!$B$5:$B$1019,$A13,'架電リスト'!$J$5:$J$1019,"アポ獲得")</f>
        <v/>
      </c>
      <c r="I13" s="16">
        <f>COUNTIFS('架電リスト'!$B$5:$B$1019,$A13,'架電リスト'!$J$5:$J$1019,"検討中")</f>
        <v/>
      </c>
      <c r="J13" s="16">
        <f>COUNTIFS('架電リスト'!$B$5:$B$1019,$A13,'架電リスト'!$J$5:$J$1019,"NG")</f>
        <v/>
      </c>
      <c r="K13" s="16">
        <f>COUNTIFS('架電リスト'!$B$5:$B$1019,$A13,'架電リスト'!$J$5:$J$1019,"番号不明")</f>
        <v/>
      </c>
    </row>
    <row r="14">
      <c r="A14" s="16" t="inlineStr">
        <is>
          <t>埼玉県</t>
        </is>
      </c>
      <c r="B14" s="16">
        <f>COUNTIF('架電リスト'!$B$5:$B$1019,A14)</f>
        <v/>
      </c>
      <c r="C14" s="16">
        <f>COUNTIFS('架電リスト'!$B$5:$B$1019,A14,'架電リスト'!$E$5:$E$1019,"&lt;&gt;")</f>
        <v/>
      </c>
      <c r="D14" s="16">
        <f>B14-COUNTIFS('架電リスト'!$B$5:$B$1019,A14,'架電リスト'!$J$5:$J$1019,"未架電")-COUNTIFS('架電リスト'!$B$5:$B$1019,A14,'架電リスト'!$J$5:$J$1019,"")</f>
        <v/>
      </c>
      <c r="E14" s="16">
        <f>COUNTIFS('架電リスト'!$B$5:$B$1019,$A14,'架電リスト'!$J$5:$J$1019,"不在・折返し待ち")</f>
        <v/>
      </c>
      <c r="F14" s="16">
        <f>COUNTIFS('架電リスト'!$B$5:$B$1019,$A14,'架電リスト'!$J$5:$J$1019,"担当者不在")</f>
        <v/>
      </c>
      <c r="G14" s="16">
        <f>COUNTIFS('架電リスト'!$B$5:$B$1019,$A14,'架電リスト'!$J$5:$J$1019,"資料送付")</f>
        <v/>
      </c>
      <c r="H14" s="16">
        <f>COUNTIFS('架電リスト'!$B$5:$B$1019,$A14,'架電リスト'!$J$5:$J$1019,"アポ獲得")</f>
        <v/>
      </c>
      <c r="I14" s="16">
        <f>COUNTIFS('架電リスト'!$B$5:$B$1019,$A14,'架電リスト'!$J$5:$J$1019,"検討中")</f>
        <v/>
      </c>
      <c r="J14" s="16">
        <f>COUNTIFS('架電リスト'!$B$5:$B$1019,$A14,'架電リスト'!$J$5:$J$1019,"NG")</f>
        <v/>
      </c>
      <c r="K14" s="16">
        <f>COUNTIFS('架電リスト'!$B$5:$B$1019,$A14,'架電リスト'!$J$5:$J$1019,"番号不明")</f>
        <v/>
      </c>
    </row>
    <row r="15">
      <c r="A15" s="16" t="inlineStr">
        <is>
          <t>千葉県</t>
        </is>
      </c>
      <c r="B15" s="16">
        <f>COUNTIF('架電リスト'!$B$5:$B$1019,A15)</f>
        <v/>
      </c>
      <c r="C15" s="16">
        <f>COUNTIFS('架電リスト'!$B$5:$B$1019,A15,'架電リスト'!$E$5:$E$1019,"&lt;&gt;")</f>
        <v/>
      </c>
      <c r="D15" s="16">
        <f>B15-COUNTIFS('架電リスト'!$B$5:$B$1019,A15,'架電リスト'!$J$5:$J$1019,"未架電")-COUNTIFS('架電リスト'!$B$5:$B$1019,A15,'架電リスト'!$J$5:$J$1019,"")</f>
        <v/>
      </c>
      <c r="E15" s="16">
        <f>COUNTIFS('架電リスト'!$B$5:$B$1019,$A15,'架電リスト'!$J$5:$J$1019,"不在・折返し待ち")</f>
        <v/>
      </c>
      <c r="F15" s="16">
        <f>COUNTIFS('架電リスト'!$B$5:$B$1019,$A15,'架電リスト'!$J$5:$J$1019,"担当者不在")</f>
        <v/>
      </c>
      <c r="G15" s="16">
        <f>COUNTIFS('架電リスト'!$B$5:$B$1019,$A15,'架電リスト'!$J$5:$J$1019,"資料送付")</f>
        <v/>
      </c>
      <c r="H15" s="16">
        <f>COUNTIFS('架電リスト'!$B$5:$B$1019,$A15,'架電リスト'!$J$5:$J$1019,"アポ獲得")</f>
        <v/>
      </c>
      <c r="I15" s="16">
        <f>COUNTIFS('架電リスト'!$B$5:$B$1019,$A15,'架電リスト'!$J$5:$J$1019,"検討中")</f>
        <v/>
      </c>
      <c r="J15" s="16">
        <f>COUNTIFS('架電リスト'!$B$5:$B$1019,$A15,'架電リスト'!$J$5:$J$1019,"NG")</f>
        <v/>
      </c>
      <c r="K15" s="16">
        <f>COUNTIFS('架電リスト'!$B$5:$B$1019,$A15,'架電リスト'!$J$5:$J$1019,"番号不明")</f>
        <v/>
      </c>
    </row>
    <row r="16">
      <c r="A16" s="16" t="inlineStr">
        <is>
          <t>東京都</t>
        </is>
      </c>
      <c r="B16" s="16">
        <f>COUNTIF('架電リスト'!$B$5:$B$1019,A16)</f>
        <v/>
      </c>
      <c r="C16" s="16">
        <f>COUNTIFS('架電リスト'!$B$5:$B$1019,A16,'架電リスト'!$E$5:$E$1019,"&lt;&gt;")</f>
        <v/>
      </c>
      <c r="D16" s="16">
        <f>B16-COUNTIFS('架電リスト'!$B$5:$B$1019,A16,'架電リスト'!$J$5:$J$1019,"未架電")-COUNTIFS('架電リスト'!$B$5:$B$1019,A16,'架電リスト'!$J$5:$J$1019,"")</f>
        <v/>
      </c>
      <c r="E16" s="16">
        <f>COUNTIFS('架電リスト'!$B$5:$B$1019,$A16,'架電リスト'!$J$5:$J$1019,"不在・折返し待ち")</f>
        <v/>
      </c>
      <c r="F16" s="16">
        <f>COUNTIFS('架電リスト'!$B$5:$B$1019,$A16,'架電リスト'!$J$5:$J$1019,"担当者不在")</f>
        <v/>
      </c>
      <c r="G16" s="16">
        <f>COUNTIFS('架電リスト'!$B$5:$B$1019,$A16,'架電リスト'!$J$5:$J$1019,"資料送付")</f>
        <v/>
      </c>
      <c r="H16" s="16">
        <f>COUNTIFS('架電リスト'!$B$5:$B$1019,$A16,'架電リスト'!$J$5:$J$1019,"アポ獲得")</f>
        <v/>
      </c>
      <c r="I16" s="16">
        <f>COUNTIFS('架電リスト'!$B$5:$B$1019,$A16,'架電リスト'!$J$5:$J$1019,"検討中")</f>
        <v/>
      </c>
      <c r="J16" s="16">
        <f>COUNTIFS('架電リスト'!$B$5:$B$1019,$A16,'架電リスト'!$J$5:$J$1019,"NG")</f>
        <v/>
      </c>
      <c r="K16" s="16">
        <f>COUNTIFS('架電リスト'!$B$5:$B$1019,$A16,'架電リスト'!$J$5:$J$1019,"番号不明")</f>
        <v/>
      </c>
    </row>
    <row r="17">
      <c r="A17" s="16" t="inlineStr">
        <is>
          <t>神奈川県</t>
        </is>
      </c>
      <c r="B17" s="16">
        <f>COUNTIF('架電リスト'!$B$5:$B$1019,A17)</f>
        <v/>
      </c>
      <c r="C17" s="16">
        <f>COUNTIFS('架電リスト'!$B$5:$B$1019,A17,'架電リスト'!$E$5:$E$1019,"&lt;&gt;")</f>
        <v/>
      </c>
      <c r="D17" s="16">
        <f>B17-COUNTIFS('架電リスト'!$B$5:$B$1019,A17,'架電リスト'!$J$5:$J$1019,"未架電")-COUNTIFS('架電リスト'!$B$5:$B$1019,A17,'架電リスト'!$J$5:$J$1019,"")</f>
        <v/>
      </c>
      <c r="E17" s="16">
        <f>COUNTIFS('架電リスト'!$B$5:$B$1019,$A17,'架電リスト'!$J$5:$J$1019,"不在・折返し待ち")</f>
        <v/>
      </c>
      <c r="F17" s="16">
        <f>COUNTIFS('架電リスト'!$B$5:$B$1019,$A17,'架電リスト'!$J$5:$J$1019,"担当者不在")</f>
        <v/>
      </c>
      <c r="G17" s="16">
        <f>COUNTIFS('架電リスト'!$B$5:$B$1019,$A17,'架電リスト'!$J$5:$J$1019,"資料送付")</f>
        <v/>
      </c>
      <c r="H17" s="16">
        <f>COUNTIFS('架電リスト'!$B$5:$B$1019,$A17,'架電リスト'!$J$5:$J$1019,"アポ獲得")</f>
        <v/>
      </c>
      <c r="I17" s="16">
        <f>COUNTIFS('架電リスト'!$B$5:$B$1019,$A17,'架電リスト'!$J$5:$J$1019,"検討中")</f>
        <v/>
      </c>
      <c r="J17" s="16">
        <f>COUNTIFS('架電リスト'!$B$5:$B$1019,$A17,'架電リスト'!$J$5:$J$1019,"NG")</f>
        <v/>
      </c>
      <c r="K17" s="16">
        <f>COUNTIFS('架電リスト'!$B$5:$B$1019,$A17,'架電リスト'!$J$5:$J$1019,"番号不明")</f>
        <v/>
      </c>
    </row>
    <row r="18">
      <c r="A18" s="16" t="inlineStr">
        <is>
          <t>新潟県</t>
        </is>
      </c>
      <c r="B18" s="16">
        <f>COUNTIF('架電リスト'!$B$5:$B$1019,A18)</f>
        <v/>
      </c>
      <c r="C18" s="16">
        <f>COUNTIFS('架電リスト'!$B$5:$B$1019,A18,'架電リスト'!$E$5:$E$1019,"&lt;&gt;")</f>
        <v/>
      </c>
      <c r="D18" s="16">
        <f>B18-COUNTIFS('架電リスト'!$B$5:$B$1019,A18,'架電リスト'!$J$5:$J$1019,"未架電")-COUNTIFS('架電リスト'!$B$5:$B$1019,A18,'架電リスト'!$J$5:$J$1019,"")</f>
        <v/>
      </c>
      <c r="E18" s="16">
        <f>COUNTIFS('架電リスト'!$B$5:$B$1019,$A18,'架電リスト'!$J$5:$J$1019,"不在・折返し待ち")</f>
        <v/>
      </c>
      <c r="F18" s="16">
        <f>COUNTIFS('架電リスト'!$B$5:$B$1019,$A18,'架電リスト'!$J$5:$J$1019,"担当者不在")</f>
        <v/>
      </c>
      <c r="G18" s="16">
        <f>COUNTIFS('架電リスト'!$B$5:$B$1019,$A18,'架電リスト'!$J$5:$J$1019,"資料送付")</f>
        <v/>
      </c>
      <c r="H18" s="16">
        <f>COUNTIFS('架電リスト'!$B$5:$B$1019,$A18,'架電リスト'!$J$5:$J$1019,"アポ獲得")</f>
        <v/>
      </c>
      <c r="I18" s="16">
        <f>COUNTIFS('架電リスト'!$B$5:$B$1019,$A18,'架電リスト'!$J$5:$J$1019,"検討中")</f>
        <v/>
      </c>
      <c r="J18" s="16">
        <f>COUNTIFS('架電リスト'!$B$5:$B$1019,$A18,'架電リスト'!$J$5:$J$1019,"NG")</f>
        <v/>
      </c>
      <c r="K18" s="16">
        <f>COUNTIFS('架電リスト'!$B$5:$B$1019,$A18,'架電リスト'!$J$5:$J$1019,"番号不明")</f>
        <v/>
      </c>
    </row>
    <row r="19">
      <c r="A19" s="16" t="inlineStr">
        <is>
          <t>富山県</t>
        </is>
      </c>
      <c r="B19" s="16">
        <f>COUNTIF('架電リスト'!$B$5:$B$1019,A19)</f>
        <v/>
      </c>
      <c r="C19" s="16">
        <f>COUNTIFS('架電リスト'!$B$5:$B$1019,A19,'架電リスト'!$E$5:$E$1019,"&lt;&gt;")</f>
        <v/>
      </c>
      <c r="D19" s="16">
        <f>B19-COUNTIFS('架電リスト'!$B$5:$B$1019,A19,'架電リスト'!$J$5:$J$1019,"未架電")-COUNTIFS('架電リスト'!$B$5:$B$1019,A19,'架電リスト'!$J$5:$J$1019,"")</f>
        <v/>
      </c>
      <c r="E19" s="16">
        <f>COUNTIFS('架電リスト'!$B$5:$B$1019,$A19,'架電リスト'!$J$5:$J$1019,"不在・折返し待ち")</f>
        <v/>
      </c>
      <c r="F19" s="16">
        <f>COUNTIFS('架電リスト'!$B$5:$B$1019,$A19,'架電リスト'!$J$5:$J$1019,"担当者不在")</f>
        <v/>
      </c>
      <c r="G19" s="16">
        <f>COUNTIFS('架電リスト'!$B$5:$B$1019,$A19,'架電リスト'!$J$5:$J$1019,"資料送付")</f>
        <v/>
      </c>
      <c r="H19" s="16">
        <f>COUNTIFS('架電リスト'!$B$5:$B$1019,$A19,'架電リスト'!$J$5:$J$1019,"アポ獲得")</f>
        <v/>
      </c>
      <c r="I19" s="16">
        <f>COUNTIFS('架電リスト'!$B$5:$B$1019,$A19,'架電リスト'!$J$5:$J$1019,"検討中")</f>
        <v/>
      </c>
      <c r="J19" s="16">
        <f>COUNTIFS('架電リスト'!$B$5:$B$1019,$A19,'架電リスト'!$J$5:$J$1019,"NG")</f>
        <v/>
      </c>
      <c r="K19" s="16">
        <f>COUNTIFS('架電リスト'!$B$5:$B$1019,$A19,'架電リスト'!$J$5:$J$1019,"番号不明")</f>
        <v/>
      </c>
    </row>
    <row r="20">
      <c r="A20" s="16" t="inlineStr">
        <is>
          <t>石川県</t>
        </is>
      </c>
      <c r="B20" s="16">
        <f>COUNTIF('架電リスト'!$B$5:$B$1019,A20)</f>
        <v/>
      </c>
      <c r="C20" s="16">
        <f>COUNTIFS('架電リスト'!$B$5:$B$1019,A20,'架電リスト'!$E$5:$E$1019,"&lt;&gt;")</f>
        <v/>
      </c>
      <c r="D20" s="16">
        <f>B20-COUNTIFS('架電リスト'!$B$5:$B$1019,A20,'架電リスト'!$J$5:$J$1019,"未架電")-COUNTIFS('架電リスト'!$B$5:$B$1019,A20,'架電リスト'!$J$5:$J$1019,"")</f>
        <v/>
      </c>
      <c r="E20" s="16">
        <f>COUNTIFS('架電リスト'!$B$5:$B$1019,$A20,'架電リスト'!$J$5:$J$1019,"不在・折返し待ち")</f>
        <v/>
      </c>
      <c r="F20" s="16">
        <f>COUNTIFS('架電リスト'!$B$5:$B$1019,$A20,'架電リスト'!$J$5:$J$1019,"担当者不在")</f>
        <v/>
      </c>
      <c r="G20" s="16">
        <f>COUNTIFS('架電リスト'!$B$5:$B$1019,$A20,'架電リスト'!$J$5:$J$1019,"資料送付")</f>
        <v/>
      </c>
      <c r="H20" s="16">
        <f>COUNTIFS('架電リスト'!$B$5:$B$1019,$A20,'架電リスト'!$J$5:$J$1019,"アポ獲得")</f>
        <v/>
      </c>
      <c r="I20" s="16">
        <f>COUNTIFS('架電リスト'!$B$5:$B$1019,$A20,'架電リスト'!$J$5:$J$1019,"検討中")</f>
        <v/>
      </c>
      <c r="J20" s="16">
        <f>COUNTIFS('架電リスト'!$B$5:$B$1019,$A20,'架電リスト'!$J$5:$J$1019,"NG")</f>
        <v/>
      </c>
      <c r="K20" s="16">
        <f>COUNTIFS('架電リスト'!$B$5:$B$1019,$A20,'架電リスト'!$J$5:$J$1019,"番号不明")</f>
        <v/>
      </c>
    </row>
    <row r="21">
      <c r="A21" s="16" t="inlineStr">
        <is>
          <t>福井県</t>
        </is>
      </c>
      <c r="B21" s="16">
        <f>COUNTIF('架電リスト'!$B$5:$B$1019,A21)</f>
        <v/>
      </c>
      <c r="C21" s="16">
        <f>COUNTIFS('架電リスト'!$B$5:$B$1019,A21,'架電リスト'!$E$5:$E$1019,"&lt;&gt;")</f>
        <v/>
      </c>
      <c r="D21" s="16">
        <f>B21-COUNTIFS('架電リスト'!$B$5:$B$1019,A21,'架電リスト'!$J$5:$J$1019,"未架電")-COUNTIFS('架電リスト'!$B$5:$B$1019,A21,'架電リスト'!$J$5:$J$1019,"")</f>
        <v/>
      </c>
      <c r="E21" s="16">
        <f>COUNTIFS('架電リスト'!$B$5:$B$1019,$A21,'架電リスト'!$J$5:$J$1019,"不在・折返し待ち")</f>
        <v/>
      </c>
      <c r="F21" s="16">
        <f>COUNTIFS('架電リスト'!$B$5:$B$1019,$A21,'架電リスト'!$J$5:$J$1019,"担当者不在")</f>
        <v/>
      </c>
      <c r="G21" s="16">
        <f>COUNTIFS('架電リスト'!$B$5:$B$1019,$A21,'架電リスト'!$J$5:$J$1019,"資料送付")</f>
        <v/>
      </c>
      <c r="H21" s="16">
        <f>COUNTIFS('架電リスト'!$B$5:$B$1019,$A21,'架電リスト'!$J$5:$J$1019,"アポ獲得")</f>
        <v/>
      </c>
      <c r="I21" s="16">
        <f>COUNTIFS('架電リスト'!$B$5:$B$1019,$A21,'架電リスト'!$J$5:$J$1019,"検討中")</f>
        <v/>
      </c>
      <c r="J21" s="16">
        <f>COUNTIFS('架電リスト'!$B$5:$B$1019,$A21,'架電リスト'!$J$5:$J$1019,"NG")</f>
        <v/>
      </c>
      <c r="K21" s="16">
        <f>COUNTIFS('架電リスト'!$B$5:$B$1019,$A21,'架電リスト'!$J$5:$J$1019,"番号不明")</f>
        <v/>
      </c>
    </row>
    <row r="22">
      <c r="A22" s="16" t="inlineStr">
        <is>
          <t>山梨県</t>
        </is>
      </c>
      <c r="B22" s="16">
        <f>COUNTIF('架電リスト'!$B$5:$B$1019,A22)</f>
        <v/>
      </c>
      <c r="C22" s="16">
        <f>COUNTIFS('架電リスト'!$B$5:$B$1019,A22,'架電リスト'!$E$5:$E$1019,"&lt;&gt;")</f>
        <v/>
      </c>
      <c r="D22" s="16">
        <f>B22-COUNTIFS('架電リスト'!$B$5:$B$1019,A22,'架電リスト'!$J$5:$J$1019,"未架電")-COUNTIFS('架電リスト'!$B$5:$B$1019,A22,'架電リスト'!$J$5:$J$1019,"")</f>
        <v/>
      </c>
      <c r="E22" s="16">
        <f>COUNTIFS('架電リスト'!$B$5:$B$1019,$A22,'架電リスト'!$J$5:$J$1019,"不在・折返し待ち")</f>
        <v/>
      </c>
      <c r="F22" s="16">
        <f>COUNTIFS('架電リスト'!$B$5:$B$1019,$A22,'架電リスト'!$J$5:$J$1019,"担当者不在")</f>
        <v/>
      </c>
      <c r="G22" s="16">
        <f>COUNTIFS('架電リスト'!$B$5:$B$1019,$A22,'架電リスト'!$J$5:$J$1019,"資料送付")</f>
        <v/>
      </c>
      <c r="H22" s="16">
        <f>COUNTIFS('架電リスト'!$B$5:$B$1019,$A22,'架電リスト'!$J$5:$J$1019,"アポ獲得")</f>
        <v/>
      </c>
      <c r="I22" s="16">
        <f>COUNTIFS('架電リスト'!$B$5:$B$1019,$A22,'架電リスト'!$J$5:$J$1019,"検討中")</f>
        <v/>
      </c>
      <c r="J22" s="16">
        <f>COUNTIFS('架電リスト'!$B$5:$B$1019,$A22,'架電リスト'!$J$5:$J$1019,"NG")</f>
        <v/>
      </c>
      <c r="K22" s="16">
        <f>COUNTIFS('架電リスト'!$B$5:$B$1019,$A22,'架電リスト'!$J$5:$J$1019,"番号不明")</f>
        <v/>
      </c>
    </row>
    <row r="23">
      <c r="A23" s="16" t="inlineStr">
        <is>
          <t>長野県</t>
        </is>
      </c>
      <c r="B23" s="16">
        <f>COUNTIF('架電リスト'!$B$5:$B$1019,A23)</f>
        <v/>
      </c>
      <c r="C23" s="16">
        <f>COUNTIFS('架電リスト'!$B$5:$B$1019,A23,'架電リスト'!$E$5:$E$1019,"&lt;&gt;")</f>
        <v/>
      </c>
      <c r="D23" s="16">
        <f>B23-COUNTIFS('架電リスト'!$B$5:$B$1019,A23,'架電リスト'!$J$5:$J$1019,"未架電")-COUNTIFS('架電リスト'!$B$5:$B$1019,A23,'架電リスト'!$J$5:$J$1019,"")</f>
        <v/>
      </c>
      <c r="E23" s="16">
        <f>COUNTIFS('架電リスト'!$B$5:$B$1019,$A23,'架電リスト'!$J$5:$J$1019,"不在・折返し待ち")</f>
        <v/>
      </c>
      <c r="F23" s="16">
        <f>COUNTIFS('架電リスト'!$B$5:$B$1019,$A23,'架電リスト'!$J$5:$J$1019,"担当者不在")</f>
        <v/>
      </c>
      <c r="G23" s="16">
        <f>COUNTIFS('架電リスト'!$B$5:$B$1019,$A23,'架電リスト'!$J$5:$J$1019,"資料送付")</f>
        <v/>
      </c>
      <c r="H23" s="16">
        <f>COUNTIFS('架電リスト'!$B$5:$B$1019,$A23,'架電リスト'!$J$5:$J$1019,"アポ獲得")</f>
        <v/>
      </c>
      <c r="I23" s="16">
        <f>COUNTIFS('架電リスト'!$B$5:$B$1019,$A23,'架電リスト'!$J$5:$J$1019,"検討中")</f>
        <v/>
      </c>
      <c r="J23" s="16">
        <f>COUNTIFS('架電リスト'!$B$5:$B$1019,$A23,'架電リスト'!$J$5:$J$1019,"NG")</f>
        <v/>
      </c>
      <c r="K23" s="16">
        <f>COUNTIFS('架電リスト'!$B$5:$B$1019,$A23,'架電リスト'!$J$5:$J$1019,"番号不明")</f>
        <v/>
      </c>
    </row>
    <row r="24">
      <c r="A24" s="16" t="inlineStr">
        <is>
          <t>岐阜県</t>
        </is>
      </c>
      <c r="B24" s="16">
        <f>COUNTIF('架電リスト'!$B$5:$B$1019,A24)</f>
        <v/>
      </c>
      <c r="C24" s="16">
        <f>COUNTIFS('架電リスト'!$B$5:$B$1019,A24,'架電リスト'!$E$5:$E$1019,"&lt;&gt;")</f>
        <v/>
      </c>
      <c r="D24" s="16">
        <f>B24-COUNTIFS('架電リスト'!$B$5:$B$1019,A24,'架電リスト'!$J$5:$J$1019,"未架電")-COUNTIFS('架電リスト'!$B$5:$B$1019,A24,'架電リスト'!$J$5:$J$1019,"")</f>
        <v/>
      </c>
      <c r="E24" s="16">
        <f>COUNTIFS('架電リスト'!$B$5:$B$1019,$A24,'架電リスト'!$J$5:$J$1019,"不在・折返し待ち")</f>
        <v/>
      </c>
      <c r="F24" s="16">
        <f>COUNTIFS('架電リスト'!$B$5:$B$1019,$A24,'架電リスト'!$J$5:$J$1019,"担当者不在")</f>
        <v/>
      </c>
      <c r="G24" s="16">
        <f>COUNTIFS('架電リスト'!$B$5:$B$1019,$A24,'架電リスト'!$J$5:$J$1019,"資料送付")</f>
        <v/>
      </c>
      <c r="H24" s="16">
        <f>COUNTIFS('架電リスト'!$B$5:$B$1019,$A24,'架電リスト'!$J$5:$J$1019,"アポ獲得")</f>
        <v/>
      </c>
      <c r="I24" s="16">
        <f>COUNTIFS('架電リスト'!$B$5:$B$1019,$A24,'架電リスト'!$J$5:$J$1019,"検討中")</f>
        <v/>
      </c>
      <c r="J24" s="16">
        <f>COUNTIFS('架電リスト'!$B$5:$B$1019,$A24,'架電リスト'!$J$5:$J$1019,"NG")</f>
        <v/>
      </c>
      <c r="K24" s="16">
        <f>COUNTIFS('架電リスト'!$B$5:$B$1019,$A24,'架電リスト'!$J$5:$J$1019,"番号不明")</f>
        <v/>
      </c>
    </row>
    <row r="25">
      <c r="A25" s="16" t="inlineStr">
        <is>
          <t>静岡県</t>
        </is>
      </c>
      <c r="B25" s="16">
        <f>COUNTIF('架電リスト'!$B$5:$B$1019,A25)</f>
        <v/>
      </c>
      <c r="C25" s="16">
        <f>COUNTIFS('架電リスト'!$B$5:$B$1019,A25,'架電リスト'!$E$5:$E$1019,"&lt;&gt;")</f>
        <v/>
      </c>
      <c r="D25" s="16">
        <f>B25-COUNTIFS('架電リスト'!$B$5:$B$1019,A25,'架電リスト'!$J$5:$J$1019,"未架電")-COUNTIFS('架電リスト'!$B$5:$B$1019,A25,'架電リスト'!$J$5:$J$1019,"")</f>
        <v/>
      </c>
      <c r="E25" s="16">
        <f>COUNTIFS('架電リスト'!$B$5:$B$1019,$A25,'架電リスト'!$J$5:$J$1019,"不在・折返し待ち")</f>
        <v/>
      </c>
      <c r="F25" s="16">
        <f>COUNTIFS('架電リスト'!$B$5:$B$1019,$A25,'架電リスト'!$J$5:$J$1019,"担当者不在")</f>
        <v/>
      </c>
      <c r="G25" s="16">
        <f>COUNTIFS('架電リスト'!$B$5:$B$1019,$A25,'架電リスト'!$J$5:$J$1019,"資料送付")</f>
        <v/>
      </c>
      <c r="H25" s="16">
        <f>COUNTIFS('架電リスト'!$B$5:$B$1019,$A25,'架電リスト'!$J$5:$J$1019,"アポ獲得")</f>
        <v/>
      </c>
      <c r="I25" s="16">
        <f>COUNTIFS('架電リスト'!$B$5:$B$1019,$A25,'架電リスト'!$J$5:$J$1019,"検討中")</f>
        <v/>
      </c>
      <c r="J25" s="16">
        <f>COUNTIFS('架電リスト'!$B$5:$B$1019,$A25,'架電リスト'!$J$5:$J$1019,"NG")</f>
        <v/>
      </c>
      <c r="K25" s="16">
        <f>COUNTIFS('架電リスト'!$B$5:$B$1019,$A25,'架電リスト'!$J$5:$J$1019,"番号不明")</f>
        <v/>
      </c>
    </row>
    <row r="26">
      <c r="A26" s="16" t="inlineStr">
        <is>
          <t>愛知県</t>
        </is>
      </c>
      <c r="B26" s="16">
        <f>COUNTIF('架電リスト'!$B$5:$B$1019,A26)</f>
        <v/>
      </c>
      <c r="C26" s="16">
        <f>COUNTIFS('架電リスト'!$B$5:$B$1019,A26,'架電リスト'!$E$5:$E$1019,"&lt;&gt;")</f>
        <v/>
      </c>
      <c r="D26" s="16">
        <f>B26-COUNTIFS('架電リスト'!$B$5:$B$1019,A26,'架電リスト'!$J$5:$J$1019,"未架電")-COUNTIFS('架電リスト'!$B$5:$B$1019,A26,'架電リスト'!$J$5:$J$1019,"")</f>
        <v/>
      </c>
      <c r="E26" s="16">
        <f>COUNTIFS('架電リスト'!$B$5:$B$1019,$A26,'架電リスト'!$J$5:$J$1019,"不在・折返し待ち")</f>
        <v/>
      </c>
      <c r="F26" s="16">
        <f>COUNTIFS('架電リスト'!$B$5:$B$1019,$A26,'架電リスト'!$J$5:$J$1019,"担当者不在")</f>
        <v/>
      </c>
      <c r="G26" s="16">
        <f>COUNTIFS('架電リスト'!$B$5:$B$1019,$A26,'架電リスト'!$J$5:$J$1019,"資料送付")</f>
        <v/>
      </c>
      <c r="H26" s="16">
        <f>COUNTIFS('架電リスト'!$B$5:$B$1019,$A26,'架電リスト'!$J$5:$J$1019,"アポ獲得")</f>
        <v/>
      </c>
      <c r="I26" s="16">
        <f>COUNTIFS('架電リスト'!$B$5:$B$1019,$A26,'架電リスト'!$J$5:$J$1019,"検討中")</f>
        <v/>
      </c>
      <c r="J26" s="16">
        <f>COUNTIFS('架電リスト'!$B$5:$B$1019,$A26,'架電リスト'!$J$5:$J$1019,"NG")</f>
        <v/>
      </c>
      <c r="K26" s="16">
        <f>COUNTIFS('架電リスト'!$B$5:$B$1019,$A26,'架電リスト'!$J$5:$J$1019,"番号不明")</f>
        <v/>
      </c>
    </row>
    <row r="27">
      <c r="A27" s="16" t="inlineStr">
        <is>
          <t>三重県</t>
        </is>
      </c>
      <c r="B27" s="16">
        <f>COUNTIF('架電リスト'!$B$5:$B$1019,A27)</f>
        <v/>
      </c>
      <c r="C27" s="16">
        <f>COUNTIFS('架電リスト'!$B$5:$B$1019,A27,'架電リスト'!$E$5:$E$1019,"&lt;&gt;")</f>
        <v/>
      </c>
      <c r="D27" s="16">
        <f>B27-COUNTIFS('架電リスト'!$B$5:$B$1019,A27,'架電リスト'!$J$5:$J$1019,"未架電")-COUNTIFS('架電リスト'!$B$5:$B$1019,A27,'架電リスト'!$J$5:$J$1019,"")</f>
        <v/>
      </c>
      <c r="E27" s="16">
        <f>COUNTIFS('架電リスト'!$B$5:$B$1019,$A27,'架電リスト'!$J$5:$J$1019,"不在・折返し待ち")</f>
        <v/>
      </c>
      <c r="F27" s="16">
        <f>COUNTIFS('架電リスト'!$B$5:$B$1019,$A27,'架電リスト'!$J$5:$J$1019,"担当者不在")</f>
        <v/>
      </c>
      <c r="G27" s="16">
        <f>COUNTIFS('架電リスト'!$B$5:$B$1019,$A27,'架電リスト'!$J$5:$J$1019,"資料送付")</f>
        <v/>
      </c>
      <c r="H27" s="16">
        <f>COUNTIFS('架電リスト'!$B$5:$B$1019,$A27,'架電リスト'!$J$5:$J$1019,"アポ獲得")</f>
        <v/>
      </c>
      <c r="I27" s="16">
        <f>COUNTIFS('架電リスト'!$B$5:$B$1019,$A27,'架電リスト'!$J$5:$J$1019,"検討中")</f>
        <v/>
      </c>
      <c r="J27" s="16">
        <f>COUNTIFS('架電リスト'!$B$5:$B$1019,$A27,'架電リスト'!$J$5:$J$1019,"NG")</f>
        <v/>
      </c>
      <c r="K27" s="16">
        <f>COUNTIFS('架電リスト'!$B$5:$B$1019,$A27,'架電リスト'!$J$5:$J$1019,"番号不明")</f>
        <v/>
      </c>
    </row>
    <row r="28">
      <c r="A28" s="16" t="inlineStr">
        <is>
          <t>滋賀県</t>
        </is>
      </c>
      <c r="B28" s="16">
        <f>COUNTIF('架電リスト'!$B$5:$B$1019,A28)</f>
        <v/>
      </c>
      <c r="C28" s="16">
        <f>COUNTIFS('架電リスト'!$B$5:$B$1019,A28,'架電リスト'!$E$5:$E$1019,"&lt;&gt;")</f>
        <v/>
      </c>
      <c r="D28" s="16">
        <f>B28-COUNTIFS('架電リスト'!$B$5:$B$1019,A28,'架電リスト'!$J$5:$J$1019,"未架電")-COUNTIFS('架電リスト'!$B$5:$B$1019,A28,'架電リスト'!$J$5:$J$1019,"")</f>
        <v/>
      </c>
      <c r="E28" s="16">
        <f>COUNTIFS('架電リスト'!$B$5:$B$1019,$A28,'架電リスト'!$J$5:$J$1019,"不在・折返し待ち")</f>
        <v/>
      </c>
      <c r="F28" s="16">
        <f>COUNTIFS('架電リスト'!$B$5:$B$1019,$A28,'架電リスト'!$J$5:$J$1019,"担当者不在")</f>
        <v/>
      </c>
      <c r="G28" s="16">
        <f>COUNTIFS('架電リスト'!$B$5:$B$1019,$A28,'架電リスト'!$J$5:$J$1019,"資料送付")</f>
        <v/>
      </c>
      <c r="H28" s="16">
        <f>COUNTIFS('架電リスト'!$B$5:$B$1019,$A28,'架電リスト'!$J$5:$J$1019,"アポ獲得")</f>
        <v/>
      </c>
      <c r="I28" s="16">
        <f>COUNTIFS('架電リスト'!$B$5:$B$1019,$A28,'架電リスト'!$J$5:$J$1019,"検討中")</f>
        <v/>
      </c>
      <c r="J28" s="16">
        <f>COUNTIFS('架電リスト'!$B$5:$B$1019,$A28,'架電リスト'!$J$5:$J$1019,"NG")</f>
        <v/>
      </c>
      <c r="K28" s="16">
        <f>COUNTIFS('架電リスト'!$B$5:$B$1019,$A28,'架電リスト'!$J$5:$J$1019,"番号不明")</f>
        <v/>
      </c>
    </row>
    <row r="29">
      <c r="A29" s="16" t="inlineStr">
        <is>
          <t>京都府</t>
        </is>
      </c>
      <c r="B29" s="16">
        <f>COUNTIF('架電リスト'!$B$5:$B$1019,A29)</f>
        <v/>
      </c>
      <c r="C29" s="16">
        <f>COUNTIFS('架電リスト'!$B$5:$B$1019,A29,'架電リスト'!$E$5:$E$1019,"&lt;&gt;")</f>
        <v/>
      </c>
      <c r="D29" s="16">
        <f>B29-COUNTIFS('架電リスト'!$B$5:$B$1019,A29,'架電リスト'!$J$5:$J$1019,"未架電")-COUNTIFS('架電リスト'!$B$5:$B$1019,A29,'架電リスト'!$J$5:$J$1019,"")</f>
        <v/>
      </c>
      <c r="E29" s="16">
        <f>COUNTIFS('架電リスト'!$B$5:$B$1019,$A29,'架電リスト'!$J$5:$J$1019,"不在・折返し待ち")</f>
        <v/>
      </c>
      <c r="F29" s="16">
        <f>COUNTIFS('架電リスト'!$B$5:$B$1019,$A29,'架電リスト'!$J$5:$J$1019,"担当者不在")</f>
        <v/>
      </c>
      <c r="G29" s="16">
        <f>COUNTIFS('架電リスト'!$B$5:$B$1019,$A29,'架電リスト'!$J$5:$J$1019,"資料送付")</f>
        <v/>
      </c>
      <c r="H29" s="16">
        <f>COUNTIFS('架電リスト'!$B$5:$B$1019,$A29,'架電リスト'!$J$5:$J$1019,"アポ獲得")</f>
        <v/>
      </c>
      <c r="I29" s="16">
        <f>COUNTIFS('架電リスト'!$B$5:$B$1019,$A29,'架電リスト'!$J$5:$J$1019,"検討中")</f>
        <v/>
      </c>
      <c r="J29" s="16">
        <f>COUNTIFS('架電リスト'!$B$5:$B$1019,$A29,'架電リスト'!$J$5:$J$1019,"NG")</f>
        <v/>
      </c>
      <c r="K29" s="16">
        <f>COUNTIFS('架電リスト'!$B$5:$B$1019,$A29,'架電リスト'!$J$5:$J$1019,"番号不明")</f>
        <v/>
      </c>
    </row>
    <row r="30">
      <c r="A30" s="16" t="inlineStr">
        <is>
          <t>大阪府</t>
        </is>
      </c>
      <c r="B30" s="16">
        <f>COUNTIF('架電リスト'!$B$5:$B$1019,A30)</f>
        <v/>
      </c>
      <c r="C30" s="16">
        <f>COUNTIFS('架電リスト'!$B$5:$B$1019,A30,'架電リスト'!$E$5:$E$1019,"&lt;&gt;")</f>
        <v/>
      </c>
      <c r="D30" s="16">
        <f>B30-COUNTIFS('架電リスト'!$B$5:$B$1019,A30,'架電リスト'!$J$5:$J$1019,"未架電")-COUNTIFS('架電リスト'!$B$5:$B$1019,A30,'架電リスト'!$J$5:$J$1019,"")</f>
        <v/>
      </c>
      <c r="E30" s="16">
        <f>COUNTIFS('架電リスト'!$B$5:$B$1019,$A30,'架電リスト'!$J$5:$J$1019,"不在・折返し待ち")</f>
        <v/>
      </c>
      <c r="F30" s="16">
        <f>COUNTIFS('架電リスト'!$B$5:$B$1019,$A30,'架電リスト'!$J$5:$J$1019,"担当者不在")</f>
        <v/>
      </c>
      <c r="G30" s="16">
        <f>COUNTIFS('架電リスト'!$B$5:$B$1019,$A30,'架電リスト'!$J$5:$J$1019,"資料送付")</f>
        <v/>
      </c>
      <c r="H30" s="16">
        <f>COUNTIFS('架電リスト'!$B$5:$B$1019,$A30,'架電リスト'!$J$5:$J$1019,"アポ獲得")</f>
        <v/>
      </c>
      <c r="I30" s="16">
        <f>COUNTIFS('架電リスト'!$B$5:$B$1019,$A30,'架電リスト'!$J$5:$J$1019,"検討中")</f>
        <v/>
      </c>
      <c r="J30" s="16">
        <f>COUNTIFS('架電リスト'!$B$5:$B$1019,$A30,'架電リスト'!$J$5:$J$1019,"NG")</f>
        <v/>
      </c>
      <c r="K30" s="16">
        <f>COUNTIFS('架電リスト'!$B$5:$B$1019,$A30,'架電リスト'!$J$5:$J$1019,"番号不明")</f>
        <v/>
      </c>
    </row>
    <row r="31">
      <c r="A31" s="16" t="inlineStr">
        <is>
          <t>奈良県</t>
        </is>
      </c>
      <c r="B31" s="16">
        <f>COUNTIF('架電リスト'!$B$5:$B$1019,A31)</f>
        <v/>
      </c>
      <c r="C31" s="16">
        <f>COUNTIFS('架電リスト'!$B$5:$B$1019,A31,'架電リスト'!$E$5:$E$1019,"&lt;&gt;")</f>
        <v/>
      </c>
      <c r="D31" s="16">
        <f>B31-COUNTIFS('架電リスト'!$B$5:$B$1019,A31,'架電リスト'!$J$5:$J$1019,"未架電")-COUNTIFS('架電リスト'!$B$5:$B$1019,A31,'架電リスト'!$J$5:$J$1019,"")</f>
        <v/>
      </c>
      <c r="E31" s="16">
        <f>COUNTIFS('架電リスト'!$B$5:$B$1019,$A31,'架電リスト'!$J$5:$J$1019,"不在・折返し待ち")</f>
        <v/>
      </c>
      <c r="F31" s="16">
        <f>COUNTIFS('架電リスト'!$B$5:$B$1019,$A31,'架電リスト'!$J$5:$J$1019,"担当者不在")</f>
        <v/>
      </c>
      <c r="G31" s="16">
        <f>COUNTIFS('架電リスト'!$B$5:$B$1019,$A31,'架電リスト'!$J$5:$J$1019,"資料送付")</f>
        <v/>
      </c>
      <c r="H31" s="16">
        <f>COUNTIFS('架電リスト'!$B$5:$B$1019,$A31,'架電リスト'!$J$5:$J$1019,"アポ獲得")</f>
        <v/>
      </c>
      <c r="I31" s="16">
        <f>COUNTIFS('架電リスト'!$B$5:$B$1019,$A31,'架電リスト'!$J$5:$J$1019,"検討中")</f>
        <v/>
      </c>
      <c r="J31" s="16">
        <f>COUNTIFS('架電リスト'!$B$5:$B$1019,$A31,'架電リスト'!$J$5:$J$1019,"NG")</f>
        <v/>
      </c>
      <c r="K31" s="16">
        <f>COUNTIFS('架電リスト'!$B$5:$B$1019,$A31,'架電リスト'!$J$5:$J$1019,"番号不明")</f>
        <v/>
      </c>
    </row>
    <row r="32">
      <c r="A32" s="16" t="inlineStr">
        <is>
          <t>和歌山県</t>
        </is>
      </c>
      <c r="B32" s="16">
        <f>COUNTIF('架電リスト'!$B$5:$B$1019,A32)</f>
        <v/>
      </c>
      <c r="C32" s="16">
        <f>COUNTIFS('架電リスト'!$B$5:$B$1019,A32,'架電リスト'!$E$5:$E$1019,"&lt;&gt;")</f>
        <v/>
      </c>
      <c r="D32" s="16">
        <f>B32-COUNTIFS('架電リスト'!$B$5:$B$1019,A32,'架電リスト'!$J$5:$J$1019,"未架電")-COUNTIFS('架電リスト'!$B$5:$B$1019,A32,'架電リスト'!$J$5:$J$1019,"")</f>
        <v/>
      </c>
      <c r="E32" s="16">
        <f>COUNTIFS('架電リスト'!$B$5:$B$1019,$A32,'架電リスト'!$J$5:$J$1019,"不在・折返し待ち")</f>
        <v/>
      </c>
      <c r="F32" s="16">
        <f>COUNTIFS('架電リスト'!$B$5:$B$1019,$A32,'架電リスト'!$J$5:$J$1019,"担当者不在")</f>
        <v/>
      </c>
      <c r="G32" s="16">
        <f>COUNTIFS('架電リスト'!$B$5:$B$1019,$A32,'架電リスト'!$J$5:$J$1019,"資料送付")</f>
        <v/>
      </c>
      <c r="H32" s="16">
        <f>COUNTIFS('架電リスト'!$B$5:$B$1019,$A32,'架電リスト'!$J$5:$J$1019,"アポ獲得")</f>
        <v/>
      </c>
      <c r="I32" s="16">
        <f>COUNTIFS('架電リスト'!$B$5:$B$1019,$A32,'架電リスト'!$J$5:$J$1019,"検討中")</f>
        <v/>
      </c>
      <c r="J32" s="16">
        <f>COUNTIFS('架電リスト'!$B$5:$B$1019,$A32,'架電リスト'!$J$5:$J$1019,"NG")</f>
        <v/>
      </c>
      <c r="K32" s="16">
        <f>COUNTIFS('架電リスト'!$B$5:$B$1019,$A32,'架電リスト'!$J$5:$J$1019,"番号不明")</f>
        <v/>
      </c>
    </row>
    <row r="33">
      <c r="A33" s="17" t="inlineStr">
        <is>
          <t>合計</t>
        </is>
      </c>
      <c r="B33" s="17">
        <f>SUM(B4:B32)</f>
        <v/>
      </c>
      <c r="C33" s="17">
        <f>SUM(C4:C32)</f>
        <v/>
      </c>
      <c r="D33" s="17">
        <f>SUM(D4:D32)</f>
        <v/>
      </c>
      <c r="E33" s="17">
        <f>SUM(E4:E32)</f>
        <v/>
      </c>
      <c r="F33" s="17">
        <f>SUM(F4:F32)</f>
        <v/>
      </c>
      <c r="G33" s="17">
        <f>SUM(G4:G32)</f>
        <v/>
      </c>
      <c r="H33" s="17">
        <f>SUM(H4:H32)</f>
        <v/>
      </c>
      <c r="I33" s="17">
        <f>SUM(I4:I32)</f>
        <v/>
      </c>
      <c r="J33" s="17">
        <f>SUM(J4:J32)</f>
        <v/>
      </c>
      <c r="K33" s="17">
        <f>SUM(K4:K32)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・出典：ご提供いただいた学校ネットの検索結果（私立高校・29都道府県、1015校）の貼り付けデータ。並び順は都道府県ごとに元データの掲載順です。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2026-10-14T01:27:43Z</dcterms:created>
  <dcterms:modified xsi:type="dcterms:W3CDTF">2026-10-14T01:27:44Z</dcterms:modified>
</cp:coreProperties>
</file>