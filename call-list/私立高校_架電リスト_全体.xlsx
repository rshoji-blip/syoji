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'架電リスト'!$A$4:$O$1182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738.html" TargetMode="External" Id="rId1070" /><Relationship Type="http://schemas.openxmlformats.org/officeDocument/2006/relationships/hyperlink" Target="https://www.gakkou.net/kou/view/index_306762.html" TargetMode="External" Id="rId1071" /><Relationship Type="http://schemas.openxmlformats.org/officeDocument/2006/relationships/hyperlink" Target="https://www.gakkou.net/kou/view/index_304727.html" TargetMode="External" Id="rId1072" /><Relationship Type="http://schemas.openxmlformats.org/officeDocument/2006/relationships/hyperlink" Target="https://www.gakkou.net/kou/view/index_304731.html" TargetMode="External" Id="rId1073" /><Relationship Type="http://schemas.openxmlformats.org/officeDocument/2006/relationships/hyperlink" Target="https://www.gakkou.net/kou/view/index_306551.html" TargetMode="External" Id="rId1074" /><Relationship Type="http://schemas.openxmlformats.org/officeDocument/2006/relationships/hyperlink" Target="https://www.gakkou.net/kou/view/index_304753.html" TargetMode="External" Id="rId1075" /><Relationship Type="http://schemas.openxmlformats.org/officeDocument/2006/relationships/hyperlink" Target="https://www.gakkou.net/kou/view/index_304764.html" TargetMode="External" Id="rId1076" /><Relationship Type="http://schemas.openxmlformats.org/officeDocument/2006/relationships/hyperlink" Target="https://www.gakkou.net/kou/view/index_304754.html" TargetMode="External" Id="rId1077" /><Relationship Type="http://schemas.openxmlformats.org/officeDocument/2006/relationships/hyperlink" Target="https://www.gakkou.net/kou/view/index_304793.html" TargetMode="External" Id="rId1078" /><Relationship Type="http://schemas.openxmlformats.org/officeDocument/2006/relationships/hyperlink" Target="https://www.gakkou.net/kou/view/index_304795.html" TargetMode="External" Id="rId1079" /><Relationship Type="http://schemas.openxmlformats.org/officeDocument/2006/relationships/hyperlink" Target="https://www.gakkou.net/kou/view/index_304798.html" TargetMode="External" Id="rId1080" /><Relationship Type="http://schemas.openxmlformats.org/officeDocument/2006/relationships/hyperlink" Target="https://www.gakkou.net/kou/view/index_304776.html" TargetMode="External" Id="rId1081" /><Relationship Type="http://schemas.openxmlformats.org/officeDocument/2006/relationships/hyperlink" Target="https://www.gakkou.net/kou/view/index_304799.html" TargetMode="External" Id="rId1082" /><Relationship Type="http://schemas.openxmlformats.org/officeDocument/2006/relationships/hyperlink" Target="https://www.gakkou.net/kou/view/index_304775.html" TargetMode="External" Id="rId1083" /><Relationship Type="http://schemas.openxmlformats.org/officeDocument/2006/relationships/hyperlink" Target="https://www.gakkou.net/kou/view/index_304811.html" TargetMode="External" Id="rId1084" /><Relationship Type="http://schemas.openxmlformats.org/officeDocument/2006/relationships/hyperlink" Target="https://www.gakkou.net/kou/view/index_304774.html" TargetMode="External" Id="rId1085" /><Relationship Type="http://schemas.openxmlformats.org/officeDocument/2006/relationships/hyperlink" Target="https://www.gakkou.net/kou/view/index_304810.html" TargetMode="External" Id="rId1086" /><Relationship Type="http://schemas.openxmlformats.org/officeDocument/2006/relationships/hyperlink" Target="https://www.gakkou.net/kou/view/index_304777.html" TargetMode="External" Id="rId1087" /><Relationship Type="http://schemas.openxmlformats.org/officeDocument/2006/relationships/hyperlink" Target="https://www.gakkou.net/kou/view/index_304853.html" TargetMode="External" Id="rId1088" /><Relationship Type="http://schemas.openxmlformats.org/officeDocument/2006/relationships/hyperlink" Target="https://www.gakkou.net/kou/view/index_304927.html" TargetMode="External" Id="rId1089" /><Relationship Type="http://schemas.openxmlformats.org/officeDocument/2006/relationships/hyperlink" Target="https://www.gakkou.net/kou/view/index_304868.html" TargetMode="External" Id="rId1090" /><Relationship Type="http://schemas.openxmlformats.org/officeDocument/2006/relationships/hyperlink" Target="https://www.gakkou.net/kou/view/index_304865.html" TargetMode="External" Id="rId1091" /><Relationship Type="http://schemas.openxmlformats.org/officeDocument/2006/relationships/hyperlink" Target="https://www.gakkou.net/kou/view/index_304838.html" TargetMode="External" Id="rId1092" /><Relationship Type="http://schemas.openxmlformats.org/officeDocument/2006/relationships/hyperlink" Target="https://www.gakkou.net/kou/view/index_304930.html" TargetMode="External" Id="rId1093" /><Relationship Type="http://schemas.openxmlformats.org/officeDocument/2006/relationships/hyperlink" Target="https://www.gakkou.net/kou/view/index_304831.html" TargetMode="External" Id="rId1094" /><Relationship Type="http://schemas.openxmlformats.org/officeDocument/2006/relationships/hyperlink" Target="https://www.gakkou.net/kou/view/index_304871.html" TargetMode="External" Id="rId1095" /><Relationship Type="http://schemas.openxmlformats.org/officeDocument/2006/relationships/hyperlink" Target="https://www.gakkou.net/kou/view/index_304823.html" TargetMode="External" Id="rId1096" /><Relationship Type="http://schemas.openxmlformats.org/officeDocument/2006/relationships/hyperlink" Target="https://www.gakkou.net/kou/view/index_304909.html" TargetMode="External" Id="rId1097" /><Relationship Type="http://schemas.openxmlformats.org/officeDocument/2006/relationships/hyperlink" Target="https://www.gakkou.net/kou/view/index_304880.html" TargetMode="External" Id="rId1098" /><Relationship Type="http://schemas.openxmlformats.org/officeDocument/2006/relationships/hyperlink" Target="https://www.gakkou.net/kou/view/index_304829.html" TargetMode="External" Id="rId1099" /><Relationship Type="http://schemas.openxmlformats.org/officeDocument/2006/relationships/hyperlink" Target="https://www.gakkou.net/kou/view/index_304875.html" TargetMode="External" Id="rId1100" /><Relationship Type="http://schemas.openxmlformats.org/officeDocument/2006/relationships/hyperlink" Target="https://www.gakkou.net/kou/view/index_304883.html" TargetMode="External" Id="rId1101" /><Relationship Type="http://schemas.openxmlformats.org/officeDocument/2006/relationships/hyperlink" Target="https://www.gakkou.net/kou/view/index_304881.html" TargetMode="External" Id="rId1102" /><Relationship Type="http://schemas.openxmlformats.org/officeDocument/2006/relationships/hyperlink" Target="https://www.gakkou.net/kou/view/index_304912.html" TargetMode="External" Id="rId1103" /><Relationship Type="http://schemas.openxmlformats.org/officeDocument/2006/relationships/hyperlink" Target="https://www.gakkou.net/kou/view/index_304928.html" TargetMode="External" Id="rId1104" /><Relationship Type="http://schemas.openxmlformats.org/officeDocument/2006/relationships/hyperlink" Target="https://www.gakkou.net/kou/view/index_304849.html" TargetMode="External" Id="rId1105" /><Relationship Type="http://schemas.openxmlformats.org/officeDocument/2006/relationships/hyperlink" Target="https://www.gakkou.net/kou/view/index_304832.html" TargetMode="External" Id="rId1106" /><Relationship Type="http://schemas.openxmlformats.org/officeDocument/2006/relationships/hyperlink" Target="https://www.gakkou.net/kou/view/index_304837.html" TargetMode="External" Id="rId1107" /><Relationship Type="http://schemas.openxmlformats.org/officeDocument/2006/relationships/hyperlink" Target="https://www.gakkou.net/kou/view/index_304827.html" TargetMode="External" Id="rId1108" /><Relationship Type="http://schemas.openxmlformats.org/officeDocument/2006/relationships/hyperlink" Target="https://www.gakkou.net/kou/view/index_304917.html" TargetMode="External" Id="rId1109" /><Relationship Type="http://schemas.openxmlformats.org/officeDocument/2006/relationships/hyperlink" Target="https://www.gakkou.net/kou/view/index_304830.html" TargetMode="External" Id="rId1110" /><Relationship Type="http://schemas.openxmlformats.org/officeDocument/2006/relationships/hyperlink" Target="https://www.gakkou.net/kou/view/index_305020.html" TargetMode="External" Id="rId1111" /><Relationship Type="http://schemas.openxmlformats.org/officeDocument/2006/relationships/hyperlink" Target="https://www.gakkou.net/kou/view/index_304938.html" TargetMode="External" Id="rId1112" /><Relationship Type="http://schemas.openxmlformats.org/officeDocument/2006/relationships/hyperlink" Target="https://www.gakkou.net/kou/view/index_304959.html" TargetMode="External" Id="rId1113" /><Relationship Type="http://schemas.openxmlformats.org/officeDocument/2006/relationships/hyperlink" Target="https://www.gakkou.net/kou/view/index_304963.html" TargetMode="External" Id="rId1114" /><Relationship Type="http://schemas.openxmlformats.org/officeDocument/2006/relationships/hyperlink" Target="https://www.gakkou.net/kou/view/index_305103.html" TargetMode="External" Id="rId1115" /><Relationship Type="http://schemas.openxmlformats.org/officeDocument/2006/relationships/hyperlink" Target="https://www.gakkou.net/kou/view/index_304947.html" TargetMode="External" Id="rId1116" /><Relationship Type="http://schemas.openxmlformats.org/officeDocument/2006/relationships/hyperlink" Target="https://www.gakkou.net/kou/view/index_304958.html" TargetMode="External" Id="rId1117" /><Relationship Type="http://schemas.openxmlformats.org/officeDocument/2006/relationships/hyperlink" Target="https://www.gakkou.net/kou/view/index_306447.html" TargetMode="External" Id="rId1118" /><Relationship Type="http://schemas.openxmlformats.org/officeDocument/2006/relationships/hyperlink" Target="https://www.gakkou.net/kou/view/index_305034.html" TargetMode="External" Id="rId1119" /><Relationship Type="http://schemas.openxmlformats.org/officeDocument/2006/relationships/hyperlink" Target="https://www.gakkou.net/kou/view/index_305074.html" TargetMode="External" Id="rId1120" /><Relationship Type="http://schemas.openxmlformats.org/officeDocument/2006/relationships/hyperlink" Target="https://www.gakkou.net/kou/view/index_305049.html" TargetMode="External" Id="rId1121" /><Relationship Type="http://schemas.openxmlformats.org/officeDocument/2006/relationships/hyperlink" Target="https://www.gakkou.net/kou/view/index_304937.html" TargetMode="External" Id="rId1122" /><Relationship Type="http://schemas.openxmlformats.org/officeDocument/2006/relationships/hyperlink" Target="https://www.gakkou.net/kou/view/index_305071.html" TargetMode="External" Id="rId1123" /><Relationship Type="http://schemas.openxmlformats.org/officeDocument/2006/relationships/hyperlink" Target="https://www.gakkou.net/kou/view/index_305016.html" TargetMode="External" Id="rId1124" /><Relationship Type="http://schemas.openxmlformats.org/officeDocument/2006/relationships/hyperlink" Target="https://www.gakkou.net/kou/view/index_305059.html" TargetMode="External" Id="rId1125" /><Relationship Type="http://schemas.openxmlformats.org/officeDocument/2006/relationships/hyperlink" Target="https://www.gakkou.net/kou/view/index_304974.html" TargetMode="External" Id="rId1126" /><Relationship Type="http://schemas.openxmlformats.org/officeDocument/2006/relationships/hyperlink" Target="https://www.gakkou.net/kou/view/index_305046.html" TargetMode="External" Id="rId1127" /><Relationship Type="http://schemas.openxmlformats.org/officeDocument/2006/relationships/hyperlink" Target="https://www.gakkou.net/kou/view/index_304979.html" TargetMode="External" Id="rId1128" /><Relationship Type="http://schemas.openxmlformats.org/officeDocument/2006/relationships/hyperlink" Target="https://www.gakkou.net/kou/view/index_306435.html" TargetMode="External" Id="rId1129" /><Relationship Type="http://schemas.openxmlformats.org/officeDocument/2006/relationships/hyperlink" Target="https://www.gakkou.net/kou/view/index_306471.html" TargetMode="External" Id="rId1130" /><Relationship Type="http://schemas.openxmlformats.org/officeDocument/2006/relationships/hyperlink" Target="https://www.gakkou.net/kou/view/index_305050.html" TargetMode="External" Id="rId1131" /><Relationship Type="http://schemas.openxmlformats.org/officeDocument/2006/relationships/hyperlink" Target="https://www.gakkou.net/kou/view/index_305062.html" TargetMode="External" Id="rId1132" /><Relationship Type="http://schemas.openxmlformats.org/officeDocument/2006/relationships/hyperlink" Target="https://www.gakkou.net/kou/view/index_305055.html" TargetMode="External" Id="rId1133" /><Relationship Type="http://schemas.openxmlformats.org/officeDocument/2006/relationships/hyperlink" Target="https://www.gakkou.net/kou/view/index_305054.html" TargetMode="External" Id="rId1134" /><Relationship Type="http://schemas.openxmlformats.org/officeDocument/2006/relationships/hyperlink" Target="https://www.gakkou.net/kou/view/index_305064.html" TargetMode="External" Id="rId1135" /><Relationship Type="http://schemas.openxmlformats.org/officeDocument/2006/relationships/hyperlink" Target="https://www.gakkou.net/kou/view/index_305044.html" TargetMode="External" Id="rId1136" /><Relationship Type="http://schemas.openxmlformats.org/officeDocument/2006/relationships/hyperlink" Target="https://www.gakkou.net/kou/view/index_304998.html" TargetMode="External" Id="rId1137" /><Relationship Type="http://schemas.openxmlformats.org/officeDocument/2006/relationships/hyperlink" Target="https://www.gakkou.net/kou/view/index_305053.html" TargetMode="External" Id="rId1138" /><Relationship Type="http://schemas.openxmlformats.org/officeDocument/2006/relationships/hyperlink" Target="https://www.gakkou.net/kou/view/index_305037.html" TargetMode="External" Id="rId1139" /><Relationship Type="http://schemas.openxmlformats.org/officeDocument/2006/relationships/hyperlink" Target="https://www.gakkou.net/kou/view/index_305031.html" TargetMode="External" Id="rId1140" /><Relationship Type="http://schemas.openxmlformats.org/officeDocument/2006/relationships/hyperlink" Target="https://www.gakkou.net/kou/view/index_305041.html" TargetMode="External" Id="rId1141" /><Relationship Type="http://schemas.openxmlformats.org/officeDocument/2006/relationships/hyperlink" Target="https://www.gakkou.net/kou/view/index_305012.html" TargetMode="External" Id="rId1142" /><Relationship Type="http://schemas.openxmlformats.org/officeDocument/2006/relationships/hyperlink" Target="https://www.gakkou.net/kou/view/index_305043.html" TargetMode="External" Id="rId1143" /><Relationship Type="http://schemas.openxmlformats.org/officeDocument/2006/relationships/hyperlink" Target="https://www.gakkou.net/kou/view/index_305039.html" TargetMode="External" Id="rId1144" /><Relationship Type="http://schemas.openxmlformats.org/officeDocument/2006/relationships/hyperlink" Target="https://www.gakkou.net/kou/view/index_305026.html" TargetMode="External" Id="rId1145" /><Relationship Type="http://schemas.openxmlformats.org/officeDocument/2006/relationships/hyperlink" Target="https://www.gakkou.net/kou/view/index_304960.html" TargetMode="External" Id="rId1146" /><Relationship Type="http://schemas.openxmlformats.org/officeDocument/2006/relationships/hyperlink" Target="https://www.gakkou.net/kou/view/index_305010.html" TargetMode="External" Id="rId1147" /><Relationship Type="http://schemas.openxmlformats.org/officeDocument/2006/relationships/hyperlink" Target="https://www.gakkou.net/kou/view/index_305196.html" TargetMode="External" Id="rId1148" /><Relationship Type="http://schemas.openxmlformats.org/officeDocument/2006/relationships/hyperlink" Target="https://www.gakkou.net/kou/view/index_305180.html" TargetMode="External" Id="rId1149" /><Relationship Type="http://schemas.openxmlformats.org/officeDocument/2006/relationships/hyperlink" Target="https://www.gakkou.net/kou/view/index_305175.html" TargetMode="External" Id="rId1150" /><Relationship Type="http://schemas.openxmlformats.org/officeDocument/2006/relationships/hyperlink" Target="https://www.gakkou.net/kou/view/index_305182.html" TargetMode="External" Id="rId1151" /><Relationship Type="http://schemas.openxmlformats.org/officeDocument/2006/relationships/hyperlink" Target="https://www.gakkou.net/kou/view/index_305162.html" TargetMode="External" Id="rId1152" /><Relationship Type="http://schemas.openxmlformats.org/officeDocument/2006/relationships/hyperlink" Target="https://www.gakkou.net/kou/view/index_305152.html" TargetMode="External" Id="rId1153" /><Relationship Type="http://schemas.openxmlformats.org/officeDocument/2006/relationships/hyperlink" Target="https://www.gakkou.net/kou/view/index_305148.html" TargetMode="External" Id="rId1154" /><Relationship Type="http://schemas.openxmlformats.org/officeDocument/2006/relationships/hyperlink" Target="https://www.gakkou.net/kou/view/index_306695.html" TargetMode="External" Id="rId1155" /><Relationship Type="http://schemas.openxmlformats.org/officeDocument/2006/relationships/hyperlink" Target="https://www.gakkou.net/kou/view/index_305127.html" TargetMode="External" Id="rId1156" /><Relationship Type="http://schemas.openxmlformats.org/officeDocument/2006/relationships/hyperlink" Target="https://www.gakkou.net/kou/view/index_305199.html" TargetMode="External" Id="rId1157" /><Relationship Type="http://schemas.openxmlformats.org/officeDocument/2006/relationships/hyperlink" Target="https://www.gakkou.net/kou/view/index_305143.html" TargetMode="External" Id="rId1158" /><Relationship Type="http://schemas.openxmlformats.org/officeDocument/2006/relationships/hyperlink" Target="https://www.gakkou.net/kou/view/index_305106.html" TargetMode="External" Id="rId1159" /><Relationship Type="http://schemas.openxmlformats.org/officeDocument/2006/relationships/hyperlink" Target="https://www.gakkou.net/kou/view/index_305165.html" TargetMode="External" Id="rId1160" /><Relationship Type="http://schemas.openxmlformats.org/officeDocument/2006/relationships/hyperlink" Target="https://www.gakkou.net/kou/view/index_305204.html" TargetMode="External" Id="rId1161" /><Relationship Type="http://schemas.openxmlformats.org/officeDocument/2006/relationships/hyperlink" Target="https://www.gakkou.net/kou/view/index_305170.html" TargetMode="External" Id="rId1162" /><Relationship Type="http://schemas.openxmlformats.org/officeDocument/2006/relationships/hyperlink" Target="https://www.gakkou.net/kou/view/index_305190.html" TargetMode="External" Id="rId1163" /><Relationship Type="http://schemas.openxmlformats.org/officeDocument/2006/relationships/hyperlink" Target="https://www.gakkou.net/kou/view/index_305150.html" TargetMode="External" Id="rId1164" /><Relationship Type="http://schemas.openxmlformats.org/officeDocument/2006/relationships/hyperlink" Target="https://www.gakkou.net/kou/view/index_305151.html" TargetMode="External" Id="rId1165" /><Relationship Type="http://schemas.openxmlformats.org/officeDocument/2006/relationships/hyperlink" Target="https://www.gakkou.net/kou/view/index_305115.html" TargetMode="External" Id="rId1166" /><Relationship Type="http://schemas.openxmlformats.org/officeDocument/2006/relationships/hyperlink" Target="https://www.gakkou.net/kou/view/index_305173.html" TargetMode="External" Id="rId1167" /><Relationship Type="http://schemas.openxmlformats.org/officeDocument/2006/relationships/hyperlink" Target="https://www.gakkou.net/kou/view/index_306500.html" TargetMode="External" Id="rId1168" /><Relationship Type="http://schemas.openxmlformats.org/officeDocument/2006/relationships/hyperlink" Target="https://www.gakkou.net/kou/view/index_305270.html" TargetMode="External" Id="rId1169" /><Relationship Type="http://schemas.openxmlformats.org/officeDocument/2006/relationships/hyperlink" Target="https://www.gakkou.net/kou/view/index_305290.html" TargetMode="External" Id="rId1170" /><Relationship Type="http://schemas.openxmlformats.org/officeDocument/2006/relationships/hyperlink" Target="https://www.gakkou.net/kou/view/index_305303.html" TargetMode="External" Id="rId1171" /><Relationship Type="http://schemas.openxmlformats.org/officeDocument/2006/relationships/hyperlink" Target="https://www.gakkou.net/kou/view/index_305305.html" TargetMode="External" Id="rId1172" /><Relationship Type="http://schemas.openxmlformats.org/officeDocument/2006/relationships/hyperlink" Target="https://www.gakkou.net/kou/view/index_305314.html" TargetMode="External" Id="rId1173" /><Relationship Type="http://schemas.openxmlformats.org/officeDocument/2006/relationships/hyperlink" Target="https://www.gakkou.net/kou/view/index_305295.html" TargetMode="External" Id="rId1174" /><Relationship Type="http://schemas.openxmlformats.org/officeDocument/2006/relationships/hyperlink" Target="https://www.gakkou.net/kou/view/index_305317.html" TargetMode="External" Id="rId1175" /><Relationship Type="http://schemas.openxmlformats.org/officeDocument/2006/relationships/hyperlink" Target="https://www.gakkou.net/kou/view/index_305313.html" TargetMode="External" Id="rId1176" /><Relationship Type="http://schemas.openxmlformats.org/officeDocument/2006/relationships/hyperlink" Target="https://www.gakkou.net/kou/view/index_305277.html" TargetMode="External" Id="rId1177" /><Relationship Type="http://schemas.openxmlformats.org/officeDocument/2006/relationships/hyperlink" Target="https://www.gakkou.net/kou/view/index_305327.html" TargetMode="External" Id="rId1178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18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架電リスト（36都道府県／1178校）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鳥取県</t>
        </is>
      </c>
      <c r="C1074" s="5" t="inlineStr">
        <is>
          <t>倉吉市</t>
        </is>
      </c>
      <c r="D1074" s="5" t="inlineStr">
        <is>
          <t>倉吉北高等学校</t>
        </is>
      </c>
      <c r="E1074" s="6" t="inlineStr">
        <is>
          <t>0858-26-1351</t>
        </is>
      </c>
      <c r="F1074" s="7" t="inlineStr">
        <is>
          <t>高</t>
        </is>
      </c>
      <c r="G1074" s="5" t="inlineStr">
        <is>
          <t>普通科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n"/>
      <c r="N1074" s="11" t="inlineStr">
        <is>
          <t>https://kurayoshikita-h.ed.jp/contact/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鳥取県</t>
        </is>
      </c>
      <c r="C1075" s="5" t="inlineStr">
        <is>
          <t>鳥取市</t>
        </is>
      </c>
      <c r="D1075" s="5" t="inlineStr">
        <is>
          <t>青翔開智高等学校</t>
        </is>
      </c>
      <c r="E1075" s="6" t="inlineStr">
        <is>
          <t>0857-30-5541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中高一貫校の代表番号</t>
        </is>
      </c>
      <c r="N1075" s="11" t="inlineStr">
        <is>
          <t>https://seishokaichi.jp/about/information/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鳥取県</t>
        </is>
      </c>
      <c r="C1076" s="5" t="inlineStr">
        <is>
          <t>鳥取市</t>
        </is>
      </c>
      <c r="D1076" s="5" t="inlineStr">
        <is>
          <t>鳥取敬愛高等学校</t>
        </is>
      </c>
      <c r="E1076" s="6" t="inlineStr">
        <is>
          <t>0857-22-8397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鳥取県資料でも一致</t>
        </is>
      </c>
      <c r="N1076" s="11" t="inlineStr">
        <is>
          <t>https://t-ki.jp/publics/index/2/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鳥取県</t>
        </is>
      </c>
      <c r="C1077" s="5" t="inlineStr">
        <is>
          <t>鳥取市</t>
        </is>
      </c>
      <c r="D1077" s="5" t="inlineStr">
        <is>
          <t>鳥取城北高等学校</t>
        </is>
      </c>
      <c r="E1077" s="6" t="inlineStr">
        <is>
          <t>0857-23-3502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鳥取県資料でも一致</t>
        </is>
      </c>
      <c r="N1077" s="11" t="inlineStr">
        <is>
          <t>https://www.tottori-johoku.ed.jp/contact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鳥取県</t>
        </is>
      </c>
      <c r="C1078" s="5" t="inlineStr">
        <is>
          <t>湯梨浜町</t>
        </is>
      </c>
      <c r="D1078" s="5" t="inlineStr">
        <is>
          <t>湯梨浜学園高等学校</t>
        </is>
      </c>
      <c r="E1078" s="6" t="inlineStr">
        <is>
          <t>0858-48-6810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中高の代表番号。通信制課程の窓口は0858-32-2777</t>
        </is>
      </c>
      <c r="N1078" s="11" t="inlineStr">
        <is>
          <t>https://www.yurihamagakuen.ac.jp/about/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鳥取県</t>
        </is>
      </c>
      <c r="C1079" s="5" t="inlineStr">
        <is>
          <t>米子市</t>
        </is>
      </c>
      <c r="D1079" s="5" t="inlineStr">
        <is>
          <t>米子北高等学校</t>
        </is>
      </c>
      <c r="E1079" s="6" t="inlineStr">
        <is>
          <t>0859-22-9371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鳥取県資料でも一致</t>
        </is>
      </c>
      <c r="N1079" s="11" t="inlineStr">
        <is>
          <t>https://www.yonagokita.ed.jp/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鳥取県</t>
        </is>
      </c>
      <c r="C1080" s="5" t="inlineStr">
        <is>
          <t>米子市</t>
        </is>
      </c>
      <c r="D1080" s="5" t="inlineStr">
        <is>
          <t>米子松蔭高等学校</t>
        </is>
      </c>
      <c r="E1080" s="6" t="inlineStr">
        <is>
          <t>0859-27-0421</t>
        </is>
      </c>
      <c r="F1080" s="7" t="inlineStr">
        <is>
          <t>高</t>
        </is>
      </c>
      <c r="G1080" s="5" t="inlineStr">
        <is>
          <t>普通科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https://www.yonagoshoin.ed.jp/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鳥取県</t>
        </is>
      </c>
      <c r="C1081" s="5" t="inlineStr">
        <is>
          <t>米子市</t>
        </is>
      </c>
      <c r="D1081" s="5" t="inlineStr">
        <is>
          <t>米子北斗高等学校</t>
        </is>
      </c>
      <c r="E1081" s="6" t="inlineStr">
        <is>
          <t>0859-29-6000</t>
        </is>
      </c>
      <c r="F1081" s="13" t="inlineStr">
        <is>
          <t>中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公式未確認、複数サイトで一致</t>
        </is>
      </c>
      <c r="N1081" s="11" t="inlineStr">
        <is>
          <t>https://www.mapion.co.jp/phonebook/M11004/31202/ILSP0000041708_ipclm/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島根県</t>
        </is>
      </c>
      <c r="C1082" s="5" t="inlineStr">
        <is>
          <t>出雲市</t>
        </is>
      </c>
      <c r="D1082" s="5" t="inlineStr">
        <is>
          <t>出雲西高等学校</t>
        </is>
      </c>
      <c r="E1082" s="6" t="inlineStr">
        <is>
          <t>0853-21-1183</t>
        </is>
      </c>
      <c r="F1082" s="7" t="inlineStr">
        <is>
          <t>高</t>
        </is>
      </c>
      <c r="G1082" s="5" t="inlineStr">
        <is>
          <t>普通科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n"/>
      <c r="N1082" s="11" t="inlineStr">
        <is>
          <t>https://www.izumonishikou.jp/contact/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島根県</t>
        </is>
      </c>
      <c r="C1083" s="5" t="inlineStr">
        <is>
          <t>出雲市</t>
        </is>
      </c>
      <c r="D1083" s="5" t="inlineStr">
        <is>
          <t>出雲北陵高等学校</t>
        </is>
      </c>
      <c r="E1083" s="6" t="inlineStr">
        <is>
          <t>0853-21-1871</t>
        </is>
      </c>
      <c r="F1083" s="7" t="inlineStr">
        <is>
          <t>高</t>
        </is>
      </c>
      <c r="G1083" s="5" t="inlineStr">
        <is>
          <t>普通科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事務室（代表）。高校職員室は0853-21-1887</t>
        </is>
      </c>
      <c r="N1083" s="11" t="inlineStr">
        <is>
          <t>https://izumohokuryo-h.ed.jp/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島根県</t>
        </is>
      </c>
      <c r="C1084" s="5" t="inlineStr">
        <is>
          <t>江津市</t>
        </is>
      </c>
      <c r="D1084" s="5" t="inlineStr">
        <is>
          <t>石見智翠館高等学校</t>
        </is>
      </c>
      <c r="E1084" s="6" t="inlineStr">
        <is>
          <t>0855-52-2457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inlineStr">
        <is>
          <t>通信制の直通は0855-52-4955</t>
        </is>
      </c>
      <c r="N1084" s="11" t="inlineStr">
        <is>
          <t>https://www.iwamichisuikan.ed.jp/guardian/contact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島根県</t>
        </is>
      </c>
      <c r="C1085" s="5" t="inlineStr">
        <is>
          <t>松江市</t>
        </is>
      </c>
      <c r="D1085" s="5" t="inlineStr">
        <is>
          <t>開星高等学校</t>
        </is>
      </c>
      <c r="E1085" s="6" t="inlineStr">
        <is>
          <t>0852-21-4915</t>
        </is>
      </c>
      <c r="F1085" s="7" t="inlineStr">
        <is>
          <t>高</t>
        </is>
      </c>
      <c r="G1085" s="5" t="inlineStr">
        <is>
          <t>普通科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n"/>
      <c r="N1085" s="11" t="inlineStr">
        <is>
          <t>https://shimane-kaisei.ed.jp/news/nyuushi/12016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島根県</t>
        </is>
      </c>
      <c r="C1086" s="5" t="inlineStr">
        <is>
          <t>江津市</t>
        </is>
      </c>
      <c r="D1086" s="5" t="inlineStr">
        <is>
          <t>キリスト教愛真高等学校</t>
        </is>
      </c>
      <c r="E1086" s="6" t="inlineStr">
        <is>
          <t>0855-52-5795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n"/>
      <c r="N1086" s="11" t="inlineStr">
        <is>
          <t>https://aishinhigh.ed.jp/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島根県</t>
        </is>
      </c>
      <c r="C1087" s="5" t="inlineStr">
        <is>
          <t>松江市</t>
        </is>
      </c>
      <c r="D1087" s="5" t="inlineStr">
        <is>
          <t>松徳学院高等学校</t>
        </is>
      </c>
      <c r="E1087" s="6" t="inlineStr">
        <is>
          <t>0852-21-5478</t>
        </is>
      </c>
      <c r="F1087" s="7" t="inlineStr">
        <is>
          <t>高</t>
        </is>
      </c>
      <c r="G1087" s="5" t="inlineStr">
        <is>
          <t>普通科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島根県資料では0852-21-5578も併記</t>
        </is>
      </c>
      <c r="N1087" s="11" t="inlineStr">
        <is>
          <t>https://shotoku-h.ed.jp/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島根県</t>
        </is>
      </c>
      <c r="C1088" s="5" t="inlineStr">
        <is>
          <t>益田市</t>
        </is>
      </c>
      <c r="D1088" s="5" t="inlineStr">
        <is>
          <t>益田東高等学校</t>
        </is>
      </c>
      <c r="E1088" s="6" t="inlineStr">
        <is>
          <t>0856-23-3435</t>
        </is>
      </c>
      <c r="F1088" s="7" t="inlineStr">
        <is>
          <t>高</t>
        </is>
      </c>
      <c r="G1088" s="5" t="inlineStr">
        <is>
          <t>普通科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n"/>
      <c r="N1088" s="11" t="inlineStr">
        <is>
          <t>https://masuda-higashi.com/contact/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島根県</t>
        </is>
      </c>
      <c r="C1089" s="5" t="inlineStr">
        <is>
          <t>松江市</t>
        </is>
      </c>
      <c r="D1089" s="5" t="inlineStr">
        <is>
          <t>松江西高等学校</t>
        </is>
      </c>
      <c r="E1089" s="6" t="inlineStr">
        <is>
          <t>0852-21-2925</t>
        </is>
      </c>
      <c r="F1089" s="7" t="inlineStr">
        <is>
          <t>高</t>
        </is>
      </c>
      <c r="G1089" s="5" t="inlineStr">
        <is>
          <t>普通科・専門学科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n"/>
      <c r="N1089" s="11" t="inlineStr">
        <is>
          <t>https://www.matsuenishi-h.ed.jp/inquiry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島根県</t>
        </is>
      </c>
      <c r="C1090" s="5" t="inlineStr">
        <is>
          <t>益田市</t>
        </is>
      </c>
      <c r="D1090" s="5" t="inlineStr">
        <is>
          <t>明誠高等学校</t>
        </is>
      </c>
      <c r="E1090" s="6" t="inlineStr">
        <is>
          <t>0856-22-1052</t>
        </is>
      </c>
      <c r="F1090" s="7" t="inlineStr">
        <is>
          <t>高</t>
        </is>
      </c>
      <c r="G1090" s="5" t="inlineStr">
        <is>
          <t>普通科・専門学科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全日制の番号。通信制課程は0856-23-6877</t>
        </is>
      </c>
      <c r="N1090" s="11" t="inlineStr">
        <is>
          <t>https://www.meisei-masuda.ed.jp/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島根県</t>
        </is>
      </c>
      <c r="C1091" s="5" t="inlineStr">
        <is>
          <t>松江市</t>
        </is>
      </c>
      <c r="D1091" s="5" t="inlineStr">
        <is>
          <t>立正大学淞南高等学校</t>
        </is>
      </c>
      <c r="E1091" s="6" t="inlineStr">
        <is>
          <t>0852-21-9634</t>
        </is>
      </c>
      <c r="F1091" s="7" t="inlineStr">
        <is>
          <t>高</t>
        </is>
      </c>
      <c r="G1091" s="5" t="inlineStr">
        <is>
          <t>普通科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n"/>
      <c r="N1091" s="11" t="inlineStr">
        <is>
          <t>https://www.shonangakuen-h.ed.jp/contact/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岡山市東区</t>
        </is>
      </c>
      <c r="D1092" s="5" t="inlineStr">
        <is>
          <t>岡山学芸館高等学校</t>
        </is>
      </c>
      <c r="E1092" s="6" t="inlineStr">
        <is>
          <t>086-942-3864</t>
        </is>
      </c>
      <c r="F1092" s="7" t="inlineStr">
        <is>
          <t>高</t>
        </is>
      </c>
      <c r="G1092" s="5" t="inlineStr">
        <is>
          <t>普通科・専門学科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inlineStr">
        <is>
          <t>通信制課程も同じ番号</t>
        </is>
      </c>
      <c r="N1092" s="11" t="inlineStr">
        <is>
          <t>https://www.gakugeikan.ed.jp/contact/index.html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新見市</t>
        </is>
      </c>
      <c r="D1093" s="5" t="inlineStr">
        <is>
          <t>岡山県共生高等学校</t>
        </is>
      </c>
      <c r="E1093" s="6" t="inlineStr">
        <is>
          <t>0867-72-0526</t>
        </is>
      </c>
      <c r="F1093" s="7" t="inlineStr">
        <is>
          <t>高</t>
        </is>
      </c>
      <c r="G1093" s="5" t="inlineStr">
        <is>
          <t>普通科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inlineStr">
        <is>
          <t>0867-72-8032はFAX</t>
        </is>
      </c>
      <c r="N1093" s="11" t="inlineStr">
        <is>
          <t>https://www.kyousei.ed.jp/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倉敷市</t>
        </is>
      </c>
      <c r="D1094" s="5" t="inlineStr">
        <is>
          <t>岡山県作陽高等学校</t>
        </is>
      </c>
      <c r="E1094" s="6" t="inlineStr">
        <is>
          <t>086-441-1281</t>
        </is>
      </c>
      <c r="F1094" s="7" t="inlineStr">
        <is>
          <t>高</t>
        </is>
      </c>
      <c r="G1094" s="5" t="inlineStr">
        <is>
          <t>普通科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2023年4月に倉敷市玉島へ移転し「作陽学園高等学校」に校名変更。津山の旧番号0868-23-2188は使用不可の可能性</t>
        </is>
      </c>
      <c r="N1094" s="11" t="inlineStr">
        <is>
          <t>https://www.sakuyo-h.ed.jp/access/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津山市</t>
        </is>
      </c>
      <c r="D1095" s="5" t="inlineStr">
        <is>
          <t>岡山県美作高等学校</t>
        </is>
      </c>
      <c r="E1095" s="6" t="inlineStr">
        <is>
          <t>0868-22-4838</t>
        </is>
      </c>
      <c r="F1095" s="7" t="inlineStr">
        <is>
          <t>高</t>
        </is>
      </c>
      <c r="G1095" s="5" t="inlineStr">
        <is>
          <t>普通科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全日制の番号。通信制課程は0868-23-3116</t>
        </is>
      </c>
      <c r="N1095" s="11" t="inlineStr">
        <is>
          <t>https://mimasaka.jp/gakuen/houjin.html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岡山市南区</t>
        </is>
      </c>
      <c r="D1096" s="5" t="inlineStr">
        <is>
          <t>岡山高等学校</t>
        </is>
      </c>
      <c r="E1096" s="6" t="inlineStr">
        <is>
          <t>086-282-6336</t>
        </is>
      </c>
      <c r="F1096" s="7" t="inlineStr">
        <is>
          <t>高</t>
        </is>
      </c>
      <c r="G1096" s="5" t="inlineStr">
        <is>
          <t>普通科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inlineStr">
        <is>
          <t>中高一貫</t>
        </is>
      </c>
      <c r="N1096" s="11" t="inlineStr">
        <is>
          <t>https://www.okayama-h.ed.jp/access/</t>
        </is>
      </c>
      <c r="O1096" s="12" t="inlineStr">
        <is>
          <t>開く</t>
        </is>
      </c>
    </row>
    <row r="1097">
      <c r="A1097" s="4" t="n">
        <v>1093</v>
      </c>
      <c r="B1097" s="5" t="inlineStr">
        <is>
          <t>岡山県</t>
        </is>
      </c>
      <c r="C1097" s="5" t="inlineStr">
        <is>
          <t>浅口市</t>
        </is>
      </c>
      <c r="D1097" s="5" t="inlineStr">
        <is>
          <t>おかやま山陽高等学校</t>
        </is>
      </c>
      <c r="E1097" s="6" t="inlineStr">
        <is>
          <t>0865-44-3100</t>
        </is>
      </c>
      <c r="F1097" s="7" t="inlineStr">
        <is>
          <t>高</t>
        </is>
      </c>
      <c r="G1097" s="5" t="inlineStr">
        <is>
          <t>普通科・専門学科</t>
        </is>
      </c>
      <c r="H1097" s="8" t="n"/>
      <c r="I1097" s="9" t="n"/>
      <c r="J1097" s="9" t="inlineStr">
        <is>
          <t>未架電</t>
        </is>
      </c>
      <c r="K1097" s="8" t="n"/>
      <c r="L1097" s="9" t="n"/>
      <c r="M1097" s="10" t="inlineStr">
        <is>
          <t>教員室直通は0865-44-7149</t>
        </is>
      </c>
      <c r="N1097" s="11" t="inlineStr">
        <is>
          <t>https://www.okayama-sanyo-hs.ed.jp/</t>
        </is>
      </c>
      <c r="O1097" s="12" t="inlineStr">
        <is>
          <t>開く</t>
        </is>
      </c>
    </row>
    <row r="1098">
      <c r="A1098" s="4" t="n">
        <v>1094</v>
      </c>
      <c r="B1098" s="5" t="inlineStr">
        <is>
          <t>岡山県</t>
        </is>
      </c>
      <c r="C1098" s="5" t="inlineStr">
        <is>
          <t>岡山市北区</t>
        </is>
      </c>
      <c r="D1098" s="5" t="inlineStr">
        <is>
          <t>岡山商科大学附属高等学校</t>
        </is>
      </c>
      <c r="E1098" s="6" t="inlineStr">
        <is>
          <t>086-252-3407</t>
        </is>
      </c>
      <c r="F1098" s="7" t="inlineStr">
        <is>
          <t>高</t>
        </is>
      </c>
      <c r="G1098" s="5" t="inlineStr">
        <is>
          <t>専門学科・総合学科</t>
        </is>
      </c>
      <c r="H1098" s="8" t="n"/>
      <c r="I1098" s="9" t="n"/>
      <c r="J1098" s="9" t="inlineStr">
        <is>
          <t>未架電</t>
        </is>
      </c>
      <c r="K1098" s="8" t="n"/>
      <c r="L1098" s="9" t="n"/>
      <c r="M1098" s="10" t="n"/>
      <c r="N1098" s="11" t="inlineStr">
        <is>
          <t>https://www.osu-h.ed.jp/</t>
        </is>
      </c>
      <c r="O1098" s="12" t="inlineStr">
        <is>
          <t>開く</t>
        </is>
      </c>
    </row>
    <row r="1099">
      <c r="A1099" s="4" t="n">
        <v>1095</v>
      </c>
      <c r="B1099" s="5" t="inlineStr">
        <is>
          <t>岡山県</t>
        </is>
      </c>
      <c r="C1099" s="5" t="inlineStr">
        <is>
          <t>赤磐市</t>
        </is>
      </c>
      <c r="D1099" s="5" t="inlineStr">
        <is>
          <t>岡山白陵高等学校</t>
        </is>
      </c>
      <c r="E1099" s="6" t="inlineStr">
        <is>
          <t>086-995-1255</t>
        </is>
      </c>
      <c r="F1099" s="7" t="inlineStr">
        <is>
          <t>高</t>
        </is>
      </c>
      <c r="G1099" s="5" t="inlineStr">
        <is>
          <t>普通科</t>
        </is>
      </c>
      <c r="H1099" s="8" t="n"/>
      <c r="I1099" s="9" t="n"/>
      <c r="J1099" s="9" t="inlineStr">
        <is>
          <t>未架電</t>
        </is>
      </c>
      <c r="K1099" s="8" t="n"/>
      <c r="L1099" s="9" t="n"/>
      <c r="M1099" s="10" t="inlineStr">
        <is>
          <t>中学校併設</t>
        </is>
      </c>
      <c r="N1099" s="11" t="inlineStr">
        <is>
          <t>https://www.okahaku.ed.jp/access_inquiry/</t>
        </is>
      </c>
      <c r="O1099" s="12" t="inlineStr">
        <is>
          <t>開く</t>
        </is>
      </c>
    </row>
    <row r="1100">
      <c r="A1100" s="4" t="n">
        <v>1096</v>
      </c>
      <c r="B1100" s="5" t="inlineStr">
        <is>
          <t>岡山県</t>
        </is>
      </c>
      <c r="C1100" s="5" t="inlineStr">
        <is>
          <t>岡山市北区</t>
        </is>
      </c>
      <c r="D1100" s="5" t="inlineStr">
        <is>
          <t>岡山理科大学附属高等学校</t>
        </is>
      </c>
      <c r="E1100" s="6" t="inlineStr">
        <is>
          <t>086-256-8511</t>
        </is>
      </c>
      <c r="F1100" s="7" t="inlineStr">
        <is>
          <t>高</t>
        </is>
      </c>
      <c r="G1100" s="5" t="inlineStr">
        <is>
          <t>普通科</t>
        </is>
      </c>
      <c r="H1100" s="8" t="n"/>
      <c r="I1100" s="9" t="n"/>
      <c r="J1100" s="9" t="inlineStr">
        <is>
          <t>未架電</t>
        </is>
      </c>
      <c r="K1100" s="8" t="n"/>
      <c r="L1100" s="9" t="n"/>
      <c r="M1100" s="10" t="inlineStr">
        <is>
          <t>通信制課程直通は086-256-8562</t>
        </is>
      </c>
      <c r="N1100" s="11" t="inlineStr">
        <is>
          <t>https://okayama.ridaifu.net/contact/</t>
        </is>
      </c>
      <c r="O1100" s="12" t="inlineStr">
        <is>
          <t>開く</t>
        </is>
      </c>
    </row>
    <row r="1101">
      <c r="A1101" s="4" t="n">
        <v>1097</v>
      </c>
      <c r="B1101" s="5" t="inlineStr">
        <is>
          <t>岡山県</t>
        </is>
      </c>
      <c r="C1101" s="5" t="inlineStr">
        <is>
          <t>笠岡市</t>
        </is>
      </c>
      <c r="D1101" s="5" t="inlineStr">
        <is>
          <t>岡山龍谷高等学校</t>
        </is>
      </c>
      <c r="E1101" s="6" t="inlineStr">
        <is>
          <t>0865-63-2525</t>
        </is>
      </c>
      <c r="F1101" s="7" t="inlineStr">
        <is>
          <t>高</t>
        </is>
      </c>
      <c r="G1101" s="5" t="inlineStr">
        <is>
          <t>普通科・専門学科</t>
        </is>
      </c>
      <c r="H1101" s="8" t="n"/>
      <c r="I1101" s="9" t="n"/>
      <c r="J1101" s="9" t="inlineStr">
        <is>
          <t>未架電</t>
        </is>
      </c>
      <c r="K1101" s="8" t="n"/>
      <c r="L1101" s="9" t="n"/>
      <c r="M1101" s="10" t="inlineStr">
        <is>
          <t>職員室は0865-63-2526</t>
        </is>
      </c>
      <c r="N1101" s="11" t="inlineStr">
        <is>
          <t>https://www.ok-ryukoku.ed.jp/</t>
        </is>
      </c>
      <c r="O1101" s="12" t="inlineStr">
        <is>
          <t>開く</t>
        </is>
      </c>
    </row>
    <row r="1102">
      <c r="A1102" s="4" t="n">
        <v>1098</v>
      </c>
      <c r="B1102" s="5" t="inlineStr">
        <is>
          <t>岡山県</t>
        </is>
      </c>
      <c r="C1102" s="5" t="inlineStr">
        <is>
          <t>倉敷市</t>
        </is>
      </c>
      <c r="D1102" s="5" t="inlineStr">
        <is>
          <t>川崎医科大学附属高等学校</t>
        </is>
      </c>
      <c r="E1102" s="6" t="inlineStr">
        <is>
          <t>086-462-3666</t>
        </is>
      </c>
      <c r="F1102" s="7" t="inlineStr">
        <is>
          <t>高</t>
        </is>
      </c>
      <c r="G1102" s="5" t="inlineStr">
        <is>
          <t>普通科</t>
        </is>
      </c>
      <c r="H1102" s="8" t="n"/>
      <c r="I1102" s="9" t="n"/>
      <c r="J1102" s="9" t="inlineStr">
        <is>
          <t>未架電</t>
        </is>
      </c>
      <c r="K1102" s="8" t="n"/>
      <c r="L1102" s="9" t="n"/>
      <c r="M1102" s="10" t="n"/>
      <c r="N1102" s="11" t="inlineStr">
        <is>
          <t>https://s.kawasaki-m.ac.jp/</t>
        </is>
      </c>
      <c r="O1102" s="12" t="inlineStr">
        <is>
          <t>開く</t>
        </is>
      </c>
    </row>
    <row r="1103">
      <c r="A1103" s="4" t="n">
        <v>1099</v>
      </c>
      <c r="B1103" s="5" t="inlineStr">
        <is>
          <t>岡山県</t>
        </is>
      </c>
      <c r="C1103" s="5" t="inlineStr">
        <is>
          <t>岡山市北区</t>
        </is>
      </c>
      <c r="D1103" s="5" t="inlineStr">
        <is>
          <t>関西高等学校</t>
        </is>
      </c>
      <c r="E1103" s="6" t="inlineStr">
        <is>
          <t>086-252-5121</t>
        </is>
      </c>
      <c r="F1103" s="7" t="inlineStr">
        <is>
          <t>高</t>
        </is>
      </c>
      <c r="G1103" s="5" t="inlineStr">
        <is>
          <t>普通科・専門学科</t>
        </is>
      </c>
      <c r="H1103" s="8" t="n"/>
      <c r="I1103" s="9" t="n"/>
      <c r="J1103" s="9" t="inlineStr">
        <is>
          <t>未架電</t>
        </is>
      </c>
      <c r="K1103" s="8" t="n"/>
      <c r="L1103" s="9" t="n"/>
      <c r="M1103" s="10" t="n"/>
      <c r="N1103" s="11" t="inlineStr">
        <is>
          <t>https://kanzei.ac.jp/</t>
        </is>
      </c>
      <c r="O1103" s="12" t="inlineStr">
        <is>
          <t>開く</t>
        </is>
      </c>
    </row>
    <row r="1104">
      <c r="A1104" s="4" t="n">
        <v>1100</v>
      </c>
      <c r="B1104" s="5" t="inlineStr">
        <is>
          <t>岡山県</t>
        </is>
      </c>
      <c r="C1104" s="5" t="inlineStr">
        <is>
          <t>吉備中央町</t>
        </is>
      </c>
      <c r="D1104" s="5" t="inlineStr">
        <is>
          <t>吉備高原学園高等学校</t>
        </is>
      </c>
      <c r="E1104" s="6" t="inlineStr">
        <is>
          <t>0866-56-8211</t>
        </is>
      </c>
      <c r="F1104" s="7" t="inlineStr">
        <is>
          <t>高</t>
        </is>
      </c>
      <c r="G1104" s="5" t="inlineStr">
        <is>
          <t>普通科</t>
        </is>
      </c>
      <c r="H1104" s="8" t="n"/>
      <c r="I1104" s="9" t="n"/>
      <c r="J1104" s="9" t="inlineStr">
        <is>
          <t>未架電</t>
        </is>
      </c>
      <c r="K1104" s="8" t="n"/>
      <c r="L1104" s="9" t="n"/>
      <c r="M1104" s="10" t="inlineStr">
        <is>
          <t>全寮制</t>
        </is>
      </c>
      <c r="N1104" s="11" t="inlineStr">
        <is>
          <t>https://www.kibikogengakuen.ed.jp/inquiry/form/</t>
        </is>
      </c>
      <c r="O1104" s="12" t="inlineStr">
        <is>
          <t>開く</t>
        </is>
      </c>
    </row>
    <row r="1105">
      <c r="A1105" s="4" t="n">
        <v>1101</v>
      </c>
      <c r="B1105" s="5" t="inlineStr">
        <is>
          <t>岡山県</t>
        </is>
      </c>
      <c r="C1105" s="5" t="inlineStr">
        <is>
          <t>倉敷市</t>
        </is>
      </c>
      <c r="D1105" s="5" t="inlineStr">
        <is>
          <t>倉敷高等学校</t>
        </is>
      </c>
      <c r="E1105" s="6" t="inlineStr">
        <is>
          <t>086-462-9000</t>
        </is>
      </c>
      <c r="F1105" s="7" t="inlineStr">
        <is>
          <t>高</t>
        </is>
      </c>
      <c r="G1105" s="5" t="inlineStr">
        <is>
          <t>普通科・専門学科</t>
        </is>
      </c>
      <c r="H1105" s="8" t="n"/>
      <c r="I1105" s="9" t="n"/>
      <c r="J1105" s="9" t="inlineStr">
        <is>
          <t>未架電</t>
        </is>
      </c>
      <c r="K1105" s="8" t="n"/>
      <c r="L1105" s="9" t="n"/>
      <c r="M1105" s="10" t="inlineStr">
        <is>
          <t>岡山県私学協会の一覧とも一致</t>
        </is>
      </c>
      <c r="N1105" s="11" t="inlineStr">
        <is>
          <t>https://www.kurashiki.ac.jp/news/</t>
        </is>
      </c>
      <c r="O1105" s="12" t="inlineStr">
        <is>
          <t>開く</t>
        </is>
      </c>
    </row>
    <row r="1106">
      <c r="A1106" s="4" t="n">
        <v>1102</v>
      </c>
      <c r="B1106" s="5" t="inlineStr">
        <is>
          <t>岡山県</t>
        </is>
      </c>
      <c r="C1106" s="5" t="inlineStr">
        <is>
          <t>倉敷市</t>
        </is>
      </c>
      <c r="D1106" s="5" t="inlineStr">
        <is>
          <t>倉敷翠松高等学校</t>
        </is>
      </c>
      <c r="E1106" s="6" t="inlineStr">
        <is>
          <t>086-422-3565</t>
        </is>
      </c>
      <c r="F1106" s="7" t="inlineStr">
        <is>
          <t>高</t>
        </is>
      </c>
      <c r="G1106" s="5" t="inlineStr">
        <is>
          <t>普通科・専門学科</t>
        </is>
      </c>
      <c r="H1106" s="8" t="n"/>
      <c r="I1106" s="9" t="n"/>
      <c r="J1106" s="9" t="inlineStr">
        <is>
          <t>未架電</t>
        </is>
      </c>
      <c r="K1106" s="8" t="n"/>
      <c r="L1106" s="9" t="n"/>
      <c r="M1106" s="10" t="inlineStr">
        <is>
          <t>教務室086-422-3570、専攻科086-427-0941</t>
        </is>
      </c>
      <c r="N1106" s="11" t="inlineStr">
        <is>
          <t>https://www.suisho.ed.jp/</t>
        </is>
      </c>
      <c r="O1106" s="12" t="inlineStr">
        <is>
          <t>開く</t>
        </is>
      </c>
    </row>
    <row r="1107">
      <c r="A1107" s="4" t="n">
        <v>1103</v>
      </c>
      <c r="B1107" s="5" t="inlineStr">
        <is>
          <t>岡山県</t>
        </is>
      </c>
      <c r="C1107" s="5" t="inlineStr">
        <is>
          <t>井原市</t>
        </is>
      </c>
      <c r="D1107" s="5" t="inlineStr">
        <is>
          <t>興譲館高等学校</t>
        </is>
      </c>
      <c r="E1107" s="6" t="inlineStr">
        <is>
          <t>0866-62-0124</t>
        </is>
      </c>
      <c r="F1107" s="7" t="inlineStr">
        <is>
          <t>高</t>
        </is>
      </c>
      <c r="G1107" s="5" t="inlineStr">
        <is>
          <t>普通科</t>
        </is>
      </c>
      <c r="H1107" s="8" t="n"/>
      <c r="I1107" s="9" t="n"/>
      <c r="J1107" s="9" t="inlineStr">
        <is>
          <t>未架電</t>
        </is>
      </c>
      <c r="K1107" s="8" t="n"/>
      <c r="L1107" s="9" t="n"/>
      <c r="M1107" s="10" t="inlineStr">
        <is>
          <t>井原市の本校。通信制課程は0120-445033</t>
        </is>
      </c>
      <c r="N1107" s="11" t="inlineStr">
        <is>
          <t>https://kojokan-h.ed.jp/</t>
        </is>
      </c>
      <c r="O1107" s="12" t="inlineStr">
        <is>
          <t>開く</t>
        </is>
      </c>
    </row>
    <row r="1108">
      <c r="A1108" s="4" t="n">
        <v>1104</v>
      </c>
      <c r="B1108" s="5" t="inlineStr">
        <is>
          <t>岡山県</t>
        </is>
      </c>
      <c r="C1108" s="5" t="inlineStr">
        <is>
          <t>浅口市</t>
        </is>
      </c>
      <c r="D1108" s="5" t="inlineStr">
        <is>
          <t>金光学園高等学校</t>
        </is>
      </c>
      <c r="E1108" s="6" t="inlineStr">
        <is>
          <t>0865-42-3131</t>
        </is>
      </c>
      <c r="F1108" s="7" t="inlineStr">
        <is>
          <t>高</t>
        </is>
      </c>
      <c r="G1108" s="5" t="inlineStr">
        <is>
          <t>普通科</t>
        </is>
      </c>
      <c r="H1108" s="8" t="n"/>
      <c r="I1108" s="9" t="n"/>
      <c r="J1108" s="9" t="inlineStr">
        <is>
          <t>未架電</t>
        </is>
      </c>
      <c r="K1108" s="8" t="n"/>
      <c r="L1108" s="9" t="n"/>
      <c r="M1108" s="10" t="inlineStr">
        <is>
          <t>中高共通番号</t>
        </is>
      </c>
      <c r="N1108" s="11" t="inlineStr">
        <is>
          <t>https://www.konkougakuen.net/high/</t>
        </is>
      </c>
      <c r="O1108" s="12" t="inlineStr">
        <is>
          <t>開く</t>
        </is>
      </c>
    </row>
    <row r="1109">
      <c r="A1109" s="4" t="n">
        <v>1105</v>
      </c>
      <c r="B1109" s="5" t="inlineStr">
        <is>
          <t>岡山県</t>
        </is>
      </c>
      <c r="C1109" s="5" t="inlineStr">
        <is>
          <t>岡山市中区</t>
        </is>
      </c>
      <c r="D1109" s="5" t="inlineStr">
        <is>
          <t>山陽学園高等学校</t>
        </is>
      </c>
      <c r="E1109" s="6" t="inlineStr">
        <is>
          <t>086-272-1181</t>
        </is>
      </c>
      <c r="F1109" s="7" t="inlineStr">
        <is>
          <t>高</t>
        </is>
      </c>
      <c r="G1109" s="5" t="inlineStr">
        <is>
          <t>普通科</t>
        </is>
      </c>
      <c r="H1109" s="8" t="n"/>
      <c r="I1109" s="9" t="n"/>
      <c r="J1109" s="9" t="inlineStr">
        <is>
          <t>未架電</t>
        </is>
      </c>
      <c r="K1109" s="8" t="n"/>
      <c r="L1109" s="9" t="n"/>
      <c r="M1109" s="10" t="inlineStr">
        <is>
          <t>中高共通番号</t>
        </is>
      </c>
      <c r="N1109" s="11" t="inlineStr">
        <is>
          <t>https://www.sanyogakuen.ed.jp/school/access</t>
        </is>
      </c>
      <c r="O1109" s="12" t="inlineStr">
        <is>
          <t>開く</t>
        </is>
      </c>
    </row>
    <row r="1110">
      <c r="A1110" s="4" t="n">
        <v>1106</v>
      </c>
      <c r="B1110" s="5" t="inlineStr">
        <is>
          <t>岡山県</t>
        </is>
      </c>
      <c r="C1110" s="5" t="inlineStr">
        <is>
          <t>岡山市北区</t>
        </is>
      </c>
      <c r="D1110" s="5" t="inlineStr">
        <is>
          <t>就実高等学校</t>
        </is>
      </c>
      <c r="E1110" s="6" t="inlineStr">
        <is>
          <t>086-225-1326</t>
        </is>
      </c>
      <c r="F1110" s="7" t="inlineStr">
        <is>
          <t>高</t>
        </is>
      </c>
      <c r="G1110" s="5" t="inlineStr">
        <is>
          <t>普通科</t>
        </is>
      </c>
      <c r="H1110" s="8" t="n"/>
      <c r="I1110" s="9" t="n"/>
      <c r="J1110" s="9" t="inlineStr">
        <is>
          <t>未架電</t>
        </is>
      </c>
      <c r="K1110" s="8" t="n"/>
      <c r="L1110" s="9" t="n"/>
      <c r="M1110" s="10" t="n"/>
      <c r="N1110" s="11" t="inlineStr">
        <is>
          <t>https://www.shujitsu-gakuen.jp/contact/index.html</t>
        </is>
      </c>
      <c r="O1110" s="12" t="inlineStr">
        <is>
          <t>開く</t>
        </is>
      </c>
    </row>
    <row r="1111">
      <c r="A1111" s="4" t="n">
        <v>1107</v>
      </c>
      <c r="B1111" s="5" t="inlineStr">
        <is>
          <t>岡山県</t>
        </is>
      </c>
      <c r="C1111" s="5" t="inlineStr">
        <is>
          <t>倉敷市</t>
        </is>
      </c>
      <c r="D1111" s="5" t="inlineStr">
        <is>
          <t>清心女子高等学校（岡山県）</t>
        </is>
      </c>
      <c r="E1111" s="6" t="inlineStr">
        <is>
          <t>086-462-1661</t>
        </is>
      </c>
      <c r="F1111" s="7" t="inlineStr">
        <is>
          <t>高</t>
        </is>
      </c>
      <c r="G1111" s="5" t="inlineStr">
        <is>
          <t>普通科</t>
        </is>
      </c>
      <c r="H1111" s="8" t="n"/>
      <c r="I1111" s="9" t="n"/>
      <c r="J1111" s="9" t="inlineStr">
        <is>
          <t>未架電</t>
        </is>
      </c>
      <c r="K1111" s="8" t="n"/>
      <c r="L1111" s="9" t="n"/>
      <c r="M1111" s="10" t="inlineStr">
        <is>
          <t>ノートルダム清心学園（倉敷市）。中学校併設</t>
        </is>
      </c>
      <c r="N1111" s="11" t="inlineStr">
        <is>
          <t>https://www.nd-seishin.ac.jp/school/access/</t>
        </is>
      </c>
      <c r="O1111" s="12" t="inlineStr">
        <is>
          <t>開く</t>
        </is>
      </c>
    </row>
    <row r="1112">
      <c r="A1112" s="4" t="n">
        <v>1108</v>
      </c>
      <c r="B1112" s="5" t="inlineStr">
        <is>
          <t>岡山県</t>
        </is>
      </c>
      <c r="C1112" s="5" t="inlineStr">
        <is>
          <t>岡山市北区</t>
        </is>
      </c>
      <c r="D1112" s="5" t="inlineStr">
        <is>
          <t>創志学園高等学校</t>
        </is>
      </c>
      <c r="E1112" s="6" t="inlineStr">
        <is>
          <t>086-252-2101</t>
        </is>
      </c>
      <c r="F1112" s="7" t="inlineStr">
        <is>
          <t>高</t>
        </is>
      </c>
      <c r="G1112" s="5" t="inlineStr">
        <is>
          <t>普通科・専門学科</t>
        </is>
      </c>
      <c r="H1112" s="8" t="n"/>
      <c r="I1112" s="9" t="n"/>
      <c r="J1112" s="9" t="inlineStr">
        <is>
          <t>未架電</t>
        </is>
      </c>
      <c r="K1112" s="8" t="n"/>
      <c r="L1112" s="9" t="n"/>
      <c r="M1112" s="10" t="inlineStr">
        <is>
          <t>入試広報室は0120-151752</t>
        </is>
      </c>
      <c r="N1112" s="11" t="inlineStr">
        <is>
          <t>https://www.soshigakuen.ed.jp/access/</t>
        </is>
      </c>
      <c r="O1112" s="12" t="inlineStr">
        <is>
          <t>開く</t>
        </is>
      </c>
    </row>
    <row r="1113">
      <c r="A1113" s="4" t="n">
        <v>1109</v>
      </c>
      <c r="B1113" s="5" t="inlineStr">
        <is>
          <t>岡山県</t>
        </is>
      </c>
      <c r="C1113" s="5" t="inlineStr">
        <is>
          <t>高梁市</t>
        </is>
      </c>
      <c r="D1113" s="5" t="inlineStr">
        <is>
          <t>方谷學舎高等学校</t>
        </is>
      </c>
      <c r="E1113" s="6" t="inlineStr">
        <is>
          <t>0866-22-2205</t>
        </is>
      </c>
      <c r="F1113" s="7" t="inlineStr">
        <is>
          <t>高</t>
        </is>
      </c>
      <c r="G1113" s="5" t="inlineStr">
        <is>
          <t>普通科</t>
        </is>
      </c>
      <c r="H1113" s="8" t="n"/>
      <c r="I1113" s="9" t="n"/>
      <c r="J1113" s="9" t="inlineStr">
        <is>
          <t>未架電</t>
        </is>
      </c>
      <c r="K1113" s="8" t="n"/>
      <c r="L1113" s="9" t="n"/>
      <c r="M1113" s="10" t="inlineStr">
        <is>
          <t>2023年6月に「岡山県高梁日新高等学校」から校名変更。事務室番号（教務室は0866-56-0015）</t>
        </is>
      </c>
      <c r="N1113" s="11" t="inlineStr">
        <is>
          <t>https://www.houkoku-gakusha.ed.jp/introduction/</t>
        </is>
      </c>
      <c r="O1113" s="12" t="inlineStr">
        <is>
          <t>開く</t>
        </is>
      </c>
    </row>
    <row r="1114">
      <c r="A1114" s="4" t="n">
        <v>1110</v>
      </c>
      <c r="B1114" s="5" t="inlineStr">
        <is>
          <t>岡山県</t>
        </is>
      </c>
      <c r="C1114" s="5" t="inlineStr">
        <is>
          <t>岡山市北区</t>
        </is>
      </c>
      <c r="D1114" s="5" t="inlineStr">
        <is>
          <t>明誠学院高等学校</t>
        </is>
      </c>
      <c r="E1114" s="6" t="inlineStr">
        <is>
          <t>086-252-5247</t>
        </is>
      </c>
      <c r="F1114" s="7" t="inlineStr">
        <is>
          <t>高</t>
        </is>
      </c>
      <c r="G1114" s="5" t="inlineStr">
        <is>
          <t>普通科</t>
        </is>
      </c>
      <c r="H1114" s="8" t="n"/>
      <c r="I1114" s="9" t="n"/>
      <c r="J1114" s="9" t="inlineStr">
        <is>
          <t>未架電</t>
        </is>
      </c>
      <c r="K1114" s="8" t="n"/>
      <c r="L1114" s="9" t="n"/>
      <c r="M1114" s="10" t="n"/>
      <c r="N1114" s="11" t="inlineStr">
        <is>
          <t>https://www.meiseigakuin.ac.jp/</t>
        </is>
      </c>
      <c r="O1114" s="12" t="inlineStr">
        <is>
          <t>開く</t>
        </is>
      </c>
    </row>
    <row r="1115">
      <c r="A1115" s="4" t="n">
        <v>1111</v>
      </c>
      <c r="B1115" s="5" t="inlineStr">
        <is>
          <t>広島県</t>
        </is>
      </c>
      <c r="C1115" s="5" t="inlineStr">
        <is>
          <t>広島市安佐南区</t>
        </is>
      </c>
      <c r="D1115" s="5" t="inlineStr">
        <is>
          <t>AICJ高等学校</t>
        </is>
      </c>
      <c r="E1115" s="6" t="inlineStr">
        <is>
          <t>082-832-5037</t>
        </is>
      </c>
      <c r="F1115" s="7" t="inlineStr">
        <is>
          <t>高</t>
        </is>
      </c>
      <c r="G1115" s="5" t="inlineStr">
        <is>
          <t>普通科</t>
        </is>
      </c>
      <c r="H1115" s="8" t="n"/>
      <c r="I1115" s="9" t="n"/>
      <c r="J1115" s="9" t="inlineStr">
        <is>
          <t>未架電</t>
        </is>
      </c>
      <c r="K1115" s="8" t="n"/>
      <c r="L1115" s="9" t="n"/>
      <c r="M1115" s="10" t="inlineStr">
        <is>
          <t>一部サイトに旧番号らしい082-874-3081の記載あり</t>
        </is>
      </c>
      <c r="N1115" s="11" t="inlineStr">
        <is>
          <t>https://aicj.ed.jp/access.html</t>
        </is>
      </c>
      <c r="O1115" s="12" t="inlineStr">
        <is>
          <t>開く</t>
        </is>
      </c>
    </row>
    <row r="1116">
      <c r="A1116" s="4" t="n">
        <v>1112</v>
      </c>
      <c r="B1116" s="5" t="inlineStr">
        <is>
          <t>広島県</t>
        </is>
      </c>
      <c r="C1116" s="5" t="inlineStr">
        <is>
          <t>福山市</t>
        </is>
      </c>
      <c r="D1116" s="5" t="inlineStr">
        <is>
          <t>盈進高等学校</t>
        </is>
      </c>
      <c r="E1116" s="6" t="inlineStr">
        <is>
          <t>084-955-2333</t>
        </is>
      </c>
      <c r="F1116" s="7" t="inlineStr">
        <is>
          <t>高</t>
        </is>
      </c>
      <c r="G1116" s="5" t="inlineStr">
        <is>
          <t>普通科</t>
        </is>
      </c>
      <c r="H1116" s="8" t="n"/>
      <c r="I1116" s="9" t="n"/>
      <c r="J1116" s="9" t="inlineStr">
        <is>
          <t>未架電</t>
        </is>
      </c>
      <c r="K1116" s="8" t="n"/>
      <c r="L1116" s="9" t="n"/>
      <c r="M1116" s="10" t="inlineStr">
        <is>
          <t>中高共通の代表番号</t>
        </is>
      </c>
      <c r="N1116" s="11" t="inlineStr">
        <is>
          <t>https://www.eishin.ed.jp/access/</t>
        </is>
      </c>
      <c r="O1116" s="12" t="inlineStr">
        <is>
          <t>開く</t>
        </is>
      </c>
    </row>
    <row r="1117">
      <c r="A1117" s="4" t="n">
        <v>1113</v>
      </c>
      <c r="B1117" s="5" t="inlineStr">
        <is>
          <t>広島県</t>
        </is>
      </c>
      <c r="C1117" s="5" t="inlineStr">
        <is>
          <t>福山市</t>
        </is>
      </c>
      <c r="D1117" s="5" t="inlineStr">
        <is>
          <t>英数学館高等学校</t>
        </is>
      </c>
      <c r="E1117" s="6" t="inlineStr">
        <is>
          <t>084-941-4115</t>
        </is>
      </c>
      <c r="F1117" s="7" t="inlineStr">
        <is>
          <t>高</t>
        </is>
      </c>
      <c r="G1117" s="5" t="inlineStr">
        <is>
          <t>普通科</t>
        </is>
      </c>
      <c r="H1117" s="8" t="n"/>
      <c r="I1117" s="9" t="n"/>
      <c r="J1117" s="9" t="inlineStr">
        <is>
          <t>未架電</t>
        </is>
      </c>
      <c r="K1117" s="8" t="n"/>
      <c r="L1117" s="9" t="n"/>
      <c r="M1117" s="10" t="inlineStr">
        <is>
          <t>一部サイトに084-941-4117の記載あり（旧番号か）</t>
        </is>
      </c>
      <c r="N1117" s="11" t="inlineStr">
        <is>
          <t>https://goto.eisu-ejs.ac.jp/access/</t>
        </is>
      </c>
      <c r="O1117" s="12" t="inlineStr">
        <is>
          <t>開く</t>
        </is>
      </c>
    </row>
    <row r="1118">
      <c r="A1118" s="4" t="n">
        <v>1114</v>
      </c>
      <c r="B1118" s="5" t="inlineStr">
        <is>
          <t>広島県</t>
        </is>
      </c>
      <c r="C1118" s="5" t="inlineStr">
        <is>
          <t>尾道市</t>
        </is>
      </c>
      <c r="D1118" s="5" t="inlineStr">
        <is>
          <t>尾道高等学校</t>
        </is>
      </c>
      <c r="E1118" s="6" t="inlineStr">
        <is>
          <t>0848-20-6612</t>
        </is>
      </c>
      <c r="F1118" s="7" t="inlineStr">
        <is>
          <t>高</t>
        </is>
      </c>
      <c r="G1118" s="5" t="inlineStr">
        <is>
          <t>普通科・専門学科</t>
        </is>
      </c>
      <c r="H1118" s="8" t="n"/>
      <c r="I1118" s="9" t="n"/>
      <c r="J1118" s="9" t="inlineStr">
        <is>
          <t>未架電</t>
        </is>
      </c>
      <c r="K1118" s="8" t="n"/>
      <c r="L1118" s="9" t="n"/>
      <c r="M1118" s="10" t="inlineStr">
        <is>
          <t>2009年に向島町へ移転。旧番号0848-23-2311が残るサイトあり</t>
        </is>
      </c>
      <c r="N1118" s="11" t="inlineStr">
        <is>
          <t>https://onomichi.ac.jp/</t>
        </is>
      </c>
      <c r="O1118" s="12" t="inlineStr">
        <is>
          <t>開く</t>
        </is>
      </c>
    </row>
    <row r="1119">
      <c r="A1119" s="4" t="n">
        <v>1115</v>
      </c>
      <c r="B1119" s="5" t="inlineStr">
        <is>
          <t>広島県</t>
        </is>
      </c>
      <c r="C1119" s="5" t="inlineStr">
        <is>
          <t>東広島市</t>
        </is>
      </c>
      <c r="D1119" s="5" t="inlineStr">
        <is>
          <t>近畿大学附属広島高等学校東広島校</t>
        </is>
      </c>
      <c r="E1119" s="6" t="inlineStr">
        <is>
          <t>082-434-7111</t>
        </is>
      </c>
      <c r="F1119" s="7" t="inlineStr">
        <is>
          <t>高</t>
        </is>
      </c>
      <c r="G1119" s="5" t="inlineStr">
        <is>
          <t>普通科</t>
        </is>
      </c>
      <c r="H1119" s="8" t="n"/>
      <c r="I1119" s="9" t="n"/>
      <c r="J1119" s="9" t="inlineStr">
        <is>
          <t>未架電</t>
        </is>
      </c>
      <c r="K1119" s="8" t="n"/>
      <c r="L1119" s="9" t="n"/>
      <c r="M1119" s="10" t="n"/>
      <c r="N1119" s="11" t="inlineStr">
        <is>
          <t>https://hh.kindai.ac.jp/</t>
        </is>
      </c>
      <c r="O1119" s="12" t="inlineStr">
        <is>
          <t>開く</t>
        </is>
      </c>
    </row>
    <row r="1120">
      <c r="A1120" s="4" t="n">
        <v>1116</v>
      </c>
      <c r="B1120" s="5" t="inlineStr">
        <is>
          <t>広島県</t>
        </is>
      </c>
      <c r="C1120" s="5" t="inlineStr">
        <is>
          <t>福山市</t>
        </is>
      </c>
      <c r="D1120" s="5" t="inlineStr">
        <is>
          <t>近畿大学附属広島高等学校福山校</t>
        </is>
      </c>
      <c r="E1120" s="6" t="inlineStr">
        <is>
          <t>084-951-2695</t>
        </is>
      </c>
      <c r="F1120" s="7" t="inlineStr">
        <is>
          <t>高</t>
        </is>
      </c>
      <c r="G1120" s="5" t="inlineStr">
        <is>
          <t>普通科</t>
        </is>
      </c>
      <c r="H1120" s="8" t="n"/>
      <c r="I1120" s="9" t="n"/>
      <c r="J1120" s="9" t="inlineStr">
        <is>
          <t>未架電</t>
        </is>
      </c>
      <c r="K1120" s="8" t="n"/>
      <c r="L1120" s="9" t="n"/>
      <c r="M1120" s="10" t="inlineStr">
        <is>
          <t>旧称は近畿大学附属福山高等学校</t>
        </is>
      </c>
      <c r="N1120" s="11" t="inlineStr">
        <is>
          <t>https://www.fukuyama.kindai.ac.jp/gakko/gakko-shokai.html</t>
        </is>
      </c>
      <c r="O1120" s="12" t="inlineStr">
        <is>
          <t>開く</t>
        </is>
      </c>
    </row>
    <row r="1121">
      <c r="A1121" s="4" t="n">
        <v>1117</v>
      </c>
      <c r="B1121" s="5" t="inlineStr">
        <is>
          <t>広島県</t>
        </is>
      </c>
      <c r="C1121" s="5" t="inlineStr">
        <is>
          <t>福山市</t>
        </is>
      </c>
      <c r="D1121" s="5" t="inlineStr">
        <is>
          <t>銀河学院高等学校</t>
        </is>
      </c>
      <c r="E1121" s="6" t="inlineStr">
        <is>
          <t>084-941-9292</t>
        </is>
      </c>
      <c r="F1121" s="7" t="inlineStr">
        <is>
          <t>高</t>
        </is>
      </c>
      <c r="G1121" s="5" t="inlineStr">
        <is>
          <t>普通科</t>
        </is>
      </c>
      <c r="H1121" s="8" t="n"/>
      <c r="I1121" s="9" t="n"/>
      <c r="J1121" s="9" t="inlineStr">
        <is>
          <t>未架電</t>
        </is>
      </c>
      <c r="K1121" s="8" t="n"/>
      <c r="L1121" s="9" t="n"/>
      <c r="M1121" s="10" t="inlineStr">
        <is>
          <t>公式（法人事務室）に記載、複数サイトも一致</t>
        </is>
      </c>
      <c r="N1121" s="11" t="inlineStr">
        <is>
          <t>https://www.ginga.ac.jp/donationginga/</t>
        </is>
      </c>
      <c r="O1121" s="12" t="inlineStr">
        <is>
          <t>開く</t>
        </is>
      </c>
    </row>
    <row r="1122">
      <c r="A1122" s="4" t="n">
        <v>1118</v>
      </c>
      <c r="B1122" s="5" t="inlineStr">
        <is>
          <t>広島県</t>
        </is>
      </c>
      <c r="C1122" s="5" t="inlineStr">
        <is>
          <t>呉市</t>
        </is>
      </c>
      <c r="D1122" s="5" t="inlineStr">
        <is>
          <t>呉青山高等学校</t>
        </is>
      </c>
      <c r="E1122" s="6" t="inlineStr">
        <is>
          <t>0823-32-1721</t>
        </is>
      </c>
      <c r="F1122" s="7" t="inlineStr">
        <is>
          <t>高</t>
        </is>
      </c>
      <c r="G1122" s="5" t="inlineStr">
        <is>
          <t>普通科</t>
        </is>
      </c>
      <c r="H1122" s="8" t="n"/>
      <c r="I1122" s="9" t="n"/>
      <c r="J1122" s="9" t="inlineStr">
        <is>
          <t>未架電</t>
        </is>
      </c>
      <c r="K1122" s="8" t="n"/>
      <c r="L1122" s="9" t="n"/>
      <c r="M1122" s="10" t="inlineStr">
        <is>
          <t>2027年4月に「星の杜広島中学校・高等学校」へ校名変更予定</t>
        </is>
      </c>
      <c r="N1122" s="11" t="inlineStr">
        <is>
          <t>https://www.kureaoyama.ed.jp/</t>
        </is>
      </c>
      <c r="O1122" s="12" t="inlineStr">
        <is>
          <t>開く</t>
        </is>
      </c>
    </row>
    <row r="1123">
      <c r="A1123" s="4" t="n">
        <v>1119</v>
      </c>
      <c r="B1123" s="5" t="inlineStr">
        <is>
          <t>広島県</t>
        </is>
      </c>
      <c r="C1123" s="5" t="inlineStr">
        <is>
          <t>広島市安佐南区</t>
        </is>
      </c>
      <c r="D1123" s="5" t="inlineStr">
        <is>
          <t>広陵高等学校</t>
        </is>
      </c>
      <c r="E1123" s="6" t="inlineStr">
        <is>
          <t>082-848-1321</t>
        </is>
      </c>
      <c r="F1123" s="7" t="inlineStr">
        <is>
          <t>高</t>
        </is>
      </c>
      <c r="G1123" s="5" t="inlineStr">
        <is>
          <t>普通科</t>
        </is>
      </c>
      <c r="H1123" s="8" t="n"/>
      <c r="I1123" s="9" t="n"/>
      <c r="J1123" s="9" t="inlineStr">
        <is>
          <t>未架電</t>
        </is>
      </c>
      <c r="K1123" s="8" t="n"/>
      <c r="L1123" s="9" t="n"/>
      <c r="M1123" s="10" t="n"/>
      <c r="N1123" s="11" t="inlineStr">
        <is>
          <t>https://www.koryo.ac.jp/</t>
        </is>
      </c>
      <c r="O1123" s="12" t="inlineStr">
        <is>
          <t>開く</t>
        </is>
      </c>
    </row>
    <row r="1124">
      <c r="A1124" s="4" t="n">
        <v>1120</v>
      </c>
      <c r="B1124" s="5" t="inlineStr">
        <is>
          <t>広島県</t>
        </is>
      </c>
      <c r="C1124" s="5" t="inlineStr">
        <is>
          <t>呉市</t>
        </is>
      </c>
      <c r="D1124" s="5" t="inlineStr">
        <is>
          <t>呉港高等学校</t>
        </is>
      </c>
      <c r="E1124" s="6" t="inlineStr">
        <is>
          <t>0823-71-9163</t>
        </is>
      </c>
      <c r="F1124" s="7" t="inlineStr">
        <is>
          <t>高</t>
        </is>
      </c>
      <c r="G1124" s="5" t="inlineStr">
        <is>
          <t>普通科・専門学科</t>
        </is>
      </c>
      <c r="H1124" s="8" t="n"/>
      <c r="I1124" s="9" t="n"/>
      <c r="J1124" s="9" t="inlineStr">
        <is>
          <t>未架電</t>
        </is>
      </c>
      <c r="K1124" s="8" t="n"/>
      <c r="L1124" s="9" t="n"/>
      <c r="M1124" s="10" t="n"/>
      <c r="N1124" s="11" t="inlineStr">
        <is>
          <t>https://www.goko.ac.jp/?page_id=96</t>
        </is>
      </c>
      <c r="O1124" s="12" t="inlineStr">
        <is>
          <t>開く</t>
        </is>
      </c>
    </row>
    <row r="1125">
      <c r="A1125" s="4" t="n">
        <v>1121</v>
      </c>
      <c r="B1125" s="5" t="inlineStr">
        <is>
          <t>広島県</t>
        </is>
      </c>
      <c r="C1125" s="5" t="inlineStr">
        <is>
          <t>広島市西区</t>
        </is>
      </c>
      <c r="D1125" s="5" t="inlineStr">
        <is>
          <t>山陽高等学校</t>
        </is>
      </c>
      <c r="E1125" s="6" t="inlineStr">
        <is>
          <t>082-232-9156</t>
        </is>
      </c>
      <c r="F1125" s="7" t="inlineStr">
        <is>
          <t>高</t>
        </is>
      </c>
      <c r="G1125" s="5" t="inlineStr">
        <is>
          <t>普通科・専門学科</t>
        </is>
      </c>
      <c r="H1125" s="8" t="n"/>
      <c r="I1125" s="9" t="n"/>
      <c r="J1125" s="9" t="inlineStr">
        <is>
          <t>未架電</t>
        </is>
      </c>
      <c r="K1125" s="8" t="n"/>
      <c r="L1125" s="9" t="n"/>
      <c r="M1125" s="10" t="inlineStr">
        <is>
          <t>正式名は広島山陽学園山陽高等学校</t>
        </is>
      </c>
      <c r="N1125" s="11" t="inlineStr">
        <is>
          <t>https://www.sanyo.ed.jp/gakkou/access/</t>
        </is>
      </c>
      <c r="O1125" s="12" t="inlineStr">
        <is>
          <t>開く</t>
        </is>
      </c>
    </row>
    <row r="1126">
      <c r="A1126" s="4" t="n">
        <v>1122</v>
      </c>
      <c r="B1126" s="5" t="inlineStr">
        <is>
          <t>広島県</t>
        </is>
      </c>
      <c r="C1126" s="5" t="inlineStr">
        <is>
          <t>廿日市市</t>
        </is>
      </c>
      <c r="D1126" s="5" t="inlineStr">
        <is>
          <t>山陽女学園高等部</t>
        </is>
      </c>
      <c r="E1126" s="6" t="inlineStr">
        <is>
          <t>0829-32-2222</t>
        </is>
      </c>
      <c r="F1126" s="7" t="inlineStr">
        <is>
          <t>高</t>
        </is>
      </c>
      <c r="G1126" s="5" t="inlineStr">
        <is>
          <t>普通科・専門学科</t>
        </is>
      </c>
      <c r="H1126" s="8" t="n"/>
      <c r="I1126" s="9" t="n"/>
      <c r="J1126" s="9" t="inlineStr">
        <is>
          <t>未架電</t>
        </is>
      </c>
      <c r="K1126" s="8" t="n"/>
      <c r="L1126" s="9" t="n"/>
      <c r="M1126" s="10" t="inlineStr">
        <is>
          <t>通信制リアライズコースは0829-32-3330</t>
        </is>
      </c>
      <c r="N1126" s="11" t="inlineStr">
        <is>
          <t>https://sanyo-jogakuen.ed.jp/</t>
        </is>
      </c>
      <c r="O1126" s="12" t="inlineStr">
        <is>
          <t>開く</t>
        </is>
      </c>
    </row>
    <row r="1127">
      <c r="A1127" s="4" t="n">
        <v>1123</v>
      </c>
      <c r="B1127" s="5" t="inlineStr">
        <is>
          <t>広島県</t>
        </is>
      </c>
      <c r="C1127" s="5" t="inlineStr">
        <is>
          <t>呉市</t>
        </is>
      </c>
      <c r="D1127" s="5" t="inlineStr">
        <is>
          <t>清水ヶ丘高等学校</t>
        </is>
      </c>
      <c r="E1127" s="6" t="inlineStr">
        <is>
          <t>0823-23-1520</t>
        </is>
      </c>
      <c r="F1127" s="7" t="inlineStr">
        <is>
          <t>高</t>
        </is>
      </c>
      <c r="G1127" s="5" t="inlineStr">
        <is>
          <t>普通科・専門学科</t>
        </is>
      </c>
      <c r="H1127" s="8" t="n"/>
      <c r="I1127" s="9" t="n"/>
      <c r="J1127" s="9" t="inlineStr">
        <is>
          <t>未架電</t>
        </is>
      </c>
      <c r="K1127" s="8" t="n"/>
      <c r="L1127" s="9" t="n"/>
      <c r="M1127" s="10" t="inlineStr">
        <is>
          <t>法人事務局は0823-22-0012</t>
        </is>
      </c>
      <c r="N1127" s="11" t="inlineStr">
        <is>
          <t>https://www.shimizugaoka.ed.jp/</t>
        </is>
      </c>
      <c r="O1127" s="12" t="inlineStr">
        <is>
          <t>開く</t>
        </is>
      </c>
    </row>
    <row r="1128">
      <c r="A1128" s="4" t="n">
        <v>1124</v>
      </c>
      <c r="B1128" s="5" t="inlineStr">
        <is>
          <t>広島県</t>
        </is>
      </c>
      <c r="C1128" s="5" t="inlineStr">
        <is>
          <t>広島市中区</t>
        </is>
      </c>
      <c r="D1128" s="5" t="inlineStr">
        <is>
          <t>修道高等学校</t>
        </is>
      </c>
      <c r="E1128" s="6" t="inlineStr">
        <is>
          <t>082-241-8291</t>
        </is>
      </c>
      <c r="F1128" s="7" t="inlineStr">
        <is>
          <t>高</t>
        </is>
      </c>
      <c r="G1128" s="5" t="inlineStr">
        <is>
          <t>普通科</t>
        </is>
      </c>
      <c r="H1128" s="8" t="n"/>
      <c r="I1128" s="9" t="n"/>
      <c r="J1128" s="9" t="inlineStr">
        <is>
          <t>未架電</t>
        </is>
      </c>
      <c r="K1128" s="8" t="n"/>
      <c r="L1128" s="9" t="n"/>
      <c r="M1128" s="10" t="inlineStr">
        <is>
          <t>中高共通の代表番号</t>
        </is>
      </c>
      <c r="N1128" s="11" t="inlineStr">
        <is>
          <t>https://www.shudo-h.ed.jp/</t>
        </is>
      </c>
      <c r="O1128" s="12" t="inlineStr">
        <is>
          <t>開く</t>
        </is>
      </c>
    </row>
    <row r="1129">
      <c r="A1129" s="4" t="n">
        <v>1125</v>
      </c>
      <c r="B1129" s="5" t="inlineStr">
        <is>
          <t>広島県</t>
        </is>
      </c>
      <c r="C1129" s="5" t="inlineStr">
        <is>
          <t>広島市南区</t>
        </is>
      </c>
      <c r="D1129" s="5" t="inlineStr">
        <is>
          <t>進徳女子高等学校</t>
        </is>
      </c>
      <c r="E1129" s="6" t="inlineStr">
        <is>
          <t>082-251-6431</t>
        </is>
      </c>
      <c r="F1129" s="7" t="inlineStr">
        <is>
          <t>高</t>
        </is>
      </c>
      <c r="G1129" s="5" t="inlineStr">
        <is>
          <t>普通科・専門学科</t>
        </is>
      </c>
      <c r="H1129" s="8" t="n"/>
      <c r="I1129" s="9" t="n"/>
      <c r="J1129" s="9" t="inlineStr">
        <is>
          <t>未架電</t>
        </is>
      </c>
      <c r="K1129" s="8" t="n"/>
      <c r="L1129" s="9" t="n"/>
      <c r="M1129" s="10" t="n"/>
      <c r="N1129" s="11" t="inlineStr">
        <is>
          <t>https://www.shintoku.ed.jp/</t>
        </is>
      </c>
      <c r="O1129" s="12" t="inlineStr">
        <is>
          <t>開く</t>
        </is>
      </c>
    </row>
    <row r="1130">
      <c r="A1130" s="4" t="n">
        <v>1126</v>
      </c>
      <c r="B1130" s="5" t="inlineStr">
        <is>
          <t>広島県</t>
        </is>
      </c>
      <c r="C1130" s="5" t="inlineStr">
        <is>
          <t>三原市</t>
        </is>
      </c>
      <c r="D1130" s="5" t="inlineStr">
        <is>
          <t>如水館高等学校</t>
        </is>
      </c>
      <c r="E1130" s="6" t="inlineStr">
        <is>
          <t>0848-63-2423</t>
        </is>
      </c>
      <c r="F1130" s="7" t="inlineStr">
        <is>
          <t>高</t>
        </is>
      </c>
      <c r="G1130" s="5" t="inlineStr">
        <is>
          <t>普通科</t>
        </is>
      </c>
      <c r="H1130" s="8" t="n"/>
      <c r="I1130" s="9" t="n"/>
      <c r="J1130" s="9" t="inlineStr">
        <is>
          <t>未架電</t>
        </is>
      </c>
      <c r="K1130" s="8" t="n"/>
      <c r="L1130" s="9" t="n"/>
      <c r="M1130" s="10" t="n"/>
      <c r="N1130" s="11" t="inlineStr">
        <is>
          <t>https://www.josuikan.ed.jp/about/gaiyou</t>
        </is>
      </c>
      <c r="O1130" s="12" t="inlineStr">
        <is>
          <t>開く</t>
        </is>
      </c>
    </row>
    <row r="1131">
      <c r="A1131" s="4" t="n">
        <v>1127</v>
      </c>
      <c r="B1131" s="5" t="inlineStr">
        <is>
          <t>広島県</t>
        </is>
      </c>
      <c r="C1131" s="5" t="inlineStr">
        <is>
          <t>広島市西区</t>
        </is>
      </c>
      <c r="D1131" s="5" t="inlineStr">
        <is>
          <t>崇徳高等学校</t>
        </is>
      </c>
      <c r="E1131" s="6" t="inlineStr">
        <is>
          <t>082-237-9331</t>
        </is>
      </c>
      <c r="F1131" s="7" t="inlineStr">
        <is>
          <t>高</t>
        </is>
      </c>
      <c r="G1131" s="5" t="inlineStr">
        <is>
          <t>普通科</t>
        </is>
      </c>
      <c r="H1131" s="8" t="n"/>
      <c r="I1131" s="9" t="n"/>
      <c r="J1131" s="9" t="inlineStr">
        <is>
          <t>未架電</t>
        </is>
      </c>
      <c r="K1131" s="8" t="n"/>
      <c r="L1131" s="9" t="n"/>
      <c r="M1131" s="10" t="n"/>
      <c r="N1131" s="11" t="inlineStr">
        <is>
          <t>https://www.sotoku.ed.jp/</t>
        </is>
      </c>
      <c r="O1131" s="12" t="inlineStr">
        <is>
          <t>開く</t>
        </is>
      </c>
    </row>
    <row r="1132">
      <c r="A1132" s="4" t="n">
        <v>1128</v>
      </c>
      <c r="B1132" s="5" t="inlineStr">
        <is>
          <t>広島県</t>
        </is>
      </c>
      <c r="C1132" s="5" t="inlineStr">
        <is>
          <t>東広島市</t>
        </is>
      </c>
      <c r="D1132" s="5" t="inlineStr">
        <is>
          <t>武田高等学校</t>
        </is>
      </c>
      <c r="E1132" s="6" t="inlineStr">
        <is>
          <t>0823-82-2331</t>
        </is>
      </c>
      <c r="F1132" s="7" t="inlineStr">
        <is>
          <t>高</t>
        </is>
      </c>
      <c r="G1132" s="5" t="inlineStr">
        <is>
          <t>普通科</t>
        </is>
      </c>
      <c r="H1132" s="8" t="n"/>
      <c r="I1132" s="9" t="n"/>
      <c r="J1132" s="9" t="inlineStr">
        <is>
          <t>未架電</t>
        </is>
      </c>
      <c r="K1132" s="8" t="n"/>
      <c r="L1132" s="9" t="n"/>
      <c r="M1132" s="10" t="n"/>
      <c r="N1132" s="11" t="inlineStr">
        <is>
          <t>https://takeda.ed.jp/</t>
        </is>
      </c>
      <c r="O1132" s="12" t="inlineStr">
        <is>
          <t>開く</t>
        </is>
      </c>
    </row>
    <row r="1133">
      <c r="A1133" s="4" t="n">
        <v>1129</v>
      </c>
      <c r="B1133" s="5" t="inlineStr">
        <is>
          <t>広島県</t>
        </is>
      </c>
      <c r="C1133" s="5" t="inlineStr">
        <is>
          <t>福山市</t>
        </is>
      </c>
      <c r="D1133" s="5" t="inlineStr">
        <is>
          <t>東林館高等学校</t>
        </is>
      </c>
      <c r="E1133" s="6" t="inlineStr">
        <is>
          <t>084-923-4543</t>
        </is>
      </c>
      <c r="F1133" s="7" t="inlineStr">
        <is>
          <t>高</t>
        </is>
      </c>
      <c r="G1133" s="5" t="inlineStr">
        <is>
          <t>普通科</t>
        </is>
      </c>
      <c r="H1133" s="8" t="n"/>
      <c r="I1133" s="9" t="n"/>
      <c r="J1133" s="9" t="inlineStr">
        <is>
          <t>未架電</t>
        </is>
      </c>
      <c r="K1133" s="8" t="n"/>
      <c r="L1133" s="9" t="n"/>
      <c r="M1133" s="10" t="inlineStr">
        <is>
          <t>通信制。2010年に本校を神石高原町から福山市へ移転。旧番号0847-85-2041が残るサイトあり</t>
        </is>
      </c>
      <c r="N1133" s="11" t="inlineStr">
        <is>
          <t>https://www.tohrinkan.com/</t>
        </is>
      </c>
      <c r="O1133" s="12" t="inlineStr">
        <is>
          <t>開く</t>
        </is>
      </c>
    </row>
    <row r="1134">
      <c r="A1134" s="4" t="n">
        <v>1130</v>
      </c>
      <c r="B1134" s="5" t="inlineStr">
        <is>
          <t>広島県</t>
        </is>
      </c>
      <c r="C1134" s="5" t="inlineStr">
        <is>
          <t>広島市中区</t>
        </is>
      </c>
      <c r="D1134" s="5" t="inlineStr">
        <is>
          <t>並木学院高等学校</t>
        </is>
      </c>
      <c r="E1134" s="6" t="inlineStr">
        <is>
          <t>082-241-9066</t>
        </is>
      </c>
      <c r="F1134" s="7" t="inlineStr">
        <is>
          <t>高</t>
        </is>
      </c>
      <c r="G1134" s="5" t="inlineStr">
        <is>
          <t>普通科</t>
        </is>
      </c>
      <c r="H1134" s="8" t="n"/>
      <c r="I1134" s="9" t="n"/>
      <c r="J1134" s="9" t="inlineStr">
        <is>
          <t>未架電</t>
        </is>
      </c>
      <c r="K1134" s="8" t="n"/>
      <c r="L1134" s="9" t="n"/>
      <c r="M1134" s="10" t="inlineStr">
        <is>
          <t>FAXは082-241-5211</t>
        </is>
      </c>
      <c r="N1134" s="11" t="inlineStr">
        <is>
          <t>https://namikigakuin.ac.jp/school-info/group/</t>
        </is>
      </c>
      <c r="O1134" s="12" t="inlineStr">
        <is>
          <t>開く</t>
        </is>
      </c>
    </row>
    <row r="1135">
      <c r="A1135" s="4" t="n">
        <v>1131</v>
      </c>
      <c r="B1135" s="5" t="inlineStr">
        <is>
          <t>広島県</t>
        </is>
      </c>
      <c r="C1135" s="5" t="inlineStr">
        <is>
          <t>広島市西区</t>
        </is>
      </c>
      <c r="D1135" s="5" t="inlineStr">
        <is>
          <t>ノートルダム清心高等学校</t>
        </is>
      </c>
      <c r="E1135" s="6" t="inlineStr">
        <is>
          <t>082-271-1724</t>
        </is>
      </c>
      <c r="F1135" s="7" t="inlineStr">
        <is>
          <t>高</t>
        </is>
      </c>
      <c r="G1135" s="5" t="inlineStr">
        <is>
          <t>普通科</t>
        </is>
      </c>
      <c r="H1135" s="8" t="n"/>
      <c r="I1135" s="9" t="n"/>
      <c r="J1135" s="9" t="inlineStr">
        <is>
          <t>未架電</t>
        </is>
      </c>
      <c r="K1135" s="8" t="n"/>
      <c r="L1135" s="9" t="n"/>
      <c r="M1135" s="10" t="inlineStr">
        <is>
          <t>中高共通番号</t>
        </is>
      </c>
      <c r="N1135" s="11" t="inlineStr">
        <is>
          <t>https://www.hiro-seishin.ed.jp/contact/</t>
        </is>
      </c>
      <c r="O1135" s="12" t="inlineStr">
        <is>
          <t>開く</t>
        </is>
      </c>
    </row>
    <row r="1136">
      <c r="A1136" s="4" t="n">
        <v>1132</v>
      </c>
      <c r="B1136" s="5" t="inlineStr">
        <is>
          <t>広島県</t>
        </is>
      </c>
      <c r="C1136" s="5" t="inlineStr">
        <is>
          <t>広島市南区</t>
        </is>
      </c>
      <c r="D1136" s="5" t="inlineStr">
        <is>
          <t>比治山学園高等学校</t>
        </is>
      </c>
      <c r="E1136" s="6" t="inlineStr">
        <is>
          <t>082-251-4478</t>
        </is>
      </c>
      <c r="F1136" s="7" t="inlineStr">
        <is>
          <t>高</t>
        </is>
      </c>
      <c r="G1136" s="5" t="inlineStr">
        <is>
          <t>普通科</t>
        </is>
      </c>
      <c r="H1136" s="8" t="n"/>
      <c r="I1136" s="9" t="n"/>
      <c r="J1136" s="9" t="inlineStr">
        <is>
          <t>未架電</t>
        </is>
      </c>
      <c r="K1136" s="8" t="n"/>
      <c r="L1136" s="9" t="n"/>
      <c r="M1136" s="10" t="inlineStr">
        <is>
          <t>旧・比治山女子。2026年4月に共学化・校名変更。新サイト https://www.hijiyama-h.ed.jp/</t>
        </is>
      </c>
      <c r="N1136" s="11" t="inlineStr">
        <is>
          <t>https://www.hijiyamajoshi-h.ed.jp/education/</t>
        </is>
      </c>
      <c r="O1136" s="12" t="inlineStr">
        <is>
          <t>開く</t>
        </is>
      </c>
    </row>
    <row r="1137">
      <c r="A1137" s="4" t="n">
        <v>1133</v>
      </c>
      <c r="B1137" s="5" t="inlineStr">
        <is>
          <t>広島県</t>
        </is>
      </c>
      <c r="C1137" s="5" t="inlineStr">
        <is>
          <t>広島市西区</t>
        </is>
      </c>
      <c r="D1137" s="5" t="inlineStr">
        <is>
          <t>広島学院高等学校</t>
        </is>
      </c>
      <c r="E1137" s="6" t="inlineStr">
        <is>
          <t>082-271-0241</t>
        </is>
      </c>
      <c r="F1137" s="7" t="inlineStr">
        <is>
          <t>高</t>
        </is>
      </c>
      <c r="G1137" s="5" t="inlineStr">
        <is>
          <t>普通科</t>
        </is>
      </c>
      <c r="H1137" s="8" t="n"/>
      <c r="I1137" s="9" t="n"/>
      <c r="J1137" s="9" t="inlineStr">
        <is>
          <t>未架電</t>
        </is>
      </c>
      <c r="K1137" s="8" t="n"/>
      <c r="L1137" s="9" t="n"/>
      <c r="M1137" s="10" t="inlineStr">
        <is>
          <t>中高共通番号</t>
        </is>
      </c>
      <c r="N1137" s="11" t="inlineStr">
        <is>
          <t>https://www.hiroshimagakuin.ed.jp/contact/</t>
        </is>
      </c>
      <c r="O1137" s="12" t="inlineStr">
        <is>
          <t>開く</t>
        </is>
      </c>
    </row>
    <row r="1138">
      <c r="A1138" s="4" t="n">
        <v>1134</v>
      </c>
      <c r="B1138" s="5" t="inlineStr">
        <is>
          <t>広島県</t>
        </is>
      </c>
      <c r="C1138" s="5" t="inlineStr">
        <is>
          <t>広島市西区</t>
        </is>
      </c>
      <c r="D1138" s="5" t="inlineStr">
        <is>
          <t>広島工業大学高等学校</t>
        </is>
      </c>
      <c r="E1138" s="6" t="inlineStr">
        <is>
          <t>082-277-9205</t>
        </is>
      </c>
      <c r="F1138" s="7" t="inlineStr">
        <is>
          <t>高</t>
        </is>
      </c>
      <c r="G1138" s="5" t="inlineStr">
        <is>
          <t>普通科</t>
        </is>
      </c>
      <c r="H1138" s="8" t="n"/>
      <c r="I1138" s="9" t="n"/>
      <c r="J1138" s="9" t="inlineStr">
        <is>
          <t>未架電</t>
        </is>
      </c>
      <c r="K1138" s="8" t="n"/>
      <c r="L1138" s="9" t="n"/>
      <c r="M1138" s="10" t="inlineStr">
        <is>
          <t>全日制（西区）。通信制（安佐南区）は082-849-6755</t>
        </is>
      </c>
      <c r="N1138" s="11" t="inlineStr">
        <is>
          <t>https://www.kodaikoko.ed.jp/zennichi/</t>
        </is>
      </c>
      <c r="O1138" s="12" t="inlineStr">
        <is>
          <t>開く</t>
        </is>
      </c>
    </row>
    <row r="1139">
      <c r="A1139" s="4" t="n">
        <v>1135</v>
      </c>
      <c r="B1139" s="5" t="inlineStr">
        <is>
          <t>広島県</t>
        </is>
      </c>
      <c r="C1139" s="5" t="inlineStr">
        <is>
          <t>海田町</t>
        </is>
      </c>
      <c r="D1139" s="5" t="inlineStr">
        <is>
          <t>広島国際学院高等学校</t>
        </is>
      </c>
      <c r="E1139" s="6" t="inlineStr">
        <is>
          <t>082-823-3401</t>
        </is>
      </c>
      <c r="F1139" s="7" t="inlineStr">
        <is>
          <t>高</t>
        </is>
      </c>
      <c r="G1139" s="5" t="inlineStr">
        <is>
          <t>普通科・総合学科</t>
        </is>
      </c>
      <c r="H1139" s="8" t="n"/>
      <c r="I1139" s="9" t="n"/>
      <c r="J1139" s="9" t="inlineStr">
        <is>
          <t>未架電</t>
        </is>
      </c>
      <c r="K1139" s="8" t="n"/>
      <c r="L1139" s="9" t="n"/>
      <c r="M1139" s="10" t="inlineStr">
        <is>
          <t>全日制（海田町）。通信制の中野キャンパスは082-820-2515</t>
        </is>
      </c>
      <c r="N1139" s="11" t="inlineStr">
        <is>
          <t>https://www.hi.hkg.ac.jp/access</t>
        </is>
      </c>
      <c r="O1139" s="12" t="inlineStr">
        <is>
          <t>開く</t>
        </is>
      </c>
    </row>
    <row r="1140">
      <c r="A1140" s="4" t="n">
        <v>1136</v>
      </c>
      <c r="B1140" s="5" t="inlineStr">
        <is>
          <t>広島県</t>
        </is>
      </c>
      <c r="C1140" s="5" t="inlineStr">
        <is>
          <t>広島市東区</t>
        </is>
      </c>
      <c r="D1140" s="5" t="inlineStr">
        <is>
          <t>広島桜が丘高等学校</t>
        </is>
      </c>
      <c r="E1140" s="6" t="inlineStr">
        <is>
          <t>082-262-0128</t>
        </is>
      </c>
      <c r="F1140" s="13" t="inlineStr">
        <is>
          <t>中</t>
        </is>
      </c>
      <c r="G1140" s="5" t="inlineStr">
        <is>
          <t>普通科</t>
        </is>
      </c>
      <c r="H1140" s="8" t="n"/>
      <c r="I1140" s="9" t="n"/>
      <c r="J1140" s="9" t="inlineStr">
        <is>
          <t>未架電</t>
        </is>
      </c>
      <c r="K1140" s="8" t="n"/>
      <c r="L1140" s="9" t="n"/>
      <c r="M1140" s="10" t="inlineStr">
        <is>
          <t>公式未確認、複数サイトで一致</t>
        </is>
      </c>
      <c r="N1140" s="11" t="inlineStr">
        <is>
          <t>https://www.mapion.co.jp/phonebook/M11004/34102/ILSP0000041015_ipclm/</t>
        </is>
      </c>
      <c r="O1140" s="12" t="inlineStr">
        <is>
          <t>開く</t>
        </is>
      </c>
    </row>
    <row r="1141">
      <c r="A1141" s="4" t="n">
        <v>1137</v>
      </c>
      <c r="B1141" s="5" t="inlineStr">
        <is>
          <t>広島県</t>
        </is>
      </c>
      <c r="C1141" s="5" t="inlineStr">
        <is>
          <t>三原市</t>
        </is>
      </c>
      <c r="D1141" s="5" t="inlineStr">
        <is>
          <t>広島三育学院高等学校</t>
        </is>
      </c>
      <c r="E1141" s="6" t="inlineStr">
        <is>
          <t>0847-33-0311</t>
        </is>
      </c>
      <c r="F1141" s="7" t="inlineStr">
        <is>
          <t>高</t>
        </is>
      </c>
      <c r="G1141" s="5" t="inlineStr">
        <is>
          <t>普通科</t>
        </is>
      </c>
      <c r="H1141" s="8" t="n"/>
      <c r="I1141" s="9" t="n"/>
      <c r="J1141" s="9" t="inlineStr">
        <is>
          <t>未架電</t>
        </is>
      </c>
      <c r="K1141" s="8" t="n"/>
      <c r="L1141" s="9" t="n"/>
      <c r="M1141" s="10" t="n"/>
      <c r="N1141" s="11" t="inlineStr">
        <is>
          <t>https://www.saniku.ac.jp/hiroshima/about/profile.php</t>
        </is>
      </c>
      <c r="O1141" s="12" t="inlineStr">
        <is>
          <t>開く</t>
        </is>
      </c>
    </row>
    <row r="1142">
      <c r="A1142" s="4" t="n">
        <v>1138</v>
      </c>
      <c r="B1142" s="5" t="inlineStr">
        <is>
          <t>広島県</t>
        </is>
      </c>
      <c r="C1142" s="5" t="inlineStr">
        <is>
          <t>広島市西区</t>
        </is>
      </c>
      <c r="D1142" s="5" t="inlineStr">
        <is>
          <t>広島修道大学ひろしま協創高等学校</t>
        </is>
      </c>
      <c r="E1142" s="6" t="inlineStr">
        <is>
          <t>082-278-1101</t>
        </is>
      </c>
      <c r="F1142" s="7" t="inlineStr">
        <is>
          <t>高</t>
        </is>
      </c>
      <c r="G1142" s="5" t="inlineStr">
        <is>
          <t>普通科</t>
        </is>
      </c>
      <c r="H1142" s="8" t="n"/>
      <c r="I1142" s="9" t="n"/>
      <c r="J1142" s="9" t="inlineStr">
        <is>
          <t>未架電</t>
        </is>
      </c>
      <c r="K1142" s="8" t="n"/>
      <c r="L1142" s="9" t="n"/>
      <c r="M1142" s="10" t="n"/>
      <c r="N1142" s="11" t="inlineStr">
        <is>
          <t>https://www.shudo-u.ac.jp/fuzoku/</t>
        </is>
      </c>
      <c r="O1142" s="12" t="inlineStr">
        <is>
          <t>開く</t>
        </is>
      </c>
    </row>
    <row r="1143">
      <c r="A1143" s="4" t="n">
        <v>1139</v>
      </c>
      <c r="B1143" s="5" t="inlineStr">
        <is>
          <t>広島県</t>
        </is>
      </c>
      <c r="C1143" s="5" t="inlineStr">
        <is>
          <t>坂町</t>
        </is>
      </c>
      <c r="D1143" s="5" t="inlineStr">
        <is>
          <t>広島翔洋高等学校</t>
        </is>
      </c>
      <c r="E1143" s="6" t="inlineStr">
        <is>
          <t>082-884-1616</t>
        </is>
      </c>
      <c r="F1143" s="7" t="inlineStr">
        <is>
          <t>高</t>
        </is>
      </c>
      <c r="G1143" s="5" t="inlineStr">
        <is>
          <t>普通科・専門学科</t>
        </is>
      </c>
      <c r="H1143" s="8" t="n"/>
      <c r="I1143" s="9" t="n"/>
      <c r="J1143" s="9" t="inlineStr">
        <is>
          <t>未架電</t>
        </is>
      </c>
      <c r="K1143" s="8" t="n"/>
      <c r="L1143" s="9" t="n"/>
      <c r="M1143" s="10" t="n"/>
      <c r="N1143" s="11" t="inlineStr">
        <is>
          <t>https://www.h-shoyo.ed.jp/overview/details.php</t>
        </is>
      </c>
      <c r="O1143" s="12" t="inlineStr">
        <is>
          <t>開く</t>
        </is>
      </c>
    </row>
    <row r="1144">
      <c r="A1144" s="4" t="n">
        <v>1140</v>
      </c>
      <c r="B1144" s="5" t="inlineStr">
        <is>
          <t>広島県</t>
        </is>
      </c>
      <c r="C1144" s="5" t="inlineStr">
        <is>
          <t>北広島町</t>
        </is>
      </c>
      <c r="D1144" s="5" t="inlineStr">
        <is>
          <t>広島新庄高等学校</t>
        </is>
      </c>
      <c r="E1144" s="6" t="inlineStr">
        <is>
          <t>0826-82-2323</t>
        </is>
      </c>
      <c r="F1144" s="7" t="inlineStr">
        <is>
          <t>高</t>
        </is>
      </c>
      <c r="G1144" s="5" t="inlineStr">
        <is>
          <t>普通科</t>
        </is>
      </c>
      <c r="H1144" s="8" t="n"/>
      <c r="I1144" s="9" t="n"/>
      <c r="J1144" s="9" t="inlineStr">
        <is>
          <t>未架電</t>
        </is>
      </c>
      <c r="K1144" s="8" t="n"/>
      <c r="L1144" s="9" t="n"/>
      <c r="M1144" s="10" t="n"/>
      <c r="N1144" s="11" t="inlineStr">
        <is>
          <t>https://www.shinjou.jp/toiawase/toiawase.html</t>
        </is>
      </c>
      <c r="O1144" s="12" t="inlineStr">
        <is>
          <t>開く</t>
        </is>
      </c>
    </row>
    <row r="1145">
      <c r="A1145" s="4" t="n">
        <v>1141</v>
      </c>
      <c r="B1145" s="5" t="inlineStr">
        <is>
          <t>広島県</t>
        </is>
      </c>
      <c r="C1145" s="5" t="inlineStr">
        <is>
          <t>広島市東区</t>
        </is>
      </c>
      <c r="D1145" s="5" t="inlineStr">
        <is>
          <t>広島城北高等学校</t>
        </is>
      </c>
      <c r="E1145" s="6" t="inlineStr">
        <is>
          <t>082-229-0111</t>
        </is>
      </c>
      <c r="F1145" s="7" t="inlineStr">
        <is>
          <t>高</t>
        </is>
      </c>
      <c r="G1145" s="5" t="inlineStr">
        <is>
          <t>普通科</t>
        </is>
      </c>
      <c r="H1145" s="8" t="n"/>
      <c r="I1145" s="9" t="n"/>
      <c r="J1145" s="9" t="inlineStr">
        <is>
          <t>未架電</t>
        </is>
      </c>
      <c r="K1145" s="8" t="n"/>
      <c r="L1145" s="9" t="n"/>
      <c r="M1145" s="10" t="n"/>
      <c r="N1145" s="11" t="inlineStr">
        <is>
          <t>https://hiroshimajohoku.ed.jp/school/about/access/</t>
        </is>
      </c>
      <c r="O1145" s="12" t="inlineStr">
        <is>
          <t>開く</t>
        </is>
      </c>
    </row>
    <row r="1146">
      <c r="A1146" s="4" t="n">
        <v>1142</v>
      </c>
      <c r="B1146" s="5" t="inlineStr">
        <is>
          <t>広島県</t>
        </is>
      </c>
      <c r="C1146" s="5" t="inlineStr">
        <is>
          <t>広島市中区</t>
        </is>
      </c>
      <c r="D1146" s="5" t="inlineStr">
        <is>
          <t>広島女学院高等学校</t>
        </is>
      </c>
      <c r="E1146" s="6" t="inlineStr">
        <is>
          <t>082-228-4131</t>
        </is>
      </c>
      <c r="F1146" s="7" t="inlineStr">
        <is>
          <t>高</t>
        </is>
      </c>
      <c r="G1146" s="5" t="inlineStr">
        <is>
          <t>普通科</t>
        </is>
      </c>
      <c r="H1146" s="8" t="n"/>
      <c r="I1146" s="9" t="n"/>
      <c r="J1146" s="9" t="inlineStr">
        <is>
          <t>未架電</t>
        </is>
      </c>
      <c r="K1146" s="8" t="n"/>
      <c r="L1146" s="9" t="n"/>
      <c r="M1146" s="10" t="n"/>
      <c r="N1146" s="11" t="inlineStr">
        <is>
          <t>https://www.hjs.ed.jp/contact</t>
        </is>
      </c>
      <c r="O1146" s="12" t="inlineStr">
        <is>
          <t>開く</t>
        </is>
      </c>
    </row>
    <row r="1147">
      <c r="A1147" s="4" t="n">
        <v>1143</v>
      </c>
      <c r="B1147" s="5" t="inlineStr">
        <is>
          <t>広島県</t>
        </is>
      </c>
      <c r="C1147" s="5" t="inlineStr">
        <is>
          <t>広島市東区</t>
        </is>
      </c>
      <c r="D1147" s="5" t="inlineStr">
        <is>
          <t>広島県瀬戸内高等学校</t>
        </is>
      </c>
      <c r="E1147" s="6" t="inlineStr">
        <is>
          <t>082-261-1296</t>
        </is>
      </c>
      <c r="F1147" s="7" t="inlineStr">
        <is>
          <t>高</t>
        </is>
      </c>
      <c r="G1147" s="5" t="inlineStr">
        <is>
          <t>普通科</t>
        </is>
      </c>
      <c r="H1147" s="8" t="n"/>
      <c r="I1147" s="9" t="n"/>
      <c r="J1147" s="9" t="inlineStr">
        <is>
          <t>未架電</t>
        </is>
      </c>
      <c r="K1147" s="8" t="n"/>
      <c r="L1147" s="9" t="n"/>
      <c r="M1147" s="10" t="inlineStr">
        <is>
          <t>公式では入試広報部の番号として掲載。082-261-1298とするサイトもあり</t>
        </is>
      </c>
      <c r="N1147" s="11" t="inlineStr">
        <is>
          <t>https://www.setouchi-h.ed.jp/extrance1.html</t>
        </is>
      </c>
      <c r="O1147" s="12" t="inlineStr">
        <is>
          <t>開く</t>
        </is>
      </c>
    </row>
    <row r="1148">
      <c r="A1148" s="4" t="n">
        <v>1144</v>
      </c>
      <c r="B1148" s="5" t="inlineStr">
        <is>
          <t>広島県</t>
        </is>
      </c>
      <c r="C1148" s="5" t="inlineStr">
        <is>
          <t>広島市佐伯区</t>
        </is>
      </c>
      <c r="D1148" s="5" t="inlineStr">
        <is>
          <t>広島なぎさ高等学校</t>
        </is>
      </c>
      <c r="E1148" s="6" t="inlineStr">
        <is>
          <t>082-921-2137</t>
        </is>
      </c>
      <c r="F1148" s="7" t="inlineStr">
        <is>
          <t>高</t>
        </is>
      </c>
      <c r="G1148" s="5" t="inlineStr">
        <is>
          <t>普通科</t>
        </is>
      </c>
      <c r="H1148" s="8" t="n"/>
      <c r="I1148" s="9" t="n"/>
      <c r="J1148" s="9" t="inlineStr">
        <is>
          <t>未架電</t>
        </is>
      </c>
      <c r="K1148" s="8" t="n"/>
      <c r="L1148" s="9" t="n"/>
      <c r="M1148" s="10" t="n"/>
      <c r="N1148" s="11" t="inlineStr">
        <is>
          <t>https://www.nagisa.ed.jp/high/</t>
        </is>
      </c>
      <c r="O1148" s="12" t="inlineStr">
        <is>
          <t>開く</t>
        </is>
      </c>
    </row>
    <row r="1149">
      <c r="A1149" s="4" t="n">
        <v>1145</v>
      </c>
      <c r="B1149" s="5" t="inlineStr">
        <is>
          <t>広島県</t>
        </is>
      </c>
      <c r="C1149" s="5" t="inlineStr">
        <is>
          <t>広島市安佐北区</t>
        </is>
      </c>
      <c r="D1149" s="5" t="inlineStr">
        <is>
          <t>広島文教大学附属高等学校</t>
        </is>
      </c>
      <c r="E1149" s="6" t="inlineStr">
        <is>
          <t>082-814-3192</t>
        </is>
      </c>
      <c r="F1149" s="7" t="inlineStr">
        <is>
          <t>高</t>
        </is>
      </c>
      <c r="G1149" s="5" t="inlineStr">
        <is>
          <t>普通科</t>
        </is>
      </c>
      <c r="H1149" s="8" t="n"/>
      <c r="I1149" s="9" t="n"/>
      <c r="J1149" s="9" t="inlineStr">
        <is>
          <t>未架電</t>
        </is>
      </c>
      <c r="K1149" s="8" t="n"/>
      <c r="L1149" s="9" t="n"/>
      <c r="M1149" s="10" t="n"/>
      <c r="N1149" s="11" t="inlineStr">
        <is>
          <t>https://www.h-bunkyo.ac.jp/highschool/</t>
        </is>
      </c>
      <c r="O1149" s="12" t="inlineStr">
        <is>
          <t>開く</t>
        </is>
      </c>
    </row>
    <row r="1150">
      <c r="A1150" s="4" t="n">
        <v>1146</v>
      </c>
      <c r="B1150" s="5" t="inlineStr">
        <is>
          <t>広島県</t>
        </is>
      </c>
      <c r="C1150" s="5" t="inlineStr">
        <is>
          <t>福山市</t>
        </is>
      </c>
      <c r="D1150" s="5" t="inlineStr">
        <is>
          <t>福山暁の星女子高等学校</t>
        </is>
      </c>
      <c r="E1150" s="6" t="inlineStr">
        <is>
          <t>084-922-1682</t>
        </is>
      </c>
      <c r="F1150" s="7" t="inlineStr">
        <is>
          <t>高</t>
        </is>
      </c>
      <c r="G1150" s="5" t="inlineStr">
        <is>
          <t>普通科</t>
        </is>
      </c>
      <c r="H1150" s="8" t="n"/>
      <c r="I1150" s="9" t="n"/>
      <c r="J1150" s="9" t="inlineStr">
        <is>
          <t>未架電</t>
        </is>
      </c>
      <c r="K1150" s="8" t="n"/>
      <c r="L1150" s="9" t="n"/>
      <c r="M1150" s="10" t="n"/>
      <c r="N1150" s="11" t="inlineStr">
        <is>
          <t>https://www.akenohoshi-cyukou.ed.jp/about/access/</t>
        </is>
      </c>
      <c r="O1150" s="12" t="inlineStr">
        <is>
          <t>開く</t>
        </is>
      </c>
    </row>
    <row r="1151">
      <c r="A1151" s="4" t="n">
        <v>1147</v>
      </c>
      <c r="B1151" s="5" t="inlineStr">
        <is>
          <t>広島県</t>
        </is>
      </c>
      <c r="C1151" s="5" t="inlineStr">
        <is>
          <t>広島市中区</t>
        </is>
      </c>
      <c r="D1151" s="5" t="inlineStr">
        <is>
          <t>安田女子高等学校</t>
        </is>
      </c>
      <c r="E1151" s="6" t="inlineStr">
        <is>
          <t>082-221-3304</t>
        </is>
      </c>
      <c r="F1151" s="7" t="inlineStr">
        <is>
          <t>高</t>
        </is>
      </c>
      <c r="G1151" s="5" t="inlineStr">
        <is>
          <t>普通科</t>
        </is>
      </c>
      <c r="H1151" s="8" t="n"/>
      <c r="I1151" s="9" t="n"/>
      <c r="J1151" s="9" t="inlineStr">
        <is>
          <t>未架電</t>
        </is>
      </c>
      <c r="K1151" s="8" t="n"/>
      <c r="L1151" s="9" t="n"/>
      <c r="M1151" s="10" t="inlineStr">
        <is>
          <t>高校部の番号。中学部は082-221-3362</t>
        </is>
      </c>
      <c r="N1151" s="11" t="inlineStr">
        <is>
          <t>https://www.yasuda-u.ac.jp/jh/</t>
        </is>
      </c>
      <c r="O1151" s="12" t="inlineStr">
        <is>
          <t>開く</t>
        </is>
      </c>
    </row>
    <row r="1152">
      <c r="A1152" s="4" t="n">
        <v>1148</v>
      </c>
      <c r="B1152" s="5" t="inlineStr">
        <is>
          <t>山口県</t>
        </is>
      </c>
      <c r="C1152" s="5" t="inlineStr">
        <is>
          <t>宇部市</t>
        </is>
      </c>
      <c r="D1152" s="5" t="inlineStr">
        <is>
          <t>宇部鴻城高等学校</t>
        </is>
      </c>
      <c r="E1152" s="6" t="inlineStr">
        <is>
          <t>0836-41-8109</t>
        </is>
      </c>
      <c r="F1152" s="7" t="inlineStr">
        <is>
          <t>高</t>
        </is>
      </c>
      <c r="G1152" s="5" t="inlineStr">
        <is>
          <t>普通科・専門学科</t>
        </is>
      </c>
      <c r="H1152" s="8" t="n"/>
      <c r="I1152" s="9" t="n"/>
      <c r="J1152" s="9" t="inlineStr">
        <is>
          <t>未架電</t>
        </is>
      </c>
      <c r="K1152" s="8" t="n"/>
      <c r="L1152" s="9" t="n"/>
      <c r="M1152" s="10" t="n"/>
      <c r="N1152" s="11" t="inlineStr">
        <is>
          <t>https://www.ubekojo-h.ed.jp/contact/</t>
        </is>
      </c>
      <c r="O1152" s="12" t="inlineStr">
        <is>
          <t>開く</t>
        </is>
      </c>
    </row>
    <row r="1153">
      <c r="A1153" s="4" t="n">
        <v>1149</v>
      </c>
      <c r="B1153" s="5" t="inlineStr">
        <is>
          <t>山口県</t>
        </is>
      </c>
      <c r="C1153" s="5" t="inlineStr">
        <is>
          <t>宇部市</t>
        </is>
      </c>
      <c r="D1153" s="5" t="inlineStr">
        <is>
          <t>宇部フロンティア大学付属香川高等学校</t>
        </is>
      </c>
      <c r="E1153" s="6" t="inlineStr">
        <is>
          <t>0836-35-9574</t>
        </is>
      </c>
      <c r="F1153" s="7" t="inlineStr">
        <is>
          <t>高</t>
        </is>
      </c>
      <c r="G1153" s="5" t="inlineStr">
        <is>
          <t>普通科・専門学科</t>
        </is>
      </c>
      <c r="H1153" s="8" t="n"/>
      <c r="I1153" s="9" t="n"/>
      <c r="J1153" s="9" t="inlineStr">
        <is>
          <t>未架電</t>
        </is>
      </c>
      <c r="K1153" s="8" t="n"/>
      <c r="L1153" s="9" t="n"/>
      <c r="M1153" s="10" t="inlineStr">
        <is>
          <t>普通科職員室0836-35-9578、専門部職員室0836-35-9583</t>
        </is>
      </c>
      <c r="N1153" s="11" t="inlineStr">
        <is>
          <t>https://www.kagawa-h.ed.jp/</t>
        </is>
      </c>
      <c r="O1153" s="12" t="inlineStr">
        <is>
          <t>開く</t>
        </is>
      </c>
    </row>
    <row r="1154">
      <c r="A1154" s="4" t="n">
        <v>1150</v>
      </c>
      <c r="B1154" s="5" t="inlineStr">
        <is>
          <t>山口県</t>
        </is>
      </c>
      <c r="C1154" s="5" t="inlineStr">
        <is>
          <t>宇部市</t>
        </is>
      </c>
      <c r="D1154" s="5" t="inlineStr">
        <is>
          <t>慶進高等学校</t>
        </is>
      </c>
      <c r="E1154" s="6" t="inlineStr">
        <is>
          <t>0836-34-1111</t>
        </is>
      </c>
      <c r="F1154" s="7" t="inlineStr">
        <is>
          <t>高</t>
        </is>
      </c>
      <c r="G1154" s="5" t="inlineStr">
        <is>
          <t>普通科</t>
        </is>
      </c>
      <c r="H1154" s="8" t="n"/>
      <c r="I1154" s="9" t="n"/>
      <c r="J1154" s="9" t="inlineStr">
        <is>
          <t>未架電</t>
        </is>
      </c>
      <c r="K1154" s="8" t="n"/>
      <c r="L1154" s="9" t="n"/>
      <c r="M1154" s="10" t="n"/>
      <c r="N1154" s="11" t="inlineStr">
        <is>
          <t>https://www.keishin-ug.ed.jp/</t>
        </is>
      </c>
      <c r="O1154" s="12" t="inlineStr">
        <is>
          <t>開く</t>
        </is>
      </c>
    </row>
    <row r="1155">
      <c r="A1155" s="4" t="n">
        <v>1151</v>
      </c>
      <c r="B1155" s="5" t="inlineStr">
        <is>
          <t>山口県</t>
        </is>
      </c>
      <c r="C1155" s="5" t="inlineStr">
        <is>
          <t>山陽小野田市</t>
        </is>
      </c>
      <c r="D1155" s="5" t="inlineStr">
        <is>
          <t>ザビエル高等学校</t>
        </is>
      </c>
      <c r="E1155" s="6" t="inlineStr">
        <is>
          <t>0836-83-3587</t>
        </is>
      </c>
      <c r="F1155" s="7" t="inlineStr">
        <is>
          <t>高</t>
        </is>
      </c>
      <c r="G1155" s="5" t="inlineStr">
        <is>
          <t>普通科</t>
        </is>
      </c>
      <c r="H1155" s="8" t="n"/>
      <c r="I1155" s="9" t="n"/>
      <c r="J1155" s="9" t="inlineStr">
        <is>
          <t>未架電</t>
        </is>
      </c>
      <c r="K1155" s="8" t="n"/>
      <c r="L1155" s="9" t="n"/>
      <c r="M1155" s="10" t="inlineStr">
        <is>
          <t>正式表記は「サビエル高等学校」</t>
        </is>
      </c>
      <c r="N1155" s="11" t="inlineStr">
        <is>
          <t>https://xavier.ed.jp/</t>
        </is>
      </c>
      <c r="O1155" s="12" t="inlineStr">
        <is>
          <t>開く</t>
        </is>
      </c>
    </row>
    <row r="1156">
      <c r="A1156" s="4" t="n">
        <v>1152</v>
      </c>
      <c r="B1156" s="5" t="inlineStr">
        <is>
          <t>山口県</t>
        </is>
      </c>
      <c r="C1156" s="5" t="inlineStr">
        <is>
          <t>下関市</t>
        </is>
      </c>
      <c r="D1156" s="5" t="inlineStr">
        <is>
          <t>下関国際高等学校</t>
        </is>
      </c>
      <c r="E1156" s="6" t="inlineStr">
        <is>
          <t>083-256-2321</t>
        </is>
      </c>
      <c r="F1156" s="7" t="inlineStr">
        <is>
          <t>高</t>
        </is>
      </c>
      <c r="G1156" s="5" t="inlineStr">
        <is>
          <t>普通科・専門学科</t>
        </is>
      </c>
      <c r="H1156" s="8" t="n"/>
      <c r="I1156" s="9" t="n"/>
      <c r="J1156" s="9" t="inlineStr">
        <is>
          <t>未架電</t>
        </is>
      </c>
      <c r="K1156" s="8" t="n"/>
      <c r="L1156" s="9" t="n"/>
      <c r="M1156" s="10" t="n"/>
      <c r="N1156" s="11" t="inlineStr">
        <is>
          <t>https://www.shiboyama.ac.jp/</t>
        </is>
      </c>
      <c r="O1156" s="12" t="inlineStr">
        <is>
          <t>開く</t>
        </is>
      </c>
    </row>
    <row r="1157">
      <c r="A1157" s="4" t="n">
        <v>1153</v>
      </c>
      <c r="B1157" s="5" t="inlineStr">
        <is>
          <t>山口県</t>
        </is>
      </c>
      <c r="C1157" s="5" t="inlineStr">
        <is>
          <t>下関市</t>
        </is>
      </c>
      <c r="D1157" s="5" t="inlineStr">
        <is>
          <t>下関短期大学付属高等学校</t>
        </is>
      </c>
      <c r="E1157" s="6" t="inlineStr">
        <is>
          <t>083-232-3785</t>
        </is>
      </c>
      <c r="F1157" s="7" t="inlineStr">
        <is>
          <t>高</t>
        </is>
      </c>
      <c r="G1157" s="5" t="inlineStr">
        <is>
          <t>普通科・専門学科</t>
        </is>
      </c>
      <c r="H1157" s="8" t="n"/>
      <c r="I1157" s="9" t="n"/>
      <c r="J1157" s="9" t="inlineStr">
        <is>
          <t>未架電</t>
        </is>
      </c>
      <c r="K1157" s="8" t="n"/>
      <c r="L1157" s="9" t="n"/>
      <c r="M1157" s="10" t="inlineStr">
        <is>
          <t>短大の番号（083-223-0339）とは別</t>
        </is>
      </c>
      <c r="N1157" s="11" t="inlineStr">
        <is>
          <t>https://www.shimotan-hs.jp/pages/13/</t>
        </is>
      </c>
      <c r="O1157" s="12" t="inlineStr">
        <is>
          <t>開く</t>
        </is>
      </c>
    </row>
    <row r="1158">
      <c r="A1158" s="4" t="n">
        <v>1154</v>
      </c>
      <c r="B1158" s="5" t="inlineStr">
        <is>
          <t>山口県</t>
        </is>
      </c>
      <c r="C1158" s="5" t="inlineStr">
        <is>
          <t>防府市</t>
        </is>
      </c>
      <c r="D1158" s="5" t="inlineStr">
        <is>
          <t>誠英高等学校</t>
        </is>
      </c>
      <c r="E1158" s="6" t="inlineStr">
        <is>
          <t>0835-38-5252</t>
        </is>
      </c>
      <c r="F1158" s="7" t="inlineStr">
        <is>
          <t>高</t>
        </is>
      </c>
      <c r="G1158" s="5" t="inlineStr">
        <is>
          <t>普通科・専門学科</t>
        </is>
      </c>
      <c r="H1158" s="8" t="n"/>
      <c r="I1158" s="9" t="n"/>
      <c r="J1158" s="9" t="inlineStr">
        <is>
          <t>未架電</t>
        </is>
      </c>
      <c r="K1158" s="8" t="n"/>
      <c r="L1158" s="9" t="n"/>
      <c r="M1158" s="10" t="inlineStr">
        <is>
          <t>通信制課程は0835-38-6161（第三者サイト）</t>
        </is>
      </c>
      <c r="N1158" s="11" t="inlineStr">
        <is>
          <t>https://seiei.ac.jp/</t>
        </is>
      </c>
      <c r="O1158" s="12" t="inlineStr">
        <is>
          <t>開く</t>
        </is>
      </c>
    </row>
    <row r="1159">
      <c r="A1159" s="4" t="n">
        <v>1155</v>
      </c>
      <c r="B1159" s="5" t="inlineStr">
        <is>
          <t>山口県</t>
        </is>
      </c>
      <c r="C1159" s="5" t="inlineStr">
        <is>
          <t>山口市</t>
        </is>
      </c>
      <c r="D1159" s="5" t="inlineStr">
        <is>
          <t>精華学園高等学校</t>
        </is>
      </c>
      <c r="E1159" s="6" t="inlineStr">
        <is>
          <t>083-976-8833</t>
        </is>
      </c>
      <c r="F1159" s="7" t="inlineStr">
        <is>
          <t>高</t>
        </is>
      </c>
      <c r="G1159" s="5" t="inlineStr">
        <is>
          <t>普通科</t>
        </is>
      </c>
      <c r="H1159" s="8" t="n"/>
      <c r="I1159" s="9" t="n"/>
      <c r="J1159" s="9" t="inlineStr">
        <is>
          <t>未架電</t>
        </is>
      </c>
      <c r="K1159" s="8" t="n"/>
      <c r="L1159" s="9" t="n"/>
      <c r="M1159" s="10" t="inlineStr">
        <is>
          <t>広域通信制・山口本校</t>
        </is>
      </c>
      <c r="N1159" s="11" t="inlineStr">
        <is>
          <t>https://www.seikagakuen.ac.jp/archives/691</t>
        </is>
      </c>
      <c r="O1159" s="12" t="inlineStr">
        <is>
          <t>開く</t>
        </is>
      </c>
    </row>
    <row r="1160">
      <c r="A1160" s="4" t="n">
        <v>1156</v>
      </c>
      <c r="B1160" s="5" t="inlineStr">
        <is>
          <t>山口県</t>
        </is>
      </c>
      <c r="C1160" s="5" t="inlineStr">
        <is>
          <t>光市</t>
        </is>
      </c>
      <c r="D1160" s="5" t="inlineStr">
        <is>
          <t>聖光高等学校</t>
        </is>
      </c>
      <c r="E1160" s="6" t="inlineStr">
        <is>
          <t>0833-72-1187</t>
        </is>
      </c>
      <c r="F1160" s="7" t="inlineStr">
        <is>
          <t>高</t>
        </is>
      </c>
      <c r="G1160" s="5" t="inlineStr">
        <is>
          <t>普通科・専門学科</t>
        </is>
      </c>
      <c r="H1160" s="8" t="n"/>
      <c r="I1160" s="9" t="n"/>
      <c r="J1160" s="9" t="inlineStr">
        <is>
          <t>未架電</t>
        </is>
      </c>
      <c r="K1160" s="8" t="n"/>
      <c r="L1160" s="9" t="n"/>
      <c r="M1160" s="10" t="inlineStr">
        <is>
          <t>通信制は0833-72-7070（第三者サイト）</t>
        </is>
      </c>
      <c r="N1160" s="11" t="inlineStr">
        <is>
          <t>https://www.seiko-h.ed.jp/</t>
        </is>
      </c>
      <c r="O1160" s="12" t="inlineStr">
        <is>
          <t>開く</t>
        </is>
      </c>
    </row>
    <row r="1161">
      <c r="A1161" s="4" t="n">
        <v>1157</v>
      </c>
      <c r="B1161" s="5" t="inlineStr">
        <is>
          <t>山口県</t>
        </is>
      </c>
      <c r="C1161" s="5" t="inlineStr">
        <is>
          <t>美祢市</t>
        </is>
      </c>
      <c r="D1161" s="5" t="inlineStr">
        <is>
          <t>成進高等学校</t>
        </is>
      </c>
      <c r="E1161" s="6" t="inlineStr">
        <is>
          <t>0837-52-1350</t>
        </is>
      </c>
      <c r="F1161" s="7" t="inlineStr">
        <is>
          <t>高</t>
        </is>
      </c>
      <c r="G1161" s="5" t="inlineStr">
        <is>
          <t>普通科・専門学科</t>
        </is>
      </c>
      <c r="H1161" s="8" t="n"/>
      <c r="I1161" s="9" t="n"/>
      <c r="J1161" s="9" t="inlineStr">
        <is>
          <t>未架電</t>
        </is>
      </c>
      <c r="K1161" s="8" t="n"/>
      <c r="L1161" s="9" t="n"/>
      <c r="M1161" s="10" t="n"/>
      <c r="N1161" s="11" t="inlineStr">
        <is>
          <t>https://www.mine-c.ed.jp/profile</t>
        </is>
      </c>
      <c r="O1161" s="12" t="inlineStr">
        <is>
          <t>開く</t>
        </is>
      </c>
    </row>
    <row r="1162">
      <c r="A1162" s="4" t="n">
        <v>1158</v>
      </c>
      <c r="B1162" s="5" t="inlineStr">
        <is>
          <t>山口県</t>
        </is>
      </c>
      <c r="C1162" s="5" t="inlineStr">
        <is>
          <t>防府市</t>
        </is>
      </c>
      <c r="D1162" s="5" t="inlineStr">
        <is>
          <t>高川学園高等学校</t>
        </is>
      </c>
      <c r="E1162" s="6" t="inlineStr">
        <is>
          <t>0835-33-0101</t>
        </is>
      </c>
      <c r="F1162" s="7" t="inlineStr">
        <is>
          <t>高</t>
        </is>
      </c>
      <c r="G1162" s="5" t="inlineStr">
        <is>
          <t>普通科</t>
        </is>
      </c>
      <c r="H1162" s="8" t="n"/>
      <c r="I1162" s="9" t="n"/>
      <c r="J1162" s="9" t="inlineStr">
        <is>
          <t>未架電</t>
        </is>
      </c>
      <c r="K1162" s="8" t="n"/>
      <c r="L1162" s="9" t="n"/>
      <c r="M1162" s="10" t="n"/>
      <c r="N1162" s="11" t="inlineStr">
        <is>
          <t>https://takagawagakuen.com/high/</t>
        </is>
      </c>
      <c r="O1162" s="12" t="inlineStr">
        <is>
          <t>開く</t>
        </is>
      </c>
    </row>
    <row r="1163">
      <c r="A1163" s="4" t="n">
        <v>1159</v>
      </c>
      <c r="B1163" s="5" t="inlineStr">
        <is>
          <t>山口県</t>
        </is>
      </c>
      <c r="C1163" s="5" t="inlineStr">
        <is>
          <t>岩国市</t>
        </is>
      </c>
      <c r="D1163" s="5" t="inlineStr">
        <is>
          <t>高水高等学校</t>
        </is>
      </c>
      <c r="E1163" s="6" t="inlineStr">
        <is>
          <t>0827-31-7191</t>
        </is>
      </c>
      <c r="F1163" s="7" t="inlineStr">
        <is>
          <t>高</t>
        </is>
      </c>
      <c r="G1163" s="5" t="inlineStr">
        <is>
          <t>普通科</t>
        </is>
      </c>
      <c r="H1163" s="8" t="n"/>
      <c r="I1163" s="9" t="n"/>
      <c r="J1163" s="9" t="inlineStr">
        <is>
          <t>未架電</t>
        </is>
      </c>
      <c r="K1163" s="8" t="n"/>
      <c r="L1163" s="9" t="n"/>
      <c r="M1163" s="10" t="inlineStr">
        <is>
          <t>中高共通番号</t>
        </is>
      </c>
      <c r="N1163" s="11" t="inlineStr">
        <is>
          <t>https://www.takamizu.ed.jp/</t>
        </is>
      </c>
      <c r="O1163" s="12" t="inlineStr">
        <is>
          <t>開く</t>
        </is>
      </c>
    </row>
    <row r="1164">
      <c r="A1164" s="4" t="n">
        <v>1160</v>
      </c>
      <c r="B1164" s="5" t="inlineStr">
        <is>
          <t>山口県</t>
        </is>
      </c>
      <c r="C1164" s="5" t="inlineStr">
        <is>
          <t>山口市</t>
        </is>
      </c>
      <c r="D1164" s="5" t="inlineStr">
        <is>
          <t>中村女子高等学校</t>
        </is>
      </c>
      <c r="E1164" s="6" t="inlineStr">
        <is>
          <t>083-922-0418</t>
        </is>
      </c>
      <c r="F1164" s="7" t="inlineStr">
        <is>
          <t>高</t>
        </is>
      </c>
      <c r="G1164" s="5" t="inlineStr">
        <is>
          <t>普通科・専門学科</t>
        </is>
      </c>
      <c r="H1164" s="8" t="n"/>
      <c r="I1164" s="9" t="n"/>
      <c r="J1164" s="9" t="inlineStr">
        <is>
          <t>未架電</t>
        </is>
      </c>
      <c r="K1164" s="8" t="n"/>
      <c r="L1164" s="9" t="n"/>
      <c r="M1164" s="10" t="inlineStr">
        <is>
          <t>現校名は山口中村学園高等学校（2025年度から共学化）。専攻科は083-928-1331</t>
        </is>
      </c>
      <c r="N1164" s="11" t="inlineStr">
        <is>
          <t>https://www.y-nakamura.jp/</t>
        </is>
      </c>
      <c r="O1164" s="12" t="inlineStr">
        <is>
          <t>開く</t>
        </is>
      </c>
    </row>
    <row r="1165">
      <c r="A1165" s="4" t="n">
        <v>1161</v>
      </c>
      <c r="B1165" s="5" t="inlineStr">
        <is>
          <t>山口県</t>
        </is>
      </c>
      <c r="C1165" s="5" t="inlineStr">
        <is>
          <t>長門市</t>
        </is>
      </c>
      <c r="D1165" s="5" t="inlineStr">
        <is>
          <t>長門高等学校</t>
        </is>
      </c>
      <c r="E1165" s="6" t="inlineStr">
        <is>
          <t>0837-22-2944</t>
        </is>
      </c>
      <c r="F1165" s="7" t="inlineStr">
        <is>
          <t>高</t>
        </is>
      </c>
      <c r="G1165" s="5" t="inlineStr">
        <is>
          <t>普通科・専門学科</t>
        </is>
      </c>
      <c r="H1165" s="8" t="n"/>
      <c r="I1165" s="9" t="n"/>
      <c r="J1165" s="9" t="inlineStr">
        <is>
          <t>未架電</t>
        </is>
      </c>
      <c r="K1165" s="8" t="n"/>
      <c r="L1165" s="9" t="n"/>
      <c r="M1165" s="10" t="n"/>
      <c r="N1165" s="11" t="inlineStr">
        <is>
          <t>https://nagato.ac.jp/</t>
        </is>
      </c>
      <c r="O1165" s="12" t="inlineStr">
        <is>
          <t>開く</t>
        </is>
      </c>
    </row>
    <row r="1166">
      <c r="A1166" s="4" t="n">
        <v>1162</v>
      </c>
      <c r="B1166" s="5" t="inlineStr">
        <is>
          <t>山口県</t>
        </is>
      </c>
      <c r="C1166" s="5" t="inlineStr">
        <is>
          <t>山口市</t>
        </is>
      </c>
      <c r="D1166" s="5" t="inlineStr">
        <is>
          <t>野田学園高等学校</t>
        </is>
      </c>
      <c r="E1166" s="6" t="inlineStr">
        <is>
          <t>083-922-5000</t>
        </is>
      </c>
      <c r="F1166" s="7" t="inlineStr">
        <is>
          <t>高</t>
        </is>
      </c>
      <c r="G1166" s="5" t="inlineStr">
        <is>
          <t>普通科</t>
        </is>
      </c>
      <c r="H1166" s="8" t="n"/>
      <c r="I1166" s="9" t="n"/>
      <c r="J1166" s="9" t="inlineStr">
        <is>
          <t>未架電</t>
        </is>
      </c>
      <c r="K1166" s="8" t="n"/>
      <c r="L1166" s="9" t="n"/>
      <c r="M1166" s="10" t="n"/>
      <c r="N1166" s="11" t="inlineStr">
        <is>
          <t>https://www.nodagakuen.ed.jp/</t>
        </is>
      </c>
      <c r="O1166" s="12" t="inlineStr">
        <is>
          <t>開く</t>
        </is>
      </c>
    </row>
    <row r="1167">
      <c r="A1167" s="4" t="n">
        <v>1163</v>
      </c>
      <c r="B1167" s="5" t="inlineStr">
        <is>
          <t>山口県</t>
        </is>
      </c>
      <c r="C1167" s="5" t="inlineStr">
        <is>
          <t>萩市</t>
        </is>
      </c>
      <c r="D1167" s="5" t="inlineStr">
        <is>
          <t>萩光塩学院高等学校</t>
        </is>
      </c>
      <c r="E1167" s="6" t="inlineStr">
        <is>
          <t>0838-22-0782</t>
        </is>
      </c>
      <c r="F1167" s="7" t="inlineStr">
        <is>
          <t>高</t>
        </is>
      </c>
      <c r="G1167" s="5" t="inlineStr">
        <is>
          <t>普通科</t>
        </is>
      </c>
      <c r="H1167" s="8" t="n"/>
      <c r="I1167" s="9" t="n"/>
      <c r="J1167" s="9" t="inlineStr">
        <is>
          <t>未架電</t>
        </is>
      </c>
      <c r="K1167" s="8" t="n"/>
      <c r="L1167" s="9" t="n"/>
      <c r="M1167" s="10" t="inlineStr">
        <is>
          <t>小中高共通の代表番号（法人サイトでも一致）</t>
        </is>
      </c>
      <c r="N1167" s="11" t="inlineStr">
        <is>
          <t>https://www.yamaguchi-shigaku.or.jp/tyukou/pdf/2025/20_hagikouen2025.pdf</t>
        </is>
      </c>
      <c r="O1167" s="12" t="inlineStr">
        <is>
          <t>開く</t>
        </is>
      </c>
    </row>
    <row r="1168">
      <c r="A1168" s="4" t="n">
        <v>1164</v>
      </c>
      <c r="B1168" s="5" t="inlineStr">
        <is>
          <t>山口県</t>
        </is>
      </c>
      <c r="C1168" s="5" t="inlineStr">
        <is>
          <t>下関市</t>
        </is>
      </c>
      <c r="D1168" s="5" t="inlineStr">
        <is>
          <t>早鞆高等学校</t>
        </is>
      </c>
      <c r="E1168" s="6" t="inlineStr">
        <is>
          <t>083-231-0080</t>
        </is>
      </c>
      <c r="F1168" s="7" t="inlineStr">
        <is>
          <t>高</t>
        </is>
      </c>
      <c r="G1168" s="5" t="inlineStr">
        <is>
          <t>普通科・専門学科</t>
        </is>
      </c>
      <c r="H1168" s="8" t="n"/>
      <c r="I1168" s="9" t="n"/>
      <c r="J1168" s="9" t="inlineStr">
        <is>
          <t>未架電</t>
        </is>
      </c>
      <c r="K1168" s="8" t="n"/>
      <c r="L1168" s="9" t="n"/>
      <c r="M1168" s="10" t="n"/>
      <c r="N1168" s="11" t="inlineStr">
        <is>
          <t>https://www.hayatomo.ac.jp/course/</t>
        </is>
      </c>
      <c r="O1168" s="12" t="inlineStr">
        <is>
          <t>開く</t>
        </is>
      </c>
    </row>
    <row r="1169">
      <c r="A1169" s="4" t="n">
        <v>1165</v>
      </c>
      <c r="B1169" s="5" t="inlineStr">
        <is>
          <t>山口県</t>
        </is>
      </c>
      <c r="C1169" s="5" t="inlineStr">
        <is>
          <t>下関市</t>
        </is>
      </c>
      <c r="D1169" s="5" t="inlineStr">
        <is>
          <t>梅光学院高等学校</t>
        </is>
      </c>
      <c r="E1169" s="6" t="inlineStr">
        <is>
          <t>083-227-1200</t>
        </is>
      </c>
      <c r="F1169" s="7" t="inlineStr">
        <is>
          <t>高</t>
        </is>
      </c>
      <c r="G1169" s="5" t="inlineStr">
        <is>
          <t>普通科・専門学科</t>
        </is>
      </c>
      <c r="H1169" s="8" t="n"/>
      <c r="I1169" s="9" t="n"/>
      <c r="J1169" s="9" t="inlineStr">
        <is>
          <t>未架電</t>
        </is>
      </c>
      <c r="K1169" s="8" t="n"/>
      <c r="L1169" s="9" t="n"/>
      <c r="M1169" s="10" t="inlineStr">
        <is>
          <t>法人本部は083-227-1000</t>
        </is>
      </c>
      <c r="N1169" s="11" t="inlineStr">
        <is>
          <t>https://www.baiko.ac.jp/highschool/</t>
        </is>
      </c>
      <c r="O1169" s="12" t="inlineStr">
        <is>
          <t>開く</t>
        </is>
      </c>
    </row>
    <row r="1170">
      <c r="A1170" s="4" t="n">
        <v>1166</v>
      </c>
      <c r="B1170" s="5" t="inlineStr">
        <is>
          <t>山口県</t>
        </is>
      </c>
      <c r="C1170" s="5" t="inlineStr">
        <is>
          <t>柳井市</t>
        </is>
      </c>
      <c r="D1170" s="5" t="inlineStr">
        <is>
          <t>柳井学園高等学校</t>
        </is>
      </c>
      <c r="E1170" s="6" t="inlineStr">
        <is>
          <t>0820-22-0214</t>
        </is>
      </c>
      <c r="F1170" s="7" t="inlineStr">
        <is>
          <t>高</t>
        </is>
      </c>
      <c r="G1170" s="5" t="inlineStr">
        <is>
          <t>普通科・専門学科</t>
        </is>
      </c>
      <c r="H1170" s="8" t="n"/>
      <c r="I1170" s="9" t="n"/>
      <c r="J1170" s="9" t="inlineStr">
        <is>
          <t>未架電</t>
        </is>
      </c>
      <c r="K1170" s="8" t="n"/>
      <c r="L1170" s="9" t="n"/>
      <c r="M1170" s="10" t="n"/>
      <c r="N1170" s="11" t="inlineStr">
        <is>
          <t>https://yanai-g.ed.jp/contact/</t>
        </is>
      </c>
      <c r="O1170" s="12" t="inlineStr">
        <is>
          <t>開く</t>
        </is>
      </c>
    </row>
    <row r="1171">
      <c r="A1171" s="4" t="n">
        <v>1167</v>
      </c>
      <c r="B1171" s="5" t="inlineStr">
        <is>
          <t>山口県</t>
        </is>
      </c>
      <c r="C1171" s="5" t="inlineStr">
        <is>
          <t>山口市</t>
        </is>
      </c>
      <c r="D1171" s="5" t="inlineStr">
        <is>
          <t>山口県鴻城高等学校</t>
        </is>
      </c>
      <c r="E1171" s="6" t="inlineStr">
        <is>
          <t>083-972-0307</t>
        </is>
      </c>
      <c r="F1171" s="7" t="inlineStr">
        <is>
          <t>高</t>
        </is>
      </c>
      <c r="G1171" s="5" t="inlineStr">
        <is>
          <t>普通科・専門学科</t>
        </is>
      </c>
      <c r="H1171" s="8" t="n"/>
      <c r="I1171" s="9" t="n"/>
      <c r="J1171" s="9" t="inlineStr">
        <is>
          <t>未架電</t>
        </is>
      </c>
      <c r="K1171" s="8" t="n"/>
      <c r="L1171" s="9" t="n"/>
      <c r="M1171" s="10" t="inlineStr">
        <is>
          <t>衛生看護専攻科（宇部市）は別番号</t>
        </is>
      </c>
      <c r="N1171" s="11" t="inlineStr">
        <is>
          <t>https://www.y-kojohs.jp/access/</t>
        </is>
      </c>
      <c r="O1171" s="12" t="inlineStr">
        <is>
          <t>開く</t>
        </is>
      </c>
    </row>
    <row r="1172">
      <c r="A1172" s="4" t="n">
        <v>1168</v>
      </c>
      <c r="B1172" s="5" t="inlineStr">
        <is>
          <t>山口県</t>
        </is>
      </c>
      <c r="C1172" s="5" t="inlineStr">
        <is>
          <t>周南市</t>
        </is>
      </c>
      <c r="D1172" s="5" t="inlineStr">
        <is>
          <t>山口県桜ケ丘高等学校</t>
        </is>
      </c>
      <c r="E1172" s="6" t="inlineStr">
        <is>
          <t>0834-21-0331</t>
        </is>
      </c>
      <c r="F1172" s="7" t="inlineStr">
        <is>
          <t>高</t>
        </is>
      </c>
      <c r="G1172" s="5" t="inlineStr">
        <is>
          <t>普通科・専門学科</t>
        </is>
      </c>
      <c r="H1172" s="8" t="n"/>
      <c r="I1172" s="9" t="n"/>
      <c r="J1172" s="9" t="inlineStr">
        <is>
          <t>未架電</t>
        </is>
      </c>
      <c r="K1172" s="8" t="n"/>
      <c r="L1172" s="9" t="n"/>
      <c r="M1172" s="10" t="inlineStr">
        <is>
          <t>晃英館コースは0834-33-3131</t>
        </is>
      </c>
      <c r="N1172" s="11" t="inlineStr">
        <is>
          <t>https://www.y-sakuragaoka.ed.jp/contact.html</t>
        </is>
      </c>
      <c r="O1172" s="12" t="inlineStr">
        <is>
          <t>開く</t>
        </is>
      </c>
    </row>
    <row r="1173">
      <c r="A1173" s="4" t="n">
        <v>1169</v>
      </c>
      <c r="B1173" s="5" t="inlineStr">
        <is>
          <t>香川県</t>
        </is>
      </c>
      <c r="C1173" s="5" t="inlineStr">
        <is>
          <t>高松市</t>
        </is>
      </c>
      <c r="D1173" s="5" t="inlineStr">
        <is>
          <t>英明高等学校</t>
        </is>
      </c>
      <c r="E1173" s="6" t="inlineStr">
        <is>
          <t>087-833-3737</t>
        </is>
      </c>
      <c r="F1173" s="13" t="inlineStr">
        <is>
          <t>中</t>
        </is>
      </c>
      <c r="G1173" s="5" t="inlineStr">
        <is>
          <t>普通科</t>
        </is>
      </c>
      <c r="H1173" s="8" t="n"/>
      <c r="I1173" s="9" t="n"/>
      <c r="J1173" s="9" t="inlineStr">
        <is>
          <t>未架電</t>
        </is>
      </c>
      <c r="K1173" s="8" t="n"/>
      <c r="L1173" s="9" t="n"/>
      <c r="M1173" s="10" t="inlineStr">
        <is>
          <t>公式未確認。香川県私立中高連合会・複数サイトで一致。通信制課程も同じ番号</t>
        </is>
      </c>
      <c r="N1173" s="11" t="inlineStr">
        <is>
          <t>https://www.kagawa-shigaku.jp/eimei</t>
        </is>
      </c>
      <c r="O1173" s="12" t="inlineStr">
        <is>
          <t>開く</t>
        </is>
      </c>
    </row>
    <row r="1174">
      <c r="A1174" s="4" t="n">
        <v>1170</v>
      </c>
      <c r="B1174" s="5" t="inlineStr">
        <is>
          <t>香川県</t>
        </is>
      </c>
      <c r="C1174" s="5" t="inlineStr">
        <is>
          <t>高松市</t>
        </is>
      </c>
      <c r="D1174" s="5" t="inlineStr">
        <is>
          <t>大手前高松高等学校</t>
        </is>
      </c>
      <c r="E1174" s="6" t="inlineStr">
        <is>
          <t>087-867-5970</t>
        </is>
      </c>
      <c r="F1174" s="7" t="inlineStr">
        <is>
          <t>高</t>
        </is>
      </c>
      <c r="G1174" s="5" t="inlineStr">
        <is>
          <t>普通科</t>
        </is>
      </c>
      <c r="H1174" s="8" t="n"/>
      <c r="I1174" s="9" t="n"/>
      <c r="J1174" s="9" t="inlineStr">
        <is>
          <t>未架電</t>
        </is>
      </c>
      <c r="K1174" s="8" t="n"/>
      <c r="L1174" s="9" t="n"/>
      <c r="M1174" s="10" t="n"/>
      <c r="N1174" s="11" t="inlineStr">
        <is>
          <t>https://www.otemae.net/contact/</t>
        </is>
      </c>
      <c r="O1174" s="12" t="inlineStr">
        <is>
          <t>開く</t>
        </is>
      </c>
    </row>
    <row r="1175">
      <c r="A1175" s="4" t="n">
        <v>1171</v>
      </c>
      <c r="B1175" s="5" t="inlineStr">
        <is>
          <t>香川県</t>
        </is>
      </c>
      <c r="C1175" s="5" t="inlineStr">
        <is>
          <t>丸亀市</t>
        </is>
      </c>
      <c r="D1175" s="5" t="inlineStr">
        <is>
          <t>大手前丸亀高等学校</t>
        </is>
      </c>
      <c r="E1175" s="6" t="inlineStr">
        <is>
          <t>0877-23-3161</t>
        </is>
      </c>
      <c r="F1175" s="7" t="inlineStr">
        <is>
          <t>高</t>
        </is>
      </c>
      <c r="G1175" s="5" t="inlineStr">
        <is>
          <t>普通科</t>
        </is>
      </c>
      <c r="H1175" s="8" t="n"/>
      <c r="I1175" s="9" t="n"/>
      <c r="J1175" s="9" t="inlineStr">
        <is>
          <t>未架電</t>
        </is>
      </c>
      <c r="K1175" s="8" t="n"/>
      <c r="L1175" s="9" t="n"/>
      <c r="M1175" s="10" t="n"/>
      <c r="N1175" s="11" t="inlineStr">
        <is>
          <t>https://www.otemae.ed.jp/contact_form/otoiawase.html</t>
        </is>
      </c>
      <c r="O1175" s="12" t="inlineStr">
        <is>
          <t>開く</t>
        </is>
      </c>
    </row>
    <row r="1176">
      <c r="A1176" s="4" t="n">
        <v>1172</v>
      </c>
      <c r="B1176" s="5" t="inlineStr">
        <is>
          <t>香川県</t>
        </is>
      </c>
      <c r="C1176" s="5" t="inlineStr">
        <is>
          <t>丸亀市</t>
        </is>
      </c>
      <c r="D1176" s="5" t="inlineStr">
        <is>
          <t>香川県藤井高等学校</t>
        </is>
      </c>
      <c r="E1176" s="6" t="inlineStr">
        <is>
          <t>0877-22-2328</t>
        </is>
      </c>
      <c r="F1176" s="7" t="inlineStr">
        <is>
          <t>高</t>
        </is>
      </c>
      <c r="G1176" s="5" t="inlineStr">
        <is>
          <t>普通科・専門学科</t>
        </is>
      </c>
      <c r="H1176" s="8" t="n"/>
      <c r="I1176" s="9" t="n"/>
      <c r="J1176" s="9" t="inlineStr">
        <is>
          <t>未架電</t>
        </is>
      </c>
      <c r="K1176" s="8" t="n"/>
      <c r="L1176" s="9" t="n"/>
      <c r="M1176" s="10" t="inlineStr">
        <is>
          <t>2026年度から「蓬莱高等学校」に校名変更（法人も蓬莱学園に改称）</t>
        </is>
      </c>
      <c r="N1176" s="11" t="inlineStr">
        <is>
          <t>https://www.fujii.ed.jp/fujii/</t>
        </is>
      </c>
      <c r="O1176" s="12" t="inlineStr">
        <is>
          <t>開く</t>
        </is>
      </c>
    </row>
    <row r="1177">
      <c r="A1177" s="4" t="n">
        <v>1173</v>
      </c>
      <c r="B1177" s="5" t="inlineStr">
        <is>
          <t>香川県</t>
        </is>
      </c>
      <c r="C1177" s="5" t="inlineStr">
        <is>
          <t>高松市</t>
        </is>
      </c>
      <c r="D1177" s="5" t="inlineStr">
        <is>
          <t>香川誠陵高等学校</t>
        </is>
      </c>
      <c r="E1177" s="6" t="inlineStr">
        <is>
          <t>087-881-7800</t>
        </is>
      </c>
      <c r="F1177" s="7" t="inlineStr">
        <is>
          <t>高</t>
        </is>
      </c>
      <c r="G1177" s="5" t="inlineStr">
        <is>
          <t>普通科</t>
        </is>
      </c>
      <c r="H1177" s="8" t="n"/>
      <c r="I1177" s="9" t="n"/>
      <c r="J1177" s="9" t="inlineStr">
        <is>
          <t>未架電</t>
        </is>
      </c>
      <c r="K1177" s="8" t="n"/>
      <c r="L1177" s="9" t="n"/>
      <c r="M1177" s="10" t="inlineStr">
        <is>
          <t>中高共通番号</t>
        </is>
      </c>
      <c r="N1177" s="11" t="inlineStr">
        <is>
          <t>https://k-seiryo.ed.jp/</t>
        </is>
      </c>
      <c r="O1177" s="12" t="inlineStr">
        <is>
          <t>開く</t>
        </is>
      </c>
    </row>
    <row r="1178">
      <c r="A1178" s="4" t="n">
        <v>1174</v>
      </c>
      <c r="B1178" s="5" t="inlineStr">
        <is>
          <t>香川県</t>
        </is>
      </c>
      <c r="C1178" s="5" t="inlineStr">
        <is>
          <t>坂出市</t>
        </is>
      </c>
      <c r="D1178" s="5" t="inlineStr">
        <is>
          <t>坂出第一高等学校</t>
        </is>
      </c>
      <c r="E1178" s="6" t="inlineStr">
        <is>
          <t>0877-46-2157</t>
        </is>
      </c>
      <c r="F1178" s="7" t="inlineStr">
        <is>
          <t>高</t>
        </is>
      </c>
      <c r="G1178" s="5" t="inlineStr">
        <is>
          <t>普通科・専門学科</t>
        </is>
      </c>
      <c r="H1178" s="8" t="n"/>
      <c r="I1178" s="9" t="n"/>
      <c r="J1178" s="9" t="inlineStr">
        <is>
          <t>未架電</t>
        </is>
      </c>
      <c r="K1178" s="8" t="n"/>
      <c r="L1178" s="9" t="n"/>
      <c r="M1178" s="10" t="n"/>
      <c r="N1178" s="11" t="inlineStr">
        <is>
          <t>https://www.sakaide1-h.ed.jp/</t>
        </is>
      </c>
      <c r="O1178" s="12" t="inlineStr">
        <is>
          <t>開く</t>
        </is>
      </c>
    </row>
    <row r="1179">
      <c r="A1179" s="4" t="n">
        <v>1175</v>
      </c>
      <c r="B1179" s="5" t="inlineStr">
        <is>
          <t>香川県</t>
        </is>
      </c>
      <c r="C1179" s="5" t="inlineStr">
        <is>
          <t>三豊市</t>
        </is>
      </c>
      <c r="D1179" s="5" t="inlineStr">
        <is>
          <t>四国学院大学香川西高等学校</t>
        </is>
      </c>
      <c r="E1179" s="6" t="inlineStr">
        <is>
          <t>0875-72-5193</t>
        </is>
      </c>
      <c r="F1179" s="7" t="inlineStr">
        <is>
          <t>高</t>
        </is>
      </c>
      <c r="G1179" s="5" t="inlineStr">
        <is>
          <t>普通科・専門学科</t>
        </is>
      </c>
      <c r="H1179" s="8" t="n"/>
      <c r="I1179" s="9" t="n"/>
      <c r="J1179" s="9" t="inlineStr">
        <is>
          <t>未架電</t>
        </is>
      </c>
      <c r="K1179" s="8" t="n"/>
      <c r="L1179" s="9" t="n"/>
      <c r="M1179" s="10" t="inlineStr">
        <is>
          <t>三豊市HPとも一致</t>
        </is>
      </c>
      <c r="N1179" s="11" t="inlineStr">
        <is>
          <t>https://www.kagawanishikou.com/contact</t>
        </is>
      </c>
      <c r="O1179" s="12" t="inlineStr">
        <is>
          <t>開く</t>
        </is>
      </c>
    </row>
    <row r="1180">
      <c r="A1180" s="4" t="n">
        <v>1176</v>
      </c>
      <c r="B1180" s="5" t="inlineStr">
        <is>
          <t>香川県</t>
        </is>
      </c>
      <c r="C1180" s="5" t="inlineStr">
        <is>
          <t>善通寺市</t>
        </is>
      </c>
      <c r="D1180" s="5" t="inlineStr">
        <is>
          <t>尽誠学園高等学校</t>
        </is>
      </c>
      <c r="E1180" s="6" t="inlineStr">
        <is>
          <t>0877-62-1515</t>
        </is>
      </c>
      <c r="F1180" s="7" t="inlineStr">
        <is>
          <t>高</t>
        </is>
      </c>
      <c r="G1180" s="5" t="inlineStr">
        <is>
          <t>普通科・専門学科</t>
        </is>
      </c>
      <c r="H1180" s="8" t="n"/>
      <c r="I1180" s="9" t="n"/>
      <c r="J1180" s="9" t="inlineStr">
        <is>
          <t>未架電</t>
        </is>
      </c>
      <c r="K1180" s="8" t="n"/>
      <c r="L1180" s="9" t="n"/>
      <c r="M1180" s="10" t="inlineStr">
        <is>
          <t>県私立中高連合会とも一致。法人本部は0877-63-1717</t>
        </is>
      </c>
      <c r="N1180" s="11" t="inlineStr">
        <is>
          <t>https://sites.google.com/jinsei.ac.jp/jinseiopenschool2020</t>
        </is>
      </c>
      <c r="O1180" s="12" t="inlineStr">
        <is>
          <t>開く</t>
        </is>
      </c>
    </row>
    <row r="1181">
      <c r="A1181" s="4" t="n">
        <v>1177</v>
      </c>
      <c r="B1181" s="5" t="inlineStr">
        <is>
          <t>香川県</t>
        </is>
      </c>
      <c r="C1181" s="5" t="inlineStr">
        <is>
          <t>高松市</t>
        </is>
      </c>
      <c r="D1181" s="5" t="inlineStr">
        <is>
          <t>高松中央高等学校</t>
        </is>
      </c>
      <c r="E1181" s="6" t="inlineStr">
        <is>
          <t>087-831-1291</t>
        </is>
      </c>
      <c r="F1181" s="7" t="inlineStr">
        <is>
          <t>高</t>
        </is>
      </c>
      <c r="G1181" s="5" t="inlineStr">
        <is>
          <t>普通科・専門学科</t>
        </is>
      </c>
      <c r="H1181" s="8" t="n"/>
      <c r="I1181" s="9" t="n"/>
      <c r="J1181" s="9" t="inlineStr">
        <is>
          <t>未架電</t>
        </is>
      </c>
      <c r="K1181" s="8" t="n"/>
      <c r="L1181" s="9" t="n"/>
      <c r="M1181" s="10" t="inlineStr">
        <is>
          <t>全日制の番号。通信制課程は087-812-5285</t>
        </is>
      </c>
      <c r="N1181" s="11" t="inlineStr">
        <is>
          <t>https://www.ta-chuo.ed.jp/contact/</t>
        </is>
      </c>
      <c r="O1181" s="12" t="inlineStr">
        <is>
          <t>開く</t>
        </is>
      </c>
    </row>
    <row r="1182">
      <c r="A1182" s="4" t="n">
        <v>1178</v>
      </c>
      <c r="B1182" s="5" t="inlineStr">
        <is>
          <t>香川県</t>
        </is>
      </c>
      <c r="C1182" s="5" t="inlineStr">
        <is>
          <t>さぬき市</t>
        </is>
      </c>
      <c r="D1182" s="5" t="inlineStr">
        <is>
          <t>藤井学園寒川高等学校</t>
        </is>
      </c>
      <c r="E1182" s="6" t="inlineStr">
        <is>
          <t>0879-43-2571</t>
        </is>
      </c>
      <c r="F1182" s="7" t="inlineStr">
        <is>
          <t>高</t>
        </is>
      </c>
      <c r="G1182" s="5" t="inlineStr">
        <is>
          <t>普通科・専門学科</t>
        </is>
      </c>
      <c r="H1182" s="8" t="n"/>
      <c r="I1182" s="9" t="n"/>
      <c r="J1182" s="9" t="inlineStr">
        <is>
          <t>未架電</t>
        </is>
      </c>
      <c r="K1182" s="8" t="n"/>
      <c r="L1182" s="9" t="n"/>
      <c r="M1182" s="10" t="inlineStr">
        <is>
          <t>法人名は2026年に蓬莱学園へ改称</t>
        </is>
      </c>
      <c r="N1182" s="11" t="inlineStr">
        <is>
          <t>https://www.sangawa.ed.jp/wp/contact/</t>
        </is>
      </c>
      <c r="O1182" s="12" t="inlineStr">
        <is>
          <t>開く</t>
        </is>
      </c>
    </row>
  </sheetData>
  <autoFilter ref="A4:O1182"/>
  <conditionalFormatting sqref="A5:O1182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182" showDropDown="0" showInputMessage="0" showErrorMessage="0" allowBlank="1" type="list">
      <formula1>"未架電,不在・折返し待ち,担当者不在,資料送付,アポ獲得,検討中,NG,番号不明"</formula1>
    </dataValidation>
    <dataValidation sqref="H5:H1182 K5:K1182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  <hyperlink xmlns:r="http://schemas.openxmlformats.org/officeDocument/2006/relationships" ref="O1097" r:id="rId1093"/>
    <hyperlink xmlns:r="http://schemas.openxmlformats.org/officeDocument/2006/relationships" ref="O1098" r:id="rId1094"/>
    <hyperlink xmlns:r="http://schemas.openxmlformats.org/officeDocument/2006/relationships" ref="O1099" r:id="rId1095"/>
    <hyperlink xmlns:r="http://schemas.openxmlformats.org/officeDocument/2006/relationships" ref="O1100" r:id="rId1096"/>
    <hyperlink xmlns:r="http://schemas.openxmlformats.org/officeDocument/2006/relationships" ref="O1101" r:id="rId1097"/>
    <hyperlink xmlns:r="http://schemas.openxmlformats.org/officeDocument/2006/relationships" ref="O1102" r:id="rId1098"/>
    <hyperlink xmlns:r="http://schemas.openxmlformats.org/officeDocument/2006/relationships" ref="O1103" r:id="rId1099"/>
    <hyperlink xmlns:r="http://schemas.openxmlformats.org/officeDocument/2006/relationships" ref="O1104" r:id="rId1100"/>
    <hyperlink xmlns:r="http://schemas.openxmlformats.org/officeDocument/2006/relationships" ref="O1105" r:id="rId1101"/>
    <hyperlink xmlns:r="http://schemas.openxmlformats.org/officeDocument/2006/relationships" ref="O1106" r:id="rId1102"/>
    <hyperlink xmlns:r="http://schemas.openxmlformats.org/officeDocument/2006/relationships" ref="O1107" r:id="rId1103"/>
    <hyperlink xmlns:r="http://schemas.openxmlformats.org/officeDocument/2006/relationships" ref="O1108" r:id="rId1104"/>
    <hyperlink xmlns:r="http://schemas.openxmlformats.org/officeDocument/2006/relationships" ref="O1109" r:id="rId1105"/>
    <hyperlink xmlns:r="http://schemas.openxmlformats.org/officeDocument/2006/relationships" ref="O1110" r:id="rId1106"/>
    <hyperlink xmlns:r="http://schemas.openxmlformats.org/officeDocument/2006/relationships" ref="O1111" r:id="rId1107"/>
    <hyperlink xmlns:r="http://schemas.openxmlformats.org/officeDocument/2006/relationships" ref="O1112" r:id="rId1108"/>
    <hyperlink xmlns:r="http://schemas.openxmlformats.org/officeDocument/2006/relationships" ref="O1113" r:id="rId1109"/>
    <hyperlink xmlns:r="http://schemas.openxmlformats.org/officeDocument/2006/relationships" ref="O1114" r:id="rId1110"/>
    <hyperlink xmlns:r="http://schemas.openxmlformats.org/officeDocument/2006/relationships" ref="O1115" r:id="rId1111"/>
    <hyperlink xmlns:r="http://schemas.openxmlformats.org/officeDocument/2006/relationships" ref="O1116" r:id="rId1112"/>
    <hyperlink xmlns:r="http://schemas.openxmlformats.org/officeDocument/2006/relationships" ref="O1117" r:id="rId1113"/>
    <hyperlink xmlns:r="http://schemas.openxmlformats.org/officeDocument/2006/relationships" ref="O1118" r:id="rId1114"/>
    <hyperlink xmlns:r="http://schemas.openxmlformats.org/officeDocument/2006/relationships" ref="O1119" r:id="rId1115"/>
    <hyperlink xmlns:r="http://schemas.openxmlformats.org/officeDocument/2006/relationships" ref="O1120" r:id="rId1116"/>
    <hyperlink xmlns:r="http://schemas.openxmlformats.org/officeDocument/2006/relationships" ref="O1121" r:id="rId1117"/>
    <hyperlink xmlns:r="http://schemas.openxmlformats.org/officeDocument/2006/relationships" ref="O1122" r:id="rId1118"/>
    <hyperlink xmlns:r="http://schemas.openxmlformats.org/officeDocument/2006/relationships" ref="O1123" r:id="rId1119"/>
    <hyperlink xmlns:r="http://schemas.openxmlformats.org/officeDocument/2006/relationships" ref="O1124" r:id="rId1120"/>
    <hyperlink xmlns:r="http://schemas.openxmlformats.org/officeDocument/2006/relationships" ref="O1125" r:id="rId1121"/>
    <hyperlink xmlns:r="http://schemas.openxmlformats.org/officeDocument/2006/relationships" ref="O1126" r:id="rId1122"/>
    <hyperlink xmlns:r="http://schemas.openxmlformats.org/officeDocument/2006/relationships" ref="O1127" r:id="rId1123"/>
    <hyperlink xmlns:r="http://schemas.openxmlformats.org/officeDocument/2006/relationships" ref="O1128" r:id="rId1124"/>
    <hyperlink xmlns:r="http://schemas.openxmlformats.org/officeDocument/2006/relationships" ref="O1129" r:id="rId1125"/>
    <hyperlink xmlns:r="http://schemas.openxmlformats.org/officeDocument/2006/relationships" ref="O1130" r:id="rId1126"/>
    <hyperlink xmlns:r="http://schemas.openxmlformats.org/officeDocument/2006/relationships" ref="O1131" r:id="rId1127"/>
    <hyperlink xmlns:r="http://schemas.openxmlformats.org/officeDocument/2006/relationships" ref="O1132" r:id="rId1128"/>
    <hyperlink xmlns:r="http://schemas.openxmlformats.org/officeDocument/2006/relationships" ref="O1133" r:id="rId1129"/>
    <hyperlink xmlns:r="http://schemas.openxmlformats.org/officeDocument/2006/relationships" ref="O1134" r:id="rId1130"/>
    <hyperlink xmlns:r="http://schemas.openxmlformats.org/officeDocument/2006/relationships" ref="O1135" r:id="rId1131"/>
    <hyperlink xmlns:r="http://schemas.openxmlformats.org/officeDocument/2006/relationships" ref="O1136" r:id="rId1132"/>
    <hyperlink xmlns:r="http://schemas.openxmlformats.org/officeDocument/2006/relationships" ref="O1137" r:id="rId1133"/>
    <hyperlink xmlns:r="http://schemas.openxmlformats.org/officeDocument/2006/relationships" ref="O1138" r:id="rId1134"/>
    <hyperlink xmlns:r="http://schemas.openxmlformats.org/officeDocument/2006/relationships" ref="O1139" r:id="rId1135"/>
    <hyperlink xmlns:r="http://schemas.openxmlformats.org/officeDocument/2006/relationships" ref="O1140" r:id="rId1136"/>
    <hyperlink xmlns:r="http://schemas.openxmlformats.org/officeDocument/2006/relationships" ref="O1141" r:id="rId1137"/>
    <hyperlink xmlns:r="http://schemas.openxmlformats.org/officeDocument/2006/relationships" ref="O1142" r:id="rId1138"/>
    <hyperlink xmlns:r="http://schemas.openxmlformats.org/officeDocument/2006/relationships" ref="O1143" r:id="rId1139"/>
    <hyperlink xmlns:r="http://schemas.openxmlformats.org/officeDocument/2006/relationships" ref="O1144" r:id="rId1140"/>
    <hyperlink xmlns:r="http://schemas.openxmlformats.org/officeDocument/2006/relationships" ref="O1145" r:id="rId1141"/>
    <hyperlink xmlns:r="http://schemas.openxmlformats.org/officeDocument/2006/relationships" ref="O1146" r:id="rId1142"/>
    <hyperlink xmlns:r="http://schemas.openxmlformats.org/officeDocument/2006/relationships" ref="O1147" r:id="rId1143"/>
    <hyperlink xmlns:r="http://schemas.openxmlformats.org/officeDocument/2006/relationships" ref="O1148" r:id="rId1144"/>
    <hyperlink xmlns:r="http://schemas.openxmlformats.org/officeDocument/2006/relationships" ref="O1149" r:id="rId1145"/>
    <hyperlink xmlns:r="http://schemas.openxmlformats.org/officeDocument/2006/relationships" ref="O1150" r:id="rId1146"/>
    <hyperlink xmlns:r="http://schemas.openxmlformats.org/officeDocument/2006/relationships" ref="O1151" r:id="rId1147"/>
    <hyperlink xmlns:r="http://schemas.openxmlformats.org/officeDocument/2006/relationships" ref="O1152" r:id="rId1148"/>
    <hyperlink xmlns:r="http://schemas.openxmlformats.org/officeDocument/2006/relationships" ref="O1153" r:id="rId1149"/>
    <hyperlink xmlns:r="http://schemas.openxmlformats.org/officeDocument/2006/relationships" ref="O1154" r:id="rId1150"/>
    <hyperlink xmlns:r="http://schemas.openxmlformats.org/officeDocument/2006/relationships" ref="O1155" r:id="rId1151"/>
    <hyperlink xmlns:r="http://schemas.openxmlformats.org/officeDocument/2006/relationships" ref="O1156" r:id="rId1152"/>
    <hyperlink xmlns:r="http://schemas.openxmlformats.org/officeDocument/2006/relationships" ref="O1157" r:id="rId1153"/>
    <hyperlink xmlns:r="http://schemas.openxmlformats.org/officeDocument/2006/relationships" ref="O1158" r:id="rId1154"/>
    <hyperlink xmlns:r="http://schemas.openxmlformats.org/officeDocument/2006/relationships" ref="O1159" r:id="rId1155"/>
    <hyperlink xmlns:r="http://schemas.openxmlformats.org/officeDocument/2006/relationships" ref="O1160" r:id="rId1156"/>
    <hyperlink xmlns:r="http://schemas.openxmlformats.org/officeDocument/2006/relationships" ref="O1161" r:id="rId1157"/>
    <hyperlink xmlns:r="http://schemas.openxmlformats.org/officeDocument/2006/relationships" ref="O1162" r:id="rId1158"/>
    <hyperlink xmlns:r="http://schemas.openxmlformats.org/officeDocument/2006/relationships" ref="O1163" r:id="rId1159"/>
    <hyperlink xmlns:r="http://schemas.openxmlformats.org/officeDocument/2006/relationships" ref="O1164" r:id="rId1160"/>
    <hyperlink xmlns:r="http://schemas.openxmlformats.org/officeDocument/2006/relationships" ref="O1165" r:id="rId1161"/>
    <hyperlink xmlns:r="http://schemas.openxmlformats.org/officeDocument/2006/relationships" ref="O1166" r:id="rId1162"/>
    <hyperlink xmlns:r="http://schemas.openxmlformats.org/officeDocument/2006/relationships" ref="O1167" r:id="rId1163"/>
    <hyperlink xmlns:r="http://schemas.openxmlformats.org/officeDocument/2006/relationships" ref="O1168" r:id="rId1164"/>
    <hyperlink xmlns:r="http://schemas.openxmlformats.org/officeDocument/2006/relationships" ref="O1169" r:id="rId1165"/>
    <hyperlink xmlns:r="http://schemas.openxmlformats.org/officeDocument/2006/relationships" ref="O1170" r:id="rId1166"/>
    <hyperlink xmlns:r="http://schemas.openxmlformats.org/officeDocument/2006/relationships" ref="O1171" r:id="rId1167"/>
    <hyperlink xmlns:r="http://schemas.openxmlformats.org/officeDocument/2006/relationships" ref="O1172" r:id="rId1168"/>
    <hyperlink xmlns:r="http://schemas.openxmlformats.org/officeDocument/2006/relationships" ref="O1173" r:id="rId1169"/>
    <hyperlink xmlns:r="http://schemas.openxmlformats.org/officeDocument/2006/relationships" ref="O1174" r:id="rId1170"/>
    <hyperlink xmlns:r="http://schemas.openxmlformats.org/officeDocument/2006/relationships" ref="O1175" r:id="rId1171"/>
    <hyperlink xmlns:r="http://schemas.openxmlformats.org/officeDocument/2006/relationships" ref="O1176" r:id="rId1172"/>
    <hyperlink xmlns:r="http://schemas.openxmlformats.org/officeDocument/2006/relationships" ref="O1177" r:id="rId1173"/>
    <hyperlink xmlns:r="http://schemas.openxmlformats.org/officeDocument/2006/relationships" ref="O1178" r:id="rId1174"/>
    <hyperlink xmlns:r="http://schemas.openxmlformats.org/officeDocument/2006/relationships" ref="O1179" r:id="rId1175"/>
    <hyperlink xmlns:r="http://schemas.openxmlformats.org/officeDocument/2006/relationships" ref="O1180" r:id="rId1176"/>
    <hyperlink xmlns:r="http://schemas.openxmlformats.org/officeDocument/2006/relationships" ref="O1181" r:id="rId1177"/>
    <hyperlink xmlns:r="http://schemas.openxmlformats.org/officeDocument/2006/relationships" ref="O1182" r:id="rId117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COUNTIF('架電リスト'!$B$5:$B$1182,A4)</f>
        <v/>
      </c>
      <c r="C4" s="16">
        <f>COUNTIFS('架電リスト'!$B$5:$B$1182,A4,'架電リスト'!$E$5:$E$1182,"&lt;&gt;")</f>
        <v/>
      </c>
      <c r="D4" s="16">
        <f>B4-COUNTIFS('架電リスト'!$B$5:$B$1182,A4,'架電リスト'!$J$5:$J$1182,"未架電")-COUNTIFS('架電リスト'!$B$5:$B$1182,A4,'架電リスト'!$J$5:$J$1182,"")</f>
        <v/>
      </c>
      <c r="E4" s="16">
        <f>COUNTIFS('架電リスト'!$B$5:$B$1182,$A4,'架電リスト'!$J$5:$J$1182,"不在・折返し待ち")</f>
        <v/>
      </c>
      <c r="F4" s="16">
        <f>COUNTIFS('架電リスト'!$B$5:$B$1182,$A4,'架電リスト'!$J$5:$J$1182,"担当者不在")</f>
        <v/>
      </c>
      <c r="G4" s="16">
        <f>COUNTIFS('架電リスト'!$B$5:$B$1182,$A4,'架電リスト'!$J$5:$J$1182,"資料送付")</f>
        <v/>
      </c>
      <c r="H4" s="16">
        <f>COUNTIFS('架電リスト'!$B$5:$B$1182,$A4,'架電リスト'!$J$5:$J$1182,"アポ獲得")</f>
        <v/>
      </c>
      <c r="I4" s="16">
        <f>COUNTIFS('架電リスト'!$B$5:$B$1182,$A4,'架電リスト'!$J$5:$J$1182,"検討中")</f>
        <v/>
      </c>
      <c r="J4" s="16">
        <f>COUNTIFS('架電リスト'!$B$5:$B$1182,$A4,'架電リスト'!$J$5:$J$1182,"NG")</f>
        <v/>
      </c>
      <c r="K4" s="16">
        <f>COUNTIFS('架電リスト'!$B$5:$B$1182,$A4,'架電リスト'!$J$5:$J$1182,"番号不明")</f>
        <v/>
      </c>
    </row>
    <row r="5">
      <c r="A5" s="16" t="inlineStr">
        <is>
          <t>青森県</t>
        </is>
      </c>
      <c r="B5" s="16">
        <f>COUNTIF('架電リスト'!$B$5:$B$1182,A5)</f>
        <v/>
      </c>
      <c r="C5" s="16">
        <f>COUNTIFS('架電リスト'!$B$5:$B$1182,A5,'架電リスト'!$E$5:$E$1182,"&lt;&gt;")</f>
        <v/>
      </c>
      <c r="D5" s="16">
        <f>B5-COUNTIFS('架電リスト'!$B$5:$B$1182,A5,'架電リスト'!$J$5:$J$1182,"未架電")-COUNTIFS('架電リスト'!$B$5:$B$1182,A5,'架電リスト'!$J$5:$J$1182,"")</f>
        <v/>
      </c>
      <c r="E5" s="16">
        <f>COUNTIFS('架電リスト'!$B$5:$B$1182,$A5,'架電リスト'!$J$5:$J$1182,"不在・折返し待ち")</f>
        <v/>
      </c>
      <c r="F5" s="16">
        <f>COUNTIFS('架電リスト'!$B$5:$B$1182,$A5,'架電リスト'!$J$5:$J$1182,"担当者不在")</f>
        <v/>
      </c>
      <c r="G5" s="16">
        <f>COUNTIFS('架電リスト'!$B$5:$B$1182,$A5,'架電リスト'!$J$5:$J$1182,"資料送付")</f>
        <v/>
      </c>
      <c r="H5" s="16">
        <f>COUNTIFS('架電リスト'!$B$5:$B$1182,$A5,'架電リスト'!$J$5:$J$1182,"アポ獲得")</f>
        <v/>
      </c>
      <c r="I5" s="16">
        <f>COUNTIFS('架電リスト'!$B$5:$B$1182,$A5,'架電リスト'!$J$5:$J$1182,"検討中")</f>
        <v/>
      </c>
      <c r="J5" s="16">
        <f>COUNTIFS('架電リスト'!$B$5:$B$1182,$A5,'架電リスト'!$J$5:$J$1182,"NG")</f>
        <v/>
      </c>
      <c r="K5" s="16">
        <f>COUNTIFS('架電リスト'!$B$5:$B$1182,$A5,'架電リスト'!$J$5:$J$1182,"番号不明")</f>
        <v/>
      </c>
    </row>
    <row r="6">
      <c r="A6" s="16" t="inlineStr">
        <is>
          <t>岩手県</t>
        </is>
      </c>
      <c r="B6" s="16">
        <f>COUNTIF('架電リスト'!$B$5:$B$1182,A6)</f>
        <v/>
      </c>
      <c r="C6" s="16">
        <f>COUNTIFS('架電リスト'!$B$5:$B$1182,A6,'架電リスト'!$E$5:$E$1182,"&lt;&gt;")</f>
        <v/>
      </c>
      <c r="D6" s="16">
        <f>B6-COUNTIFS('架電リスト'!$B$5:$B$1182,A6,'架電リスト'!$J$5:$J$1182,"未架電")-COUNTIFS('架電リスト'!$B$5:$B$1182,A6,'架電リスト'!$J$5:$J$1182,"")</f>
        <v/>
      </c>
      <c r="E6" s="16">
        <f>COUNTIFS('架電リスト'!$B$5:$B$1182,$A6,'架電リスト'!$J$5:$J$1182,"不在・折返し待ち")</f>
        <v/>
      </c>
      <c r="F6" s="16">
        <f>COUNTIFS('架電リスト'!$B$5:$B$1182,$A6,'架電リスト'!$J$5:$J$1182,"担当者不在")</f>
        <v/>
      </c>
      <c r="G6" s="16">
        <f>COUNTIFS('架電リスト'!$B$5:$B$1182,$A6,'架電リスト'!$J$5:$J$1182,"資料送付")</f>
        <v/>
      </c>
      <c r="H6" s="16">
        <f>COUNTIFS('架電リスト'!$B$5:$B$1182,$A6,'架電リスト'!$J$5:$J$1182,"アポ獲得")</f>
        <v/>
      </c>
      <c r="I6" s="16">
        <f>COUNTIFS('架電リスト'!$B$5:$B$1182,$A6,'架電リスト'!$J$5:$J$1182,"検討中")</f>
        <v/>
      </c>
      <c r="J6" s="16">
        <f>COUNTIFS('架電リスト'!$B$5:$B$1182,$A6,'架電リスト'!$J$5:$J$1182,"NG")</f>
        <v/>
      </c>
      <c r="K6" s="16">
        <f>COUNTIFS('架電リスト'!$B$5:$B$1182,$A6,'架電リスト'!$J$5:$J$1182,"番号不明")</f>
        <v/>
      </c>
    </row>
    <row r="7">
      <c r="A7" s="16" t="inlineStr">
        <is>
          <t>宮城県</t>
        </is>
      </c>
      <c r="B7" s="16">
        <f>COUNTIF('架電リスト'!$B$5:$B$1182,A7)</f>
        <v/>
      </c>
      <c r="C7" s="16">
        <f>COUNTIFS('架電リスト'!$B$5:$B$1182,A7,'架電リスト'!$E$5:$E$1182,"&lt;&gt;")</f>
        <v/>
      </c>
      <c r="D7" s="16">
        <f>B7-COUNTIFS('架電リスト'!$B$5:$B$1182,A7,'架電リスト'!$J$5:$J$1182,"未架電")-COUNTIFS('架電リスト'!$B$5:$B$1182,A7,'架電リスト'!$J$5:$J$1182,"")</f>
        <v/>
      </c>
      <c r="E7" s="16">
        <f>COUNTIFS('架電リスト'!$B$5:$B$1182,$A7,'架電リスト'!$J$5:$J$1182,"不在・折返し待ち")</f>
        <v/>
      </c>
      <c r="F7" s="16">
        <f>COUNTIFS('架電リスト'!$B$5:$B$1182,$A7,'架電リスト'!$J$5:$J$1182,"担当者不在")</f>
        <v/>
      </c>
      <c r="G7" s="16">
        <f>COUNTIFS('架電リスト'!$B$5:$B$1182,$A7,'架電リスト'!$J$5:$J$1182,"資料送付")</f>
        <v/>
      </c>
      <c r="H7" s="16">
        <f>COUNTIFS('架電リスト'!$B$5:$B$1182,$A7,'架電リスト'!$J$5:$J$1182,"アポ獲得")</f>
        <v/>
      </c>
      <c r="I7" s="16">
        <f>COUNTIFS('架電リスト'!$B$5:$B$1182,$A7,'架電リスト'!$J$5:$J$1182,"検討中")</f>
        <v/>
      </c>
      <c r="J7" s="16">
        <f>COUNTIFS('架電リスト'!$B$5:$B$1182,$A7,'架電リスト'!$J$5:$J$1182,"NG")</f>
        <v/>
      </c>
      <c r="K7" s="16">
        <f>COUNTIFS('架電リスト'!$B$5:$B$1182,$A7,'架電リスト'!$J$5:$J$1182,"番号不明")</f>
        <v/>
      </c>
    </row>
    <row r="8">
      <c r="A8" s="16" t="inlineStr">
        <is>
          <t>秋田県</t>
        </is>
      </c>
      <c r="B8" s="16">
        <f>COUNTIF('架電リスト'!$B$5:$B$1182,A8)</f>
        <v/>
      </c>
      <c r="C8" s="16">
        <f>COUNTIFS('架電リスト'!$B$5:$B$1182,A8,'架電リスト'!$E$5:$E$1182,"&lt;&gt;")</f>
        <v/>
      </c>
      <c r="D8" s="16">
        <f>B8-COUNTIFS('架電リスト'!$B$5:$B$1182,A8,'架電リスト'!$J$5:$J$1182,"未架電")-COUNTIFS('架電リスト'!$B$5:$B$1182,A8,'架電リスト'!$J$5:$J$1182,"")</f>
        <v/>
      </c>
      <c r="E8" s="16">
        <f>COUNTIFS('架電リスト'!$B$5:$B$1182,$A8,'架電リスト'!$J$5:$J$1182,"不在・折返し待ち")</f>
        <v/>
      </c>
      <c r="F8" s="16">
        <f>COUNTIFS('架電リスト'!$B$5:$B$1182,$A8,'架電リスト'!$J$5:$J$1182,"担当者不在")</f>
        <v/>
      </c>
      <c r="G8" s="16">
        <f>COUNTIFS('架電リスト'!$B$5:$B$1182,$A8,'架電リスト'!$J$5:$J$1182,"資料送付")</f>
        <v/>
      </c>
      <c r="H8" s="16">
        <f>COUNTIFS('架電リスト'!$B$5:$B$1182,$A8,'架電リスト'!$J$5:$J$1182,"アポ獲得")</f>
        <v/>
      </c>
      <c r="I8" s="16">
        <f>COUNTIFS('架電リスト'!$B$5:$B$1182,$A8,'架電リスト'!$J$5:$J$1182,"検討中")</f>
        <v/>
      </c>
      <c r="J8" s="16">
        <f>COUNTIFS('架電リスト'!$B$5:$B$1182,$A8,'架電リスト'!$J$5:$J$1182,"NG")</f>
        <v/>
      </c>
      <c r="K8" s="16">
        <f>COUNTIFS('架電リスト'!$B$5:$B$1182,$A8,'架電リスト'!$J$5:$J$1182,"番号不明")</f>
        <v/>
      </c>
    </row>
    <row r="9">
      <c r="A9" s="16" t="inlineStr">
        <is>
          <t>山形県</t>
        </is>
      </c>
      <c r="B9" s="16">
        <f>COUNTIF('架電リスト'!$B$5:$B$1182,A9)</f>
        <v/>
      </c>
      <c r="C9" s="16">
        <f>COUNTIFS('架電リスト'!$B$5:$B$1182,A9,'架電リスト'!$E$5:$E$1182,"&lt;&gt;")</f>
        <v/>
      </c>
      <c r="D9" s="16">
        <f>B9-COUNTIFS('架電リスト'!$B$5:$B$1182,A9,'架電リスト'!$J$5:$J$1182,"未架電")-COUNTIFS('架電リスト'!$B$5:$B$1182,A9,'架電リスト'!$J$5:$J$1182,"")</f>
        <v/>
      </c>
      <c r="E9" s="16">
        <f>COUNTIFS('架電リスト'!$B$5:$B$1182,$A9,'架電リスト'!$J$5:$J$1182,"不在・折返し待ち")</f>
        <v/>
      </c>
      <c r="F9" s="16">
        <f>COUNTIFS('架電リスト'!$B$5:$B$1182,$A9,'架電リスト'!$J$5:$J$1182,"担当者不在")</f>
        <v/>
      </c>
      <c r="G9" s="16">
        <f>COUNTIFS('架電リスト'!$B$5:$B$1182,$A9,'架電リスト'!$J$5:$J$1182,"資料送付")</f>
        <v/>
      </c>
      <c r="H9" s="16">
        <f>COUNTIFS('架電リスト'!$B$5:$B$1182,$A9,'架電リスト'!$J$5:$J$1182,"アポ獲得")</f>
        <v/>
      </c>
      <c r="I9" s="16">
        <f>COUNTIFS('架電リスト'!$B$5:$B$1182,$A9,'架電リスト'!$J$5:$J$1182,"検討中")</f>
        <v/>
      </c>
      <c r="J9" s="16">
        <f>COUNTIFS('架電リスト'!$B$5:$B$1182,$A9,'架電リスト'!$J$5:$J$1182,"NG")</f>
        <v/>
      </c>
      <c r="K9" s="16">
        <f>COUNTIFS('架電リスト'!$B$5:$B$1182,$A9,'架電リスト'!$J$5:$J$1182,"番号不明")</f>
        <v/>
      </c>
    </row>
    <row r="10">
      <c r="A10" s="16" t="inlineStr">
        <is>
          <t>福島県</t>
        </is>
      </c>
      <c r="B10" s="16">
        <f>COUNTIF('架電リスト'!$B$5:$B$1182,A10)</f>
        <v/>
      </c>
      <c r="C10" s="16">
        <f>COUNTIFS('架電リスト'!$B$5:$B$1182,A10,'架電リスト'!$E$5:$E$1182,"&lt;&gt;")</f>
        <v/>
      </c>
      <c r="D10" s="16">
        <f>B10-COUNTIFS('架電リスト'!$B$5:$B$1182,A10,'架電リスト'!$J$5:$J$1182,"未架電")-COUNTIFS('架電リスト'!$B$5:$B$1182,A10,'架電リスト'!$J$5:$J$1182,"")</f>
        <v/>
      </c>
      <c r="E10" s="16">
        <f>COUNTIFS('架電リスト'!$B$5:$B$1182,$A10,'架電リスト'!$J$5:$J$1182,"不在・折返し待ち")</f>
        <v/>
      </c>
      <c r="F10" s="16">
        <f>COUNTIFS('架電リスト'!$B$5:$B$1182,$A10,'架電リスト'!$J$5:$J$1182,"担当者不在")</f>
        <v/>
      </c>
      <c r="G10" s="16">
        <f>COUNTIFS('架電リスト'!$B$5:$B$1182,$A10,'架電リスト'!$J$5:$J$1182,"資料送付")</f>
        <v/>
      </c>
      <c r="H10" s="16">
        <f>COUNTIFS('架電リスト'!$B$5:$B$1182,$A10,'架電リスト'!$J$5:$J$1182,"アポ獲得")</f>
        <v/>
      </c>
      <c r="I10" s="16">
        <f>COUNTIFS('架電リスト'!$B$5:$B$1182,$A10,'架電リスト'!$J$5:$J$1182,"検討中")</f>
        <v/>
      </c>
      <c r="J10" s="16">
        <f>COUNTIFS('架電リスト'!$B$5:$B$1182,$A10,'架電リスト'!$J$5:$J$1182,"NG")</f>
        <v/>
      </c>
      <c r="K10" s="16">
        <f>COUNTIFS('架電リスト'!$B$5:$B$1182,$A10,'架電リスト'!$J$5:$J$1182,"番号不明")</f>
        <v/>
      </c>
    </row>
    <row r="11">
      <c r="A11" s="16" t="inlineStr">
        <is>
          <t>茨城県</t>
        </is>
      </c>
      <c r="B11" s="16">
        <f>COUNTIF('架電リスト'!$B$5:$B$1182,A11)</f>
        <v/>
      </c>
      <c r="C11" s="16">
        <f>COUNTIFS('架電リスト'!$B$5:$B$1182,A11,'架電リスト'!$E$5:$E$1182,"&lt;&gt;")</f>
        <v/>
      </c>
      <c r="D11" s="16">
        <f>B11-COUNTIFS('架電リスト'!$B$5:$B$1182,A11,'架電リスト'!$J$5:$J$1182,"未架電")-COUNTIFS('架電リスト'!$B$5:$B$1182,A11,'架電リスト'!$J$5:$J$1182,"")</f>
        <v/>
      </c>
      <c r="E11" s="16">
        <f>COUNTIFS('架電リスト'!$B$5:$B$1182,$A11,'架電リスト'!$J$5:$J$1182,"不在・折返し待ち")</f>
        <v/>
      </c>
      <c r="F11" s="16">
        <f>COUNTIFS('架電リスト'!$B$5:$B$1182,$A11,'架電リスト'!$J$5:$J$1182,"担当者不在")</f>
        <v/>
      </c>
      <c r="G11" s="16">
        <f>COUNTIFS('架電リスト'!$B$5:$B$1182,$A11,'架電リスト'!$J$5:$J$1182,"資料送付")</f>
        <v/>
      </c>
      <c r="H11" s="16">
        <f>COUNTIFS('架電リスト'!$B$5:$B$1182,$A11,'架電リスト'!$J$5:$J$1182,"アポ獲得")</f>
        <v/>
      </c>
      <c r="I11" s="16">
        <f>COUNTIFS('架電リスト'!$B$5:$B$1182,$A11,'架電リスト'!$J$5:$J$1182,"検討中")</f>
        <v/>
      </c>
      <c r="J11" s="16">
        <f>COUNTIFS('架電リスト'!$B$5:$B$1182,$A11,'架電リスト'!$J$5:$J$1182,"NG")</f>
        <v/>
      </c>
      <c r="K11" s="16">
        <f>COUNTIFS('架電リスト'!$B$5:$B$1182,$A11,'架電リスト'!$J$5:$J$1182,"番号不明")</f>
        <v/>
      </c>
    </row>
    <row r="12">
      <c r="A12" s="16" t="inlineStr">
        <is>
          <t>栃木県</t>
        </is>
      </c>
      <c r="B12" s="16">
        <f>COUNTIF('架電リスト'!$B$5:$B$1182,A12)</f>
        <v/>
      </c>
      <c r="C12" s="16">
        <f>COUNTIFS('架電リスト'!$B$5:$B$1182,A12,'架電リスト'!$E$5:$E$1182,"&lt;&gt;")</f>
        <v/>
      </c>
      <c r="D12" s="16">
        <f>B12-COUNTIFS('架電リスト'!$B$5:$B$1182,A12,'架電リスト'!$J$5:$J$1182,"未架電")-COUNTIFS('架電リスト'!$B$5:$B$1182,A12,'架電リスト'!$J$5:$J$1182,"")</f>
        <v/>
      </c>
      <c r="E12" s="16">
        <f>COUNTIFS('架電リスト'!$B$5:$B$1182,$A12,'架電リスト'!$J$5:$J$1182,"不在・折返し待ち")</f>
        <v/>
      </c>
      <c r="F12" s="16">
        <f>COUNTIFS('架電リスト'!$B$5:$B$1182,$A12,'架電リスト'!$J$5:$J$1182,"担当者不在")</f>
        <v/>
      </c>
      <c r="G12" s="16">
        <f>COUNTIFS('架電リスト'!$B$5:$B$1182,$A12,'架電リスト'!$J$5:$J$1182,"資料送付")</f>
        <v/>
      </c>
      <c r="H12" s="16">
        <f>COUNTIFS('架電リスト'!$B$5:$B$1182,$A12,'架電リスト'!$J$5:$J$1182,"アポ獲得")</f>
        <v/>
      </c>
      <c r="I12" s="16">
        <f>COUNTIFS('架電リスト'!$B$5:$B$1182,$A12,'架電リスト'!$J$5:$J$1182,"検討中")</f>
        <v/>
      </c>
      <c r="J12" s="16">
        <f>COUNTIFS('架電リスト'!$B$5:$B$1182,$A12,'架電リスト'!$J$5:$J$1182,"NG")</f>
        <v/>
      </c>
      <c r="K12" s="16">
        <f>COUNTIFS('架電リスト'!$B$5:$B$1182,$A12,'架電リスト'!$J$5:$J$1182,"番号不明")</f>
        <v/>
      </c>
    </row>
    <row r="13">
      <c r="A13" s="16" t="inlineStr">
        <is>
          <t>群馬県</t>
        </is>
      </c>
      <c r="B13" s="16">
        <f>COUNTIF('架電リスト'!$B$5:$B$1182,A13)</f>
        <v/>
      </c>
      <c r="C13" s="16">
        <f>COUNTIFS('架電リスト'!$B$5:$B$1182,A13,'架電リスト'!$E$5:$E$1182,"&lt;&gt;")</f>
        <v/>
      </c>
      <c r="D13" s="16">
        <f>B13-COUNTIFS('架電リスト'!$B$5:$B$1182,A13,'架電リスト'!$J$5:$J$1182,"未架電")-COUNTIFS('架電リスト'!$B$5:$B$1182,A13,'架電リスト'!$J$5:$J$1182,"")</f>
        <v/>
      </c>
      <c r="E13" s="16">
        <f>COUNTIFS('架電リスト'!$B$5:$B$1182,$A13,'架電リスト'!$J$5:$J$1182,"不在・折返し待ち")</f>
        <v/>
      </c>
      <c r="F13" s="16">
        <f>COUNTIFS('架電リスト'!$B$5:$B$1182,$A13,'架電リスト'!$J$5:$J$1182,"担当者不在")</f>
        <v/>
      </c>
      <c r="G13" s="16">
        <f>COUNTIFS('架電リスト'!$B$5:$B$1182,$A13,'架電リスト'!$J$5:$J$1182,"資料送付")</f>
        <v/>
      </c>
      <c r="H13" s="16">
        <f>COUNTIFS('架電リスト'!$B$5:$B$1182,$A13,'架電リスト'!$J$5:$J$1182,"アポ獲得")</f>
        <v/>
      </c>
      <c r="I13" s="16">
        <f>COUNTIFS('架電リスト'!$B$5:$B$1182,$A13,'架電リスト'!$J$5:$J$1182,"検討中")</f>
        <v/>
      </c>
      <c r="J13" s="16">
        <f>COUNTIFS('架電リスト'!$B$5:$B$1182,$A13,'架電リスト'!$J$5:$J$1182,"NG")</f>
        <v/>
      </c>
      <c r="K13" s="16">
        <f>COUNTIFS('架電リスト'!$B$5:$B$1182,$A13,'架電リスト'!$J$5:$J$1182,"番号不明")</f>
        <v/>
      </c>
    </row>
    <row r="14">
      <c r="A14" s="16" t="inlineStr">
        <is>
          <t>埼玉県</t>
        </is>
      </c>
      <c r="B14" s="16">
        <f>COUNTIF('架電リスト'!$B$5:$B$1182,A14)</f>
        <v/>
      </c>
      <c r="C14" s="16">
        <f>COUNTIFS('架電リスト'!$B$5:$B$1182,A14,'架電リスト'!$E$5:$E$1182,"&lt;&gt;")</f>
        <v/>
      </c>
      <c r="D14" s="16">
        <f>B14-COUNTIFS('架電リスト'!$B$5:$B$1182,A14,'架電リスト'!$J$5:$J$1182,"未架電")-COUNTIFS('架電リスト'!$B$5:$B$1182,A14,'架電リスト'!$J$5:$J$1182,"")</f>
        <v/>
      </c>
      <c r="E14" s="16">
        <f>COUNTIFS('架電リスト'!$B$5:$B$1182,$A14,'架電リスト'!$J$5:$J$1182,"不在・折返し待ち")</f>
        <v/>
      </c>
      <c r="F14" s="16">
        <f>COUNTIFS('架電リスト'!$B$5:$B$1182,$A14,'架電リスト'!$J$5:$J$1182,"担当者不在")</f>
        <v/>
      </c>
      <c r="G14" s="16">
        <f>COUNTIFS('架電リスト'!$B$5:$B$1182,$A14,'架電リスト'!$J$5:$J$1182,"資料送付")</f>
        <v/>
      </c>
      <c r="H14" s="16">
        <f>COUNTIFS('架電リスト'!$B$5:$B$1182,$A14,'架電リスト'!$J$5:$J$1182,"アポ獲得")</f>
        <v/>
      </c>
      <c r="I14" s="16">
        <f>COUNTIFS('架電リスト'!$B$5:$B$1182,$A14,'架電リスト'!$J$5:$J$1182,"検討中")</f>
        <v/>
      </c>
      <c r="J14" s="16">
        <f>COUNTIFS('架電リスト'!$B$5:$B$1182,$A14,'架電リスト'!$J$5:$J$1182,"NG")</f>
        <v/>
      </c>
      <c r="K14" s="16">
        <f>COUNTIFS('架電リスト'!$B$5:$B$1182,$A14,'架電リスト'!$J$5:$J$1182,"番号不明")</f>
        <v/>
      </c>
    </row>
    <row r="15">
      <c r="A15" s="16" t="inlineStr">
        <is>
          <t>千葉県</t>
        </is>
      </c>
      <c r="B15" s="16">
        <f>COUNTIF('架電リスト'!$B$5:$B$1182,A15)</f>
        <v/>
      </c>
      <c r="C15" s="16">
        <f>COUNTIFS('架電リスト'!$B$5:$B$1182,A15,'架電リスト'!$E$5:$E$1182,"&lt;&gt;")</f>
        <v/>
      </c>
      <c r="D15" s="16">
        <f>B15-COUNTIFS('架電リスト'!$B$5:$B$1182,A15,'架電リスト'!$J$5:$J$1182,"未架電")-COUNTIFS('架電リスト'!$B$5:$B$1182,A15,'架電リスト'!$J$5:$J$1182,"")</f>
        <v/>
      </c>
      <c r="E15" s="16">
        <f>COUNTIFS('架電リスト'!$B$5:$B$1182,$A15,'架電リスト'!$J$5:$J$1182,"不在・折返し待ち")</f>
        <v/>
      </c>
      <c r="F15" s="16">
        <f>COUNTIFS('架電リスト'!$B$5:$B$1182,$A15,'架電リスト'!$J$5:$J$1182,"担当者不在")</f>
        <v/>
      </c>
      <c r="G15" s="16">
        <f>COUNTIFS('架電リスト'!$B$5:$B$1182,$A15,'架電リスト'!$J$5:$J$1182,"資料送付")</f>
        <v/>
      </c>
      <c r="H15" s="16">
        <f>COUNTIFS('架電リスト'!$B$5:$B$1182,$A15,'架電リスト'!$J$5:$J$1182,"アポ獲得")</f>
        <v/>
      </c>
      <c r="I15" s="16">
        <f>COUNTIFS('架電リスト'!$B$5:$B$1182,$A15,'架電リスト'!$J$5:$J$1182,"検討中")</f>
        <v/>
      </c>
      <c r="J15" s="16">
        <f>COUNTIFS('架電リスト'!$B$5:$B$1182,$A15,'架電リスト'!$J$5:$J$1182,"NG")</f>
        <v/>
      </c>
      <c r="K15" s="16">
        <f>COUNTIFS('架電リスト'!$B$5:$B$1182,$A15,'架電リスト'!$J$5:$J$1182,"番号不明")</f>
        <v/>
      </c>
    </row>
    <row r="16">
      <c r="A16" s="16" t="inlineStr">
        <is>
          <t>東京都</t>
        </is>
      </c>
      <c r="B16" s="16">
        <f>COUNTIF('架電リスト'!$B$5:$B$1182,A16)</f>
        <v/>
      </c>
      <c r="C16" s="16">
        <f>COUNTIFS('架電リスト'!$B$5:$B$1182,A16,'架電リスト'!$E$5:$E$1182,"&lt;&gt;")</f>
        <v/>
      </c>
      <c r="D16" s="16">
        <f>B16-COUNTIFS('架電リスト'!$B$5:$B$1182,A16,'架電リスト'!$J$5:$J$1182,"未架電")-COUNTIFS('架電リスト'!$B$5:$B$1182,A16,'架電リスト'!$J$5:$J$1182,"")</f>
        <v/>
      </c>
      <c r="E16" s="16">
        <f>COUNTIFS('架電リスト'!$B$5:$B$1182,$A16,'架電リスト'!$J$5:$J$1182,"不在・折返し待ち")</f>
        <v/>
      </c>
      <c r="F16" s="16">
        <f>COUNTIFS('架電リスト'!$B$5:$B$1182,$A16,'架電リスト'!$J$5:$J$1182,"担当者不在")</f>
        <v/>
      </c>
      <c r="G16" s="16">
        <f>COUNTIFS('架電リスト'!$B$5:$B$1182,$A16,'架電リスト'!$J$5:$J$1182,"資料送付")</f>
        <v/>
      </c>
      <c r="H16" s="16">
        <f>COUNTIFS('架電リスト'!$B$5:$B$1182,$A16,'架電リスト'!$J$5:$J$1182,"アポ獲得")</f>
        <v/>
      </c>
      <c r="I16" s="16">
        <f>COUNTIFS('架電リスト'!$B$5:$B$1182,$A16,'架電リスト'!$J$5:$J$1182,"検討中")</f>
        <v/>
      </c>
      <c r="J16" s="16">
        <f>COUNTIFS('架電リスト'!$B$5:$B$1182,$A16,'架電リスト'!$J$5:$J$1182,"NG")</f>
        <v/>
      </c>
      <c r="K16" s="16">
        <f>COUNTIFS('架電リスト'!$B$5:$B$1182,$A16,'架電リスト'!$J$5:$J$1182,"番号不明")</f>
        <v/>
      </c>
    </row>
    <row r="17">
      <c r="A17" s="16" t="inlineStr">
        <is>
          <t>神奈川県</t>
        </is>
      </c>
      <c r="B17" s="16">
        <f>COUNTIF('架電リスト'!$B$5:$B$1182,A17)</f>
        <v/>
      </c>
      <c r="C17" s="16">
        <f>COUNTIFS('架電リスト'!$B$5:$B$1182,A17,'架電リスト'!$E$5:$E$1182,"&lt;&gt;")</f>
        <v/>
      </c>
      <c r="D17" s="16">
        <f>B17-COUNTIFS('架電リスト'!$B$5:$B$1182,A17,'架電リスト'!$J$5:$J$1182,"未架電")-COUNTIFS('架電リスト'!$B$5:$B$1182,A17,'架電リスト'!$J$5:$J$1182,"")</f>
        <v/>
      </c>
      <c r="E17" s="16">
        <f>COUNTIFS('架電リスト'!$B$5:$B$1182,$A17,'架電リスト'!$J$5:$J$1182,"不在・折返し待ち")</f>
        <v/>
      </c>
      <c r="F17" s="16">
        <f>COUNTIFS('架電リスト'!$B$5:$B$1182,$A17,'架電リスト'!$J$5:$J$1182,"担当者不在")</f>
        <v/>
      </c>
      <c r="G17" s="16">
        <f>COUNTIFS('架電リスト'!$B$5:$B$1182,$A17,'架電リスト'!$J$5:$J$1182,"資料送付")</f>
        <v/>
      </c>
      <c r="H17" s="16">
        <f>COUNTIFS('架電リスト'!$B$5:$B$1182,$A17,'架電リスト'!$J$5:$J$1182,"アポ獲得")</f>
        <v/>
      </c>
      <c r="I17" s="16">
        <f>COUNTIFS('架電リスト'!$B$5:$B$1182,$A17,'架電リスト'!$J$5:$J$1182,"検討中")</f>
        <v/>
      </c>
      <c r="J17" s="16">
        <f>COUNTIFS('架電リスト'!$B$5:$B$1182,$A17,'架電リスト'!$J$5:$J$1182,"NG")</f>
        <v/>
      </c>
      <c r="K17" s="16">
        <f>COUNTIFS('架電リスト'!$B$5:$B$1182,$A17,'架電リスト'!$J$5:$J$1182,"番号不明")</f>
        <v/>
      </c>
    </row>
    <row r="18">
      <c r="A18" s="16" t="inlineStr">
        <is>
          <t>新潟県</t>
        </is>
      </c>
      <c r="B18" s="16">
        <f>COUNTIF('架電リスト'!$B$5:$B$1182,A18)</f>
        <v/>
      </c>
      <c r="C18" s="16">
        <f>COUNTIFS('架電リスト'!$B$5:$B$1182,A18,'架電リスト'!$E$5:$E$1182,"&lt;&gt;")</f>
        <v/>
      </c>
      <c r="D18" s="16">
        <f>B18-COUNTIFS('架電リスト'!$B$5:$B$1182,A18,'架電リスト'!$J$5:$J$1182,"未架電")-COUNTIFS('架電リスト'!$B$5:$B$1182,A18,'架電リスト'!$J$5:$J$1182,"")</f>
        <v/>
      </c>
      <c r="E18" s="16">
        <f>COUNTIFS('架電リスト'!$B$5:$B$1182,$A18,'架電リスト'!$J$5:$J$1182,"不在・折返し待ち")</f>
        <v/>
      </c>
      <c r="F18" s="16">
        <f>COUNTIFS('架電リスト'!$B$5:$B$1182,$A18,'架電リスト'!$J$5:$J$1182,"担当者不在")</f>
        <v/>
      </c>
      <c r="G18" s="16">
        <f>COUNTIFS('架電リスト'!$B$5:$B$1182,$A18,'架電リスト'!$J$5:$J$1182,"資料送付")</f>
        <v/>
      </c>
      <c r="H18" s="16">
        <f>COUNTIFS('架電リスト'!$B$5:$B$1182,$A18,'架電リスト'!$J$5:$J$1182,"アポ獲得")</f>
        <v/>
      </c>
      <c r="I18" s="16">
        <f>COUNTIFS('架電リスト'!$B$5:$B$1182,$A18,'架電リスト'!$J$5:$J$1182,"検討中")</f>
        <v/>
      </c>
      <c r="J18" s="16">
        <f>COUNTIFS('架電リスト'!$B$5:$B$1182,$A18,'架電リスト'!$J$5:$J$1182,"NG")</f>
        <v/>
      </c>
      <c r="K18" s="16">
        <f>COUNTIFS('架電リスト'!$B$5:$B$1182,$A18,'架電リスト'!$J$5:$J$1182,"番号不明")</f>
        <v/>
      </c>
    </row>
    <row r="19">
      <c r="A19" s="16" t="inlineStr">
        <is>
          <t>富山県</t>
        </is>
      </c>
      <c r="B19" s="16">
        <f>COUNTIF('架電リスト'!$B$5:$B$1182,A19)</f>
        <v/>
      </c>
      <c r="C19" s="16">
        <f>COUNTIFS('架電リスト'!$B$5:$B$1182,A19,'架電リスト'!$E$5:$E$1182,"&lt;&gt;")</f>
        <v/>
      </c>
      <c r="D19" s="16">
        <f>B19-COUNTIFS('架電リスト'!$B$5:$B$1182,A19,'架電リスト'!$J$5:$J$1182,"未架電")-COUNTIFS('架電リスト'!$B$5:$B$1182,A19,'架電リスト'!$J$5:$J$1182,"")</f>
        <v/>
      </c>
      <c r="E19" s="16">
        <f>COUNTIFS('架電リスト'!$B$5:$B$1182,$A19,'架電リスト'!$J$5:$J$1182,"不在・折返し待ち")</f>
        <v/>
      </c>
      <c r="F19" s="16">
        <f>COUNTIFS('架電リスト'!$B$5:$B$1182,$A19,'架電リスト'!$J$5:$J$1182,"担当者不在")</f>
        <v/>
      </c>
      <c r="G19" s="16">
        <f>COUNTIFS('架電リスト'!$B$5:$B$1182,$A19,'架電リスト'!$J$5:$J$1182,"資料送付")</f>
        <v/>
      </c>
      <c r="H19" s="16">
        <f>COUNTIFS('架電リスト'!$B$5:$B$1182,$A19,'架電リスト'!$J$5:$J$1182,"アポ獲得")</f>
        <v/>
      </c>
      <c r="I19" s="16">
        <f>COUNTIFS('架電リスト'!$B$5:$B$1182,$A19,'架電リスト'!$J$5:$J$1182,"検討中")</f>
        <v/>
      </c>
      <c r="J19" s="16">
        <f>COUNTIFS('架電リスト'!$B$5:$B$1182,$A19,'架電リスト'!$J$5:$J$1182,"NG")</f>
        <v/>
      </c>
      <c r="K19" s="16">
        <f>COUNTIFS('架電リスト'!$B$5:$B$1182,$A19,'架電リスト'!$J$5:$J$1182,"番号不明")</f>
        <v/>
      </c>
    </row>
    <row r="20">
      <c r="A20" s="16" t="inlineStr">
        <is>
          <t>石川県</t>
        </is>
      </c>
      <c r="B20" s="16">
        <f>COUNTIF('架電リスト'!$B$5:$B$1182,A20)</f>
        <v/>
      </c>
      <c r="C20" s="16">
        <f>COUNTIFS('架電リスト'!$B$5:$B$1182,A20,'架電リスト'!$E$5:$E$1182,"&lt;&gt;")</f>
        <v/>
      </c>
      <c r="D20" s="16">
        <f>B20-COUNTIFS('架電リスト'!$B$5:$B$1182,A20,'架電リスト'!$J$5:$J$1182,"未架電")-COUNTIFS('架電リスト'!$B$5:$B$1182,A20,'架電リスト'!$J$5:$J$1182,"")</f>
        <v/>
      </c>
      <c r="E20" s="16">
        <f>COUNTIFS('架電リスト'!$B$5:$B$1182,$A20,'架電リスト'!$J$5:$J$1182,"不在・折返し待ち")</f>
        <v/>
      </c>
      <c r="F20" s="16">
        <f>COUNTIFS('架電リスト'!$B$5:$B$1182,$A20,'架電リスト'!$J$5:$J$1182,"担当者不在")</f>
        <v/>
      </c>
      <c r="G20" s="16">
        <f>COUNTIFS('架電リスト'!$B$5:$B$1182,$A20,'架電リスト'!$J$5:$J$1182,"資料送付")</f>
        <v/>
      </c>
      <c r="H20" s="16">
        <f>COUNTIFS('架電リスト'!$B$5:$B$1182,$A20,'架電リスト'!$J$5:$J$1182,"アポ獲得")</f>
        <v/>
      </c>
      <c r="I20" s="16">
        <f>COUNTIFS('架電リスト'!$B$5:$B$1182,$A20,'架電リスト'!$J$5:$J$1182,"検討中")</f>
        <v/>
      </c>
      <c r="J20" s="16">
        <f>COUNTIFS('架電リスト'!$B$5:$B$1182,$A20,'架電リスト'!$J$5:$J$1182,"NG")</f>
        <v/>
      </c>
      <c r="K20" s="16">
        <f>COUNTIFS('架電リスト'!$B$5:$B$1182,$A20,'架電リスト'!$J$5:$J$1182,"番号不明")</f>
        <v/>
      </c>
    </row>
    <row r="21">
      <c r="A21" s="16" t="inlineStr">
        <is>
          <t>福井県</t>
        </is>
      </c>
      <c r="B21" s="16">
        <f>COUNTIF('架電リスト'!$B$5:$B$1182,A21)</f>
        <v/>
      </c>
      <c r="C21" s="16">
        <f>COUNTIFS('架電リスト'!$B$5:$B$1182,A21,'架電リスト'!$E$5:$E$1182,"&lt;&gt;")</f>
        <v/>
      </c>
      <c r="D21" s="16">
        <f>B21-COUNTIFS('架電リスト'!$B$5:$B$1182,A21,'架電リスト'!$J$5:$J$1182,"未架電")-COUNTIFS('架電リスト'!$B$5:$B$1182,A21,'架電リスト'!$J$5:$J$1182,"")</f>
        <v/>
      </c>
      <c r="E21" s="16">
        <f>COUNTIFS('架電リスト'!$B$5:$B$1182,$A21,'架電リスト'!$J$5:$J$1182,"不在・折返し待ち")</f>
        <v/>
      </c>
      <c r="F21" s="16">
        <f>COUNTIFS('架電リスト'!$B$5:$B$1182,$A21,'架電リスト'!$J$5:$J$1182,"担当者不在")</f>
        <v/>
      </c>
      <c r="G21" s="16">
        <f>COUNTIFS('架電リスト'!$B$5:$B$1182,$A21,'架電リスト'!$J$5:$J$1182,"資料送付")</f>
        <v/>
      </c>
      <c r="H21" s="16">
        <f>COUNTIFS('架電リスト'!$B$5:$B$1182,$A21,'架電リスト'!$J$5:$J$1182,"アポ獲得")</f>
        <v/>
      </c>
      <c r="I21" s="16">
        <f>COUNTIFS('架電リスト'!$B$5:$B$1182,$A21,'架電リスト'!$J$5:$J$1182,"検討中")</f>
        <v/>
      </c>
      <c r="J21" s="16">
        <f>COUNTIFS('架電リスト'!$B$5:$B$1182,$A21,'架電リスト'!$J$5:$J$1182,"NG")</f>
        <v/>
      </c>
      <c r="K21" s="16">
        <f>COUNTIFS('架電リスト'!$B$5:$B$1182,$A21,'架電リスト'!$J$5:$J$1182,"番号不明")</f>
        <v/>
      </c>
    </row>
    <row r="22">
      <c r="A22" s="16" t="inlineStr">
        <is>
          <t>山梨県</t>
        </is>
      </c>
      <c r="B22" s="16">
        <f>COUNTIF('架電リスト'!$B$5:$B$1182,A22)</f>
        <v/>
      </c>
      <c r="C22" s="16">
        <f>COUNTIFS('架電リスト'!$B$5:$B$1182,A22,'架電リスト'!$E$5:$E$1182,"&lt;&gt;")</f>
        <v/>
      </c>
      <c r="D22" s="16">
        <f>B22-COUNTIFS('架電リスト'!$B$5:$B$1182,A22,'架電リスト'!$J$5:$J$1182,"未架電")-COUNTIFS('架電リスト'!$B$5:$B$1182,A22,'架電リスト'!$J$5:$J$1182,"")</f>
        <v/>
      </c>
      <c r="E22" s="16">
        <f>COUNTIFS('架電リスト'!$B$5:$B$1182,$A22,'架電リスト'!$J$5:$J$1182,"不在・折返し待ち")</f>
        <v/>
      </c>
      <c r="F22" s="16">
        <f>COUNTIFS('架電リスト'!$B$5:$B$1182,$A22,'架電リスト'!$J$5:$J$1182,"担当者不在")</f>
        <v/>
      </c>
      <c r="G22" s="16">
        <f>COUNTIFS('架電リスト'!$B$5:$B$1182,$A22,'架電リスト'!$J$5:$J$1182,"資料送付")</f>
        <v/>
      </c>
      <c r="H22" s="16">
        <f>COUNTIFS('架電リスト'!$B$5:$B$1182,$A22,'架電リスト'!$J$5:$J$1182,"アポ獲得")</f>
        <v/>
      </c>
      <c r="I22" s="16">
        <f>COUNTIFS('架電リスト'!$B$5:$B$1182,$A22,'架電リスト'!$J$5:$J$1182,"検討中")</f>
        <v/>
      </c>
      <c r="J22" s="16">
        <f>COUNTIFS('架電リスト'!$B$5:$B$1182,$A22,'架電リスト'!$J$5:$J$1182,"NG")</f>
        <v/>
      </c>
      <c r="K22" s="16">
        <f>COUNTIFS('架電リスト'!$B$5:$B$1182,$A22,'架電リスト'!$J$5:$J$1182,"番号不明")</f>
        <v/>
      </c>
    </row>
    <row r="23">
      <c r="A23" s="16" t="inlineStr">
        <is>
          <t>長野県</t>
        </is>
      </c>
      <c r="B23" s="16">
        <f>COUNTIF('架電リスト'!$B$5:$B$1182,A23)</f>
        <v/>
      </c>
      <c r="C23" s="16">
        <f>COUNTIFS('架電リスト'!$B$5:$B$1182,A23,'架電リスト'!$E$5:$E$1182,"&lt;&gt;")</f>
        <v/>
      </c>
      <c r="D23" s="16">
        <f>B23-COUNTIFS('架電リスト'!$B$5:$B$1182,A23,'架電リスト'!$J$5:$J$1182,"未架電")-COUNTIFS('架電リスト'!$B$5:$B$1182,A23,'架電リスト'!$J$5:$J$1182,"")</f>
        <v/>
      </c>
      <c r="E23" s="16">
        <f>COUNTIFS('架電リスト'!$B$5:$B$1182,$A23,'架電リスト'!$J$5:$J$1182,"不在・折返し待ち")</f>
        <v/>
      </c>
      <c r="F23" s="16">
        <f>COUNTIFS('架電リスト'!$B$5:$B$1182,$A23,'架電リスト'!$J$5:$J$1182,"担当者不在")</f>
        <v/>
      </c>
      <c r="G23" s="16">
        <f>COUNTIFS('架電リスト'!$B$5:$B$1182,$A23,'架電リスト'!$J$5:$J$1182,"資料送付")</f>
        <v/>
      </c>
      <c r="H23" s="16">
        <f>COUNTIFS('架電リスト'!$B$5:$B$1182,$A23,'架電リスト'!$J$5:$J$1182,"アポ獲得")</f>
        <v/>
      </c>
      <c r="I23" s="16">
        <f>COUNTIFS('架電リスト'!$B$5:$B$1182,$A23,'架電リスト'!$J$5:$J$1182,"検討中")</f>
        <v/>
      </c>
      <c r="J23" s="16">
        <f>COUNTIFS('架電リスト'!$B$5:$B$1182,$A23,'架電リスト'!$J$5:$J$1182,"NG")</f>
        <v/>
      </c>
      <c r="K23" s="16">
        <f>COUNTIFS('架電リスト'!$B$5:$B$1182,$A23,'架電リスト'!$J$5:$J$1182,"番号不明")</f>
        <v/>
      </c>
    </row>
    <row r="24">
      <c r="A24" s="16" t="inlineStr">
        <is>
          <t>岐阜県</t>
        </is>
      </c>
      <c r="B24" s="16">
        <f>COUNTIF('架電リスト'!$B$5:$B$1182,A24)</f>
        <v/>
      </c>
      <c r="C24" s="16">
        <f>COUNTIFS('架電リスト'!$B$5:$B$1182,A24,'架電リスト'!$E$5:$E$1182,"&lt;&gt;")</f>
        <v/>
      </c>
      <c r="D24" s="16">
        <f>B24-COUNTIFS('架電リスト'!$B$5:$B$1182,A24,'架電リスト'!$J$5:$J$1182,"未架電")-COUNTIFS('架電リスト'!$B$5:$B$1182,A24,'架電リスト'!$J$5:$J$1182,"")</f>
        <v/>
      </c>
      <c r="E24" s="16">
        <f>COUNTIFS('架電リスト'!$B$5:$B$1182,$A24,'架電リスト'!$J$5:$J$1182,"不在・折返し待ち")</f>
        <v/>
      </c>
      <c r="F24" s="16">
        <f>COUNTIFS('架電リスト'!$B$5:$B$1182,$A24,'架電リスト'!$J$5:$J$1182,"担当者不在")</f>
        <v/>
      </c>
      <c r="G24" s="16">
        <f>COUNTIFS('架電リスト'!$B$5:$B$1182,$A24,'架電リスト'!$J$5:$J$1182,"資料送付")</f>
        <v/>
      </c>
      <c r="H24" s="16">
        <f>COUNTIFS('架電リスト'!$B$5:$B$1182,$A24,'架電リスト'!$J$5:$J$1182,"アポ獲得")</f>
        <v/>
      </c>
      <c r="I24" s="16">
        <f>COUNTIFS('架電リスト'!$B$5:$B$1182,$A24,'架電リスト'!$J$5:$J$1182,"検討中")</f>
        <v/>
      </c>
      <c r="J24" s="16">
        <f>COUNTIFS('架電リスト'!$B$5:$B$1182,$A24,'架電リスト'!$J$5:$J$1182,"NG")</f>
        <v/>
      </c>
      <c r="K24" s="16">
        <f>COUNTIFS('架電リスト'!$B$5:$B$1182,$A24,'架電リスト'!$J$5:$J$1182,"番号不明")</f>
        <v/>
      </c>
    </row>
    <row r="25">
      <c r="A25" s="16" t="inlineStr">
        <is>
          <t>静岡県</t>
        </is>
      </c>
      <c r="B25" s="16">
        <f>COUNTIF('架電リスト'!$B$5:$B$1182,A25)</f>
        <v/>
      </c>
      <c r="C25" s="16">
        <f>COUNTIFS('架電リスト'!$B$5:$B$1182,A25,'架電リスト'!$E$5:$E$1182,"&lt;&gt;")</f>
        <v/>
      </c>
      <c r="D25" s="16">
        <f>B25-COUNTIFS('架電リスト'!$B$5:$B$1182,A25,'架電リスト'!$J$5:$J$1182,"未架電")-COUNTIFS('架電リスト'!$B$5:$B$1182,A25,'架電リスト'!$J$5:$J$1182,"")</f>
        <v/>
      </c>
      <c r="E25" s="16">
        <f>COUNTIFS('架電リスト'!$B$5:$B$1182,$A25,'架電リスト'!$J$5:$J$1182,"不在・折返し待ち")</f>
        <v/>
      </c>
      <c r="F25" s="16">
        <f>COUNTIFS('架電リスト'!$B$5:$B$1182,$A25,'架電リスト'!$J$5:$J$1182,"担当者不在")</f>
        <v/>
      </c>
      <c r="G25" s="16">
        <f>COUNTIFS('架電リスト'!$B$5:$B$1182,$A25,'架電リスト'!$J$5:$J$1182,"資料送付")</f>
        <v/>
      </c>
      <c r="H25" s="16">
        <f>COUNTIFS('架電リスト'!$B$5:$B$1182,$A25,'架電リスト'!$J$5:$J$1182,"アポ獲得")</f>
        <v/>
      </c>
      <c r="I25" s="16">
        <f>COUNTIFS('架電リスト'!$B$5:$B$1182,$A25,'架電リスト'!$J$5:$J$1182,"検討中")</f>
        <v/>
      </c>
      <c r="J25" s="16">
        <f>COUNTIFS('架電リスト'!$B$5:$B$1182,$A25,'架電リスト'!$J$5:$J$1182,"NG")</f>
        <v/>
      </c>
      <c r="K25" s="16">
        <f>COUNTIFS('架電リスト'!$B$5:$B$1182,$A25,'架電リスト'!$J$5:$J$1182,"番号不明")</f>
        <v/>
      </c>
    </row>
    <row r="26">
      <c r="A26" s="16" t="inlineStr">
        <is>
          <t>愛知県</t>
        </is>
      </c>
      <c r="B26" s="16">
        <f>COUNTIF('架電リスト'!$B$5:$B$1182,A26)</f>
        <v/>
      </c>
      <c r="C26" s="16">
        <f>COUNTIFS('架電リスト'!$B$5:$B$1182,A26,'架電リスト'!$E$5:$E$1182,"&lt;&gt;")</f>
        <v/>
      </c>
      <c r="D26" s="16">
        <f>B26-COUNTIFS('架電リスト'!$B$5:$B$1182,A26,'架電リスト'!$J$5:$J$1182,"未架電")-COUNTIFS('架電リスト'!$B$5:$B$1182,A26,'架電リスト'!$J$5:$J$1182,"")</f>
        <v/>
      </c>
      <c r="E26" s="16">
        <f>COUNTIFS('架電リスト'!$B$5:$B$1182,$A26,'架電リスト'!$J$5:$J$1182,"不在・折返し待ち")</f>
        <v/>
      </c>
      <c r="F26" s="16">
        <f>COUNTIFS('架電リスト'!$B$5:$B$1182,$A26,'架電リスト'!$J$5:$J$1182,"担当者不在")</f>
        <v/>
      </c>
      <c r="G26" s="16">
        <f>COUNTIFS('架電リスト'!$B$5:$B$1182,$A26,'架電リスト'!$J$5:$J$1182,"資料送付")</f>
        <v/>
      </c>
      <c r="H26" s="16">
        <f>COUNTIFS('架電リスト'!$B$5:$B$1182,$A26,'架電リスト'!$J$5:$J$1182,"アポ獲得")</f>
        <v/>
      </c>
      <c r="I26" s="16">
        <f>COUNTIFS('架電リスト'!$B$5:$B$1182,$A26,'架電リスト'!$J$5:$J$1182,"検討中")</f>
        <v/>
      </c>
      <c r="J26" s="16">
        <f>COUNTIFS('架電リスト'!$B$5:$B$1182,$A26,'架電リスト'!$J$5:$J$1182,"NG")</f>
        <v/>
      </c>
      <c r="K26" s="16">
        <f>COUNTIFS('架電リスト'!$B$5:$B$1182,$A26,'架電リスト'!$J$5:$J$1182,"番号不明")</f>
        <v/>
      </c>
    </row>
    <row r="27">
      <c r="A27" s="16" t="inlineStr">
        <is>
          <t>三重県</t>
        </is>
      </c>
      <c r="B27" s="16">
        <f>COUNTIF('架電リスト'!$B$5:$B$1182,A27)</f>
        <v/>
      </c>
      <c r="C27" s="16">
        <f>COUNTIFS('架電リスト'!$B$5:$B$1182,A27,'架電リスト'!$E$5:$E$1182,"&lt;&gt;")</f>
        <v/>
      </c>
      <c r="D27" s="16">
        <f>B27-COUNTIFS('架電リスト'!$B$5:$B$1182,A27,'架電リスト'!$J$5:$J$1182,"未架電")-COUNTIFS('架電リスト'!$B$5:$B$1182,A27,'架電リスト'!$J$5:$J$1182,"")</f>
        <v/>
      </c>
      <c r="E27" s="16">
        <f>COUNTIFS('架電リスト'!$B$5:$B$1182,$A27,'架電リスト'!$J$5:$J$1182,"不在・折返し待ち")</f>
        <v/>
      </c>
      <c r="F27" s="16">
        <f>COUNTIFS('架電リスト'!$B$5:$B$1182,$A27,'架電リスト'!$J$5:$J$1182,"担当者不在")</f>
        <v/>
      </c>
      <c r="G27" s="16">
        <f>COUNTIFS('架電リスト'!$B$5:$B$1182,$A27,'架電リスト'!$J$5:$J$1182,"資料送付")</f>
        <v/>
      </c>
      <c r="H27" s="16">
        <f>COUNTIFS('架電リスト'!$B$5:$B$1182,$A27,'架電リスト'!$J$5:$J$1182,"アポ獲得")</f>
        <v/>
      </c>
      <c r="I27" s="16">
        <f>COUNTIFS('架電リスト'!$B$5:$B$1182,$A27,'架電リスト'!$J$5:$J$1182,"検討中")</f>
        <v/>
      </c>
      <c r="J27" s="16">
        <f>COUNTIFS('架電リスト'!$B$5:$B$1182,$A27,'架電リスト'!$J$5:$J$1182,"NG")</f>
        <v/>
      </c>
      <c r="K27" s="16">
        <f>COUNTIFS('架電リスト'!$B$5:$B$1182,$A27,'架電リスト'!$J$5:$J$1182,"番号不明")</f>
        <v/>
      </c>
    </row>
    <row r="28">
      <c r="A28" s="16" t="inlineStr">
        <is>
          <t>滋賀県</t>
        </is>
      </c>
      <c r="B28" s="16">
        <f>COUNTIF('架電リスト'!$B$5:$B$1182,A28)</f>
        <v/>
      </c>
      <c r="C28" s="16">
        <f>COUNTIFS('架電リスト'!$B$5:$B$1182,A28,'架電リスト'!$E$5:$E$1182,"&lt;&gt;")</f>
        <v/>
      </c>
      <c r="D28" s="16">
        <f>B28-COUNTIFS('架電リスト'!$B$5:$B$1182,A28,'架電リスト'!$J$5:$J$1182,"未架電")-COUNTIFS('架電リスト'!$B$5:$B$1182,A28,'架電リスト'!$J$5:$J$1182,"")</f>
        <v/>
      </c>
      <c r="E28" s="16">
        <f>COUNTIFS('架電リスト'!$B$5:$B$1182,$A28,'架電リスト'!$J$5:$J$1182,"不在・折返し待ち")</f>
        <v/>
      </c>
      <c r="F28" s="16">
        <f>COUNTIFS('架電リスト'!$B$5:$B$1182,$A28,'架電リスト'!$J$5:$J$1182,"担当者不在")</f>
        <v/>
      </c>
      <c r="G28" s="16">
        <f>COUNTIFS('架電リスト'!$B$5:$B$1182,$A28,'架電リスト'!$J$5:$J$1182,"資料送付")</f>
        <v/>
      </c>
      <c r="H28" s="16">
        <f>COUNTIFS('架電リスト'!$B$5:$B$1182,$A28,'架電リスト'!$J$5:$J$1182,"アポ獲得")</f>
        <v/>
      </c>
      <c r="I28" s="16">
        <f>COUNTIFS('架電リスト'!$B$5:$B$1182,$A28,'架電リスト'!$J$5:$J$1182,"検討中")</f>
        <v/>
      </c>
      <c r="J28" s="16">
        <f>COUNTIFS('架電リスト'!$B$5:$B$1182,$A28,'架電リスト'!$J$5:$J$1182,"NG")</f>
        <v/>
      </c>
      <c r="K28" s="16">
        <f>COUNTIFS('架電リスト'!$B$5:$B$1182,$A28,'架電リスト'!$J$5:$J$1182,"番号不明")</f>
        <v/>
      </c>
    </row>
    <row r="29">
      <c r="A29" s="16" t="inlineStr">
        <is>
          <t>京都府</t>
        </is>
      </c>
      <c r="B29" s="16">
        <f>COUNTIF('架電リスト'!$B$5:$B$1182,A29)</f>
        <v/>
      </c>
      <c r="C29" s="16">
        <f>COUNTIFS('架電リスト'!$B$5:$B$1182,A29,'架電リスト'!$E$5:$E$1182,"&lt;&gt;")</f>
        <v/>
      </c>
      <c r="D29" s="16">
        <f>B29-COUNTIFS('架電リスト'!$B$5:$B$1182,A29,'架電リスト'!$J$5:$J$1182,"未架電")-COUNTIFS('架電リスト'!$B$5:$B$1182,A29,'架電リスト'!$J$5:$J$1182,"")</f>
        <v/>
      </c>
      <c r="E29" s="16">
        <f>COUNTIFS('架電リスト'!$B$5:$B$1182,$A29,'架電リスト'!$J$5:$J$1182,"不在・折返し待ち")</f>
        <v/>
      </c>
      <c r="F29" s="16">
        <f>COUNTIFS('架電リスト'!$B$5:$B$1182,$A29,'架電リスト'!$J$5:$J$1182,"担当者不在")</f>
        <v/>
      </c>
      <c r="G29" s="16">
        <f>COUNTIFS('架電リスト'!$B$5:$B$1182,$A29,'架電リスト'!$J$5:$J$1182,"資料送付")</f>
        <v/>
      </c>
      <c r="H29" s="16">
        <f>COUNTIFS('架電リスト'!$B$5:$B$1182,$A29,'架電リスト'!$J$5:$J$1182,"アポ獲得")</f>
        <v/>
      </c>
      <c r="I29" s="16">
        <f>COUNTIFS('架電リスト'!$B$5:$B$1182,$A29,'架電リスト'!$J$5:$J$1182,"検討中")</f>
        <v/>
      </c>
      <c r="J29" s="16">
        <f>COUNTIFS('架電リスト'!$B$5:$B$1182,$A29,'架電リスト'!$J$5:$J$1182,"NG")</f>
        <v/>
      </c>
      <c r="K29" s="16">
        <f>COUNTIFS('架電リスト'!$B$5:$B$1182,$A29,'架電リスト'!$J$5:$J$1182,"番号不明")</f>
        <v/>
      </c>
    </row>
    <row r="30">
      <c r="A30" s="16" t="inlineStr">
        <is>
          <t>大阪府</t>
        </is>
      </c>
      <c r="B30" s="16">
        <f>COUNTIF('架電リスト'!$B$5:$B$1182,A30)</f>
        <v/>
      </c>
      <c r="C30" s="16">
        <f>COUNTIFS('架電リスト'!$B$5:$B$1182,A30,'架電リスト'!$E$5:$E$1182,"&lt;&gt;")</f>
        <v/>
      </c>
      <c r="D30" s="16">
        <f>B30-COUNTIFS('架電リスト'!$B$5:$B$1182,A30,'架電リスト'!$J$5:$J$1182,"未架電")-COUNTIFS('架電リスト'!$B$5:$B$1182,A30,'架電リスト'!$J$5:$J$1182,"")</f>
        <v/>
      </c>
      <c r="E30" s="16">
        <f>COUNTIFS('架電リスト'!$B$5:$B$1182,$A30,'架電リスト'!$J$5:$J$1182,"不在・折返し待ち")</f>
        <v/>
      </c>
      <c r="F30" s="16">
        <f>COUNTIFS('架電リスト'!$B$5:$B$1182,$A30,'架電リスト'!$J$5:$J$1182,"担当者不在")</f>
        <v/>
      </c>
      <c r="G30" s="16">
        <f>COUNTIFS('架電リスト'!$B$5:$B$1182,$A30,'架電リスト'!$J$5:$J$1182,"資料送付")</f>
        <v/>
      </c>
      <c r="H30" s="16">
        <f>COUNTIFS('架電リスト'!$B$5:$B$1182,$A30,'架電リスト'!$J$5:$J$1182,"アポ獲得")</f>
        <v/>
      </c>
      <c r="I30" s="16">
        <f>COUNTIFS('架電リスト'!$B$5:$B$1182,$A30,'架電リスト'!$J$5:$J$1182,"検討中")</f>
        <v/>
      </c>
      <c r="J30" s="16">
        <f>COUNTIFS('架電リスト'!$B$5:$B$1182,$A30,'架電リスト'!$J$5:$J$1182,"NG")</f>
        <v/>
      </c>
      <c r="K30" s="16">
        <f>COUNTIFS('架電リスト'!$B$5:$B$1182,$A30,'架電リスト'!$J$5:$J$1182,"番号不明")</f>
        <v/>
      </c>
    </row>
    <row r="31">
      <c r="A31" s="16" t="inlineStr">
        <is>
          <t>兵庫県</t>
        </is>
      </c>
      <c r="B31" s="16">
        <f>COUNTIF('架電リスト'!$B$5:$B$1182,A31)</f>
        <v/>
      </c>
      <c r="C31" s="16">
        <f>COUNTIFS('架電リスト'!$B$5:$B$1182,A31,'架電リスト'!$E$5:$E$1182,"&lt;&gt;")</f>
        <v/>
      </c>
      <c r="D31" s="16">
        <f>B31-COUNTIFS('架電リスト'!$B$5:$B$1182,A31,'架電リスト'!$J$5:$J$1182,"未架電")-COUNTIFS('架電リスト'!$B$5:$B$1182,A31,'架電リスト'!$J$5:$J$1182,"")</f>
        <v/>
      </c>
      <c r="E31" s="16">
        <f>COUNTIFS('架電リスト'!$B$5:$B$1182,$A31,'架電リスト'!$J$5:$J$1182,"不在・折返し待ち")</f>
        <v/>
      </c>
      <c r="F31" s="16">
        <f>COUNTIFS('架電リスト'!$B$5:$B$1182,$A31,'架電リスト'!$J$5:$J$1182,"担当者不在")</f>
        <v/>
      </c>
      <c r="G31" s="16">
        <f>COUNTIFS('架電リスト'!$B$5:$B$1182,$A31,'架電リスト'!$J$5:$J$1182,"資料送付")</f>
        <v/>
      </c>
      <c r="H31" s="16">
        <f>COUNTIFS('架電リスト'!$B$5:$B$1182,$A31,'架電リスト'!$J$5:$J$1182,"アポ獲得")</f>
        <v/>
      </c>
      <c r="I31" s="16">
        <f>COUNTIFS('架電リスト'!$B$5:$B$1182,$A31,'架電リスト'!$J$5:$J$1182,"検討中")</f>
        <v/>
      </c>
      <c r="J31" s="16">
        <f>COUNTIFS('架電リスト'!$B$5:$B$1182,$A31,'架電リスト'!$J$5:$J$1182,"NG")</f>
        <v/>
      </c>
      <c r="K31" s="16">
        <f>COUNTIFS('架電リスト'!$B$5:$B$1182,$A31,'架電リスト'!$J$5:$J$1182,"番号不明")</f>
        <v/>
      </c>
    </row>
    <row r="32">
      <c r="A32" s="16" t="inlineStr">
        <is>
          <t>奈良県</t>
        </is>
      </c>
      <c r="B32" s="16">
        <f>COUNTIF('架電リスト'!$B$5:$B$1182,A32)</f>
        <v/>
      </c>
      <c r="C32" s="16">
        <f>COUNTIFS('架電リスト'!$B$5:$B$1182,A32,'架電リスト'!$E$5:$E$1182,"&lt;&gt;")</f>
        <v/>
      </c>
      <c r="D32" s="16">
        <f>B32-COUNTIFS('架電リスト'!$B$5:$B$1182,A32,'架電リスト'!$J$5:$J$1182,"未架電")-COUNTIFS('架電リスト'!$B$5:$B$1182,A32,'架電リスト'!$J$5:$J$1182,"")</f>
        <v/>
      </c>
      <c r="E32" s="16">
        <f>COUNTIFS('架電リスト'!$B$5:$B$1182,$A32,'架電リスト'!$J$5:$J$1182,"不在・折返し待ち")</f>
        <v/>
      </c>
      <c r="F32" s="16">
        <f>COUNTIFS('架電リスト'!$B$5:$B$1182,$A32,'架電リスト'!$J$5:$J$1182,"担当者不在")</f>
        <v/>
      </c>
      <c r="G32" s="16">
        <f>COUNTIFS('架電リスト'!$B$5:$B$1182,$A32,'架電リスト'!$J$5:$J$1182,"資料送付")</f>
        <v/>
      </c>
      <c r="H32" s="16">
        <f>COUNTIFS('架電リスト'!$B$5:$B$1182,$A32,'架電リスト'!$J$5:$J$1182,"アポ獲得")</f>
        <v/>
      </c>
      <c r="I32" s="16">
        <f>COUNTIFS('架電リスト'!$B$5:$B$1182,$A32,'架電リスト'!$J$5:$J$1182,"検討中")</f>
        <v/>
      </c>
      <c r="J32" s="16">
        <f>COUNTIFS('架電リスト'!$B$5:$B$1182,$A32,'架電リスト'!$J$5:$J$1182,"NG")</f>
        <v/>
      </c>
      <c r="K32" s="16">
        <f>COUNTIFS('架電リスト'!$B$5:$B$1182,$A32,'架電リスト'!$J$5:$J$1182,"番号不明")</f>
        <v/>
      </c>
    </row>
    <row r="33">
      <c r="A33" s="16" t="inlineStr">
        <is>
          <t>和歌山県</t>
        </is>
      </c>
      <c r="B33" s="16">
        <f>COUNTIF('架電リスト'!$B$5:$B$1182,A33)</f>
        <v/>
      </c>
      <c r="C33" s="16">
        <f>COUNTIFS('架電リスト'!$B$5:$B$1182,A33,'架電リスト'!$E$5:$E$1182,"&lt;&gt;")</f>
        <v/>
      </c>
      <c r="D33" s="16">
        <f>B33-COUNTIFS('架電リスト'!$B$5:$B$1182,A33,'架電リスト'!$J$5:$J$1182,"未架電")-COUNTIFS('架電リスト'!$B$5:$B$1182,A33,'架電リスト'!$J$5:$J$1182,"")</f>
        <v/>
      </c>
      <c r="E33" s="16">
        <f>COUNTIFS('架電リスト'!$B$5:$B$1182,$A33,'架電リスト'!$J$5:$J$1182,"不在・折返し待ち")</f>
        <v/>
      </c>
      <c r="F33" s="16">
        <f>COUNTIFS('架電リスト'!$B$5:$B$1182,$A33,'架電リスト'!$J$5:$J$1182,"担当者不在")</f>
        <v/>
      </c>
      <c r="G33" s="16">
        <f>COUNTIFS('架電リスト'!$B$5:$B$1182,$A33,'架電リスト'!$J$5:$J$1182,"資料送付")</f>
        <v/>
      </c>
      <c r="H33" s="16">
        <f>COUNTIFS('架電リスト'!$B$5:$B$1182,$A33,'架電リスト'!$J$5:$J$1182,"アポ獲得")</f>
        <v/>
      </c>
      <c r="I33" s="16">
        <f>COUNTIFS('架電リスト'!$B$5:$B$1182,$A33,'架電リスト'!$J$5:$J$1182,"検討中")</f>
        <v/>
      </c>
      <c r="J33" s="16">
        <f>COUNTIFS('架電リスト'!$B$5:$B$1182,$A33,'架電リスト'!$J$5:$J$1182,"NG")</f>
        <v/>
      </c>
      <c r="K33" s="16">
        <f>COUNTIFS('架電リスト'!$B$5:$B$1182,$A33,'架電リスト'!$J$5:$J$1182,"番号不明")</f>
        <v/>
      </c>
    </row>
    <row r="34">
      <c r="A34" s="16" t="inlineStr">
        <is>
          <t>鳥取県</t>
        </is>
      </c>
      <c r="B34" s="16">
        <f>COUNTIF('架電リスト'!$B$5:$B$1182,A34)</f>
        <v/>
      </c>
      <c r="C34" s="16">
        <f>COUNTIFS('架電リスト'!$B$5:$B$1182,A34,'架電リスト'!$E$5:$E$1182,"&lt;&gt;")</f>
        <v/>
      </c>
      <c r="D34" s="16">
        <f>B34-COUNTIFS('架電リスト'!$B$5:$B$1182,A34,'架電リスト'!$J$5:$J$1182,"未架電")-COUNTIFS('架電リスト'!$B$5:$B$1182,A34,'架電リスト'!$J$5:$J$1182,"")</f>
        <v/>
      </c>
      <c r="E34" s="16">
        <f>COUNTIFS('架電リスト'!$B$5:$B$1182,$A34,'架電リスト'!$J$5:$J$1182,"不在・折返し待ち")</f>
        <v/>
      </c>
      <c r="F34" s="16">
        <f>COUNTIFS('架電リスト'!$B$5:$B$1182,$A34,'架電リスト'!$J$5:$J$1182,"担当者不在")</f>
        <v/>
      </c>
      <c r="G34" s="16">
        <f>COUNTIFS('架電リスト'!$B$5:$B$1182,$A34,'架電リスト'!$J$5:$J$1182,"資料送付")</f>
        <v/>
      </c>
      <c r="H34" s="16">
        <f>COUNTIFS('架電リスト'!$B$5:$B$1182,$A34,'架電リスト'!$J$5:$J$1182,"アポ獲得")</f>
        <v/>
      </c>
      <c r="I34" s="16">
        <f>COUNTIFS('架電リスト'!$B$5:$B$1182,$A34,'架電リスト'!$J$5:$J$1182,"検討中")</f>
        <v/>
      </c>
      <c r="J34" s="16">
        <f>COUNTIFS('架電リスト'!$B$5:$B$1182,$A34,'架電リスト'!$J$5:$J$1182,"NG")</f>
        <v/>
      </c>
      <c r="K34" s="16">
        <f>COUNTIFS('架電リスト'!$B$5:$B$1182,$A34,'架電リスト'!$J$5:$J$1182,"番号不明")</f>
        <v/>
      </c>
    </row>
    <row r="35">
      <c r="A35" s="16" t="inlineStr">
        <is>
          <t>島根県</t>
        </is>
      </c>
      <c r="B35" s="16">
        <f>COUNTIF('架電リスト'!$B$5:$B$1182,A35)</f>
        <v/>
      </c>
      <c r="C35" s="16">
        <f>COUNTIFS('架電リスト'!$B$5:$B$1182,A35,'架電リスト'!$E$5:$E$1182,"&lt;&gt;")</f>
        <v/>
      </c>
      <c r="D35" s="16">
        <f>B35-COUNTIFS('架電リスト'!$B$5:$B$1182,A35,'架電リスト'!$J$5:$J$1182,"未架電")-COUNTIFS('架電リスト'!$B$5:$B$1182,A35,'架電リスト'!$J$5:$J$1182,"")</f>
        <v/>
      </c>
      <c r="E35" s="16">
        <f>COUNTIFS('架電リスト'!$B$5:$B$1182,$A35,'架電リスト'!$J$5:$J$1182,"不在・折返し待ち")</f>
        <v/>
      </c>
      <c r="F35" s="16">
        <f>COUNTIFS('架電リスト'!$B$5:$B$1182,$A35,'架電リスト'!$J$5:$J$1182,"担当者不在")</f>
        <v/>
      </c>
      <c r="G35" s="16">
        <f>COUNTIFS('架電リスト'!$B$5:$B$1182,$A35,'架電リスト'!$J$5:$J$1182,"資料送付")</f>
        <v/>
      </c>
      <c r="H35" s="16">
        <f>COUNTIFS('架電リスト'!$B$5:$B$1182,$A35,'架電リスト'!$J$5:$J$1182,"アポ獲得")</f>
        <v/>
      </c>
      <c r="I35" s="16">
        <f>COUNTIFS('架電リスト'!$B$5:$B$1182,$A35,'架電リスト'!$J$5:$J$1182,"検討中")</f>
        <v/>
      </c>
      <c r="J35" s="16">
        <f>COUNTIFS('架電リスト'!$B$5:$B$1182,$A35,'架電リスト'!$J$5:$J$1182,"NG")</f>
        <v/>
      </c>
      <c r="K35" s="16">
        <f>COUNTIFS('架電リスト'!$B$5:$B$1182,$A35,'架電リスト'!$J$5:$J$1182,"番号不明")</f>
        <v/>
      </c>
    </row>
    <row r="36">
      <c r="A36" s="16" t="inlineStr">
        <is>
          <t>岡山県</t>
        </is>
      </c>
      <c r="B36" s="16">
        <f>COUNTIF('架電リスト'!$B$5:$B$1182,A36)</f>
        <v/>
      </c>
      <c r="C36" s="16">
        <f>COUNTIFS('架電リスト'!$B$5:$B$1182,A36,'架電リスト'!$E$5:$E$1182,"&lt;&gt;")</f>
        <v/>
      </c>
      <c r="D36" s="16">
        <f>B36-COUNTIFS('架電リスト'!$B$5:$B$1182,A36,'架電リスト'!$J$5:$J$1182,"未架電")-COUNTIFS('架電リスト'!$B$5:$B$1182,A36,'架電リスト'!$J$5:$J$1182,"")</f>
        <v/>
      </c>
      <c r="E36" s="16">
        <f>COUNTIFS('架電リスト'!$B$5:$B$1182,$A36,'架電リスト'!$J$5:$J$1182,"不在・折返し待ち")</f>
        <v/>
      </c>
      <c r="F36" s="16">
        <f>COUNTIFS('架電リスト'!$B$5:$B$1182,$A36,'架電リスト'!$J$5:$J$1182,"担当者不在")</f>
        <v/>
      </c>
      <c r="G36" s="16">
        <f>COUNTIFS('架電リスト'!$B$5:$B$1182,$A36,'架電リスト'!$J$5:$J$1182,"資料送付")</f>
        <v/>
      </c>
      <c r="H36" s="16">
        <f>COUNTIFS('架電リスト'!$B$5:$B$1182,$A36,'架電リスト'!$J$5:$J$1182,"アポ獲得")</f>
        <v/>
      </c>
      <c r="I36" s="16">
        <f>COUNTIFS('架電リスト'!$B$5:$B$1182,$A36,'架電リスト'!$J$5:$J$1182,"検討中")</f>
        <v/>
      </c>
      <c r="J36" s="16">
        <f>COUNTIFS('架電リスト'!$B$5:$B$1182,$A36,'架電リスト'!$J$5:$J$1182,"NG")</f>
        <v/>
      </c>
      <c r="K36" s="16">
        <f>COUNTIFS('架電リスト'!$B$5:$B$1182,$A36,'架電リスト'!$J$5:$J$1182,"番号不明")</f>
        <v/>
      </c>
    </row>
    <row r="37">
      <c r="A37" s="16" t="inlineStr">
        <is>
          <t>広島県</t>
        </is>
      </c>
      <c r="B37" s="16">
        <f>COUNTIF('架電リスト'!$B$5:$B$1182,A37)</f>
        <v/>
      </c>
      <c r="C37" s="16">
        <f>COUNTIFS('架電リスト'!$B$5:$B$1182,A37,'架電リスト'!$E$5:$E$1182,"&lt;&gt;")</f>
        <v/>
      </c>
      <c r="D37" s="16">
        <f>B37-COUNTIFS('架電リスト'!$B$5:$B$1182,A37,'架電リスト'!$J$5:$J$1182,"未架電")-COUNTIFS('架電リスト'!$B$5:$B$1182,A37,'架電リスト'!$J$5:$J$1182,"")</f>
        <v/>
      </c>
      <c r="E37" s="16">
        <f>COUNTIFS('架電リスト'!$B$5:$B$1182,$A37,'架電リスト'!$J$5:$J$1182,"不在・折返し待ち")</f>
        <v/>
      </c>
      <c r="F37" s="16">
        <f>COUNTIFS('架電リスト'!$B$5:$B$1182,$A37,'架電リスト'!$J$5:$J$1182,"担当者不在")</f>
        <v/>
      </c>
      <c r="G37" s="16">
        <f>COUNTIFS('架電リスト'!$B$5:$B$1182,$A37,'架電リスト'!$J$5:$J$1182,"資料送付")</f>
        <v/>
      </c>
      <c r="H37" s="16">
        <f>COUNTIFS('架電リスト'!$B$5:$B$1182,$A37,'架電リスト'!$J$5:$J$1182,"アポ獲得")</f>
        <v/>
      </c>
      <c r="I37" s="16">
        <f>COUNTIFS('架電リスト'!$B$5:$B$1182,$A37,'架電リスト'!$J$5:$J$1182,"検討中")</f>
        <v/>
      </c>
      <c r="J37" s="16">
        <f>COUNTIFS('架電リスト'!$B$5:$B$1182,$A37,'架電リスト'!$J$5:$J$1182,"NG")</f>
        <v/>
      </c>
      <c r="K37" s="16">
        <f>COUNTIFS('架電リスト'!$B$5:$B$1182,$A37,'架電リスト'!$J$5:$J$1182,"番号不明")</f>
        <v/>
      </c>
    </row>
    <row r="38">
      <c r="A38" s="16" t="inlineStr">
        <is>
          <t>山口県</t>
        </is>
      </c>
      <c r="B38" s="16">
        <f>COUNTIF('架電リスト'!$B$5:$B$1182,A38)</f>
        <v/>
      </c>
      <c r="C38" s="16">
        <f>COUNTIFS('架電リスト'!$B$5:$B$1182,A38,'架電リスト'!$E$5:$E$1182,"&lt;&gt;")</f>
        <v/>
      </c>
      <c r="D38" s="16">
        <f>B38-COUNTIFS('架電リスト'!$B$5:$B$1182,A38,'架電リスト'!$J$5:$J$1182,"未架電")-COUNTIFS('架電リスト'!$B$5:$B$1182,A38,'架電リスト'!$J$5:$J$1182,"")</f>
        <v/>
      </c>
      <c r="E38" s="16">
        <f>COUNTIFS('架電リスト'!$B$5:$B$1182,$A38,'架電リスト'!$J$5:$J$1182,"不在・折返し待ち")</f>
        <v/>
      </c>
      <c r="F38" s="16">
        <f>COUNTIFS('架電リスト'!$B$5:$B$1182,$A38,'架電リスト'!$J$5:$J$1182,"担当者不在")</f>
        <v/>
      </c>
      <c r="G38" s="16">
        <f>COUNTIFS('架電リスト'!$B$5:$B$1182,$A38,'架電リスト'!$J$5:$J$1182,"資料送付")</f>
        <v/>
      </c>
      <c r="H38" s="16">
        <f>COUNTIFS('架電リスト'!$B$5:$B$1182,$A38,'架電リスト'!$J$5:$J$1182,"アポ獲得")</f>
        <v/>
      </c>
      <c r="I38" s="16">
        <f>COUNTIFS('架電リスト'!$B$5:$B$1182,$A38,'架電リスト'!$J$5:$J$1182,"検討中")</f>
        <v/>
      </c>
      <c r="J38" s="16">
        <f>COUNTIFS('架電リスト'!$B$5:$B$1182,$A38,'架電リスト'!$J$5:$J$1182,"NG")</f>
        <v/>
      </c>
      <c r="K38" s="16">
        <f>COUNTIFS('架電リスト'!$B$5:$B$1182,$A38,'架電リスト'!$J$5:$J$1182,"番号不明")</f>
        <v/>
      </c>
    </row>
    <row r="39">
      <c r="A39" s="16" t="inlineStr">
        <is>
          <t>香川県</t>
        </is>
      </c>
      <c r="B39" s="16">
        <f>COUNTIF('架電リスト'!$B$5:$B$1182,A39)</f>
        <v/>
      </c>
      <c r="C39" s="16">
        <f>COUNTIFS('架電リスト'!$B$5:$B$1182,A39,'架電リスト'!$E$5:$E$1182,"&lt;&gt;")</f>
        <v/>
      </c>
      <c r="D39" s="16">
        <f>B39-COUNTIFS('架電リスト'!$B$5:$B$1182,A39,'架電リスト'!$J$5:$J$1182,"未架電")-COUNTIFS('架電リスト'!$B$5:$B$1182,A39,'架電リスト'!$J$5:$J$1182,"")</f>
        <v/>
      </c>
      <c r="E39" s="16">
        <f>COUNTIFS('架電リスト'!$B$5:$B$1182,$A39,'架電リスト'!$J$5:$J$1182,"不在・折返し待ち")</f>
        <v/>
      </c>
      <c r="F39" s="16">
        <f>COUNTIFS('架電リスト'!$B$5:$B$1182,$A39,'架電リスト'!$J$5:$J$1182,"担当者不在")</f>
        <v/>
      </c>
      <c r="G39" s="16">
        <f>COUNTIFS('架電リスト'!$B$5:$B$1182,$A39,'架電リスト'!$J$5:$J$1182,"資料送付")</f>
        <v/>
      </c>
      <c r="H39" s="16">
        <f>COUNTIFS('架電リスト'!$B$5:$B$1182,$A39,'架電リスト'!$J$5:$J$1182,"アポ獲得")</f>
        <v/>
      </c>
      <c r="I39" s="16">
        <f>COUNTIFS('架電リスト'!$B$5:$B$1182,$A39,'架電リスト'!$J$5:$J$1182,"検討中")</f>
        <v/>
      </c>
      <c r="J39" s="16">
        <f>COUNTIFS('架電リスト'!$B$5:$B$1182,$A39,'架電リスト'!$J$5:$J$1182,"NG")</f>
        <v/>
      </c>
      <c r="K39" s="16">
        <f>COUNTIFS('架電リスト'!$B$5:$B$1182,$A39,'架電リスト'!$J$5:$J$1182,"番号不明")</f>
        <v/>
      </c>
    </row>
    <row r="40">
      <c r="A40" s="17" t="inlineStr">
        <is>
          <t>合計</t>
        </is>
      </c>
      <c r="B40" s="17">
        <f>SUM(B4:B39)</f>
        <v/>
      </c>
      <c r="C40" s="17">
        <f>SUM(C4:C39)</f>
        <v/>
      </c>
      <c r="D40" s="17">
        <f>SUM(D4:D39)</f>
        <v/>
      </c>
      <c r="E40" s="17">
        <f>SUM(E4:E39)</f>
        <v/>
      </c>
      <c r="F40" s="17">
        <f>SUM(F4:F39)</f>
        <v/>
      </c>
      <c r="G40" s="17">
        <f>SUM(G4:G39)</f>
        <v/>
      </c>
      <c r="H40" s="17">
        <f>SUM(H4:H39)</f>
        <v/>
      </c>
      <c r="I40" s="17">
        <f>SUM(I4:I39)</f>
        <v/>
      </c>
      <c r="J40" s="17">
        <f>SUM(J4:J39)</f>
        <v/>
      </c>
      <c r="K40" s="17">
        <f>SUM(K4:K39)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・出典：ご提供いただいた学校ネットの検索結果（私立高校・36都道府県、1178校）の貼り付けデータ。並び順は都道府県ごとに元データの掲載順です。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2026-10-14T01:52:21Z</dcterms:created>
  <dcterms:modified xsi:type="dcterms:W3CDTF">2026-10-14T01:52:23Z</dcterms:modified>
</cp:coreProperties>
</file>