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'架電リスト'!$A$4:$O$1205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70.html" TargetMode="External" Id="rId1169" /><Relationship Type="http://schemas.openxmlformats.org/officeDocument/2006/relationships/hyperlink" Target="https://www.gakkou.net/kou/view/index_305290.html" TargetMode="External" Id="rId1170" /><Relationship Type="http://schemas.openxmlformats.org/officeDocument/2006/relationships/hyperlink" Target="https://www.gakkou.net/kou/view/index_305303.html" TargetMode="External" Id="rId1171" /><Relationship Type="http://schemas.openxmlformats.org/officeDocument/2006/relationships/hyperlink" Target="https://www.gakkou.net/kou/view/index_305305.html" TargetMode="External" Id="rId1172" /><Relationship Type="http://schemas.openxmlformats.org/officeDocument/2006/relationships/hyperlink" Target="https://www.gakkou.net/kou/view/index_305314.html" TargetMode="External" Id="rId1173" /><Relationship Type="http://schemas.openxmlformats.org/officeDocument/2006/relationships/hyperlink" Target="https://www.gakkou.net/kou/view/index_305295.html" TargetMode="External" Id="rId1174" /><Relationship Type="http://schemas.openxmlformats.org/officeDocument/2006/relationships/hyperlink" Target="https://www.gakkou.net/kou/view/index_305317.html" TargetMode="External" Id="rId1175" /><Relationship Type="http://schemas.openxmlformats.org/officeDocument/2006/relationships/hyperlink" Target="https://www.gakkou.net/kou/view/index_305313.html" TargetMode="External" Id="rId1176" /><Relationship Type="http://schemas.openxmlformats.org/officeDocument/2006/relationships/hyperlink" Target="https://www.gakkou.net/kou/view/index_305277.html" TargetMode="External" Id="rId1177" /><Relationship Type="http://schemas.openxmlformats.org/officeDocument/2006/relationships/hyperlink" Target="https://www.gakkou.net/kou/view/index_305327.html" TargetMode="External" Id="rId1178" /><Relationship Type="http://schemas.openxmlformats.org/officeDocument/2006/relationships/hyperlink" Target="https://www.gakkou.net/kou/view/index_305360.html" TargetMode="External" Id="rId1179" /><Relationship Type="http://schemas.openxmlformats.org/officeDocument/2006/relationships/hyperlink" Target="https://www.gakkou.net/kou/view/index_305377.html" TargetMode="External" Id="rId1180" /><Relationship Type="http://schemas.openxmlformats.org/officeDocument/2006/relationships/hyperlink" Target="https://www.gakkou.net/kou/view/index_306788.html" TargetMode="External" Id="rId1181" /><Relationship Type="http://schemas.openxmlformats.org/officeDocument/2006/relationships/hyperlink" Target="https://www.gakkou.net/kou/view/index_305374.html" TargetMode="External" Id="rId1182" /><Relationship Type="http://schemas.openxmlformats.org/officeDocument/2006/relationships/hyperlink" Target="https://www.gakkou.net/kou/view/index_305334.html" TargetMode="External" Id="rId1183" /><Relationship Type="http://schemas.openxmlformats.org/officeDocument/2006/relationships/hyperlink" Target="https://www.gakkou.net/kou/view/index_305337.html" TargetMode="External" Id="rId1184" /><Relationship Type="http://schemas.openxmlformats.org/officeDocument/2006/relationships/hyperlink" Target="https://www.gakkou.net/kou/view/index_305389.html" TargetMode="External" Id="rId1185" /><Relationship Type="http://schemas.openxmlformats.org/officeDocument/2006/relationships/hyperlink" Target="https://www.gakkou.net/kou/view/index_305361.html" TargetMode="External" Id="rId1186" /><Relationship Type="http://schemas.openxmlformats.org/officeDocument/2006/relationships/hyperlink" Target="https://www.gakkou.net/kou/view/index_306570.html" TargetMode="External" Id="rId1187" /><Relationship Type="http://schemas.openxmlformats.org/officeDocument/2006/relationships/hyperlink" Target="https://www.gakkou.net/kou/view/index_305346.html" TargetMode="External" Id="rId1188" /><Relationship Type="http://schemas.openxmlformats.org/officeDocument/2006/relationships/hyperlink" Target="https://www.gakkou.net/kou/view/index_305333.html" TargetMode="External" Id="rId1189" /><Relationship Type="http://schemas.openxmlformats.org/officeDocument/2006/relationships/hyperlink" Target="https://www.gakkou.net/kou/view/index_305359.html" TargetMode="External" Id="rId1190" /><Relationship Type="http://schemas.openxmlformats.org/officeDocument/2006/relationships/hyperlink" Target="https://www.gakkou.net/kou/view/index_306581.html" TargetMode="External" Id="rId1191" /><Relationship Type="http://schemas.openxmlformats.org/officeDocument/2006/relationships/hyperlink" Target="https://www.gakkou.net/kou/view/index_306659.html" TargetMode="External" Id="rId1192" /><Relationship Type="http://schemas.openxmlformats.org/officeDocument/2006/relationships/hyperlink" Target="https://www.gakkou.net/kou/view/index_305436.html" TargetMode="External" Id="rId1193" /><Relationship Type="http://schemas.openxmlformats.org/officeDocument/2006/relationships/hyperlink" Target="https://www.gakkou.net/kou/view/index_305428.html" TargetMode="External" Id="rId1194" /><Relationship Type="http://schemas.openxmlformats.org/officeDocument/2006/relationships/hyperlink" Target="https://www.gakkou.net/kou/view/index_305449.html" TargetMode="External" Id="rId1195" /><Relationship Type="http://schemas.openxmlformats.org/officeDocument/2006/relationships/hyperlink" Target="https://www.gakkou.net/kou/view/index_305463.html" TargetMode="External" Id="rId1196" /><Relationship Type="http://schemas.openxmlformats.org/officeDocument/2006/relationships/hyperlink" Target="https://www.gakkou.net/kou/view/index_306389.html" TargetMode="External" Id="rId1197" /><Relationship Type="http://schemas.openxmlformats.org/officeDocument/2006/relationships/hyperlink" Target="https://www.gakkou.net/kou/view/index_305432.html" TargetMode="External" Id="rId1198" /><Relationship Type="http://schemas.openxmlformats.org/officeDocument/2006/relationships/hyperlink" Target="https://www.gakkou.net/kou/view/index_305433.html" TargetMode="External" Id="rId1199" /><Relationship Type="http://schemas.openxmlformats.org/officeDocument/2006/relationships/hyperlink" Target="https://www.gakkou.net/kou/view/index_305423.html" TargetMode="External" Id="rId1200" /><Relationship Type="http://schemas.openxmlformats.org/officeDocument/2006/relationships/hyperlink" Target="https://www.gakkou.net/kou/view/index_305474.html" TargetMode="External" Id="rId120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205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架電リスト（38都道府県／1201校）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香川県</t>
        </is>
      </c>
      <c r="C1173" s="5" t="inlineStr">
        <is>
          <t>高松市</t>
        </is>
      </c>
      <c r="D1173" s="5" t="inlineStr">
        <is>
          <t>英明高等学校</t>
        </is>
      </c>
      <c r="E1173" s="6" t="inlineStr">
        <is>
          <t>087-833-3737</t>
        </is>
      </c>
      <c r="F1173" s="13" t="inlineStr">
        <is>
          <t>中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公式未確認。香川県私立中高連合会・複数サイトで一致。通信制課程も同じ番号</t>
        </is>
      </c>
      <c r="N1173" s="11" t="inlineStr">
        <is>
          <t>https://www.kagawa-shigaku.jp/eimei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香川県</t>
        </is>
      </c>
      <c r="C1174" s="5" t="inlineStr">
        <is>
          <t>高松市</t>
        </is>
      </c>
      <c r="D1174" s="5" t="inlineStr">
        <is>
          <t>大手前高松高等学校</t>
        </is>
      </c>
      <c r="E1174" s="6" t="inlineStr">
        <is>
          <t>087-867-5970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n"/>
      <c r="N1174" s="11" t="inlineStr">
        <is>
          <t>https://www.otemae.net/contact/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香川県</t>
        </is>
      </c>
      <c r="C1175" s="5" t="inlineStr">
        <is>
          <t>丸亀市</t>
        </is>
      </c>
      <c r="D1175" s="5" t="inlineStr">
        <is>
          <t>大手前丸亀高等学校</t>
        </is>
      </c>
      <c r="E1175" s="6" t="inlineStr">
        <is>
          <t>0877-23-3161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n"/>
      <c r="N1175" s="11" t="inlineStr">
        <is>
          <t>https://www.otemae.ed.jp/contact_form/otoiawase.html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丸亀市</t>
        </is>
      </c>
      <c r="D1176" s="5" t="inlineStr">
        <is>
          <t>香川県藤井高等学校</t>
        </is>
      </c>
      <c r="E1176" s="6" t="inlineStr">
        <is>
          <t>0877-22-2328</t>
        </is>
      </c>
      <c r="F1176" s="7" t="inlineStr">
        <is>
          <t>高</t>
        </is>
      </c>
      <c r="G1176" s="5" t="inlineStr">
        <is>
          <t>普通科・専門学科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2026年度から「蓬莱高等学校」に校名変更（法人も蓬莱学園に改称）</t>
        </is>
      </c>
      <c r="N1176" s="11" t="inlineStr">
        <is>
          <t>https://www.fujii.ed.jp/fujii/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香川誠陵高等学校</t>
        </is>
      </c>
      <c r="E1177" s="6" t="inlineStr">
        <is>
          <t>087-881-7800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inlineStr">
        <is>
          <t>中高共通番号</t>
        </is>
      </c>
      <c r="N1177" s="11" t="inlineStr">
        <is>
          <t>https://k-seiryo.ed.jp/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坂出市</t>
        </is>
      </c>
      <c r="D1178" s="5" t="inlineStr">
        <is>
          <t>坂出第一高等学校</t>
        </is>
      </c>
      <c r="E1178" s="6" t="inlineStr">
        <is>
          <t>0877-46-2157</t>
        </is>
      </c>
      <c r="F1178" s="7" t="inlineStr">
        <is>
          <t>高</t>
        </is>
      </c>
      <c r="G1178" s="5" t="inlineStr">
        <is>
          <t>普通科・専門学科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https://www.sakaide1-h.ed.jp/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三豊市</t>
        </is>
      </c>
      <c r="D1179" s="5" t="inlineStr">
        <is>
          <t>四国学院大学香川西高等学校</t>
        </is>
      </c>
      <c r="E1179" s="6" t="inlineStr">
        <is>
          <t>0875-72-5193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三豊市HPとも一致</t>
        </is>
      </c>
      <c r="N1179" s="11" t="inlineStr">
        <is>
          <t>https://www.kagawanishikou.com/contact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善通寺市</t>
        </is>
      </c>
      <c r="D1180" s="5" t="inlineStr">
        <is>
          <t>尽誠学園高等学校</t>
        </is>
      </c>
      <c r="E1180" s="6" t="inlineStr">
        <is>
          <t>0877-62-1515</t>
        </is>
      </c>
      <c r="F1180" s="7" t="inlineStr">
        <is>
          <t>高</t>
        </is>
      </c>
      <c r="G1180" s="5" t="inlineStr">
        <is>
          <t>普通科・専門学科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県私立中高連合会とも一致。法人本部は0877-63-1717</t>
        </is>
      </c>
      <c r="N1180" s="11" t="inlineStr">
        <is>
          <t>https://sites.google.com/jinsei.ac.jp/jinseiopenschool2020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高松市</t>
        </is>
      </c>
      <c r="D1181" s="5" t="inlineStr">
        <is>
          <t>高松中央高等学校</t>
        </is>
      </c>
      <c r="E1181" s="6" t="inlineStr">
        <is>
          <t>087-831-1291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inlineStr">
        <is>
          <t>全日制の番号。通信制課程は087-812-5285</t>
        </is>
      </c>
      <c r="N1181" s="11" t="inlineStr">
        <is>
          <t>https://www.ta-chuo.ed.jp/contact/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さぬき市</t>
        </is>
      </c>
      <c r="D1182" s="5" t="inlineStr">
        <is>
          <t>藤井学園寒川高等学校</t>
        </is>
      </c>
      <c r="E1182" s="6" t="inlineStr">
        <is>
          <t>0879-43-2571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法人名は2026年に蓬莱学園へ改称</t>
        </is>
      </c>
      <c r="N1182" s="11" t="inlineStr">
        <is>
          <t>https://www.sangawa.ed.jp/wp/contact/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愛媛県</t>
        </is>
      </c>
      <c r="C1183" s="5" t="inlineStr">
        <is>
          <t>松山市</t>
        </is>
      </c>
      <c r="D1183" s="5" t="inlineStr">
        <is>
          <t>愛光高等学校</t>
        </is>
      </c>
      <c r="E1183" s="6" t="inlineStr">
        <is>
          <t>089-922-8980</t>
        </is>
      </c>
      <c r="F1183" s="7" t="inlineStr">
        <is>
          <t>高</t>
        </is>
      </c>
      <c r="G1183" s="5" t="inlineStr">
        <is>
          <t>普通科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中高共通番号</t>
        </is>
      </c>
      <c r="N1183" s="11" t="inlineStr">
        <is>
          <t>https://www.aiko.ed.jp/outline/shisetu.html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愛媛県</t>
        </is>
      </c>
      <c r="C1184" s="5" t="inlineStr">
        <is>
          <t>今治市</t>
        </is>
      </c>
      <c r="D1184" s="5" t="inlineStr">
        <is>
          <t>今治精華高等学校</t>
        </is>
      </c>
      <c r="E1184" s="6" t="inlineStr">
        <is>
          <t>0898-32-7100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一部サイトに0898-32-7260の記載あり（旧情報の可能性）</t>
        </is>
      </c>
      <c r="N1184" s="11" t="inlineStr">
        <is>
          <t>https://highschool.imabariseika.ac.jp/summary/about/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愛媛県</t>
        </is>
      </c>
      <c r="C1185" s="5" t="inlineStr">
        <is>
          <t>今治市</t>
        </is>
      </c>
      <c r="D1185" s="5" t="inlineStr">
        <is>
          <t>FC今治高等学校 里山校</t>
        </is>
      </c>
      <c r="E1185" s="6" t="inlineStr">
        <is>
          <t>0898-22-1230</t>
        </is>
      </c>
      <c r="F1185" s="13" t="inlineStr">
        <is>
          <t>中</t>
        </is>
      </c>
      <c r="G1185" s="5" t="inlineStr"/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公式未確認。複数サイト・公式Facebookで一致。2024年に今治明徳高校矢田分校から改称</t>
        </is>
      </c>
      <c r="N1185" s="11" t="inlineStr">
        <is>
          <t>https://www.gakkou.net/kou/view/index_306788.html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今治市</t>
        </is>
      </c>
      <c r="D1186" s="5" t="inlineStr">
        <is>
          <t>FC今治高等学校 明徳校</t>
        </is>
      </c>
      <c r="E1186" s="6" t="inlineStr">
        <is>
          <t>0898-22-6767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旧・今治明徳高校本校（2024年改称）</t>
        </is>
      </c>
      <c r="N1186" s="11" t="inlineStr">
        <is>
          <t>https://www.meitokuhonko.com/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松山市</t>
        </is>
      </c>
      <c r="D1187" s="5" t="inlineStr">
        <is>
          <t>済美高等学校（愛媛県）</t>
        </is>
      </c>
      <c r="E1187" s="6" t="inlineStr">
        <is>
          <t>089-943-4185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電話受付は平日7:30-16:55、土曜7:30-13:00</t>
        </is>
      </c>
      <c r="N1187" s="11" t="inlineStr">
        <is>
          <t>https://www.saibi.ac.jp/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松山市</t>
        </is>
      </c>
      <c r="D1188" s="5" t="inlineStr">
        <is>
          <t>聖カタリナ学園高等学校</t>
        </is>
      </c>
      <c r="E1188" s="6" t="inlineStr">
        <is>
          <t>089-933-3291</t>
        </is>
      </c>
      <c r="F1188" s="7" t="inlineStr">
        <is>
          <t>高</t>
        </is>
      </c>
      <c r="G1188" s="5" t="inlineStr">
        <is>
          <t>普通科・専門学科・総合学科</t>
        </is>
      </c>
      <c r="H1188" s="8" t="n"/>
      <c r="I1188" s="9" t="n"/>
      <c r="J1188" s="9" t="inlineStr">
        <is>
          <t>未架電</t>
        </is>
      </c>
      <c r="K1188" s="8" t="n"/>
      <c r="L1188" s="9" t="n"/>
      <c r="M1188" s="10" t="n"/>
      <c r="N1188" s="11" t="inlineStr">
        <is>
          <t>https://catalina.ed.jp/about/outline/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大洲市</t>
        </is>
      </c>
      <c r="D1189" s="5" t="inlineStr">
        <is>
          <t>帝京第五高等学校</t>
        </is>
      </c>
      <c r="E1189" s="6" t="inlineStr">
        <is>
          <t>0893-25-0511</t>
        </is>
      </c>
      <c r="F1189" s="7" t="inlineStr">
        <is>
          <t>高</t>
        </is>
      </c>
      <c r="G1189" s="5" t="inlineStr">
        <is>
          <t>普通科・専門学科・総合学科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代表番号。職員室0893-25-0566、通信制0893-57-6850</t>
        </is>
      </c>
      <c r="N1189" s="11" t="inlineStr">
        <is>
          <t>https://teikyo5-h.ed.jp/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新田高等学校</t>
        </is>
      </c>
      <c r="E1190" s="6" t="inlineStr">
        <is>
          <t>089-951-0188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n"/>
      <c r="N1190" s="11" t="inlineStr">
        <is>
          <t>https://www.nitta.ac.jp/information/about/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今治市</t>
        </is>
      </c>
      <c r="D1191" s="5" t="inlineStr">
        <is>
          <t>日本ウェルネス高等学校</t>
        </is>
      </c>
      <c r="E1191" s="6" t="inlineStr">
        <is>
          <t>0897-74-1356</t>
        </is>
      </c>
      <c r="F1191" s="7" t="inlineStr">
        <is>
          <t>高</t>
        </is>
      </c>
      <c r="G1191" s="5" t="inlineStr">
        <is>
          <t>普通科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inlineStr">
        <is>
          <t>通信制・今治本校（大三島町）。総合案内は東京03-3938-7500</t>
        </is>
      </c>
      <c r="N1191" s="11" t="inlineStr">
        <is>
          <t>https://www.taiken.ac.jp/gakuin/school/index.html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松山市</t>
        </is>
      </c>
      <c r="D1192" s="5" t="inlineStr">
        <is>
          <t>松山学院高等学校</t>
        </is>
      </c>
      <c r="E1192" s="6" t="inlineStr">
        <is>
          <t>089-976-4343</t>
        </is>
      </c>
      <c r="F1192" s="7" t="inlineStr">
        <is>
          <t>高</t>
        </is>
      </c>
      <c r="G1192" s="5" t="inlineStr">
        <is>
          <t>普通科・専門学科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n"/>
      <c r="N1192" s="11" t="inlineStr">
        <is>
          <t>https://mg-h.ed.jp/form/contact/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松山東雲高等学校</t>
        </is>
      </c>
      <c r="E1193" s="6" t="inlineStr">
        <is>
          <t>089-941-4136</t>
        </is>
      </c>
      <c r="F1193" s="7" t="inlineStr">
        <is>
          <t>高</t>
        </is>
      </c>
      <c r="G1193" s="5" t="inlineStr">
        <is>
          <t>普通科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inlineStr">
        <is>
          <t>中高の番号。学園代表は089-931-6211</t>
        </is>
      </c>
      <c r="N1193" s="11" t="inlineStr">
        <is>
          <t>https://www.shinonome.ac.jp/overview/contact/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松山市</t>
        </is>
      </c>
      <c r="D1194" s="5" t="inlineStr">
        <is>
          <t>松山聖陵高等学校</t>
        </is>
      </c>
      <c r="E1194" s="6" t="inlineStr">
        <is>
          <t>089-924-8783</t>
        </is>
      </c>
      <c r="F1194" s="7" t="inlineStr">
        <is>
          <t>高</t>
        </is>
      </c>
      <c r="G1194" s="5" t="inlineStr">
        <is>
          <t>普通科・専門学科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事務室の電話対応は8:00-16:30</t>
        </is>
      </c>
      <c r="N1194" s="11" t="inlineStr">
        <is>
          <t>https://matsuyamaseiryo-h.ed.jp/guidance/about/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未来高等学校</t>
        </is>
      </c>
      <c r="E1195" s="6" t="inlineStr">
        <is>
          <t>089-947-4447</t>
        </is>
      </c>
      <c r="F1195" s="7" t="inlineStr">
        <is>
          <t>高</t>
        </is>
      </c>
      <c r="G1195" s="5" t="inlineStr">
        <is>
          <t>普通科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inlineStr">
        <is>
          <t>通信制・松山本校。フリーダイヤル0120-89-4447</t>
        </is>
      </c>
      <c r="N1195" s="11" t="inlineStr">
        <is>
          <t>https://mirai-hs.kawahara.ac.jp/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新居浜市</t>
        </is>
      </c>
      <c r="D1196" s="5" t="inlineStr">
        <is>
          <t>未来高等学校 新居浜分校</t>
        </is>
      </c>
      <c r="E1196" s="6" t="inlineStr">
        <is>
          <t>0897-34-9555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通信制・新居浜校</t>
        </is>
      </c>
      <c r="N1196" s="11" t="inlineStr">
        <is>
          <t>https://mirai-hs.kawahara.ac.jp/center/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高知県</t>
        </is>
      </c>
      <c r="C1197" s="5" t="inlineStr">
        <is>
          <t>高知市</t>
        </is>
      </c>
      <c r="D1197" s="5" t="inlineStr">
        <is>
          <t>高知学芸高等学校</t>
        </is>
      </c>
      <c r="E1197" s="6" t="inlineStr">
        <is>
          <t>088-844-1831</t>
        </is>
      </c>
      <c r="F1197" s="7" t="inlineStr">
        <is>
          <t>高</t>
        </is>
      </c>
      <c r="G1197" s="5" t="inlineStr">
        <is>
          <t>普通科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中高一体。公式の入試案内ページ（渉外部）に掲載、私学連合会とも一致</t>
        </is>
      </c>
      <c r="N1197" s="11" t="inlineStr">
        <is>
          <t>https://www.kochi-gakugei.ed.jp/page.html?id=45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高知県</t>
        </is>
      </c>
      <c r="C1198" s="5" t="inlineStr">
        <is>
          <t>高知市</t>
        </is>
      </c>
      <c r="D1198" s="5" t="inlineStr">
        <is>
          <t>高知高等学校</t>
        </is>
      </c>
      <c r="E1198" s="6" t="inlineStr">
        <is>
          <t>088-840-1111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高知中学高等学校（高知学園）</t>
        </is>
      </c>
      <c r="N1198" s="11" t="inlineStr">
        <is>
          <t>https://www.kochigakuen.jp/access.html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高知県</t>
        </is>
      </c>
      <c r="C1199" s="5" t="inlineStr">
        <is>
          <t>高知市</t>
        </is>
      </c>
      <c r="D1199" s="5" t="inlineStr">
        <is>
          <t>高知中央高等学校</t>
        </is>
      </c>
      <c r="E1199" s="6" t="inlineStr">
        <is>
          <t>088-866-3166</t>
        </is>
      </c>
      <c r="F1199" s="7" t="inlineStr">
        <is>
          <t>高</t>
        </is>
      </c>
      <c r="G1199" s="5" t="inlineStr">
        <is>
          <t>普通科・専門学科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n"/>
      <c r="N1199" s="11" t="inlineStr">
        <is>
          <t>https://www.kochi-chuo.ed.jp/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南国市</t>
        </is>
      </c>
      <c r="D1200" s="5" t="inlineStr">
        <is>
          <t>清和女子高等学校</t>
        </is>
      </c>
      <c r="E1200" s="6" t="inlineStr">
        <is>
          <t>088-863-1200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清和女子中高等学校</t>
        </is>
      </c>
      <c r="N1200" s="11" t="inlineStr">
        <is>
          <t>https://seiwa-girl.ed.jp/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太平洋学園高等学校</t>
        </is>
      </c>
      <c r="E1201" s="6" t="inlineStr">
        <is>
          <t>088-822-3584</t>
        </is>
      </c>
      <c r="F1201" s="7" t="inlineStr">
        <is>
          <t>高</t>
        </is>
      </c>
      <c r="G1201" s="5" t="inlineStr">
        <is>
          <t>総合学科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通信制・定時制あり。088-822-3585も掲載（FAX兼用の可能性）</t>
        </is>
      </c>
      <c r="N1201" s="11" t="inlineStr">
        <is>
          <t>https://www.taiheiyo.ed.jp/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土佐高等学校</t>
        </is>
      </c>
      <c r="E1202" s="6" t="inlineStr">
        <is>
          <t>088-833-4394</t>
        </is>
      </c>
      <c r="F1202" s="7" t="inlineStr">
        <is>
          <t>高</t>
        </is>
      </c>
      <c r="G1202" s="5" t="inlineStr">
        <is>
          <t>普通科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inlineStr">
        <is>
          <t>中高共通番号</t>
        </is>
      </c>
      <c r="N1202" s="11" t="inlineStr">
        <is>
          <t>https://www.tosa.ed.jp/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高知市</t>
        </is>
      </c>
      <c r="D1203" s="5" t="inlineStr">
        <is>
          <t>土佐塾高等学校</t>
        </is>
      </c>
      <c r="E1203" s="6" t="inlineStr">
        <is>
          <t>088-831-1717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中高共通番号</t>
        </is>
      </c>
      <c r="N1203" s="11" t="inlineStr">
        <is>
          <t>https://www.tosajuku.ed.jp/contact.html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土佐女子高等学校</t>
        </is>
      </c>
      <c r="E1204" s="6" t="inlineStr">
        <is>
          <t>088-875-3111</t>
        </is>
      </c>
      <c r="F1204" s="7" t="inlineStr">
        <is>
          <t>高</t>
        </is>
      </c>
      <c r="G1204" s="5" t="inlineStr">
        <is>
          <t>普通科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088-873-1670は寄宿舎の番号</t>
        </is>
      </c>
      <c r="N1204" s="11" t="inlineStr">
        <is>
          <t>https://www.tosajoshi-jh.ed.jp/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須崎市</t>
        </is>
      </c>
      <c r="D1205" s="5" t="inlineStr">
        <is>
          <t>明徳義塾高等学校</t>
        </is>
      </c>
      <c r="E1205" s="6" t="inlineStr">
        <is>
          <t>088-856-1211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本校（堂ノ浦キャンパス）。須崎市公式ページとも一致</t>
        </is>
      </c>
      <c r="N1205" s="11" t="inlineStr">
        <is>
          <t>https://www.meitoku-gijuku.ed.jp/senior_c2.php</t>
        </is>
      </c>
      <c r="O1205" s="12" t="inlineStr">
        <is>
          <t>開く</t>
        </is>
      </c>
    </row>
  </sheetData>
  <autoFilter ref="A4:O1205"/>
  <conditionalFormatting sqref="A5:O1205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205" showDropDown="0" showInputMessage="0" showErrorMessage="0" allowBlank="1" type="list">
      <formula1>"未架電,不在・折返し待ち,担当者不在,資料送付,アポ獲得,検討中,NG,番号不明"</formula1>
    </dataValidation>
    <dataValidation sqref="H5:H1205 K5:K1205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COUNTIF('架電リスト'!$B$5:$B$1205,A4)</f>
        <v/>
      </c>
      <c r="C4" s="16">
        <f>COUNTIFS('架電リスト'!$B$5:$B$1205,A4,'架電リスト'!$E$5:$E$1205,"&lt;&gt;")</f>
        <v/>
      </c>
      <c r="D4" s="16">
        <f>B4-COUNTIFS('架電リスト'!$B$5:$B$1205,A4,'架電リスト'!$J$5:$J$1205,"未架電")-COUNTIFS('架電リスト'!$B$5:$B$1205,A4,'架電リスト'!$J$5:$J$1205,"")</f>
        <v/>
      </c>
      <c r="E4" s="16">
        <f>COUNTIFS('架電リスト'!$B$5:$B$1205,$A4,'架電リスト'!$J$5:$J$1205,"不在・折返し待ち")</f>
        <v/>
      </c>
      <c r="F4" s="16">
        <f>COUNTIFS('架電リスト'!$B$5:$B$1205,$A4,'架電リスト'!$J$5:$J$1205,"担当者不在")</f>
        <v/>
      </c>
      <c r="G4" s="16">
        <f>COUNTIFS('架電リスト'!$B$5:$B$1205,$A4,'架電リスト'!$J$5:$J$1205,"資料送付")</f>
        <v/>
      </c>
      <c r="H4" s="16">
        <f>COUNTIFS('架電リスト'!$B$5:$B$1205,$A4,'架電リスト'!$J$5:$J$1205,"アポ獲得")</f>
        <v/>
      </c>
      <c r="I4" s="16">
        <f>COUNTIFS('架電リスト'!$B$5:$B$1205,$A4,'架電リスト'!$J$5:$J$1205,"検討中")</f>
        <v/>
      </c>
      <c r="J4" s="16">
        <f>COUNTIFS('架電リスト'!$B$5:$B$1205,$A4,'架電リスト'!$J$5:$J$1205,"NG")</f>
        <v/>
      </c>
      <c r="K4" s="16">
        <f>COUNTIFS('架電リスト'!$B$5:$B$1205,$A4,'架電リスト'!$J$5:$J$1205,"番号不明")</f>
        <v/>
      </c>
    </row>
    <row r="5">
      <c r="A5" s="16" t="inlineStr">
        <is>
          <t>青森県</t>
        </is>
      </c>
      <c r="B5" s="16">
        <f>COUNTIF('架電リスト'!$B$5:$B$1205,A5)</f>
        <v/>
      </c>
      <c r="C5" s="16">
        <f>COUNTIFS('架電リスト'!$B$5:$B$1205,A5,'架電リスト'!$E$5:$E$1205,"&lt;&gt;")</f>
        <v/>
      </c>
      <c r="D5" s="16">
        <f>B5-COUNTIFS('架電リスト'!$B$5:$B$1205,A5,'架電リスト'!$J$5:$J$1205,"未架電")-COUNTIFS('架電リスト'!$B$5:$B$1205,A5,'架電リスト'!$J$5:$J$1205,"")</f>
        <v/>
      </c>
      <c r="E5" s="16">
        <f>COUNTIFS('架電リスト'!$B$5:$B$1205,$A5,'架電リスト'!$J$5:$J$1205,"不在・折返し待ち")</f>
        <v/>
      </c>
      <c r="F5" s="16">
        <f>COUNTIFS('架電リスト'!$B$5:$B$1205,$A5,'架電リスト'!$J$5:$J$1205,"担当者不在")</f>
        <v/>
      </c>
      <c r="G5" s="16">
        <f>COUNTIFS('架電リスト'!$B$5:$B$1205,$A5,'架電リスト'!$J$5:$J$1205,"資料送付")</f>
        <v/>
      </c>
      <c r="H5" s="16">
        <f>COUNTIFS('架電リスト'!$B$5:$B$1205,$A5,'架電リスト'!$J$5:$J$1205,"アポ獲得")</f>
        <v/>
      </c>
      <c r="I5" s="16">
        <f>COUNTIFS('架電リスト'!$B$5:$B$1205,$A5,'架電リスト'!$J$5:$J$1205,"検討中")</f>
        <v/>
      </c>
      <c r="J5" s="16">
        <f>COUNTIFS('架電リスト'!$B$5:$B$1205,$A5,'架電リスト'!$J$5:$J$1205,"NG")</f>
        <v/>
      </c>
      <c r="K5" s="16">
        <f>COUNTIFS('架電リスト'!$B$5:$B$1205,$A5,'架電リスト'!$J$5:$J$1205,"番号不明")</f>
        <v/>
      </c>
    </row>
    <row r="6">
      <c r="A6" s="16" t="inlineStr">
        <is>
          <t>岩手県</t>
        </is>
      </c>
      <c r="B6" s="16">
        <f>COUNTIF('架電リスト'!$B$5:$B$1205,A6)</f>
        <v/>
      </c>
      <c r="C6" s="16">
        <f>COUNTIFS('架電リスト'!$B$5:$B$1205,A6,'架電リスト'!$E$5:$E$1205,"&lt;&gt;")</f>
        <v/>
      </c>
      <c r="D6" s="16">
        <f>B6-COUNTIFS('架電リスト'!$B$5:$B$1205,A6,'架電リスト'!$J$5:$J$1205,"未架電")-COUNTIFS('架電リスト'!$B$5:$B$1205,A6,'架電リスト'!$J$5:$J$1205,"")</f>
        <v/>
      </c>
      <c r="E6" s="16">
        <f>COUNTIFS('架電リスト'!$B$5:$B$1205,$A6,'架電リスト'!$J$5:$J$1205,"不在・折返し待ち")</f>
        <v/>
      </c>
      <c r="F6" s="16">
        <f>COUNTIFS('架電リスト'!$B$5:$B$1205,$A6,'架電リスト'!$J$5:$J$1205,"担当者不在")</f>
        <v/>
      </c>
      <c r="G6" s="16">
        <f>COUNTIFS('架電リスト'!$B$5:$B$1205,$A6,'架電リスト'!$J$5:$J$1205,"資料送付")</f>
        <v/>
      </c>
      <c r="H6" s="16">
        <f>COUNTIFS('架電リスト'!$B$5:$B$1205,$A6,'架電リスト'!$J$5:$J$1205,"アポ獲得")</f>
        <v/>
      </c>
      <c r="I6" s="16">
        <f>COUNTIFS('架電リスト'!$B$5:$B$1205,$A6,'架電リスト'!$J$5:$J$1205,"検討中")</f>
        <v/>
      </c>
      <c r="J6" s="16">
        <f>COUNTIFS('架電リスト'!$B$5:$B$1205,$A6,'架電リスト'!$J$5:$J$1205,"NG")</f>
        <v/>
      </c>
      <c r="K6" s="16">
        <f>COUNTIFS('架電リスト'!$B$5:$B$1205,$A6,'架電リスト'!$J$5:$J$1205,"番号不明")</f>
        <v/>
      </c>
    </row>
    <row r="7">
      <c r="A7" s="16" t="inlineStr">
        <is>
          <t>宮城県</t>
        </is>
      </c>
      <c r="B7" s="16">
        <f>COUNTIF('架電リスト'!$B$5:$B$1205,A7)</f>
        <v/>
      </c>
      <c r="C7" s="16">
        <f>COUNTIFS('架電リスト'!$B$5:$B$1205,A7,'架電リスト'!$E$5:$E$1205,"&lt;&gt;")</f>
        <v/>
      </c>
      <c r="D7" s="16">
        <f>B7-COUNTIFS('架電リスト'!$B$5:$B$1205,A7,'架電リスト'!$J$5:$J$1205,"未架電")-COUNTIFS('架電リスト'!$B$5:$B$1205,A7,'架電リスト'!$J$5:$J$1205,"")</f>
        <v/>
      </c>
      <c r="E7" s="16">
        <f>COUNTIFS('架電リスト'!$B$5:$B$1205,$A7,'架電リスト'!$J$5:$J$1205,"不在・折返し待ち")</f>
        <v/>
      </c>
      <c r="F7" s="16">
        <f>COUNTIFS('架電リスト'!$B$5:$B$1205,$A7,'架電リスト'!$J$5:$J$1205,"担当者不在")</f>
        <v/>
      </c>
      <c r="G7" s="16">
        <f>COUNTIFS('架電リスト'!$B$5:$B$1205,$A7,'架電リスト'!$J$5:$J$1205,"資料送付")</f>
        <v/>
      </c>
      <c r="H7" s="16">
        <f>COUNTIFS('架電リスト'!$B$5:$B$1205,$A7,'架電リスト'!$J$5:$J$1205,"アポ獲得")</f>
        <v/>
      </c>
      <c r="I7" s="16">
        <f>COUNTIFS('架電リスト'!$B$5:$B$1205,$A7,'架電リスト'!$J$5:$J$1205,"検討中")</f>
        <v/>
      </c>
      <c r="J7" s="16">
        <f>COUNTIFS('架電リスト'!$B$5:$B$1205,$A7,'架電リスト'!$J$5:$J$1205,"NG")</f>
        <v/>
      </c>
      <c r="K7" s="16">
        <f>COUNTIFS('架電リスト'!$B$5:$B$1205,$A7,'架電リスト'!$J$5:$J$1205,"番号不明")</f>
        <v/>
      </c>
    </row>
    <row r="8">
      <c r="A8" s="16" t="inlineStr">
        <is>
          <t>秋田県</t>
        </is>
      </c>
      <c r="B8" s="16">
        <f>COUNTIF('架電リスト'!$B$5:$B$1205,A8)</f>
        <v/>
      </c>
      <c r="C8" s="16">
        <f>COUNTIFS('架電リスト'!$B$5:$B$1205,A8,'架電リスト'!$E$5:$E$1205,"&lt;&gt;")</f>
        <v/>
      </c>
      <c r="D8" s="16">
        <f>B8-COUNTIFS('架電リスト'!$B$5:$B$1205,A8,'架電リスト'!$J$5:$J$1205,"未架電")-COUNTIFS('架電リスト'!$B$5:$B$1205,A8,'架電リスト'!$J$5:$J$1205,"")</f>
        <v/>
      </c>
      <c r="E8" s="16">
        <f>COUNTIFS('架電リスト'!$B$5:$B$1205,$A8,'架電リスト'!$J$5:$J$1205,"不在・折返し待ち")</f>
        <v/>
      </c>
      <c r="F8" s="16">
        <f>COUNTIFS('架電リスト'!$B$5:$B$1205,$A8,'架電リスト'!$J$5:$J$1205,"担当者不在")</f>
        <v/>
      </c>
      <c r="G8" s="16">
        <f>COUNTIFS('架電リスト'!$B$5:$B$1205,$A8,'架電リスト'!$J$5:$J$1205,"資料送付")</f>
        <v/>
      </c>
      <c r="H8" s="16">
        <f>COUNTIFS('架電リスト'!$B$5:$B$1205,$A8,'架電リスト'!$J$5:$J$1205,"アポ獲得")</f>
        <v/>
      </c>
      <c r="I8" s="16">
        <f>COUNTIFS('架電リスト'!$B$5:$B$1205,$A8,'架電リスト'!$J$5:$J$1205,"検討中")</f>
        <v/>
      </c>
      <c r="J8" s="16">
        <f>COUNTIFS('架電リスト'!$B$5:$B$1205,$A8,'架電リスト'!$J$5:$J$1205,"NG")</f>
        <v/>
      </c>
      <c r="K8" s="16">
        <f>COUNTIFS('架電リスト'!$B$5:$B$1205,$A8,'架電リスト'!$J$5:$J$1205,"番号不明")</f>
        <v/>
      </c>
    </row>
    <row r="9">
      <c r="A9" s="16" t="inlineStr">
        <is>
          <t>山形県</t>
        </is>
      </c>
      <c r="B9" s="16">
        <f>COUNTIF('架電リスト'!$B$5:$B$1205,A9)</f>
        <v/>
      </c>
      <c r="C9" s="16">
        <f>COUNTIFS('架電リスト'!$B$5:$B$1205,A9,'架電リスト'!$E$5:$E$1205,"&lt;&gt;")</f>
        <v/>
      </c>
      <c r="D9" s="16">
        <f>B9-COUNTIFS('架電リスト'!$B$5:$B$1205,A9,'架電リスト'!$J$5:$J$1205,"未架電")-COUNTIFS('架電リスト'!$B$5:$B$1205,A9,'架電リスト'!$J$5:$J$1205,"")</f>
        <v/>
      </c>
      <c r="E9" s="16">
        <f>COUNTIFS('架電リスト'!$B$5:$B$1205,$A9,'架電リスト'!$J$5:$J$1205,"不在・折返し待ち")</f>
        <v/>
      </c>
      <c r="F9" s="16">
        <f>COUNTIFS('架電リスト'!$B$5:$B$1205,$A9,'架電リスト'!$J$5:$J$1205,"担当者不在")</f>
        <v/>
      </c>
      <c r="G9" s="16">
        <f>COUNTIFS('架電リスト'!$B$5:$B$1205,$A9,'架電リスト'!$J$5:$J$1205,"資料送付")</f>
        <v/>
      </c>
      <c r="H9" s="16">
        <f>COUNTIFS('架電リスト'!$B$5:$B$1205,$A9,'架電リスト'!$J$5:$J$1205,"アポ獲得")</f>
        <v/>
      </c>
      <c r="I9" s="16">
        <f>COUNTIFS('架電リスト'!$B$5:$B$1205,$A9,'架電リスト'!$J$5:$J$1205,"検討中")</f>
        <v/>
      </c>
      <c r="J9" s="16">
        <f>COUNTIFS('架電リスト'!$B$5:$B$1205,$A9,'架電リスト'!$J$5:$J$1205,"NG")</f>
        <v/>
      </c>
      <c r="K9" s="16">
        <f>COUNTIFS('架電リスト'!$B$5:$B$1205,$A9,'架電リスト'!$J$5:$J$1205,"番号不明")</f>
        <v/>
      </c>
    </row>
    <row r="10">
      <c r="A10" s="16" t="inlineStr">
        <is>
          <t>福島県</t>
        </is>
      </c>
      <c r="B10" s="16">
        <f>COUNTIF('架電リスト'!$B$5:$B$1205,A10)</f>
        <v/>
      </c>
      <c r="C10" s="16">
        <f>COUNTIFS('架電リスト'!$B$5:$B$1205,A10,'架電リスト'!$E$5:$E$1205,"&lt;&gt;")</f>
        <v/>
      </c>
      <c r="D10" s="16">
        <f>B10-COUNTIFS('架電リスト'!$B$5:$B$1205,A10,'架電リスト'!$J$5:$J$1205,"未架電")-COUNTIFS('架電リスト'!$B$5:$B$1205,A10,'架電リスト'!$J$5:$J$1205,"")</f>
        <v/>
      </c>
      <c r="E10" s="16">
        <f>COUNTIFS('架電リスト'!$B$5:$B$1205,$A10,'架電リスト'!$J$5:$J$1205,"不在・折返し待ち")</f>
        <v/>
      </c>
      <c r="F10" s="16">
        <f>COUNTIFS('架電リスト'!$B$5:$B$1205,$A10,'架電リスト'!$J$5:$J$1205,"担当者不在")</f>
        <v/>
      </c>
      <c r="G10" s="16">
        <f>COUNTIFS('架電リスト'!$B$5:$B$1205,$A10,'架電リスト'!$J$5:$J$1205,"資料送付")</f>
        <v/>
      </c>
      <c r="H10" s="16">
        <f>COUNTIFS('架電リスト'!$B$5:$B$1205,$A10,'架電リスト'!$J$5:$J$1205,"アポ獲得")</f>
        <v/>
      </c>
      <c r="I10" s="16">
        <f>COUNTIFS('架電リスト'!$B$5:$B$1205,$A10,'架電リスト'!$J$5:$J$1205,"検討中")</f>
        <v/>
      </c>
      <c r="J10" s="16">
        <f>COUNTIFS('架電リスト'!$B$5:$B$1205,$A10,'架電リスト'!$J$5:$J$1205,"NG")</f>
        <v/>
      </c>
      <c r="K10" s="16">
        <f>COUNTIFS('架電リスト'!$B$5:$B$1205,$A10,'架電リスト'!$J$5:$J$1205,"番号不明")</f>
        <v/>
      </c>
    </row>
    <row r="11">
      <c r="A11" s="16" t="inlineStr">
        <is>
          <t>茨城県</t>
        </is>
      </c>
      <c r="B11" s="16">
        <f>COUNTIF('架電リスト'!$B$5:$B$1205,A11)</f>
        <v/>
      </c>
      <c r="C11" s="16">
        <f>COUNTIFS('架電リスト'!$B$5:$B$1205,A11,'架電リスト'!$E$5:$E$1205,"&lt;&gt;")</f>
        <v/>
      </c>
      <c r="D11" s="16">
        <f>B11-COUNTIFS('架電リスト'!$B$5:$B$1205,A11,'架電リスト'!$J$5:$J$1205,"未架電")-COUNTIFS('架電リスト'!$B$5:$B$1205,A11,'架電リスト'!$J$5:$J$1205,"")</f>
        <v/>
      </c>
      <c r="E11" s="16">
        <f>COUNTIFS('架電リスト'!$B$5:$B$1205,$A11,'架電リスト'!$J$5:$J$1205,"不在・折返し待ち")</f>
        <v/>
      </c>
      <c r="F11" s="16">
        <f>COUNTIFS('架電リスト'!$B$5:$B$1205,$A11,'架電リスト'!$J$5:$J$1205,"担当者不在")</f>
        <v/>
      </c>
      <c r="G11" s="16">
        <f>COUNTIFS('架電リスト'!$B$5:$B$1205,$A11,'架電リスト'!$J$5:$J$1205,"資料送付")</f>
        <v/>
      </c>
      <c r="H11" s="16">
        <f>COUNTIFS('架電リスト'!$B$5:$B$1205,$A11,'架電リスト'!$J$5:$J$1205,"アポ獲得")</f>
        <v/>
      </c>
      <c r="I11" s="16">
        <f>COUNTIFS('架電リスト'!$B$5:$B$1205,$A11,'架電リスト'!$J$5:$J$1205,"検討中")</f>
        <v/>
      </c>
      <c r="J11" s="16">
        <f>COUNTIFS('架電リスト'!$B$5:$B$1205,$A11,'架電リスト'!$J$5:$J$1205,"NG")</f>
        <v/>
      </c>
      <c r="K11" s="16">
        <f>COUNTIFS('架電リスト'!$B$5:$B$1205,$A11,'架電リスト'!$J$5:$J$1205,"番号不明")</f>
        <v/>
      </c>
    </row>
    <row r="12">
      <c r="A12" s="16" t="inlineStr">
        <is>
          <t>栃木県</t>
        </is>
      </c>
      <c r="B12" s="16">
        <f>COUNTIF('架電リスト'!$B$5:$B$1205,A12)</f>
        <v/>
      </c>
      <c r="C12" s="16">
        <f>COUNTIFS('架電リスト'!$B$5:$B$1205,A12,'架電リスト'!$E$5:$E$1205,"&lt;&gt;")</f>
        <v/>
      </c>
      <c r="D12" s="16">
        <f>B12-COUNTIFS('架電リスト'!$B$5:$B$1205,A12,'架電リスト'!$J$5:$J$1205,"未架電")-COUNTIFS('架電リスト'!$B$5:$B$1205,A12,'架電リスト'!$J$5:$J$1205,"")</f>
        <v/>
      </c>
      <c r="E12" s="16">
        <f>COUNTIFS('架電リスト'!$B$5:$B$1205,$A12,'架電リスト'!$J$5:$J$1205,"不在・折返し待ち")</f>
        <v/>
      </c>
      <c r="F12" s="16">
        <f>COUNTIFS('架電リスト'!$B$5:$B$1205,$A12,'架電リスト'!$J$5:$J$1205,"担当者不在")</f>
        <v/>
      </c>
      <c r="G12" s="16">
        <f>COUNTIFS('架電リスト'!$B$5:$B$1205,$A12,'架電リスト'!$J$5:$J$1205,"資料送付")</f>
        <v/>
      </c>
      <c r="H12" s="16">
        <f>COUNTIFS('架電リスト'!$B$5:$B$1205,$A12,'架電リスト'!$J$5:$J$1205,"アポ獲得")</f>
        <v/>
      </c>
      <c r="I12" s="16">
        <f>COUNTIFS('架電リスト'!$B$5:$B$1205,$A12,'架電リスト'!$J$5:$J$1205,"検討中")</f>
        <v/>
      </c>
      <c r="J12" s="16">
        <f>COUNTIFS('架電リスト'!$B$5:$B$1205,$A12,'架電リスト'!$J$5:$J$1205,"NG")</f>
        <v/>
      </c>
      <c r="K12" s="16">
        <f>COUNTIFS('架電リスト'!$B$5:$B$1205,$A12,'架電リスト'!$J$5:$J$1205,"番号不明")</f>
        <v/>
      </c>
    </row>
    <row r="13">
      <c r="A13" s="16" t="inlineStr">
        <is>
          <t>群馬県</t>
        </is>
      </c>
      <c r="B13" s="16">
        <f>COUNTIF('架電リスト'!$B$5:$B$1205,A13)</f>
        <v/>
      </c>
      <c r="C13" s="16">
        <f>COUNTIFS('架電リスト'!$B$5:$B$1205,A13,'架電リスト'!$E$5:$E$1205,"&lt;&gt;")</f>
        <v/>
      </c>
      <c r="D13" s="16">
        <f>B13-COUNTIFS('架電リスト'!$B$5:$B$1205,A13,'架電リスト'!$J$5:$J$1205,"未架電")-COUNTIFS('架電リスト'!$B$5:$B$1205,A13,'架電リスト'!$J$5:$J$1205,"")</f>
        <v/>
      </c>
      <c r="E13" s="16">
        <f>COUNTIFS('架電リスト'!$B$5:$B$1205,$A13,'架電リスト'!$J$5:$J$1205,"不在・折返し待ち")</f>
        <v/>
      </c>
      <c r="F13" s="16">
        <f>COUNTIFS('架電リスト'!$B$5:$B$1205,$A13,'架電リスト'!$J$5:$J$1205,"担当者不在")</f>
        <v/>
      </c>
      <c r="G13" s="16">
        <f>COUNTIFS('架電リスト'!$B$5:$B$1205,$A13,'架電リスト'!$J$5:$J$1205,"資料送付")</f>
        <v/>
      </c>
      <c r="H13" s="16">
        <f>COUNTIFS('架電リスト'!$B$5:$B$1205,$A13,'架電リスト'!$J$5:$J$1205,"アポ獲得")</f>
        <v/>
      </c>
      <c r="I13" s="16">
        <f>COUNTIFS('架電リスト'!$B$5:$B$1205,$A13,'架電リスト'!$J$5:$J$1205,"検討中")</f>
        <v/>
      </c>
      <c r="J13" s="16">
        <f>COUNTIFS('架電リスト'!$B$5:$B$1205,$A13,'架電リスト'!$J$5:$J$1205,"NG")</f>
        <v/>
      </c>
      <c r="K13" s="16">
        <f>COUNTIFS('架電リスト'!$B$5:$B$1205,$A13,'架電リスト'!$J$5:$J$1205,"番号不明")</f>
        <v/>
      </c>
    </row>
    <row r="14">
      <c r="A14" s="16" t="inlineStr">
        <is>
          <t>埼玉県</t>
        </is>
      </c>
      <c r="B14" s="16">
        <f>COUNTIF('架電リスト'!$B$5:$B$1205,A14)</f>
        <v/>
      </c>
      <c r="C14" s="16">
        <f>COUNTIFS('架電リスト'!$B$5:$B$1205,A14,'架電リスト'!$E$5:$E$1205,"&lt;&gt;")</f>
        <v/>
      </c>
      <c r="D14" s="16">
        <f>B14-COUNTIFS('架電リスト'!$B$5:$B$1205,A14,'架電リスト'!$J$5:$J$1205,"未架電")-COUNTIFS('架電リスト'!$B$5:$B$1205,A14,'架電リスト'!$J$5:$J$1205,"")</f>
        <v/>
      </c>
      <c r="E14" s="16">
        <f>COUNTIFS('架電リスト'!$B$5:$B$1205,$A14,'架電リスト'!$J$5:$J$1205,"不在・折返し待ち")</f>
        <v/>
      </c>
      <c r="F14" s="16">
        <f>COUNTIFS('架電リスト'!$B$5:$B$1205,$A14,'架電リスト'!$J$5:$J$1205,"担当者不在")</f>
        <v/>
      </c>
      <c r="G14" s="16">
        <f>COUNTIFS('架電リスト'!$B$5:$B$1205,$A14,'架電リスト'!$J$5:$J$1205,"資料送付")</f>
        <v/>
      </c>
      <c r="H14" s="16">
        <f>COUNTIFS('架電リスト'!$B$5:$B$1205,$A14,'架電リスト'!$J$5:$J$1205,"アポ獲得")</f>
        <v/>
      </c>
      <c r="I14" s="16">
        <f>COUNTIFS('架電リスト'!$B$5:$B$1205,$A14,'架電リスト'!$J$5:$J$1205,"検討中")</f>
        <v/>
      </c>
      <c r="J14" s="16">
        <f>COUNTIFS('架電リスト'!$B$5:$B$1205,$A14,'架電リスト'!$J$5:$J$1205,"NG")</f>
        <v/>
      </c>
      <c r="K14" s="16">
        <f>COUNTIFS('架電リスト'!$B$5:$B$1205,$A14,'架電リスト'!$J$5:$J$1205,"番号不明")</f>
        <v/>
      </c>
    </row>
    <row r="15">
      <c r="A15" s="16" t="inlineStr">
        <is>
          <t>千葉県</t>
        </is>
      </c>
      <c r="B15" s="16">
        <f>COUNTIF('架電リスト'!$B$5:$B$1205,A15)</f>
        <v/>
      </c>
      <c r="C15" s="16">
        <f>COUNTIFS('架電リスト'!$B$5:$B$1205,A15,'架電リスト'!$E$5:$E$1205,"&lt;&gt;")</f>
        <v/>
      </c>
      <c r="D15" s="16">
        <f>B15-COUNTIFS('架電リスト'!$B$5:$B$1205,A15,'架電リスト'!$J$5:$J$1205,"未架電")-COUNTIFS('架電リスト'!$B$5:$B$1205,A15,'架電リスト'!$J$5:$J$1205,"")</f>
        <v/>
      </c>
      <c r="E15" s="16">
        <f>COUNTIFS('架電リスト'!$B$5:$B$1205,$A15,'架電リスト'!$J$5:$J$1205,"不在・折返し待ち")</f>
        <v/>
      </c>
      <c r="F15" s="16">
        <f>COUNTIFS('架電リスト'!$B$5:$B$1205,$A15,'架電リスト'!$J$5:$J$1205,"担当者不在")</f>
        <v/>
      </c>
      <c r="G15" s="16">
        <f>COUNTIFS('架電リスト'!$B$5:$B$1205,$A15,'架電リスト'!$J$5:$J$1205,"資料送付")</f>
        <v/>
      </c>
      <c r="H15" s="16">
        <f>COUNTIFS('架電リスト'!$B$5:$B$1205,$A15,'架電リスト'!$J$5:$J$1205,"アポ獲得")</f>
        <v/>
      </c>
      <c r="I15" s="16">
        <f>COUNTIFS('架電リスト'!$B$5:$B$1205,$A15,'架電リスト'!$J$5:$J$1205,"検討中")</f>
        <v/>
      </c>
      <c r="J15" s="16">
        <f>COUNTIFS('架電リスト'!$B$5:$B$1205,$A15,'架電リスト'!$J$5:$J$1205,"NG")</f>
        <v/>
      </c>
      <c r="K15" s="16">
        <f>COUNTIFS('架電リスト'!$B$5:$B$1205,$A15,'架電リスト'!$J$5:$J$1205,"番号不明")</f>
        <v/>
      </c>
    </row>
    <row r="16">
      <c r="A16" s="16" t="inlineStr">
        <is>
          <t>東京都</t>
        </is>
      </c>
      <c r="B16" s="16">
        <f>COUNTIF('架電リスト'!$B$5:$B$1205,A16)</f>
        <v/>
      </c>
      <c r="C16" s="16">
        <f>COUNTIFS('架電リスト'!$B$5:$B$1205,A16,'架電リスト'!$E$5:$E$1205,"&lt;&gt;")</f>
        <v/>
      </c>
      <c r="D16" s="16">
        <f>B16-COUNTIFS('架電リスト'!$B$5:$B$1205,A16,'架電リスト'!$J$5:$J$1205,"未架電")-COUNTIFS('架電リスト'!$B$5:$B$1205,A16,'架電リスト'!$J$5:$J$1205,"")</f>
        <v/>
      </c>
      <c r="E16" s="16">
        <f>COUNTIFS('架電リスト'!$B$5:$B$1205,$A16,'架電リスト'!$J$5:$J$1205,"不在・折返し待ち")</f>
        <v/>
      </c>
      <c r="F16" s="16">
        <f>COUNTIFS('架電リスト'!$B$5:$B$1205,$A16,'架電リスト'!$J$5:$J$1205,"担当者不在")</f>
        <v/>
      </c>
      <c r="G16" s="16">
        <f>COUNTIFS('架電リスト'!$B$5:$B$1205,$A16,'架電リスト'!$J$5:$J$1205,"資料送付")</f>
        <v/>
      </c>
      <c r="H16" s="16">
        <f>COUNTIFS('架電リスト'!$B$5:$B$1205,$A16,'架電リスト'!$J$5:$J$1205,"アポ獲得")</f>
        <v/>
      </c>
      <c r="I16" s="16">
        <f>COUNTIFS('架電リスト'!$B$5:$B$1205,$A16,'架電リスト'!$J$5:$J$1205,"検討中")</f>
        <v/>
      </c>
      <c r="J16" s="16">
        <f>COUNTIFS('架電リスト'!$B$5:$B$1205,$A16,'架電リスト'!$J$5:$J$1205,"NG")</f>
        <v/>
      </c>
      <c r="K16" s="16">
        <f>COUNTIFS('架電リスト'!$B$5:$B$1205,$A16,'架電リスト'!$J$5:$J$1205,"番号不明")</f>
        <v/>
      </c>
    </row>
    <row r="17">
      <c r="A17" s="16" t="inlineStr">
        <is>
          <t>神奈川県</t>
        </is>
      </c>
      <c r="B17" s="16">
        <f>COUNTIF('架電リスト'!$B$5:$B$1205,A17)</f>
        <v/>
      </c>
      <c r="C17" s="16">
        <f>COUNTIFS('架電リスト'!$B$5:$B$1205,A17,'架電リスト'!$E$5:$E$1205,"&lt;&gt;")</f>
        <v/>
      </c>
      <c r="D17" s="16">
        <f>B17-COUNTIFS('架電リスト'!$B$5:$B$1205,A17,'架電リスト'!$J$5:$J$1205,"未架電")-COUNTIFS('架電リスト'!$B$5:$B$1205,A17,'架電リスト'!$J$5:$J$1205,"")</f>
        <v/>
      </c>
      <c r="E17" s="16">
        <f>COUNTIFS('架電リスト'!$B$5:$B$1205,$A17,'架電リスト'!$J$5:$J$1205,"不在・折返し待ち")</f>
        <v/>
      </c>
      <c r="F17" s="16">
        <f>COUNTIFS('架電リスト'!$B$5:$B$1205,$A17,'架電リスト'!$J$5:$J$1205,"担当者不在")</f>
        <v/>
      </c>
      <c r="G17" s="16">
        <f>COUNTIFS('架電リスト'!$B$5:$B$1205,$A17,'架電リスト'!$J$5:$J$1205,"資料送付")</f>
        <v/>
      </c>
      <c r="H17" s="16">
        <f>COUNTIFS('架電リスト'!$B$5:$B$1205,$A17,'架電リスト'!$J$5:$J$1205,"アポ獲得")</f>
        <v/>
      </c>
      <c r="I17" s="16">
        <f>COUNTIFS('架電リスト'!$B$5:$B$1205,$A17,'架電リスト'!$J$5:$J$1205,"検討中")</f>
        <v/>
      </c>
      <c r="J17" s="16">
        <f>COUNTIFS('架電リスト'!$B$5:$B$1205,$A17,'架電リスト'!$J$5:$J$1205,"NG")</f>
        <v/>
      </c>
      <c r="K17" s="16">
        <f>COUNTIFS('架電リスト'!$B$5:$B$1205,$A17,'架電リスト'!$J$5:$J$1205,"番号不明")</f>
        <v/>
      </c>
    </row>
    <row r="18">
      <c r="A18" s="16" t="inlineStr">
        <is>
          <t>新潟県</t>
        </is>
      </c>
      <c r="B18" s="16">
        <f>COUNTIF('架電リスト'!$B$5:$B$1205,A18)</f>
        <v/>
      </c>
      <c r="C18" s="16">
        <f>COUNTIFS('架電リスト'!$B$5:$B$1205,A18,'架電リスト'!$E$5:$E$1205,"&lt;&gt;")</f>
        <v/>
      </c>
      <c r="D18" s="16">
        <f>B18-COUNTIFS('架電リスト'!$B$5:$B$1205,A18,'架電リスト'!$J$5:$J$1205,"未架電")-COUNTIFS('架電リスト'!$B$5:$B$1205,A18,'架電リスト'!$J$5:$J$1205,"")</f>
        <v/>
      </c>
      <c r="E18" s="16">
        <f>COUNTIFS('架電リスト'!$B$5:$B$1205,$A18,'架電リスト'!$J$5:$J$1205,"不在・折返し待ち")</f>
        <v/>
      </c>
      <c r="F18" s="16">
        <f>COUNTIFS('架電リスト'!$B$5:$B$1205,$A18,'架電リスト'!$J$5:$J$1205,"担当者不在")</f>
        <v/>
      </c>
      <c r="G18" s="16">
        <f>COUNTIFS('架電リスト'!$B$5:$B$1205,$A18,'架電リスト'!$J$5:$J$1205,"資料送付")</f>
        <v/>
      </c>
      <c r="H18" s="16">
        <f>COUNTIFS('架電リスト'!$B$5:$B$1205,$A18,'架電リスト'!$J$5:$J$1205,"アポ獲得")</f>
        <v/>
      </c>
      <c r="I18" s="16">
        <f>COUNTIFS('架電リスト'!$B$5:$B$1205,$A18,'架電リスト'!$J$5:$J$1205,"検討中")</f>
        <v/>
      </c>
      <c r="J18" s="16">
        <f>COUNTIFS('架電リスト'!$B$5:$B$1205,$A18,'架電リスト'!$J$5:$J$1205,"NG")</f>
        <v/>
      </c>
      <c r="K18" s="16">
        <f>COUNTIFS('架電リスト'!$B$5:$B$1205,$A18,'架電リスト'!$J$5:$J$1205,"番号不明")</f>
        <v/>
      </c>
    </row>
    <row r="19">
      <c r="A19" s="16" t="inlineStr">
        <is>
          <t>富山県</t>
        </is>
      </c>
      <c r="B19" s="16">
        <f>COUNTIF('架電リスト'!$B$5:$B$1205,A19)</f>
        <v/>
      </c>
      <c r="C19" s="16">
        <f>COUNTIFS('架電リスト'!$B$5:$B$1205,A19,'架電リスト'!$E$5:$E$1205,"&lt;&gt;")</f>
        <v/>
      </c>
      <c r="D19" s="16">
        <f>B19-COUNTIFS('架電リスト'!$B$5:$B$1205,A19,'架電リスト'!$J$5:$J$1205,"未架電")-COUNTIFS('架電リスト'!$B$5:$B$1205,A19,'架電リスト'!$J$5:$J$1205,"")</f>
        <v/>
      </c>
      <c r="E19" s="16">
        <f>COUNTIFS('架電リスト'!$B$5:$B$1205,$A19,'架電リスト'!$J$5:$J$1205,"不在・折返し待ち")</f>
        <v/>
      </c>
      <c r="F19" s="16">
        <f>COUNTIFS('架電リスト'!$B$5:$B$1205,$A19,'架電リスト'!$J$5:$J$1205,"担当者不在")</f>
        <v/>
      </c>
      <c r="G19" s="16">
        <f>COUNTIFS('架電リスト'!$B$5:$B$1205,$A19,'架電リスト'!$J$5:$J$1205,"資料送付")</f>
        <v/>
      </c>
      <c r="H19" s="16">
        <f>COUNTIFS('架電リスト'!$B$5:$B$1205,$A19,'架電リスト'!$J$5:$J$1205,"アポ獲得")</f>
        <v/>
      </c>
      <c r="I19" s="16">
        <f>COUNTIFS('架電リスト'!$B$5:$B$1205,$A19,'架電リスト'!$J$5:$J$1205,"検討中")</f>
        <v/>
      </c>
      <c r="J19" s="16">
        <f>COUNTIFS('架電リスト'!$B$5:$B$1205,$A19,'架電リスト'!$J$5:$J$1205,"NG")</f>
        <v/>
      </c>
      <c r="K19" s="16">
        <f>COUNTIFS('架電リスト'!$B$5:$B$1205,$A19,'架電リスト'!$J$5:$J$1205,"番号不明")</f>
        <v/>
      </c>
    </row>
    <row r="20">
      <c r="A20" s="16" t="inlineStr">
        <is>
          <t>石川県</t>
        </is>
      </c>
      <c r="B20" s="16">
        <f>COUNTIF('架電リスト'!$B$5:$B$1205,A20)</f>
        <v/>
      </c>
      <c r="C20" s="16">
        <f>COUNTIFS('架電リスト'!$B$5:$B$1205,A20,'架電リスト'!$E$5:$E$1205,"&lt;&gt;")</f>
        <v/>
      </c>
      <c r="D20" s="16">
        <f>B20-COUNTIFS('架電リスト'!$B$5:$B$1205,A20,'架電リスト'!$J$5:$J$1205,"未架電")-COUNTIFS('架電リスト'!$B$5:$B$1205,A20,'架電リスト'!$J$5:$J$1205,"")</f>
        <v/>
      </c>
      <c r="E20" s="16">
        <f>COUNTIFS('架電リスト'!$B$5:$B$1205,$A20,'架電リスト'!$J$5:$J$1205,"不在・折返し待ち")</f>
        <v/>
      </c>
      <c r="F20" s="16">
        <f>COUNTIFS('架電リスト'!$B$5:$B$1205,$A20,'架電リスト'!$J$5:$J$1205,"担当者不在")</f>
        <v/>
      </c>
      <c r="G20" s="16">
        <f>COUNTIFS('架電リスト'!$B$5:$B$1205,$A20,'架電リスト'!$J$5:$J$1205,"資料送付")</f>
        <v/>
      </c>
      <c r="H20" s="16">
        <f>COUNTIFS('架電リスト'!$B$5:$B$1205,$A20,'架電リスト'!$J$5:$J$1205,"アポ獲得")</f>
        <v/>
      </c>
      <c r="I20" s="16">
        <f>COUNTIFS('架電リスト'!$B$5:$B$1205,$A20,'架電リスト'!$J$5:$J$1205,"検討中")</f>
        <v/>
      </c>
      <c r="J20" s="16">
        <f>COUNTIFS('架電リスト'!$B$5:$B$1205,$A20,'架電リスト'!$J$5:$J$1205,"NG")</f>
        <v/>
      </c>
      <c r="K20" s="16">
        <f>COUNTIFS('架電リスト'!$B$5:$B$1205,$A20,'架電リスト'!$J$5:$J$1205,"番号不明")</f>
        <v/>
      </c>
    </row>
    <row r="21">
      <c r="A21" s="16" t="inlineStr">
        <is>
          <t>福井県</t>
        </is>
      </c>
      <c r="B21" s="16">
        <f>COUNTIF('架電リスト'!$B$5:$B$1205,A21)</f>
        <v/>
      </c>
      <c r="C21" s="16">
        <f>COUNTIFS('架電リスト'!$B$5:$B$1205,A21,'架電リスト'!$E$5:$E$1205,"&lt;&gt;")</f>
        <v/>
      </c>
      <c r="D21" s="16">
        <f>B21-COUNTIFS('架電リスト'!$B$5:$B$1205,A21,'架電リスト'!$J$5:$J$1205,"未架電")-COUNTIFS('架電リスト'!$B$5:$B$1205,A21,'架電リスト'!$J$5:$J$1205,"")</f>
        <v/>
      </c>
      <c r="E21" s="16">
        <f>COUNTIFS('架電リスト'!$B$5:$B$1205,$A21,'架電リスト'!$J$5:$J$1205,"不在・折返し待ち")</f>
        <v/>
      </c>
      <c r="F21" s="16">
        <f>COUNTIFS('架電リスト'!$B$5:$B$1205,$A21,'架電リスト'!$J$5:$J$1205,"担当者不在")</f>
        <v/>
      </c>
      <c r="G21" s="16">
        <f>COUNTIFS('架電リスト'!$B$5:$B$1205,$A21,'架電リスト'!$J$5:$J$1205,"資料送付")</f>
        <v/>
      </c>
      <c r="H21" s="16">
        <f>COUNTIFS('架電リスト'!$B$5:$B$1205,$A21,'架電リスト'!$J$5:$J$1205,"アポ獲得")</f>
        <v/>
      </c>
      <c r="I21" s="16">
        <f>COUNTIFS('架電リスト'!$B$5:$B$1205,$A21,'架電リスト'!$J$5:$J$1205,"検討中")</f>
        <v/>
      </c>
      <c r="J21" s="16">
        <f>COUNTIFS('架電リスト'!$B$5:$B$1205,$A21,'架電リスト'!$J$5:$J$1205,"NG")</f>
        <v/>
      </c>
      <c r="K21" s="16">
        <f>COUNTIFS('架電リスト'!$B$5:$B$1205,$A21,'架電リスト'!$J$5:$J$1205,"番号不明")</f>
        <v/>
      </c>
    </row>
    <row r="22">
      <c r="A22" s="16" t="inlineStr">
        <is>
          <t>山梨県</t>
        </is>
      </c>
      <c r="B22" s="16">
        <f>COUNTIF('架電リスト'!$B$5:$B$1205,A22)</f>
        <v/>
      </c>
      <c r="C22" s="16">
        <f>COUNTIFS('架電リスト'!$B$5:$B$1205,A22,'架電リスト'!$E$5:$E$1205,"&lt;&gt;")</f>
        <v/>
      </c>
      <c r="D22" s="16">
        <f>B22-COUNTIFS('架電リスト'!$B$5:$B$1205,A22,'架電リスト'!$J$5:$J$1205,"未架電")-COUNTIFS('架電リスト'!$B$5:$B$1205,A22,'架電リスト'!$J$5:$J$1205,"")</f>
        <v/>
      </c>
      <c r="E22" s="16">
        <f>COUNTIFS('架電リスト'!$B$5:$B$1205,$A22,'架電リスト'!$J$5:$J$1205,"不在・折返し待ち")</f>
        <v/>
      </c>
      <c r="F22" s="16">
        <f>COUNTIFS('架電リスト'!$B$5:$B$1205,$A22,'架電リスト'!$J$5:$J$1205,"担当者不在")</f>
        <v/>
      </c>
      <c r="G22" s="16">
        <f>COUNTIFS('架電リスト'!$B$5:$B$1205,$A22,'架電リスト'!$J$5:$J$1205,"資料送付")</f>
        <v/>
      </c>
      <c r="H22" s="16">
        <f>COUNTIFS('架電リスト'!$B$5:$B$1205,$A22,'架電リスト'!$J$5:$J$1205,"アポ獲得")</f>
        <v/>
      </c>
      <c r="I22" s="16">
        <f>COUNTIFS('架電リスト'!$B$5:$B$1205,$A22,'架電リスト'!$J$5:$J$1205,"検討中")</f>
        <v/>
      </c>
      <c r="J22" s="16">
        <f>COUNTIFS('架電リスト'!$B$5:$B$1205,$A22,'架電リスト'!$J$5:$J$1205,"NG")</f>
        <v/>
      </c>
      <c r="K22" s="16">
        <f>COUNTIFS('架電リスト'!$B$5:$B$1205,$A22,'架電リスト'!$J$5:$J$1205,"番号不明")</f>
        <v/>
      </c>
    </row>
    <row r="23">
      <c r="A23" s="16" t="inlineStr">
        <is>
          <t>長野県</t>
        </is>
      </c>
      <c r="B23" s="16">
        <f>COUNTIF('架電リスト'!$B$5:$B$1205,A23)</f>
        <v/>
      </c>
      <c r="C23" s="16">
        <f>COUNTIFS('架電リスト'!$B$5:$B$1205,A23,'架電リスト'!$E$5:$E$1205,"&lt;&gt;")</f>
        <v/>
      </c>
      <c r="D23" s="16">
        <f>B23-COUNTIFS('架電リスト'!$B$5:$B$1205,A23,'架電リスト'!$J$5:$J$1205,"未架電")-COUNTIFS('架電リスト'!$B$5:$B$1205,A23,'架電リスト'!$J$5:$J$1205,"")</f>
        <v/>
      </c>
      <c r="E23" s="16">
        <f>COUNTIFS('架電リスト'!$B$5:$B$1205,$A23,'架電リスト'!$J$5:$J$1205,"不在・折返し待ち")</f>
        <v/>
      </c>
      <c r="F23" s="16">
        <f>COUNTIFS('架電リスト'!$B$5:$B$1205,$A23,'架電リスト'!$J$5:$J$1205,"担当者不在")</f>
        <v/>
      </c>
      <c r="G23" s="16">
        <f>COUNTIFS('架電リスト'!$B$5:$B$1205,$A23,'架電リスト'!$J$5:$J$1205,"資料送付")</f>
        <v/>
      </c>
      <c r="H23" s="16">
        <f>COUNTIFS('架電リスト'!$B$5:$B$1205,$A23,'架電リスト'!$J$5:$J$1205,"アポ獲得")</f>
        <v/>
      </c>
      <c r="I23" s="16">
        <f>COUNTIFS('架電リスト'!$B$5:$B$1205,$A23,'架電リスト'!$J$5:$J$1205,"検討中")</f>
        <v/>
      </c>
      <c r="J23" s="16">
        <f>COUNTIFS('架電リスト'!$B$5:$B$1205,$A23,'架電リスト'!$J$5:$J$1205,"NG")</f>
        <v/>
      </c>
      <c r="K23" s="16">
        <f>COUNTIFS('架電リスト'!$B$5:$B$1205,$A23,'架電リスト'!$J$5:$J$1205,"番号不明")</f>
        <v/>
      </c>
    </row>
    <row r="24">
      <c r="A24" s="16" t="inlineStr">
        <is>
          <t>岐阜県</t>
        </is>
      </c>
      <c r="B24" s="16">
        <f>COUNTIF('架電リスト'!$B$5:$B$1205,A24)</f>
        <v/>
      </c>
      <c r="C24" s="16">
        <f>COUNTIFS('架電リスト'!$B$5:$B$1205,A24,'架電リスト'!$E$5:$E$1205,"&lt;&gt;")</f>
        <v/>
      </c>
      <c r="D24" s="16">
        <f>B24-COUNTIFS('架電リスト'!$B$5:$B$1205,A24,'架電リスト'!$J$5:$J$1205,"未架電")-COUNTIFS('架電リスト'!$B$5:$B$1205,A24,'架電リスト'!$J$5:$J$1205,"")</f>
        <v/>
      </c>
      <c r="E24" s="16">
        <f>COUNTIFS('架電リスト'!$B$5:$B$1205,$A24,'架電リスト'!$J$5:$J$1205,"不在・折返し待ち")</f>
        <v/>
      </c>
      <c r="F24" s="16">
        <f>COUNTIFS('架電リスト'!$B$5:$B$1205,$A24,'架電リスト'!$J$5:$J$1205,"担当者不在")</f>
        <v/>
      </c>
      <c r="G24" s="16">
        <f>COUNTIFS('架電リスト'!$B$5:$B$1205,$A24,'架電リスト'!$J$5:$J$1205,"資料送付")</f>
        <v/>
      </c>
      <c r="H24" s="16">
        <f>COUNTIFS('架電リスト'!$B$5:$B$1205,$A24,'架電リスト'!$J$5:$J$1205,"アポ獲得")</f>
        <v/>
      </c>
      <c r="I24" s="16">
        <f>COUNTIFS('架電リスト'!$B$5:$B$1205,$A24,'架電リスト'!$J$5:$J$1205,"検討中")</f>
        <v/>
      </c>
      <c r="J24" s="16">
        <f>COUNTIFS('架電リスト'!$B$5:$B$1205,$A24,'架電リスト'!$J$5:$J$1205,"NG")</f>
        <v/>
      </c>
      <c r="K24" s="16">
        <f>COUNTIFS('架電リスト'!$B$5:$B$1205,$A24,'架電リスト'!$J$5:$J$1205,"番号不明")</f>
        <v/>
      </c>
    </row>
    <row r="25">
      <c r="A25" s="16" t="inlineStr">
        <is>
          <t>静岡県</t>
        </is>
      </c>
      <c r="B25" s="16">
        <f>COUNTIF('架電リスト'!$B$5:$B$1205,A25)</f>
        <v/>
      </c>
      <c r="C25" s="16">
        <f>COUNTIFS('架電リスト'!$B$5:$B$1205,A25,'架電リスト'!$E$5:$E$1205,"&lt;&gt;")</f>
        <v/>
      </c>
      <c r="D25" s="16">
        <f>B25-COUNTIFS('架電リスト'!$B$5:$B$1205,A25,'架電リスト'!$J$5:$J$1205,"未架電")-COUNTIFS('架電リスト'!$B$5:$B$1205,A25,'架電リスト'!$J$5:$J$1205,"")</f>
        <v/>
      </c>
      <c r="E25" s="16">
        <f>COUNTIFS('架電リスト'!$B$5:$B$1205,$A25,'架電リスト'!$J$5:$J$1205,"不在・折返し待ち")</f>
        <v/>
      </c>
      <c r="F25" s="16">
        <f>COUNTIFS('架電リスト'!$B$5:$B$1205,$A25,'架電リスト'!$J$5:$J$1205,"担当者不在")</f>
        <v/>
      </c>
      <c r="G25" s="16">
        <f>COUNTIFS('架電リスト'!$B$5:$B$1205,$A25,'架電リスト'!$J$5:$J$1205,"資料送付")</f>
        <v/>
      </c>
      <c r="H25" s="16">
        <f>COUNTIFS('架電リスト'!$B$5:$B$1205,$A25,'架電リスト'!$J$5:$J$1205,"アポ獲得")</f>
        <v/>
      </c>
      <c r="I25" s="16">
        <f>COUNTIFS('架電リスト'!$B$5:$B$1205,$A25,'架電リスト'!$J$5:$J$1205,"検討中")</f>
        <v/>
      </c>
      <c r="J25" s="16">
        <f>COUNTIFS('架電リスト'!$B$5:$B$1205,$A25,'架電リスト'!$J$5:$J$1205,"NG")</f>
        <v/>
      </c>
      <c r="K25" s="16">
        <f>COUNTIFS('架電リスト'!$B$5:$B$1205,$A25,'架電リスト'!$J$5:$J$1205,"番号不明")</f>
        <v/>
      </c>
    </row>
    <row r="26">
      <c r="A26" s="16" t="inlineStr">
        <is>
          <t>愛知県</t>
        </is>
      </c>
      <c r="B26" s="16">
        <f>COUNTIF('架電リスト'!$B$5:$B$1205,A26)</f>
        <v/>
      </c>
      <c r="C26" s="16">
        <f>COUNTIFS('架電リスト'!$B$5:$B$1205,A26,'架電リスト'!$E$5:$E$1205,"&lt;&gt;")</f>
        <v/>
      </c>
      <c r="D26" s="16">
        <f>B26-COUNTIFS('架電リスト'!$B$5:$B$1205,A26,'架電リスト'!$J$5:$J$1205,"未架電")-COUNTIFS('架電リスト'!$B$5:$B$1205,A26,'架電リスト'!$J$5:$J$1205,"")</f>
        <v/>
      </c>
      <c r="E26" s="16">
        <f>COUNTIFS('架電リスト'!$B$5:$B$1205,$A26,'架電リスト'!$J$5:$J$1205,"不在・折返し待ち")</f>
        <v/>
      </c>
      <c r="F26" s="16">
        <f>COUNTIFS('架電リスト'!$B$5:$B$1205,$A26,'架電リスト'!$J$5:$J$1205,"担当者不在")</f>
        <v/>
      </c>
      <c r="G26" s="16">
        <f>COUNTIFS('架電リスト'!$B$5:$B$1205,$A26,'架電リスト'!$J$5:$J$1205,"資料送付")</f>
        <v/>
      </c>
      <c r="H26" s="16">
        <f>COUNTIFS('架電リスト'!$B$5:$B$1205,$A26,'架電リスト'!$J$5:$J$1205,"アポ獲得")</f>
        <v/>
      </c>
      <c r="I26" s="16">
        <f>COUNTIFS('架電リスト'!$B$5:$B$1205,$A26,'架電リスト'!$J$5:$J$1205,"検討中")</f>
        <v/>
      </c>
      <c r="J26" s="16">
        <f>COUNTIFS('架電リスト'!$B$5:$B$1205,$A26,'架電リスト'!$J$5:$J$1205,"NG")</f>
        <v/>
      </c>
      <c r="K26" s="16">
        <f>COUNTIFS('架電リスト'!$B$5:$B$1205,$A26,'架電リスト'!$J$5:$J$1205,"番号不明")</f>
        <v/>
      </c>
    </row>
    <row r="27">
      <c r="A27" s="16" t="inlineStr">
        <is>
          <t>三重県</t>
        </is>
      </c>
      <c r="B27" s="16">
        <f>COUNTIF('架電リスト'!$B$5:$B$1205,A27)</f>
        <v/>
      </c>
      <c r="C27" s="16">
        <f>COUNTIFS('架電リスト'!$B$5:$B$1205,A27,'架電リスト'!$E$5:$E$1205,"&lt;&gt;")</f>
        <v/>
      </c>
      <c r="D27" s="16">
        <f>B27-COUNTIFS('架電リスト'!$B$5:$B$1205,A27,'架電リスト'!$J$5:$J$1205,"未架電")-COUNTIFS('架電リスト'!$B$5:$B$1205,A27,'架電リスト'!$J$5:$J$1205,"")</f>
        <v/>
      </c>
      <c r="E27" s="16">
        <f>COUNTIFS('架電リスト'!$B$5:$B$1205,$A27,'架電リスト'!$J$5:$J$1205,"不在・折返し待ち")</f>
        <v/>
      </c>
      <c r="F27" s="16">
        <f>COUNTIFS('架電リスト'!$B$5:$B$1205,$A27,'架電リスト'!$J$5:$J$1205,"担当者不在")</f>
        <v/>
      </c>
      <c r="G27" s="16">
        <f>COUNTIFS('架電リスト'!$B$5:$B$1205,$A27,'架電リスト'!$J$5:$J$1205,"資料送付")</f>
        <v/>
      </c>
      <c r="H27" s="16">
        <f>COUNTIFS('架電リスト'!$B$5:$B$1205,$A27,'架電リスト'!$J$5:$J$1205,"アポ獲得")</f>
        <v/>
      </c>
      <c r="I27" s="16">
        <f>COUNTIFS('架電リスト'!$B$5:$B$1205,$A27,'架電リスト'!$J$5:$J$1205,"検討中")</f>
        <v/>
      </c>
      <c r="J27" s="16">
        <f>COUNTIFS('架電リスト'!$B$5:$B$1205,$A27,'架電リスト'!$J$5:$J$1205,"NG")</f>
        <v/>
      </c>
      <c r="K27" s="16">
        <f>COUNTIFS('架電リスト'!$B$5:$B$1205,$A27,'架電リスト'!$J$5:$J$1205,"番号不明")</f>
        <v/>
      </c>
    </row>
    <row r="28">
      <c r="A28" s="16" t="inlineStr">
        <is>
          <t>滋賀県</t>
        </is>
      </c>
      <c r="B28" s="16">
        <f>COUNTIF('架電リスト'!$B$5:$B$1205,A28)</f>
        <v/>
      </c>
      <c r="C28" s="16">
        <f>COUNTIFS('架電リスト'!$B$5:$B$1205,A28,'架電リスト'!$E$5:$E$1205,"&lt;&gt;")</f>
        <v/>
      </c>
      <c r="D28" s="16">
        <f>B28-COUNTIFS('架電リスト'!$B$5:$B$1205,A28,'架電リスト'!$J$5:$J$1205,"未架電")-COUNTIFS('架電リスト'!$B$5:$B$1205,A28,'架電リスト'!$J$5:$J$1205,"")</f>
        <v/>
      </c>
      <c r="E28" s="16">
        <f>COUNTIFS('架電リスト'!$B$5:$B$1205,$A28,'架電リスト'!$J$5:$J$1205,"不在・折返し待ち")</f>
        <v/>
      </c>
      <c r="F28" s="16">
        <f>COUNTIFS('架電リスト'!$B$5:$B$1205,$A28,'架電リスト'!$J$5:$J$1205,"担当者不在")</f>
        <v/>
      </c>
      <c r="G28" s="16">
        <f>COUNTIFS('架電リスト'!$B$5:$B$1205,$A28,'架電リスト'!$J$5:$J$1205,"資料送付")</f>
        <v/>
      </c>
      <c r="H28" s="16">
        <f>COUNTIFS('架電リスト'!$B$5:$B$1205,$A28,'架電リスト'!$J$5:$J$1205,"アポ獲得")</f>
        <v/>
      </c>
      <c r="I28" s="16">
        <f>COUNTIFS('架電リスト'!$B$5:$B$1205,$A28,'架電リスト'!$J$5:$J$1205,"検討中")</f>
        <v/>
      </c>
      <c r="J28" s="16">
        <f>COUNTIFS('架電リスト'!$B$5:$B$1205,$A28,'架電リスト'!$J$5:$J$1205,"NG")</f>
        <v/>
      </c>
      <c r="K28" s="16">
        <f>COUNTIFS('架電リスト'!$B$5:$B$1205,$A28,'架電リスト'!$J$5:$J$1205,"番号不明")</f>
        <v/>
      </c>
    </row>
    <row r="29">
      <c r="A29" s="16" t="inlineStr">
        <is>
          <t>京都府</t>
        </is>
      </c>
      <c r="B29" s="16">
        <f>COUNTIF('架電リスト'!$B$5:$B$1205,A29)</f>
        <v/>
      </c>
      <c r="C29" s="16">
        <f>COUNTIFS('架電リスト'!$B$5:$B$1205,A29,'架電リスト'!$E$5:$E$1205,"&lt;&gt;")</f>
        <v/>
      </c>
      <c r="D29" s="16">
        <f>B29-COUNTIFS('架電リスト'!$B$5:$B$1205,A29,'架電リスト'!$J$5:$J$1205,"未架電")-COUNTIFS('架電リスト'!$B$5:$B$1205,A29,'架電リスト'!$J$5:$J$1205,"")</f>
        <v/>
      </c>
      <c r="E29" s="16">
        <f>COUNTIFS('架電リスト'!$B$5:$B$1205,$A29,'架電リスト'!$J$5:$J$1205,"不在・折返し待ち")</f>
        <v/>
      </c>
      <c r="F29" s="16">
        <f>COUNTIFS('架電リスト'!$B$5:$B$1205,$A29,'架電リスト'!$J$5:$J$1205,"担当者不在")</f>
        <v/>
      </c>
      <c r="G29" s="16">
        <f>COUNTIFS('架電リスト'!$B$5:$B$1205,$A29,'架電リスト'!$J$5:$J$1205,"資料送付")</f>
        <v/>
      </c>
      <c r="H29" s="16">
        <f>COUNTIFS('架電リスト'!$B$5:$B$1205,$A29,'架電リスト'!$J$5:$J$1205,"アポ獲得")</f>
        <v/>
      </c>
      <c r="I29" s="16">
        <f>COUNTIFS('架電リスト'!$B$5:$B$1205,$A29,'架電リスト'!$J$5:$J$1205,"検討中")</f>
        <v/>
      </c>
      <c r="J29" s="16">
        <f>COUNTIFS('架電リスト'!$B$5:$B$1205,$A29,'架電リスト'!$J$5:$J$1205,"NG")</f>
        <v/>
      </c>
      <c r="K29" s="16">
        <f>COUNTIFS('架電リスト'!$B$5:$B$1205,$A29,'架電リスト'!$J$5:$J$1205,"番号不明")</f>
        <v/>
      </c>
    </row>
    <row r="30">
      <c r="A30" s="16" t="inlineStr">
        <is>
          <t>大阪府</t>
        </is>
      </c>
      <c r="B30" s="16">
        <f>COUNTIF('架電リスト'!$B$5:$B$1205,A30)</f>
        <v/>
      </c>
      <c r="C30" s="16">
        <f>COUNTIFS('架電リスト'!$B$5:$B$1205,A30,'架電リスト'!$E$5:$E$1205,"&lt;&gt;")</f>
        <v/>
      </c>
      <c r="D30" s="16">
        <f>B30-COUNTIFS('架電リスト'!$B$5:$B$1205,A30,'架電リスト'!$J$5:$J$1205,"未架電")-COUNTIFS('架電リスト'!$B$5:$B$1205,A30,'架電リスト'!$J$5:$J$1205,"")</f>
        <v/>
      </c>
      <c r="E30" s="16">
        <f>COUNTIFS('架電リスト'!$B$5:$B$1205,$A30,'架電リスト'!$J$5:$J$1205,"不在・折返し待ち")</f>
        <v/>
      </c>
      <c r="F30" s="16">
        <f>COUNTIFS('架電リスト'!$B$5:$B$1205,$A30,'架電リスト'!$J$5:$J$1205,"担当者不在")</f>
        <v/>
      </c>
      <c r="G30" s="16">
        <f>COUNTIFS('架電リスト'!$B$5:$B$1205,$A30,'架電リスト'!$J$5:$J$1205,"資料送付")</f>
        <v/>
      </c>
      <c r="H30" s="16">
        <f>COUNTIFS('架電リスト'!$B$5:$B$1205,$A30,'架電リスト'!$J$5:$J$1205,"アポ獲得")</f>
        <v/>
      </c>
      <c r="I30" s="16">
        <f>COUNTIFS('架電リスト'!$B$5:$B$1205,$A30,'架電リスト'!$J$5:$J$1205,"検討中")</f>
        <v/>
      </c>
      <c r="J30" s="16">
        <f>COUNTIFS('架電リスト'!$B$5:$B$1205,$A30,'架電リスト'!$J$5:$J$1205,"NG")</f>
        <v/>
      </c>
      <c r="K30" s="16">
        <f>COUNTIFS('架電リスト'!$B$5:$B$1205,$A30,'架電リスト'!$J$5:$J$1205,"番号不明")</f>
        <v/>
      </c>
    </row>
    <row r="31">
      <c r="A31" s="16" t="inlineStr">
        <is>
          <t>兵庫県</t>
        </is>
      </c>
      <c r="B31" s="16">
        <f>COUNTIF('架電リスト'!$B$5:$B$1205,A31)</f>
        <v/>
      </c>
      <c r="C31" s="16">
        <f>COUNTIFS('架電リスト'!$B$5:$B$1205,A31,'架電リスト'!$E$5:$E$1205,"&lt;&gt;")</f>
        <v/>
      </c>
      <c r="D31" s="16">
        <f>B31-COUNTIFS('架電リスト'!$B$5:$B$1205,A31,'架電リスト'!$J$5:$J$1205,"未架電")-COUNTIFS('架電リスト'!$B$5:$B$1205,A31,'架電リスト'!$J$5:$J$1205,"")</f>
        <v/>
      </c>
      <c r="E31" s="16">
        <f>COUNTIFS('架電リスト'!$B$5:$B$1205,$A31,'架電リスト'!$J$5:$J$1205,"不在・折返し待ち")</f>
        <v/>
      </c>
      <c r="F31" s="16">
        <f>COUNTIFS('架電リスト'!$B$5:$B$1205,$A31,'架電リスト'!$J$5:$J$1205,"担当者不在")</f>
        <v/>
      </c>
      <c r="G31" s="16">
        <f>COUNTIFS('架電リスト'!$B$5:$B$1205,$A31,'架電リスト'!$J$5:$J$1205,"資料送付")</f>
        <v/>
      </c>
      <c r="H31" s="16">
        <f>COUNTIFS('架電リスト'!$B$5:$B$1205,$A31,'架電リスト'!$J$5:$J$1205,"アポ獲得")</f>
        <v/>
      </c>
      <c r="I31" s="16">
        <f>COUNTIFS('架電リスト'!$B$5:$B$1205,$A31,'架電リスト'!$J$5:$J$1205,"検討中")</f>
        <v/>
      </c>
      <c r="J31" s="16">
        <f>COUNTIFS('架電リスト'!$B$5:$B$1205,$A31,'架電リスト'!$J$5:$J$1205,"NG")</f>
        <v/>
      </c>
      <c r="K31" s="16">
        <f>COUNTIFS('架電リスト'!$B$5:$B$1205,$A31,'架電リスト'!$J$5:$J$1205,"番号不明")</f>
        <v/>
      </c>
    </row>
    <row r="32">
      <c r="A32" s="16" t="inlineStr">
        <is>
          <t>奈良県</t>
        </is>
      </c>
      <c r="B32" s="16">
        <f>COUNTIF('架電リスト'!$B$5:$B$1205,A32)</f>
        <v/>
      </c>
      <c r="C32" s="16">
        <f>COUNTIFS('架電リスト'!$B$5:$B$1205,A32,'架電リスト'!$E$5:$E$1205,"&lt;&gt;")</f>
        <v/>
      </c>
      <c r="D32" s="16">
        <f>B32-COUNTIFS('架電リスト'!$B$5:$B$1205,A32,'架電リスト'!$J$5:$J$1205,"未架電")-COUNTIFS('架電リスト'!$B$5:$B$1205,A32,'架電リスト'!$J$5:$J$1205,"")</f>
        <v/>
      </c>
      <c r="E32" s="16">
        <f>COUNTIFS('架電リスト'!$B$5:$B$1205,$A32,'架電リスト'!$J$5:$J$1205,"不在・折返し待ち")</f>
        <v/>
      </c>
      <c r="F32" s="16">
        <f>COUNTIFS('架電リスト'!$B$5:$B$1205,$A32,'架電リスト'!$J$5:$J$1205,"担当者不在")</f>
        <v/>
      </c>
      <c r="G32" s="16">
        <f>COUNTIFS('架電リスト'!$B$5:$B$1205,$A32,'架電リスト'!$J$5:$J$1205,"資料送付")</f>
        <v/>
      </c>
      <c r="H32" s="16">
        <f>COUNTIFS('架電リスト'!$B$5:$B$1205,$A32,'架電リスト'!$J$5:$J$1205,"アポ獲得")</f>
        <v/>
      </c>
      <c r="I32" s="16">
        <f>COUNTIFS('架電リスト'!$B$5:$B$1205,$A32,'架電リスト'!$J$5:$J$1205,"検討中")</f>
        <v/>
      </c>
      <c r="J32" s="16">
        <f>COUNTIFS('架電リスト'!$B$5:$B$1205,$A32,'架電リスト'!$J$5:$J$1205,"NG")</f>
        <v/>
      </c>
      <c r="K32" s="16">
        <f>COUNTIFS('架電リスト'!$B$5:$B$1205,$A32,'架電リスト'!$J$5:$J$1205,"番号不明")</f>
        <v/>
      </c>
    </row>
    <row r="33">
      <c r="A33" s="16" t="inlineStr">
        <is>
          <t>和歌山県</t>
        </is>
      </c>
      <c r="B33" s="16">
        <f>COUNTIF('架電リスト'!$B$5:$B$1205,A33)</f>
        <v/>
      </c>
      <c r="C33" s="16">
        <f>COUNTIFS('架電リスト'!$B$5:$B$1205,A33,'架電リスト'!$E$5:$E$1205,"&lt;&gt;")</f>
        <v/>
      </c>
      <c r="D33" s="16">
        <f>B33-COUNTIFS('架電リスト'!$B$5:$B$1205,A33,'架電リスト'!$J$5:$J$1205,"未架電")-COUNTIFS('架電リスト'!$B$5:$B$1205,A33,'架電リスト'!$J$5:$J$1205,"")</f>
        <v/>
      </c>
      <c r="E33" s="16">
        <f>COUNTIFS('架電リスト'!$B$5:$B$1205,$A33,'架電リスト'!$J$5:$J$1205,"不在・折返し待ち")</f>
        <v/>
      </c>
      <c r="F33" s="16">
        <f>COUNTIFS('架電リスト'!$B$5:$B$1205,$A33,'架電リスト'!$J$5:$J$1205,"担当者不在")</f>
        <v/>
      </c>
      <c r="G33" s="16">
        <f>COUNTIFS('架電リスト'!$B$5:$B$1205,$A33,'架電リスト'!$J$5:$J$1205,"資料送付")</f>
        <v/>
      </c>
      <c r="H33" s="16">
        <f>COUNTIFS('架電リスト'!$B$5:$B$1205,$A33,'架電リスト'!$J$5:$J$1205,"アポ獲得")</f>
        <v/>
      </c>
      <c r="I33" s="16">
        <f>COUNTIFS('架電リスト'!$B$5:$B$1205,$A33,'架電リスト'!$J$5:$J$1205,"検討中")</f>
        <v/>
      </c>
      <c r="J33" s="16">
        <f>COUNTIFS('架電リスト'!$B$5:$B$1205,$A33,'架電リスト'!$J$5:$J$1205,"NG")</f>
        <v/>
      </c>
      <c r="K33" s="16">
        <f>COUNTIFS('架電リスト'!$B$5:$B$1205,$A33,'架電リスト'!$J$5:$J$1205,"番号不明")</f>
        <v/>
      </c>
    </row>
    <row r="34">
      <c r="A34" s="16" t="inlineStr">
        <is>
          <t>鳥取県</t>
        </is>
      </c>
      <c r="B34" s="16">
        <f>COUNTIF('架電リスト'!$B$5:$B$1205,A34)</f>
        <v/>
      </c>
      <c r="C34" s="16">
        <f>COUNTIFS('架電リスト'!$B$5:$B$1205,A34,'架電リスト'!$E$5:$E$1205,"&lt;&gt;")</f>
        <v/>
      </c>
      <c r="D34" s="16">
        <f>B34-COUNTIFS('架電リスト'!$B$5:$B$1205,A34,'架電リスト'!$J$5:$J$1205,"未架電")-COUNTIFS('架電リスト'!$B$5:$B$1205,A34,'架電リスト'!$J$5:$J$1205,"")</f>
        <v/>
      </c>
      <c r="E34" s="16">
        <f>COUNTIFS('架電リスト'!$B$5:$B$1205,$A34,'架電リスト'!$J$5:$J$1205,"不在・折返し待ち")</f>
        <v/>
      </c>
      <c r="F34" s="16">
        <f>COUNTIFS('架電リスト'!$B$5:$B$1205,$A34,'架電リスト'!$J$5:$J$1205,"担当者不在")</f>
        <v/>
      </c>
      <c r="G34" s="16">
        <f>COUNTIFS('架電リスト'!$B$5:$B$1205,$A34,'架電リスト'!$J$5:$J$1205,"資料送付")</f>
        <v/>
      </c>
      <c r="H34" s="16">
        <f>COUNTIFS('架電リスト'!$B$5:$B$1205,$A34,'架電リスト'!$J$5:$J$1205,"アポ獲得")</f>
        <v/>
      </c>
      <c r="I34" s="16">
        <f>COUNTIFS('架電リスト'!$B$5:$B$1205,$A34,'架電リスト'!$J$5:$J$1205,"検討中")</f>
        <v/>
      </c>
      <c r="J34" s="16">
        <f>COUNTIFS('架電リスト'!$B$5:$B$1205,$A34,'架電リスト'!$J$5:$J$1205,"NG")</f>
        <v/>
      </c>
      <c r="K34" s="16">
        <f>COUNTIFS('架電リスト'!$B$5:$B$1205,$A34,'架電リスト'!$J$5:$J$1205,"番号不明")</f>
        <v/>
      </c>
    </row>
    <row r="35">
      <c r="A35" s="16" t="inlineStr">
        <is>
          <t>島根県</t>
        </is>
      </c>
      <c r="B35" s="16">
        <f>COUNTIF('架電リスト'!$B$5:$B$1205,A35)</f>
        <v/>
      </c>
      <c r="C35" s="16">
        <f>COUNTIFS('架電リスト'!$B$5:$B$1205,A35,'架電リスト'!$E$5:$E$1205,"&lt;&gt;")</f>
        <v/>
      </c>
      <c r="D35" s="16">
        <f>B35-COUNTIFS('架電リスト'!$B$5:$B$1205,A35,'架電リスト'!$J$5:$J$1205,"未架電")-COUNTIFS('架電リスト'!$B$5:$B$1205,A35,'架電リスト'!$J$5:$J$1205,"")</f>
        <v/>
      </c>
      <c r="E35" s="16">
        <f>COUNTIFS('架電リスト'!$B$5:$B$1205,$A35,'架電リスト'!$J$5:$J$1205,"不在・折返し待ち")</f>
        <v/>
      </c>
      <c r="F35" s="16">
        <f>COUNTIFS('架電リスト'!$B$5:$B$1205,$A35,'架電リスト'!$J$5:$J$1205,"担当者不在")</f>
        <v/>
      </c>
      <c r="G35" s="16">
        <f>COUNTIFS('架電リスト'!$B$5:$B$1205,$A35,'架電リスト'!$J$5:$J$1205,"資料送付")</f>
        <v/>
      </c>
      <c r="H35" s="16">
        <f>COUNTIFS('架電リスト'!$B$5:$B$1205,$A35,'架電リスト'!$J$5:$J$1205,"アポ獲得")</f>
        <v/>
      </c>
      <c r="I35" s="16">
        <f>COUNTIFS('架電リスト'!$B$5:$B$1205,$A35,'架電リスト'!$J$5:$J$1205,"検討中")</f>
        <v/>
      </c>
      <c r="J35" s="16">
        <f>COUNTIFS('架電リスト'!$B$5:$B$1205,$A35,'架電リスト'!$J$5:$J$1205,"NG")</f>
        <v/>
      </c>
      <c r="K35" s="16">
        <f>COUNTIFS('架電リスト'!$B$5:$B$1205,$A35,'架電リスト'!$J$5:$J$1205,"番号不明")</f>
        <v/>
      </c>
    </row>
    <row r="36">
      <c r="A36" s="16" t="inlineStr">
        <is>
          <t>岡山県</t>
        </is>
      </c>
      <c r="B36" s="16">
        <f>COUNTIF('架電リスト'!$B$5:$B$1205,A36)</f>
        <v/>
      </c>
      <c r="C36" s="16">
        <f>COUNTIFS('架電リスト'!$B$5:$B$1205,A36,'架電リスト'!$E$5:$E$1205,"&lt;&gt;")</f>
        <v/>
      </c>
      <c r="D36" s="16">
        <f>B36-COUNTIFS('架電リスト'!$B$5:$B$1205,A36,'架電リスト'!$J$5:$J$1205,"未架電")-COUNTIFS('架電リスト'!$B$5:$B$1205,A36,'架電リスト'!$J$5:$J$1205,"")</f>
        <v/>
      </c>
      <c r="E36" s="16">
        <f>COUNTIFS('架電リスト'!$B$5:$B$1205,$A36,'架電リスト'!$J$5:$J$1205,"不在・折返し待ち")</f>
        <v/>
      </c>
      <c r="F36" s="16">
        <f>COUNTIFS('架電リスト'!$B$5:$B$1205,$A36,'架電リスト'!$J$5:$J$1205,"担当者不在")</f>
        <v/>
      </c>
      <c r="G36" s="16">
        <f>COUNTIFS('架電リスト'!$B$5:$B$1205,$A36,'架電リスト'!$J$5:$J$1205,"資料送付")</f>
        <v/>
      </c>
      <c r="H36" s="16">
        <f>COUNTIFS('架電リスト'!$B$5:$B$1205,$A36,'架電リスト'!$J$5:$J$1205,"アポ獲得")</f>
        <v/>
      </c>
      <c r="I36" s="16">
        <f>COUNTIFS('架電リスト'!$B$5:$B$1205,$A36,'架電リスト'!$J$5:$J$1205,"検討中")</f>
        <v/>
      </c>
      <c r="J36" s="16">
        <f>COUNTIFS('架電リスト'!$B$5:$B$1205,$A36,'架電リスト'!$J$5:$J$1205,"NG")</f>
        <v/>
      </c>
      <c r="K36" s="16">
        <f>COUNTIFS('架電リスト'!$B$5:$B$1205,$A36,'架電リスト'!$J$5:$J$1205,"番号不明")</f>
        <v/>
      </c>
    </row>
    <row r="37">
      <c r="A37" s="16" t="inlineStr">
        <is>
          <t>広島県</t>
        </is>
      </c>
      <c r="B37" s="16">
        <f>COUNTIF('架電リスト'!$B$5:$B$1205,A37)</f>
        <v/>
      </c>
      <c r="C37" s="16">
        <f>COUNTIFS('架電リスト'!$B$5:$B$1205,A37,'架電リスト'!$E$5:$E$1205,"&lt;&gt;")</f>
        <v/>
      </c>
      <c r="D37" s="16">
        <f>B37-COUNTIFS('架電リスト'!$B$5:$B$1205,A37,'架電リスト'!$J$5:$J$1205,"未架電")-COUNTIFS('架電リスト'!$B$5:$B$1205,A37,'架電リスト'!$J$5:$J$1205,"")</f>
        <v/>
      </c>
      <c r="E37" s="16">
        <f>COUNTIFS('架電リスト'!$B$5:$B$1205,$A37,'架電リスト'!$J$5:$J$1205,"不在・折返し待ち")</f>
        <v/>
      </c>
      <c r="F37" s="16">
        <f>COUNTIFS('架電リスト'!$B$5:$B$1205,$A37,'架電リスト'!$J$5:$J$1205,"担当者不在")</f>
        <v/>
      </c>
      <c r="G37" s="16">
        <f>COUNTIFS('架電リスト'!$B$5:$B$1205,$A37,'架電リスト'!$J$5:$J$1205,"資料送付")</f>
        <v/>
      </c>
      <c r="H37" s="16">
        <f>COUNTIFS('架電リスト'!$B$5:$B$1205,$A37,'架電リスト'!$J$5:$J$1205,"アポ獲得")</f>
        <v/>
      </c>
      <c r="I37" s="16">
        <f>COUNTIFS('架電リスト'!$B$5:$B$1205,$A37,'架電リスト'!$J$5:$J$1205,"検討中")</f>
        <v/>
      </c>
      <c r="J37" s="16">
        <f>COUNTIFS('架電リスト'!$B$5:$B$1205,$A37,'架電リスト'!$J$5:$J$1205,"NG")</f>
        <v/>
      </c>
      <c r="K37" s="16">
        <f>COUNTIFS('架電リスト'!$B$5:$B$1205,$A37,'架電リスト'!$J$5:$J$1205,"番号不明")</f>
        <v/>
      </c>
    </row>
    <row r="38">
      <c r="A38" s="16" t="inlineStr">
        <is>
          <t>山口県</t>
        </is>
      </c>
      <c r="B38" s="16">
        <f>COUNTIF('架電リスト'!$B$5:$B$1205,A38)</f>
        <v/>
      </c>
      <c r="C38" s="16">
        <f>COUNTIFS('架電リスト'!$B$5:$B$1205,A38,'架電リスト'!$E$5:$E$1205,"&lt;&gt;")</f>
        <v/>
      </c>
      <c r="D38" s="16">
        <f>B38-COUNTIFS('架電リスト'!$B$5:$B$1205,A38,'架電リスト'!$J$5:$J$1205,"未架電")-COUNTIFS('架電リスト'!$B$5:$B$1205,A38,'架電リスト'!$J$5:$J$1205,"")</f>
        <v/>
      </c>
      <c r="E38" s="16">
        <f>COUNTIFS('架電リスト'!$B$5:$B$1205,$A38,'架電リスト'!$J$5:$J$1205,"不在・折返し待ち")</f>
        <v/>
      </c>
      <c r="F38" s="16">
        <f>COUNTIFS('架電リスト'!$B$5:$B$1205,$A38,'架電リスト'!$J$5:$J$1205,"担当者不在")</f>
        <v/>
      </c>
      <c r="G38" s="16">
        <f>COUNTIFS('架電リスト'!$B$5:$B$1205,$A38,'架電リスト'!$J$5:$J$1205,"資料送付")</f>
        <v/>
      </c>
      <c r="H38" s="16">
        <f>COUNTIFS('架電リスト'!$B$5:$B$1205,$A38,'架電リスト'!$J$5:$J$1205,"アポ獲得")</f>
        <v/>
      </c>
      <c r="I38" s="16">
        <f>COUNTIFS('架電リスト'!$B$5:$B$1205,$A38,'架電リスト'!$J$5:$J$1205,"検討中")</f>
        <v/>
      </c>
      <c r="J38" s="16">
        <f>COUNTIFS('架電リスト'!$B$5:$B$1205,$A38,'架電リスト'!$J$5:$J$1205,"NG")</f>
        <v/>
      </c>
      <c r="K38" s="16">
        <f>COUNTIFS('架電リスト'!$B$5:$B$1205,$A38,'架電リスト'!$J$5:$J$1205,"番号不明")</f>
        <v/>
      </c>
    </row>
    <row r="39">
      <c r="A39" s="16" t="inlineStr">
        <is>
          <t>香川県</t>
        </is>
      </c>
      <c r="B39" s="16">
        <f>COUNTIF('架電リスト'!$B$5:$B$1205,A39)</f>
        <v/>
      </c>
      <c r="C39" s="16">
        <f>COUNTIFS('架電リスト'!$B$5:$B$1205,A39,'架電リスト'!$E$5:$E$1205,"&lt;&gt;")</f>
        <v/>
      </c>
      <c r="D39" s="16">
        <f>B39-COUNTIFS('架電リスト'!$B$5:$B$1205,A39,'架電リスト'!$J$5:$J$1205,"未架電")-COUNTIFS('架電リスト'!$B$5:$B$1205,A39,'架電リスト'!$J$5:$J$1205,"")</f>
        <v/>
      </c>
      <c r="E39" s="16">
        <f>COUNTIFS('架電リスト'!$B$5:$B$1205,$A39,'架電リスト'!$J$5:$J$1205,"不在・折返し待ち")</f>
        <v/>
      </c>
      <c r="F39" s="16">
        <f>COUNTIFS('架電リスト'!$B$5:$B$1205,$A39,'架電リスト'!$J$5:$J$1205,"担当者不在")</f>
        <v/>
      </c>
      <c r="G39" s="16">
        <f>COUNTIFS('架電リスト'!$B$5:$B$1205,$A39,'架電リスト'!$J$5:$J$1205,"資料送付")</f>
        <v/>
      </c>
      <c r="H39" s="16">
        <f>COUNTIFS('架電リスト'!$B$5:$B$1205,$A39,'架電リスト'!$J$5:$J$1205,"アポ獲得")</f>
        <v/>
      </c>
      <c r="I39" s="16">
        <f>COUNTIFS('架電リスト'!$B$5:$B$1205,$A39,'架電リスト'!$J$5:$J$1205,"検討中")</f>
        <v/>
      </c>
      <c r="J39" s="16">
        <f>COUNTIFS('架電リスト'!$B$5:$B$1205,$A39,'架電リスト'!$J$5:$J$1205,"NG")</f>
        <v/>
      </c>
      <c r="K39" s="16">
        <f>COUNTIFS('架電リスト'!$B$5:$B$1205,$A39,'架電リスト'!$J$5:$J$1205,"番号不明")</f>
        <v/>
      </c>
    </row>
    <row r="40">
      <c r="A40" s="16" t="inlineStr">
        <is>
          <t>愛媛県</t>
        </is>
      </c>
      <c r="B40" s="16">
        <f>COUNTIF('架電リスト'!$B$5:$B$1205,A40)</f>
        <v/>
      </c>
      <c r="C40" s="16">
        <f>COUNTIFS('架電リスト'!$B$5:$B$1205,A40,'架電リスト'!$E$5:$E$1205,"&lt;&gt;")</f>
        <v/>
      </c>
      <c r="D40" s="16">
        <f>B40-COUNTIFS('架電リスト'!$B$5:$B$1205,A40,'架電リスト'!$J$5:$J$1205,"未架電")-COUNTIFS('架電リスト'!$B$5:$B$1205,A40,'架電リスト'!$J$5:$J$1205,"")</f>
        <v/>
      </c>
      <c r="E40" s="16">
        <f>COUNTIFS('架電リスト'!$B$5:$B$1205,$A40,'架電リスト'!$J$5:$J$1205,"不在・折返し待ち")</f>
        <v/>
      </c>
      <c r="F40" s="16">
        <f>COUNTIFS('架電リスト'!$B$5:$B$1205,$A40,'架電リスト'!$J$5:$J$1205,"担当者不在")</f>
        <v/>
      </c>
      <c r="G40" s="16">
        <f>COUNTIFS('架電リスト'!$B$5:$B$1205,$A40,'架電リスト'!$J$5:$J$1205,"資料送付")</f>
        <v/>
      </c>
      <c r="H40" s="16">
        <f>COUNTIFS('架電リスト'!$B$5:$B$1205,$A40,'架電リスト'!$J$5:$J$1205,"アポ獲得")</f>
        <v/>
      </c>
      <c r="I40" s="16">
        <f>COUNTIFS('架電リスト'!$B$5:$B$1205,$A40,'架電リスト'!$J$5:$J$1205,"検討中")</f>
        <v/>
      </c>
      <c r="J40" s="16">
        <f>COUNTIFS('架電リスト'!$B$5:$B$1205,$A40,'架電リスト'!$J$5:$J$1205,"NG")</f>
        <v/>
      </c>
      <c r="K40" s="16">
        <f>COUNTIFS('架電リスト'!$B$5:$B$1205,$A40,'架電リスト'!$J$5:$J$1205,"番号不明")</f>
        <v/>
      </c>
    </row>
    <row r="41">
      <c r="A41" s="16" t="inlineStr">
        <is>
          <t>高知県</t>
        </is>
      </c>
      <c r="B41" s="16">
        <f>COUNTIF('架電リスト'!$B$5:$B$1205,A41)</f>
        <v/>
      </c>
      <c r="C41" s="16">
        <f>COUNTIFS('架電リスト'!$B$5:$B$1205,A41,'架電リスト'!$E$5:$E$1205,"&lt;&gt;")</f>
        <v/>
      </c>
      <c r="D41" s="16">
        <f>B41-COUNTIFS('架電リスト'!$B$5:$B$1205,A41,'架電リスト'!$J$5:$J$1205,"未架電")-COUNTIFS('架電リスト'!$B$5:$B$1205,A41,'架電リスト'!$J$5:$J$1205,"")</f>
        <v/>
      </c>
      <c r="E41" s="16">
        <f>COUNTIFS('架電リスト'!$B$5:$B$1205,$A41,'架電リスト'!$J$5:$J$1205,"不在・折返し待ち")</f>
        <v/>
      </c>
      <c r="F41" s="16">
        <f>COUNTIFS('架電リスト'!$B$5:$B$1205,$A41,'架電リスト'!$J$5:$J$1205,"担当者不在")</f>
        <v/>
      </c>
      <c r="G41" s="16">
        <f>COUNTIFS('架電リスト'!$B$5:$B$1205,$A41,'架電リスト'!$J$5:$J$1205,"資料送付")</f>
        <v/>
      </c>
      <c r="H41" s="16">
        <f>COUNTIFS('架電リスト'!$B$5:$B$1205,$A41,'架電リスト'!$J$5:$J$1205,"アポ獲得")</f>
        <v/>
      </c>
      <c r="I41" s="16">
        <f>COUNTIFS('架電リスト'!$B$5:$B$1205,$A41,'架電リスト'!$J$5:$J$1205,"検討中")</f>
        <v/>
      </c>
      <c r="J41" s="16">
        <f>COUNTIFS('架電リスト'!$B$5:$B$1205,$A41,'架電リスト'!$J$5:$J$1205,"NG")</f>
        <v/>
      </c>
      <c r="K41" s="16">
        <f>COUNTIFS('架電リスト'!$B$5:$B$1205,$A41,'架電リスト'!$J$5:$J$1205,"番号不明")</f>
        <v/>
      </c>
    </row>
    <row r="42">
      <c r="A42" s="17" t="inlineStr">
        <is>
          <t>合計</t>
        </is>
      </c>
      <c r="B42" s="17">
        <f>SUM(B4:B41)</f>
        <v/>
      </c>
      <c r="C42" s="17">
        <f>SUM(C4:C41)</f>
        <v/>
      </c>
      <c r="D42" s="17">
        <f>SUM(D4:D41)</f>
        <v/>
      </c>
      <c r="E42" s="17">
        <f>SUM(E4:E41)</f>
        <v/>
      </c>
      <c r="F42" s="17">
        <f>SUM(F4:F41)</f>
        <v/>
      </c>
      <c r="G42" s="17">
        <f>SUM(G4:G41)</f>
        <v/>
      </c>
      <c r="H42" s="17">
        <f>SUM(H4:H41)</f>
        <v/>
      </c>
      <c r="I42" s="17">
        <f>SUM(I4:I41)</f>
        <v/>
      </c>
      <c r="J42" s="17">
        <f>SUM(J4:J41)</f>
        <v/>
      </c>
      <c r="K42" s="17">
        <f>SUM(K4:K41)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・出典：ご提供いただいた学校ネットの検索結果（私立高校・38都道府県、1201校）の貼り付けデータ。並び順は都道府県ごとに元データの掲載順です。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2026-10-14T01:58:31Z</dcterms:created>
  <dcterms:modified xsi:type="dcterms:W3CDTF">2026-10-14T01:58:32Z</dcterms:modified>
</cp:coreProperties>
</file>