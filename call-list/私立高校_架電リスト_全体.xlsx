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架電リスト" sheetId="1" r:id="rId1"/>
    <sheet name="テレアポ管理（私立全国版）" sheetId="2" r:id="rId2"/>
    <sheet name="都道府県別集計" sheetId="3" r:id="rId3"/>
    <sheet name="使い方・注意事項" sheetId="4" r:id="rId4"/>
  </sheets>
  <definedNames>
    <definedName name="_xlnm._FilterDatabase" localSheetId="1" hidden="1">'テレアポ管理（私立全国版）'!$A$5:$W$1383</definedName>
    <definedName name="_xlnm._FilterDatabase" localSheetId="0" hidden="1">架電リスト!$A$4:$O$1382</definedName>
    <definedName name="_xlnm.Print_Titles" localSheetId="1">'テレアポ管理（私立全国版）'!$5:$5</definedName>
    <definedName name="_xlnm.Print_Titles" localSheetId="0">架電リスト!$4:$4</definedName>
  </definedNames>
  <calcPr calcId="124519" fullCalcOnLoad="1"/>
</workbook>
</file>

<file path=xl/sharedStrings.xml><?xml version="1.0" encoding="utf-8"?>
<sst xmlns="http://schemas.openxmlformats.org/spreadsheetml/2006/main" count="24592" uniqueCount="5651">
  <si>
    <t>私立高等学校 架電リスト（全国47都道府県／1378校）</t>
  </si>
  <si>
    <t>出典：学校ネット 私立高校検索結果（ご提供の貼り付けデータ）。電話番号は2026年10月にWeb検索で調査（確度はF列、出典はN列）。架電前に「確度：中・低」の番号は念のためご確認ください。</t>
  </si>
  <si>
    <t>No.</t>
  </si>
  <si>
    <t>都道府県</t>
  </si>
  <si>
    <t>所在地（市区町村）</t>
  </si>
  <si>
    <t>学校名</t>
  </si>
  <si>
    <t>電話番号</t>
  </si>
  <si>
    <t>番号の確度</t>
  </si>
  <si>
    <t>学科</t>
  </si>
  <si>
    <t>架電日</t>
  </si>
  <si>
    <t>担当者</t>
  </si>
  <si>
    <t>架電結果</t>
  </si>
  <si>
    <t>次回連絡日</t>
  </si>
  <si>
    <t>メモ</t>
  </si>
  <si>
    <t>電話番号の補足</t>
  </si>
  <si>
    <t>電話番号の出典</t>
  </si>
  <si>
    <t>学校情報ページ</t>
  </si>
  <si>
    <t>北海道</t>
  </si>
  <si>
    <t>旭川市</t>
  </si>
  <si>
    <t>旭川志峯高等学校</t>
  </si>
  <si>
    <t>0166-48-1221</t>
  </si>
  <si>
    <t>高</t>
  </si>
  <si>
    <t>普通科</t>
  </si>
  <si>
    <t>未架電</t>
  </si>
  <si>
    <t>旧称は旭川大学高校。ハローワーク旭川の名簿（R7.6）とJS日本の学校の番号が一致</t>
  </si>
  <si>
    <t>https://jsite.mhlw.go.jp/hokkaido-hellowork/content/contents/002280302.pdf ; https://school.js88.com/scl_h/22052950</t>
  </si>
  <si>
    <t>開く</t>
  </si>
  <si>
    <t>旭川実業高等学校</t>
  </si>
  <si>
    <t>0166-51-1246</t>
  </si>
  <si>
    <t>普通科・専門学科</t>
  </si>
  <si>
    <t>ハローワーク名簿とJS日本の学校・みんなの高校情報の番号が一致</t>
  </si>
  <si>
    <t>https://jsite.mhlw.go.jp/hokkaido-hellowork/content/contents/002280302.pdf ; https://school.js88.com/scl_h/22052940</t>
  </si>
  <si>
    <t>旭川藤星高等学校</t>
  </si>
  <si>
    <t>0166-51-8125</t>
  </si>
  <si>
    <t>中</t>
  </si>
  <si>
    <t>JS日本の学校のみで確認。公式サイトは asahikawa-tosei.jp</t>
  </si>
  <si>
    <t>https://school.js88.com/scl_h/22052920</t>
  </si>
  <si>
    <t>旭川明成高等学校</t>
  </si>
  <si>
    <t>0166-51-3220</t>
  </si>
  <si>
    <t>総合学科</t>
  </si>
  <si>
    <t>ハローワーク名簿とJS日本の学校の番号が一致</t>
  </si>
  <si>
    <t>https://jsite.mhlw.go.jp/hokkaido-hellowork/content/contents/002280302.pdf ; https://school.js88.com/scl_h/22053120</t>
  </si>
  <si>
    <t>旭川龍谷高等学校</t>
  </si>
  <si>
    <t>0166-39-2700</t>
  </si>
  <si>
    <t>JS日本の学校と道私学協会の資料（2023）の番号が一致</t>
  </si>
  <si>
    <t>https://school.js88.com/scl_h/22052930 ; https://www.doshigaku.jp/pdf/2023_transfe_10.pdf</t>
  </si>
  <si>
    <t>函館市</t>
  </si>
  <si>
    <t>遺愛女子高等学校（青山学院大学教育提携校）</t>
  </si>
  <si>
    <t>0138-51-0418</t>
  </si>
  <si>
    <t>公式パンフレットで確認。学院の代表番号（中学校と共通）</t>
  </si>
  <si>
    <t>https://www.iaijoshi-h.ed.jp/wp-content/uploads/2022/07/2023遺愛女子高校パンフレット.pdf</t>
  </si>
  <si>
    <t>札幌市豊平区</t>
  </si>
  <si>
    <t>池上学院高等学校</t>
  </si>
  <si>
    <t>011-811-5297</t>
  </si>
  <si>
    <t>通信制・札幌本校の番号。入学相談用フリーダイヤル0120-195-315の記載もあり</t>
  </si>
  <si>
    <t>https://www.minkou.jp/hischool/school/330/</t>
  </si>
  <si>
    <t>小樽市</t>
  </si>
  <si>
    <t>小樽双葉高等学校</t>
  </si>
  <si>
    <t>0134-32-1828</t>
  </si>
  <si>
    <t>JS日本の学校と道私学協会の資料の番号が一致。通信制課程の職員室は0134-31-3100</t>
  </si>
  <si>
    <t>https://school.js88.com/scl_h/22052880 ; https://www.doshigaku.jp/pdf/2023_transfe_10.pdf</t>
  </si>
  <si>
    <t>小樽明峰高等学校</t>
  </si>
  <si>
    <t>0134-22-7755</t>
  </si>
  <si>
    <t>JS日本の学校と札幌市中学校の資料の番号が一致</t>
  </si>
  <si>
    <t>https://school.js88.com/scl_h/22052890/ ; https://www16.sapporo-c.ed.jp/sakaeminami-j/attach/get2/4692/0</t>
  </si>
  <si>
    <t>帯広市</t>
  </si>
  <si>
    <t>帯広大谷高等学校</t>
  </si>
  <si>
    <t>0155-33-5811</t>
  </si>
  <si>
    <t>2018年の高文連資料のみで確認。最新かは未確認</t>
  </si>
  <si>
    <t>https://www.koubunren-volunteer.hokkaido-c.ed.jp/wysiwyg/file/download/1/16</t>
  </si>
  <si>
    <t>帯広北高等学校</t>
  </si>
  <si>
    <t>0155-47-0121</t>
  </si>
  <si>
    <t>JS日本の学校とみんなの高校情報の番号が一致</t>
  </si>
  <si>
    <t>https://school.js88.com/scl_h/22053070 ; https://www.minkou.jp/hischool/school/1042/</t>
  </si>
  <si>
    <t>室蘭市</t>
  </si>
  <si>
    <t>海星学院高等学校</t>
  </si>
  <si>
    <t>0143-46-8888</t>
  </si>
  <si>
    <t>JS日本の学校のみで確認</t>
  </si>
  <si>
    <t>https://school.js88.com/scl_h/22053040</t>
  </si>
  <si>
    <t>北見市</t>
  </si>
  <si>
    <t>北見藤高等学校</t>
  </si>
  <si>
    <t>0157-23-3212</t>
  </si>
  <si>
    <t>JS日本の学校とYahoo!マップで一致</t>
  </si>
  <si>
    <t>https://school.js88.com/scl_h/22052980 ; https://map.yahoo.co.jp/v3/place/F1bCf-OH6f6</t>
  </si>
  <si>
    <t>深川市</t>
  </si>
  <si>
    <t>クラーク記念国際高等学校</t>
  </si>
  <si>
    <t>0164-24-2001</t>
  </si>
  <si>
    <t>深川市の本校の番号。全国にキャンパスあり</t>
  </si>
  <si>
    <t>https://www.minkou.jp/hischool/school/1635/</t>
  </si>
  <si>
    <t>苫小牧市</t>
  </si>
  <si>
    <t>駒澤大学附属苫小牧高等学校</t>
  </si>
  <si>
    <t>0144-32-6291</t>
  </si>
  <si>
    <t>https://school.js88.com/scl_h/22053010</t>
  </si>
  <si>
    <t>札幌市東区</t>
  </si>
  <si>
    <t>札幌大谷高等学校</t>
  </si>
  <si>
    <t>011-731-2451</t>
  </si>
  <si>
    <t>札幌市の一覧とJS日本の学校で一致。中学校と共通</t>
  </si>
  <si>
    <t>https://www.city.sapporo.jp/higashi/about/ins_school.html ; https://school.js88.com/scl_h/22052680</t>
  </si>
  <si>
    <t>札幌光星高等学校</t>
  </si>
  <si>
    <t>011-711-7161</t>
  </si>
  <si>
    <t>公式資料に「代表」と記載</t>
  </si>
  <si>
    <t>https://www.sapporokosei.ac.jp/common/img/content/content_20260428_165448.pdf</t>
  </si>
  <si>
    <t>札幌市南区</t>
  </si>
  <si>
    <t>札幌新陽高等学校</t>
  </si>
  <si>
    <t>011-821-6161</t>
  </si>
  <si>
    <t>札幌市の一覧とJS日本の学校で一致</t>
  </si>
  <si>
    <t>https://www.city.sapporo.jp/minami/shisetsu/sonota.html ; https://school.js88.com/scl_h/22052720</t>
  </si>
  <si>
    <t>和寒町</t>
  </si>
  <si>
    <t>札幌自由が丘学園三和高等学校</t>
  </si>
  <si>
    <t/>
  </si>
  <si>
    <t>要調査</t>
  </si>
  <si>
    <t>和寒本校の番号を特定できず。候補：011-792-1468（公式では札幌学習センター）／011-743-1267。校名変更の可能性あり</t>
  </si>
  <si>
    <t>https://sanwa71.sakura.ne.jp/contact/ ; https://www.mapion.co.jp/phonebook/M11004/01464/ILSP0000041214_ipclm/</t>
  </si>
  <si>
    <t>札幌市中央区</t>
  </si>
  <si>
    <t>札幌静修高等学校</t>
  </si>
  <si>
    <t>011-521-0234</t>
  </si>
  <si>
    <t>https://school.js88.com/scl_h/22052690</t>
  </si>
  <si>
    <t>札幌市北区</t>
  </si>
  <si>
    <t>札幌創成高等学校</t>
  </si>
  <si>
    <t>011-726-1578</t>
  </si>
  <si>
    <t>道私学協会の資料と札幌市中学校の配布資料で一致</t>
  </si>
  <si>
    <t>https://www.doshigaku.jp/pdf/2023_transfe_10.pdf ; https://school.js88.com/scl_h/22049910</t>
  </si>
  <si>
    <t>札幌第一高等学校</t>
  </si>
  <si>
    <t>011-851-9361</t>
  </si>
  <si>
    <t>公式サイトで「代表」と確認。入試事務局は011-851-6729</t>
  </si>
  <si>
    <t>https://www.kibou.ac.jp/daiichi/introduction/access/</t>
  </si>
  <si>
    <t>北広島市</t>
  </si>
  <si>
    <t>札幌日本大学高等学校</t>
  </si>
  <si>
    <t>011-375-2611</t>
  </si>
  <si>
    <t>複数資料で一致。中高併設</t>
  </si>
  <si>
    <t>https://school.js88.com/scl_h/22053100</t>
  </si>
  <si>
    <t>札幌北斗高等学校</t>
  </si>
  <si>
    <t>011-711-6121</t>
  </si>
  <si>
    <t>札幌市東区の学校一覧と地図サイトで一致</t>
  </si>
  <si>
    <t>https://www.city.sapporo.jp/higashi/about/ins_school.html</t>
  </si>
  <si>
    <t>札幌市西区</t>
  </si>
  <si>
    <t>札幌山の手高等学校</t>
  </si>
  <si>
    <t>011-611-7301</t>
  </si>
  <si>
    <t>代表番号。札幌市立中学校の配布資料と一致</t>
  </si>
  <si>
    <t>https://school.js88.com/scl_h/22052710</t>
  </si>
  <si>
    <t>札幌龍谷学園高等学校</t>
  </si>
  <si>
    <t>011-631-4386</t>
  </si>
  <si>
    <t>札幌市立中学校の配布チラシで確認。公式サイトでは未確認</t>
  </si>
  <si>
    <t>https://www16.sapporo-c.ed.jp/kiyota-j/attach/get2/2208/0</t>
  </si>
  <si>
    <t>芽室町</t>
  </si>
  <si>
    <t>白樺学園高等学校</t>
  </si>
  <si>
    <t>0155-62-7411</t>
  </si>
  <si>
    <t>中高併設</t>
  </si>
  <si>
    <t>https://school.js88.com/scl_h/22053060</t>
  </si>
  <si>
    <t>芦別市</t>
  </si>
  <si>
    <t>星槎国際高等学校</t>
  </si>
  <si>
    <t>0124-24-6101</t>
  </si>
  <si>
    <t>芦別の本部校の番号（公式サイト）。全国にキャンパスあり</t>
  </si>
  <si>
    <t>https://seisa.ed.jp/ashibetsu/access/</t>
  </si>
  <si>
    <t>清尚学院高等学校</t>
  </si>
  <si>
    <t>0138-41-6584</t>
  </si>
  <si>
    <t>専門学科</t>
  </si>
  <si>
    <t>https://school.js88.com/scl_h/22052840</t>
  </si>
  <si>
    <t>東海大学付属札幌高等学校</t>
  </si>
  <si>
    <t>011-571-5175</t>
  </si>
  <si>
    <t>複数資料で一致</t>
  </si>
  <si>
    <t>https://school.js88.com/scl_h/22052760/</t>
  </si>
  <si>
    <t>苫小牧中央高等学校</t>
  </si>
  <si>
    <t>0144-74-4200</t>
  </si>
  <si>
    <t>公式サイト：事務室。職員室は0144-74-4300</t>
  </si>
  <si>
    <t>https://haragakuen.ac.jp/access/</t>
  </si>
  <si>
    <t>千歳市</t>
  </si>
  <si>
    <t>日本航空高等学校 北海道</t>
  </si>
  <si>
    <t>0123-28-1155</t>
  </si>
  <si>
    <t>千歳市の北海道キャンパスの番号。日本航空大学校とは別</t>
  </si>
  <si>
    <t>https://school.js88.com/scl_h/34055718</t>
  </si>
  <si>
    <t>函館大谷高等学校</t>
  </si>
  <si>
    <t>0138-52-1834</t>
  </si>
  <si>
    <t>https://school.js88.com/scl_h/22052800/</t>
  </si>
  <si>
    <t>函館大妻高等学校</t>
  </si>
  <si>
    <t>0138-52-1890</t>
  </si>
  <si>
    <t>みんなの高校情報のみで確認</t>
  </si>
  <si>
    <t>https://www.minkou.jp/hischool/school/deviation/3622/?c=1</t>
  </si>
  <si>
    <t>函館白百合学園高等学校</t>
  </si>
  <si>
    <t>0138-55-6682</t>
  </si>
  <si>
    <t>中高共通の代表番号</t>
  </si>
  <si>
    <t>https://school.js88.com/scl_h/22052830</t>
  </si>
  <si>
    <t>函館大学付属柏稜高等学校</t>
  </si>
  <si>
    <t>0138-51-1481</t>
  </si>
  <si>
    <t>JS日本の学校とみんなの高校情報で一致</t>
  </si>
  <si>
    <t>https://school.js88.com/scl_h/22052850</t>
  </si>
  <si>
    <t>函館大学付属有斗高等学校</t>
  </si>
  <si>
    <t>0138-57-1381</t>
  </si>
  <si>
    <t>複数の進学情報サイトで一致</t>
  </si>
  <si>
    <t>https://school.js88.com/scl_h/22052810</t>
  </si>
  <si>
    <t>函館ラ・サール高等学校</t>
  </si>
  <si>
    <t>0138-52-0365</t>
  </si>
  <si>
    <t>中高共通。複数サイトで一致</t>
  </si>
  <si>
    <t>https://school.js88.com/scl_h/22052860?page=6</t>
  </si>
  <si>
    <t>藤女子高等学校</t>
  </si>
  <si>
    <t>011-707-5001</t>
  </si>
  <si>
    <t>公式の募集要項PDFと道私学協会の資料で一致</t>
  </si>
  <si>
    <t>https://www.fuji-gjshs.jp/20020/files/2026kou_youkou.pdf</t>
  </si>
  <si>
    <t>釧路市</t>
  </si>
  <si>
    <t>武修館高等学校</t>
  </si>
  <si>
    <t>0154-47-3211</t>
  </si>
  <si>
    <t>JS日本の学校とみんなの高校情報で一致。中学校は別番号（0154-47-3220）</t>
  </si>
  <si>
    <t>https://school.js88.com/scl_h/22053090/</t>
  </si>
  <si>
    <t>北照高等学校</t>
  </si>
  <si>
    <t>0134-32-0331</t>
  </si>
  <si>
    <t>複数サイトと公式PDFで一致</t>
  </si>
  <si>
    <t>https://school.js88.com/scl_h/22052870</t>
  </si>
  <si>
    <t>北星学園女子高等学校</t>
  </si>
  <si>
    <t>011-561-7153</t>
  </si>
  <si>
    <t>学校情報サイトと札幌市中学校の掲載資料で一致</t>
  </si>
  <si>
    <t>https://school.js88.com/scl_h/22052670?page=9</t>
  </si>
  <si>
    <t>札幌市厚別区</t>
  </si>
  <si>
    <t>北星学園大学附属高等学校</t>
  </si>
  <si>
    <t>011-897-2881</t>
  </si>
  <si>
    <t>https://school.js88.com/scl_h/22052660</t>
  </si>
  <si>
    <t>余市町</t>
  </si>
  <si>
    <t>北星学園余市高等学校</t>
  </si>
  <si>
    <t>0135-23-2165</t>
  </si>
  <si>
    <t>公式PDF（2026年5月）では「事務室 0135-23-2166」の記載あり。要確認</t>
  </si>
  <si>
    <t>https://school.js88.com/scl_h/22052900/</t>
  </si>
  <si>
    <t>札幌市清田区</t>
  </si>
  <si>
    <t>北嶺高等学校</t>
  </si>
  <si>
    <t>011-883-4651</t>
  </si>
  <si>
    <t>https://school.js88.com/scl_h/22053110 ; https://www.inter-edu.com/schools/school/321</t>
  </si>
  <si>
    <t>北海学園札幌高等学校</t>
  </si>
  <si>
    <t>011-841-1161</t>
  </si>
  <si>
    <t>公式サイトで「代表」と確認。北海高校・北海学園大学と同じ代表番号のため、学校名を伝えて取り次ぎを依頼</t>
  </si>
  <si>
    <t>https://www.hgs.ed.jp/about/index.html</t>
  </si>
  <si>
    <t>北海高等学校</t>
  </si>
  <si>
    <t>北海学園の共通代表番号。学校名を伝えて取り次ぎを依頼</t>
  </si>
  <si>
    <t>https://school.js88.com/scl_h/22052590 ; https://www.hokkai.ed.jp/sub/access.html</t>
  </si>
  <si>
    <t>北海道大谷室蘭高等学校</t>
  </si>
  <si>
    <t>0143-44-5641</t>
  </si>
  <si>
    <t>学校情報サイト1件のみで確認</t>
  </si>
  <si>
    <t>https://school.js88.com/scl_h/22052990?page=6</t>
  </si>
  <si>
    <t>札幌市手稲区</t>
  </si>
  <si>
    <t>北海道科学大学高等学校</t>
  </si>
  <si>
    <t>011-699-6987</t>
  </si>
  <si>
    <t>札幌市の一覧で確認。大学の番号とは別</t>
  </si>
  <si>
    <t>https://www.city.sapporo.jp/teine/shisetsu/school.html ; https://school.js88.com/scl_h/22052630/</t>
  </si>
  <si>
    <t>清水町</t>
  </si>
  <si>
    <t>北海道芸術高等学校</t>
  </si>
  <si>
    <t>0135-48-5131</t>
  </si>
  <si>
    <t>【所在地注意】本校は2015年に清水町から仁木町へ移転済み。番号は仁木本校のもの</t>
  </si>
  <si>
    <t>https://www.kyokei.ac.jp/contact/</t>
  </si>
  <si>
    <t>白老町</t>
  </si>
  <si>
    <t>北海道栄高等学校</t>
  </si>
  <si>
    <t>0144-82-2185</t>
  </si>
  <si>
    <t>白老町。苫小牧市への移転計画の報道あり（移転後は番号が変わる可能性）</t>
  </si>
  <si>
    <t>https://school.js88.com/scl_h/22053020/</t>
  </si>
  <si>
    <t>恵庭市</t>
  </si>
  <si>
    <t>北海道文教大学附属高等学校</t>
  </si>
  <si>
    <t>0123-25-5570</t>
  </si>
  <si>
    <t>複数サイトで一致</t>
  </si>
  <si>
    <t>https://school.js88.com/scl_h/22052730</t>
  </si>
  <si>
    <t>江別市</t>
  </si>
  <si>
    <t>酪農学園大学附属とわの森三愛高等学校</t>
  </si>
  <si>
    <t>011-386-3111</t>
  </si>
  <si>
    <t>代表番号。通信制課程は011-388-4831</t>
  </si>
  <si>
    <t>https://school.js88.com/scl_h/22052750/</t>
  </si>
  <si>
    <t>立命館慶祥高等学校</t>
  </si>
  <si>
    <t>011-381-8888</t>
  </si>
  <si>
    <t>中高共通。札幌市立中学校の配布資料と一致</t>
  </si>
  <si>
    <t>https://www.minkou.jp/junior/school/6019/</t>
  </si>
  <si>
    <t>稚内市</t>
  </si>
  <si>
    <t>稚内大谷高等学校</t>
  </si>
  <si>
    <t>0162-32-2660</t>
  </si>
  <si>
    <t>https://school.js88.com/scl_h/22052960</t>
  </si>
  <si>
    <t>青森県</t>
  </si>
  <si>
    <t>青森市</t>
  </si>
  <si>
    <t>青森明の星高等学校</t>
  </si>
  <si>
    <t>017-741-0121</t>
  </si>
  <si>
    <t>公式サイトで確認。中学校と共通。017-741-0123は短大の番号なので注意</t>
  </si>
  <si>
    <t>https://www.aomoriakenohoshi.ed.jp/ ; https://www.mapion.co.jp/phonebook/M11004/02201/ILSP0000041805_ipclm/</t>
  </si>
  <si>
    <t>青森山田高等学校</t>
  </si>
  <si>
    <t>017-739-2001</t>
  </si>
  <si>
    <t>全日制の番号。青森県の一覧ほか複数で一致。通信制は別番号（017-728-5030・未検証）</t>
  </si>
  <si>
    <t>https://www.pref.aomori.lg.jp/soshiki/soumu/gakuji/files/R5_kou.pdf ; https://studychain.jp/koukoudb/school/82/</t>
  </si>
  <si>
    <t>八戸市</t>
  </si>
  <si>
    <t>向陵高等学校</t>
  </si>
  <si>
    <t>0178-44-3866</t>
  </si>
  <si>
    <t>JS日本の学校のみで確認。千葉学園と同じ系列</t>
  </si>
  <si>
    <t>https://school.js88.com/scl_h/22027860/</t>
  </si>
  <si>
    <t>五所川原市</t>
  </si>
  <si>
    <t>五所川原第一高等学校</t>
  </si>
  <si>
    <t>0173-34-2347</t>
  </si>
  <si>
    <t>全日制の番号。職員室直通は0173-34-3635、通信制課程は0173-26-6662</t>
  </si>
  <si>
    <t>https://www.mapion.co.jp/phonebook/M11004/02205/ILSP0000040727_ipclm/ ; https://www.pref.aomori.lg.jp/soshiki/soumu/gakuji/files/R4_kou.pdf</t>
  </si>
  <si>
    <t>弘前市</t>
  </si>
  <si>
    <t>柴田学園大学附属柴田学園高等学校</t>
  </si>
  <si>
    <t>0172-32-0135</t>
  </si>
  <si>
    <t>公式サイトで確認。0172-32-6151は短大の番号なので注意</t>
  </si>
  <si>
    <t>https://hs.shibata.ac.jp/access/ ; https://school.js88.com/scl_h/22027720</t>
  </si>
  <si>
    <t>鶴田町</t>
  </si>
  <si>
    <t>下山学園高等学校</t>
  </si>
  <si>
    <t>0173-23-5541</t>
  </si>
  <si>
    <t>2つの情報源で一致</t>
  </si>
  <si>
    <t>https://school.js88.com/scl_h/22027820?page=7 ; https://www.navitime.co.jp/category/0504/02384/</t>
  </si>
  <si>
    <t>平内町</t>
  </si>
  <si>
    <t>松風塾高等学校</t>
  </si>
  <si>
    <t>017-756-2817</t>
  </si>
  <si>
    <t>青森県の一覧（R6）と学校情報サイトで一致</t>
  </si>
  <si>
    <t>https://www.pref.aomori.lg.jp/soshiki/kodomo/kenmin/files/R6_kou.pdf ; https://school.js88.com/scl_h/22027830?page=7</t>
  </si>
  <si>
    <t>千葉学園高等学校</t>
  </si>
  <si>
    <t>0178-43-4321</t>
  </si>
  <si>
    <t>青森県の一覧・マピオン・学校情報サイトで一致</t>
  </si>
  <si>
    <t>https://www.pref.aomori.lg.jp/soshiki/kodomo/kenmin/files/R6_kou.pdf ; https://www.mapion.co.jp/phonebook/M11004/02203/ILSP0000041720_ipclm/</t>
  </si>
  <si>
    <t>東奥学園高等学校</t>
  </si>
  <si>
    <t>017-775-2121</t>
  </si>
  <si>
    <t>公式サイトで確認。通信制課程も同じ番号</t>
  </si>
  <si>
    <t>https://www.toogakuen.ac.jp/</t>
  </si>
  <si>
    <t>東奥義塾高等学校</t>
  </si>
  <si>
    <t>0172-92-4111</t>
  </si>
  <si>
    <t>青森県の私立高校一覧と学校情報サイトで一致</t>
  </si>
  <si>
    <t>https://www.pref.aomori.lg.jp/soshiki/soumu/gakuji/files/R5_kou.pdf ; https://school.js88.com/scl_h/22027700</t>
  </si>
  <si>
    <t>八戸学院光星高等学校</t>
  </si>
  <si>
    <t>0178-33-4151</t>
  </si>
  <si>
    <t>公式サイトで確認。入試関係（総務部直通）は0178-35-2043</t>
  </si>
  <si>
    <t>https://kh.hachinohe-u.ac.jp/scinfo/summary/</t>
  </si>
  <si>
    <t>野辺地町</t>
  </si>
  <si>
    <t>八戸学院野辺地西高等学校</t>
  </si>
  <si>
    <t>0175-64-4166</t>
  </si>
  <si>
    <t>野辺地町の本校。JS日本の学校のみで確認</t>
  </si>
  <si>
    <t>https://school.js88.com/scl_h/22027840</t>
  </si>
  <si>
    <t>八戸工業大学第一高等学校</t>
  </si>
  <si>
    <t>0178-33-5121</t>
  </si>
  <si>
    <t>代表番号。2つの情報源で一致</t>
  </si>
  <si>
    <t>https://school.js88.com/scl_h/22027800 ; https://map.yahoo.co.jp/v3/place/dGZMNK1nstI</t>
  </si>
  <si>
    <t>八戸工業大学第二高等学校</t>
  </si>
  <si>
    <t>0178-25-4311</t>
  </si>
  <si>
    <t>公式サイトで確認。附属中学校と共通</t>
  </si>
  <si>
    <t>https://www.kodai2-h.ed.jp/access</t>
  </si>
  <si>
    <t>八戸聖ウルスラ学院高等学校</t>
  </si>
  <si>
    <t>0178-27-2245</t>
  </si>
  <si>
    <t>中高共通の番号</t>
  </si>
  <si>
    <t>https://unesco-sdgs.mext.go.jp/stakeholders/hachinohe-st-ursula-junior-and-senior-high-school ; https://studychain.jp/koukoudb/school/4086/</t>
  </si>
  <si>
    <t>弘前学院聖愛高等学校</t>
  </si>
  <si>
    <t>0172-87-1411</t>
  </si>
  <si>
    <t>青森県の私立高校一覧（R4・R6版）で確認</t>
  </si>
  <si>
    <t>https://www.pref.aomori.lg.jp/soshiki/kodomo/kenmin/files/R6_kou.pdf</t>
  </si>
  <si>
    <t>弘前東高等学校</t>
  </si>
  <si>
    <t>0172-27-6487</t>
  </si>
  <si>
    <t>公式サイトと青森県の一覧で一致</t>
  </si>
  <si>
    <t>https://hirosakihigashi-th.ed.jp/ ; https://www.pref.aomori.lg.jp/soshiki/soumu/gakuji/files/R5_kou.pdf</t>
  </si>
  <si>
    <t>岩手県</t>
  </si>
  <si>
    <t>一関市</t>
  </si>
  <si>
    <t>一関学院高等学校</t>
  </si>
  <si>
    <t>0191-23-4240</t>
  </si>
  <si>
    <t>公式サイトで確認（全日制・通信制共通、受付8:30〜17:00）。職員室は0191-23-3906</t>
  </si>
  <si>
    <t>https://ichinoseki-gakuin.jp/contact/index.html ; https://www.mapion.co.jp/phonebook/M11004/03209/ILSP0000041169_ipclm/</t>
  </si>
  <si>
    <t>一関修紅高等学校</t>
  </si>
  <si>
    <t>0191-23-3096</t>
  </si>
  <si>
    <t>公式サイトで確認。一部サイトの0191-23-3271は旧番号の可能性あり</t>
  </si>
  <si>
    <t>https://shuko.ed.jp/profile/ ; https://www.mapion.co.jp/phonebook/M11004/03209/ILSP0000041931_ipclm/</t>
  </si>
  <si>
    <t>盛岡市</t>
  </si>
  <si>
    <t>岩手高等学校</t>
  </si>
  <si>
    <t>019-624-4445</t>
  </si>
  <si>
    <t>公式サイトで確認。中高共通の番号。男子校</t>
  </si>
  <si>
    <t>https://iwate-jh.ed.jp/ ; https://map.yahoo.co.jp/v3/place/RvEksJmg4Wo</t>
  </si>
  <si>
    <t>岩手女子高等学校</t>
  </si>
  <si>
    <t>019-623-6467</t>
  </si>
  <si>
    <t>公式サイトで確認</t>
  </si>
  <si>
    <t>https://iwatejoshi-h.ed.jp/access/index.html ; https://school.js88.com/scl_h/22028650</t>
  </si>
  <si>
    <t>江南義塾盛岡高等学校</t>
  </si>
  <si>
    <t>019-646-1866</t>
  </si>
  <si>
    <t>公式サイトの事務室の番号（通信制・盛岡本校）。職員室は019-656-1550</t>
  </si>
  <si>
    <t>http://kounan-h.jp/ ; https://school.js88.com/scl_h/22028670/</t>
  </si>
  <si>
    <t>北上市</t>
  </si>
  <si>
    <t>専修大学北上高等学校</t>
  </si>
  <si>
    <t>0197-63-2341</t>
  </si>
  <si>
    <t>公式サイトに「代表」と記載</t>
  </si>
  <si>
    <t>https://www.minkou.jp/hischool/school/2478/ ; https://school.js88.com/scl_h/22028730</t>
  </si>
  <si>
    <t>花巻市</t>
  </si>
  <si>
    <t>花巻東高等学校</t>
  </si>
  <si>
    <t>0198-41-1135</t>
  </si>
  <si>
    <t>公式サイトの事務室の番号。職員室は0198-24-2825</t>
  </si>
  <si>
    <t>https://www.hanamakihigashi-h.jp/contact/index.php ; https://www.mapion.co.jp/phonebook/M11004/03205/ILSP0000041838_ipclm/</t>
  </si>
  <si>
    <t>奥州市</t>
  </si>
  <si>
    <t>水沢第一高等学校</t>
  </si>
  <si>
    <t>0197-24-6171</t>
  </si>
  <si>
    <t>公式サイトで確認。県立水沢高校（0197-24-3152）とは別の学校なので注意</t>
  </si>
  <si>
    <t>https://mizuichi.ed.jp/contact/index.html ; https://www.mapion.co.jp/phonebook/M11004/03215/ILSP0000041877_ipclm/</t>
  </si>
  <si>
    <t>盛岡白百合学園高等学校</t>
  </si>
  <si>
    <t>019-661-6330</t>
  </si>
  <si>
    <t>中高共通の代表番号。共学化の可能性あり（校名・体制を要確認）</t>
  </si>
  <si>
    <t>https://msgsp.jp/admission/ ; https://www.mapion.co.jp/phonebook/M11004/03201/ILSP0000040814_ipclm/</t>
  </si>
  <si>
    <t>盛岡スコーレ高等学校</t>
  </si>
  <si>
    <t>019-636-0827</t>
  </si>
  <si>
    <t>JS日本の学校のみで確認。019-681-0831は高校生レストラン専用の番号</t>
  </si>
  <si>
    <t>https://school.js88.com/scl_h/22028690?page=7</t>
  </si>
  <si>
    <t>盛岡誠桜高等学校</t>
  </si>
  <si>
    <t>019-661-3633</t>
  </si>
  <si>
    <t>https://www.morioka-seio.ed.jp/about_school/ ; https://www.mapion.co.jp/phonebook/M11004/03201/ILSP0000040690_ipclm/</t>
  </si>
  <si>
    <t>盛岡大学附属高等学校</t>
  </si>
  <si>
    <t>019-641-1121</t>
  </si>
  <si>
    <t>JS日本の学校のみで確認。019-688-5656は法人本部の番号</t>
  </si>
  <si>
    <t>https://school.js88.com/scl_h/22028680/</t>
  </si>
  <si>
    <t>盛岡中央高等学校</t>
  </si>
  <si>
    <t>019-641-0458</t>
  </si>
  <si>
    <t>2つの情報源で一致。附属中学校は別番号（019-641-0505）</t>
  </si>
  <si>
    <t>https://school.js88.com/scl_h/22028700?page=9 ; https://www.inter-edu.com/schools/school/1760</t>
  </si>
  <si>
    <t>宮城県</t>
  </si>
  <si>
    <t>大崎市</t>
  </si>
  <si>
    <t>大崎中央高等学校</t>
  </si>
  <si>
    <t>0229-22-2030</t>
  </si>
  <si>
    <t>http://www.osakichuo.ed.jp/access.html ; https://www.pref.miyagi.jp/documents/6697/r6_meibo.pdf</t>
  </si>
  <si>
    <t>仙台市青葉区</t>
  </si>
  <si>
    <t>尚絅学院高等学校</t>
  </si>
  <si>
    <t>022-264-5881</t>
  </si>
  <si>
    <t>公式サイトで確認。中高共通。名取市の尚絅学院大学（022-381-3300）とは別</t>
  </si>
  <si>
    <t>https://ap.shokei.jp/access/ ; https://school.js88.com/scl_h/22029620</t>
  </si>
  <si>
    <t>仙台市若林区</t>
  </si>
  <si>
    <t>聖ウルスラ学院英智高等学校</t>
  </si>
  <si>
    <t>022-286-3557</t>
  </si>
  <si>
    <t>宮城県の名簿（R7）と学校情報サイトで一致。小・中学校課程は別番号（022-286-6461）</t>
  </si>
  <si>
    <t>https://www.pref.miyagi.jp/documents/6697/r7_meibo.pdf ; https://school.js88.com/scl_h/22029880/</t>
  </si>
  <si>
    <t>聖ドミニコ学院高等学校</t>
  </si>
  <si>
    <t>022-222-6337</t>
  </si>
  <si>
    <t>JS日本の学校のみで確認。中学校と共通</t>
  </si>
  <si>
    <t>https://school.js88.com/scl_h/22029890/</t>
  </si>
  <si>
    <t>聖和学園高等学校</t>
  </si>
  <si>
    <t>022-257-7777</t>
  </si>
  <si>
    <t>公式サイトで確認（薬師堂キャンパス）。三神峯キャンパスは022-304-2030</t>
  </si>
  <si>
    <t>https://highschool.seiwa.ac.jp/access/</t>
  </si>
  <si>
    <t>仙台市宮城野区</t>
  </si>
  <si>
    <t>仙台育英学園高等学校</t>
  </si>
  <si>
    <t>022-256-4141</t>
  </si>
  <si>
    <t>公式サイトで確認（宮城野校舎の代表）。多賀城校舎は022-368-4111、入試広報部は022-353-6103</t>
  </si>
  <si>
    <t>https://www.sendaiikuei.ed.jp/hs/access/</t>
  </si>
  <si>
    <t>仙台市泉区</t>
  </si>
  <si>
    <t>仙台白百合学園高等学校</t>
  </si>
  <si>
    <t>022-777-5777</t>
  </si>
  <si>
    <t>公式サイトで確認。中高共通。仙台白百合女子大学とは別</t>
  </si>
  <si>
    <t>https://jh.sendaishirayuri.net/ ; https://www.miyagi-chukouren.com/post/</t>
  </si>
  <si>
    <t>仙台市太白区</t>
  </si>
  <si>
    <t>仙台城南高等学校</t>
  </si>
  <si>
    <t>022-305-2111</t>
  </si>
  <si>
    <t>学校情報サイト2件で一致、公式サイトでは未確認</t>
  </si>
  <si>
    <t>https://school.js88.com/scl_h/22029900</t>
  </si>
  <si>
    <t>仙台大学附属明成高等学校</t>
  </si>
  <si>
    <t>022-278-6131</t>
  </si>
  <si>
    <t>公式の令和8年度募集要項で確認。法人事務所（022-278-9136）とは別</t>
  </si>
  <si>
    <t>https://www.hgm.ed.jp/dnt2/_meisei/access/nic_img/7/files/r8bosyuyokopdf.pdf</t>
  </si>
  <si>
    <t>東北学院高等学校</t>
  </si>
  <si>
    <t>022-786-1231</t>
  </si>
  <si>
    <t>公式資料に「代表」と記載。中学校と共通</t>
  </si>
  <si>
    <t>https://www.jhs.tohoku-gakuin.ac.jp/admission/files/guidebook.pdf</t>
  </si>
  <si>
    <t>東北学院榴ケ岡高等学校</t>
  </si>
  <si>
    <t>022-372-6611</t>
  </si>
  <si>
    <t>公式パンフレットと入試要項で一致</t>
  </si>
  <si>
    <t>https://www.tutuji.tohoku-gakuin.ac.jp/admission/files/pamphlet.pdf ; https://www.tutuji.tohoku-gakuin.ac.jp/admission/data/second/youkou.pdf</t>
  </si>
  <si>
    <t>東北高等学校</t>
  </si>
  <si>
    <t>022-234-6361</t>
  </si>
  <si>
    <t>小松島キャンパスの代表。泉キャンパスは022-379-6001、入試広報センターは022-234-2351</t>
  </si>
  <si>
    <t>https://www.tohoku.ed.jp/access/ ; https://school.js88.com/scl_h/22029570</t>
  </si>
  <si>
    <t>東北生活文化大学高等学校</t>
  </si>
  <si>
    <t>022-272-7511</t>
  </si>
  <si>
    <t>公式サイトに「代表」と記載。入試広報室は022-272-7522</t>
  </si>
  <si>
    <t>https://www.seibun.ed.jp/contact/</t>
  </si>
  <si>
    <t>気仙沼市</t>
  </si>
  <si>
    <t>東陵高等学校</t>
  </si>
  <si>
    <t>0226-23-3100</t>
  </si>
  <si>
    <t>宮城県の資料と学校情報サイトで一致</t>
  </si>
  <si>
    <t>https://www.pref.miyagi.jp/documents/17663/09kannaigakkouitiran.pdf ; https://school.js88.com/scl_h/22029940</t>
  </si>
  <si>
    <t>常盤木学園高等学校</t>
  </si>
  <si>
    <t>022-263-1755</t>
  </si>
  <si>
    <t>公式サイトでは職員室の番号。事務室（法人）は022-263-1751で、こちらを代表とするサイトもあり</t>
  </si>
  <si>
    <t>https://www.tokiwagi.ed.jp/ ; https://www.mapion.co.jp/phonebook/M11004/04101/ILSP0000041493_ipclm/</t>
  </si>
  <si>
    <t>七ヶ宿町</t>
  </si>
  <si>
    <t>西山学院高等学校</t>
  </si>
  <si>
    <t>0224-37-2131</t>
  </si>
  <si>
    <t>七ヶ宿町の本校。学校情報サイト2件で一致、公式サイトでは未確認。全寮制</t>
  </si>
  <si>
    <t>https://school.js88.com/scl_h/22029950</t>
  </si>
  <si>
    <t>古川学園高等学校</t>
  </si>
  <si>
    <t>0229-22-2545</t>
  </si>
  <si>
    <t>学校情報サイト2件で一致、公式サイトでは未確認。中学校と共通</t>
  </si>
  <si>
    <t>https://school.js88.com/scl_h/22029920 ; https://www.minkou.jp/hischool/school/university/4189/</t>
  </si>
  <si>
    <t>宮城学院高等学校</t>
  </si>
  <si>
    <t>022-279-1331</t>
  </si>
  <si>
    <t>宮城県私立中学高等学校連合会ほかで「代表」として一致。法人代表（022-279-1311）とは別</t>
  </si>
  <si>
    <t>https://www.miyagi-chukouren.com/post/ ; https://www.mapion.co.jp/phonebook/M11004/04101/ILSP0000041377_ipclm/</t>
  </si>
  <si>
    <t>秋田県</t>
  </si>
  <si>
    <t>大仙市</t>
  </si>
  <si>
    <t>秋田修英高等学校</t>
  </si>
  <si>
    <t>0187-63-2622</t>
  </si>
  <si>
    <t>普通科・総合学科</t>
  </si>
  <si>
    <t>Yahoo!マップと学校情報サイトで一致</t>
  </si>
  <si>
    <t>https://map.yahoo.co.jp/v3/place/bojoJz7KkxU ; https://school.js88.com/scl_h/22030520</t>
  </si>
  <si>
    <t>秋田市</t>
  </si>
  <si>
    <t>秋田令和高等学校</t>
  </si>
  <si>
    <t>018-833-1353</t>
  </si>
  <si>
    <t>秋田県の高等学校一覧（R5）で確認。最新版では未確認</t>
  </si>
  <si>
    <t>https://www.pref.akita.lg.jp/uploads/public/archive_0000049957_00/R5秋田県高等学校一覧.pdf</t>
  </si>
  <si>
    <t>国学館高等学校</t>
  </si>
  <si>
    <t>018-833-6361</t>
  </si>
  <si>
    <t>秋田県の高等学校一覧（複数年度）で一致</t>
  </si>
  <si>
    <t>聖霊女子短期大学付属高等学校</t>
  </si>
  <si>
    <t>018-833-7311</t>
  </si>
  <si>
    <t>【校名変更】2024年4月から「聖霊学園高等学校」。018-845-4111は短大の番号なので注意</t>
  </si>
  <si>
    <t>https://school.js88.com/scl_h/22030490 ; https://akitajet.com/wiki/Seirei_Senior_High_School</t>
  </si>
  <si>
    <t>明桜高等学校</t>
  </si>
  <si>
    <t>018-836-2471</t>
  </si>
  <si>
    <t>正式名称は「ノースアジア大学明桜高等学校」。秋田県の一覧（複数年度）で一致</t>
  </si>
  <si>
    <t>山形県</t>
  </si>
  <si>
    <t>小国町</t>
  </si>
  <si>
    <t>基督教独立学園高等学校</t>
  </si>
  <si>
    <t>0238-65-2021</t>
  </si>
  <si>
    <t>複数の情報源で一致</t>
  </si>
  <si>
    <t>https://school.js88.com/scl_h/22030920/ ; https://studychain.jp/koukoudb/school/1573/</t>
  </si>
  <si>
    <t>米沢市</t>
  </si>
  <si>
    <t>九里学園高等学校</t>
  </si>
  <si>
    <t>0238-22-0091</t>
  </si>
  <si>
    <t>学校情報サイトと山形県の学校法人名簿で一致</t>
  </si>
  <si>
    <t>https://school.js88.com/scl_h/22030900 ; https://www100.pref.yamagata.jp/documents/1101/r5meibo.pdf</t>
  </si>
  <si>
    <t>酒田市</t>
  </si>
  <si>
    <t>酒田南高等学校</t>
  </si>
  <si>
    <t>0234-22-4733</t>
  </si>
  <si>
    <t>公式サイトの職員室の番号（浜田キャンパス）。事務室は0234-24-2900。一部サイトの0234-22-7341は旧キャンパスの番号の可能性あり</t>
  </si>
  <si>
    <t>https://www.sakataminami-h.ed.jp/contact/</t>
  </si>
  <si>
    <t>新庄市</t>
  </si>
  <si>
    <t>新庄東高等学校</t>
  </si>
  <si>
    <t>0233-22-1562</t>
  </si>
  <si>
    <t>http://shinjo-east.com/access.html ; https://www.mapion.co.jp/phonebook/M11004/06205/ILSP0000041749_ipclm/</t>
  </si>
  <si>
    <t>天童市</t>
  </si>
  <si>
    <t>創学館高等学校</t>
  </si>
  <si>
    <t>023-655-2321</t>
  </si>
  <si>
    <t>公式サイトと山形県の名簿で一致。023-655-2328は同じ法人の別の学校の番号なので注意</t>
  </si>
  <si>
    <t>https://sogaku.ed.jp/introduction/access ; https://www100.pref.yamagata.jp/documents/1101/r5meibo.pdf</t>
  </si>
  <si>
    <t>鶴岡市</t>
  </si>
  <si>
    <t>鶴岡東高等学校</t>
  </si>
  <si>
    <t>0235-22-0223</t>
  </si>
  <si>
    <t>学校情報サイト2件で一致</t>
  </si>
  <si>
    <t>https://school.js88.com/scl_h/22030940/</t>
  </si>
  <si>
    <t>山形市</t>
  </si>
  <si>
    <t>東海大学山形高等学校</t>
  </si>
  <si>
    <t>023-688-3022</t>
  </si>
  <si>
    <t>https://www.minkou.jp/hischool/school/2773/ ; https://www200.pref.yamagata.jp/documents/1101/r7meibo.pdf</t>
  </si>
  <si>
    <t>東北文教大学山形城北高等学校</t>
  </si>
  <si>
    <t>023-645-3377</t>
  </si>
  <si>
    <t>公式サイトに「代表」と記載。023-688-2296は短大の番号なので注意</t>
  </si>
  <si>
    <t>https://www.johoku.ed.jp/school-life/</t>
  </si>
  <si>
    <t>日本大学山形高等学校</t>
  </si>
  <si>
    <t>023-641-6631</t>
  </si>
  <si>
    <t>https://www.ymgt.hs.nihon-u.ac.jp/wp-content/uploads/2025/06/部活体験会2025チラシ.pdf</t>
  </si>
  <si>
    <t>羽黒高等学校</t>
  </si>
  <si>
    <t>0235-62-2105</t>
  </si>
  <si>
    <t>公式サイトとマピオンで一致。0235-62-2103は法人の事業部の番号なので注意</t>
  </si>
  <si>
    <t>https://www.haguroko.ed.jp/ ; https://www.mapion.co.jp/phonebook/M11004/06203/ILSP0000041869_ipclm/</t>
  </si>
  <si>
    <t>山形学院高等学校</t>
  </si>
  <si>
    <t>023-641-4116</t>
  </si>
  <si>
    <t>公式サイトの事務室の番号。職員室は023-641-4115</t>
  </si>
  <si>
    <t>https://www.y-gakuin.ac.jp/about/ ; https://www200.pref.yamagata.jp/documents/1101/r7meibo.pdf</t>
  </si>
  <si>
    <t>山形明正高等学校</t>
  </si>
  <si>
    <t>023-631-2099</t>
  </si>
  <si>
    <t>山形県の学校法人名簿とYahoo!マップで一致</t>
  </si>
  <si>
    <t>https://www100.pref.yamagata.jp/documents/1101/r6meibo.pdf ; https://map.yahoo.co.jp/v3/place/MoZP1zgQvRE</t>
  </si>
  <si>
    <t>惺山高等学校</t>
  </si>
  <si>
    <t>023-643-0321</t>
  </si>
  <si>
    <t>【旧校名】2022年4月に山本学園高等学校から改称。通信制課程は023-679-3715</t>
  </si>
  <si>
    <t>https://school.js88.com/scl_h/22029820 ; https://www.minkou.jp/hischool/school/4893/</t>
  </si>
  <si>
    <t>米沢中央高等学校</t>
  </si>
  <si>
    <t>0238-22-4223</t>
  </si>
  <si>
    <t>学校情報サイト複数で一致、公式サイトでは未確認</t>
  </si>
  <si>
    <t>https://school.js88.com/scl_h/22030910?page=7 ; https://studychain.jp/koukoudb/school/5290/</t>
  </si>
  <si>
    <t>和順館高等学校</t>
  </si>
  <si>
    <t>0234-26-1670</t>
  </si>
  <si>
    <t>私立（酒田南高校と同じ学校法人）。通信制・単位制</t>
  </si>
  <si>
    <t>https://www.wajun-honbu.ac.jp/wajunkan/1.html ; https://www.mapion.co.jp/phonebook/M11004/06204/ILSP0000040809_ipclm/</t>
  </si>
  <si>
    <t>福島県</t>
  </si>
  <si>
    <t>会津若松市</t>
  </si>
  <si>
    <t>会津北嶺高等学校</t>
  </si>
  <si>
    <t>0242-22-1004</t>
  </si>
  <si>
    <t>会津若松市の資料と学校情報サイトで一致。2017年に若松第一高校から改称</t>
  </si>
  <si>
    <t>https://www.city.aizuwakamatsu.fukushima.jp/info/2024041000377/ ; https://school.js88.com/scl_h/22031860/</t>
  </si>
  <si>
    <t>会津若松ザベリオ学園高等学校</t>
  </si>
  <si>
    <t>0242-27-1970</t>
  </si>
  <si>
    <t>公式サイトで確認。中高共通。一部の地図サイトではFAX（0242-27-3300）が電話番号として誤って載っているので注意</t>
  </si>
  <si>
    <t>https://www.aizu-xaverio.ed.jp/ ; https://www.city.aizuwakamatsu.fukushima.jp/info/2024041000384/</t>
  </si>
  <si>
    <t>石川町</t>
  </si>
  <si>
    <t>石川高等学校</t>
  </si>
  <si>
    <t>0247-26-5151</t>
  </si>
  <si>
    <t>私立（通称「学法石川」）。県立石川高校とは別なので注意。石川義塾中学校と共通</t>
  </si>
  <si>
    <t>https://ishikawa-gijuku.ac.jp/lp2020/ ; https://school.js88.com/scl_h/22031850</t>
  </si>
  <si>
    <t>いわき市</t>
  </si>
  <si>
    <t>いわき秀英高等学校</t>
  </si>
  <si>
    <t>0246-75-2111</t>
  </si>
  <si>
    <t>福島県の資料と学校情報サイトで一致</t>
  </si>
  <si>
    <t>https://www.pref.fukushima.lg.jp/uploaded/attachment/598705.pdf ; https://www.minkou.jp/junior/school/94497/</t>
  </si>
  <si>
    <t>磐城第一高等学校</t>
  </si>
  <si>
    <t>0246-26-1251</t>
  </si>
  <si>
    <t>公式サイトで確認。私立の女子校。県立磐城高校（0246-23-2566）とは別なので注意</t>
  </si>
  <si>
    <t>https://www.iwaki1-h.ed.jp/</t>
  </si>
  <si>
    <t>磐城緑蔭高等学校</t>
  </si>
  <si>
    <t>0246-25-6341</t>
  </si>
  <si>
    <t>https://www.pref.fukushima.lg.jp/uploaded/attachment/598705.pdf ; https://school.js88.com/scl_h/22031900</t>
  </si>
  <si>
    <t>郡山市</t>
  </si>
  <si>
    <t>郡山女子大学附属高等学校</t>
  </si>
  <si>
    <t>024-932-4848</t>
  </si>
  <si>
    <t>大学と共通の代表番号。高校に取り次いでもらう形になる可能性あり。公式サイトでは未確認</t>
  </si>
  <si>
    <t>https://school.js88.com/scl_h/22031810/</t>
  </si>
  <si>
    <t>福島市</t>
  </si>
  <si>
    <t>桜の聖母学院高等学校</t>
  </si>
  <si>
    <t>024-535-3141</t>
  </si>
  <si>
    <t>https://www.pref.fukushima.lg.jp/uploaded/attachment/598705.pdf ; https://school.js88.com/scl_h/22031780</t>
  </si>
  <si>
    <t>松韻学園福島高等学校</t>
  </si>
  <si>
    <t>024-534-3480</t>
  </si>
  <si>
    <t>https://www.pref.fukushima.lg.jp/uploaded/attachment/598705.pdf ; https://school.js88.com/scl_h/22031760/</t>
  </si>
  <si>
    <t>尚志高等学校</t>
  </si>
  <si>
    <t>024-951-3500</t>
  </si>
  <si>
    <t>公式サイトで確認。学校法人の本部（024-951-1476）とは別</t>
  </si>
  <si>
    <t>https://www.shoshi.ed.jp/highschool/traffic/index.html ; https://www.mapion.co.jp/phonebook/M11004/07203/ILSP0000041943_ipclm/</t>
  </si>
  <si>
    <t>仁愛高等学校</t>
  </si>
  <si>
    <t>0242-25-0581</t>
  </si>
  <si>
    <t>https://school.js88.com/scl_h/34028620/ ; https://www.pref.fukushima.lg.jp/uploaded/attachment/598705.pdf</t>
  </si>
  <si>
    <t>伊達市</t>
  </si>
  <si>
    <t>聖光学院高等学校（福島県）</t>
  </si>
  <si>
    <t>024-583-3325</t>
  </si>
  <si>
    <t>公式資料に「代表」と記載（第一校舎・伊達市）。第二校舎（桑折町）は024-583-2168</t>
  </si>
  <si>
    <t>https://www.seikogakuin.jp/pdf_file/2023outline.pdf?v=3 ; http://www.seikogakuin.jp/</t>
  </si>
  <si>
    <t>帝京安積高等学校</t>
  </si>
  <si>
    <t>024-941-7755</t>
  </si>
  <si>
    <t>https://school.js88.com/scl_h/22031820</t>
  </si>
  <si>
    <t>日本大学東北高等学校</t>
  </si>
  <si>
    <t>024-956-8840</t>
  </si>
  <si>
    <t>公式サイトの住所欄の番号（「代表」の表記なし）。入試・学校案内の問い合わせは024-956-8838、広報部は024-956-8856</t>
  </si>
  <si>
    <t>https://www.tohoku.hs.nihon-u.ac.jp/inq/inq.html</t>
  </si>
  <si>
    <t>東日本国際大学附属昌平高等学校</t>
  </si>
  <si>
    <t>0246-57-1123</t>
  </si>
  <si>
    <t>公式サイトに「代表」と記載。中高共通。一部サイトの0246-88-6743は公式と異なるため不採用</t>
  </si>
  <si>
    <t>https://shohei-chukou.ac.jp/school_guidance/access/ ; https://shohei-chukou.ac.jp/contact/</t>
  </si>
  <si>
    <t>福島成蹊高等学校</t>
  </si>
  <si>
    <t>024-522-2049</t>
  </si>
  <si>
    <t>福島県・文部科学省の資料と学校情報サイトで一致。中学校は別番号（024-526-2282）</t>
  </si>
  <si>
    <t>https://www.pref.fukushima.lg.jp/uploaded/attachment/598705.pdf ; https://school.js88.com/scl_h/22031770?page=5</t>
  </si>
  <si>
    <t>福島東稜高等学校</t>
  </si>
  <si>
    <t>024-535-3316</t>
  </si>
  <si>
    <t>https://www.toryo.ac.jp/ ; https://www.mapion.co.jp/phonebook/M11004/07201/ILSP0000040636_ipclm/</t>
  </si>
  <si>
    <t>茨城県</t>
  </si>
  <si>
    <t>龍ケ崎市</t>
  </si>
  <si>
    <t>愛国学園大学附属龍ヶ崎高等学校</t>
  </si>
  <si>
    <t>0297-66-0757</t>
  </si>
  <si>
    <t>茨城県の名簿と龍ケ崎市の資料で一致。女子校</t>
  </si>
  <si>
    <t>https://kyoiku.pref.ibaraki.jp/private-school/school-16/ ; https://www.city.ryugasaki.ibaraki.jp/shisei/SDGs/SDGspartner.files/aikoku.syoukai.pdf</t>
  </si>
  <si>
    <t>日立市</t>
  </si>
  <si>
    <t>茨城キリスト教学園高等学校</t>
  </si>
  <si>
    <t>0294-52-3215</t>
  </si>
  <si>
    <t>学園の代表番号。一部サイトではFAX（0294-53-9927）が電話番号として誤って載っているので注意</t>
  </si>
  <si>
    <t>https://kyoiku.pref.ibaraki.jp/private-school/school-9/ ; https://school.js88.com/scl_h/22001120</t>
  </si>
  <si>
    <t>水戸市</t>
  </si>
  <si>
    <t>茨城高等学校</t>
  </si>
  <si>
    <t>029-221-4936</t>
  </si>
  <si>
    <t>公式サイトで確認。中学校と共通</t>
  </si>
  <si>
    <t>https://www.ibaraki-jsh.ed.jp/access ; https://kyoiku.pref.ibaraki.jp/private-school/school-1/</t>
  </si>
  <si>
    <t>桜川市</t>
  </si>
  <si>
    <t>岩瀬日本大学高等学校</t>
  </si>
  <si>
    <t>0296-75-2242</t>
  </si>
  <si>
    <t>公式サイトに「代表」と記載。入試広報直通は0296-75-6467</t>
  </si>
  <si>
    <t>https://www.tng.ac.jp/iwase/ ; https://kyoiku.pref.ibaraki.jp/private-school/school-13/</t>
  </si>
  <si>
    <t>つくば市</t>
  </si>
  <si>
    <t>Ｓ高等学校</t>
  </si>
  <si>
    <t>029-879-5801</t>
  </si>
  <si>
    <t>茨城県の名簿に載っているつくば本校の番号（広域通信制、N高グループ）。公式の窓口は入学相談のフリーダイヤル0120-025-215</t>
  </si>
  <si>
    <t>https://kyoiku.pref.ibaraki.jp/private-school/school-32/</t>
  </si>
  <si>
    <t>取手市</t>
  </si>
  <si>
    <t>江戸川学園取手高等学校</t>
  </si>
  <si>
    <t>0297-74-8771</t>
  </si>
  <si>
    <t>公式サイトに「代表」と記載。中高共通。一部サイトの0297-74-0111は公式と異なる</t>
  </si>
  <si>
    <t>https://www2.e-t.ed.jp/ ; https://kyoiku.pref.ibaraki.jp/private-school/school-18/</t>
  </si>
  <si>
    <t>鹿嶋市</t>
  </si>
  <si>
    <t>鹿島学園高等学校</t>
  </si>
  <si>
    <t>0299-83-3211</t>
  </si>
  <si>
    <t>全日制の代表（公式サイト）。入試部直通は0299-83-3215。通信制の本部は0299-85-2020</t>
  </si>
  <si>
    <t>https://kgh.ed.jp/contact/main.html ; https://kyoiku.pref.ibaraki.jp/private-school/school-29/</t>
  </si>
  <si>
    <t>阿見町</t>
  </si>
  <si>
    <t>霞ヶ浦高等学校</t>
  </si>
  <si>
    <t>029-887-0013</t>
  </si>
  <si>
    <t>公式サイトで確認（029-887-4755も併記）。附属中学校は別番号（029-888-8208）</t>
  </si>
  <si>
    <t>https://www.kasumi.ed.jp/%E3%81%8A%E5%95%8F%E3%81%84%E5%90%88%E3%82%8F%E3%81%9B/ ; https://www.town.ami.lg.jp/cmsfiles/contents/0000015/15073/kasumigaurashi.pdf</t>
  </si>
  <si>
    <t>古河市</t>
  </si>
  <si>
    <t>晃陽学園高等学校</t>
  </si>
  <si>
    <t>0280-31-5455</t>
  </si>
  <si>
    <t>公式サイトで確認（通信制・古河本校）</t>
  </si>
  <si>
    <t>https://www.koyo-gakuen.ac.jp/hs/access.html</t>
  </si>
  <si>
    <t>翔洋学園高等学校</t>
  </si>
  <si>
    <t>0294-27-1101</t>
  </si>
  <si>
    <t>公式サイトで確認（通信制・日立本校）。入学相談は別番号（04-7199-3171）</t>
  </si>
  <si>
    <t>https://www.shoyo.ac.jp/school/hitachi/ ; https://www.mapion.co.jp/phonebook/M11004/08202/ILSP0000041005_ipclm/</t>
  </si>
  <si>
    <t>土浦市</t>
  </si>
  <si>
    <t>常総学院高等学校</t>
  </si>
  <si>
    <t>029-842-8771</t>
  </si>
  <si>
    <t>公式サイトで確認。中学校は別番号（029-842-0708）</t>
  </si>
  <si>
    <t>https://joso.ac.jp/information-disclosure ; https://kyoiku.pref.ibaraki.jp/private-school/school-20/</t>
  </si>
  <si>
    <t>水城高等学校</t>
  </si>
  <si>
    <t>029-247-6509</t>
  </si>
  <si>
    <t>茨城県教育委員会の一覧ほか複数の資料で一致</t>
  </si>
  <si>
    <t>https://kyoiku.pref.ibaraki.jp/gakko/private-schools/high-school/ ; https://school.js88.com/scl_h/22001180/</t>
  </si>
  <si>
    <t>清真学園高等学校</t>
  </si>
  <si>
    <t>0299-83-1811</t>
  </si>
  <si>
    <t>茨城県教育委員会の一覧と学校情報サイトで一致。中高一貫校</t>
  </si>
  <si>
    <t>https://kyoiku.pref.ibaraki.jp/gakko/private-schools/high-school/ ; https://school.js88.com/scl_h/22001240</t>
  </si>
  <si>
    <t>聖徳大学附属取手聖徳女子高等学校</t>
  </si>
  <si>
    <t>0297-83-8111</t>
  </si>
  <si>
    <t>学校の資料に「代表」と記載</t>
  </si>
  <si>
    <t>https://www.torideseitoku.ed.jp/wp/wp-content/uploads/2023/08/2461bcab6ee07475a751ced6d068d203.pdf ; https://kyoiku.pref.ibaraki.jp/gakko/private-schools/high-school/</t>
  </si>
  <si>
    <t>大成女子高等学校</t>
  </si>
  <si>
    <t>029-221-4888</t>
  </si>
  <si>
    <t>茨城県教育委員会の一覧と学校情報サイトで一致</t>
  </si>
  <si>
    <t>https://kyoiku.pref.ibaraki.jp/gakko/private-schools/high-school/ ; https://school.js88.com/scl_h/22001140/</t>
  </si>
  <si>
    <t>高萩市</t>
  </si>
  <si>
    <t>第一学院高等学校 高萩本校</t>
  </si>
  <si>
    <t>0293-20-5800</t>
  </si>
  <si>
    <t>高萩校（通信制）の番号。公式サイトと茨城県教育委員会のページで一致</t>
  </si>
  <si>
    <t>https://www.daiichigakuin.ed.jp/about/outline/ ; https://kyoiku.pref.ibaraki.jp/private-school/school-35/</t>
  </si>
  <si>
    <t>牛久市</t>
  </si>
  <si>
    <t>つくば開成高等学校</t>
  </si>
  <si>
    <t>029-872-5532</t>
  </si>
  <si>
    <t>牛久本校（通信制）の番号。土浦・守谷の学習センターは別番号</t>
  </si>
  <si>
    <t>https://kyoiku.pref.ibaraki.jp/private-school/school-27/ ; https://t-kaisei.ed.jp/ibaraki/</t>
  </si>
  <si>
    <t>つくば国際大学高等学校</t>
  </si>
  <si>
    <t>029-821-0670</t>
  </si>
  <si>
    <t>公式サイトで確認。029-826-6000は大学の番号なので注意</t>
  </si>
  <si>
    <t>https://www.tiuh.ed.jp/ ; https://kyoiku.pref.ibaraki.jp/private-school/school-10/</t>
  </si>
  <si>
    <t>かすみがうら市</t>
  </si>
  <si>
    <t>つくば国際大学東風高等学校</t>
  </si>
  <si>
    <t>0299-59-7516</t>
  </si>
  <si>
    <t>https://www.harukaze.ed.jp/ ; https://kyoiku.pref.ibaraki.jp/private-school/school-11/</t>
  </si>
  <si>
    <t>つくば秀英高等学校</t>
  </si>
  <si>
    <t>029-847-1611</t>
  </si>
  <si>
    <t>https://tsukubashuei.com/contact.html ; https://kyoiku.pref.ibaraki.jp/private-school/school-23/</t>
  </si>
  <si>
    <t>土浦日本大学高等学校</t>
  </si>
  <si>
    <t>029-822-3382</t>
  </si>
  <si>
    <t>公式の募集要項に「代表」と記載。土浦日本大学中等教育学校（029-835-3907）は別の学校</t>
  </si>
  <si>
    <t>https://tng.ac.jp/tsuchiura/files/items/2756/File/2026_AO.pdf</t>
  </si>
  <si>
    <t>東洋大学附属牛久高等学校</t>
  </si>
  <si>
    <t>029-872-0350</t>
  </si>
  <si>
    <t>公式の募集要項に「代表」と記載</t>
  </si>
  <si>
    <t>https://www.toyo.ac.jp/ushiku/assets/2026boshuyoko.pdf</t>
  </si>
  <si>
    <t>常磐大学高等学校</t>
  </si>
  <si>
    <t>029-224-1707</t>
  </si>
  <si>
    <t>茨城労働局の資料と学校情報サイトで一致</t>
  </si>
  <si>
    <t>https://jsite.mhlw.go.jp/ibaraki-roudoukyoku/content/contents/002658628.pdf ; https://school.js88.com/scl_h/22001150</t>
  </si>
  <si>
    <t>水戸葵陵高等学校</t>
  </si>
  <si>
    <t>029-243-7718</t>
  </si>
  <si>
    <t>茨城労働局の資料と学校情報サイトで一致。募集室直通は029-243-7750</t>
  </si>
  <si>
    <t>https://jsite.mhlw.go.jp/ibaraki-roudoukyoku/content/contents/002658628.pdf ; https://school.js88.com/scl_h/22001290</t>
  </si>
  <si>
    <t>水戸啓明高等学校</t>
  </si>
  <si>
    <t>029-241-1573</t>
  </si>
  <si>
    <t>公式サイトと茨城県教育委員会のページで一致</t>
  </si>
  <si>
    <t>https://www.mito-keimei.ed.jp/ ; https://kyoiku.pref.ibaraki.jp/private-school/school-5/</t>
  </si>
  <si>
    <t>水戸女子高等学校</t>
  </si>
  <si>
    <t>029-224-4124</t>
  </si>
  <si>
    <t>複数の資料で一致</t>
  </si>
  <si>
    <t>https://school.js88.com/scl_h/22001160 ; https://jsite.mhlw.go.jp/ibaraki-roudoukyoku/content/contents/002658632.pdf</t>
  </si>
  <si>
    <t>水戸平成学園高等学校</t>
  </si>
  <si>
    <t>029-300-5777</t>
  </si>
  <si>
    <t>通信制。公式サイトと茨城県教育委員会のページで一致</t>
  </si>
  <si>
    <t>https://www.mitoheisei.ac.jp/ ; https://kyoiku.pref.ibaraki.jp/private-school/school-30/</t>
  </si>
  <si>
    <t>茗溪学園高等学校</t>
  </si>
  <si>
    <t>029-851-6611</t>
  </si>
  <si>
    <t>https://www.inter-edu.com/schools/school/43 ; https://meikei.ac.jp/uploads/2026/06/462f5bd1d8b7360a3fcc191d581fa4f4.pdf</t>
  </si>
  <si>
    <t>明秀学園日立高等学校</t>
  </si>
  <si>
    <t>0294-21-6328</t>
  </si>
  <si>
    <t>学校情報サイトのみで確認、公式サイトでは未確認</t>
  </si>
  <si>
    <t>https://school.js88.com/scl_h/22001110</t>
  </si>
  <si>
    <t>大子町</t>
  </si>
  <si>
    <t>ルネサンス高等学校</t>
  </si>
  <si>
    <t>0295-76-8031</t>
  </si>
  <si>
    <t>大子町の本校（広域通信制）。本校は移転済みで、電話帳サイトに残る旧番号（0295-79-1151）は使わない</t>
  </si>
  <si>
    <t>https://www.r-ac.jp/campus/daigo/ ; https://kyoiku.pref.ibaraki.jp/private-school/school-36/</t>
  </si>
  <si>
    <t>栃木県</t>
  </si>
  <si>
    <t>足利市</t>
  </si>
  <si>
    <t>足利短期大学附属高等学校</t>
  </si>
  <si>
    <t>0284-21-7344</t>
  </si>
  <si>
    <t>【校名変更】2025年4月から「足利大学附属女子高等学校」。番号は変更なし。足利大学附属高校（0284-71-1285）とは別の学校</t>
  </si>
  <si>
    <t>https://www.minkou.jp/hischool/school/302/ ; https://www.mapion.co.jp/phonebook/M11004/09202/ILSP0000040888_ipclm/</t>
  </si>
  <si>
    <t>足利大学附属高等学校</t>
  </si>
  <si>
    <t>0284-71-1285</t>
  </si>
  <si>
    <t>学校情報サイト複数で一致、公式サイトの「代表」表記は未確認</t>
  </si>
  <si>
    <t>https://www.minkou.jp/hischool/school/301/ ; https://school.js88.com/scl_h/22002100</t>
  </si>
  <si>
    <t>宇都宮市</t>
  </si>
  <si>
    <t>宇都宮短期大学附属高等学校</t>
  </si>
  <si>
    <t>028-634-4161</t>
  </si>
  <si>
    <t>複数の情報源で一致。附属中学校と共通</t>
  </si>
  <si>
    <t>https://school.js88.com/scl_h/22002040/ ; https://jsite.mhlw.go.jp/tochigi-roudoukyoku/gakusotsu__teisei.html</t>
  </si>
  <si>
    <t>宇都宮文星女子高等学校</t>
  </si>
  <si>
    <t>028-621-8156</t>
  </si>
  <si>
    <t>https://map.yahoo.co.jp/v3/place/9Q5SymdS8No ; https://school.js88.com/scl_h/22002030</t>
  </si>
  <si>
    <t>栃木市</t>
  </si>
  <si>
    <t>國學院大學栃木高等学校</t>
  </si>
  <si>
    <t>0282-22-5511</t>
  </si>
  <si>
    <t>公式パンフレットに「代表」と記載。入試広報室直通は0282-25-5020</t>
  </si>
  <si>
    <t>https://kokugakuintochigi.jp/wp/wp-content/uploads/2026/06/2027KOKUTOCHI_H.pdf</t>
  </si>
  <si>
    <t>那須町</t>
  </si>
  <si>
    <t>幸福の科学学園高等学校</t>
  </si>
  <si>
    <t>0287-75-7777</t>
  </si>
  <si>
    <t>那須本校。学校情報サイト複数で一致、公式サイトでは未確認</t>
  </si>
  <si>
    <t>https://www.inter-edu.com/schools/school/2541 ; https://school.js88.com/scl_h/34025366</t>
  </si>
  <si>
    <t>作新学院高等学校</t>
  </si>
  <si>
    <t>028-648-1811</t>
  </si>
  <si>
    <t>学院共通の代表番号（公式資料で確認）。高校に取り次ぎを依頼</t>
  </si>
  <si>
    <t>https://school.js88.com/scl_h/22002010 ; https://www.sakushin.ac.jp/wp/wp-content/uploads/suadmin/2019/10/a2a92c2162621f8c78cf9e06ac2f5a7c.pdf</t>
  </si>
  <si>
    <t>佐野市</t>
  </si>
  <si>
    <t>佐野清澄高等学校</t>
  </si>
  <si>
    <t>0283-23-0841</t>
  </si>
  <si>
    <t>「代表」として掲載。県立佐野高校（0283-23-0161）とは別の学校</t>
  </si>
  <si>
    <t>https://school.js88.com/scl_h/22002070 ; https://www.inter-edu.com/schools/school/1513</t>
  </si>
  <si>
    <t>佐野日本大学高等学校</t>
  </si>
  <si>
    <t>0283-25-0111</t>
  </si>
  <si>
    <t>公式サイトで確認。0283-25-0373は学園の法人事務局の番号</t>
  </si>
  <si>
    <t>https://high.sano-nichidai.jp/</t>
  </si>
  <si>
    <t>青藍泰斗高等学校</t>
  </si>
  <si>
    <t>0283-86-2511</t>
  </si>
  <si>
    <t>公式サイトとiタウンページで一致</t>
  </si>
  <si>
    <t>http://www.seirantaito.ed.jp/access.html ; https://itp.ne.jp/info/098605730100000899/</t>
  </si>
  <si>
    <t>白鷗大学足利高等学校</t>
  </si>
  <si>
    <t>0284-41-0890</t>
  </si>
  <si>
    <t>本校舎の番号（公式サイト）。新校舎は0284-41-0801。富田キャンパスは2024年4月に本校舎へ統合済み</t>
  </si>
  <si>
    <t>https://hakuoh-h.jp/contact/ ; https://itp.ne.jp/info/097866830100000899/</t>
  </si>
  <si>
    <t>塩谷町</t>
  </si>
  <si>
    <t>日々輝学園高等学校</t>
  </si>
  <si>
    <t>0287-41-3851</t>
  </si>
  <si>
    <t>塩谷町の本校（通信制・公式サイト）。各校舎は別番号</t>
  </si>
  <si>
    <t>https://www.hibiki-gakuen.ed.jp/access/ ; https://school.js88.com/scl_h/34028539</t>
  </si>
  <si>
    <t>文星芸術大学附属高等学校</t>
  </si>
  <si>
    <t>028-636-8585</t>
  </si>
  <si>
    <t>公式サイトで確認。附属中学校は028-636-8000</t>
  </si>
  <si>
    <t>https://www.bunsei.ed.jp/access.html ; https://www.mapion.co.jp/phonebook/M11004/09201/ILSP0000041983_ipclm/</t>
  </si>
  <si>
    <t>星の杜高等学校</t>
  </si>
  <si>
    <t>028-667-0700</t>
  </si>
  <si>
    <t>公式の新入生ページの問い合わせ先（平日9〜17時）。公式サイトのフッターには学校の番号として028-667-0701の記載もあり。どちらが代表か要確認</t>
  </si>
  <si>
    <t>https://hoshinomori.ed.jp/newstudent ; https://www.mapion.co.jp/phonebook/M11004/09201/ILSP0000041355_ipclm/</t>
  </si>
  <si>
    <t>矢板市</t>
  </si>
  <si>
    <t>矢板中央高等学校</t>
  </si>
  <si>
    <t>0287-43-0447</t>
  </si>
  <si>
    <t>https://www.mapion.co.jp/phonebook/M11004/09211/ILSP0000041686_ipclm/ ; https://school.js88.com/scl_h/22002120</t>
  </si>
  <si>
    <t>群馬県</t>
  </si>
  <si>
    <t>桐生市</t>
  </si>
  <si>
    <t>Ｒ高等学校</t>
  </si>
  <si>
    <t>0277-66-9943</t>
  </si>
  <si>
    <t>群馬県の私立学校名簿に載っている桐生本校の番号（広域通信制、2025年4月開校、N高グループ）。公式の窓口は入学相談のフリーダイヤル0120-0252-15</t>
  </si>
  <si>
    <t>https://www.pref.gunma.jp/page/3563.html ; https://nnn.ed.jp/campus/r_high_school/</t>
  </si>
  <si>
    <t>館林市</t>
  </si>
  <si>
    <t>関東学園大学附属高等学校</t>
  </si>
  <si>
    <t>0276-74-1213</t>
  </si>
  <si>
    <t>公式サイトに「代表」と記載。学校法人の代表（0276-74-1211）とは別</t>
  </si>
  <si>
    <t>https://www.kanto-gakuen.ac.jp/high/access.htm</t>
  </si>
  <si>
    <t>前橋市</t>
  </si>
  <si>
    <t>共愛学園高等学校</t>
  </si>
  <si>
    <t>027-267-1000</t>
  </si>
  <si>
    <t>群馬県の一覧と学校情報サイトで一致。中学校と共通</t>
  </si>
  <si>
    <t>https://school.js88.com/scl_h/22002880 ; https://www.pref.gunma.jp/03/a3510009.html</t>
  </si>
  <si>
    <t>桐生第一高等学校</t>
  </si>
  <si>
    <t>0277-22-8131</t>
  </si>
  <si>
    <t>群馬県の名簿と学校情報サイトで一致。併設中学校は別番号（0277-48-8600）</t>
  </si>
  <si>
    <t>https://school.js88.com/scl_h/22002890/ ; https://www.pref.gunma.jp/page/3563.html</t>
  </si>
  <si>
    <t>中之条町</t>
  </si>
  <si>
    <t>白根開善学校高等部</t>
  </si>
  <si>
    <t>0279-95-5311</t>
  </si>
  <si>
    <t>群馬県の名簿と学校情報サイトで一致。中等部と共通。全寮制</t>
  </si>
  <si>
    <t>https://school.js88.com/scl_h/22002990 ; https://www.pref.gunma.jp/page/3563.html</t>
  </si>
  <si>
    <t>樹徳高等学校</t>
  </si>
  <si>
    <t>0277-45-2258</t>
  </si>
  <si>
    <t>群馬県の資料と学校情報サイトで一致。グラウンドの番号は別</t>
  </si>
  <si>
    <t>https://center.gsn.ed.jp/school/dai_you/kou_s ; https://www.pref.gunma.jp/page/3563.html</t>
  </si>
  <si>
    <t>高崎市</t>
  </si>
  <si>
    <t>高崎健康福祉大学高崎高等学校</t>
  </si>
  <si>
    <t>027-352-3460</t>
  </si>
  <si>
    <t>https://www.tuhw-h.ed.jp/inquiry/</t>
  </si>
  <si>
    <t>高崎商科大学附属高等学校</t>
  </si>
  <si>
    <t>027-322-2827</t>
  </si>
  <si>
    <t>群馬県の私立学校名簿と学校情報サイトで一致</t>
  </si>
  <si>
    <t>https://www.pref.gunma.jp/page/3563.html ; https://school.js88.com/scl_h/22002930</t>
  </si>
  <si>
    <t>東京農業大学第二高等学校</t>
  </si>
  <si>
    <t>027-323-1483</t>
  </si>
  <si>
    <t>公式サイトで確認。校内塾（027-324-8800）は別番号</t>
  </si>
  <si>
    <t>https://www.nodai-2-h.ed.jp/access/</t>
  </si>
  <si>
    <t>太田市</t>
  </si>
  <si>
    <t>常磐高等学校（群馬県）</t>
  </si>
  <si>
    <t>0276-45-4372</t>
  </si>
  <si>
    <t>群馬県の私立学校名簿（R5）と学校情報サイトで一致</t>
  </si>
  <si>
    <t>https://www.pref.gunma.jp/uploaded/attachment/160391.pdf ; https://school.js88.com/scl_h/22002900/</t>
  </si>
  <si>
    <t>安中市</t>
  </si>
  <si>
    <t>新島学園高等学校</t>
  </si>
  <si>
    <t>027-381-0240</t>
  </si>
  <si>
    <t>複数の情報源で一致、公式サイトでは未確認</t>
  </si>
  <si>
    <t>https://school.js88.com/scl_h/22002910/ ; https://www.mapion.co.jp/phonebook/M11004/10211/ILSP0000041225_ipclm/</t>
  </si>
  <si>
    <t>前橋育英高等学校</t>
  </si>
  <si>
    <t>027-251-7087</t>
  </si>
  <si>
    <t>https://school.js88.com/scl_h/22002970/ ; https://www.mapion.co.jp/phonebook/M11004/10201/ILSP0000041902_ipclm/</t>
  </si>
  <si>
    <t>明和県央高等学校</t>
  </si>
  <si>
    <t>027-373-5773</t>
  </si>
  <si>
    <t>https://www.meiwakenoh.ed.jp/accessmap/</t>
  </si>
  <si>
    <t>埼玉県</t>
  </si>
  <si>
    <t>さいたま市緑区</t>
  </si>
  <si>
    <t>青山学院大学系属浦和ルーテル学院高等学校</t>
  </si>
  <si>
    <t>048-711-8221</t>
  </si>
  <si>
    <t>中高共通。学校ネットの一覧に区名がなく、所在地は緑区（大崎）として調査</t>
  </si>
  <si>
    <t>https://www.inter-edu.com/schools/school/1371 ; https://school.js88.com/scl_h/22004860</t>
  </si>
  <si>
    <t>狭山市</t>
  </si>
  <si>
    <t>秋草学園高等学校</t>
  </si>
  <si>
    <t>04-2958-4111</t>
  </si>
  <si>
    <t>https://www.inter-edu.com/schools/school/552 ; https://www.univpress.co.jp/gk_pdf/11541.pdf</t>
  </si>
  <si>
    <t>浦和明の星女子高等学校</t>
  </si>
  <si>
    <t>048-873-1160</t>
  </si>
  <si>
    <t>中高共通。学校情報サイト1件のみで確認</t>
  </si>
  <si>
    <t>https://www.inter-edu.com/schools/school/47</t>
  </si>
  <si>
    <t>浦和学院高等学校</t>
  </si>
  <si>
    <t>048-878-2101</t>
  </si>
  <si>
    <t>2つの情報源で一致。併設中学校（2026年開校）は048-767-8484</t>
  </si>
  <si>
    <t>https://www.inter-edu.com/schools/school/561 ; https://univpress.co.jp/gk_pdf/11529.pdf</t>
  </si>
  <si>
    <t>さいたま市南区</t>
  </si>
  <si>
    <t>浦和実業学園高等学校</t>
  </si>
  <si>
    <t>048-861-6131</t>
  </si>
  <si>
    <t>中高共通</t>
  </si>
  <si>
    <t>https://www.inter-edu.com/schools/school/2026 ; https://www.univpress.co.jp/gk_pdf/11520.pdf</t>
  </si>
  <si>
    <t>さいたま市浦和区</t>
  </si>
  <si>
    <t>浦和麗明高等学校</t>
  </si>
  <si>
    <t>048-885-8625</t>
  </si>
  <si>
    <t>https://www.inter-edu.com/schools/school/562 ; https://univpress.co.jp/gk_pdf/11503.pdf</t>
  </si>
  <si>
    <t>越谷市</t>
  </si>
  <si>
    <t>叡明高等学校</t>
  </si>
  <si>
    <t>048-990-2211</t>
  </si>
  <si>
    <t>https://www.inter-edu.com/schools/school/564 ; https://map.yahoo.co.jp/v3/place/BK8H6OEnJI-</t>
  </si>
  <si>
    <t>飯能市</t>
  </si>
  <si>
    <t>大川学園高等学校</t>
  </si>
  <si>
    <t>042-974-8880</t>
  </si>
  <si>
    <t>通信制。学校の講師募集要項の問い合わせ先（同じ法人の専門学校と共通の可能性）</t>
  </si>
  <si>
    <t>https://portal2.mugendai.do-johodai.ac.jp/wordpress/wp-content/uploads/2025/02/大川学園高等学校非常勤講師要綱.pdf</t>
  </si>
  <si>
    <t>嵐山町</t>
  </si>
  <si>
    <t>大妻嵐山高等学校</t>
  </si>
  <si>
    <t>0493-62-2281</t>
  </si>
  <si>
    <t>https://www.inter-edu.com/schools/school/1970</t>
  </si>
  <si>
    <t>さいたま市大宮区</t>
  </si>
  <si>
    <t>大宮開成高等学校</t>
  </si>
  <si>
    <t>048-641-7161</t>
  </si>
  <si>
    <t>公式資料で確認。中高共通</t>
  </si>
  <si>
    <t>https://www.omiyakaisei.jp/pdf/hs/r07_hs-event.pdf</t>
  </si>
  <si>
    <t>さいたま市岩槻区</t>
  </si>
  <si>
    <t>開智高等学校（埼玉県）</t>
  </si>
  <si>
    <t>048-794-4321</t>
  </si>
  <si>
    <t>代表として掲載。高等部（048-793-1370）・一貫部（048-795-0777）の番号が別にあり要確認</t>
  </si>
  <si>
    <t>https://school.js88.com/scl_h/22005030</t>
  </si>
  <si>
    <t>加須市</t>
  </si>
  <si>
    <t>開智未来高等学校</t>
  </si>
  <si>
    <t>0280-61-2021</t>
  </si>
  <si>
    <t>代表として掲載（0280-61-2031を載せるサイトもあり）</t>
  </si>
  <si>
    <t>https://www.inter-edu.com/schools/school/269 ; https://school.js88.com/scl_h/34029513</t>
  </si>
  <si>
    <t>春日部市</t>
  </si>
  <si>
    <t>春日部共栄高等学校</t>
  </si>
  <si>
    <t>048-737-7611</t>
  </si>
  <si>
    <t>https://www.inter-edu.com/schools/school/2028 ; https://www.univpress.Co.jp/gk_pdf/11534.pdf</t>
  </si>
  <si>
    <t>川越市</t>
  </si>
  <si>
    <t>霞ヶ関高等学校</t>
  </si>
  <si>
    <t>049-233-3636</t>
  </si>
  <si>
    <t>通信制。学校情報サイト1件のみで確認</t>
  </si>
  <si>
    <t>https://www.minkou.jp/tsushin/school/14/</t>
  </si>
  <si>
    <t>川越東高等学校</t>
  </si>
  <si>
    <t>049-235-4811</t>
  </si>
  <si>
    <t>https://www.inter-edu.com/schools/school/540 ; https://map.yahoo.co.jp/v3/place/aJytamF9ijs</t>
  </si>
  <si>
    <t>志木市</t>
  </si>
  <si>
    <t>慶應義塾志木高等学校</t>
  </si>
  <si>
    <t>048-471-1361</t>
  </si>
  <si>
    <t>https://www.shiki.keio.ac.jp/doc/20240419kyouinsaiyou.pdf</t>
  </si>
  <si>
    <t>伊奈町</t>
  </si>
  <si>
    <t>国際学院高等学校</t>
  </si>
  <si>
    <t>048-721-5931</t>
  </si>
  <si>
    <t>中高共通。2つの情報源で一致</t>
  </si>
  <si>
    <t>https://school.js88.com/scl_h/22005090 ; https://unesco-sdgs.mext.go.jp/?p=6975</t>
  </si>
  <si>
    <t>さいたま市西区</t>
  </si>
  <si>
    <t>埼玉栄高等学校</t>
  </si>
  <si>
    <t>048-624-6488</t>
  </si>
  <si>
    <t>中学校は別番号（048-621-2121）</t>
  </si>
  <si>
    <t>https://www.inter-edu.com/schools/school/175 ; https://univpress.co.jp/gk_pdf/11527.pdf</t>
  </si>
  <si>
    <t>毛呂山町</t>
  </si>
  <si>
    <t>埼玉平成高等学校</t>
  </si>
  <si>
    <t>049-294-8080</t>
  </si>
  <si>
    <t>https://www.inter-edu.com/schools/school/176</t>
  </si>
  <si>
    <t>栄北高等学校</t>
  </si>
  <si>
    <t>048-723-7711</t>
  </si>
  <si>
    <t>通信制。2つのサイトで一致</t>
  </si>
  <si>
    <t>https://www.inter-edu.com/schools/school/602 ; https://school.js88.com/scl_h/34025092/</t>
  </si>
  <si>
    <t>さいたま市見沼区</t>
  </si>
  <si>
    <t>栄東高等学校</t>
  </si>
  <si>
    <t>048-651-4050</t>
  </si>
  <si>
    <t>公式資料に「代表」と記載。入試広報センターは048-666-9288</t>
  </si>
  <si>
    <t>https://www.sakaehigashi.ed.jp/about/files/self_assessment_h30_sr.pdf</t>
  </si>
  <si>
    <t>入間市</t>
  </si>
  <si>
    <t>狭山ヶ丘高等学校</t>
  </si>
  <si>
    <t>04-2962-3844</t>
  </si>
  <si>
    <t>付属中学校と共通</t>
  </si>
  <si>
    <t>https://www.inter-edu.com/schools/school/275 ; https://www.univpress.co.jp/gk_pdf/11514.pdf</t>
  </si>
  <si>
    <t>杉戸町</t>
  </si>
  <si>
    <t>志学会高等学校</t>
  </si>
  <si>
    <t>通信制。電話番号が見つからず（杉戸町並塚。2025年8月に岩槻校舎開校）</t>
  </si>
  <si>
    <t>https://www.inter-edu.com/schools/school/1784 ; https://studychain.jp/media/guide-136-2/</t>
  </si>
  <si>
    <t>上尾市</t>
  </si>
  <si>
    <t>秀明英光高等学校</t>
  </si>
  <si>
    <t>048-781-8821</t>
  </si>
  <si>
    <t>公式パンフレットに「代表」と記載</t>
  </si>
  <si>
    <t>https://www.shumei-eiko.ac.jp/cms/wp-content/uploads/2024/05/schoolguide2025.pdf</t>
  </si>
  <si>
    <t>秀明高等学校</t>
  </si>
  <si>
    <t>049-232-6611</t>
  </si>
  <si>
    <t>https://www.inter-edu.com/schools/school/1365</t>
  </si>
  <si>
    <t>さいたま市中央区</t>
  </si>
  <si>
    <t>淑徳与野高等学校</t>
  </si>
  <si>
    <t>048-840-1035</t>
  </si>
  <si>
    <t>https://www.inter-edu.com/schools/school/1933</t>
  </si>
  <si>
    <t>城西大学付属川越高等学校</t>
  </si>
  <si>
    <t>049-224-5665</t>
  </si>
  <si>
    <t>https://www.univpress.co.jp/gk_pdf/11526.pdf ; https://map.yahoo.co.jp/v3/place/7eCemCgbEls</t>
  </si>
  <si>
    <t>深谷市</t>
  </si>
  <si>
    <t>正智深谷高等学校</t>
  </si>
  <si>
    <t>048-571-6032</t>
  </si>
  <si>
    <t>https://www.inter-edu.com/schools/school/614</t>
  </si>
  <si>
    <t>昌平高等学校</t>
  </si>
  <si>
    <t>0480-34-3381</t>
  </si>
  <si>
    <t>2つのサイトで一致</t>
  </si>
  <si>
    <t>https://www.inter-edu.com/schools/school/267 ; https://school.js88.com/scl_h/22004930</t>
  </si>
  <si>
    <t>自由の森学園高等学校</t>
  </si>
  <si>
    <t>042-972-3131</t>
  </si>
  <si>
    <t>https://www.inter-edu.com/schools/school/293 ; https://map.yahoo.co.jp/v3/place/L57Rs8n2arw</t>
  </si>
  <si>
    <t>城北埼玉高等学校</t>
  </si>
  <si>
    <t>049-235-3222</t>
  </si>
  <si>
    <t>中高併設。学校情報サイト1件のみで確認</t>
  </si>
  <si>
    <t>https://www.inter-edu.com/schools/school/202</t>
  </si>
  <si>
    <t>西武学園文理高等学校</t>
  </si>
  <si>
    <t>04-2954-4080</t>
  </si>
  <si>
    <t>公式資料に「代表」と記載。中高共通</t>
  </si>
  <si>
    <t>https://www.bunri-s.ed.jp/wp-content/uploads/2023/09/8dc6f2ecb08556dbce1a5e6fdde67118.pdf</t>
  </si>
  <si>
    <t>新座市</t>
  </si>
  <si>
    <t>西武台高等学校</t>
  </si>
  <si>
    <t>048-481-1701</t>
  </si>
  <si>
    <t>西武台新座中学校と共通</t>
  </si>
  <si>
    <t>https://www.inter-edu.com/schools/school/533 ; https://school.js88.com/scl_j/34029399</t>
  </si>
  <si>
    <t>聖望学園高等学校</t>
  </si>
  <si>
    <t>042-973-1500</t>
  </si>
  <si>
    <t>https://www.inter-edu.com/schools/school/1960</t>
  </si>
  <si>
    <t>越生町</t>
  </si>
  <si>
    <t>清和学園高等学校</t>
  </si>
  <si>
    <t>049-292-2017</t>
  </si>
  <si>
    <t>https://studychain.jp/media/guide-112-2/</t>
  </si>
  <si>
    <t>創学舎高等学校</t>
  </si>
  <si>
    <t>通信制（株式会社立）。電話番号が見つからず</t>
  </si>
  <si>
    <t>https://studychain.jp/media/guide-113-2/</t>
  </si>
  <si>
    <t>東京成徳大学深谷高等学校</t>
  </si>
  <si>
    <t>048-571-1303</t>
  </si>
  <si>
    <t>https://www.inter-edu.com/schools/school/274</t>
  </si>
  <si>
    <t>東松山市</t>
  </si>
  <si>
    <t>東京農業大学第三高等学校</t>
  </si>
  <si>
    <t>0493-24-4611</t>
  </si>
  <si>
    <t>https://www.inter-edu.com/schools/school/179</t>
  </si>
  <si>
    <t>東邦音楽大学附属東邦第二高等学校</t>
  </si>
  <si>
    <t>049-235-2401</t>
  </si>
  <si>
    <t>https://www.inter-edu.com/schools/school/1935</t>
  </si>
  <si>
    <t>獨協埼玉高等学校</t>
  </si>
  <si>
    <t>048-977-5441</t>
  </si>
  <si>
    <t>https://www.inter-edu.com/schools/school/178</t>
  </si>
  <si>
    <t>花咲徳栄高等学校</t>
  </si>
  <si>
    <t>0480-65-7181</t>
  </si>
  <si>
    <t>https://www.inter-edu.com/schools/school/669</t>
  </si>
  <si>
    <t>東野高等学校</t>
  </si>
  <si>
    <t>04-2934-5292</t>
  </si>
  <si>
    <t>正式名は盈進学園東野高校。2つのサイトで一致</t>
  </si>
  <si>
    <t>https://www.inter-edu.com/schools/school/1030 ; https://school.js88.com/scl_h/22005080</t>
  </si>
  <si>
    <t>蕨市</t>
  </si>
  <si>
    <t>武南高等学校</t>
  </si>
  <si>
    <t>048-441-6948</t>
  </si>
  <si>
    <t>中高併設。2つのサイトで一致</t>
  </si>
  <si>
    <t>https://www.inter-edu.com/schools/school/273 ; https://shingakunet.com/area/saitama/warabishi/</t>
  </si>
  <si>
    <t>星野高等学校</t>
  </si>
  <si>
    <t>049-223-2888</t>
  </si>
  <si>
    <t>石原キャンパス（中高共通）の番号。女子部（末広キャンパス）は別番号の可能性</t>
  </si>
  <si>
    <t>https://www.inter-edu.com/schools/school/180 ; https://www.minkou.jp/hischool/school/4218/</t>
  </si>
  <si>
    <t>細田学園高等学校</t>
  </si>
  <si>
    <t>048-471-3255</t>
  </si>
  <si>
    <t>https://www.inter-edu.com/schools/school/683</t>
  </si>
  <si>
    <t>本庄市</t>
  </si>
  <si>
    <t>本庄第一高等学校</t>
  </si>
  <si>
    <t>0495-24-1331</t>
  </si>
  <si>
    <t>公式資料と学校情報サイトで一致。0495-24-1332は中学校の番号</t>
  </si>
  <si>
    <t>https://school.js88.com/scl_h/22004700 ; https://www.hon1.ed.jp/wp-content/uploads/2024/03/67d4127a74b803e7daefda6a83089c2d.pdf</t>
  </si>
  <si>
    <t>本庄東高等学校</t>
  </si>
  <si>
    <t>0495-22-6351</t>
  </si>
  <si>
    <t>代表として掲載。附属中学校は別番号（0495-27-6711）</t>
  </si>
  <si>
    <t>https://www.honjo-higashi.ed.jp/senior/hyouka-sheet.pdf ; https://www.inter-edu.com/schools/school/181</t>
  </si>
  <si>
    <t>松栄学園高等学校</t>
  </si>
  <si>
    <t>通信制。春日部本校の番号を確定できず。候補：048-978-0828（越谷校の番号の可能性）</t>
  </si>
  <si>
    <t>https://map.yahoo.co.jp/v3/place/x-2539sF1cY</t>
  </si>
  <si>
    <t>武蔵越生高等学校</t>
  </si>
  <si>
    <t>049-292-3245</t>
  </si>
  <si>
    <t>https://www.inter-edu.com/schools/school/694</t>
  </si>
  <si>
    <t>武蔵野音楽大学附属高等学校</t>
  </si>
  <si>
    <t>04-2932-3063</t>
  </si>
  <si>
    <t>直通として掲載。2027年4月に練馬区へ移転予定との情報あり</t>
  </si>
  <si>
    <t>https://school.js88.com/scl_h/22004890</t>
  </si>
  <si>
    <t>武蔵野星城高等学校</t>
  </si>
  <si>
    <t>048-987-1094</t>
  </si>
  <si>
    <t>通信制。学校情報サイト2件で一致、公式未確認</t>
  </si>
  <si>
    <t>https://studychain.jp/media/guide-115-2/ ; https://shingakunet.com/area/saitama/koshigayashi/</t>
  </si>
  <si>
    <t>山村学園高等学校</t>
  </si>
  <si>
    <t>049-225-3565</t>
  </si>
  <si>
    <t>学校情報サイト1件のみで確認。山村国際高校（坂戸市）とは別の学校</t>
  </si>
  <si>
    <t>https://www.inter-edu.com/schools/school/699</t>
  </si>
  <si>
    <t>坂戸市</t>
  </si>
  <si>
    <t>山村国際高等学校</t>
  </si>
  <si>
    <t>049-281-0221</t>
  </si>
  <si>
    <t>2つのサイトで一致。山村学園高校（川越市）とは別の学校</t>
  </si>
  <si>
    <t>https://www.inter-edu.com/schools/school/700 ; https://school.js88.com/scl_h/22004720</t>
  </si>
  <si>
    <t>立教新座高等学校</t>
  </si>
  <si>
    <t>048-471-2323</t>
  </si>
  <si>
    <t>https://www.inter-edu.com/schools/school/1950</t>
  </si>
  <si>
    <t>早稲田大学本庄高等学院</t>
  </si>
  <si>
    <t>0495-21-2400</t>
  </si>
  <si>
    <t>https://www.waseda.jp/school/honjo/access ; https://map.yahoo.co.jp/v3/place/Ob_2QGs8iuA</t>
  </si>
  <si>
    <t>千葉県</t>
  </si>
  <si>
    <t>市川市</t>
  </si>
  <si>
    <t>日出学園高等学校</t>
  </si>
  <si>
    <t>047-324-0071</t>
  </si>
  <si>
    <t>複数サイトで一致するが「学園業務部」の番号とする掲載あり。千葉県の古い一覧には047-322-3660の記載。代表か要確認</t>
  </si>
  <si>
    <t>https://www.inter-edu.com/schools/school/169 ; https://school.js88.com/scl_h/22006740/</t>
  </si>
  <si>
    <t>四街道市</t>
  </si>
  <si>
    <t>愛国学園大学附属四街道高等学校</t>
  </si>
  <si>
    <t>043-421-3533</t>
  </si>
  <si>
    <t>https://school.js88.com/scl_h/22007000 ; https://www.minkou.jp/hischool/school/4/</t>
  </si>
  <si>
    <t>野田市</t>
  </si>
  <si>
    <t>あずさ第一高等学校</t>
  </si>
  <si>
    <t>通信制。代表番号が見つからず。候補：04-7122-2400（求人の応募用番号）</t>
  </si>
  <si>
    <t>https://www.minkou.jp/hischool/school/305/</t>
  </si>
  <si>
    <t>我孫子市</t>
  </si>
  <si>
    <t>我孫子二階堂高等学校</t>
  </si>
  <si>
    <t>04-7182-0101</t>
  </si>
  <si>
    <t>学校情報サイトの複数ページで一致</t>
  </si>
  <si>
    <t>https://school.js88.com/scl_h/22006850</t>
  </si>
  <si>
    <t>市川高等学校（千葉県）</t>
  </si>
  <si>
    <t>047-339-2681</t>
  </si>
  <si>
    <t>中高共通。「代表」として掲載</t>
  </si>
  <si>
    <t>https://www.inter-edu.com/schools/school/24 ; https://school.js88.com/scl_h/22006640/</t>
  </si>
  <si>
    <t>市原市</t>
  </si>
  <si>
    <t>市原中央高等学校</t>
  </si>
  <si>
    <t>0436-36-7131</t>
  </si>
  <si>
    <t>https://www.inter-edu.com/schools/school/558</t>
  </si>
  <si>
    <t>千葉市中央区</t>
  </si>
  <si>
    <t>植草学園大学附属高等学校</t>
  </si>
  <si>
    <t>043-252-3551</t>
  </si>
  <si>
    <t>https://www.inter-edu.com/schools/school/560 ; https://www.univpress.co.jp/gk_pdf/12542.pdf</t>
  </si>
  <si>
    <t>千葉市若葉区</t>
  </si>
  <si>
    <t>桜林高等学校</t>
  </si>
  <si>
    <t>043-233-8081</t>
  </si>
  <si>
    <t>https://www.inter-edu.com/schools/school/1817 ; https://school.js88.com/scl_h/34025096</t>
  </si>
  <si>
    <t>鴨川市</t>
  </si>
  <si>
    <t>鴨川令徳高等学校</t>
  </si>
  <si>
    <t>04-7092-0267</t>
  </si>
  <si>
    <t>公式の募集要項で確認</t>
  </si>
  <si>
    <t>https://reitoku.ed.jp/pdf/2024年度生徒募集要項.pdf</t>
  </si>
  <si>
    <t>木更津市</t>
  </si>
  <si>
    <t>木更津総合高等学校</t>
  </si>
  <si>
    <t>0438-30-5511</t>
  </si>
  <si>
    <t>https://www.inter-edu.com/schools/school/579</t>
  </si>
  <si>
    <t>暁星国際高等学校</t>
  </si>
  <si>
    <t>0438-52-3291</t>
  </si>
  <si>
    <t>中高共通。東京の暁星とは別の学校</t>
  </si>
  <si>
    <t>https://www.inter-edu.com/schools/school/27 ; https://www.minkou.jp/junior/school/9352/</t>
  </si>
  <si>
    <t>千葉市稲毛区</t>
  </si>
  <si>
    <t>敬愛学園高等学校</t>
  </si>
  <si>
    <t>043-251-6361</t>
  </si>
  <si>
    <t>2つのサイトで一致。千葉敬愛・敬愛大学八日市場・横芝敬愛とは別の学校</t>
  </si>
  <si>
    <t>https://www.inter-edu.com/schools/school/583 ; https://school.js88.com/scl_h/22006800</t>
  </si>
  <si>
    <t>匝瑳市</t>
  </si>
  <si>
    <t>敬愛大学八日市場高等学校</t>
  </si>
  <si>
    <t>0479-72-1588</t>
  </si>
  <si>
    <t>千葉県の私立高校名簿と一致。通信制の問い合わせは0479-79-6600とみられる</t>
  </si>
  <si>
    <t>https://www.pref.chiba.lg.jp/gakuji/shiritsutou/shiritsugakkou/koukou-meibo.html ; https://school.js88.com/scl_h/22006590</t>
  </si>
  <si>
    <t>松戸市</t>
  </si>
  <si>
    <t>光英VERITAS高等学校</t>
  </si>
  <si>
    <t>047-392-8111</t>
  </si>
  <si>
    <t>中高共通。旧 聖徳大学附属女子高校</t>
  </si>
  <si>
    <t>https://www.inter-edu.com/schools/school/532 ; https://school.js88.com/scl_h/22007070</t>
  </si>
  <si>
    <t>国府台女子学院高等部</t>
  </si>
  <si>
    <t>047-326-8100</t>
  </si>
  <si>
    <t>千葉県の教育便覧では高等部の番号。中高の番号として047-322-7770を載せる資料もあり、代表か不明。中学部は047-322-7777</t>
  </si>
  <si>
    <t>https://school.js88.com/scl_h/22006780 ; https://www.pref.chiba.lg.jp/kyouiku/seisaku/kouhou/kyouikubinran/documents/192-197_1.pdf</t>
  </si>
  <si>
    <t>志学館高等部</t>
  </si>
  <si>
    <t>0438-37-3131</t>
  </si>
  <si>
    <t>https://www.shigakukan.ed.jp/contents/wp-content/uploads/2025/09/SS_Pamph2026.pdf</t>
  </si>
  <si>
    <t>柏市</t>
  </si>
  <si>
    <t>芝浦工業大学柏高等学校</t>
  </si>
  <si>
    <t>04-7174-3100</t>
  </si>
  <si>
    <t>https://www.ka.shibaura-it.ac.jp/wp-content/uploads/2026/02/b3c50081251967bacbbff120efa7d4b7.pdf</t>
  </si>
  <si>
    <t>千葉市美浜区</t>
  </si>
  <si>
    <t>渋谷教育学園幕張高等学校</t>
  </si>
  <si>
    <t>043-271-1221</t>
  </si>
  <si>
    <t>https://www.shibumaku.jp/wp-content/uploads/2021/03/transfer2021-4.pdf</t>
  </si>
  <si>
    <t>八千代市</t>
  </si>
  <si>
    <t>秀明大学学校教師学部附属秀明八千代高等学校</t>
  </si>
  <si>
    <t>047-450-7001</t>
  </si>
  <si>
    <t>https://school.js88.com/scl_h/22007080 ; https://www.inter-edu.com/schools/school/209</t>
  </si>
  <si>
    <t>君津市</t>
  </si>
  <si>
    <t>翔凜高等学校</t>
  </si>
  <si>
    <t>0439-55-1200</t>
  </si>
  <si>
    <t>https://school.js88.com/scl_h/22007120/ ; https://www.inter-edu.com/schools/school/1485</t>
  </si>
  <si>
    <t>昭和学院高等学校</t>
  </si>
  <si>
    <t>047-323-4171</t>
  </si>
  <si>
    <t>中高共通。昭和学院秀英（千葉市）とは別の学校</t>
  </si>
  <si>
    <t>https://www.inter-edu.com/schools/school/214 ; https://www.pref.chiba.lg.jp/gakuji/shiritsutou/shiritsugakkou/documents/r8chugaku.pdf</t>
  </si>
  <si>
    <t>昭和学院秀英高等学校</t>
  </si>
  <si>
    <t>043-272-2481</t>
  </si>
  <si>
    <t>https://www.inter-edu.com/schools/school/34</t>
  </si>
  <si>
    <t>西武台千葉高等学校</t>
  </si>
  <si>
    <t>04-7127-1111</t>
  </si>
  <si>
    <t>https://school.js88.com/scl_h/22007100/ ; https://www.inter-edu.com/schools/school/163</t>
  </si>
  <si>
    <t>専修大学松戸高等学校</t>
  </si>
  <si>
    <t>047-362-9101</t>
  </si>
  <si>
    <t>資料では高校9101・中学9102と併記。中高代表を047-362-9102とするサイトもあり食い違い</t>
  </si>
  <si>
    <t>https://univpress.co.jp/gk_pdf/12524.pdf</t>
  </si>
  <si>
    <t>拓殖大学紅陵高等学校</t>
  </si>
  <si>
    <t>0438-37-2511</t>
  </si>
  <si>
    <t>https://www.inter-edu.com/schools/school/627</t>
  </si>
  <si>
    <t>千葉英和高等学校</t>
  </si>
  <si>
    <t>047-484-5141</t>
  </si>
  <si>
    <t>https://www.inter-edu.com/schools/school/643 ; https://school.js88.com/scl_h/22006720?page=5</t>
  </si>
  <si>
    <t>東金市</t>
  </si>
  <si>
    <t>千葉学芸高等学校</t>
  </si>
  <si>
    <t>0475-52-1161</t>
  </si>
  <si>
    <t>公式資料で確認</t>
  </si>
  <si>
    <t>https://cgh.ed.jp/edu-contents/hyoka/2025evaluation.pdf</t>
  </si>
  <si>
    <t>千葉敬愛高等学校</t>
  </si>
  <si>
    <t>043-422-0131</t>
  </si>
  <si>
    <t>千葉県の私立高校名簿（R8）で確認</t>
  </si>
  <si>
    <t>https://www.pref.chiba.lg.jp/gakuji/shiritsutou/shiritsugakkou/koukou-meibo.html</t>
  </si>
  <si>
    <t>千葉経済大学附属高等学校</t>
  </si>
  <si>
    <t>043-251-7221</t>
  </si>
  <si>
    <t>千葉県の私立高校名簿で確認</t>
  </si>
  <si>
    <t>館山市</t>
  </si>
  <si>
    <t>千葉県安房西高等学校</t>
  </si>
  <si>
    <t>0470-22-0545</t>
  </si>
  <si>
    <t>私立。学校情報サイト1件のみで確認。県立安房高校（0470-22-0130）とは別の学校</t>
  </si>
  <si>
    <t>https://school.js88.com/scl_h/22006670</t>
  </si>
  <si>
    <t>千葉商科大学付属高等学校</t>
  </si>
  <si>
    <t>047-373-2111</t>
  </si>
  <si>
    <t>https://www.inter-edu.com/schools/school/644 ; https://www.univpress.co.jp/gk_pdf/12519.pdf</t>
  </si>
  <si>
    <t>千葉聖心高等学校</t>
  </si>
  <si>
    <t>043-225-4151</t>
  </si>
  <si>
    <t>https://www.inter-edu.com/schools/school/999</t>
  </si>
  <si>
    <t>船橋市</t>
  </si>
  <si>
    <t>千葉日本大学第一高等学校</t>
  </si>
  <si>
    <t>047-466-5155</t>
  </si>
  <si>
    <t>https://www.inter-edu.com/schools/school/165</t>
  </si>
  <si>
    <t>香取市</t>
  </si>
  <si>
    <t>千葉萌陽高等学校</t>
  </si>
  <si>
    <t>0478-52-2959</t>
  </si>
  <si>
    <t>https://school.js88.com/scl_h/22006730?page=6</t>
  </si>
  <si>
    <t>千葉明徳高等学校</t>
  </si>
  <si>
    <t>043-265-1612</t>
  </si>
  <si>
    <t>中高共通（公式資料で確認）。043-265-1611は法人事務所</t>
  </si>
  <si>
    <t>https://edu.chibameitoku.ac.jp/contents/wp-content/uploads/2025/06/sembatsu.pdf</t>
  </si>
  <si>
    <t>八街市</t>
  </si>
  <si>
    <t>千葉黎明高等学校</t>
  </si>
  <si>
    <t>043-443-3221</t>
  </si>
  <si>
    <t>https://www.inter-edu.com/schools/school/642 ; https://map.yahoo.co.jp/v3/place/QKbeFNPqVqA</t>
  </si>
  <si>
    <t>中央学院高等学校</t>
  </si>
  <si>
    <t>04-7188-1101</t>
  </si>
  <si>
    <t>https://www.chuogakuin-h.ed.jp/contents/wp-content/uploads/2022/06/549b6957b0479fd3fb964d3fc7063ede.pdf</t>
  </si>
  <si>
    <t>東海大学付属市原望洋高等学校</t>
  </si>
  <si>
    <t>0436-74-4721</t>
  </si>
  <si>
    <t>https://school.js88.com/scl_h/22006900</t>
  </si>
  <si>
    <t>浦安市</t>
  </si>
  <si>
    <t>東海大学付属浦安高等学校</t>
  </si>
  <si>
    <t>047-351-2371</t>
  </si>
  <si>
    <t>高校・中等部共通。複数サイトで一致</t>
  </si>
  <si>
    <t>https://www.inter-edu.com/schools/school/166</t>
  </si>
  <si>
    <t>東京学館浦安高等学校</t>
  </si>
  <si>
    <t>047-353-8821</t>
  </si>
  <si>
    <t>https://www.inter-edu.com/schools/school/167 ; https://school.js88.com/scl_h/22007020?page=5</t>
  </si>
  <si>
    <t>酒々井町</t>
  </si>
  <si>
    <t>東京学館高等学校</t>
  </si>
  <si>
    <t>043-496-3881</t>
  </si>
  <si>
    <t>学校情報サイト1件のみで確認。東京学館浦安・東京学館船橋とは別の学校</t>
  </si>
  <si>
    <t>https://www.inter-edu.com/schools/school/660</t>
  </si>
  <si>
    <t>東京学館船橋高等学校</t>
  </si>
  <si>
    <t>047-457-4611</t>
  </si>
  <si>
    <t>代表として掲載。学校情報サイト1件のみで確認</t>
  </si>
  <si>
    <t>https://school.js88.com/scl_h/22007110</t>
  </si>
  <si>
    <t>習志野市</t>
  </si>
  <si>
    <t>東邦大学付属東邦高等学校</t>
  </si>
  <si>
    <t>047-472-8191</t>
  </si>
  <si>
    <t>中高共通。高校募集なし（完全中高一貫）との情報あり</t>
  </si>
  <si>
    <t>https://www.inter-edu.com/schools/school/39</t>
  </si>
  <si>
    <t>東葉高等学校</t>
  </si>
  <si>
    <t>047-463-2111</t>
  </si>
  <si>
    <t>https://www.inter-edu.com/schools/school/1027</t>
  </si>
  <si>
    <t>中山学園高等学校</t>
  </si>
  <si>
    <t>047-422-4380</t>
  </si>
  <si>
    <t>https://studychain.jp/media/?p=36633</t>
  </si>
  <si>
    <t>成田市</t>
  </si>
  <si>
    <t>成田高等学校</t>
  </si>
  <si>
    <t>0476-22-2131</t>
  </si>
  <si>
    <t>中高共通。2つのサイトで一致</t>
  </si>
  <si>
    <t>https://www.inter-edu.com/schools/school/168</t>
  </si>
  <si>
    <t>二松学舎大学附属柏高等学校</t>
  </si>
  <si>
    <t>04-7191-5242</t>
  </si>
  <si>
    <t>04-7191-3179を載せるサイトもあり食い違い</t>
  </si>
  <si>
    <t>https://school.js88.com/scl_h/22006870 ; https://univpress.co.jp/gk_pdf/12531.pdf</t>
  </si>
  <si>
    <t>日本体育大学柏高等学校</t>
  </si>
  <si>
    <t>04-7167-1301</t>
  </si>
  <si>
    <t>https://www.inter-edu.com/schools/school/667</t>
  </si>
  <si>
    <t>日本大学習志野高等学校</t>
  </si>
  <si>
    <t>047-469-5555</t>
  </si>
  <si>
    <t>https://www.nnhs.cst.nihon-u.ac.jp/pdf/recruit/educational_r9.pdf</t>
  </si>
  <si>
    <t>不二女子高等学校</t>
  </si>
  <si>
    <t>047-333-6345</t>
  </si>
  <si>
    <t>https://www.inter-edu.com/schools/school/1000 ; https://school.js88.com/scl_h/22006940</t>
  </si>
  <si>
    <t>明聖高等学校</t>
  </si>
  <si>
    <t>通信制。【移転】2026年9月に千葉本校が中央区中央港へ移転。移転前の番号は043-225-5622で、移転後の番号は確認できず</t>
  </si>
  <si>
    <t>https://map.yahoo.co.jp/v3/place/luayqlYCpL2 ; https://resemom.jp/release/prtimes/20260903/209471.html</t>
  </si>
  <si>
    <t>茂原市</t>
  </si>
  <si>
    <t>茂原北陵高等学校</t>
  </si>
  <si>
    <t>0475-34-3211</t>
  </si>
  <si>
    <t>https://www.inter-edu.com/schools/school/1028</t>
  </si>
  <si>
    <t>八千代松陰高等学校</t>
  </si>
  <si>
    <t>047-482-1234</t>
  </si>
  <si>
    <t>公式サイトで確認。中高共通</t>
  </si>
  <si>
    <t>https://www.yachiyoshoin.ac.jp/shs/admission-s/school-guide-s/</t>
  </si>
  <si>
    <t>横芝光町</t>
  </si>
  <si>
    <t>横芝敬愛高等学校</t>
  </si>
  <si>
    <t>0479-82-1239</t>
  </si>
  <si>
    <t>https://school.js88.com/scl_h/22006910</t>
  </si>
  <si>
    <t>流通経済大学付属柏高等学校</t>
  </si>
  <si>
    <t>04-7131-5611</t>
  </si>
  <si>
    <t>https://www.inter-edu.com/schools/school/2185 ; https://school.js88.com/scl_h/22007090</t>
  </si>
  <si>
    <t>麗澤高等学校</t>
  </si>
  <si>
    <t>04-7173-3700</t>
  </si>
  <si>
    <t>https://www.inter-edu.com/schools/school/46 ; https://school.js88.com/scl_h/22006710?page=5</t>
  </si>
  <si>
    <t>多古町</t>
  </si>
  <si>
    <t>わせがく高等学校</t>
  </si>
  <si>
    <t>0479-70-7622</t>
  </si>
  <si>
    <t>通信制。公式の学校要覧で多古町の本校の番号として確認</t>
  </si>
  <si>
    <t>https://www.wasegaku.ac.jp/img/others/informationdisclosure/schoolcatalog.pdf</t>
  </si>
  <si>
    <t>和洋国府台女子高等学校</t>
  </si>
  <si>
    <t>047-371-1120</t>
  </si>
  <si>
    <t>https://www.inter-edu.com/schools/school/2051 ; https://school.js88.com/scl_h/22006700</t>
  </si>
  <si>
    <t>東京都</t>
  </si>
  <si>
    <t>江戸川区</t>
  </si>
  <si>
    <t>愛国高等学校</t>
  </si>
  <si>
    <t>03-3658-4111</t>
  </si>
  <si>
    <t>東京都の私立高校一覧ほかで一致。中高共通</t>
  </si>
  <si>
    <t>https://www.seikatubunka.metro.tokyo.lg.jp/documents/d/seikatubunka/07high_zennichi_r61201 ; https://www.inter-edu.com/schools/school/2206</t>
  </si>
  <si>
    <t>渋谷区</t>
  </si>
  <si>
    <t>青山学院高等部</t>
  </si>
  <si>
    <t>03-3409-3880</t>
  </si>
  <si>
    <t>東京都の私立高校一覧の番号。03-3407-7463（中等部の番号の可能性）を載せるサイトもあり。公式未確認</t>
  </si>
  <si>
    <t>https://www.seikatubunka.metro.tokyo.lg.jp/documents/d/seikatubunka/07high_zennichi_r61201</t>
  </si>
  <si>
    <t>港区</t>
  </si>
  <si>
    <t>麻布高等学校</t>
  </si>
  <si>
    <t>03-3446-6541</t>
  </si>
  <si>
    <t>https://www.seikatubunka.metro.tokyo.lg.jp/documents/d/seikatubunka/07high_zennichi_r61201 ; https://www.inter-edu.com/schools/school/2</t>
  </si>
  <si>
    <t>足立区</t>
  </si>
  <si>
    <t>足立学園高等学校</t>
  </si>
  <si>
    <t>03-3888-5331</t>
  </si>
  <si>
    <t>文京区</t>
  </si>
  <si>
    <t>跡見学園高等学校</t>
  </si>
  <si>
    <t>03-3941-8167</t>
  </si>
  <si>
    <t>中高共通。高校からの生徒募集なし（完全中高一貫）</t>
  </si>
  <si>
    <t>https://www.seikatubunka.metro.tokyo.lg.jp/documents/d/seikatubunka/07high_zennichi_r61201 ; https://www.inter-edu.com/schools/school/182</t>
  </si>
  <si>
    <t>北区</t>
  </si>
  <si>
    <t>安部学院高等学校</t>
  </si>
  <si>
    <t>03-3913-2323</t>
  </si>
  <si>
    <t>東京都の私立高校一覧ほかで一致</t>
  </si>
  <si>
    <t>https://www.seikatubunka.metro.tokyo.lg.jp/documents/d/seikatubunka/07high_zennichi_r61201 ; https://www.inter-edu.com/schools/school/1786</t>
  </si>
  <si>
    <t>郁文館グローバル高等学校</t>
  </si>
  <si>
    <t>03-3828-2206</t>
  </si>
  <si>
    <t>郁文館中学・高校と共通の代表番号</t>
  </si>
  <si>
    <t>https://www.inter-edu.com/schools/school/984 ; https://www.seikatubunka.metro.tokyo.lg.jp/documents/d/seikatubunka/07high_zennichi_r61201</t>
  </si>
  <si>
    <t>郁文館高等学校</t>
  </si>
  <si>
    <t>中学・郁文館グローバル高校と共通の代表番号</t>
  </si>
  <si>
    <t>https://www.seikatubunka.metro.tokyo.lg.jp/documents/d/seikatubunka/07high_zennichi_r61201 ; https://www.inter-edu.com/schools/school/185</t>
  </si>
  <si>
    <t>台東区</t>
  </si>
  <si>
    <t>岩倉高等学校</t>
  </si>
  <si>
    <t>03-3841-3086</t>
  </si>
  <si>
    <t>公式サイトに「代表」と記載。入試相談室は03-3841-3009</t>
  </si>
  <si>
    <t>https://www.tky-iwakura-h.ed.jp/intro/access/</t>
  </si>
  <si>
    <t>上野学園高等学校</t>
  </si>
  <si>
    <t>03-3847-2201</t>
  </si>
  <si>
    <t>https://www.seikatubunka.metro.tokyo.lg.jp/documents/d/seikatubunka/07high_zennichi_r61201 ; https://www.inter-edu.com/schools/school/1988</t>
  </si>
  <si>
    <t>八王子市</t>
  </si>
  <si>
    <t>穎明館高等学校</t>
  </si>
  <si>
    <t>042-664-6000</t>
  </si>
  <si>
    <t>https://www.seikatubunka.metro.tokyo.lg.jp/documents/d/seikatubunka/07high_zennichi_r61201 ; https://www.inter-edu.com/schools/school/25</t>
  </si>
  <si>
    <t>練馬区</t>
  </si>
  <si>
    <t>英明フロンティア高等学校</t>
  </si>
  <si>
    <t>03-3920-5151</t>
  </si>
  <si>
    <t>【校名変更】2025年4月に東京女子学院から改称・共学化。公式サイトで確認。中高共通</t>
  </si>
  <si>
    <t>https://eimei-frontier.ed.jp/ ; https://recruit.eimei-frontier.ed.jp/contact</t>
  </si>
  <si>
    <t>江戸川女子高等学校</t>
  </si>
  <si>
    <t>03-3659-1241</t>
  </si>
  <si>
    <t>江戸川区の一覧ほかで一致。中高共通</t>
  </si>
  <si>
    <t>https://www.city.edogawa.tokyo.jp/e004/kuseijoho/gaiyo/shisetsuguide/bunya/gakko/toritsushiritsu.html ; https://www.inter-edu.com/schools/school/2036</t>
  </si>
  <si>
    <t>国立市</t>
  </si>
  <si>
    <t>NHK学園高等学校</t>
  </si>
  <si>
    <t>042-572-3151</t>
  </si>
  <si>
    <t>通信制。東京都の通信制一覧の番号。042-572-3155は法人の代表、042-573-8111は旧番号の可能性</t>
  </si>
  <si>
    <t>https://www.seikatubunka.metro.tokyo.lg.jp/documents/d/seikatubunka/13high_tushin_r61201</t>
  </si>
  <si>
    <t>桜蔭高等学校</t>
  </si>
  <si>
    <t>03-3811-0147</t>
  </si>
  <si>
    <t>https://www.seikatubunka.metro.tokyo.lg.jp/documents/d/seikatubunka/07high_zennichi_r61201 ; https://www.inter-edu.com/schools/school/48</t>
  </si>
  <si>
    <t>町田市</t>
  </si>
  <si>
    <t>桜美林高等学校</t>
  </si>
  <si>
    <t>042-797-2668</t>
  </si>
  <si>
    <t>東京都の私立高校一覧には042-797-2667とあり食い違い。要確認</t>
  </si>
  <si>
    <t>https://www.inter-edu.com/schools/school/1953 ; https://unesco-sdgs.mext.go.jp/?p=6997</t>
  </si>
  <si>
    <t>世田谷区</t>
  </si>
  <si>
    <t>鷗友学園女子高等学校</t>
  </si>
  <si>
    <t>03-3420-0136</t>
  </si>
  <si>
    <t>東京都の私立高校一覧のみで確認</t>
  </si>
  <si>
    <t>千代田区</t>
  </si>
  <si>
    <t>大妻高等学校</t>
  </si>
  <si>
    <t>03-5275-6002</t>
  </si>
  <si>
    <t>https://www.seikatubunka.metro.tokyo.lg.jp/documents/d/seikatubunka/07high_zennichi_r61201 ; https://www.inter-edu.com/schools/school/50</t>
  </si>
  <si>
    <t>多摩市</t>
  </si>
  <si>
    <t>大妻多摩高等学校</t>
  </si>
  <si>
    <t>042-372-9113</t>
  </si>
  <si>
    <t>https://www.seikatubunka.metro.tokyo.lg.jp/documents/d/seikatubunka/07high_zennichi_r61201 ; https://www.inter-edu.com/schools/school/51</t>
  </si>
  <si>
    <t>中野区</t>
  </si>
  <si>
    <t>大妻中野高等学校</t>
  </si>
  <si>
    <t>03-3389-7211</t>
  </si>
  <si>
    <t>https://unesco-sdgs.mext.go.jp/?p=6992 ; https://www.inter-edu.com/schools/school/52</t>
  </si>
  <si>
    <t>大原学園美空高等学校</t>
  </si>
  <si>
    <t>03-3237-3141</t>
  </si>
  <si>
    <t>通信制。東京都の通信制一覧とYahoo!マップで一致。町田キャンパスは別番号の可能性</t>
  </si>
  <si>
    <t>https://www.seikatubunka.metro.tokyo.lg.jp/documents/d/seikatubunka/13high_tushin_r61201 ; https://map.yahoo.co.jp/v3/place/P1V36L6F1ko</t>
  </si>
  <si>
    <t>大田区</t>
  </si>
  <si>
    <t>大森学園高等学校</t>
  </si>
  <si>
    <t>03-3762-7336</t>
  </si>
  <si>
    <t>https://www.inter-edu.com/schools/school/565</t>
  </si>
  <si>
    <t>新宿区</t>
  </si>
  <si>
    <t>海城高等学校</t>
  </si>
  <si>
    <t>03-3209-5880</t>
  </si>
  <si>
    <t>https://www.inter-edu.com/schools/school/4 ; https://www.seikatubunka.metro.tokyo.lg.jp/documents/d/seikatubunka/07high_zennichi_r61201</t>
  </si>
  <si>
    <t>荒川区</t>
  </si>
  <si>
    <t>開成高等学校</t>
  </si>
  <si>
    <t>03-3822-0741</t>
  </si>
  <si>
    <t>中高共通とみられる。公式の教員募集資料には高校の問い合わせ先として03-3822-0743の記載あり</t>
  </si>
  <si>
    <t>https://www.inter-edu.com/schools/school/1941</t>
  </si>
  <si>
    <t>中央区</t>
  </si>
  <si>
    <t>開智日本橋学園高等学校</t>
  </si>
  <si>
    <t>03-3662-2507</t>
  </si>
  <si>
    <t>https://www.seikatubunka.metro.tokyo.lg.jp/documents/d/seikatubunka/07high_zennichi_r61201 ; https://www.inter-edu.com/schools/school/255</t>
  </si>
  <si>
    <t>江東区</t>
  </si>
  <si>
    <t>かえつ有明高等学校</t>
  </si>
  <si>
    <t>03-5564-2161</t>
  </si>
  <si>
    <t>中高共通。「広報室」と表記するサイトもあり、代表か不明</t>
  </si>
  <si>
    <t>https://www.inter-edu.com/schools/school/1989</t>
  </si>
  <si>
    <t>科学技術学園高等学校</t>
  </si>
  <si>
    <t>03-5494-7711</t>
  </si>
  <si>
    <t>全日制・通信制の東京都一覧で一致。定時制あり</t>
  </si>
  <si>
    <t>https://www.seikatubunka.metro.tokyo.lg.jp/documents/d/seikatubunka/07high_zennichi_r61201 ; https://www.seikatubunka.metro.tokyo.lg.jp/documents/d/seikatubunka/13high_tushin_r61201</t>
  </si>
  <si>
    <t>豊島区</t>
  </si>
  <si>
    <t>川村高等学校</t>
  </si>
  <si>
    <t>03-3984-8321</t>
  </si>
  <si>
    <t>学校資料に「代表」と記載。中高共通</t>
  </si>
  <si>
    <t>https://www.univpress.co.jp/wp-content/uploads/29kawamura-.pdf ; https://map.yahoo.co.jp/v3/place/0LqAmew92LU</t>
  </si>
  <si>
    <t>神田女学園高等学校</t>
  </si>
  <si>
    <t>03-6383-3751</t>
  </si>
  <si>
    <t>中高共通。複数の情報源で一致</t>
  </si>
  <si>
    <t>https://www.inter-edu.com/schools/school/2211 ; https://school.js88.com/scl_h/22037920</t>
  </si>
  <si>
    <t>関東国際高等学校</t>
  </si>
  <si>
    <t>03-3376-2244</t>
  </si>
  <si>
    <t>東京都の私立高校一覧と一致</t>
  </si>
  <si>
    <t>https://www.inter-edu.com/schools/school/566 ; https://www.seikatubunka.metro.tokyo.lg.jp/documents/d/seikatubunka/07high_zennichi_r61201</t>
  </si>
  <si>
    <t>関東第一高等学校</t>
  </si>
  <si>
    <t>03-3653-1541</t>
  </si>
  <si>
    <t>公式資料に学校代表として記載。広報直通は03-3653-1680</t>
  </si>
  <si>
    <t>https://www.kanto-ichiko.ac.jp/topics/assets/fdd62acf219d9e2f1087e8a41dadae25fea8c585.pdf</t>
  </si>
  <si>
    <t>学習院高等科</t>
  </si>
  <si>
    <t>03-5992-1032</t>
  </si>
  <si>
    <t>公式の学校案内と東京都の一覧で一致。一部サイトの03-3986-0221は旧番号の可能性</t>
  </si>
  <si>
    <t>https://www.gakushuin.ac.jp/bsh/admission/pdf/leaf2023.pdf ; https://www.seikatubunka.metro.tokyo.lg.jp/documents/d/seikatubunka/07high_zennichi_r61201</t>
  </si>
  <si>
    <t>学習院女子高等科</t>
  </si>
  <si>
    <t>03-3203-1901</t>
  </si>
  <si>
    <t>学校情報サイトのみで確認。03-3203-1906は学習院女子大学の番号なので注意</t>
  </si>
  <si>
    <t>https://www.inter-edu.com/schools/school/54 ; https://www.minkou.jp/junior/school/7530/</t>
  </si>
  <si>
    <t>北里大学附属順天高等学校</t>
  </si>
  <si>
    <t>03-3908-2966</t>
  </si>
  <si>
    <t>旧 順天高校。2つのサイトで一致</t>
  </si>
  <si>
    <t>https://www.inter-edu.com/schools/school/1995 ; https://school.js88.com/scl_h/22038690?page=6</t>
  </si>
  <si>
    <t>北豊島高等学校</t>
  </si>
  <si>
    <t>03-3895-4490</t>
  </si>
  <si>
    <t>全日制の番号（学校情報サイト）。通信制課程は03-3895-3051</t>
  </si>
  <si>
    <t>https://www.inter-edu.com/schools/school/189</t>
  </si>
  <si>
    <t>武蔵野市</t>
  </si>
  <si>
    <t>吉祥寺湧水高等学校</t>
  </si>
  <si>
    <t>0422-22-1266</t>
  </si>
  <si>
    <t>【校名変更予定】現在は藤村女子高校（2027年4月に改称予定）。学校情報サイトのみで確認</t>
  </si>
  <si>
    <t>https://www.inter-edu.com/schools/school/2102 ; https://www.minkou.jp/junior/school/8077/</t>
  </si>
  <si>
    <t>吉祥女子高等学校</t>
  </si>
  <si>
    <t>0422-22-8117</t>
  </si>
  <si>
    <t>https://www.inter-edu.com/schools/school/103</t>
  </si>
  <si>
    <t>葛飾区</t>
  </si>
  <si>
    <t>共栄学園高等学校</t>
  </si>
  <si>
    <t>03-3601-7136</t>
  </si>
  <si>
    <t>https://www.inter-edu.com/schools/school/1992 ; https://univpress.co.jp/gk_pdf/13604.pdf</t>
  </si>
  <si>
    <t>共立女子高等学校</t>
  </si>
  <si>
    <t>03-3237-2744</t>
  </si>
  <si>
    <t>https://www.seikatubunka.metro.tokyo.lg.jp/documents/d/seikatubunka/07high_zennichi_r61201 ; https://www.inter-edu.com/schools/school/104</t>
  </si>
  <si>
    <t>共立女子第二高等学校</t>
  </si>
  <si>
    <t>042-661-9952</t>
  </si>
  <si>
    <t>学校情報サイトのみで確認</t>
  </si>
  <si>
    <t>https://www.inter-edu.com/schools/school/1875</t>
  </si>
  <si>
    <t>錦城学園高等学校</t>
  </si>
  <si>
    <t>03-3291-3211</t>
  </si>
  <si>
    <t>学校情報サイトのみで確認。錦城高校（小平市）とは別の学校</t>
  </si>
  <si>
    <t>https://www.inter-edu.com/schools/school/1017 ; https://school.js88.com/scl_h/22037990</t>
  </si>
  <si>
    <t>小平市</t>
  </si>
  <si>
    <t>錦城高等学校</t>
  </si>
  <si>
    <t>042-341-0741</t>
  </si>
  <si>
    <t>複数の資料で一致。錦城学園（千代田区）とは別の学校</t>
  </si>
  <si>
    <t>https://www.inter-edu.com/schools/school/575 ; https://www.univpress.co.jp/gk_pdf/13720.pdf</t>
  </si>
  <si>
    <t>暁星高等学校</t>
  </si>
  <si>
    <t>03-3262-3291</t>
  </si>
  <si>
    <t>中高共通。東京都の私立高校一覧と一致</t>
  </si>
  <si>
    <t>https://www.seikatubunka.metro.tokyo.lg.jp/documents/d/seikatubunka/07high_zennichi_r61201 ; https://www.inter-edu.com/schools/school/105</t>
  </si>
  <si>
    <t>国立音楽大学附属高等学校</t>
  </si>
  <si>
    <t>042-572-4111</t>
  </si>
  <si>
    <t>https://www.inter-edu.com/schools/school/1873 ; https://www.minkou.jp/junior/school/8203/</t>
  </si>
  <si>
    <t>国本女子高等学校</t>
  </si>
  <si>
    <t>03-3416-4722</t>
  </si>
  <si>
    <t>https://www.inter-edu.com/schools/school/2112 ; https://school.js88.com/scl_h/22039150</t>
  </si>
  <si>
    <t>慶應義塾女子高等学校</t>
  </si>
  <si>
    <t>03-5427-1674</t>
  </si>
  <si>
    <t>公式の入試要項に「代表」と記載</t>
  </si>
  <si>
    <t>https://www.gshs.keio.ac.jp/common/pdf/2026nyushiyoko_suisen.pdf</t>
  </si>
  <si>
    <t>京華高等学校</t>
  </si>
  <si>
    <t>03-3946-4451</t>
  </si>
  <si>
    <t>中高共通。京華商業・京華女子とは別番号</t>
  </si>
  <si>
    <t>https://www.inter-edu.com/schools/school/1991 ; https://www.city.bunkyo.lg.jp/documents/5788/kizi_2024.pdf</t>
  </si>
  <si>
    <t>京華商業高等学校</t>
  </si>
  <si>
    <t>03-3946-4491</t>
  </si>
  <si>
    <t>京華・京華女子とは別番号</t>
  </si>
  <si>
    <t>https://www.city.bunkyo.lg.jp/b003/p006756.html ; https://www.univpress.co.jp/gk_pdf/13568.pdf</t>
  </si>
  <si>
    <t>京華女子高等学校</t>
  </si>
  <si>
    <t>03-3946-4434</t>
  </si>
  <si>
    <t>中高共通。京華・京華商業とは別番号</t>
  </si>
  <si>
    <t>https://www.inter-edu.com/schools/school/2098 ; https://www.seikatubunka.metro.tokyo.lg.jp/documents/d/seikatubunka/07high_zennichi_r61201</t>
  </si>
  <si>
    <t>恵泉女学園高等学校</t>
  </si>
  <si>
    <t>03-3303-2115</t>
  </si>
  <si>
    <t>https://www.inter-edu.com/schools/school/191 ; https://uccj.org/kyodan/wp-content/uploads/2022/12/2023school1.pdf</t>
  </si>
  <si>
    <t>昭島市</t>
  </si>
  <si>
    <t>啓明学園高等学校</t>
  </si>
  <si>
    <t>042-541-1003</t>
  </si>
  <si>
    <t>中高共通。学校情報サイトのみで確認</t>
  </si>
  <si>
    <t>https://www.inter-edu.com/schools/school/1956</t>
  </si>
  <si>
    <t>小石川淑徳学園高等学校</t>
  </si>
  <si>
    <t>03-3811-0237</t>
  </si>
  <si>
    <t>中高共通。広尾学園小石川とは別の学校</t>
  </si>
  <si>
    <t>https://school.js88.com/scl_h/22038550 ; https://www.inter-edu.com/schools/school/2113</t>
  </si>
  <si>
    <t>杉並区</t>
  </si>
  <si>
    <t>光塩女子学院高等科</t>
  </si>
  <si>
    <t>03-3315-1911</t>
  </si>
  <si>
    <t>中高共通。杉並区の一覧と一致</t>
  </si>
  <si>
    <t>https://www.city.suginami.tokyo.jp/kusei/gaiyou/shisetsu/genre/school/shiritsukoukou/index.html ; https://www.inter-edu.com/schools/school/55</t>
  </si>
  <si>
    <t>調布市</t>
  </si>
  <si>
    <t>晃華学園高等学校</t>
  </si>
  <si>
    <t>042-482-8952</t>
  </si>
  <si>
    <t>https://www.inter-edu.com/schools/school/56 ; https://school.js88.com/scl_h/22038410</t>
  </si>
  <si>
    <t>工学院大学附属高等学校</t>
  </si>
  <si>
    <t>042-628-4912</t>
  </si>
  <si>
    <t>公式サイトに「代表」と記載。中高共通。入試広報部は042-628-4914</t>
  </si>
  <si>
    <t>https://www.js.kogakuin.ac.jp/about/contact.html</t>
  </si>
  <si>
    <t>品川区</t>
  </si>
  <si>
    <t>攻玉社高等学校</t>
  </si>
  <si>
    <t>03-3493-0331</t>
  </si>
  <si>
    <t>https://school.js88.com/scl_h/22038910 ; https://www.inter-edu.com/schools/school/8</t>
  </si>
  <si>
    <t>麹町学園女子高等学校</t>
  </si>
  <si>
    <t>03-3263-3011</t>
  </si>
  <si>
    <t>https://www.inter-edu.com/schools/school/2058</t>
  </si>
  <si>
    <t>佼成学園高等学校</t>
  </si>
  <si>
    <t>03-3381-7227</t>
  </si>
  <si>
    <t>中高共通。杉並区の一覧と公式資料で一致</t>
  </si>
  <si>
    <t>https://www.city.suginami.tokyo.jp/kusei/gaiyou/shisetsu/genre/school/shiritsukoukou/index.html ; https://www.kosei.ac.jp/boys/wp-content/uploads/2024/05/310d9b3b51f491fb2df759357d085bb4.pdf</t>
  </si>
  <si>
    <t>佼成学園女子高等学校</t>
  </si>
  <si>
    <t>03-3300-2351</t>
  </si>
  <si>
    <t>https://www.inter-edu.com/schools/school/2056 ; https://www.seikatubunka.metro.tokyo.lg.jp/documents/d/seikatubunka/07high_zennichi_r61201</t>
  </si>
  <si>
    <t>香蘭女学校高等科</t>
  </si>
  <si>
    <t>03-3786-1136</t>
  </si>
  <si>
    <t>https://www.seikatubunka.metro.tokyo.lg.jp/documents/d/seikatubunka/07high_zennichi_r61201 ; https://school.js88.com/scl_h/22038920</t>
  </si>
  <si>
    <t>國學院高等学校</t>
  </si>
  <si>
    <t>03-3403-2331</t>
  </si>
  <si>
    <t>https://www.inter-edu.com/schools/school/541</t>
  </si>
  <si>
    <t>國學院大學久我山高等学校</t>
  </si>
  <si>
    <t>03-3334-1151</t>
  </si>
  <si>
    <t>https://www.inter-edu.com/schools/school/122</t>
  </si>
  <si>
    <t>小金井市</t>
  </si>
  <si>
    <t>国際基督教大学高等学校</t>
  </si>
  <si>
    <t>0422-33-3401</t>
  </si>
  <si>
    <t>公式資料に「学校代表」と記載</t>
  </si>
  <si>
    <t>https://icu-h.ed.jp/news/docs/c92876a21d1bfb013106119a1fa19b9c9d7100d6.pdf</t>
  </si>
  <si>
    <t>国士舘高等学校</t>
  </si>
  <si>
    <t>03-5481-3131</t>
  </si>
  <si>
    <t>公式の学校案内に全日制・定時制の代表として記載。入試担当は03-5481-3135</t>
  </si>
  <si>
    <t>https://www.kokushikan.ac.jp/houjin/about/public_relations/docs/HSschoolguide2027.pdf</t>
  </si>
  <si>
    <t>駒込高等学校</t>
  </si>
  <si>
    <t>03-3828-4141</t>
  </si>
  <si>
    <t>中高共通。文京区の資料と一致</t>
  </si>
  <si>
    <t>https://www.inter-edu.com/schools/school/1993 ; https://www.city.bunkyo.lg.jp/documents/5788/kizi_2024.pdf</t>
  </si>
  <si>
    <t>稲城市</t>
  </si>
  <si>
    <t>駒沢学園女子高等学校</t>
  </si>
  <si>
    <t>042-350-7123</t>
  </si>
  <si>
    <t>https://www.inter-edu.com/schools/school/1971 ; https://www.seikatubunka.metro.tokyo.lg.jp/documents/d/seikatubunka/07high_zennichi_r61201</t>
  </si>
  <si>
    <t>駒澤大学高等学校</t>
  </si>
  <si>
    <t>03-3700-6131</t>
  </si>
  <si>
    <t>学校情報サイト1件のみで確認。大学の番号とは別</t>
  </si>
  <si>
    <t>https://www.inter-edu.com/schools/school/589</t>
  </si>
  <si>
    <t>駒場学園高等学校</t>
  </si>
  <si>
    <t>03-3413-5561</t>
  </si>
  <si>
    <t>https://www.inter-edu.com/schools/school/590</t>
  </si>
  <si>
    <t>駒場東邦高等学校</t>
  </si>
  <si>
    <t>03-3466-8221</t>
  </si>
  <si>
    <t>https://www.inter-edu.com/schools/school/10</t>
  </si>
  <si>
    <t>桜丘高等学校（東京都）</t>
  </si>
  <si>
    <t>03-3910-6161</t>
  </si>
  <si>
    <t>https://www.inter-edu.com/schools/school/1939 ; https://school.js88.com/scl_h/22038680/</t>
  </si>
  <si>
    <t>サレジアン国際学園高等学校</t>
  </si>
  <si>
    <t>03-3906-0054</t>
  </si>
  <si>
    <t>東京都の私立高校一覧とYahoo!マップで一致。中高共通</t>
  </si>
  <si>
    <t>https://www.seikatubunka.metro.tokyo.lg.jp/documents/d/seikatubunka/07high_zennichi_r61201 ; https://map.yahoo.co.jp/v3/place/TcdA71hDDO2</t>
  </si>
  <si>
    <t>サレジアン国際学園世田谷高等学校</t>
  </si>
  <si>
    <t>03-3416-1150</t>
  </si>
  <si>
    <t>中高共通。高校からの募集はないとの情報あり（要確認）</t>
  </si>
  <si>
    <t>https://www.inter-edu.com/schools/school/260 ; https://univpress.co.jp/gk_pdf/13659.pdf</t>
  </si>
  <si>
    <t>品川エトワール女子高等学校</t>
  </si>
  <si>
    <t>03-3474-2231</t>
  </si>
  <si>
    <t>公式Xと複数のサイトで一致</t>
  </si>
  <si>
    <t>https://x.com/shinagawaetoile ; https://www.school-data.com/school_info/school.php/sc=133063</t>
  </si>
  <si>
    <t>品川学藝高等学校</t>
  </si>
  <si>
    <t>03-3786-1711</t>
  </si>
  <si>
    <t>https://www.inter-edu.com/schools/school/1808</t>
  </si>
  <si>
    <t>品川翔英高等学校</t>
  </si>
  <si>
    <t>03-3774-1151</t>
  </si>
  <si>
    <t>https://www.inter-edu.com/schools/school/2110</t>
  </si>
  <si>
    <t>品川女子学院高等部</t>
  </si>
  <si>
    <t>03-3474-4048</t>
  </si>
  <si>
    <t>https://www.inter-edu.com/schools/school/90 ; https://school.js88.com/scl_h/22038930</t>
  </si>
  <si>
    <t>芝浦工業大学附属高等学校</t>
  </si>
  <si>
    <t>03-3520-8501</t>
  </si>
  <si>
    <t>代表として掲載。学校情報サイトのみで確認</t>
  </si>
  <si>
    <t>https://www.inter-edu.com/schools/school/186</t>
  </si>
  <si>
    <t>芝高等学校</t>
  </si>
  <si>
    <t>03-3431-2629</t>
  </si>
  <si>
    <t>https://www.inter-edu.com/schools/school/12 ; https://school.js88.com/scl_h/22038120/</t>
  </si>
  <si>
    <t>芝国際高等学校</t>
  </si>
  <si>
    <t>03-5427-0666</t>
  </si>
  <si>
    <t>中高共通。学校情報サイトで一致</t>
  </si>
  <si>
    <t>https://www.inter-edu.com/schools/school/2074</t>
  </si>
  <si>
    <t>渋谷教育学園渋谷高等学校</t>
  </si>
  <si>
    <t>03-3400-6363</t>
  </si>
  <si>
    <t>https://www.inter-edu.com/schools/school/88/ ; https://www.minkou.jp/junior/school/7736/</t>
  </si>
  <si>
    <t>下北沢成徳高等学校</t>
  </si>
  <si>
    <t>03-3468-1551</t>
  </si>
  <si>
    <t>学校情報サイト3件で一致</t>
  </si>
  <si>
    <t>https://www.inter-edu.com/schools/school/608 ; https://school.js88.com/scl_h/22039260</t>
  </si>
  <si>
    <t>修徳高等学校</t>
  </si>
  <si>
    <t>03-3601-0116</t>
  </si>
  <si>
    <t>https://www.inter-edu.com/schools/school/2076 ; https://www.minkou.jp/junior/school/7976/</t>
  </si>
  <si>
    <t>板橋区</t>
  </si>
  <si>
    <t>淑徳高等学校</t>
  </si>
  <si>
    <t>03-3969-7411</t>
  </si>
  <si>
    <t>https://www.inter-edu.com/schools/school/1994</t>
  </si>
  <si>
    <t>淑徳巣鴨高等学校</t>
  </si>
  <si>
    <t>03-3918-6451</t>
  </si>
  <si>
    <t>https://www.inter-edu.com/schools/school/2078</t>
  </si>
  <si>
    <t>松蔭大学附属松蔭高等学校（東京都）</t>
  </si>
  <si>
    <t>03-3467-1511</t>
  </si>
  <si>
    <t>https://school.js88.com/scl_h/22039230 ; https://www.inter-edu.com/schools/school/2213</t>
  </si>
  <si>
    <t>頌栄女子学院高等学校</t>
  </si>
  <si>
    <t>03-3441-2005</t>
  </si>
  <si>
    <t>https://www.inter-edu.com/schools/school/58</t>
  </si>
  <si>
    <t>聖徳学園高等学校</t>
  </si>
  <si>
    <t>0422-31-5121</t>
  </si>
  <si>
    <t>https://www.inter-edu.com/schools/school/2070 ; https://univpress.co.jp/gk_pdf/13731.pdf</t>
  </si>
  <si>
    <t>昭和女子大学附属昭和高等学校</t>
  </si>
  <si>
    <t>03-3411-5115</t>
  </si>
  <si>
    <t>https://www.seikatubunka.metro.tokyo.lg.jp/documents/d/seikatubunka/07high_zennichi_r61201 ; https://www.inter-edu.com/schools/school/225</t>
  </si>
  <si>
    <t>立川市</t>
  </si>
  <si>
    <t>昭和第一学園高等学校</t>
  </si>
  <si>
    <t>042-536-1611</t>
  </si>
  <si>
    <t>立川市の学校。昭和第一高校（文京区）とは別の学校</t>
  </si>
  <si>
    <t>https://www.seikatubunka.metro.tokyo.lg.jp/documents/d/seikatubunka/07high_zennichi_r61201 ; https://www.inter-edu.com/schools/school/613</t>
  </si>
  <si>
    <t>昭和第一高等学校</t>
  </si>
  <si>
    <t>03-3811-0636</t>
  </si>
  <si>
    <t>文京区の学校。昭和第一学園（立川市）とは別の学校</t>
  </si>
  <si>
    <t>https://www.minkou.jp/hischool/school/2372/ ; https://www.city.bunkyo.lg.jp/documents/5788/kizi_2024.pdf</t>
  </si>
  <si>
    <t>昭和鉄道高等学校</t>
  </si>
  <si>
    <t>03-3988-5511</t>
  </si>
  <si>
    <t>東京都の私立高校一覧で確認。豊島学院高校と同じ番号（同じ学校法人・同じ敷地のため）</t>
  </si>
  <si>
    <t>女子聖学院高等学校</t>
  </si>
  <si>
    <t>03-3917-2277</t>
  </si>
  <si>
    <t>https://www.inter-edu.com/schools/school/60</t>
  </si>
  <si>
    <t>白梅学園高等学校</t>
  </si>
  <si>
    <t>042-346-5691</t>
  </si>
  <si>
    <t>学校情報サイトのみで確認。清修中高一貫部・大学は別番号</t>
  </si>
  <si>
    <t>https://www.inter-edu.com/schools/school/1800</t>
  </si>
  <si>
    <t>白百合学園高等学校</t>
  </si>
  <si>
    <t>03-3234-6661</t>
  </si>
  <si>
    <t>中高共通の代表番号。高校募集なし</t>
  </si>
  <si>
    <t>https://www.inter-edu.com/schools/school/61</t>
  </si>
  <si>
    <t>実践学園高等学校</t>
  </si>
  <si>
    <t>03-3371-5268</t>
  </si>
  <si>
    <t>中高共通とみられる。学校情報サイトのみで確認</t>
  </si>
  <si>
    <t>https://www.inter-edu.com/schools/school/127/</t>
  </si>
  <si>
    <t>実践女子学園高等学校</t>
  </si>
  <si>
    <t>03-3409-1771</t>
  </si>
  <si>
    <t>https://www.inter-edu.com/schools/school/223 ; https://school.js88.com/scl_h/22038360</t>
  </si>
  <si>
    <t>十文字高等学校</t>
  </si>
  <si>
    <t>03-3918-0511</t>
  </si>
  <si>
    <t>https://www.inter-edu.com/schools/school/2060 ; https://www.univpress.co.jp/gk_pdf/13686.pdf</t>
  </si>
  <si>
    <t>潤徳女子高等学校</t>
  </si>
  <si>
    <t>03-3881-7161</t>
  </si>
  <si>
    <t>https://www.inter-edu.com/schools/school/607 ; https://www.univpress.co.jp/gk_pdf/13602.pdf</t>
  </si>
  <si>
    <t>目黒区</t>
  </si>
  <si>
    <t>自由ヶ丘学園高等学校</t>
  </si>
  <si>
    <t>代表番号を確定できず。候補：03-3717-0388（学校情報サイト）／03-4330-2530（公式チラシの広報部）</t>
  </si>
  <si>
    <t>https://school.js88.com/scl_h/22039000/ ; https://www.jiyugaoka.ed.jp/wp-content/uploads/2026/06/2026オープンスクールチラシ.pdf</t>
  </si>
  <si>
    <t>東久留米市</t>
  </si>
  <si>
    <t>自由学園高等科</t>
  </si>
  <si>
    <t>042-422-3111</t>
  </si>
  <si>
    <t>学園全体の代表番号の可能性。高等部職員室の直通は042-422-1079</t>
  </si>
  <si>
    <t>https://www.inter-edu.com/schools/school/2103 ; https://www.jiyu.ac.jp/nyushi/2027_sh.pdf</t>
  </si>
  <si>
    <t>城西大学附属城西高等学校</t>
  </si>
  <si>
    <t>03-3973-6331</t>
  </si>
  <si>
    <t>https://www.inter-edu.com/schools/school/1996 ; https://www.minkou.jp/junior/school/7807/</t>
  </si>
  <si>
    <t>城北高等学校（東京都）</t>
  </si>
  <si>
    <t>03-3956-3157</t>
  </si>
  <si>
    <t>学校の募集要項に「代表」と記載。中高共通</t>
  </si>
  <si>
    <t>https://www.johoku.ac.jp/media/47118 ; https://www.seikatubunka.metro.tokyo.lg.jp/documents/d/seikatubunka/07high_zennichi_r61201</t>
  </si>
  <si>
    <t>女子学院高等学校</t>
  </si>
  <si>
    <t>03-3263-1711</t>
  </si>
  <si>
    <t>中高共通。高校募集なし（完全中高一貫）</t>
  </si>
  <si>
    <t>https://www.inter-edu.com/schools/school/59 ; https://school.js88.com/scl_j/31130011</t>
  </si>
  <si>
    <t>女子美術大学付属高等学校</t>
  </si>
  <si>
    <t>03-5340-4541</t>
  </si>
  <si>
    <t>https://www.seikatubunka.metro.tokyo.lg.jp/documents/d/seikatubunka/07high_zennichi_r61201 ; https://www.inter-edu.com/schools/school/2065</t>
  </si>
  <si>
    <t>巣鴨高等学校</t>
  </si>
  <si>
    <t>03-3918-5311</t>
  </si>
  <si>
    <t>https://www.inter-edu.com/schools/school/1945</t>
  </si>
  <si>
    <t>杉並学院高等学校</t>
  </si>
  <si>
    <t>03-3316-3311</t>
  </si>
  <si>
    <t>杉並区の一覧ほかで一致</t>
  </si>
  <si>
    <t>https://www.inter-edu.com/schools/school/1019 ; https://www.city.suginami.tokyo.jp/kusei/gaiyou/shisetsu/genre/school/shiritsukoukou/index.html</t>
  </si>
  <si>
    <t>駿台学園高等学校</t>
  </si>
  <si>
    <t>03-3913-5735</t>
  </si>
  <si>
    <t>全日制の代表。定時制は03-3914-5849</t>
  </si>
  <si>
    <t>https://www.inter-edu.com/schools/school/2104 ; https://school.js88.com/scl_h/22038710</t>
  </si>
  <si>
    <t>聖学院高等学校</t>
  </si>
  <si>
    <t>03-3917-1121</t>
  </si>
  <si>
    <t>https://www.inter-edu.com/schools/school/1946</t>
  </si>
  <si>
    <t>成蹊高等学校</t>
  </si>
  <si>
    <t>0422-37-3818</t>
  </si>
  <si>
    <t>https://www.inter-edu.com/schools/school/1997 ; https://www.minkou.jp/junior/school/8075/</t>
  </si>
  <si>
    <t>聖心女子学院高等科</t>
  </si>
  <si>
    <t>03-3444-7671</t>
  </si>
  <si>
    <t>初等科〜高等科共通の代表番号。高校募集なし</t>
  </si>
  <si>
    <t>https://www.minkou.jp/hischool/school/2433/</t>
  </si>
  <si>
    <t>成城学園高等学校</t>
  </si>
  <si>
    <t>03-3482-2104</t>
  </si>
  <si>
    <t>公式の中学校高等学校事務室の番号（検索要約による）。03-3482-2105を載せるサイトもあり。成城高校（新宿区）とは別の学校</t>
  </si>
  <si>
    <t>https://www.seijogakuen.ed.jp/chukou/info/</t>
  </si>
  <si>
    <t>成城高等学校</t>
  </si>
  <si>
    <t>03-3341-6141</t>
  </si>
  <si>
    <t>中高共通。成城学園とは別の学校。高校募集停止（完全中高一貫）との情報あり</t>
  </si>
  <si>
    <t>https://www.inter-edu.com/schools/school/16 ; https://map.yahoo.co.jp/v3/place/M-_odyJ2xIg</t>
  </si>
  <si>
    <t>成女高等学校</t>
  </si>
  <si>
    <t>03-3351-2330</t>
  </si>
  <si>
    <t>https://www.seikatubunka.metro.tokyo.lg.jp/documents/d/seikatubunka/07high_zennichi_r61201 ; https://school.js88.com/scl_h/22038270/</t>
  </si>
  <si>
    <t>正則学園高等学校</t>
  </si>
  <si>
    <t>03-3295-3011</t>
  </si>
  <si>
    <t>千代田区の学校。正則高校（港区）とは別の学校</t>
  </si>
  <si>
    <t>https://www.inter-edu.com/schools/school/995 ; https://school.js88.com/scl_h/22037990?page=5</t>
  </si>
  <si>
    <t>正則高等学校</t>
  </si>
  <si>
    <t>03-3431-0913</t>
  </si>
  <si>
    <t>港区の学校。正則学園（千代田区）とは別の学校</t>
  </si>
  <si>
    <t>https://www.inter-edu.com/schools/school/1020 ; https://univpress.co.jp/gk_pdf/13529.pdf</t>
  </si>
  <si>
    <t>聖ドミニコ学園高等学校</t>
  </si>
  <si>
    <t>03-3700-0017</t>
  </si>
  <si>
    <t>学園事務局の番号（学園共通の代表とみられる）</t>
  </si>
  <si>
    <t>https://www.inter-edu.com/schools/school/235 ; https://school.js88.com/scl_h/22039270</t>
  </si>
  <si>
    <t>聖パウロ学園高等学校</t>
  </si>
  <si>
    <t>042-651-3893</t>
  </si>
  <si>
    <t>全日制の番号。通信制は042-651-3882を案内する資料あり</t>
  </si>
  <si>
    <t>https://www.inter-edu.com/schools/school/620 ; https://univpress.co.jp/gk_pdf/13710.pdf</t>
  </si>
  <si>
    <t>成立学園高等学校</t>
  </si>
  <si>
    <t>03-3902-5494</t>
  </si>
  <si>
    <t>学校の公式資料に代表として記載。中高共通</t>
  </si>
  <si>
    <t>https://www.inter-edu.com/schools/school/2087</t>
  </si>
  <si>
    <t>青稜高等学校</t>
  </si>
  <si>
    <t>03-3782-1502</t>
  </si>
  <si>
    <t>https://www.inter-edu.com/schools/school/2000 ; https://school.js88.com/scl_h/22038940</t>
  </si>
  <si>
    <t>世田谷学園高等学校</t>
  </si>
  <si>
    <t>03-3411-8661</t>
  </si>
  <si>
    <t>https://www.inter-edu.com/schools/school/80 ; https://www.univpress.co.jp/gk_pdf/13649.pdf</t>
  </si>
  <si>
    <t>専修大学附属高等学校</t>
  </si>
  <si>
    <t>03-3322-7171</t>
  </si>
  <si>
    <t>https://school.js88.com/scl_h/22039570?page=5</t>
  </si>
  <si>
    <t>創価高等学校</t>
  </si>
  <si>
    <t>042-342-2611</t>
  </si>
  <si>
    <t>2つの情報源で一致。042-341-2611は中学校の番号なので注意</t>
  </si>
  <si>
    <t>https://www.univpress.Co.jp/gk_pdf/13722.pdf ; https://map.yahoo.co.jp/v3/place/6edwbApzAAk</t>
  </si>
  <si>
    <t>三鷹市</t>
  </si>
  <si>
    <t>大成高等学校（東京都）</t>
  </si>
  <si>
    <t>0422-43-3196</t>
  </si>
  <si>
    <t>https://www.inter-edu.com/schools/school/626</t>
  </si>
  <si>
    <t>高輪高等学校</t>
  </si>
  <si>
    <t>03-3441-7201</t>
  </si>
  <si>
    <t>https://www.minkou.jp/junior/school/7509/</t>
  </si>
  <si>
    <t>瀧野川女子学園高等学校</t>
  </si>
  <si>
    <t>03-3910-6315</t>
  </si>
  <si>
    <t>https://www.inter-edu.com/schools/school/1926</t>
  </si>
  <si>
    <t>武蔵村山市</t>
  </si>
  <si>
    <t>拓殖大学第一高等学校</t>
  </si>
  <si>
    <t>042-590-3311</t>
  </si>
  <si>
    <t>https://www.inter-edu.com/schools/school/546</t>
  </si>
  <si>
    <t>立川女子高等学校</t>
  </si>
  <si>
    <t>042-524-5188</t>
  </si>
  <si>
    <t>2つの情報源で一致。042-524-5288を載せるサイトは誤記とみられる</t>
  </si>
  <si>
    <t>https://univpress.co.jp/gk_pdf/13716.pdf ; https://map.yahoo.co.jp/v3/place/yNs4D15xvU-</t>
  </si>
  <si>
    <t>玉川学園高等部</t>
  </si>
  <si>
    <t>042-739-8931</t>
  </si>
  <si>
    <t>学園（K-12）共通の代表番号とみられる</t>
  </si>
  <si>
    <t>https://www.inter-edu.com/schools/school/2001 ; https://www.univpress.co.jp/wp-content/uploads/45tamagawagakuen-.pdf</t>
  </si>
  <si>
    <t>玉川聖学院高等部</t>
  </si>
  <si>
    <t>03-3702-4141</t>
  </si>
  <si>
    <t>https://www.inter-edu.com/schools/school/1972</t>
  </si>
  <si>
    <t>多摩大学附属聖ヶ丘高等学校</t>
  </si>
  <si>
    <t>042-372-9393</t>
  </si>
  <si>
    <t>https://www.inter-edu.com/schools/school/1982</t>
  </si>
  <si>
    <t>多摩大学目黒高等学校</t>
  </si>
  <si>
    <t>03-3714-2661</t>
  </si>
  <si>
    <t>https://school.js88.com/scl_h/22039060?page=5 ; https://www.inter-edu.com/schools/school/2002</t>
  </si>
  <si>
    <t>大智学園高等学校</t>
  </si>
  <si>
    <t>03-5925-2773</t>
  </si>
  <si>
    <t>広域通信制。新宿校舎の番号（本校は福島県川内村）。学校の公式LINEで確認</t>
  </si>
  <si>
    <t>https://page.line.me/065bkmjx</t>
  </si>
  <si>
    <t>大東学園高等学校</t>
  </si>
  <si>
    <t>03-3483-1901</t>
  </si>
  <si>
    <t>https://www.inter-edu.com/schools/school/1812 ; https://school.js88.com/scl_h/22039290</t>
  </si>
  <si>
    <t>大東文化大学第一高等学校</t>
  </si>
  <si>
    <t>03-3935-1115</t>
  </si>
  <si>
    <t>https://www.inter-edu.com/schools/school/547</t>
  </si>
  <si>
    <t>中央学院大学中央高等学校</t>
  </si>
  <si>
    <t>03-5836-7020</t>
  </si>
  <si>
    <t>代表として掲載</t>
  </si>
  <si>
    <t>https://school.js88.com/scl_h/22038080</t>
  </si>
  <si>
    <t>中央大学高等学校</t>
  </si>
  <si>
    <t>03-3814-5275</t>
  </si>
  <si>
    <t>昼間定時制。東京都の定時制一覧と一致</t>
  </si>
  <si>
    <t>https://www.inter-edu.com/schools/school/628 ; https://www.seikatubunka.metro.tokyo.lg.jp/documents/d/seikatubunka/10high_teiji_r20401_01</t>
  </si>
  <si>
    <t>中央大学杉並高等学校</t>
  </si>
  <si>
    <t>03-3390-3175</t>
  </si>
  <si>
    <t>https://www.inter-edu.com/schools/school/629</t>
  </si>
  <si>
    <t>中央大学附属高等学校</t>
  </si>
  <si>
    <t>042-381-5413</t>
  </si>
  <si>
    <t>大学の公式資料と学校情報サイトで一致</t>
  </si>
  <si>
    <t>https://www.chuo-u.ac.jp/media/gaiyo/gaiyo26-27_54.pdf ; https://school.js88.com/scl_h/22040170?page=5</t>
  </si>
  <si>
    <t>千代田高等学校</t>
  </si>
  <si>
    <t>03-3263-6551</t>
  </si>
  <si>
    <t>旧 千代田女学園。中高共通</t>
  </si>
  <si>
    <t>https://www.inter-edu.com/schools/school/2072 ; https://univpress.co.jp/gk_pdf/13512.pdf</t>
  </si>
  <si>
    <t>帝京高等学校</t>
  </si>
  <si>
    <t>03-3963-4711</t>
  </si>
  <si>
    <t>代表として掲載。03-3963-6383を載せるサイトもあり（別の窓口か）</t>
  </si>
  <si>
    <t>https://school.js88.com/scl_h/22039800 ; https://www.minkou.jp/hischool/school/university/2732/</t>
  </si>
  <si>
    <t>帝京大学高等学校</t>
  </si>
  <si>
    <t>042-676-9511</t>
  </si>
  <si>
    <t>学校情報サイトのみで確認、公式未確認。中高共通の可能性</t>
  </si>
  <si>
    <t>https://www.inter-edu.com/schools/school/2003</t>
  </si>
  <si>
    <t>帝京八王子高等学校</t>
  </si>
  <si>
    <t>042-654-6141</t>
  </si>
  <si>
    <t>複数サイトに「代表」と記載</t>
  </si>
  <si>
    <t>https://www.inter-edu.com/schools/school/1961 ; https://school.js88.com/scl_h/22038380?page=5</t>
  </si>
  <si>
    <t>貞静学園高等学校</t>
  </si>
  <si>
    <t>03-3943-3711</t>
  </si>
  <si>
    <t>https://www.inter-edu.com/schools/school/2507</t>
  </si>
  <si>
    <t>田園調布学園高等部</t>
  </si>
  <si>
    <t>03-3727-6121</t>
  </si>
  <si>
    <t>https://www.inter-edu.com/schools/school/240</t>
  </si>
  <si>
    <t>田園調布雙葉高等学校</t>
  </si>
  <si>
    <t>03-3721-1772</t>
  </si>
  <si>
    <t>公式サイトで確認（高校の番号）。中学校03-3721-5087、事務局03-3721-5484は別番号</t>
  </si>
  <si>
    <t>https://www.denenchofufutaba.ed.jp/about/access.html</t>
  </si>
  <si>
    <t>東亜学園高等学校</t>
  </si>
  <si>
    <t>03-3387-6331</t>
  </si>
  <si>
    <t>https://www.inter-edu.com/schools/school/654</t>
  </si>
  <si>
    <t>あきる野市</t>
  </si>
  <si>
    <t>東海大学菅生高等学校</t>
  </si>
  <si>
    <t>042-559-2200</t>
  </si>
  <si>
    <t>学校情報サイト1件のみで確認。中等部は別番号（042-559-2411）</t>
  </si>
  <si>
    <t>https://school.js88.com/scl_h/22040210</t>
  </si>
  <si>
    <t>東海大学付属高輪台高等学校</t>
  </si>
  <si>
    <t>03-3448-4011</t>
  </si>
  <si>
    <t>https://www.inter-edu.com/schools/school/2005 ; https://univpress.co.jp/gk_pdf/13533.pdf</t>
  </si>
  <si>
    <t>東海大学付属望星高等学校</t>
  </si>
  <si>
    <t>03-3467-8111</t>
  </si>
  <si>
    <t>東京都の通信制高校一覧で確認（通信制）</t>
  </si>
  <si>
    <t>東京音楽大学付属高等学校</t>
  </si>
  <si>
    <t>03-3988-6214</t>
  </si>
  <si>
    <t>公式サイトで確認。【移転】現在は豊島区南池袋。旧番号03-3945-6214は使わない</t>
  </si>
  <si>
    <t>https://hs.tokyo-ondai.ac.jp/access/</t>
  </si>
  <si>
    <t>東京家政学院高等学校</t>
  </si>
  <si>
    <t>03-3262-2559</t>
  </si>
  <si>
    <t>学校情報サイトのみで確認。中高共通</t>
  </si>
  <si>
    <t>https://www.inter-edu.com/schools/school/2073</t>
  </si>
  <si>
    <t>東京家政大学附属女子高等学校</t>
  </si>
  <si>
    <t>03-3961-2447</t>
  </si>
  <si>
    <t>複数サイトに掲載。入試広報部は03-3961-0748。代表か未確定</t>
  </si>
  <si>
    <t>https://www.inter-edu.com/schools/school/1973 ; https://school.js88.com/scl_h/22039810</t>
  </si>
  <si>
    <t>東京高等学校</t>
  </si>
  <si>
    <t>03-3750-2635</t>
  </si>
  <si>
    <t>https://www.inter-edu.com/schools/school/653 ; https://www.univpress.co.jp/gk_pdf/13629.pdf</t>
  </si>
  <si>
    <t>東京実業高等学校</t>
  </si>
  <si>
    <t>03-3732-4481</t>
  </si>
  <si>
    <t>https://www.inter-edu.com/schools/school/1022</t>
  </si>
  <si>
    <t>東京純心女子高等学校</t>
  </si>
  <si>
    <t>042-691-1345</t>
  </si>
  <si>
    <t>https://www.inter-edu.com/schools/school/1974 ; https://www.minkou.jp/junior/school/8023/</t>
  </si>
  <si>
    <t>東京女学館高等学校</t>
  </si>
  <si>
    <t>03-3400-0867</t>
  </si>
  <si>
    <t>https://www.inter-edu.com/schools/school/86</t>
  </si>
  <si>
    <t>東京成徳大学高等学校</t>
  </si>
  <si>
    <t>03-3911-5196</t>
  </si>
  <si>
    <t>高等部（王子）の番号（公式の学校案内）。中高一貫部（豊島）は03-3911-7109</t>
  </si>
  <si>
    <t>https://www.tokyoseitoku.jp/hs/assets/pdf/information/pamphlet.pdf</t>
  </si>
  <si>
    <t>東京電機大学高等学校</t>
  </si>
  <si>
    <t>0422-37-6441</t>
  </si>
  <si>
    <t>事務室の番号。中高共通</t>
  </si>
  <si>
    <t>https://school.js88.com/scl_h/22038580 ; https://www.inter-edu.com/schools/school/1962</t>
  </si>
  <si>
    <t>東京都市大学等々力高等学校</t>
  </si>
  <si>
    <t>03-5962-0104</t>
  </si>
  <si>
    <t>https://www.inter-edu.com/schools/school/2004</t>
  </si>
  <si>
    <t>東京都市大学付属高等学校</t>
  </si>
  <si>
    <t>03-3415-0104</t>
  </si>
  <si>
    <t>中高共通。学校情報サイトで一致、公式未確認</t>
  </si>
  <si>
    <t>https://www.inter-edu.com/schools/school/84 ; https://www.minkou.jp/junior/school/7706/</t>
  </si>
  <si>
    <t>東京農業大学第一高等学校</t>
  </si>
  <si>
    <t>03-3425-4481</t>
  </si>
  <si>
    <t>中高共通。2025年度から高校募集を停止（完全中高一貫）との情報あり</t>
  </si>
  <si>
    <t>https://www.inter-edu.com/schools/school/139 ; https://www.minkou.jp/junior/school/7689/</t>
  </si>
  <si>
    <t>西東京市</t>
  </si>
  <si>
    <t>東京文華高等学校</t>
  </si>
  <si>
    <t>042-463-2903</t>
  </si>
  <si>
    <t>【校名変更】2026年4月に文華女子高校から改称・共学化。番号は変更なし</t>
  </si>
  <si>
    <t>https://school.js88.com/scl_h/22040190 ; https://www.minkou.jp/hischool/school/96254/</t>
  </si>
  <si>
    <t>東京立正高等学校</t>
  </si>
  <si>
    <t>03-3312-1111</t>
  </si>
  <si>
    <t>https://tokyorissho.ed.jp/exam/pdf/senior_panf2027.pdf</t>
  </si>
  <si>
    <t>清瀬市</t>
  </si>
  <si>
    <t>東星学園高等学校</t>
  </si>
  <si>
    <t>042-493-3201</t>
  </si>
  <si>
    <t>代表として掲載。中高共通</t>
  </si>
  <si>
    <t>https://www.inter-edu.com/schools/school/2105 ; https://school.js88.com/scl_h/22039870?page=5</t>
  </si>
  <si>
    <t>桐朋高等学校</t>
  </si>
  <si>
    <t>042-577-2171</t>
  </si>
  <si>
    <t>中高共通。複数サイトで一致。桐朋女子（調布市）とは別の学校</t>
  </si>
  <si>
    <t>https://www.inter-edu.com/schools/school/1947</t>
  </si>
  <si>
    <t>桐朋女子高等学校</t>
  </si>
  <si>
    <t>03-3300-2111</t>
  </si>
  <si>
    <t>公式の募集要項に「代表」と記載。入試事務局は03-3300-2116</t>
  </si>
  <si>
    <t>https://chuko.toho.ac.jp/pdf/2026high_suisen_youkou.pdf</t>
  </si>
  <si>
    <t>東洋英和女学院高等部</t>
  </si>
  <si>
    <t>03-3583-0696</t>
  </si>
  <si>
    <t>https://www.inter-edu.com/schools/school/65</t>
  </si>
  <si>
    <t>東洋高等学校</t>
  </si>
  <si>
    <t>03-3291-3824</t>
  </si>
  <si>
    <t>https://toyo.ed.jp/wordpress/wp-content/uploads/2024/07/20240701-6681de45f02f1.pdf</t>
  </si>
  <si>
    <t>東洋女子高等学校</t>
  </si>
  <si>
    <t>03-3941-2680</t>
  </si>
  <si>
    <t>文京区の一覧ほかで一致</t>
  </si>
  <si>
    <t>https://www.city.bunkyo.lg.jp/documents/5788/kizi_2024.pdf ; https://www.inter-edu.com/schools/school/652</t>
  </si>
  <si>
    <t>東洋大学京北高等学校</t>
  </si>
  <si>
    <t>03-3816-6211</t>
  </si>
  <si>
    <t>https://www.inter-edu.com/schools/school/2179 ; https://www.minkou.jp/junior/school/7822/</t>
  </si>
  <si>
    <t>トキワ松学園高等学校</t>
  </si>
  <si>
    <t>03-3713-8161</t>
  </si>
  <si>
    <t>https://www.inter-edu.com/schools/school/2077 ; https://school.js88.com/scl_h/22039030/</t>
  </si>
  <si>
    <t>豊島岡女子学園高等学校</t>
  </si>
  <si>
    <t>03-3983-8261</t>
  </si>
  <si>
    <t>https://www.inter-edu.com/schools/school/66</t>
  </si>
  <si>
    <t>豊島学院高等学校</t>
  </si>
  <si>
    <t>3つの情報源で一致。昭和鉄道高校と同じ番号（同じ学校法人・同じ敷地）</t>
  </si>
  <si>
    <t>https://www.inter-edu.com/schools/school/655 ; https://school.js88.com/scl_h/22039730?page=5</t>
  </si>
  <si>
    <t>獨協高等学校</t>
  </si>
  <si>
    <t>03-3943-3651</t>
  </si>
  <si>
    <t>https://www.city.bunkyo.lg.jp/documents/5788/kizi_2024.pdf ; https://www.inter-edu.com/schools/school/93</t>
  </si>
  <si>
    <t>ドルトン東京学園高等部</t>
  </si>
  <si>
    <t>03-5787-7945</t>
  </si>
  <si>
    <t>https://www.inter-edu.com/schools/school/2508 ; https://school.js88.com/scl_j/34041514</t>
  </si>
  <si>
    <t>中村高等学校</t>
  </si>
  <si>
    <t>03-3642-8041</t>
  </si>
  <si>
    <t>https://www.inter-edu.com/schools/school/2081 ; https://school.js88.com/scl_h/22038820/</t>
  </si>
  <si>
    <t>二松学舎大学附属高等学校</t>
  </si>
  <si>
    <t>03-3261-9288</t>
  </si>
  <si>
    <t>学校情報サイト1件のみで確認。柏校とは別の学校</t>
  </si>
  <si>
    <t>https://school.js88.com/scl_h/22038030</t>
  </si>
  <si>
    <t>新渡戸文化高等学校</t>
  </si>
  <si>
    <t>03-3381-0408</t>
  </si>
  <si>
    <t>https://www.inter-edu.com/schools/school/2101</t>
  </si>
  <si>
    <t>日本工業大学駒場高等学校</t>
  </si>
  <si>
    <t>03-3467-2130</t>
  </si>
  <si>
    <t>https://www.inter-edu.com/schools/school/2079</t>
  </si>
  <si>
    <t>日本女子体育大学附属二階堂高等学校</t>
  </si>
  <si>
    <t>03-3322-9159</t>
  </si>
  <si>
    <t>https://www.inter-edu.com/schools/school/1801</t>
  </si>
  <si>
    <t>日本体育大学荏原高等学校</t>
  </si>
  <si>
    <t>03-3759-3291</t>
  </si>
  <si>
    <t>https://www.inter-edu.com/schools/school/1023 ; https://school.js88.com/scl_h/22039120</t>
  </si>
  <si>
    <t>東村山市</t>
  </si>
  <si>
    <t>日本体育大学桜華高等学校</t>
  </si>
  <si>
    <t>042-391-4133</t>
  </si>
  <si>
    <t>https://school.js88.com/scl_h/22040050 ; https://www.inter-edu.com/schools/school/2212</t>
  </si>
  <si>
    <t>日本大学櫻丘高等学校</t>
  </si>
  <si>
    <t>03-5317-9300</t>
  </si>
  <si>
    <t>https://www.inter-edu.com/schools/school/666</t>
  </si>
  <si>
    <t>墨田区</t>
  </si>
  <si>
    <t>日本大学第一高等学校</t>
  </si>
  <si>
    <t>03-3625-0026</t>
  </si>
  <si>
    <t>https://www.inter-edu.com/schools/school/1963</t>
  </si>
  <si>
    <t>日本大学第三高等学校</t>
  </si>
  <si>
    <t>042-789-5535</t>
  </si>
  <si>
    <t>学校情報サイトのみで確認。中学校は042-793-2131の可能性</t>
  </si>
  <si>
    <t>https://www.inter-edu.com/schools/school/1964</t>
  </si>
  <si>
    <t>日本大学第二高等学校</t>
  </si>
  <si>
    <t>03-3391-0223</t>
  </si>
  <si>
    <t>https://www.nichidai2.ac.jp/access/</t>
  </si>
  <si>
    <t>日本大学鶴ヶ丘高等学校</t>
  </si>
  <si>
    <t>03-3322-7521</t>
  </si>
  <si>
    <t>https://www.inter-edu.com/schools/school/549</t>
  </si>
  <si>
    <t>日本大学豊山高等学校</t>
  </si>
  <si>
    <t>03-3943-2161</t>
  </si>
  <si>
    <t>https://www.buzan.hs.nihon-u.ac.jp/app/files/uploads/2023/07/0c3e5f5f42ed3ec2a5cc6564632ff9a9.pdf</t>
  </si>
  <si>
    <t>日本大学豊山女子高等学校</t>
  </si>
  <si>
    <t>03-3934-2341</t>
  </si>
  <si>
    <t>https://www.inter-edu.com/schools/school/253</t>
  </si>
  <si>
    <t>八王子学園八王子高等学校</t>
  </si>
  <si>
    <t>042-623-3461</t>
  </si>
  <si>
    <t>https://www.inter-edu.com/schools/school/2097</t>
  </si>
  <si>
    <t>八王子実践高等学校</t>
  </si>
  <si>
    <t>042-622-0654</t>
  </si>
  <si>
    <t>https://www.inter-edu.com/schools/school/2106</t>
  </si>
  <si>
    <t>羽田国際高等学校</t>
  </si>
  <si>
    <t>03-3742-1511</t>
  </si>
  <si>
    <t>法人の広報資料と学校情報サイトで一致。中高共通</t>
  </si>
  <si>
    <t>https://prtimes.jp/main/html/rd/p/000000037.000115210.html ; https://www.inter-edu.com/schools/school/1871</t>
  </si>
  <si>
    <t>広尾学園小石川高等学校</t>
  </si>
  <si>
    <t>03-5940-4455</t>
  </si>
  <si>
    <t>公式サイトで確認。中高共通。入試専用は03-5940-4187</t>
  </si>
  <si>
    <t>https://hiroo-koishikawa.ed.jp/contact</t>
  </si>
  <si>
    <t>広尾学園高等学校</t>
  </si>
  <si>
    <t>03-3444-7272</t>
  </si>
  <si>
    <t>公式資料（広報室）と学校情報サイトで一致。中高共通</t>
  </si>
  <si>
    <t>https://www.hiroogakuen.ed.jp/junior/2026bosyuyoko_info.pdf</t>
  </si>
  <si>
    <t>フェリシア高等学校</t>
  </si>
  <si>
    <t>044-988-1126</t>
  </si>
  <si>
    <t>学校情報サイト1件のみで確認（所在地は町田市、市外局番044）</t>
  </si>
  <si>
    <t>https://school.js88.com/scl_h/22039420</t>
  </si>
  <si>
    <t>富士見丘高等学校</t>
  </si>
  <si>
    <t>03-3376-1481</t>
  </si>
  <si>
    <t>中高共通。富士見高校（練馬区）とは別の学校</t>
  </si>
  <si>
    <t>https://www.inter-edu.com/schools/school/256 ; https://www.minkou.jp/hischool/school/4180/</t>
  </si>
  <si>
    <t>富士見高等学校</t>
  </si>
  <si>
    <t>03-3999-2136</t>
  </si>
  <si>
    <t>練馬区の一覧と一致。富士見丘高校（渋谷区）とは別の学校</t>
  </si>
  <si>
    <t>https://www.city.nerima.tokyo.jp/shisetsu/gakko/koko.html ; https://www.inter-edu.com/schools/school/257</t>
  </si>
  <si>
    <t>雙葉高等学校</t>
  </si>
  <si>
    <t>03-3261-0821</t>
  </si>
  <si>
    <t>https://www.inter-edu.com/schools/school/68 ; https://www.minkou.jp/junior/school/7479/</t>
  </si>
  <si>
    <t>普連土学園高等学校</t>
  </si>
  <si>
    <t>03-3451-4616</t>
  </si>
  <si>
    <t>https://www.inter-edu.com/schools/school/258 ; https://k-doumei.or.jp/wp-content/uploads/2024/09/bd9e3ce9489feb4f707ef4abc1c07b2f.pdf</t>
  </si>
  <si>
    <t>文化学園大学杉並高等学校</t>
  </si>
  <si>
    <t>03-3392-6636</t>
  </si>
  <si>
    <t>杉並区の一覧と一致</t>
  </si>
  <si>
    <t>https://www.city.suginami.tokyo.jp/shisetsu/school/shiritsuko/index.html ; https://www.inter-edu.com/schools/school/69</t>
  </si>
  <si>
    <t>文京学院大学女子高等学校</t>
  </si>
  <si>
    <t>03-3946-5301</t>
  </si>
  <si>
    <t>https://www.inter-edu.com/schools/school/259 ; https://www.bgu.ac.jp/bgu_sys/wp-content/uploads/2026/02/bgu815.pdf</t>
  </si>
  <si>
    <t>文教大学付属高等学校</t>
  </si>
  <si>
    <t>03-3783-5511</t>
  </si>
  <si>
    <t>https://www.bunkyo.ac.jp/jsh/news/docs/2020hennyu_02.pdf</t>
  </si>
  <si>
    <t>法政大学高等学校</t>
  </si>
  <si>
    <t>0422-79-6230</t>
  </si>
  <si>
    <t>https://school.js88.com/scl_h/22040140 ; https://www.inter-edu.com/schools/school/2007</t>
  </si>
  <si>
    <t>宝仙学園高等学校女子部</t>
  </si>
  <si>
    <t>03-3371-7103</t>
  </si>
  <si>
    <t>学校ネットの一覧に区名がなく、所在地は中野区（中央2-28-3）として調査。理数インターと同じ番号（同じ敷地）</t>
  </si>
  <si>
    <t>https://www.inter-edu.com/schools/school/681</t>
  </si>
  <si>
    <t>宝仙学園 順天堂大学系属理数インター高等学校</t>
  </si>
  <si>
    <t>中高共通。宝仙学園女子部と同じ番号</t>
  </si>
  <si>
    <t>https://www.inter-edu.com/schools/school/95</t>
  </si>
  <si>
    <t>豊南高等学校</t>
  </si>
  <si>
    <t>03-3959-5511</t>
  </si>
  <si>
    <t>https://www.inter-edu.com/schools/school/682</t>
  </si>
  <si>
    <t>朋優学院高等学校</t>
  </si>
  <si>
    <t>03-3784-2131</t>
  </si>
  <si>
    <t>https://www.inter-edu.com/schools/school/680 ; https://www.univpress.co.jp/gk_pdf/13614.pdf</t>
  </si>
  <si>
    <t>保善高等学校</t>
  </si>
  <si>
    <t>03-3209-8756</t>
  </si>
  <si>
    <t>https://www.inter-edu.com/schools/school/679</t>
  </si>
  <si>
    <t>堀越高等学校</t>
  </si>
  <si>
    <t>03-3363-7661</t>
  </si>
  <si>
    <t>https://www.inter-edu.com/schools/school/1929 ; https://school.js88.com/scl_h/22039490?page=8</t>
  </si>
  <si>
    <t>本郷高等学校</t>
  </si>
  <si>
    <t>03-3917-1456</t>
  </si>
  <si>
    <t>https://www.minkou.jp/hischool/school/university/4472/s=1/ ; https://www.inter-edu.com/schools/school/82/</t>
  </si>
  <si>
    <t>三田国際科学学園高等学校</t>
  </si>
  <si>
    <t>03-3707-5676</t>
  </si>
  <si>
    <t>【校名変更】2025年4月に三田国際学園から改称。中高共通</t>
  </si>
  <si>
    <t>https://www.inter-edu.com/schools/school/252</t>
  </si>
  <si>
    <t>明星学園高等学校</t>
  </si>
  <si>
    <t>情報源で番号が食い違い。候補：0422-43-2196（中高共通として複数サイト）／0422-48-6221。明星高校（府中市）とは別の学校</t>
  </si>
  <si>
    <t>https://www.inter-edu.com/schools/school/146 ; https://school.js88.com/scl_h/22040160</t>
  </si>
  <si>
    <t>三輪田学園高等学校</t>
  </si>
  <si>
    <t>03-3263-7801</t>
  </si>
  <si>
    <t>https://www.inter-edu.com/schools/school/70 ; https://www.minkou.jp/junior/school/7488/</t>
  </si>
  <si>
    <t>武蔵高等学校</t>
  </si>
  <si>
    <t>03-5984-3741</t>
  </si>
  <si>
    <t>中高共通。高校募集なし（完全中高一貫）。武蔵野高校とは別の学校</t>
  </si>
  <si>
    <t>https://www.inter-edu.com/schools/school/18</t>
  </si>
  <si>
    <t>武蔵野高等学校</t>
  </si>
  <si>
    <t>03-3910-0151</t>
  </si>
  <si>
    <t>北区の学校。武蔵高校・武蔵野大学高校とは別の学校</t>
  </si>
  <si>
    <t>https://www.inter-edu.com/schools/school/291 ; https://school.js88.com/scl_h/22038770?page=5</t>
  </si>
  <si>
    <t>武蔵野大学高等学校</t>
  </si>
  <si>
    <t>042-468-3256</t>
  </si>
  <si>
    <t>https://www.inter-edu.com/schools/school/1976</t>
  </si>
  <si>
    <t>明治学院高等学校</t>
  </si>
  <si>
    <t>03-5421-5011</t>
  </si>
  <si>
    <t>https://school.js88.com/scl_h/22038230/</t>
  </si>
  <si>
    <t>明治学院東村山高等学校</t>
  </si>
  <si>
    <t>042-391-2142</t>
  </si>
  <si>
    <t>明治学院中学校と共通</t>
  </si>
  <si>
    <t>https://www.inter-edu.com/schools/school/144 ; https://school.js88.com/scl_h/22040060?page=5</t>
  </si>
  <si>
    <t>明治大学付属世田谷高等学校</t>
  </si>
  <si>
    <t>03-3322-6331</t>
  </si>
  <si>
    <t>【校名変更】旧 日本学園高校（2026年4月に改称）</t>
  </si>
  <si>
    <t>https://www.inter-edu.com/schools/school/2042</t>
  </si>
  <si>
    <t>明治大学付属中野高等学校</t>
  </si>
  <si>
    <t>03-3362-8704</t>
  </si>
  <si>
    <t>https://www.inter-edu.com/schools/school/1948</t>
  </si>
  <si>
    <t>明治大学付属八王子高等学校</t>
  </si>
  <si>
    <t>042-691-0321</t>
  </si>
  <si>
    <t>2024年に「明治大学付属中野八王子」から改称。複数サイトで一致</t>
  </si>
  <si>
    <t>https://www.inter-edu.com/schools/school/1967</t>
  </si>
  <si>
    <t>明治大学付属明治高等学校</t>
  </si>
  <si>
    <t>042-444-9100</t>
  </si>
  <si>
    <t>中高共通。公式資料の事務室の番号（新しい公式資料には042-444-9101の記載もあり）</t>
  </si>
  <si>
    <t>https://www.meiji.ac.jp/ko_chu/admission/ujnu1b0000000aab-att/a1568003491541.pdf ; https://school.js88.com/scl_h/22038060</t>
  </si>
  <si>
    <t>府中市</t>
  </si>
  <si>
    <t>明星高等学校（東京都）</t>
  </si>
  <si>
    <t>042-368-5201</t>
  </si>
  <si>
    <t>中高共通。府中市の学校で、明星学園（三鷹市）とは別の学校</t>
  </si>
  <si>
    <t>https://www.inter-edu.com/schools/school/2009</t>
  </si>
  <si>
    <t>明法高等学校</t>
  </si>
  <si>
    <t>042-393-5611</t>
  </si>
  <si>
    <t>中高共通。複数ページで一致</t>
  </si>
  <si>
    <t>https://www.inter-edu.com/schools/school/1981</t>
  </si>
  <si>
    <t>目黒学院高等学校</t>
  </si>
  <si>
    <t>03-3711-6556</t>
  </si>
  <si>
    <t>https://www.inter-edu.com/schools/school/193</t>
  </si>
  <si>
    <t>目黒日本大学高等学校</t>
  </si>
  <si>
    <t>03-3492-3388</t>
  </si>
  <si>
    <t>全日制の番号。通信制課程は03-3492-6674。2019年に日出高校から改称</t>
  </si>
  <si>
    <t>https://www.inter-edu.com/schools/school/2107 ; https://www.univpress.co.jp/gk_pdf/13623.pdf</t>
  </si>
  <si>
    <t>目白研心高等学校</t>
  </si>
  <si>
    <t>03-5996-3133</t>
  </si>
  <si>
    <t>広報部の番号とするサイトあり。代表は03-5996-3131の可能性</t>
  </si>
  <si>
    <t>https://www.inter-edu.com/schools/school/2011 ; https://school.js88.com/scl_h/22038300</t>
  </si>
  <si>
    <t>八雲学園高等学校</t>
  </si>
  <si>
    <t>03-3717-1196</t>
  </si>
  <si>
    <t>https://www.inter-edu.com/schools/school/2084</t>
  </si>
  <si>
    <t>安田学園高等学校</t>
  </si>
  <si>
    <t>03-3624-2666</t>
  </si>
  <si>
    <t>https://www.yasuda.ed.jp/wordpress/wp-content/uploads/2025/09/20250922-68d0e3d53964f.pdf</t>
  </si>
  <si>
    <t>山脇学園高等学校</t>
  </si>
  <si>
    <t>03-3585-3911</t>
  </si>
  <si>
    <t>中高共通。公式資料で確認</t>
  </si>
  <si>
    <t>https://www.yamawaki.ed.jp/wordpress/wp-content/uploads/2025/07/2026yamawaki_youkou_ippan.pdf ; https://www.inter-edu.com/schools/school/261</t>
  </si>
  <si>
    <t>立教池袋高等学校</t>
  </si>
  <si>
    <t>03-3985-2707</t>
  </si>
  <si>
    <t>https://www.inter-edu.com/schools/school/2043</t>
  </si>
  <si>
    <t>立教英国学院高等部</t>
  </si>
  <si>
    <t>学校本体は英国。東京事務所（立教学院内）の番号として03-3985-2785が1サイトに掲載。公式の問い合わせ先は英国の番号</t>
  </si>
  <si>
    <t>https://www.gakkou.net/chugaku/view/index_227851.html</t>
  </si>
  <si>
    <t>立教女学院高等学校</t>
  </si>
  <si>
    <t>03-3334-5103</t>
  </si>
  <si>
    <t>中高共通。杉並区の一覧で確認</t>
  </si>
  <si>
    <t>https://www.city.suginami.tokyo.jp/shisetsu/school/shiritsuko/index.html</t>
  </si>
  <si>
    <t>立志舎高等学校</t>
  </si>
  <si>
    <t>03-5608-1033</t>
  </si>
  <si>
    <t>通信制。東京都の通信制一覧のみで確認</t>
  </si>
  <si>
    <t>立正大学付属立正高等学校</t>
  </si>
  <si>
    <t>03-6303-7683</t>
  </si>
  <si>
    <t>中高共通。公式の学校案内で確認</t>
  </si>
  <si>
    <t>https://www.rissho-hs.ac.jp/material/data/request/RisshoJHguide2026.pdf</t>
  </si>
  <si>
    <t>和光高等学校</t>
  </si>
  <si>
    <t>情報源で番号が食い違い。候補：042-734-3401（代表とする情報あり）／042-734-3402／042-734-3403</t>
  </si>
  <si>
    <t>https://school.js88.com/scl_h/22039400 ; https://www.inter-edu.com/schools/school/2012</t>
  </si>
  <si>
    <t>早稲田高等学校</t>
  </si>
  <si>
    <t>03-3202-7674</t>
  </si>
  <si>
    <t>https://school.js88.com/scl_h/22038310 ; https://www.inter-edu.com/schools/school/22</t>
  </si>
  <si>
    <t>国分寺市</t>
  </si>
  <si>
    <t>早稲田実業学校高等部</t>
  </si>
  <si>
    <t>042-300-2121</t>
  </si>
  <si>
    <t>中等部・高等部共通。学校情報サイトのみで確認</t>
  </si>
  <si>
    <t>https://www.inter-edu.com/schools/school/2176</t>
  </si>
  <si>
    <t>早稲田大学高等学院</t>
  </si>
  <si>
    <t>03-5991-4156</t>
  </si>
  <si>
    <t>公式サイトの事務所の番号（「代表」の表記なし）。入試専用は03-5991-4210</t>
  </si>
  <si>
    <t>https://www.waseda.jp/school/shs/access/</t>
  </si>
  <si>
    <t>和洋九段女子高等学校</t>
  </si>
  <si>
    <t>03-3262-4161</t>
  </si>
  <si>
    <t>https://www.inter-edu.com/schools/school/244</t>
  </si>
  <si>
    <t>神奈川県</t>
  </si>
  <si>
    <t>横浜市南区</t>
  </si>
  <si>
    <t>青山学院横浜英和高等学校</t>
  </si>
  <si>
    <t>045-731-2862</t>
  </si>
  <si>
    <t>中高共通。横浜市南区の一覧ほかで一致。045-731-2861を載せるサイトもあり</t>
  </si>
  <si>
    <t>https://www.city.yokohama.lg.jp/minami/kosodate_kyoiku/kyoiku/gakko/juniorhighschool.html ; https://www.inter-edu.com/schools/school/218</t>
  </si>
  <si>
    <t>横浜市神奈川区</t>
  </si>
  <si>
    <t>浅野高等学校</t>
  </si>
  <si>
    <t>045-421-3281</t>
  </si>
  <si>
    <t>https://www.inter-edu.com/schools/school/1/</t>
  </si>
  <si>
    <t>小田原市</t>
  </si>
  <si>
    <t>旭丘高等学校</t>
  </si>
  <si>
    <t>0465-24-2227</t>
  </si>
  <si>
    <t>https://school.js88.com/scl_h/22042660</t>
  </si>
  <si>
    <t>相模原市中央区</t>
  </si>
  <si>
    <t>麻布大学附属高等学校</t>
  </si>
  <si>
    <t>042-757-2403</t>
  </si>
  <si>
    <t>https://school.js88.com/scl_h/22042730 ; https://www.inter-edu.com/schools/school/553</t>
  </si>
  <si>
    <t>厚木市</t>
  </si>
  <si>
    <t>厚木中央高等学校</t>
  </si>
  <si>
    <t>046-221-5678</t>
  </si>
  <si>
    <t>https://school.js88.com/scl_h/34025180</t>
  </si>
  <si>
    <t>茅ヶ崎市</t>
  </si>
  <si>
    <t>アレセイア湘南高等学校</t>
  </si>
  <si>
    <t>0467-87-0132</t>
  </si>
  <si>
    <t>https://www.inter-edu.com/schools/school/2220 ; https://school.js88.com/scl_h/22042670</t>
  </si>
  <si>
    <t>鎌倉市</t>
  </si>
  <si>
    <t>栄光学園高等学校</t>
  </si>
  <si>
    <t>0467-46-7711</t>
  </si>
  <si>
    <t>https://www.inter-edu.com/schools/school/3 ; https://school.js88.com/scl_h/22042500</t>
  </si>
  <si>
    <t>横浜市港北区</t>
  </si>
  <si>
    <t>英理女子学院高等学校</t>
  </si>
  <si>
    <t>045-431-8188</t>
  </si>
  <si>
    <t>https://www.inter-edu.com/schools/school/1816</t>
  </si>
  <si>
    <t>川崎市中原区</t>
  </si>
  <si>
    <t>大西学園高等学校</t>
  </si>
  <si>
    <t>044-722-2332</t>
  </si>
  <si>
    <t>https://school.js88.com/scl_h/22042430/ ; https://www.inter-edu.com/schools/school/1864</t>
  </si>
  <si>
    <t>大和市</t>
  </si>
  <si>
    <t>柏木学園高等学校</t>
  </si>
  <si>
    <t>046-260-9011</t>
  </si>
  <si>
    <t>学校情報サイト1件のみで確認。同じ法人の専門学校とは別番号</t>
  </si>
  <si>
    <t>https://school.js88.com/scl_h/22108010</t>
  </si>
  <si>
    <t>神奈川学園高等学校</t>
  </si>
  <si>
    <t>045-311-2961</t>
  </si>
  <si>
    <t>https://www.inter-edu.com/schools/school/242</t>
  </si>
  <si>
    <t>横浜市緑区</t>
  </si>
  <si>
    <t>神奈川大学附属高等学校</t>
  </si>
  <si>
    <t>045-934-6211</t>
  </si>
  <si>
    <t>中高共通。公式資料（2014年）とも一致</t>
  </si>
  <si>
    <t>https://www.inter-edu.com/schools/school/150 ; https://www.fhs.kanagawa-u.ac.jp/images/topics/1407458985/1407458985_20.pdf</t>
  </si>
  <si>
    <t>鎌倉学園高等学校</t>
  </si>
  <si>
    <t>0467-22-0994</t>
  </si>
  <si>
    <t>https://www.inter-edu.com/schools/school/1984 ; https://school.js88.com/scl_h/22042510</t>
  </si>
  <si>
    <t>鎌倉国際文理高等学校</t>
  </si>
  <si>
    <t>0467-44-2113</t>
  </si>
  <si>
    <t>【校名変更】2026年4月に鎌倉女子大学高等部から改称。中高共通</t>
  </si>
  <si>
    <t>https://www.inter-edu.com/schools/school/2071 ; https://school.js88.com/scl_h/22042540</t>
  </si>
  <si>
    <t>鎌倉女学院高等学校</t>
  </si>
  <si>
    <t>0467-25-2100</t>
  </si>
  <si>
    <t>https://www.inter-edu.com/schools/school/241</t>
  </si>
  <si>
    <t>川崎市多摩区</t>
  </si>
  <si>
    <t>カリタス女子高等学校</t>
  </si>
  <si>
    <t>044-911-4656</t>
  </si>
  <si>
    <t>高校募集なし（完全中高一貫）</t>
  </si>
  <si>
    <t>https://school.js88.com/scl_h/22042440 ; https://www.inter-edu.com/schools/school/91</t>
  </si>
  <si>
    <t>関東学院高等学校</t>
  </si>
  <si>
    <t>045-231-1001</t>
  </si>
  <si>
    <t>中高共通。学校情報サイト1件のみで確認。関東学院六浦（金沢区）とは別の学校</t>
  </si>
  <si>
    <t>https://www.inter-edu.com/schools/school/151</t>
  </si>
  <si>
    <t>横浜市金沢区</t>
  </si>
  <si>
    <t>関東学院六浦高等学校</t>
  </si>
  <si>
    <t>045-781-2525</t>
  </si>
  <si>
    <t>https://www.inter-edu.com/schools/school/2013</t>
  </si>
  <si>
    <t>箱根町</t>
  </si>
  <si>
    <t>函嶺白百合学園高等学校</t>
  </si>
  <si>
    <t>0460-87-6611</t>
  </si>
  <si>
    <t>https://kanrei-shirayuri.ed.jp/mh/_src/49746279/2026_H_yoko.pdf</t>
  </si>
  <si>
    <t>北鎌倉女子学園高等学校</t>
  </si>
  <si>
    <t>0467-22-6900</t>
  </si>
  <si>
    <t>https://www.inter-edu.com/schools/school/2069 ; https://school.js88.com/scl_h/22042530</t>
  </si>
  <si>
    <t>藤沢市</t>
  </si>
  <si>
    <t>鵠沼高等学校</t>
  </si>
  <si>
    <t>0466-22-4783</t>
  </si>
  <si>
    <t>https://www.inter-edu.com/schools/school/580</t>
  </si>
  <si>
    <t>横浜市戸塚区</t>
  </si>
  <si>
    <t>公文国際学園高等部</t>
  </si>
  <si>
    <t>045-853-8200</t>
  </si>
  <si>
    <t>中高共通。高校募集は原則なしとの情報あり</t>
  </si>
  <si>
    <t>https://www.inter-edu.com/schools/school/278</t>
  </si>
  <si>
    <t>慶應義塾高等学校</t>
  </si>
  <si>
    <t>代表番号が見つからず。候補：主事室直通045-566-1375（公式資料）。045-566-1000は大学側の番号なので注意</t>
  </si>
  <si>
    <t>https://www.hs.keio.ac.jp/files/2025/4/22/20250422_japanese.pdf</t>
  </si>
  <si>
    <t>慶應義塾湘南藤沢高等部</t>
  </si>
  <si>
    <t>0466-49-3585</t>
  </si>
  <si>
    <t>中高共通。事務室は0466-49-3586（公式資料）</t>
  </si>
  <si>
    <t>https://www.inter-edu.com/schools/school/28</t>
  </si>
  <si>
    <t>伊勢原市</t>
  </si>
  <si>
    <t>向上高等学校</t>
  </si>
  <si>
    <t>0463-96-0411</t>
  </si>
  <si>
    <t>https://www.inter-edu.com/schools/school/1024 ; https://map.yahoo.co.jp/v3/place/21qUFjHT1e6</t>
  </si>
  <si>
    <t>相模原市南区</t>
  </si>
  <si>
    <t>光明学園相模原高等学校</t>
  </si>
  <si>
    <t>042-778-3333</t>
  </si>
  <si>
    <t>https://www.inter-edu.com/schools/school/1025</t>
  </si>
  <si>
    <t>相模女子大学高等部</t>
  </si>
  <si>
    <t>042-742-1442</t>
  </si>
  <si>
    <t>中学部と共通。学校情報サイトのみで確認</t>
  </si>
  <si>
    <t>https://www.inter-edu.com/schools/school/2067</t>
  </si>
  <si>
    <t>横浜市都筑区</t>
  </si>
  <si>
    <t>サレジオ学院高等学校</t>
  </si>
  <si>
    <t>045-591-8222</t>
  </si>
  <si>
    <t>https://www.inter-edu.com/schools/school/11</t>
  </si>
  <si>
    <t>横浜市泉区</t>
  </si>
  <si>
    <t>秀英高等学校</t>
  </si>
  <si>
    <t>045-806-2100</t>
  </si>
  <si>
    <t>https://studychain.jp/media/guide-158-2/</t>
  </si>
  <si>
    <t>横須賀市</t>
  </si>
  <si>
    <t>湘南学院高等学校</t>
  </si>
  <si>
    <t>046-833-3433</t>
  </si>
  <si>
    <t>学校情報サイトと公式LINEで一致。湘南学園（藤沢市）とは別の学校</t>
  </si>
  <si>
    <t>https://www.inter-edu.com/schools/school/615 ; https://page.line.me/374yawot</t>
  </si>
  <si>
    <t>湘南学園高等学校</t>
  </si>
  <si>
    <t>0466-23-6611</t>
  </si>
  <si>
    <t>中高共通。学校情報サイト1件のみで確認。湘南学院（横須賀市）とは別の学校</t>
  </si>
  <si>
    <t>https://www.inter-edu.com/schools/school/153</t>
  </si>
  <si>
    <t>湘南工科大学附属高等学校</t>
  </si>
  <si>
    <t>0466-34-4114</t>
  </si>
  <si>
    <t>https://www.inter-edu.com/schools/school/616</t>
  </si>
  <si>
    <t>湘南白百合学園高等学校</t>
  </si>
  <si>
    <t>0466-27-6211</t>
  </si>
  <si>
    <t>https://www.inter-edu.com/schools/school/233</t>
  </si>
  <si>
    <t>逗子市</t>
  </si>
  <si>
    <t>逗子開成高等学校</t>
  </si>
  <si>
    <t>046-871-2062</t>
  </si>
  <si>
    <t>https://univpress.co.jp/gk_pdf/14562.pdf ; https://www.inter-edu.com/schools/school/81</t>
  </si>
  <si>
    <t>横浜市中区</t>
  </si>
  <si>
    <t>聖光学院高等学校（神奈川県）</t>
  </si>
  <si>
    <t>045-621-2051</t>
  </si>
  <si>
    <t>中高共通。学校情報サイト1件のみで確認。福島県の聖光学院とは別の学校</t>
  </si>
  <si>
    <t>https://www.inter-edu.com/schools/school/79</t>
  </si>
  <si>
    <t>横浜市旭区</t>
  </si>
  <si>
    <t>星槎高等学校</t>
  </si>
  <si>
    <t>045-442-8686</t>
  </si>
  <si>
    <t>複数サイトで一致。045-442-8687は星槎中学校の番号</t>
  </si>
  <si>
    <t>https://school.js88.com/scl_h/34029509?page=5 ; https://www.inter-edu.com/schools/school/1851</t>
  </si>
  <si>
    <t>清心女子高等学校（神奈川県）</t>
  </si>
  <si>
    <t>045-421-8864</t>
  </si>
  <si>
    <t>https://www.minkou.jp/hischool/school/93248/</t>
  </si>
  <si>
    <t>聖セシリア女子高等学校</t>
  </si>
  <si>
    <t>046-275-3727</t>
  </si>
  <si>
    <t>高校の番号。中学校は046-274-7405</t>
  </si>
  <si>
    <t>https://school.js88.com/scl_h/22042740 ; https://univpress.co.jp/gk_pdf/14567.pdf</t>
  </si>
  <si>
    <t>清泉女学院高等学校</t>
  </si>
  <si>
    <t>0467-46-3171</t>
  </si>
  <si>
    <t>https://www.inter-edu.com/schools/school/228</t>
  </si>
  <si>
    <t>横浜市鶴見区</t>
  </si>
  <si>
    <t>聖ヨゼフ学園高等学校</t>
  </si>
  <si>
    <t>045-581-8808</t>
  </si>
  <si>
    <t>https://www.inter-edu.com/schools/school/230 ; https://school.js88.com/scl_h/22042250</t>
  </si>
  <si>
    <t>聖和学院高等学校</t>
  </si>
  <si>
    <t>046-871-2670</t>
  </si>
  <si>
    <t>https://school.js88.com/scl_h/22042680 ; https://www.inter-edu.com/schools/school/1804</t>
  </si>
  <si>
    <t>川崎市高津区</t>
  </si>
  <si>
    <t>洗足学園高等学校</t>
  </si>
  <si>
    <t>044-856-2777</t>
  </si>
  <si>
    <t>https://www.inter-edu.com/schools/school/87</t>
  </si>
  <si>
    <t>捜真女学校高等学部</t>
  </si>
  <si>
    <t>045-491-3686</t>
  </si>
  <si>
    <t>https://www.inter-edu.com/schools/school/2062</t>
  </si>
  <si>
    <t>相洋高等学校</t>
  </si>
  <si>
    <t>情報源で番号が食い違い。候補：0465-22-0211（有力）／0465-23-0211。中学直通は0465-23-0214</t>
  </si>
  <si>
    <t>https://school.js88.com/scl_h/22042650/ ; https://www.inter-edu.com/schools/school/2524</t>
  </si>
  <si>
    <t>橘学苑高等学校</t>
  </si>
  <si>
    <t>045-581-0063</t>
  </si>
  <si>
    <t>https://www.inter-edu.com/schools/school/1787</t>
  </si>
  <si>
    <t>松田町</t>
  </si>
  <si>
    <t>立花学園高等学校</t>
  </si>
  <si>
    <t>0465-83-1081</t>
  </si>
  <si>
    <t>https://school.js88.com/scl_h/22042750?page=9</t>
  </si>
  <si>
    <t>中央大学附属横浜高等学校</t>
  </si>
  <si>
    <t>045-592-0801</t>
  </si>
  <si>
    <t>https://www.inter-edu.com/schools/school/2092</t>
  </si>
  <si>
    <t>鶴見大学附属高等学校</t>
  </si>
  <si>
    <t>045-581-6325</t>
  </si>
  <si>
    <t>https://www.inter-edu.com/schools/school/2014 ; https://www.minkou.jp/junior/school/8301/</t>
  </si>
  <si>
    <t>横浜市青葉区</t>
  </si>
  <si>
    <t>桐蔭学園高等学校</t>
  </si>
  <si>
    <t>045-971-1411</t>
  </si>
  <si>
    <t>複数サイトで一致。入試当日の連絡先は045-971-1413</t>
  </si>
  <si>
    <t>https://www.inter-edu.com/schools/school/94</t>
  </si>
  <si>
    <t>東海大学付属相模高等学校</t>
  </si>
  <si>
    <t>042-742-1251</t>
  </si>
  <si>
    <t>中等部と共通</t>
  </si>
  <si>
    <t>https://www.inter-edu.com/schools/school/2015</t>
  </si>
  <si>
    <t>川崎市麻生区</t>
  </si>
  <si>
    <t>桐光学園高等学校</t>
  </si>
  <si>
    <t>044-987-0519</t>
  </si>
  <si>
    <t>https://www.inter-edu.com/schools/school/107</t>
  </si>
  <si>
    <t>藤嶺学園藤沢高等学校</t>
  </si>
  <si>
    <t>0466-23-3150</t>
  </si>
  <si>
    <t>https://www.inter-edu.com/schools/school/2045 ; https://school.js88.com/scl_h/22042610/</t>
  </si>
  <si>
    <t>日本女子大学附属高等学校</t>
  </si>
  <si>
    <t>044-952-6705</t>
  </si>
  <si>
    <t>https://www.inter-edu.com/schools/school/2059</t>
  </si>
  <si>
    <t>日本大学高等学校</t>
  </si>
  <si>
    <t>045-560-2600</t>
  </si>
  <si>
    <t>公式の入試要項で確認</t>
  </si>
  <si>
    <t>https://www.yokohama.hs.nihon-u.ac.jp/senior/pdf/exam/2025_examination.pdf</t>
  </si>
  <si>
    <t>日本大学藤沢高等学校</t>
  </si>
  <si>
    <t>0466-81-0123</t>
  </si>
  <si>
    <t>公式サイトで高校の番号を確認。中学校は0466-81-0125</t>
  </si>
  <si>
    <t>https://www.fujisawa.hs.nihon-u.ac.jp/news/21344</t>
  </si>
  <si>
    <t>白鵬女子高等学校</t>
  </si>
  <si>
    <t>045-581-6721</t>
  </si>
  <si>
    <t>https://www.inter-edu.com/schools/school/1825</t>
  </si>
  <si>
    <t>平塚市</t>
  </si>
  <si>
    <t>平塚学園高等学校</t>
  </si>
  <si>
    <t>0463-22-0137</t>
  </si>
  <si>
    <t>https://www.inter-edu.com/schools/school/673 ; https://school.js88.com/scl_h/22042490?page=9</t>
  </si>
  <si>
    <t>フェリス女学院高等学校</t>
  </si>
  <si>
    <t>045-641-0242</t>
  </si>
  <si>
    <t>中高共通。高校募集なし（完全中高一貫）の可能性</t>
  </si>
  <si>
    <t>https://www.inter-edu.com/schools/school/67 ; https://school.js88.com/scl_h/22042080</t>
  </si>
  <si>
    <t>藤沢翔陵高等学校</t>
  </si>
  <si>
    <t>0466-81-3456</t>
  </si>
  <si>
    <t>https://www.inter-edu.com/schools/school/997</t>
  </si>
  <si>
    <t>武相高等学校</t>
  </si>
  <si>
    <t>045-401-9042</t>
  </si>
  <si>
    <t>https://www.inter-edu.com/schools/school/2047</t>
  </si>
  <si>
    <t>法政大学国際高等学校</t>
  </si>
  <si>
    <t>045-571-4482</t>
  </si>
  <si>
    <t>公式資料と学校情報サイトで一致</t>
  </si>
  <si>
    <t>https://kokusai-high.ws.hosei.ac.jp/wpcu/1786078104_6ZQ.pdf ; https://www.inter-edu.com/schools/school/684</t>
  </si>
  <si>
    <t>法政大学第二高等学校</t>
  </si>
  <si>
    <t>044-711-4321</t>
  </si>
  <si>
    <t>https://www.inter-edu.com/schools/school/198</t>
  </si>
  <si>
    <t>三浦学苑高等学校</t>
  </si>
  <si>
    <t>046-852-0284</t>
  </si>
  <si>
    <t>https://www.inter-edu.com/schools/school/690</t>
  </si>
  <si>
    <t>聖園女学院高等学校</t>
  </si>
  <si>
    <t>0466-81-3333</t>
  </si>
  <si>
    <t>https://www.inter-edu.com/schools/school/2057</t>
  </si>
  <si>
    <t>緑ヶ丘女子高等学校</t>
  </si>
  <si>
    <t>046-822-1651</t>
  </si>
  <si>
    <t>【校名変更】2026年度から「神奈川歯科大学系属緑ヶ丘女子高校」に変更との情報あり。学校情報サイト1件のみで確認</t>
  </si>
  <si>
    <t>https://www.minkou.jp/hischool/school/4559/</t>
  </si>
  <si>
    <t>森村学園高等部</t>
  </si>
  <si>
    <t>045-984-2505</t>
  </si>
  <si>
    <t>https://www.inter-edu.com/schools/school/158</t>
  </si>
  <si>
    <t>横浜市栄区</t>
  </si>
  <si>
    <t>山手学院高等学校</t>
  </si>
  <si>
    <t>045-891-2111</t>
  </si>
  <si>
    <t>公式の募集要項で確認。中高共通</t>
  </si>
  <si>
    <t>https://www.yamate-gakuin.ac.jp/file/bosyuu.pdf</t>
  </si>
  <si>
    <t>横須賀学院高等学校</t>
  </si>
  <si>
    <t>046-822-3218</t>
  </si>
  <si>
    <t>https://www.inter-edu.com/schools/school/159</t>
  </si>
  <si>
    <t>横浜市磯子区</t>
  </si>
  <si>
    <t>横浜学園高等学校</t>
  </si>
  <si>
    <t>045-751-6941</t>
  </si>
  <si>
    <t>https://school.js88.com/scl_h/22042340?page=5</t>
  </si>
  <si>
    <t>横浜共立学園高等学校</t>
  </si>
  <si>
    <t>045-641-3785</t>
  </si>
  <si>
    <t>https://www.inter-edu.com/schools/school/217</t>
  </si>
  <si>
    <t>横浜高等学校</t>
  </si>
  <si>
    <t>045-781-3395</t>
  </si>
  <si>
    <t>https://www.inter-edu.com/schools/school/2048 ; https://www.minkou.jp/junior/school/8367/</t>
  </si>
  <si>
    <t>横浜商科大学高等学校</t>
  </si>
  <si>
    <t>045-951-2246</t>
  </si>
  <si>
    <t>https://www.inter-edu.com/schools/school/702</t>
  </si>
  <si>
    <t>横浜女学院高等学校</t>
  </si>
  <si>
    <t>045-641-3284</t>
  </si>
  <si>
    <t>公式の受験案内で確認。事務室直通は045-681-7767</t>
  </si>
  <si>
    <t>https://yjg.y-gakuin.ed.jp/yjg-info/wp-content/uploads/2025/01/横浜女学院_25受験案内.pdf</t>
  </si>
  <si>
    <t>横浜翠陵高等学校</t>
  </si>
  <si>
    <t>045-921-0301</t>
  </si>
  <si>
    <t>https://www.inter-edu.com/schools/school/2055</t>
  </si>
  <si>
    <t>横浜市保土ケ谷区</t>
  </si>
  <si>
    <t>横浜清風高等学校</t>
  </si>
  <si>
    <t>045-731-4361</t>
  </si>
  <si>
    <t>https://school.js88.com/scl_h/22042170/ ; https://map.yahoo.co.jp/v3/place/bG8VLDV7swI</t>
  </si>
  <si>
    <t>横浜創英高等学校</t>
  </si>
  <si>
    <t>045-421-3121</t>
  </si>
  <si>
    <t>中高共通。複数サイトで一致。横浜創学館（金沢区）とは別の学校</t>
  </si>
  <si>
    <t>https://www.inter-edu.com/schools/school/2108</t>
  </si>
  <si>
    <t>横浜創学館高等学校</t>
  </si>
  <si>
    <t>045-781-0631</t>
  </si>
  <si>
    <t>学校情報サイト1件のみで確認。横浜創英（神奈川区）とは別の学校</t>
  </si>
  <si>
    <t>https://www.inter-edu.com/schools/school/1026</t>
  </si>
  <si>
    <t>横浜市瀬谷区</t>
  </si>
  <si>
    <t>横浜隼人高等学校</t>
  </si>
  <si>
    <t>045-364-5101</t>
  </si>
  <si>
    <t>https://www.inter-edu.com/schools/school/160</t>
  </si>
  <si>
    <t>横浜富士見丘学園高等学校</t>
  </si>
  <si>
    <t>045-367-4380</t>
  </si>
  <si>
    <t>https://www.inter-edu.com/schools/school/2054</t>
  </si>
  <si>
    <t>横浜雙葉高等学校</t>
  </si>
  <si>
    <t>045-641-1004</t>
  </si>
  <si>
    <t>https://www.inter-edu.com/schools/school/212</t>
  </si>
  <si>
    <t>新潟県</t>
  </si>
  <si>
    <t>新潟市中央区</t>
  </si>
  <si>
    <t>開志学園高等学校</t>
  </si>
  <si>
    <t>025-287-3390</t>
  </si>
  <si>
    <t>通信制。学校情報サイトのみで確認</t>
  </si>
  <si>
    <t>https://school.js88.com/scl_h/34024908 ; https://www.minkou.jp/hischool/school/1045/</t>
  </si>
  <si>
    <t>加茂市</t>
  </si>
  <si>
    <t>加茂暁星高等学校</t>
  </si>
  <si>
    <t>0256-52-2000</t>
  </si>
  <si>
    <t>公式サイトと電話帳で一致（代表）</t>
  </si>
  <si>
    <t>https://www.gyosei.ac.jp/ ; https://www.mapion.co.jp/phonebook/M11004/15209/ILSP0000041397_ipclm/</t>
  </si>
  <si>
    <t>新潟市北区</t>
  </si>
  <si>
    <t>敬和学園高等学校</t>
  </si>
  <si>
    <t>025-259-2391</t>
  </si>
  <si>
    <t>法人の公式報告書に高校の番号として記載。大学・法人本部とは別番号</t>
  </si>
  <si>
    <t>https://www.keiwa-c.ac.jp/wp2021/wp-content/uploads/2025/06/hokoku2024.pdf</t>
  </si>
  <si>
    <t>新発田市</t>
  </si>
  <si>
    <t>新発田中央高等学校</t>
  </si>
  <si>
    <t>0254-27-2466</t>
  </si>
  <si>
    <t>https://school.js88.com/scl_h/22023970</t>
  </si>
  <si>
    <t>上越市</t>
  </si>
  <si>
    <t>上越高等学校</t>
  </si>
  <si>
    <t>025-523-2601</t>
  </si>
  <si>
    <t>公式サイトの事務室の番号。教務室は025-524-1249（上越市のサイトはこちらを掲載）</t>
  </si>
  <si>
    <t>https://www.joetsu-hs.com/access/</t>
  </si>
  <si>
    <t>関根学園高等学校</t>
  </si>
  <si>
    <t>025-523-2702</t>
  </si>
  <si>
    <t>学校作成の募集要項と学校情報サイトで一致</t>
  </si>
  <si>
    <t>https://school.js88.com/scl_h/22024010 ; https://www.kandagaigo.ac.jp/kuis/alumni/wp-content/uploads/2025/12/R8関根学園高校英語募集要項.pdf</t>
  </si>
  <si>
    <t>見附市</t>
  </si>
  <si>
    <t>創進高等学校</t>
  </si>
  <si>
    <t>0258-62-0703</t>
  </si>
  <si>
    <t>通信制。学校情報サイト1件のみで確認（「創進学園高等学校」の表記もあり）</t>
  </si>
  <si>
    <t>https://www.minkou.jp/hischool/school/3587/</t>
  </si>
  <si>
    <t>長岡市</t>
  </si>
  <si>
    <t>中越高等学校</t>
  </si>
  <si>
    <t>0258-24-0203</t>
  </si>
  <si>
    <t>公式サイトとマピオンで一致</t>
  </si>
  <si>
    <t>https://www.chuetsu-h.ed.jp/about/access/ ; https://www.mapion.co.jp/phonebook/M11004/15202/ILSP0000040646_ipclm/</t>
  </si>
  <si>
    <t>帝京長岡高等学校</t>
  </si>
  <si>
    <t>0258-36-4800</t>
  </si>
  <si>
    <t>電話帳サイト複数で一致、公式サイトでは未確認。進路指導部は0258-34-6765</t>
  </si>
  <si>
    <t>https://www.mapion.co.jp/phonebook/M11004/15202/ILSP0000041523_ipclm/</t>
  </si>
  <si>
    <t>東京学館新潟高等学校</t>
  </si>
  <si>
    <t>025-283-8857</t>
  </si>
  <si>
    <t>学校案内に「代表」と記載</t>
  </si>
  <si>
    <t>https://school.js88.com/scl_h/22024030/</t>
  </si>
  <si>
    <t>長岡英智高等学校</t>
  </si>
  <si>
    <t>0258-31-6771</t>
  </si>
  <si>
    <t>通信制。【校名変更予定】2026年4月に「新潟英智高等学校」へ改称予定との情報あり</t>
  </si>
  <si>
    <t>https://school.js88.com/scl_h/34028502 ; https://studychain.jp/media/guide-172-2/</t>
  </si>
  <si>
    <t>柏崎市</t>
  </si>
  <si>
    <t>新潟産業大学附属高等学校</t>
  </si>
  <si>
    <t>0257-24-6644</t>
  </si>
  <si>
    <t>公式サイトに「代表」と記載。0257-24-6655は大学の番号</t>
  </si>
  <si>
    <t>https://www.nsf-h.ed.jp/schoolintroduction.html</t>
  </si>
  <si>
    <t>新潟市西区</t>
  </si>
  <si>
    <t>新潟清心女子高等学校</t>
  </si>
  <si>
    <t>025-269-2041</t>
  </si>
  <si>
    <t>中学校と共通</t>
  </si>
  <si>
    <t>https://school.js88.com/scl_h/22023990 ; https://school.js88.com/scl_j/31150033/</t>
  </si>
  <si>
    <t>新潟青陵高等学校</t>
  </si>
  <si>
    <t>025-266-8131</t>
  </si>
  <si>
    <t>公式サイトとタウンページで一致。025-266-8674は幼稚園の番号</t>
  </si>
  <si>
    <t>https://www.seiryo-high.ed.jp/ ; https://townpage.goo.ne.jp/shopdetail.php?matomeid=159094796000000899</t>
  </si>
  <si>
    <t>新潟第一高等学校</t>
  </si>
  <si>
    <t>025-231-5643</t>
  </si>
  <si>
    <t>https://school.js88.com/scl_h/22024020?page=10 ; https://www.minkou.jp/hischool/school/3557/</t>
  </si>
  <si>
    <t>新潟市江南区</t>
  </si>
  <si>
    <t>新潟明訓高等学校</t>
  </si>
  <si>
    <t>025-257-2131</t>
  </si>
  <si>
    <t>https://www.zyuken.net/school_page/11520131166/search/%E7%94%9F%E5%BE%92%E6%95%B0/</t>
  </si>
  <si>
    <t>日本文理高等学校</t>
  </si>
  <si>
    <t>025-260-1000</t>
  </si>
  <si>
    <t>https://school.js88.com/scl_h/22024040?page=9</t>
  </si>
  <si>
    <t>北越高等学校</t>
  </si>
  <si>
    <t>025-245-5681</t>
  </si>
  <si>
    <t>複数の電話帳・地図サイトで一致</t>
  </si>
  <si>
    <t>https://www.mapion.co.jp/phonebook/M11004/15103/ILSP0000041961_ipclm/ ; https://www.navita.co.jp/s/11040479/</t>
  </si>
  <si>
    <t>富山県</t>
  </si>
  <si>
    <t>富山市</t>
  </si>
  <si>
    <t>片山学園高等学校</t>
  </si>
  <si>
    <t>076-483-3300</t>
  </si>
  <si>
    <t>公式サイトで確認。中高共通。076-483-8500を載せるサイトは旧番号の可能性</t>
  </si>
  <si>
    <t>https://www.katayamagakuen.jp/other/contact/ ; https://www.mapion.co.jp/phonebook/M11004/16201/ILSP0000041530_ipclm/</t>
  </si>
  <si>
    <t>高朋高等学校</t>
  </si>
  <si>
    <t>076-437-9940</t>
  </si>
  <si>
    <t>公式サイトで確認。076-437-9950を載せるサイトは誤記の可能性</t>
  </si>
  <si>
    <t>https://www.koho.ac.jp/ ; https://school.js88.com/scl_h/22024520</t>
  </si>
  <si>
    <t>高岡市</t>
  </si>
  <si>
    <t>高岡向陵高等学校</t>
  </si>
  <si>
    <t>0766-23-0762</t>
  </si>
  <si>
    <t>公式サイトほかで一致</t>
  </si>
  <si>
    <t>https://takaokakoryo-h.ed.jp/ ; https://www.mapion.co.jp/phonebook/M11004/16202/ILSP0000041111_ipclm/</t>
  </si>
  <si>
    <t>高岡第一高等学校</t>
  </si>
  <si>
    <t>0766-22-6336</t>
  </si>
  <si>
    <t>https://www.takaoka1-h.ed.jp/ ; https://www.takaoka.ac.jp/gakuen</t>
  </si>
  <si>
    <t>高岡龍谷高等学校</t>
  </si>
  <si>
    <t>0766-22-5141</t>
  </si>
  <si>
    <t>公式サイトで確認。龍谷富山とは別の学校</t>
  </si>
  <si>
    <t>https://www.takaokaryukoku-h.ed.jp/contact/</t>
  </si>
  <si>
    <t>富山国際大学付属高等学校</t>
  </si>
  <si>
    <t>076-434-0577</t>
  </si>
  <si>
    <t>https://www.tuins-h.ed.jp/contact/</t>
  </si>
  <si>
    <t>富山第一高等学校</t>
  </si>
  <si>
    <t>076-451-3396</t>
  </si>
  <si>
    <t>https://www.tomiichi.ed.jp/access</t>
  </si>
  <si>
    <t>魚津市</t>
  </si>
  <si>
    <t>新川高等学校</t>
  </si>
  <si>
    <t>0765-24-2015</t>
  </si>
  <si>
    <t>公式サイトで確認。県立新川みどり野高校（0765-22-3535）とは別の学校</t>
  </si>
  <si>
    <t>https://niikawa.ed.jp/ ; https://www.mapion.co.jp/phonebook/M11004/16204/ILSP0000040613_ipclm/</t>
  </si>
  <si>
    <t>不二越工業高等学校</t>
  </si>
  <si>
    <t>076-425-8304</t>
  </si>
  <si>
    <t>公式Instagramと複数サイトで一致</t>
  </si>
  <si>
    <t>https://www.mapion.co.jp/phonebook/M11004/16201/ILSP0000040920_ipclm/ ; https://www.instagram.com/fujikoshi.technical.highschool/</t>
  </si>
  <si>
    <t>龍谷富山高等学校</t>
  </si>
  <si>
    <t>076-441-3141</t>
  </si>
  <si>
    <t>公式サイトで確認。高岡龍谷とは別の学校</t>
  </si>
  <si>
    <t>https://ryukokutoyama.jp/contact</t>
  </si>
  <si>
    <t>石川県</t>
  </si>
  <si>
    <t>白山市</t>
  </si>
  <si>
    <t>アットマーク国際高等学校</t>
  </si>
  <si>
    <t>076-278-8778</t>
  </si>
  <si>
    <t>通信制。白山市の本校の番号（電話帳サイトで一致、公式未確認）。公式の窓口は入学相談フリーダイヤル0120-5931-87。金沢学習センターは076-265-6888</t>
  </si>
  <si>
    <t>https://www.mapion.co.jp/phonebook/M11004/17210/ILSP0000041103_ipclm/ ; https://school.js88.com/scl_h/34028535</t>
  </si>
  <si>
    <t>七尾市</t>
  </si>
  <si>
    <t>鵬学園高等学校</t>
  </si>
  <si>
    <t>0767-53-2184</t>
  </si>
  <si>
    <t>公式サイトで確認。フリーダイヤル0120-218-455もあり</t>
  </si>
  <si>
    <t>https://www.ohtori.ed.jp/access/</t>
  </si>
  <si>
    <t>金沢市</t>
  </si>
  <si>
    <t>金沢学院大学附属高等学校</t>
  </si>
  <si>
    <t>076-229-1180</t>
  </si>
  <si>
    <t>https://www.kanazawa-gu.ac.jp/hs/</t>
  </si>
  <si>
    <t>金沢高等学校</t>
  </si>
  <si>
    <t>076-242-3321</t>
  </si>
  <si>
    <t>公式サイトと石川県の私立学校一覧で一致</t>
  </si>
  <si>
    <t>https://kanazawa-hs.jp/access/ ; https://www.pref.ishikawa.lg.jp/soumu/bunkyo/bunkyo2.html</t>
  </si>
  <si>
    <t>金沢龍谷高等学校</t>
  </si>
  <si>
    <t>076-240-7777</t>
  </si>
  <si>
    <t>公式サイトで確認。中等部と共通</t>
  </si>
  <si>
    <t>https://www.kanazawa-ryukoku.jp/</t>
  </si>
  <si>
    <t>小松市</t>
  </si>
  <si>
    <t>小松大谷高等学校</t>
  </si>
  <si>
    <t>0761-44-2551</t>
  </si>
  <si>
    <t>公式サイトで確認。粟津学舎は0761-44-2552</t>
  </si>
  <si>
    <t>https://komatsu-otani.jp/category12/</t>
  </si>
  <si>
    <t>星稜高等学校</t>
  </si>
  <si>
    <t>076-252-2237</t>
  </si>
  <si>
    <t>https://www.seiryo-hs.jp/s/ ; https://www.mapion.co.jp/phonebook/M11004/17201/ILSP0000041122_ipclm/</t>
  </si>
  <si>
    <t>輪島市</t>
  </si>
  <si>
    <t>日本航空高等学校石川</t>
  </si>
  <si>
    <t>0768-26-2255</t>
  </si>
  <si>
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</si>
  <si>
    <t>https://www.jaaw-hs.net/campus/notoairport_campus/campus_info</t>
  </si>
  <si>
    <t>北陸学院高等学校</t>
  </si>
  <si>
    <t>076-221-1944</t>
  </si>
  <si>
    <t>公式サイトで確認（中高の問い合わせ先）</t>
  </si>
  <si>
    <t>https://www.hokurikugakuin.ac.jp/sj/contact/index.html</t>
  </si>
  <si>
    <t>遊学館高等学校</t>
  </si>
  <si>
    <t>076-262-8484</t>
  </si>
  <si>
    <t>複数サイトで一致、公式未確認</t>
  </si>
  <si>
    <t>https://www.mapion.co.jp/phonebook/M11004/17201/ILSP0000041055_ipclm/ ; https://www.gakkou.net/kou/view/index_302899.html</t>
  </si>
  <si>
    <t>福井県</t>
  </si>
  <si>
    <t>福井市</t>
  </si>
  <si>
    <t>啓新高等学校</t>
  </si>
  <si>
    <t>0776-23-3489</t>
  </si>
  <si>
    <t>全日制の番号（公式サイト）。通信制課程は0776-63-6448</t>
  </si>
  <si>
    <t>https://www.keishin.ed.jp/ ; https://www.mapion.co.jp/phonebook/M11004/18201/ILSP0000041008_ipclm/</t>
  </si>
  <si>
    <t>仁愛女子高等学校</t>
  </si>
  <si>
    <t>0776-24-0493</t>
  </si>
  <si>
    <t>https://www.jin-ai-h.ed.jp/ ; https://www.mapion.co.jp/phonebook/M11004/18201/ILSP0000041741_ipclm/</t>
  </si>
  <si>
    <t>敦賀市</t>
  </si>
  <si>
    <t>敦賀気比高等学校</t>
  </si>
  <si>
    <t>0770-24-2150</t>
  </si>
  <si>
    <t>https://tsurugakehi.ed.jp/contact</t>
  </si>
  <si>
    <t>福井工業大学附属福井高等学校</t>
  </si>
  <si>
    <t>0776-29-2630</t>
  </si>
  <si>
    <t>公式サイトの問い合わせ・アクセスページで一致。0776-29-2640などの旧番号が残っているページもあり</t>
  </si>
  <si>
    <t>https://www.fukui-ut-fukui-h.ed.jp/high/contact/ ; https://www.fukui-ut-fukui-h.ed.jp/access/</t>
  </si>
  <si>
    <t>福井南高等学校</t>
  </si>
  <si>
    <t>0776-38-7711</t>
  </si>
  <si>
    <t>公式サイトに「代表」と記載。定時制（昼間・単位制）</t>
  </si>
  <si>
    <t>https://www.fukuiminami.ed.jp/%E3%82%A2%E3%82%AF%E3%82%BB%E3%82%B9</t>
  </si>
  <si>
    <t>北陸高等学校</t>
  </si>
  <si>
    <t>0776-23-0321</t>
  </si>
  <si>
    <t>公式サイトで確認。北陸中学校は0776-24-0321。石川県の北陸学院とは別の学校</t>
  </si>
  <si>
    <t>https://www.hokuriku.ed.jp/ ; https://www.mapion.co.jp/phonebook/M11004/18201/ILSP0000040913_ipclm/</t>
  </si>
  <si>
    <t>山梨県</t>
  </si>
  <si>
    <t>甲府市</t>
  </si>
  <si>
    <t>甲斐清和高等学校</t>
  </si>
  <si>
    <t>055-233-0127</t>
  </si>
  <si>
    <t>2つの情報源で一致。通信制（寿町キャンパス）は055-221-7888</t>
  </si>
  <si>
    <t>https://www.mapion.co.jp/phonebook/M11004/19201/ILSP0000041535_ipclm/ ; https://www.navita.co.jp/s/11014626/</t>
  </si>
  <si>
    <t>北杜市</t>
  </si>
  <si>
    <t>自然学園高等学校</t>
  </si>
  <si>
    <t>0551-45-0510</t>
  </si>
  <si>
    <t>通信制。須玉キャンパス（北杜市）の番号（公式サイト）。甲府キャンパスは055-237-0510</t>
  </si>
  <si>
    <t>https://shizengakuen.ed.jp/campus/sutama/ ; https://www.mapion.co.jp/phonebook/M11004/19209/ILSP0000041836_ipclm/</t>
  </si>
  <si>
    <t>駿台甲府高等学校</t>
  </si>
  <si>
    <t>055-253-6211</t>
  </si>
  <si>
    <t>公式サイトで確認（普通科・塩部キャンパス）。通信制は別番号</t>
  </si>
  <si>
    <t>https://www.sundai-kofu.ed.jp/high/info/inquiry.html</t>
  </si>
  <si>
    <t>帝京第三高等学校</t>
  </si>
  <si>
    <t>0551-36-2411</t>
  </si>
  <si>
    <t>公式サイトで確認。【校名変更予定】2027年度から「帝京大学青峰高等学校」に改称予定との情報あり</t>
  </si>
  <si>
    <t>https://www.teikyo3.ed.jp/ ; https://www.ypec.ed.jp/ypechp/wp-content/uploads/2024/06/49_%E5%B8%9D%E4%BA%AC%E7%AC%AC%E4%B8%89_R6%E3%83%8F%E3%82%A4%E3%82%B9%E3%82%AF%E3%83%BC%E3%83%AB%E3%82%AC%E3%82%A4%E3%83%89.pdf</t>
  </si>
  <si>
    <t>東海大学付属甲府高等学校</t>
  </si>
  <si>
    <t>055-227-1111</t>
  </si>
  <si>
    <t>https://www.kofu.tokai.ed.jp/access/</t>
  </si>
  <si>
    <t>甲斐市</t>
  </si>
  <si>
    <t>日本航空高等学校</t>
  </si>
  <si>
    <t>0551-28-3355</t>
  </si>
  <si>
    <t>山梨キャンパス（公式サイト）。通信制は0551-28-0011。北海道キャンパスとは別</t>
  </si>
  <si>
    <t>https://www.jaaw-hs.net/yamanashi/access/</t>
  </si>
  <si>
    <t>上野原市</t>
  </si>
  <si>
    <t>日本大学明誠高等学校</t>
  </si>
  <si>
    <t>0554-62-5161</t>
  </si>
  <si>
    <t>https://www.meisei.hs.nihon-u.ac.jp/ ; https://www.ypec.ed.jp/ypechp/wp-content/uploads/2023/06/nichidaimeisei.pdf</t>
  </si>
  <si>
    <t>富士吉田市</t>
  </si>
  <si>
    <t>富士学苑高等学校</t>
  </si>
  <si>
    <t>0555-22-0696</t>
  </si>
  <si>
    <t>https://gekkouji.ac.jp/access/ ; https://www.mapion.co.jp/phonebook/M11004/19202/ILSP0000040658_ipclm/</t>
  </si>
  <si>
    <t>身延町</t>
  </si>
  <si>
    <t>身延山高等学校</t>
  </si>
  <si>
    <t>0556-62-3500</t>
  </si>
  <si>
    <t>公式サイトで確認。県立身延高校（0556-62-1045）とは別の学校</t>
  </si>
  <si>
    <t>https://www.min.ac.jp/parents/guide/</t>
  </si>
  <si>
    <t>山梨英和高等学校</t>
  </si>
  <si>
    <t>055-252-6187</t>
  </si>
  <si>
    <t>公式サイトで確認（高校の番号）。中学校は055-252-6184、法人本部は055-223-6010</t>
  </si>
  <si>
    <t>https://www.yamanashi-eiwa.ac.jp/jsh/about/access</t>
  </si>
  <si>
    <t>山梨学院高等学校</t>
  </si>
  <si>
    <t>055-224-1600</t>
  </si>
  <si>
    <t>公式サイトに「代表」と記載。通信制は055-224-1414</t>
  </si>
  <si>
    <t>https://www.yghs.ed.jp/ ; https://www.pref.yamanashi.jp/koukoukyo/182_224.html</t>
  </si>
  <si>
    <t>長野県</t>
  </si>
  <si>
    <t>飯田市</t>
  </si>
  <si>
    <t>飯田女子高等学校</t>
  </si>
  <si>
    <t>0265-22-1386</t>
  </si>
  <si>
    <t>https://i-joshi.com/contact ; https://www.mapion.co.jp/phonebook/M11004/20205/ILSP0000041878_ipclm/</t>
  </si>
  <si>
    <t>伊那市</t>
  </si>
  <si>
    <t>伊那西高等学校</t>
  </si>
  <si>
    <t>0265-72-4091</t>
  </si>
  <si>
    <t>https://www.inanishi.net/ ; https://www.mapion.co.jp/phonebook/M11004/20209/ILSP0000040644_ipclm/</t>
  </si>
  <si>
    <t>上田市</t>
  </si>
  <si>
    <t>上田西高等学校</t>
  </si>
  <si>
    <t>0268-22-0412</t>
  </si>
  <si>
    <t>https://uedanishi.ed.jp/access/</t>
  </si>
  <si>
    <t>松本市</t>
  </si>
  <si>
    <t>エクセラン高等学校</t>
  </si>
  <si>
    <t>0263-32-3701</t>
  </si>
  <si>
    <t>公式サイトの事務室の番号</t>
  </si>
  <si>
    <t>https://www.excellent.ed.jp/school-information/</t>
  </si>
  <si>
    <t>佐久市</t>
  </si>
  <si>
    <t>佐久長聖高等学校</t>
  </si>
  <si>
    <t>0267-68-5588</t>
  </si>
  <si>
    <t>公式サイトで確認。中学校は別番号（0267-68-6688）</t>
  </si>
  <si>
    <t>https://sakuchosei.ed.jp/contact/</t>
  </si>
  <si>
    <t>さくら国際高等学校</t>
  </si>
  <si>
    <t>0268-39-7707</t>
  </si>
  <si>
    <t>通信制。上田本校の番号（公式サイト）</t>
  </si>
  <si>
    <t>https://sakura-kokusai.ed.jp/access/</t>
  </si>
  <si>
    <t>信濃むつみ高等学校</t>
  </si>
  <si>
    <t>0263-27-3700</t>
  </si>
  <si>
    <t>通信制。公式サイトで確認（平日9:30〜18:30）</t>
  </si>
  <si>
    <t>https://www.terra.ed.jp/contact</t>
  </si>
  <si>
    <t>地球環境高等学校</t>
  </si>
  <si>
    <t>0267-63-1411</t>
  </si>
  <si>
    <t>通信制。佐久本校の番号（公式サイト）。フリーダイヤル0120-390-117もあり</t>
  </si>
  <si>
    <t>https://earth.ac.jp/pages/25/</t>
  </si>
  <si>
    <t>天龍村</t>
  </si>
  <si>
    <t>天龍興譲高等学校</t>
  </si>
  <si>
    <t>通信制。【閉校の可能性】法人サイトに「閉校のお知らせ」あり。候補：0260-32-3581（高校総務部）／0260-32-3755（学園相談室）</t>
  </si>
  <si>
    <t>https://www.donguri-gakuen.jp/entry-2/ ; https://map.yahoo.co.jp/v3/place/G0mevp8o9t2</t>
  </si>
  <si>
    <t>茅野市</t>
  </si>
  <si>
    <t>東海大学付属諏訪高等学校</t>
  </si>
  <si>
    <t>0266-72-3147</t>
  </si>
  <si>
    <t>https://www.suwa.tokai.ed.jp/contact/</t>
  </si>
  <si>
    <t>塩尻市</t>
  </si>
  <si>
    <t>東京都市大学塩尻高等学校</t>
  </si>
  <si>
    <t>0263-88-0104</t>
  </si>
  <si>
    <t>https://www.tcu-shiojiri.ed.jp/ ; https://itp.ne.jp/info/200174033181650060/</t>
  </si>
  <si>
    <t>長野市</t>
  </si>
  <si>
    <t>長野俊英高等学校</t>
  </si>
  <si>
    <t>026-292-0726</t>
  </si>
  <si>
    <t>https://www.mapion.co.jp/phonebook/M11004/20201/ILSP0000041052_ipclm/ ; https://www.nagano-pta.org/link/school/96.html</t>
  </si>
  <si>
    <t>長野女子高等学校</t>
  </si>
  <si>
    <t>026-241-6800</t>
  </si>
  <si>
    <t>【休校中】長野県の私立高校名簿（2026年4月時点）に「休校中」と記載。架電の要否をご判断ください</t>
  </si>
  <si>
    <t>https://www.pref.nagano.lg.jp/ken-manabi/kyoiku/gakkoukou/koukou/koukou/mebo.html ; https://www.mapion.co.jp/phonebook/M11004/20201/ILSP0000040749_ipclm/</t>
  </si>
  <si>
    <t>長野清泉女学院高等学校</t>
  </si>
  <si>
    <t>026-234-2301</t>
  </si>
  <si>
    <t>公式サイトで確認。中高共通。026-219-1650は大学の番号</t>
  </si>
  <si>
    <t>https://www.seisen.ed.jp/</t>
  </si>
  <si>
    <t>長野日本大学高等学校</t>
  </si>
  <si>
    <t>026-243-1079</t>
  </si>
  <si>
    <t>https://www.mapion.co.jp/phonebook/M11004/20201/ILSP0000041769_ipclm/ ; https://www.nagano-pta.org/link/school/115.html</t>
  </si>
  <si>
    <t>文化学園長野高等学校</t>
  </si>
  <si>
    <t>026-226-8386</t>
  </si>
  <si>
    <t>法人の公式サイトとマピオンで一致</t>
  </si>
  <si>
    <t>http://www.gakuen-nagano.ac.jp/ ; https://www.mapion.co.jp/phonebook/M11004/20201/ILSP0000041410_ipclm/</t>
  </si>
  <si>
    <t>松商学園高等学校</t>
  </si>
  <si>
    <t>0263-33-1210</t>
  </si>
  <si>
    <t>公式サイトで確認（0263-33-1212を載せるサイトは誤り）。通信制は0263-48-7285</t>
  </si>
  <si>
    <t>https://www.matsusho-h.ed.jp/about-school/access.php</t>
  </si>
  <si>
    <t>松本国際高等学校</t>
  </si>
  <si>
    <t>0263-88-0033</t>
  </si>
  <si>
    <t>公式サイトで確認。通信教育部は0263-88-2592</t>
  </si>
  <si>
    <t>https://m-kokusai.ac.jp/ ; https://www.mapion.co.jp/phonebook/M11004/20202/ILSP0000041198_ipclm/</t>
  </si>
  <si>
    <t>松本第一高等学校</t>
  </si>
  <si>
    <t>0263-46-0555</t>
  </si>
  <si>
    <t>https://www.matsumoto1-h.ed.jp/guide/</t>
  </si>
  <si>
    <t>岐阜県</t>
  </si>
  <si>
    <t>岐阜市</t>
  </si>
  <si>
    <t>鶯谷高等学校</t>
  </si>
  <si>
    <t>058-265-7571</t>
  </si>
  <si>
    <t>https://www.mapion.co.jp/phonebook/M11004/21201/ILSP0000041163_ipclm/ ; https://www.inter-edu.com/schools/school/1452</t>
  </si>
  <si>
    <t>大垣市</t>
  </si>
  <si>
    <t>大垣日本大学高等学校</t>
  </si>
  <si>
    <t>0584-81-7323</t>
  </si>
  <si>
    <t>公式サイトと岐阜県の資料で一致</t>
  </si>
  <si>
    <t>https://www.ogaki.ac.jp/ ; https://www.gifu-net.ed.jp/ssd/sien/guide/gakkou/309.pdf</t>
  </si>
  <si>
    <t>ぎふ国際高等学校</t>
  </si>
  <si>
    <t>058-251-8181</t>
  </si>
  <si>
    <t>通信制。公式サイトと岐阜県の資料で一致</t>
  </si>
  <si>
    <t>https://gifu-kokusai.denpa.jp/ ; https://www.gifu-net.ed.jp/ssd/sien/guide/gakkou/318.pdf</t>
  </si>
  <si>
    <t>岐阜聖徳学園高等学校</t>
  </si>
  <si>
    <t>058-271-5451</t>
  </si>
  <si>
    <t>公式サイトで確認。法人本部（058-279-3300）とは別</t>
  </si>
  <si>
    <t>https://www.shotoku.jp/access/index.html</t>
  </si>
  <si>
    <t>岐南町</t>
  </si>
  <si>
    <t>岐阜女子高等学校</t>
  </si>
  <si>
    <t>058-245-2670</t>
  </si>
  <si>
    <t>https://www.gifujoshi.ed.jp/info/</t>
  </si>
  <si>
    <t>本巣市</t>
  </si>
  <si>
    <t>岐阜第一高等学校</t>
  </si>
  <si>
    <t>058-324-2161</t>
  </si>
  <si>
    <t>2つのサイトで一致、公式未確認</t>
  </si>
  <si>
    <t>https://www.mapion.co.jp/phonebook/M11004/21218/ILSP0000041106_ipclm/ ; https://www.iezo.net/tiikinavi/gifu/motosu/</t>
  </si>
  <si>
    <t>岐阜東高等学校</t>
  </si>
  <si>
    <t>058-246-2956</t>
  </si>
  <si>
    <t>https://www.gito.ed.jp/contact/</t>
  </si>
  <si>
    <t>城南高等学校</t>
  </si>
  <si>
    <t>058-240-3335</t>
  </si>
  <si>
    <t>通信制。公式サイトで確認（城南高等専修学校と共通）</t>
  </si>
  <si>
    <t>https://hope.sc/access/</t>
  </si>
  <si>
    <t>済美高等学校（岐阜県）</t>
  </si>
  <si>
    <t>058-271-0345</t>
  </si>
  <si>
    <t>https://www.gifu-seibi.ed.jp/access/</t>
  </si>
  <si>
    <t>聖マリア女学院高等学校</t>
  </si>
  <si>
    <t>058-229-1102</t>
  </si>
  <si>
    <t>https://maria.ed.jp/access/</t>
  </si>
  <si>
    <t>高山市</t>
  </si>
  <si>
    <t>高山西高等学校</t>
  </si>
  <si>
    <t>0577-32-2590</t>
  </si>
  <si>
    <t>https://takanishi.ed.jp/</t>
  </si>
  <si>
    <t>多治見市</t>
  </si>
  <si>
    <t>多治見西高等学校</t>
  </si>
  <si>
    <t>0572-27-2547</t>
  </si>
  <si>
    <t>https://www.tajiminishi.ed.jp/high/attending-school/</t>
  </si>
  <si>
    <t>瑞浪市</t>
  </si>
  <si>
    <t>中京高等学校</t>
  </si>
  <si>
    <t>0572-68-4501</t>
  </si>
  <si>
    <t>全日制の番号（瑞浪市のサイトほかで一致）。通信制課程は0572-66-1255。愛知の中京大学附属中京とは別の学校</t>
  </si>
  <si>
    <t>https://www.city.mizunami.lg.jp/kosodate/gakkoukyouiku/1002127.html ; https://www.mapion.co.jp/phonebook/M11004/21208/ILSP0000040904_ipclm/</t>
  </si>
  <si>
    <t>可児市</t>
  </si>
  <si>
    <t>帝京大学可児高等学校</t>
  </si>
  <si>
    <t>0574-64-3211</t>
  </si>
  <si>
    <t>https://www.teikyo-kani.ed.jp/high/access/</t>
  </si>
  <si>
    <t>富田高等学校</t>
  </si>
  <si>
    <t>058-245-3621</t>
  </si>
  <si>
    <t>https://www.tomita.ac.jp/</t>
  </si>
  <si>
    <t>美濃加茂市</t>
  </si>
  <si>
    <t>美濃加茂高等学校</t>
  </si>
  <si>
    <t>0574-26-7181</t>
  </si>
  <si>
    <t>公式サイトで確認（私立）。0574-26-7182を載せるサイトもあり。公式サイトに電話設備の故障のお知らせあり</t>
  </si>
  <si>
    <t>https://minokamo.ed.jp/</t>
  </si>
  <si>
    <t>麗澤瑞浪高等学校</t>
  </si>
  <si>
    <t>0572-66-3111</t>
  </si>
  <si>
    <t>https://www.mz.reitaku.jp/school-guide/overview_history/</t>
  </si>
  <si>
    <t>静岡県</t>
  </si>
  <si>
    <t>磐田市</t>
  </si>
  <si>
    <t>磐田東高等学校</t>
  </si>
  <si>
    <t>0538-32-6118</t>
  </si>
  <si>
    <t>https://www.iwatahigashi-h.ed.jp/ ; https://www.mapion.co.jp/phonebook/M11004/22211/ILSP0000041612_ipclm/</t>
  </si>
  <si>
    <t>浜松市中央区</t>
  </si>
  <si>
    <t>オイスカ浜松国際高等学校</t>
  </si>
  <si>
    <t>053-486-3011</t>
  </si>
  <si>
    <t>公式サイトで確認。所在地は浜松市中央区</t>
  </si>
  <si>
    <t>https://www.oisca.ed.jp/school/access/ ; https://www.minkou.jp/hischool/school/646/</t>
  </si>
  <si>
    <t>沼津市</t>
  </si>
  <si>
    <t>加藤学園暁秀高等学校</t>
  </si>
  <si>
    <t>055-924-1900</t>
  </si>
  <si>
    <t>中高共通。加藤学園高校とは別の学校</t>
  </si>
  <si>
    <t>https://www.mapion.co.jp/phonebook/M11004/22203/ILSP0000041290_ipclm/ ; https://school.js88.com/scl_h/22009120</t>
  </si>
  <si>
    <t>加藤学園高等学校</t>
  </si>
  <si>
    <t>055-921-0347</t>
  </si>
  <si>
    <t>公式サイトに「代表」と記載。加藤学園暁秀とは別の学校</t>
  </si>
  <si>
    <t>https://www.katogaku.jp/KatohHS/</t>
  </si>
  <si>
    <t>吉田町</t>
  </si>
  <si>
    <t>キラリ高等学校</t>
  </si>
  <si>
    <t>0548-33-4976</t>
  </si>
  <si>
    <t>通信制。吉田本校の番号（公式サイト）</t>
  </si>
  <si>
    <t>https://www.kirari-highschool.jp/introduction/access/</t>
  </si>
  <si>
    <t>御殿場市</t>
  </si>
  <si>
    <t>御殿場西高等学校</t>
  </si>
  <si>
    <t>0550-89-2466</t>
  </si>
  <si>
    <t>https://gotembanishi-h.ed.jp/access/</t>
  </si>
  <si>
    <t>静岡市葵区</t>
  </si>
  <si>
    <t>静岡英和女学院高等学校</t>
  </si>
  <si>
    <t>054-254-7401</t>
  </si>
  <si>
    <t>https://www.mapion.co.jp/phonebook/M11004/22101/ILSP0000040742_ipclm/ ; https://shizu-hsmap.com/3460/</t>
  </si>
  <si>
    <t>静岡学園高等学校</t>
  </si>
  <si>
    <t>054-200-0191</t>
  </si>
  <si>
    <t>https://www.shizugaku.ed.jp/</t>
  </si>
  <si>
    <t>静岡北高等学校</t>
  </si>
  <si>
    <t>054-261-5801</t>
  </si>
  <si>
    <t>公式サイトに「代表」と記載。中学校は054-267-6151</t>
  </si>
  <si>
    <t>https://shizukita.jp/contact/</t>
  </si>
  <si>
    <t>静岡県西遠女子学園高等学校</t>
  </si>
  <si>
    <t>053-461-0374</t>
  </si>
  <si>
    <t>公式サイトで確認。中高共通。所在地は浜松市中央区</t>
  </si>
  <si>
    <t>https://www.seien.ed.jp/</t>
  </si>
  <si>
    <t>富士市</t>
  </si>
  <si>
    <t>静岡県富士見高等学校</t>
  </si>
  <si>
    <t>0545-61-0250</t>
  </si>
  <si>
    <t>https://fujimi.ed.jp/</t>
  </si>
  <si>
    <t>静岡市清水区</t>
  </si>
  <si>
    <t>静岡サレジオ高等学校</t>
  </si>
  <si>
    <t>054-345-2296</t>
  </si>
  <si>
    <t>https://ssalesio.ac.jp/high/contact/</t>
  </si>
  <si>
    <t>静岡市駿河区</t>
  </si>
  <si>
    <t>静岡女子高等学校</t>
  </si>
  <si>
    <t>054-285-2274</t>
  </si>
  <si>
    <t>https://shizuoka-joshi.ac.jp/</t>
  </si>
  <si>
    <t>静岡聖光学院高等学校</t>
  </si>
  <si>
    <t>054-285-9136</t>
  </si>
  <si>
    <t>中高共通。高校募集なし（完全中高一貫）。公式未確認</t>
  </si>
  <si>
    <t>https://www.mapion.co.jp/phonebook/M11004/22102/ILSP0000041139_ipclm/ ; https://itp.ne.jp/info/229451737200000899/</t>
  </si>
  <si>
    <t>静岡大成高等学校</t>
  </si>
  <si>
    <t>054-254-7334</t>
  </si>
  <si>
    <t>https://www.mapion.co.jp/phonebook/M11004/22101/ILSP0000040794_ipclm/</t>
  </si>
  <si>
    <t>静岡雙葉高等学校</t>
  </si>
  <si>
    <t>054-255-0305</t>
  </si>
  <si>
    <t>https://shizuoka-futaba.ac.jp/graduate/certificate/ ; https://www.mapion.co.jp/phonebook/M11004/22101/ILSP0000041364_ipclm/</t>
  </si>
  <si>
    <t>島田市</t>
  </si>
  <si>
    <t>島田樟誠高等学校</t>
  </si>
  <si>
    <t>0547-37-3116</t>
  </si>
  <si>
    <t>https://www.mapion.co.jp/phonebook/M11004/22209/ILSP0000041690_ipclm/ ; https://www.minkou.jp/hischool/school/2271/</t>
  </si>
  <si>
    <t>清水国際高等学校</t>
  </si>
  <si>
    <t>054-366-4155</t>
  </si>
  <si>
    <t>https://www.shimizu-kokusai.ac.jp/</t>
  </si>
  <si>
    <t>城南静岡高等学校</t>
  </si>
  <si>
    <t>054-285-6156</t>
  </si>
  <si>
    <t>https://www.johnan.ac.jp/</t>
  </si>
  <si>
    <t>誠恵高等学校</t>
  </si>
  <si>
    <t>055-921-5088</t>
  </si>
  <si>
    <t>http://www.seikei-on.ac.jp/contact/</t>
  </si>
  <si>
    <t>藤枝市</t>
  </si>
  <si>
    <t>静清高等学校</t>
  </si>
  <si>
    <t>054-641-6693</t>
  </si>
  <si>
    <t>https://seisei.ed.jp/access/</t>
  </si>
  <si>
    <t>富士宮市</t>
  </si>
  <si>
    <t>星陵高等学校</t>
  </si>
  <si>
    <t>0544-24-4811</t>
  </si>
  <si>
    <t>公式サイトで確認（静岡理工科大学星陵中学校・高等学校）</t>
  </si>
  <si>
    <t>https://starhill.ed.jp/hs/</t>
  </si>
  <si>
    <t>聖隷クリストファー高等学校</t>
  </si>
  <si>
    <t>053-436-5313</t>
  </si>
  <si>
    <t>複数サイトで一致、公式未確認。所在地は浜松市中央区</t>
  </si>
  <si>
    <t>https://www.mapion.co.jp/phonebook/M11004/22138/ILSP0000041195_ipclm/ ; https://school.js88.com/scl_h/22009420</t>
  </si>
  <si>
    <t>長泉町</t>
  </si>
  <si>
    <t>知徳高等学校</t>
  </si>
  <si>
    <t>055-975-0080</t>
  </si>
  <si>
    <t>複数サイトで一致。055-976-0735はFAXなので注意</t>
  </si>
  <si>
    <t>https://www.mapion.co.jp/phonebook/M11004/22342/ILSP0000041799_ipclm/ ; https://itp.ne.jp/info/225247068200000899/</t>
  </si>
  <si>
    <t>東海大学付属静岡翔洋高等学校</t>
  </si>
  <si>
    <t>054-334-0726</t>
  </si>
  <si>
    <t>公式サイトで確認。中等部は054-334-1851</t>
  </si>
  <si>
    <t>https://www.shoyo.tokai.ed.jp/contact/</t>
  </si>
  <si>
    <t>桐陽高等学校</t>
  </si>
  <si>
    <t>055-921-0350</t>
  </si>
  <si>
    <t>公式サイトでは募集広報部の番号。055-921-0096を載せるサイトもあり（旧番号の可能性）</t>
  </si>
  <si>
    <t>https://toyo-numazu.ac.jp/contact/ ; https://www.mapion.co.jp/phonebook/M11004/22203/ILSP0000041817_ipclm/</t>
  </si>
  <si>
    <t>菊川市</t>
  </si>
  <si>
    <t>常葉大学附属菊川高等学校</t>
  </si>
  <si>
    <t>0537-35-3171</t>
  </si>
  <si>
    <t>https://tokoha.net/kikugawa/guide/access/</t>
  </si>
  <si>
    <t>常葉大学附属橘高等学校</t>
  </si>
  <si>
    <t>054-261-2256</t>
  </si>
  <si>
    <t>https://www.tokoha.ac.jp/tachibana-jh/</t>
  </si>
  <si>
    <t>常葉大学附属常葉高等学校</t>
  </si>
  <si>
    <t>054-245-5401</t>
  </si>
  <si>
    <t>中高共通の代表</t>
  </si>
  <si>
    <t>https://www.tokoha-u.ac.jp/university/links/ ; https://www.mapion.co.jp/phonebook/M11004/22101/ILSP0000041765_ipclm/</t>
  </si>
  <si>
    <t>三島市</t>
  </si>
  <si>
    <t>日本大学三島高等学校</t>
  </si>
  <si>
    <t>055-988-3500</t>
  </si>
  <si>
    <t>https://www.mishima.hs.nihon-u.ac.jp/</t>
  </si>
  <si>
    <t>沼津中央高等学校</t>
  </si>
  <si>
    <t>055-921-0346</t>
  </si>
  <si>
    <t>https://www.n-chuo.ac.jp/contact ; https://www.mapion.co.jp/phonebook/M11004/22203/ILSP0000041058_ipclm/</t>
  </si>
  <si>
    <t>浜松開誠館高等学校</t>
  </si>
  <si>
    <t>053-456-7111</t>
  </si>
  <si>
    <t>https://www.kaiseikan.ed.jp/top-page/school-overview/</t>
  </si>
  <si>
    <t>浜松学院高等学校</t>
  </si>
  <si>
    <t>053-471-4136</t>
  </si>
  <si>
    <t>【校名変更】2025年4月に「浜松学院興誠高等学校」へ改称。法人本部と同じ番号</t>
  </si>
  <si>
    <t>https://www.hamagaku.ac.jp/gakuin/schoolprospectus/history/ ; https://school.js88.com/scl_h/22009350</t>
  </si>
  <si>
    <t>浜松学芸高等学校</t>
  </si>
  <si>
    <t>053-471-5336</t>
  </si>
  <si>
    <t>https://www.gakugei.ed.jp/high/</t>
  </si>
  <si>
    <t>浜松啓陽高等学校</t>
  </si>
  <si>
    <t>053-420-0431</t>
  </si>
  <si>
    <t>通信制。公式サイトで確認</t>
  </si>
  <si>
    <t>https://keiyo.ed.jp/ ; https://school.js88.com/scl_h/34029510?page=6</t>
  </si>
  <si>
    <t>浜松修学舎高等学校</t>
  </si>
  <si>
    <t>053-461-7356</t>
  </si>
  <si>
    <t>https://www.shugakusha.ed.jp/</t>
  </si>
  <si>
    <t>浜松聖星高等学校</t>
  </si>
  <si>
    <t>053-454-5376</t>
  </si>
  <si>
    <t>https://hamamatsu-seisei.jp/about/school_outline.html</t>
  </si>
  <si>
    <t>浜松日体高等学校</t>
  </si>
  <si>
    <t>053-434-0632</t>
  </si>
  <si>
    <t>https://www.h-nittai.ed.jp/</t>
  </si>
  <si>
    <t>飛龍高等学校</t>
  </si>
  <si>
    <t>055-921-7942</t>
  </si>
  <si>
    <t>公式サイトで確認。055-921-0348を載せるサイトは旧番号の可能性</t>
  </si>
  <si>
    <t>https://hiryu.ed.jp/about-us/access/</t>
  </si>
  <si>
    <t>藤枝順心高等学校</t>
  </si>
  <si>
    <t>054-635-1311</t>
  </si>
  <si>
    <t>https://www.mapion.co.jp/phonebook/M11004/22214/ILSP0000041630_ipclm/ ; https://school.js88.com/scl_h/22009310?page=9</t>
  </si>
  <si>
    <t>藤枝明誠高等学校</t>
  </si>
  <si>
    <t>054-635-8155</t>
  </si>
  <si>
    <t>https://www.fgmeisei.ed.jp/contact/</t>
  </si>
  <si>
    <t>裾野市</t>
  </si>
  <si>
    <t>不二聖心女子学院高等学校</t>
  </si>
  <si>
    <t>055-992-0213</t>
  </si>
  <si>
    <t>https://www.fujiseishin-jh.ed.jp/access/</t>
  </si>
  <si>
    <t>焼津市</t>
  </si>
  <si>
    <t>焼津高等学校</t>
  </si>
  <si>
    <t>054-628-7235</t>
  </si>
  <si>
    <t>私立（学校法人松薫学園）。公式サイトで確認</t>
  </si>
  <si>
    <t>https://yaizu-h.ed.jp/</t>
  </si>
  <si>
    <t>愛知県</t>
  </si>
  <si>
    <t>稲沢市</t>
  </si>
  <si>
    <t>愛知啓成高等学校</t>
  </si>
  <si>
    <t>0587-32-5141</t>
  </si>
  <si>
    <t>https://keisei.ed.jp/ ; https://www.city.inazawa.aichi.jp/0000002446.html</t>
  </si>
  <si>
    <t>名古屋市千種区</t>
  </si>
  <si>
    <t>愛知工業大学名電高等学校</t>
  </si>
  <si>
    <t>052-721-0311</t>
  </si>
  <si>
    <t>https://www.meiden.ed.jp/others/contact.html</t>
  </si>
  <si>
    <t>愛知高等学校</t>
  </si>
  <si>
    <t>052-721-1521</t>
  </si>
  <si>
    <t>公式サイトに「代表」と記載。中高共通</t>
  </si>
  <si>
    <t>https://www.aichi-h.ed.jp/hs/access/</t>
  </si>
  <si>
    <t>岡崎市</t>
  </si>
  <si>
    <t>愛知産業大学三河高等学校</t>
  </si>
  <si>
    <t>0564-48-5211</t>
  </si>
  <si>
    <t>全日制の番号（公式サイト）。通信制課程は0564-48-5230</t>
  </si>
  <si>
    <t>https://www.mikawa.ed.jp/introduction/information/</t>
  </si>
  <si>
    <t>愛知淑徳高等学校</t>
  </si>
  <si>
    <t>052-781-1151</t>
  </si>
  <si>
    <t>公式サイトで代表番号として確認。中高共通</t>
  </si>
  <si>
    <t>https://www.aichishukutoku-h.jp/contact/</t>
  </si>
  <si>
    <t>名古屋市瑞穂区</t>
  </si>
  <si>
    <t>愛知みずほ大学瑞穂高等学校</t>
  </si>
  <si>
    <t>052-882-1811</t>
  </si>
  <si>
    <t>https://www.aichi-mizuho.ac.jp/mhs/</t>
  </si>
  <si>
    <t>弥富市</t>
  </si>
  <si>
    <t>愛知黎明高等学校</t>
  </si>
  <si>
    <t>0567-68-2233</t>
  </si>
  <si>
    <t>複数サイトで一致、公式未確認。定時制あり</t>
  </si>
  <si>
    <t>https://www.mapion.co.jp/phonebook/M11004/23235/ILSP0000040620_ipclm/ ; https://school.js88.com/scl_h/22011520</t>
  </si>
  <si>
    <t>安城市</t>
  </si>
  <si>
    <t>安城学園高等学校</t>
  </si>
  <si>
    <t>0566-76-5105</t>
  </si>
  <si>
    <t>公式サイトで確認。法人本部（0566-77-7788）とは別</t>
  </si>
  <si>
    <t>https://www.angaku.jp/contact</t>
  </si>
  <si>
    <t>長久手市</t>
  </si>
  <si>
    <t>栄徳高等学校</t>
  </si>
  <si>
    <t>0561-62-5000</t>
  </si>
  <si>
    <t>https://www.eitoku-h.ed.jp/</t>
  </si>
  <si>
    <t>名古屋市昭和区</t>
  </si>
  <si>
    <t>桜花学園高等学校</t>
  </si>
  <si>
    <t>052-741-1221</t>
  </si>
  <si>
    <t>https://ohka-hs.com/profile/</t>
  </si>
  <si>
    <t>岡崎城西高等学校</t>
  </si>
  <si>
    <t>0564-31-4165</t>
  </si>
  <si>
    <t>公式サイトで確認（安城学園岡崎城西）</t>
  </si>
  <si>
    <t>https://www.johsei.jp/contact/</t>
  </si>
  <si>
    <t>名古屋市守山区</t>
  </si>
  <si>
    <t>菊華高等学校</t>
  </si>
  <si>
    <t>052-791-8261</t>
  </si>
  <si>
    <t>全日制の本校の番号（公式サイト）</t>
  </si>
  <si>
    <t>https://kikuka.ed.jp/</t>
  </si>
  <si>
    <t>享栄高等学校</t>
  </si>
  <si>
    <t>052-841-8151</t>
  </si>
  <si>
    <t>https://www.kyoei-h.ed.jp/contact/</t>
  </si>
  <si>
    <t>名古屋市東区</t>
  </si>
  <si>
    <t>金城学院高等学校</t>
  </si>
  <si>
    <t>052-931-6236</t>
  </si>
  <si>
    <t>高校の番号（公式サイト）。中学校は052-931-0821、大学は別番号</t>
  </si>
  <si>
    <t>https://www.hs.kinjo-u.ac.jp/contact/</t>
  </si>
  <si>
    <t>名古屋市西区</t>
  </si>
  <si>
    <t>啓明学館高等学校</t>
  </si>
  <si>
    <t>052-571-2561</t>
  </si>
  <si>
    <t>公式サイトの事務所の番号（「代表」の表記なし）。職員室は052-571-7366</t>
  </si>
  <si>
    <t>https://keimeigakkan-h.ed.jp/</t>
  </si>
  <si>
    <t>豊橋市</t>
  </si>
  <si>
    <t>桜丘高等学校（愛知県）</t>
  </si>
  <si>
    <t>0570-039-396</t>
  </si>
  <si>
    <t>公式サイトのナビダイヤル（学園・高校共通、通話料がかかる番号）。旧番号0532-61-6421が一部サイトに残る</t>
  </si>
  <si>
    <t>https://www.sakuragaoka-gakuen.ed.jp/h/</t>
  </si>
  <si>
    <t>至学館高等学校</t>
  </si>
  <si>
    <t>052-723-0851</t>
  </si>
  <si>
    <t>https://www.shigakukan-h.ed.jp/</t>
  </si>
  <si>
    <t>一宮市</t>
  </si>
  <si>
    <t>修文学院高等学校</t>
  </si>
  <si>
    <t>0586-45-2102</t>
  </si>
  <si>
    <t>公式サイトで確認。【校名変更】2022年に修文女子高校から改称・共学化</t>
  </si>
  <si>
    <t>https://www.gakuin-hs.shubun.ac.jp/contact</t>
  </si>
  <si>
    <t>椙山女学園高等学校</t>
  </si>
  <si>
    <t>052-751-8131</t>
  </si>
  <si>
    <t>https://www.sugiyama-u.ac.jp/high/index.html</t>
  </si>
  <si>
    <t>瀬戸市</t>
  </si>
  <si>
    <t>聖カピタニオ女子高等学校</t>
  </si>
  <si>
    <t>0561-82-7711</t>
  </si>
  <si>
    <t>https://www.st-capitanio.ed.jp/access/access.html</t>
  </si>
  <si>
    <t>扶桑町</t>
  </si>
  <si>
    <t>誠信高等学校</t>
  </si>
  <si>
    <t>0587-93-5380</t>
  </si>
  <si>
    <t>公式サイトに「代表」と記載。0587-93-8172はFAXなので注意</t>
  </si>
  <si>
    <t>https://www.a-seishin.ed.jp/contact/</t>
  </si>
  <si>
    <t>豊明市</t>
  </si>
  <si>
    <t>星城高等学校</t>
  </si>
  <si>
    <t>0562-97-3111</t>
  </si>
  <si>
    <t>https://www.seijoh.ed.jp/</t>
  </si>
  <si>
    <t>愛西市</t>
  </si>
  <si>
    <t>清林館高等学校</t>
  </si>
  <si>
    <t>0567-28-3010</t>
  </si>
  <si>
    <t>https://www.seirinkan.ed.jp/high/access</t>
  </si>
  <si>
    <t>聖霊高等学校</t>
  </si>
  <si>
    <t>0561-21-3121</t>
  </si>
  <si>
    <t>https://www.seto-seirei-js.ed.jp/</t>
  </si>
  <si>
    <t>大成高等学校（愛知県）</t>
  </si>
  <si>
    <t>0586-77-9900</t>
  </si>
  <si>
    <t>公式サイトと一宮市のサイトで一致</t>
  </si>
  <si>
    <t>https://www.aichi-shinwa-taisei.ed.jp/high/ ; https://www.city.ichinomiya.aichi.jp/shisetsu/hoikugakko/1008935/1009298.html</t>
  </si>
  <si>
    <t>江南市</t>
  </si>
  <si>
    <t>滝高等学校</t>
  </si>
  <si>
    <t>0587-56-2127</t>
  </si>
  <si>
    <t>https://www.taki-hj.ac.jp/guide/access.html</t>
  </si>
  <si>
    <t>名古屋市南区</t>
  </si>
  <si>
    <t>大同大学大同高等学校</t>
  </si>
  <si>
    <t>052-611-0511</t>
  </si>
  <si>
    <t>https://www.daido-h.ed.jp/access/</t>
  </si>
  <si>
    <t>中京大学附属中京高等学校</t>
  </si>
  <si>
    <t>052-761-5311</t>
  </si>
  <si>
    <t>公式サイトに「代表」と記載。通信制課程も同じ番号</t>
  </si>
  <si>
    <t>https://www.chukyo.ed.jp/contact/</t>
  </si>
  <si>
    <t>日進市</t>
  </si>
  <si>
    <t>中部大学第一高等学校</t>
  </si>
  <si>
    <t>0561-73-8111</t>
  </si>
  <si>
    <t>https://www.mapion.co.jp/phonebook/M11004/23230/ILSP0000041881_ipclm/ ; https://www.gakkou.net/kou/view/index_303623.html</t>
  </si>
  <si>
    <t>春日井市</t>
  </si>
  <si>
    <t>中部大学春日丘高等学校</t>
  </si>
  <si>
    <t>0568-51-1131</t>
  </si>
  <si>
    <t>公式サイトで確認。中学校は0568-51-1115</t>
  </si>
  <si>
    <t>https://www.haruhigaoka.ed.jp/senior/ ; https://www.city.kasugai.lg.jp/shisei/shisetsu/kosodate/1010552/1010560.html</t>
  </si>
  <si>
    <t>新城市</t>
  </si>
  <si>
    <t>黄柳野高等学校</t>
  </si>
  <si>
    <t>0536-34-0330</t>
  </si>
  <si>
    <t>https://www.mapion.co.jp/phonebook/M11004/23221/ILSP0000041060_ipclm/ ; https://www.navitime.co.jp/poi?spot=00004-23108700184</t>
  </si>
  <si>
    <t>名古屋市天白区</t>
  </si>
  <si>
    <t>東海学園高等学校</t>
  </si>
  <si>
    <t>052-801-6222</t>
  </si>
  <si>
    <t>公式サイトで確認。東海高校（東区）とは別の学校</t>
  </si>
  <si>
    <t>https://tokaigakuen.ed.jp/</t>
  </si>
  <si>
    <t>東海高等学校</t>
  </si>
  <si>
    <t>052-936-5111</t>
  </si>
  <si>
    <t>中高共通の代表（事務所）。高校の直通は052-936-5112。東海学園（天白区）とは別の学校</t>
  </si>
  <si>
    <t>https://www.tokai-jh.ed.jp/profile/06.html</t>
  </si>
  <si>
    <t>名古屋市名東区</t>
  </si>
  <si>
    <t>東邦高等学校</t>
  </si>
  <si>
    <t>052-782-1171</t>
  </si>
  <si>
    <t>公式サイトに「代表」と記載。052-782-1241は愛知東邦大学の番号</t>
  </si>
  <si>
    <t>https://www.toho-h.ed.jp/</t>
  </si>
  <si>
    <t>豊田市</t>
  </si>
  <si>
    <t>杜若高等学校</t>
  </si>
  <si>
    <t>0565-45-5000</t>
  </si>
  <si>
    <t>https://www.tojaku-h.ed.jp/</t>
  </si>
  <si>
    <t>豊川市</t>
  </si>
  <si>
    <t>豊川高等学校</t>
  </si>
  <si>
    <t>0533-86-4121</t>
  </si>
  <si>
    <t>公式サイトに「学校代表」と記載</t>
  </si>
  <si>
    <t>https://toyokawa.ed.jp/contact</t>
  </si>
  <si>
    <t>豊田大谷高等学校</t>
  </si>
  <si>
    <t>0565-48-3511</t>
  </si>
  <si>
    <t>2つのサイトで一致（代表として掲載）、公式未確認</t>
  </si>
  <si>
    <t>https://www.navita.co.jp/s/11101207/ ; https://www.mapion.co.jp/phonebook/M11004/23211/ILSP0000041953_ipclm/</t>
  </si>
  <si>
    <t>豊橋中央高等学校</t>
  </si>
  <si>
    <t>0532-54-1301</t>
  </si>
  <si>
    <t>https://toyohashi-chuo.ed.jp/?page_id=53</t>
  </si>
  <si>
    <t>名古屋市中村区</t>
  </si>
  <si>
    <t>同朋高等学校</t>
  </si>
  <si>
    <t>052-411-1159</t>
  </si>
  <si>
    <t>公式サイトの職員室の番号。入試広報室は052-411-1216。ほかの番号を載せるサイトもあり</t>
  </si>
  <si>
    <t>https://www.doho-h.ed.jp/</t>
  </si>
  <si>
    <t>名古屋葵大学高等学校</t>
  </si>
  <si>
    <t>052-841-8181</t>
  </si>
  <si>
    <t>公式サイトで確認。中高共通。【校名変更】2025年4月に名古屋女子大学高校から改称</t>
  </si>
  <si>
    <t>https://www.nagoya-aoi.ed.jp/contact/</t>
  </si>
  <si>
    <t>名古屋大谷高等学校</t>
  </si>
  <si>
    <t>052-852-1121</t>
  </si>
  <si>
    <t>https://nagoyaotani.owari.ac.jp/access/</t>
  </si>
  <si>
    <t>名古屋経済大学市邨高等学校</t>
  </si>
  <si>
    <t>052-721-0161</t>
  </si>
  <si>
    <t>https://ichimura.ed.jp/access/</t>
  </si>
  <si>
    <t>名古屋経済大学高蔵高等学校</t>
  </si>
  <si>
    <t>052-853-0050</t>
  </si>
  <si>
    <t>https://www.takakura-hj.info/access</t>
  </si>
  <si>
    <t>名古屋工業高等学校</t>
  </si>
  <si>
    <t>052-871-2681</t>
  </si>
  <si>
    <t>公式サイトと愛知県私学協会の資料で一致（私立）</t>
  </si>
  <si>
    <t>https://nagoya-th.ed.jp/ ; https://www.aichi-shigaku.gr.jp/guidebook2025/pageindices/index68.html</t>
  </si>
  <si>
    <t>名古屋高等学校</t>
  </si>
  <si>
    <t>052-721-5271</t>
  </si>
  <si>
    <t>公式サイトで確認。052-722-2835は同窓会の番号</t>
  </si>
  <si>
    <t>https://www.meigaku.ac.jp/access/</t>
  </si>
  <si>
    <t>名古屋国際高等学校</t>
  </si>
  <si>
    <t>052-858-2200</t>
  </si>
  <si>
    <t>中高代表として掲載。高校の番号として052-853-5151を載せるサイトもあり食い違い</t>
  </si>
  <si>
    <t>https://www.unesco-school.mext.go.jp/schools/list/nagoya-international-junior-senior-high-school/ ; https://www.aichi.sc/gakkou/kokusai/</t>
  </si>
  <si>
    <t>名古屋市中区</t>
  </si>
  <si>
    <t>名古屋たちばな高等学校</t>
  </si>
  <si>
    <t>052-322-1911</t>
  </si>
  <si>
    <t>https://tachibana-hs.ed.jp/</t>
  </si>
  <si>
    <t>南山高等学校 女子部</t>
  </si>
  <si>
    <t>052-831-0704</t>
  </si>
  <si>
    <t>公式サイトで確認。中高共通。男子部とは別番号</t>
  </si>
  <si>
    <t>https://www.nanzan-girls.ed.jp/access.html</t>
  </si>
  <si>
    <t>南山高等学校 男子部</t>
  </si>
  <si>
    <t>052-831-6455</t>
  </si>
  <si>
    <t>公式サイトで確認。女子部とは別番号</t>
  </si>
  <si>
    <t>https://www.nanzan-boys.ed.jp/</t>
  </si>
  <si>
    <t>美浜町</t>
  </si>
  <si>
    <t>日本福祉大学付属高等学校</t>
  </si>
  <si>
    <t>0569-87-2311</t>
  </si>
  <si>
    <t>公式サイトで確認。大学の代表（0569-87-2211）とは別</t>
  </si>
  <si>
    <t>https://www.n-fukushi.ac.jp/koukou/</t>
  </si>
  <si>
    <t>人間環境大学附属岡崎高等学校</t>
  </si>
  <si>
    <t>0564-22-0274</t>
  </si>
  <si>
    <t>公式サイトで確認。2022年に旧校名から改称</t>
  </si>
  <si>
    <t>https://www.jinkan-okazaki.ed.jp/about/</t>
  </si>
  <si>
    <t>光ヶ丘女子高等学校</t>
  </si>
  <si>
    <t>0564-51-5651</t>
  </si>
  <si>
    <t>https://hikarigaoka-h.ed.jp/</t>
  </si>
  <si>
    <t>藤ノ花女子高等学校</t>
  </si>
  <si>
    <t>0532-61-5468</t>
  </si>
  <si>
    <t>https://www.fujinohana-h.ed.jp/</t>
  </si>
  <si>
    <t>小牧市</t>
  </si>
  <si>
    <t>誉高等学校</t>
  </si>
  <si>
    <t>0568-79-7700</t>
  </si>
  <si>
    <t>小牧市のサイトほかで一致、公式未確認</t>
  </si>
  <si>
    <t>https://www.mapion.co.jp/phonebook/M11004/23219/ILSP0000041861_ipclm/ ; https://www.city.komaki.aichi.jp/admin/soshiki/fumei/highscool/4872.html</t>
  </si>
  <si>
    <t>名城大学附属高等学校</t>
  </si>
  <si>
    <t>052-481-7436</t>
  </si>
  <si>
    <t>https://www.meijo-h.ed.jp/profile/</t>
  </si>
  <si>
    <t>三重県</t>
  </si>
  <si>
    <t>伊賀市</t>
  </si>
  <si>
    <t>愛農学園農業高等学校</t>
  </si>
  <si>
    <t>0595-52-0327</t>
  </si>
  <si>
    <t>https://ainogakuen.ed.jp/ ; https://www.mapion.co.jp/phonebook/M11004/24216/ILSP0000041735_ipclm/</t>
  </si>
  <si>
    <t>津市</t>
  </si>
  <si>
    <t>青山高等学校（三重県）</t>
  </si>
  <si>
    <t>059-262-4321</t>
  </si>
  <si>
    <t>https://aoyama-h.ed.jp/</t>
  </si>
  <si>
    <t>四日市市</t>
  </si>
  <si>
    <t>暁高等学校</t>
  </si>
  <si>
    <t>059-337-2347</t>
  </si>
  <si>
    <t>公式サイトの3年制課程の番号（「代表」の表記なし）。中高一貫（6年制）は059-337-1213。059-337-2345を載せるサイトもあり</t>
  </si>
  <si>
    <t>https://www.akatsuki.ed.jp/akatsuki-h/</t>
  </si>
  <si>
    <t>伊勢市</t>
  </si>
  <si>
    <t>伊勢学園高等学校</t>
  </si>
  <si>
    <t>0596-22-4155</t>
  </si>
  <si>
    <t>公式サイトで確認。0596-22-4836は法人事務局の番号</t>
  </si>
  <si>
    <t>https://www.isegakuen.ac.jp/contact.html</t>
  </si>
  <si>
    <t>英心高等学校</t>
  </si>
  <si>
    <t>0596-28-2077</t>
  </si>
  <si>
    <t>通信制。伊勢本校の番号（公式サイト）。桔梗が丘校は0595-41-1267</t>
  </si>
  <si>
    <t>https://www.ckip.jp/eishin/infomations/contact ; https://www.mapion.co.jp/phonebook/M11004/24203/ILSP0060149148_ipclm/</t>
  </si>
  <si>
    <t>大橋学園高等学校</t>
  </si>
  <si>
    <t>059-348-4800</t>
  </si>
  <si>
    <t>通信制。公式サイトで確認。旧所在地の番号059-354-1357は使わない</t>
  </si>
  <si>
    <t>https://www.ohashigh.ed.jp/school_info/access/</t>
  </si>
  <si>
    <t>海星高等学校（三重県）</t>
  </si>
  <si>
    <t>059-345-0036</t>
  </si>
  <si>
    <t>https://www.kaisei.ed.jp/access/</t>
  </si>
  <si>
    <t>神村学園高等部 伊賀分校</t>
  </si>
  <si>
    <t>0595-41-1234</t>
  </si>
  <si>
    <t>公式サイトで確認（伊賀分校）。0595-53-1190を載せるサイトは旧番号の可能性</t>
  </si>
  <si>
    <t>https://angel.kamimura.ac.jp/koiki/iga/access/</t>
  </si>
  <si>
    <t>皇學館高等学校</t>
  </si>
  <si>
    <t>0596-22-0205</t>
  </si>
  <si>
    <t>https://www.kogakkan-h.jp/access/</t>
  </si>
  <si>
    <t>桜丘高等学校（三重県）</t>
  </si>
  <si>
    <t>0595-38-1201</t>
  </si>
  <si>
    <t>https://sakura-gaoka.ed.jp/ ; https://school.js88.com/scl_h/22012400</t>
  </si>
  <si>
    <t>鈴鹿市</t>
  </si>
  <si>
    <t>鈴鹿高等学校</t>
  </si>
  <si>
    <t>059-378-0307</t>
  </si>
  <si>
    <t>https://suzukakyoei.ed.jp/suzukah/page06_00/</t>
  </si>
  <si>
    <t>セントヨゼフ女子学園高等学校</t>
  </si>
  <si>
    <t>059-227-6465</t>
  </si>
  <si>
    <t>https://sjjg.ac.jp/</t>
  </si>
  <si>
    <t>高田高等学校</t>
  </si>
  <si>
    <t>059-232-2004</t>
  </si>
  <si>
    <t>公式サイトで確認。中高共通。学苑本部（059-231-0367）とは別</t>
  </si>
  <si>
    <t>https://www.mie-takada-hj.ed.jp/hj4/</t>
  </si>
  <si>
    <t>桑名市</t>
  </si>
  <si>
    <t>津田学園高等学校</t>
  </si>
  <si>
    <t>0594-31-6311</t>
  </si>
  <si>
    <t>https://tsudagakuen.ac.jp/access.html</t>
  </si>
  <si>
    <t>亀山市</t>
  </si>
  <si>
    <t>徳風高等学校</t>
  </si>
  <si>
    <t>0595-82-3561</t>
  </si>
  <si>
    <t>通信制。公式サイトで確認（徳風技能専門学校と共通）</t>
  </si>
  <si>
    <t>https://mietokufu.ed.jp/</t>
  </si>
  <si>
    <t>松阪市</t>
  </si>
  <si>
    <t>三重高等学校</t>
  </si>
  <si>
    <t>0598-29-2959</t>
  </si>
  <si>
    <t>公式サイトと三重県のサイトで一致</t>
  </si>
  <si>
    <t>https://www.mie-mie-h.ed.jp/high/ ; https://www.pref.mie.lg.jp/SIGAKU/HP/shigaku/20490021350.htm</t>
  </si>
  <si>
    <t>四日市メリノール学院高等学校</t>
  </si>
  <si>
    <t>059-326-0067</t>
  </si>
  <si>
    <t>公式サイトで確認（中高共通の事務室）</t>
  </si>
  <si>
    <t>https://maryknoll.ed.jp/contact</t>
  </si>
  <si>
    <t>志摩市</t>
  </si>
  <si>
    <t>代々木高等学校</t>
  </si>
  <si>
    <t>0599-56-0772</t>
  </si>
  <si>
    <t>広域通信制。志摩の本校。公式の問い合わせページの番号。0599-56-0770を載せる公式ページもあり、どちらが代表か不明</t>
  </si>
  <si>
    <t>https://yoyogi.ed.jp/otoiawasetel/</t>
  </si>
  <si>
    <t>滋賀県</t>
  </si>
  <si>
    <t>草津市</t>
  </si>
  <si>
    <t>綾羽高等学校</t>
  </si>
  <si>
    <t>077-563-3435</t>
  </si>
  <si>
    <t>公式サイトに「代表」と記載。入試広報室は077-565-5821。定時制あり</t>
  </si>
  <si>
    <t>https://www.ayaha.ed.jp/access/</t>
  </si>
  <si>
    <t>高島市</t>
  </si>
  <si>
    <t>ECC学園高等学校</t>
  </si>
  <si>
    <t>0740-24-8101</t>
  </si>
  <si>
    <t>通信制。高島市の本校の番号（公式サイト）。フリーダイヤル0120-027-144は全国向けの相談窓口</t>
  </si>
  <si>
    <t>https://www.ecc.ed.jp/about/overview.html ; https://www.mapion.co.jp/phonebook/M11004/25212/22530407740/</t>
  </si>
  <si>
    <t>近江八幡市</t>
  </si>
  <si>
    <t>近江兄弟社高等学校</t>
  </si>
  <si>
    <t>0748-32-3444</t>
  </si>
  <si>
    <t>https://www.vories.ac.jp/omibh-shs</t>
  </si>
  <si>
    <t>彦根市</t>
  </si>
  <si>
    <t>近江高等学校</t>
  </si>
  <si>
    <t>0749-22-2323</t>
  </si>
  <si>
    <t>https://www.ohmi-h.ed.jp/information/access.php</t>
  </si>
  <si>
    <t>光泉カトリック高等学校</t>
  </si>
  <si>
    <t>077-564-5600</t>
  </si>
  <si>
    <t>公式サイトに「代表」と記載。入試部は077-564-7771</t>
  </si>
  <si>
    <t>https://www.kousen.ed.jp/high/contact/</t>
  </si>
  <si>
    <t>東近江市</t>
  </si>
  <si>
    <t>滋賀学園高等学校</t>
  </si>
  <si>
    <t>0748-23-0858</t>
  </si>
  <si>
    <t>https://www.shigagakuen.ed.jp/</t>
  </si>
  <si>
    <t>司学館高等学校</t>
  </si>
  <si>
    <t>0748-22-1176</t>
  </si>
  <si>
    <t>通信制。複数サイトで一致、公式未確認</t>
  </si>
  <si>
    <t>https://www.mapion.co.jp/phonebook/M11004/25213/ILSP0000040974_ipclm/ ; https://miraitizu.com/tsushin-school/7364</t>
  </si>
  <si>
    <t>大津市</t>
  </si>
  <si>
    <t>滋賀短期大学附属高等学校</t>
  </si>
  <si>
    <t>0570-052-230</t>
  </si>
  <si>
    <t>公式の問い合わせページの代表はナビダイヤル（通話料がかかる番号）。従来の番号077-522-3465も公式アクセスページなどに掲載あり</t>
  </si>
  <si>
    <t>https://www.sumire.ac.jp/highschool/form/</t>
  </si>
  <si>
    <t>比叡山高等学校</t>
  </si>
  <si>
    <t>077-578-0091</t>
  </si>
  <si>
    <t>公式サイトで高校の番号として確認。077-578-0132は中学校の番号</t>
  </si>
  <si>
    <t>https://hieizan.ed.jp/hieizan-jh-hs/about/access/</t>
  </si>
  <si>
    <t>彦根総合高等学校</t>
  </si>
  <si>
    <t>0749-26-0016</t>
  </si>
  <si>
    <t>公式サイトに「代表」と記載。入試広報部は0749-24-7855</t>
  </si>
  <si>
    <t>https://hikosou.jp/contact/</t>
  </si>
  <si>
    <t>守山市</t>
  </si>
  <si>
    <t>立命館守山高等学校</t>
  </si>
  <si>
    <t>077-582-8000</t>
  </si>
  <si>
    <t>中高共通の代表。守山市のサイトほかで一致</t>
  </si>
  <si>
    <t>https://www.city.moriyama.lg.jp/shisetsu/jidoushisetsu/1006181/1006184.html ; https://school.js88.com/scl_h/22012790</t>
  </si>
  <si>
    <t>京都府</t>
  </si>
  <si>
    <t>京都市山科区</t>
  </si>
  <si>
    <t>一燈園高等学校</t>
  </si>
  <si>
    <t>075-595-3711</t>
  </si>
  <si>
    <t>中高共通。複数サイトで一致。定時制あり</t>
  </si>
  <si>
    <t>https://www.mapion.co.jp/phonebook/M11004/26110/ILSP0000041313_ipclm/ ; https://ksf-site.com/school/ittoen/</t>
  </si>
  <si>
    <t>京都市東山区</t>
  </si>
  <si>
    <t>大谷高等学校（京都府）</t>
  </si>
  <si>
    <t>075-541-1312</t>
  </si>
  <si>
    <t>https://www.otani.ac.jp/sinsyu_gakuen/index.html ; https://school.js88.com/scl_h/22013530</t>
  </si>
  <si>
    <t>華頂女子高等学校</t>
  </si>
  <si>
    <t>075-541-0391</t>
  </si>
  <si>
    <t>https://www.kacho.ed.jp/</t>
  </si>
  <si>
    <t>京都市右京区</t>
  </si>
  <si>
    <t>京都外大西高等学校</t>
  </si>
  <si>
    <t>075-321-0712</t>
  </si>
  <si>
    <t>https://kgn.kufs.ac.jp/contact/</t>
  </si>
  <si>
    <t>福知山市</t>
  </si>
  <si>
    <t>京都共栄学園高等学校</t>
  </si>
  <si>
    <t>0773-22-6241</t>
  </si>
  <si>
    <t>全日制の番号。通信制は0773-22-6210</t>
  </si>
  <si>
    <t>https://www.mapion.co.jp/phonebook/M11004/26201/ILSP0000041239_ipclm/</t>
  </si>
  <si>
    <t>宮津市</t>
  </si>
  <si>
    <t>京都暁星高等学校</t>
  </si>
  <si>
    <t>0772-22-2560</t>
  </si>
  <si>
    <t>https://www.mapion.co.jp/phonebook/M11004/26205/ILSP0000041228_ipclm/ ; https://ksf-site.com/school/kyotogyosei/</t>
  </si>
  <si>
    <t>宇治市</t>
  </si>
  <si>
    <t>京都芸術高等学校</t>
  </si>
  <si>
    <t>0774-32-7012</t>
  </si>
  <si>
    <t>公式サイトで確認。京都芸術大学附属とは別の学校</t>
  </si>
  <si>
    <t>https://www.kyoto-geikou.ed.jp/school/access.html</t>
  </si>
  <si>
    <t>京都市左京区</t>
  </si>
  <si>
    <t>京都芸術大学附属高等学校</t>
  </si>
  <si>
    <t>075-791-9454</t>
  </si>
  <si>
    <t>通信制。事務室の番号。公式サイトの問い合わせ窓口はフリーダイヤル0120-87-37-39（平日9:00〜17:30）</t>
  </si>
  <si>
    <t>https://www.kyoto-art.ac.jp/news/press/899</t>
  </si>
  <si>
    <t>京都光華高等学校</t>
  </si>
  <si>
    <t>075-325-5255</t>
  </si>
  <si>
    <t>中高共通。代表とする情報と入学広報部の直通とする情報が混在。事務室は075-325-5223</t>
  </si>
  <si>
    <t>https://www.schoolnetwork.jp/kansai/shs/school_list/school/koka/ ; https://ksf-site.com/school/kyotokoka/</t>
  </si>
  <si>
    <t>精華町</t>
  </si>
  <si>
    <t>京都廣学館高等学校</t>
  </si>
  <si>
    <t>0774-93-0518</t>
  </si>
  <si>
    <t>https://kyoto-kogakkan.mkg.ac.jp/</t>
  </si>
  <si>
    <t>京都国際高等学校</t>
  </si>
  <si>
    <t>075-525-3535</t>
  </si>
  <si>
    <t>https://kyoto-kokusai.ed.jp/jp/entranceguide</t>
  </si>
  <si>
    <t>京都市下京区</t>
  </si>
  <si>
    <t>京都産業大学附属高等学校</t>
  </si>
  <si>
    <t>075-279-0001</t>
  </si>
  <si>
    <t>公式サイトと京都府の資料で一致。中高共通</t>
  </si>
  <si>
    <t>https://www.jsh.kyoto-su.ac.jp/about/index.html ; https://www.pref.kyoto.jp/bunkyo/documents/05_kyotosangyo.pdf</t>
  </si>
  <si>
    <t>京都翔英高等学校</t>
  </si>
  <si>
    <t>0774-23-2238</t>
  </si>
  <si>
    <t>http://www.kyoto-shoei.ac.jp/%E3%82%A2%E3%82%AF%E3%82%BB%E3%82%B9.html</t>
  </si>
  <si>
    <t>京都女子高等学校</t>
  </si>
  <si>
    <t>075-531-7358</t>
  </si>
  <si>
    <t>中高共通の事務室の番号（公式サイト）。入試広報部は075-531-7334</t>
  </si>
  <si>
    <t>https://kgs.ed.jp/about_us/outline</t>
  </si>
  <si>
    <t>京都精華学園高等学校</t>
  </si>
  <si>
    <t>075-771-4181</t>
  </si>
  <si>
    <t>https://www.mapion.co.jp/phonebook/M11004/26103/ILSP0000041269_ipclm/ ; https://school.js88.com/scl_h/22013670</t>
  </si>
  <si>
    <t>南丹市</t>
  </si>
  <si>
    <t>京都聖カタリナ高等学校</t>
  </si>
  <si>
    <t>0771-62-0163</t>
  </si>
  <si>
    <t>https://www.catalina-kyoto.ed.jp/about/access/</t>
  </si>
  <si>
    <t>京都市西京区</t>
  </si>
  <si>
    <t>京都成章高等学校</t>
  </si>
  <si>
    <t>075-332-4830</t>
  </si>
  <si>
    <t>https://kyoto-seisho.ed.jp/graduate/</t>
  </si>
  <si>
    <t>京都市伏見区</t>
  </si>
  <si>
    <t>京都聖母学院高等学校</t>
  </si>
  <si>
    <t>075-645-8103</t>
  </si>
  <si>
    <t>https://www.seibo.ed.jp/kyoto-hs/kyotoseibo-only</t>
  </si>
  <si>
    <t>京都先端科学大学附属高等学校</t>
  </si>
  <si>
    <t>075-461-5105</t>
  </si>
  <si>
    <t>https://www.js.kuas.ac.jp/contact</t>
  </si>
  <si>
    <t>京都橘高等学校</t>
  </si>
  <si>
    <t>075-623-0066</t>
  </si>
  <si>
    <t>https://www.tachibana-hs.jp/contact/</t>
  </si>
  <si>
    <t>向日市</t>
  </si>
  <si>
    <t>京都西山高等学校</t>
  </si>
  <si>
    <t>075-934-2480</t>
  </si>
  <si>
    <t>全日制の番号。複数サイトで一致、公式未確認。通信制課程は別番号</t>
  </si>
  <si>
    <t>https://www.mapion.co.jp/phonebook/M11004/26208/ILSP0000041262_ipclm/ ; https://school.js88.com/scl_h/22013730</t>
  </si>
  <si>
    <t>京都文教高等学校</t>
  </si>
  <si>
    <t>075-771-6155</t>
  </si>
  <si>
    <t>公式サイトに「代表」と記載。入試部直通は075-752-6818</t>
  </si>
  <si>
    <t>https://www.kbu.ac.jp/kbghs/inquiry/index.html</t>
  </si>
  <si>
    <t>京都市上京区</t>
  </si>
  <si>
    <t>京都美山高等学校</t>
  </si>
  <si>
    <t>075-441-3401</t>
  </si>
  <si>
    <t>通信制。公式サイトに「代表」と記載。フリーダイヤル0120-561-380もあり</t>
  </si>
  <si>
    <t>https://www.miyama.ed.jp/cgi/kexplan_cl_1.php</t>
  </si>
  <si>
    <t>京都明徳高等学校</t>
  </si>
  <si>
    <t>075-331-3361</t>
  </si>
  <si>
    <t>https://www.meitoku.ac.jp/inquiry</t>
  </si>
  <si>
    <t>京都市中京区</t>
  </si>
  <si>
    <t>京都両洋高等学校</t>
  </si>
  <si>
    <t>075-841-2025</t>
  </si>
  <si>
    <t>https://www.kyoto-ryoyo.ed.jp/inquiry/</t>
  </si>
  <si>
    <t>同志社女子高等学校</t>
  </si>
  <si>
    <t>075-251-4305</t>
  </si>
  <si>
    <t>中高共通。複数サイトで一致、公式未確認</t>
  </si>
  <si>
    <t>https://www.mapion.co.jp/phonebook/M11004/26102/ILSP0000041353_ipclm/ ; https://www.studyh.jp/kansai/school/C27P001/</t>
  </si>
  <si>
    <t>同志社高等学校</t>
  </si>
  <si>
    <t>075-781-7121</t>
  </si>
  <si>
    <t>https://js.doshisha.ac.jp/high/access/</t>
  </si>
  <si>
    <t>京田辺市</t>
  </si>
  <si>
    <t>同志社国際高等学校</t>
  </si>
  <si>
    <t>0774-65-8911</t>
  </si>
  <si>
    <t>https://www.mapion.co.jp/phonebook/M11004/26211/ILSP0000041744_ipclm/ ; https://school.js88.com/scl_h/22013860</t>
  </si>
  <si>
    <t>舞鶴市</t>
  </si>
  <si>
    <t>日星高等学校</t>
  </si>
  <si>
    <t>0773-75-0452</t>
  </si>
  <si>
    <t>公式サイトで確認。専攻科は0773-75-7610</t>
  </si>
  <si>
    <t>https://www.nisseihs.ed.jp/ ; https://www.mapion.co.jp/phonebook/M11004/26202/ILSP0000040685_ipclm/</t>
  </si>
  <si>
    <t>花園高等学校</t>
  </si>
  <si>
    <t>075-463-5221</t>
  </si>
  <si>
    <t>https://www.kyoto-hanazono-h.ed.jp/hanazono_hs/</t>
  </si>
  <si>
    <t>東山高等学校</t>
  </si>
  <si>
    <t>075-771-9121</t>
  </si>
  <si>
    <t>https://www.higashiyama.ed.jp/access/</t>
  </si>
  <si>
    <t>福知山淑徳高等学校</t>
  </si>
  <si>
    <t>0773-22-3763</t>
  </si>
  <si>
    <t>公式サイトで確認。福知山成美とは別の学校</t>
  </si>
  <si>
    <t>https://www.kan-on-sen-ku.ed.jp/art2017/art-design/contact.html</t>
  </si>
  <si>
    <t>福知山成美高等学校</t>
  </si>
  <si>
    <t>0773-22-6224</t>
  </si>
  <si>
    <t>公式サイトで確認。福知山淑徳とは別の学校</t>
  </si>
  <si>
    <t>https://www.seibi-hs.jp/guide/access.html</t>
  </si>
  <si>
    <t>平安女学院高等学校</t>
  </si>
  <si>
    <t>075-414-8111</t>
  </si>
  <si>
    <t>公式サイトに「代表番号（入試関連以外）」と記載。入試は入学センター075-414-8101</t>
  </si>
  <si>
    <t>http://jh.heian.ac.jp/otoiawase</t>
  </si>
  <si>
    <t>京都市北区</t>
  </si>
  <si>
    <t>洛星高等学校</t>
  </si>
  <si>
    <t>075-466-0001</t>
  </si>
  <si>
    <t>中高共通の代表。洛星ノートルダム女学院とは別の学校</t>
  </si>
  <si>
    <t>https://www.mapion.co.jp/phonebook/M11004/26101/ILSP0000041505_ipclm/ ; https://www.schoolnetwork.jp/kansai/jhs/school_list/school/rakusei/</t>
  </si>
  <si>
    <t>洛星ノートルダム女学院高等学校</t>
  </si>
  <si>
    <t>075-771-0570</t>
  </si>
  <si>
    <t>公式サイトに「代表」と記載。【校名変更】2026年4月にノートルダム女学院から改称。洛星高校とは別の学校</t>
  </si>
  <si>
    <t>https://www.notredame-jogakuin.ed.jp/access/</t>
  </si>
  <si>
    <t>京都市南区</t>
  </si>
  <si>
    <t>洛南高等学校</t>
  </si>
  <si>
    <t>075-681-6511</t>
  </si>
  <si>
    <t>公式サイトで確認。附属中学校は075-672-2661</t>
  </si>
  <si>
    <t>https://www.rakunan-h.ed.jp/gakuen/access/</t>
  </si>
  <si>
    <t>洛陽総合高等学校</t>
  </si>
  <si>
    <t>075-802-0394</t>
  </si>
  <si>
    <t>https://www.mapion.co.jp/phonebook/M11004/26104/ILSP0000040710_ipclm/ ; https://koukounyushi.net/kinki/kyoto/highschool/01kyotocity_otokuni/425rakuyosogo/</t>
  </si>
  <si>
    <t>立命館宇治高等学校</t>
  </si>
  <si>
    <t>0774-41-3000</t>
  </si>
  <si>
    <t>https://www.ritsumei.ac.jp/uji/</t>
  </si>
  <si>
    <t>長岡京市</t>
  </si>
  <si>
    <t>立命館高等学校</t>
  </si>
  <si>
    <t>075-323-7111</t>
  </si>
  <si>
    <t>公式サイトで確認。【移転】学校ネットの一覧では伏見区だが、現在は長岡京市（旧番号075-645-1051は使わない）</t>
  </si>
  <si>
    <t>https://www.ritsumei.ac.jp/nkc/</t>
  </si>
  <si>
    <t>龍谷大学付属平安高等学校</t>
  </si>
  <si>
    <t>075-361-4231</t>
  </si>
  <si>
    <t>https://www.heian.ed.jp/</t>
  </si>
  <si>
    <t>大阪府</t>
  </si>
  <si>
    <t>箕面市</t>
  </si>
  <si>
    <t>アサンプション国際高等学校</t>
  </si>
  <si>
    <t>072-721-3080</t>
  </si>
  <si>
    <t>中高共通番号。1サイトのみ072-721-7680と記載（誤記とみられる）</t>
  </si>
  <si>
    <t>https://www.assumption.ed.jp/jsh/</t>
  </si>
  <si>
    <t>東大阪市</t>
  </si>
  <si>
    <t>アナン学園高等学校</t>
  </si>
  <si>
    <t>06-6723-5511</t>
  </si>
  <si>
    <t>法人の事業報告書（公式）で確認。1サイトのみ06-6732-1209と記載</t>
  </si>
  <si>
    <t>https://www.anangakuen.ed.jp/pdf/infodisclosure/2022/report/report01.pdf</t>
  </si>
  <si>
    <t>大阪市阿倍野区</t>
  </si>
  <si>
    <t>あべの翔学高等学校</t>
  </si>
  <si>
    <t>06-6719-2801</t>
  </si>
  <si>
    <t>https://abeno-shogaku.ed.jp/school/access</t>
  </si>
  <si>
    <t>大阪市天王寺区</t>
  </si>
  <si>
    <t>上宮高等学校</t>
  </si>
  <si>
    <t>06-6771-5701</t>
  </si>
  <si>
    <t>https://www.uenomiya.ed.jp/</t>
  </si>
  <si>
    <t>太子町</t>
  </si>
  <si>
    <t>上宮太子高等学校</t>
  </si>
  <si>
    <t>0721-98-3611</t>
  </si>
  <si>
    <t>https://uenomiya-taishi.ed.jp/contact/</t>
  </si>
  <si>
    <t>大阪市淀川区</t>
  </si>
  <si>
    <t>英真学園高等学校</t>
  </si>
  <si>
    <t>06-6303-2181</t>
  </si>
  <si>
    <t>https://eishingakuen.ac.jp/contact/</t>
  </si>
  <si>
    <t>大阪市福島区</t>
  </si>
  <si>
    <t>英風高等学校</t>
  </si>
  <si>
    <t>06-6464-0668</t>
  </si>
  <si>
    <t>通信制（女子）。フリーダイヤル0120-812-078も公式記載</t>
  </si>
  <si>
    <t>https://www.eifu.ed.jp/access/</t>
  </si>
  <si>
    <t>大阪市中央区</t>
  </si>
  <si>
    <t>追手門学院大手前高等学校</t>
  </si>
  <si>
    <t>06-6942-2235</t>
  </si>
  <si>
    <t>中高共通番号</t>
  </si>
  <si>
    <t>https://www.otemon-js.ed.jp/hs/</t>
  </si>
  <si>
    <t>茨木市</t>
  </si>
  <si>
    <t>追手門学院高等学校</t>
  </si>
  <si>
    <t>072-697-8185</t>
  </si>
  <si>
    <t>中高共通代表。ユネスコ関連ページに072-643-1333の記載あり（旧番号の可能性）</t>
  </si>
  <si>
    <t>https://www.otemon-jh.ed.jp/access/</t>
  </si>
  <si>
    <t>大阪市生野区</t>
  </si>
  <si>
    <t>大阪偕星学園高等学校</t>
  </si>
  <si>
    <t>06-6716-0003</t>
  </si>
  <si>
    <t>https://www.osaka-kaisei.ac.jp/</t>
  </si>
  <si>
    <t>吹田市</t>
  </si>
  <si>
    <t>大阪学院大学高等学校</t>
  </si>
  <si>
    <t>06-6381-6661</t>
  </si>
  <si>
    <t>https://www.ogu-h.ed.jp/access.html</t>
  </si>
  <si>
    <t>大阪市住吉区</t>
  </si>
  <si>
    <t>大阪学芸高等学校</t>
  </si>
  <si>
    <t>06-6693-6301</t>
  </si>
  <si>
    <t>法人代表は06-6693-6303</t>
  </si>
  <si>
    <t>https://www.osakagakugei.ac.jp/senior/</t>
  </si>
  <si>
    <t>河内長野市</t>
  </si>
  <si>
    <t>大阪暁光高等学校</t>
  </si>
  <si>
    <t>0721-53-5281</t>
  </si>
  <si>
    <t>入試広報室は0721-26-7098</t>
  </si>
  <si>
    <t>https://www.osakagyoko.ed.jp/official/</t>
  </si>
  <si>
    <t>摂津市</t>
  </si>
  <si>
    <t>大阪薫英女学院高等学校</t>
  </si>
  <si>
    <t>06-6381-5381</t>
  </si>
  <si>
    <t>入試直通06-6381-0335。法人代表は06-6381-6548</t>
  </si>
  <si>
    <t>https://www.kun-ei.jp/contact/</t>
  </si>
  <si>
    <t>大阪市東淀川区</t>
  </si>
  <si>
    <t>大阪高等学校</t>
  </si>
  <si>
    <t>06-6340-3031</t>
  </si>
  <si>
    <t>大阪市東淀川区ページでも一致</t>
  </si>
  <si>
    <t>https://www.osakashs.ed.jp/</t>
  </si>
  <si>
    <t>守口市</t>
  </si>
  <si>
    <t>大阪国際高等学校</t>
  </si>
  <si>
    <t>06-6992-5931</t>
  </si>
  <si>
    <t>中高一体（大阪国際中学校高等学校）。所在地は守口市松下町。募集広報部直通06-6992-5941</t>
  </si>
  <si>
    <t>https://www.kokusai-h.oiu.ed.jp/</t>
  </si>
  <si>
    <t>大阪市住之江区</t>
  </si>
  <si>
    <t>大阪金剛インターナショナル高等学校</t>
  </si>
  <si>
    <t>06-4703-1780</t>
  </si>
  <si>
    <t>一部サイトに06-4703-1781の記載あり</t>
  </si>
  <si>
    <t>https://www.kongogakuen.ed.jp/</t>
  </si>
  <si>
    <t>大阪市城東区</t>
  </si>
  <si>
    <t>大阪産業大学附属高等学校</t>
  </si>
  <si>
    <t>06-6939-1491</t>
  </si>
  <si>
    <t>https://www.osaka-sandai.ed.jp/guide/outline</t>
  </si>
  <si>
    <t>大阪商業大学高等学校</t>
  </si>
  <si>
    <t>06-6781-3050</t>
  </si>
  <si>
    <t>一部電話帳サイトに06-6781-3060の記載あり（公式と不一致）</t>
  </si>
  <si>
    <t>https://www.daishodai-h.ed.jp/contact/</t>
  </si>
  <si>
    <t>堺市中区</t>
  </si>
  <si>
    <t>大阪商業大学堺高等学校</t>
  </si>
  <si>
    <t>072-278-2252</t>
  </si>
  <si>
    <t>https://www.shodaisakai.ac.jp/inquiry/</t>
  </si>
  <si>
    <t>大阪信愛学院高等学校</t>
  </si>
  <si>
    <t>06-6939-4391</t>
  </si>
  <si>
    <t>公式に「代表」と明記。公式アクセス・問合せページには06-6167-8546の記載もあり</t>
  </si>
  <si>
    <t>https://high.osaka-shinai.ed.jp/admissions/opencampus/</t>
  </si>
  <si>
    <t>大阪女学院高等学校</t>
  </si>
  <si>
    <t>06-6761-4113</t>
  </si>
  <si>
    <t>法人事務局は06-6761-4013</t>
  </si>
  <si>
    <t>https://www.osaka-jogakuin.ed.jp/contact/</t>
  </si>
  <si>
    <t>大阪成蹊女子高等学校</t>
  </si>
  <si>
    <t>06-6829-2510</t>
  </si>
  <si>
    <t>募集広報企画室は06-6829-2514</t>
  </si>
  <si>
    <t>https://high.osaka-seikei.jp/access/</t>
  </si>
  <si>
    <t>大阪星光学院高等学校</t>
  </si>
  <si>
    <t>06-6771-0737</t>
  </si>
  <si>
    <t>中高共通。高校からの募集は停止との第三者情報あり</t>
  </si>
  <si>
    <t>http://www.osakaseiko.ac.jp/access/access.html</t>
  </si>
  <si>
    <t>島本町</t>
  </si>
  <si>
    <t>大阪青凌高等学校</t>
  </si>
  <si>
    <t>075-754-7771</t>
  </si>
  <si>
    <t>2020年に三島郡島本町へ移転（旧・高槻市の番号は072-669-4111）。入試広報室は075-754-7754</t>
  </si>
  <si>
    <t>https://www.osakaseiryo.jp/access/</t>
  </si>
  <si>
    <t>熊取町</t>
  </si>
  <si>
    <t>大阪体育大学浪商高等学校</t>
  </si>
  <si>
    <t>072-453-7001</t>
  </si>
  <si>
    <t>入試対策室は072-453-7972</t>
  </si>
  <si>
    <t>https://www.ouhs-school.jp/namisho/</t>
  </si>
  <si>
    <t>大阪電気通信大学高等学校</t>
  </si>
  <si>
    <t>06-6992-6261</t>
  </si>
  <si>
    <t>大学法人の公式サイトに「代表」と記載</t>
  </si>
  <si>
    <t>https://www.osakac.ac.jp/corp/access/</t>
  </si>
  <si>
    <t>大東市</t>
  </si>
  <si>
    <t>大阪桐蔭高等学校</t>
  </si>
  <si>
    <t>072-870-1001</t>
  </si>
  <si>
    <t>公式サイトのフッター・大東市HPで一致</t>
  </si>
  <si>
    <t>https://www.osakatoin.ed.jp/access/</t>
  </si>
  <si>
    <t>大阪夕陽丘学園高等学校</t>
  </si>
  <si>
    <t>06-6771-9510</t>
  </si>
  <si>
    <t>https://www.oyg.ed.jp/about/</t>
  </si>
  <si>
    <t>藤井寺市</t>
  </si>
  <si>
    <t>大阪緑涼高等学校</t>
  </si>
  <si>
    <t>072-955-0718</t>
  </si>
  <si>
    <t>https://www.osakaryokuryo.ed.jp/</t>
  </si>
  <si>
    <t>大谷高等学校（大阪府）</t>
  </si>
  <si>
    <t>06-6661-8400</t>
  </si>
  <si>
    <t>中学校は06-6661-0385</t>
  </si>
  <si>
    <t>https://www.osk-ohtani.ed.jp/policy/</t>
  </si>
  <si>
    <t>開明高等学校</t>
  </si>
  <si>
    <t>06-6932-4461</t>
  </si>
  <si>
    <t>https://kaimei.ed.jp/</t>
  </si>
  <si>
    <t>堺市堺区</t>
  </si>
  <si>
    <t>香ヶ丘リベルテ高等学校</t>
  </si>
  <si>
    <t>072-238-7881</t>
  </si>
  <si>
    <t>https://liberte.ed.jp/</t>
  </si>
  <si>
    <t>関西大倉高等学校</t>
  </si>
  <si>
    <t>072-643-6321</t>
  </si>
  <si>
    <t>https://www.kankura.jp/</t>
  </si>
  <si>
    <t>交野市</t>
  </si>
  <si>
    <t>関西創価高等学校</t>
  </si>
  <si>
    <t>072-891-0011</t>
  </si>
  <si>
    <t>https://kansai-senior.soka.ed.jp/access/</t>
  </si>
  <si>
    <t>高槻市</t>
  </si>
  <si>
    <t>関西大学高等部</t>
  </si>
  <si>
    <t>072-684-4327</t>
  </si>
  <si>
    <t>高槻ミューズキャンパス内。キャンパス代表は072-684-4000</t>
  </si>
  <si>
    <t>https://www.kansai-u.ac.jp/Fc_ss/access.php</t>
  </si>
  <si>
    <t>関西大学第一高等学校</t>
  </si>
  <si>
    <t>06-6337-7750</t>
  </si>
  <si>
    <t>https://www.kansai-u.ac.jp/dai-ichi/high/</t>
  </si>
  <si>
    <t>関西大学北陽高等学校</t>
  </si>
  <si>
    <t>06-6328-5964</t>
  </si>
  <si>
    <t>https://www.kansai-u.ac.jp/hokuyo/header/access.html</t>
  </si>
  <si>
    <t>柏原市</t>
  </si>
  <si>
    <t>関西福祉科学大学高等学校</t>
  </si>
  <si>
    <t>072-976-1112</t>
  </si>
  <si>
    <t>公式表記は072-976-1112〜5</t>
  </si>
  <si>
    <t>https://www.hs.fuksi-kagk-u.ac.jp/contact/</t>
  </si>
  <si>
    <t>関西学院千里国際高等部</t>
  </si>
  <si>
    <t>072-727-5050</t>
  </si>
  <si>
    <t>072-727-5070は中等部等の別番号とみられる</t>
  </si>
  <si>
    <t>https://sis.kwansei.ac.jp/contact</t>
  </si>
  <si>
    <t>岸和田市</t>
  </si>
  <si>
    <t>近畿大学泉州高等学校</t>
  </si>
  <si>
    <t>072-479-1231</t>
  </si>
  <si>
    <t>https://www.kindai-sensyu.ed.jp/contact/</t>
  </si>
  <si>
    <t>近畿大学附属高等学校</t>
  </si>
  <si>
    <t>06-6722-1261</t>
  </si>
  <si>
    <t>公式に「代表電話番号」と記載</t>
  </si>
  <si>
    <t>https://www.jsh.kindai.ac.jp/hs/access/</t>
  </si>
  <si>
    <t>大阪市北区</t>
  </si>
  <si>
    <t>金蘭会高等学校</t>
  </si>
  <si>
    <t>06-6453-0281</t>
  </si>
  <si>
    <t>https://kinran.ed.jp/contact/</t>
  </si>
  <si>
    <t>金蘭千里高等学校</t>
  </si>
  <si>
    <t>06-6872-0263</t>
  </si>
  <si>
    <t>完全中高一貫で高校募集なしとの記載あり</t>
  </si>
  <si>
    <t>https://www.kinransenri.ed.jp/contact/</t>
  </si>
  <si>
    <t>建国高等学校</t>
  </si>
  <si>
    <t>06-6691-1231</t>
  </si>
  <si>
    <t>https://keonguk.ac.jp/access/</t>
  </si>
  <si>
    <t>賢明学院高等学校</t>
  </si>
  <si>
    <t>072-241-1679</t>
  </si>
  <si>
    <t>通信制課程は072-241-2111</t>
  </si>
  <si>
    <t>https://kenmei.jp/contact/inquiry/</t>
  </si>
  <si>
    <t>興國高等学校</t>
  </si>
  <si>
    <t>06-6779-8151</t>
  </si>
  <si>
    <t>https://www.kokoku.ed.jp/contact/</t>
  </si>
  <si>
    <t>大阪市西淀川区</t>
  </si>
  <si>
    <t>好文学園女子高等学校</t>
  </si>
  <si>
    <t>06-6472-2281</t>
  </si>
  <si>
    <t>https://koubun.ed.jp/access.html</t>
  </si>
  <si>
    <t>向陽台高等学校</t>
  </si>
  <si>
    <t>072-643-6681</t>
  </si>
  <si>
    <t>https://www.koyodai.ed.jp/form.php</t>
  </si>
  <si>
    <t>寝屋川市</t>
  </si>
  <si>
    <t>香里ヌヴェール学院高等学校</t>
  </si>
  <si>
    <t>072-831-8452</t>
  </si>
  <si>
    <t>一部サイトに072-833-3344の記載あり（旧番号の可能性）</t>
  </si>
  <si>
    <t>https://www.seibo.ed.jp/nevers-hs/</t>
  </si>
  <si>
    <t>金光大阪高等学校</t>
  </si>
  <si>
    <t>072-669-5211</t>
  </si>
  <si>
    <t>https://www.kohs.ed.jp/access/</t>
  </si>
  <si>
    <t>金光藤蔭高等学校</t>
  </si>
  <si>
    <t>06-6751-2461</t>
  </si>
  <si>
    <t>生野キャンパス代表。香芝キャンパスは0745-79-0333</t>
  </si>
  <si>
    <t>https://www.konkoutouin.ed.jp/school/access.html</t>
  </si>
  <si>
    <t>八尾市</t>
  </si>
  <si>
    <t>金光八尾高等学校</t>
  </si>
  <si>
    <t>072-922-9162</t>
  </si>
  <si>
    <t>https://konkoyao.ed.jp/contact/</t>
  </si>
  <si>
    <t>堺リベラル高等学校</t>
  </si>
  <si>
    <t>072-275-7688</t>
  </si>
  <si>
    <t>入試対策室は072-226-8814</t>
  </si>
  <si>
    <t>https://www.liberal.ed.jp/access/</t>
  </si>
  <si>
    <t>四條畷学園高等学校</t>
  </si>
  <si>
    <t>072-876-1327</t>
  </si>
  <si>
    <t>高校直通。学園代表は072-876-1321</t>
  </si>
  <si>
    <t>https://hs.shijonawate-gakuen.ac.jp/access/</t>
  </si>
  <si>
    <t>四天王寺高等学校</t>
  </si>
  <si>
    <t>06-6772-6201</t>
  </si>
  <si>
    <t>公式サイトで未確認、複数の第三者サイトで一致</t>
  </si>
  <si>
    <t>https://www.mapion.co.jp/phonebook/M11004/27109/ILSP0000040799_ipclm/</t>
  </si>
  <si>
    <t>貝塚市</t>
  </si>
  <si>
    <t>秋桜高等学校</t>
  </si>
  <si>
    <t>072-432-6007</t>
  </si>
  <si>
    <t>https://www.shuoh.ed.jp/</t>
  </si>
  <si>
    <t>樟蔭高等学校</t>
  </si>
  <si>
    <t>06-6723-8185</t>
  </si>
  <si>
    <t>https://shoin-chuko.sakuraweb.com/hs/contact/</t>
  </si>
  <si>
    <t>大阪市東住吉区</t>
  </si>
  <si>
    <t>城南学園高等学校</t>
  </si>
  <si>
    <t>06-6702-9784</t>
  </si>
  <si>
    <t>事務局番号。職員室は06-6702-9781（第三者サイトはこちらが多い）</t>
  </si>
  <si>
    <t>https://www.jonan.ac.jp/senior/access/</t>
  </si>
  <si>
    <t>大阪市此花区</t>
  </si>
  <si>
    <t>昇陽高等学校</t>
  </si>
  <si>
    <t>06-6461-0091</t>
  </si>
  <si>
    <t>https://www.oskshoyo.ed.jp/contact/</t>
  </si>
  <si>
    <t>大阪市旭区</t>
  </si>
  <si>
    <t>常翔学園高等学校</t>
  </si>
  <si>
    <t>06-6954-4435</t>
  </si>
  <si>
    <t>事務室番号（入試部は06-6954-4436）</t>
  </si>
  <si>
    <t>https://www.highs.josho.ac.jp/contact/</t>
  </si>
  <si>
    <t>枚方市</t>
  </si>
  <si>
    <t>常翔啓光学園高等学校</t>
  </si>
  <si>
    <t>072-848-0521</t>
  </si>
  <si>
    <t>公式に代表と記載。一部サイトに072-807-6632の記載あり</t>
  </si>
  <si>
    <t>https://www.keiko.josho.ac.jp/access/</t>
  </si>
  <si>
    <t>城星学園高等学校</t>
  </si>
  <si>
    <t>06-6941-5977</t>
  </si>
  <si>
    <t>2022年4月に「ヴェリタス城星学園高等学校」へ校名変更</t>
  </si>
  <si>
    <t>https://www.josei.ed.jp/</t>
  </si>
  <si>
    <t>精華高等学校</t>
  </si>
  <si>
    <t>072-234-3391</t>
  </si>
  <si>
    <t>https://www.seika-h.ed.jp/inquiry/</t>
  </si>
  <si>
    <t>清教学園高等学校</t>
  </si>
  <si>
    <t>0721-62-6828</t>
  </si>
  <si>
    <t>代表番号（入試は0721-63-8568）</t>
  </si>
  <si>
    <t>https://www.seikyo.ed.jp/guide/</t>
  </si>
  <si>
    <t>星翔高等学校</t>
  </si>
  <si>
    <t>06-6381-0220</t>
  </si>
  <si>
    <t>https://www.osaka-seisho.ed.jp/contact/</t>
  </si>
  <si>
    <t>清風高等学校</t>
  </si>
  <si>
    <t>06-6771-5757</t>
  </si>
  <si>
    <t>https://www.seifu.ac.jp/access/</t>
  </si>
  <si>
    <t>高石市</t>
  </si>
  <si>
    <t>清風南海高等学校</t>
  </si>
  <si>
    <t>072-261-7761</t>
  </si>
  <si>
    <t>https://www.seifunankai.ac.jp/</t>
  </si>
  <si>
    <t>清明学院高等学校</t>
  </si>
  <si>
    <t>06-6673-8181</t>
  </si>
  <si>
    <t>https://www.seimei.ed.jp/about/access.html</t>
  </si>
  <si>
    <t>池田市</t>
  </si>
  <si>
    <t>宣真高等学校</t>
  </si>
  <si>
    <t>072-761-8801</t>
  </si>
  <si>
    <t>代表番号（入試広報部直通は072-760-3020）</t>
  </si>
  <si>
    <t>https://senshin-gakuen.jp/access/</t>
  </si>
  <si>
    <t>相愛高等学校</t>
  </si>
  <si>
    <t>06-6262-0621</t>
  </si>
  <si>
    <t>https://www.soai.ed.jp/school/access.html</t>
  </si>
  <si>
    <t>太成学院大学高等学校</t>
  </si>
  <si>
    <t>072-871-1921</t>
  </si>
  <si>
    <t>大東市公式サイトとも一致</t>
  </si>
  <si>
    <t>https://www.taisei-hs.ac.jp/hs/</t>
  </si>
  <si>
    <t>高槻高等学校</t>
  </si>
  <si>
    <t>072-671-0001</t>
  </si>
  <si>
    <t>公式ページで番号未確認。マピオン・学校情報サイトで一致</t>
  </si>
  <si>
    <t>https://www.takatsuki.ed.jp/access</t>
  </si>
  <si>
    <t>豊中市</t>
  </si>
  <si>
    <t>大商学園高等学校</t>
  </si>
  <si>
    <t>06-6862-5223</t>
  </si>
  <si>
    <t>https://www.daisho.ac.jp/</t>
  </si>
  <si>
    <t>堺市南区</t>
  </si>
  <si>
    <t>帝塚山学院泉ヶ丘高等学校</t>
  </si>
  <si>
    <t>072-293-1221</t>
  </si>
  <si>
    <t>https://www.tezuka-i-h.jp/</t>
  </si>
  <si>
    <t>帝塚山学院高等学校</t>
  </si>
  <si>
    <t>06-6672-1151</t>
  </si>
  <si>
    <t>学校法人の公式アクセスページに記載</t>
  </si>
  <si>
    <t>https://www.tezukayama.ac.jp/access/</t>
  </si>
  <si>
    <t>大阪市平野区</t>
  </si>
  <si>
    <t>天王寺学館高等学校</t>
  </si>
  <si>
    <t>06-6795-1860</t>
  </si>
  <si>
    <t>通信制。2010年に平野区へ移転済み（旧番号06-6621-1860は古い情報）</t>
  </si>
  <si>
    <t>https://tg-group.ac.jp/tgkoko/i/ipc/contact/</t>
  </si>
  <si>
    <t>東海大学付属大阪仰星高等学校</t>
  </si>
  <si>
    <t>072-849-7211</t>
  </si>
  <si>
    <t>https://www.tokai-gyosei.ed.jp/access/</t>
  </si>
  <si>
    <t>同志社香里高等学校</t>
  </si>
  <si>
    <t>072-831-0285</t>
  </si>
  <si>
    <t>中高共通番号。寝屋川市サイトとも一致</t>
  </si>
  <si>
    <t>https://www.kori.doshisha.ac.jp/agreement/</t>
  </si>
  <si>
    <t>長尾谷高等学校</t>
  </si>
  <si>
    <t>072-850-9111</t>
  </si>
  <si>
    <t>通信制・枚方本校（フリーダイヤル0120-750-150）</t>
  </si>
  <si>
    <t>https://www.nagaodani.ed.jp/contact/</t>
  </si>
  <si>
    <t>浪速高等学校</t>
  </si>
  <si>
    <t>06-6693-4031</t>
  </si>
  <si>
    <t>代表番号。入試広報部は06-6693-0965</t>
  </si>
  <si>
    <t>https://www.naniwa.ed.jp/contact/</t>
  </si>
  <si>
    <t>羽衣学園高等学校</t>
  </si>
  <si>
    <t>072-265-7561</t>
  </si>
  <si>
    <t>https://hagoromogakuen.ed.jp/contact/</t>
  </si>
  <si>
    <t>富田林市</t>
  </si>
  <si>
    <t>初芝富田林高等学校</t>
  </si>
  <si>
    <t>0721-34-1010</t>
  </si>
  <si>
    <t>2026年4月に「利晶学園高等学校」へ校名変更</t>
  </si>
  <si>
    <t>https://www.rishogakuen.ed.jp/tondabayashi/info/inquiry.html</t>
  </si>
  <si>
    <t>松原市</t>
  </si>
  <si>
    <t>阪南大学高等学校</t>
  </si>
  <si>
    <t>072-332-1221</t>
  </si>
  <si>
    <t>https://www.hdk.ed.jp/access/</t>
  </si>
  <si>
    <t>梅花高等学校</t>
  </si>
  <si>
    <t>06-6852-0001</t>
  </si>
  <si>
    <t>代表番号。入試広報部直通は06-6852-0002</t>
  </si>
  <si>
    <t>https://www.baika-jh.ed.jp/guide/access/</t>
  </si>
  <si>
    <t>東大阪大学柏原高等学校</t>
  </si>
  <si>
    <t>072-972-1565</t>
  </si>
  <si>
    <t>マピオン等の複数サイトで一致。公式サイトでは未確認</t>
  </si>
  <si>
    <t>https://www.gakkou.net/kou/view/index_304261.html</t>
  </si>
  <si>
    <t>東大阪大学敬愛高等学校</t>
  </si>
  <si>
    <t>06-6782-2881</t>
  </si>
  <si>
    <t>https://www.higashiosaka-hs.ac.jp/keiai/</t>
  </si>
  <si>
    <t>東大谷高等学校</t>
  </si>
  <si>
    <t>072-289-8069</t>
  </si>
  <si>
    <t>2013年に堺市南区三原台へ移転済み。現所在地の番号</t>
  </si>
  <si>
    <t>https://higashiohtani.ac.jp/contact</t>
  </si>
  <si>
    <t>PL学園高等学校</t>
  </si>
  <si>
    <t>0721-24-5132</t>
  </si>
  <si>
    <t>富田林市の公式サイトでも番号が一致</t>
  </si>
  <si>
    <t>https://www.pl-gakuen.ac.jp/schoolguide/</t>
  </si>
  <si>
    <t>プール学院高等学校</t>
  </si>
  <si>
    <t>06-6741-7005</t>
  </si>
  <si>
    <t>https://poole.ed.jp/</t>
  </si>
  <si>
    <t>箕面学園高等学校</t>
  </si>
  <si>
    <t>072-723-6551</t>
  </si>
  <si>
    <t>代表番号</t>
  </si>
  <si>
    <t>https://minohgakuen.ed.jp/</t>
  </si>
  <si>
    <t>箕面自由学園高等学校</t>
  </si>
  <si>
    <t>06-6852-8110</t>
  </si>
  <si>
    <t>NAVITIMEには別番号（06-6852-7595）の記載あるが公式と不一致</t>
  </si>
  <si>
    <t>https://mino-jiyu.ed.jp/hs/</t>
  </si>
  <si>
    <t>明浄学院高等学校</t>
  </si>
  <si>
    <t>06-6623-0016</t>
  </si>
  <si>
    <t>文科省ユネスコスクールのページ等の複数サイトで一致。2024年に藍野高校と統合し共学化</t>
  </si>
  <si>
    <t>https://www.unesco-school.mext.go.jp/schools/list/meijo-gakuin-high-school/</t>
  </si>
  <si>
    <t>明星高等学校（大阪府）</t>
  </si>
  <si>
    <t>06-6761-5606</t>
  </si>
  <si>
    <t>https://www.meisei.ed.jp/</t>
  </si>
  <si>
    <t>桃山学院高等学校</t>
  </si>
  <si>
    <t>06-6621-1181</t>
  </si>
  <si>
    <t>https://www.momoyamagakuin-h.ed.jp/about/access/</t>
  </si>
  <si>
    <t>堺市西区</t>
  </si>
  <si>
    <t>八洲学園高等学校</t>
  </si>
  <si>
    <t>072-262-8281</t>
  </si>
  <si>
    <t>通信制・堺本校。堺本校二号館は072-262-5849</t>
  </si>
  <si>
    <t>https://yashima.ac.jp/?page_id=167</t>
  </si>
  <si>
    <t>堺市東区</t>
  </si>
  <si>
    <t>利晶学園大阪立命館高等学校</t>
  </si>
  <si>
    <t>072-235-3900</t>
  </si>
  <si>
    <t>高校の番号。中学校は072-235-6400（旧校名は初芝立命館）</t>
  </si>
  <si>
    <t>https://www.rishogakuen.ed.jp/ritsumeikan/info/information.html</t>
  </si>
  <si>
    <t>履正社高等学校</t>
  </si>
  <si>
    <t>06-6864-0456</t>
  </si>
  <si>
    <t>https://riseisha.ed.jp/info/access/</t>
  </si>
  <si>
    <t>YMCA学院高等学校</t>
  </si>
  <si>
    <t>06-6779-5690</t>
  </si>
  <si>
    <t>通信制・単位制</t>
  </si>
  <si>
    <t>https://www.ymcagakuin.ac.jp/introduction/access.html</t>
  </si>
  <si>
    <t>早稲田大阪高等学校</t>
  </si>
  <si>
    <t>072-643-6363</t>
  </si>
  <si>
    <t>代表番号。入試広報部は072-640-5570、学校法人は072-643-6361</t>
  </si>
  <si>
    <t>https://waseda-osaka.jp/</t>
  </si>
  <si>
    <t>兵庫県</t>
  </si>
  <si>
    <t>相生市</t>
  </si>
  <si>
    <t>相生学院高等学校</t>
  </si>
  <si>
    <t>0791-24-0100</t>
  </si>
  <si>
    <t>通信制・相生市の本校。公式未確認、複数サイトで一致。学習センターは別番号</t>
  </si>
  <si>
    <t>https://www.mapion.co.jp/phonebook/M11004/28208/ILSP0000041756_ipclm/</t>
  </si>
  <si>
    <t>神戸市垂水区</t>
  </si>
  <si>
    <t>愛徳学園高等学校</t>
  </si>
  <si>
    <t>078-708-5353</t>
  </si>
  <si>
    <t>https://www.aitokugakuen.ed.jp/contact</t>
  </si>
  <si>
    <t>芦屋市</t>
  </si>
  <si>
    <t>芦屋学園高等学校</t>
  </si>
  <si>
    <t>0797-31-0666</t>
  </si>
  <si>
    <t>代表番号。入試対策室フリーダイヤル0120-898-075</t>
  </si>
  <si>
    <t>https://www.ashiya.ed.jp/</t>
  </si>
  <si>
    <t>神戸市長田区</t>
  </si>
  <si>
    <t>育英高等学校</t>
  </si>
  <si>
    <t>078-611-6001</t>
  </si>
  <si>
    <t>https://www.ikuei.ac.jp/access/</t>
  </si>
  <si>
    <t>朝来市</t>
  </si>
  <si>
    <t>生野学園高等学校</t>
  </si>
  <si>
    <t>079-679-3451</t>
  </si>
  <si>
    <t>https://www.ikuno.ed.jp/highschool/</t>
  </si>
  <si>
    <t>市川町</t>
  </si>
  <si>
    <t>市川高等学校（兵庫県）</t>
  </si>
  <si>
    <t>0790-26-0751</t>
  </si>
  <si>
    <t>https://ichikawa.ed.jp/other/access/</t>
  </si>
  <si>
    <t>西宮市</t>
  </si>
  <si>
    <t>関西学院高等部</t>
  </si>
  <si>
    <t>0798-51-0975</t>
  </si>
  <si>
    <t>高等部事務室</t>
  </si>
  <si>
    <t>https://sh.kwansei.ac.jp/</t>
  </si>
  <si>
    <t>豊岡市</t>
  </si>
  <si>
    <t>近畿大学附属豊岡高等学校</t>
  </si>
  <si>
    <t>0796-22-4305</t>
  </si>
  <si>
    <t>https://www.kindai-toyooka.ed.jp/contact/</t>
  </si>
  <si>
    <t>神戸市須磨区</t>
  </si>
  <si>
    <t>啓明学院高等学校</t>
  </si>
  <si>
    <t>078-741-1501</t>
  </si>
  <si>
    <t>1サイトのみ078-741-1506と記載（誤記とみられる）</t>
  </si>
  <si>
    <t>https://www.keimei.ed.jp/</t>
  </si>
  <si>
    <t>姫路市</t>
  </si>
  <si>
    <t>賢明女子学院高等学校</t>
  </si>
  <si>
    <t>079-223-8456</t>
  </si>
  <si>
    <t>079-223-8458はFAX</t>
  </si>
  <si>
    <t>https://www.himejikenmei.ac.jp/</t>
  </si>
  <si>
    <t>甲子園学院高等学校</t>
  </si>
  <si>
    <t>0798-65-6100</t>
  </si>
  <si>
    <t>中高直通。法人本部は0798-67-2100</t>
  </si>
  <si>
    <t>http://www.koshiengakuin-h.ed.jp/about_us/access.html</t>
  </si>
  <si>
    <t>甲南高等学校</t>
  </si>
  <si>
    <t>0797-31-0551</t>
  </si>
  <si>
    <t>https://www.konan.ed.jp/information/access.html</t>
  </si>
  <si>
    <t>神戸市東灘区</t>
  </si>
  <si>
    <t>甲南女子高等学校</t>
  </si>
  <si>
    <t>078-411-2531</t>
  </si>
  <si>
    <t>https://gakuen.konan-wu.ac.jp/contact/</t>
  </si>
  <si>
    <t>神戸市灘区</t>
  </si>
  <si>
    <t>神戸海星女子学院高等学校</t>
  </si>
  <si>
    <t>078-801-5601</t>
  </si>
  <si>
    <t>https://www.kobekaisei.ed.jp/jr-high/contact/</t>
  </si>
  <si>
    <t>神戸市中央区</t>
  </si>
  <si>
    <t>神戸学院大学附属高等学校</t>
  </si>
  <si>
    <t>078-302-2016</t>
  </si>
  <si>
    <t>2016年に中央区ポートアイランドへ移転済み（旧番号078-511-6004）</t>
  </si>
  <si>
    <t>https://www.kobegakuin-f.ed.jp/</t>
  </si>
  <si>
    <t>神戸市北区</t>
  </si>
  <si>
    <t>神戸弘陵学園高等学校</t>
  </si>
  <si>
    <t>078-593-3535</t>
  </si>
  <si>
    <t>https://www.kobe-koryo.com/</t>
  </si>
  <si>
    <t>神戸国際高等学校</t>
  </si>
  <si>
    <t>078-731-4665</t>
  </si>
  <si>
    <t>https://kis.ed.jp/06info/</t>
  </si>
  <si>
    <t>神戸国際大学附属高等学校</t>
  </si>
  <si>
    <t>078-707-1001</t>
  </si>
  <si>
    <t>https://www.kobe-michael.ac.jp/</t>
  </si>
  <si>
    <t>神戸女学院高等学部</t>
  </si>
  <si>
    <t>0798-51-8570</t>
  </si>
  <si>
    <t>中高共通の事務室代表（大学とは別番号）</t>
  </si>
  <si>
    <t>https://www.kobejogakuin-h.ed.jp/info/toiawase.html</t>
  </si>
  <si>
    <t>神戸星城高等学校</t>
  </si>
  <si>
    <t>078-741-1860</t>
  </si>
  <si>
    <t>https://www.seijoh.ac.jp/06_01contact.html</t>
  </si>
  <si>
    <t>神戸第一高等学校</t>
  </si>
  <si>
    <t>078-242-4811</t>
  </si>
  <si>
    <t>https://kobedai1.ed.jp/school-guide/</t>
  </si>
  <si>
    <t>神戸常盤女子高等学校</t>
  </si>
  <si>
    <t>078-691-0561</t>
  </si>
  <si>
    <t>https://www.kobe-tokiwa.ed.jp/about/</t>
  </si>
  <si>
    <t>神戸野田高等学校</t>
  </si>
  <si>
    <t>078-731-8015</t>
  </si>
  <si>
    <t>https://kobenoda-h.ed.jp/jh-access/</t>
  </si>
  <si>
    <t>神戸山手グローバル高等学校</t>
  </si>
  <si>
    <t>078-341-2133</t>
  </si>
  <si>
    <t>旧・神戸山手女子。2025年4月から共学化。中高共通番号</t>
  </si>
  <si>
    <t>https://www.kobeyamate.ed.jp/</t>
  </si>
  <si>
    <t>神戸龍谷高等学校</t>
  </si>
  <si>
    <t>078-241-0076</t>
  </si>
  <si>
    <t>事務室の番号</t>
  </si>
  <si>
    <t>https://www.koberyukoku.ed.jp/graduate/certificate/</t>
  </si>
  <si>
    <t>甲陽学院高等学校</t>
  </si>
  <si>
    <t>0798-73-3011</t>
  </si>
  <si>
    <t>中学校は別キャンパス（0798-33-5012）</t>
  </si>
  <si>
    <t>https://www.koyo.ac.jp/</t>
  </si>
  <si>
    <t>宝塚市</t>
  </si>
  <si>
    <t>小林聖心女子学院高等学校</t>
  </si>
  <si>
    <t>0797-71-7321</t>
  </si>
  <si>
    <t>小中高の代表番号</t>
  </si>
  <si>
    <t>https://www.oby-sacred-heart.ed.jp/contact/</t>
  </si>
  <si>
    <t>彩星工科高等学校</t>
  </si>
  <si>
    <t>078-575-0230</t>
  </si>
  <si>
    <t>https://saiseikoka.ed.jp/</t>
  </si>
  <si>
    <t>三田市</t>
  </si>
  <si>
    <t>三田学園高等学校</t>
  </si>
  <si>
    <t>079-564-2291</t>
  </si>
  <si>
    <t>https://www.sandagakuen.ed.jp/access/</t>
  </si>
  <si>
    <t>三田松聖高等学校</t>
  </si>
  <si>
    <t>079-568-1001</t>
  </si>
  <si>
    <t>https://www.sandashosei.net/news/procedures/</t>
  </si>
  <si>
    <t>神戸市兵庫区</t>
  </si>
  <si>
    <t>夙川高等学校</t>
  </si>
  <si>
    <t>078-578-7226</t>
  </si>
  <si>
    <t>旧・夙川学院。2019年から須磨学園が運営、神戸市兵庫区に移転（西宮の旧番号0798-74-5061とは別）</t>
  </si>
  <si>
    <t>https://www.sumashuku.jp/contact/</t>
  </si>
  <si>
    <t>松蔭高等学校（兵庫県）</t>
  </si>
  <si>
    <t>078-861-1105</t>
  </si>
  <si>
    <t>https://shoin-jhs.ac.jp/access/</t>
  </si>
  <si>
    <t>神港学園高等学校</t>
  </si>
  <si>
    <t>078-241-3135</t>
  </si>
  <si>
    <t>「神港学園神港高等学校」表記もあり</t>
  </si>
  <si>
    <t>https://shinko.ed.jp/contacts/</t>
  </si>
  <si>
    <t>親和女子高等学校</t>
  </si>
  <si>
    <t>078-854-3800</t>
  </si>
  <si>
    <t>https://www.kobe-shinwa.ed.jp/access/</t>
  </si>
  <si>
    <t>淳心学院高等学校</t>
  </si>
  <si>
    <t>079-222-3581</t>
  </si>
  <si>
    <t>https://www.junshin.ed.jp/</t>
  </si>
  <si>
    <t>須磨学園高等学校</t>
  </si>
  <si>
    <t>078-732-1968</t>
  </si>
  <si>
    <t>https://www.suma.ac.jp/contact/</t>
  </si>
  <si>
    <t>明石市</t>
  </si>
  <si>
    <t>青楓館高等学院</t>
  </si>
  <si>
    <t>078-915-0775</t>
  </si>
  <si>
    <t>通信制・2023年開校。明石本校の入学・広報センター番号</t>
  </si>
  <si>
    <t>https://seifukan-gakuin.com/session/</t>
  </si>
  <si>
    <t>洲本市</t>
  </si>
  <si>
    <t>蒼開高等学校</t>
  </si>
  <si>
    <t>0799-22-2552</t>
  </si>
  <si>
    <t>中学校は0799-22-2551</t>
  </si>
  <si>
    <t>https://www.soukai-school.jp/exam/admission_hi/</t>
  </si>
  <si>
    <t>尼崎市</t>
  </si>
  <si>
    <t>園田学園高等学校</t>
  </si>
  <si>
    <t>06-6428-2242</t>
  </si>
  <si>
    <t>尼崎市施設案内とも一致</t>
  </si>
  <si>
    <t>https://www.sonodagakuen.ed.jp/</t>
  </si>
  <si>
    <t>滝川高等学校</t>
  </si>
  <si>
    <t>078-732-1625</t>
  </si>
  <si>
    <t>https://www.takigawa.ac.jp/enquiry.php</t>
  </si>
  <si>
    <t>神戸市西区</t>
  </si>
  <si>
    <t>滝川第二高等学校</t>
  </si>
  <si>
    <t>078-961-2381</t>
  </si>
  <si>
    <t>https://takigawa2.ed.jp/contact</t>
  </si>
  <si>
    <t>養父市</t>
  </si>
  <si>
    <t>第一学院高等学校 養父本校</t>
  </si>
  <si>
    <t>079-663-5100</t>
  </si>
  <si>
    <t>通信制・養父本校。フリーダイヤルは別</t>
  </si>
  <si>
    <t>https://www.daiichigakuin.ed.jp/about/outline/</t>
  </si>
  <si>
    <t>東洋大学附属姫路高等学校</t>
  </si>
  <si>
    <t>079-266-2626</t>
  </si>
  <si>
    <t>https://www.toyo.ac.jp/himeji/yellowpage/</t>
  </si>
  <si>
    <t>灘高等学校</t>
  </si>
  <si>
    <t>078-411-7234</t>
  </si>
  <si>
    <t>高校事務室の番号</t>
  </si>
  <si>
    <t>http://www.nada.ac.jp/sotugyousyoumeisyo.html</t>
  </si>
  <si>
    <t>仁川学院高等学校</t>
  </si>
  <si>
    <t>0798-51-3621</t>
  </si>
  <si>
    <t>学院事務局は0798-52-0551</t>
  </si>
  <si>
    <t>https://www.nigawa.ac.jp/inquiry/</t>
  </si>
  <si>
    <t>高砂市</t>
  </si>
  <si>
    <t>白陵高等学校</t>
  </si>
  <si>
    <t>079-447-1675</t>
  </si>
  <si>
    <t>https://www.hakuryo.ed.jp/index4.html</t>
  </si>
  <si>
    <t>日ノ本学園高等学校</t>
  </si>
  <si>
    <t>079-232-5578</t>
  </si>
  <si>
    <t>https://www.hinomoto.ac.jp/school_life/access/</t>
  </si>
  <si>
    <t>雲雀丘学園高等学校</t>
  </si>
  <si>
    <t>072-759-1300</t>
  </si>
  <si>
    <t>学園事務局は072-759-3000</t>
  </si>
  <si>
    <t>https://www.hibari-ho.ed.jp/inquiry.html</t>
  </si>
  <si>
    <t>姫路女学院高等学校</t>
  </si>
  <si>
    <t>079-224-1711</t>
  </si>
  <si>
    <t>https://www.himeji-jogakuin.ed.jp/academy_information/</t>
  </si>
  <si>
    <t>兵庫大学附属須磨ノ浦高等学校</t>
  </si>
  <si>
    <t>078-735-7111</t>
  </si>
  <si>
    <t>https://www.sumanoura.ed.jp/</t>
  </si>
  <si>
    <t>報徳学園高等学校</t>
  </si>
  <si>
    <t>0798-51-3021</t>
  </si>
  <si>
    <t>https://www.hotoku.ac.jp/about/access</t>
  </si>
  <si>
    <t>武庫川女子大学附属高等学校</t>
  </si>
  <si>
    <t>0798-47-6436</t>
  </si>
  <si>
    <t>2027年4月に「武庫川大学附属高等学校」へ校名変更予定（第三者情報）</t>
  </si>
  <si>
    <t>https://www.mukogawa-u.ac.jp/~JHS/openschool/index.html</t>
  </si>
  <si>
    <t>百合学院高等学校</t>
  </si>
  <si>
    <t>06-6491-6298</t>
  </si>
  <si>
    <t>公式未確認、複数サイトで一致</t>
  </si>
  <si>
    <t>https://www.mapion.co.jp/phonebook/M11004/28202/ILSP0000041583_ipclm/</t>
  </si>
  <si>
    <t>六甲学院高等学校</t>
  </si>
  <si>
    <t>078-871-4161</t>
  </si>
  <si>
    <t>代表番号。中高共通</t>
  </si>
  <si>
    <t>http://rokkogakuin.ed.jp/rblog/news/</t>
  </si>
  <si>
    <t>奈良県</t>
  </si>
  <si>
    <t>天理市</t>
  </si>
  <si>
    <t>飛鳥未来高等学校</t>
  </si>
  <si>
    <t>0743-61-0031</t>
  </si>
  <si>
    <t>通信制・天理市の奈良本校の番号。他キャンパスは別番号</t>
  </si>
  <si>
    <t>https://www.sanko.ac.jp/asuka/group/outline/</t>
  </si>
  <si>
    <t>奈良市</t>
  </si>
  <si>
    <t>育英西高等学校</t>
  </si>
  <si>
    <t>0742-47-0688</t>
  </si>
  <si>
    <t>https://www.ikuei.ed.jp/ikunishi/about/access/</t>
  </si>
  <si>
    <t>橿原市</t>
  </si>
  <si>
    <t>橿原学院高等学校</t>
  </si>
  <si>
    <t>0744-27-3242</t>
  </si>
  <si>
    <t>代表番号。一部サイトに0744-27-0742の記載あり（旧番号の可能性）</t>
  </si>
  <si>
    <t>https://www.kashigaku.ed.jp/introduction-access.html</t>
  </si>
  <si>
    <t>五條市</t>
  </si>
  <si>
    <t>智辯学園高等学校</t>
  </si>
  <si>
    <t>0747-22-3191</t>
  </si>
  <si>
    <t>募集要項に代表として記載</t>
  </si>
  <si>
    <t>https://www.chiben.ac.jp/gojo/wp-content/uploads/sites/5/2025/07/13b1883b7cc9a504f8251f3cfd903829.pdf</t>
  </si>
  <si>
    <t>香芝市</t>
  </si>
  <si>
    <t>智辯学園奈良カレッジ高等部</t>
  </si>
  <si>
    <t>0745-79-1111</t>
  </si>
  <si>
    <t>香芝市HP（2021年）は0745-76-2001を掲載</t>
  </si>
  <si>
    <t>https://www.chiben.ac.jp/naracollege/futures/</t>
  </si>
  <si>
    <t>帝塚山高等学校</t>
  </si>
  <si>
    <t>0742-41-4685</t>
  </si>
  <si>
    <t>中高事務室の番号。学園代表は0742-43-4433</t>
  </si>
  <si>
    <t>https://www.tezukayama-h.ed.jp/access/</t>
  </si>
  <si>
    <t>天理教校学園高等学校</t>
  </si>
  <si>
    <t>【閉校】2023年3月31日に閉校。閉校前の代表は0743-63-1511。架電対象外</t>
  </si>
  <si>
    <t>https://rirc.or.jp/database/?rircdb=16033</t>
  </si>
  <si>
    <t>天理高等学校</t>
  </si>
  <si>
    <t>0743-63-7691</t>
  </si>
  <si>
    <t>全日制（第一部）の番号。定時制（第二部）は0743-63-7682</t>
  </si>
  <si>
    <t>https://www.tenri-h.ed.jp/1bu/</t>
  </si>
  <si>
    <t>東大寺学園高等学校</t>
  </si>
  <si>
    <t>0742-47-5511</t>
  </si>
  <si>
    <t>https://www.tdj.ac.jp/access.html</t>
  </si>
  <si>
    <t>奈良育英高等学校</t>
  </si>
  <si>
    <t>0742-26-2845</t>
  </si>
  <si>
    <t>https://www.ikuei.ed.jp/ikuei-jh/</t>
  </si>
  <si>
    <t>大和郡山市</t>
  </si>
  <si>
    <t>奈良学園高等学校</t>
  </si>
  <si>
    <t>0743-54-0351</t>
  </si>
  <si>
    <t>https://www.naragakuen.ed.jp/info/edu_corp.html</t>
  </si>
  <si>
    <t>奈良学園登美ヶ丘高等学校</t>
  </si>
  <si>
    <t>0742-93-5111</t>
  </si>
  <si>
    <t>代表番号。地図サイトに0742-93-5500の記載あり</t>
  </si>
  <si>
    <t>https://www.naragakuen.jp/inquary/</t>
  </si>
  <si>
    <t>奈良女子高等学校</t>
  </si>
  <si>
    <t>0742-33-3601</t>
  </si>
  <si>
    <t>白藤学園。通信制課程も同じ番号</t>
  </si>
  <si>
    <t>https://shirafuji.ac.jp/shirafuji_high/?page_id=43</t>
  </si>
  <si>
    <t>奈良大学附属高等学校</t>
  </si>
  <si>
    <t>0742-41-8840</t>
  </si>
  <si>
    <t>https://www.nara-u-h.ed.jp/access/</t>
  </si>
  <si>
    <t>大和高田市</t>
  </si>
  <si>
    <t>奈良文化高等学校</t>
  </si>
  <si>
    <t>0745-22-8315</t>
  </si>
  <si>
    <t>法人ページには0745-22-8268も掲載</t>
  </si>
  <si>
    <t>https://www.narabunka.ed.jp/</t>
  </si>
  <si>
    <t>河合町</t>
  </si>
  <si>
    <t>西大和学園高等学校</t>
  </si>
  <si>
    <t>0745-73-6565</t>
  </si>
  <si>
    <t>https://www.nishiyamato.ed.jp/contact/</t>
  </si>
  <si>
    <t>和歌山県</t>
  </si>
  <si>
    <t>和歌山市</t>
  </si>
  <si>
    <t>開智高等学校（和歌山県）</t>
  </si>
  <si>
    <t>073-461-8080</t>
  </si>
  <si>
    <t>中学校併設</t>
  </si>
  <si>
    <t>https://www.kaichi.ed.jp/about/access.html</t>
  </si>
  <si>
    <t>新宮市</t>
  </si>
  <si>
    <t>近畿大学附属新宮高等学校</t>
  </si>
  <si>
    <t>0735-22-2005</t>
  </si>
  <si>
    <t>https://www.shingu.kindai.ac.jp/current_students-graduates/</t>
  </si>
  <si>
    <t>近畿大学附属和歌山高等学校</t>
  </si>
  <si>
    <t>073-452-1161</t>
  </si>
  <si>
    <t>https://www.hwaka.kindai.ac.jp/</t>
  </si>
  <si>
    <t>紀美野町</t>
  </si>
  <si>
    <t>慶風高等学校</t>
  </si>
  <si>
    <t>073-498-0100</t>
  </si>
  <si>
    <t>通信制・紀美野町の本校。法人本部（和歌山市）は073-474-2828</t>
  </si>
  <si>
    <t>https://keifu.ac.jp/access/</t>
  </si>
  <si>
    <t>高野町</t>
  </si>
  <si>
    <t>高野山高等学校</t>
  </si>
  <si>
    <t>0736-56-2204</t>
  </si>
  <si>
    <t>https://www.koyasan-h.ed.jp/</t>
  </si>
  <si>
    <t>智辯学園和歌山高等学校</t>
  </si>
  <si>
    <t>073-479-2811</t>
  </si>
  <si>
    <t>https://www.chiben.ac.jp/wakayama/</t>
  </si>
  <si>
    <t>橋本市</t>
  </si>
  <si>
    <t>初芝橋本高等学校</t>
  </si>
  <si>
    <t>0736-37-5600</t>
  </si>
  <si>
    <t>2025年4月に運営法人が利晶学園へ改称（校名は変更なし）</t>
  </si>
  <si>
    <t>https://www.rishogakuen.ed.jp/hatsuhashi/guide/enkaku.html</t>
  </si>
  <si>
    <t>和歌山信愛高等学校</t>
  </si>
  <si>
    <t>073-424-1141</t>
  </si>
  <si>
    <t>https://www.shin-ai.ac.jp/</t>
  </si>
  <si>
    <t>日高川町</t>
  </si>
  <si>
    <t>和歌山南陵高等学校</t>
  </si>
  <si>
    <t>0738-53-0316</t>
  </si>
  <si>
    <t>経営難で一時募集停止命令→2024年11月解除、募集再開済み</t>
  </si>
  <si>
    <t>https://w-nanryo.ed.jp/contact/</t>
  </si>
  <si>
    <t>鳥取県</t>
  </si>
  <si>
    <t>倉吉市</t>
  </si>
  <si>
    <t>倉吉北高等学校</t>
  </si>
  <si>
    <t>0858-26-1351</t>
  </si>
  <si>
    <t>https://kurayoshikita-h.ed.jp/contact/</t>
  </si>
  <si>
    <t>鳥取市</t>
  </si>
  <si>
    <t>青翔開智高等学校</t>
  </si>
  <si>
    <t>0857-30-5541</t>
  </si>
  <si>
    <t>中高一貫校の代表番号</t>
  </si>
  <si>
    <t>https://seishokaichi.jp/about/information/</t>
  </si>
  <si>
    <t>鳥取敬愛高等学校</t>
  </si>
  <si>
    <t>0857-22-8397</t>
  </si>
  <si>
    <t>鳥取県資料でも一致</t>
  </si>
  <si>
    <t>https://t-ki.jp/publics/index/2/</t>
  </si>
  <si>
    <t>鳥取城北高等学校</t>
  </si>
  <si>
    <t>0857-23-3502</t>
  </si>
  <si>
    <t>https://www.tottori-johoku.ed.jp/contact</t>
  </si>
  <si>
    <t>湯梨浜町</t>
  </si>
  <si>
    <t>湯梨浜学園高等学校</t>
  </si>
  <si>
    <t>0858-48-6810</t>
  </si>
  <si>
    <t>中高の代表番号。通信制課程の窓口は0858-32-2777</t>
  </si>
  <si>
    <t>https://www.yurihamagakuen.ac.jp/about/</t>
  </si>
  <si>
    <t>米子市</t>
  </si>
  <si>
    <t>米子北高等学校</t>
  </si>
  <si>
    <t>0859-22-9371</t>
  </si>
  <si>
    <t>https://www.yonagokita.ed.jp/</t>
  </si>
  <si>
    <t>米子松蔭高等学校</t>
  </si>
  <si>
    <t>0859-27-0421</t>
  </si>
  <si>
    <t>https://www.yonagoshoin.ed.jp/</t>
  </si>
  <si>
    <t>米子北斗高等学校</t>
  </si>
  <si>
    <t>0859-29-6000</t>
  </si>
  <si>
    <t>https://www.mapion.co.jp/phonebook/M11004/31202/ILSP0000041708_ipclm/</t>
  </si>
  <si>
    <t>島根県</t>
  </si>
  <si>
    <t>出雲市</t>
  </si>
  <si>
    <t>出雲西高等学校</t>
  </si>
  <si>
    <t>0853-21-1183</t>
  </si>
  <si>
    <t>https://www.izumonishikou.jp/contact/</t>
  </si>
  <si>
    <t>出雲北陵高等学校</t>
  </si>
  <si>
    <t>0853-21-1871</t>
  </si>
  <si>
    <t>事務室（代表）。高校職員室は0853-21-1887</t>
  </si>
  <si>
    <t>https://izumohokuryo-h.ed.jp/</t>
  </si>
  <si>
    <t>江津市</t>
  </si>
  <si>
    <t>石見智翠館高等学校</t>
  </si>
  <si>
    <t>0855-52-2457</t>
  </si>
  <si>
    <t>通信制の直通は0855-52-4955</t>
  </si>
  <si>
    <t>https://www.iwamichisuikan.ed.jp/guardian/contact</t>
  </si>
  <si>
    <t>松江市</t>
  </si>
  <si>
    <t>開星高等学校</t>
  </si>
  <si>
    <t>0852-21-4915</t>
  </si>
  <si>
    <t>https://shimane-kaisei.ed.jp/news/nyuushi/12016</t>
  </si>
  <si>
    <t>キリスト教愛真高等学校</t>
  </si>
  <si>
    <t>0855-52-5795</t>
  </si>
  <si>
    <t>https://aishinhigh.ed.jp/</t>
  </si>
  <si>
    <t>松徳学院高等学校</t>
  </si>
  <si>
    <t>0852-21-5478</t>
  </si>
  <si>
    <t>島根県資料では0852-21-5578も併記</t>
  </si>
  <si>
    <t>https://shotoku-h.ed.jp/</t>
  </si>
  <si>
    <t>益田市</t>
  </si>
  <si>
    <t>益田東高等学校</t>
  </si>
  <si>
    <t>0856-23-3435</t>
  </si>
  <si>
    <t>https://masuda-higashi.com/contact/</t>
  </si>
  <si>
    <t>松江西高等学校</t>
  </si>
  <si>
    <t>0852-21-2925</t>
  </si>
  <si>
    <t>https://www.matsuenishi-h.ed.jp/inquiry</t>
  </si>
  <si>
    <t>明誠高等学校</t>
  </si>
  <si>
    <t>0856-22-1052</t>
  </si>
  <si>
    <t>全日制の番号。通信制課程は0856-23-6877</t>
  </si>
  <si>
    <t>https://www.meisei-masuda.ed.jp/</t>
  </si>
  <si>
    <t>立正大学淞南高等学校</t>
  </si>
  <si>
    <t>0852-21-9634</t>
  </si>
  <si>
    <t>https://www.shonangakuen-h.ed.jp/contact/</t>
  </si>
  <si>
    <t>岡山県</t>
  </si>
  <si>
    <t>岡山市東区</t>
  </si>
  <si>
    <t>岡山学芸館高等学校</t>
  </si>
  <si>
    <t>086-942-3864</t>
  </si>
  <si>
    <t>通信制課程も同じ番号</t>
  </si>
  <si>
    <t>https://www.gakugeikan.ed.jp/contact/index.html</t>
  </si>
  <si>
    <t>新見市</t>
  </si>
  <si>
    <t>岡山県共生高等学校</t>
  </si>
  <si>
    <t>0867-72-0526</t>
  </si>
  <si>
    <t>0867-72-8032はFAX</t>
  </si>
  <si>
    <t>https://www.kyousei.ed.jp/</t>
  </si>
  <si>
    <t>倉敷市</t>
  </si>
  <si>
    <t>岡山県作陽高等学校</t>
  </si>
  <si>
    <t>086-441-1281</t>
  </si>
  <si>
    <t>2023年4月に倉敷市玉島へ移転し「作陽学園高等学校」に校名変更。津山の旧番号0868-23-2188は使用不可の可能性</t>
  </si>
  <si>
    <t>https://www.sakuyo-h.ed.jp/access/</t>
  </si>
  <si>
    <t>津山市</t>
  </si>
  <si>
    <t>岡山県美作高等学校</t>
  </si>
  <si>
    <t>0868-22-4838</t>
  </si>
  <si>
    <t>全日制の番号。通信制課程は0868-23-3116</t>
  </si>
  <si>
    <t>https://mimasaka.jp/gakuen/houjin.html</t>
  </si>
  <si>
    <t>岡山市南区</t>
  </si>
  <si>
    <t>岡山高等学校</t>
  </si>
  <si>
    <t>086-282-6336</t>
  </si>
  <si>
    <t>中高一貫</t>
  </si>
  <si>
    <t>https://www.okayama-h.ed.jp/access/</t>
  </si>
  <si>
    <t>浅口市</t>
  </si>
  <si>
    <t>おかやま山陽高等学校</t>
  </si>
  <si>
    <t>0865-44-3100</t>
  </si>
  <si>
    <t>教員室直通は0865-44-7149</t>
  </si>
  <si>
    <t>https://www.okayama-sanyo-hs.ed.jp/</t>
  </si>
  <si>
    <t>岡山市北区</t>
  </si>
  <si>
    <t>岡山商科大学附属高等学校</t>
  </si>
  <si>
    <t>086-252-3407</t>
  </si>
  <si>
    <t>専門学科・総合学科</t>
  </si>
  <si>
    <t>https://www.osu-h.ed.jp/</t>
  </si>
  <si>
    <t>赤磐市</t>
  </si>
  <si>
    <t>岡山白陵高等学校</t>
  </si>
  <si>
    <t>086-995-1255</t>
  </si>
  <si>
    <t>https://www.okahaku.ed.jp/access_inquiry/</t>
  </si>
  <si>
    <t>岡山理科大学附属高等学校</t>
  </si>
  <si>
    <t>086-256-8511</t>
  </si>
  <si>
    <t>通信制課程直通は086-256-8562</t>
  </si>
  <si>
    <t>https://okayama.ridaifu.net/contact/</t>
  </si>
  <si>
    <t>笠岡市</t>
  </si>
  <si>
    <t>岡山龍谷高等学校</t>
  </si>
  <si>
    <t>0865-63-2525</t>
  </si>
  <si>
    <t>職員室は0865-63-2526</t>
  </si>
  <si>
    <t>https://www.ok-ryukoku.ed.jp/</t>
  </si>
  <si>
    <t>川崎医科大学附属高等学校</t>
  </si>
  <si>
    <t>086-462-3666</t>
  </si>
  <si>
    <t>https://s.kawasaki-m.ac.jp/</t>
  </si>
  <si>
    <t>関西高等学校</t>
  </si>
  <si>
    <t>086-252-5121</t>
  </si>
  <si>
    <t>https://kanzei.ac.jp/</t>
  </si>
  <si>
    <t>吉備中央町</t>
  </si>
  <si>
    <t>吉備高原学園高等学校</t>
  </si>
  <si>
    <t>0866-56-8211</t>
  </si>
  <si>
    <t>全寮制</t>
  </si>
  <si>
    <t>https://www.kibikogengakuen.ed.jp/inquiry/form/</t>
  </si>
  <si>
    <t>倉敷高等学校</t>
  </si>
  <si>
    <t>086-462-9000</t>
  </si>
  <si>
    <t>岡山県私学協会の一覧とも一致</t>
  </si>
  <si>
    <t>https://www.kurashiki.ac.jp/news/</t>
  </si>
  <si>
    <t>倉敷翠松高等学校</t>
  </si>
  <si>
    <t>086-422-3565</t>
  </si>
  <si>
    <t>教務室086-422-3570、専攻科086-427-0941</t>
  </si>
  <si>
    <t>https://www.suisho.ed.jp/</t>
  </si>
  <si>
    <t>井原市</t>
  </si>
  <si>
    <t>興譲館高等学校</t>
  </si>
  <si>
    <t>0866-62-0124</t>
  </si>
  <si>
    <t>井原市の本校。通信制課程は0120-445033</t>
  </si>
  <si>
    <t>https://kojokan-h.ed.jp/</t>
  </si>
  <si>
    <t>金光学園高等学校</t>
  </si>
  <si>
    <t>0865-42-3131</t>
  </si>
  <si>
    <t>https://www.konkougakuen.net/high/</t>
  </si>
  <si>
    <t>岡山市中区</t>
  </si>
  <si>
    <t>山陽学園高等学校</t>
  </si>
  <si>
    <t>086-272-1181</t>
  </si>
  <si>
    <t>https://www.sanyogakuen.ed.jp/school/access</t>
  </si>
  <si>
    <t>就実高等学校</t>
  </si>
  <si>
    <t>086-225-1326</t>
  </si>
  <si>
    <t>https://www.shujitsu-gakuen.jp/contact/index.html</t>
  </si>
  <si>
    <t>清心女子高等学校（岡山県）</t>
  </si>
  <si>
    <t>086-462-1661</t>
  </si>
  <si>
    <t>ノートルダム清心学園（倉敷市）。中学校併設</t>
  </si>
  <si>
    <t>https://www.nd-seishin.ac.jp/school/access/</t>
  </si>
  <si>
    <t>創志学園高等学校</t>
  </si>
  <si>
    <t>086-252-2101</t>
  </si>
  <si>
    <t>入試広報室は0120-151752</t>
  </si>
  <si>
    <t>https://www.soshigakuen.ed.jp/access/</t>
  </si>
  <si>
    <t>高梁市</t>
  </si>
  <si>
    <t>方谷學舎高等学校</t>
  </si>
  <si>
    <t>0866-22-2205</t>
  </si>
  <si>
    <t>2023年6月に「岡山県高梁日新高等学校」から校名変更。事務室番号（教務室は0866-56-0015）</t>
  </si>
  <si>
    <t>https://www.houkoku-gakusha.ed.jp/introduction/</t>
  </si>
  <si>
    <t>明誠学院高等学校</t>
  </si>
  <si>
    <t>086-252-5247</t>
  </si>
  <si>
    <t>https://www.meiseigakuin.ac.jp/</t>
  </si>
  <si>
    <t>広島県</t>
  </si>
  <si>
    <t>広島市安佐南区</t>
  </si>
  <si>
    <t>AICJ高等学校</t>
  </si>
  <si>
    <t>082-832-5037</t>
  </si>
  <si>
    <t>一部サイトに旧番号らしい082-874-3081の記載あり</t>
  </si>
  <si>
    <t>https://aicj.ed.jp/access.html</t>
  </si>
  <si>
    <t>福山市</t>
  </si>
  <si>
    <t>盈進高等学校</t>
  </si>
  <si>
    <t>084-955-2333</t>
  </si>
  <si>
    <t>https://www.eishin.ed.jp/access/</t>
  </si>
  <si>
    <t>英数学館高等学校</t>
  </si>
  <si>
    <t>084-941-4115</t>
  </si>
  <si>
    <t>一部サイトに084-941-4117の記載あり（旧番号か）</t>
  </si>
  <si>
    <t>https://goto.eisu-ejs.ac.jp/access/</t>
  </si>
  <si>
    <t>尾道市</t>
  </si>
  <si>
    <t>尾道高等学校</t>
  </si>
  <si>
    <t>0848-20-6612</t>
  </si>
  <si>
    <t>2009年に向島町へ移転。旧番号0848-23-2311が残るサイトあり</t>
  </si>
  <si>
    <t>https://onomichi.ac.jp/</t>
  </si>
  <si>
    <t>東広島市</t>
  </si>
  <si>
    <t>近畿大学附属広島高等学校東広島校</t>
  </si>
  <si>
    <t>082-434-7111</t>
  </si>
  <si>
    <t>https://hh.kindai.ac.jp/</t>
  </si>
  <si>
    <t>近畿大学附属広島高等学校福山校</t>
  </si>
  <si>
    <t>084-951-2695</t>
  </si>
  <si>
    <t>旧称は近畿大学附属福山高等学校</t>
  </si>
  <si>
    <t>https://www.fukuyama.kindai.ac.jp/gakko/gakko-shokai.html</t>
  </si>
  <si>
    <t>銀河学院高等学校</t>
  </si>
  <si>
    <t>084-941-9292</t>
  </si>
  <si>
    <t>公式（法人事務室）に記載、複数サイトも一致</t>
  </si>
  <si>
    <t>https://www.ginga.ac.jp/donationginga/</t>
  </si>
  <si>
    <t>呉市</t>
  </si>
  <si>
    <t>呉青山高等学校</t>
  </si>
  <si>
    <t>0823-32-1721</t>
  </si>
  <si>
    <t>2027年4月に「星の杜広島中学校・高等学校」へ校名変更予定</t>
  </si>
  <si>
    <t>https://www.kureaoyama.ed.jp/</t>
  </si>
  <si>
    <t>広陵高等学校</t>
  </si>
  <si>
    <t>082-848-1321</t>
  </si>
  <si>
    <t>https://www.koryo.ac.jp/</t>
  </si>
  <si>
    <t>呉港高等学校</t>
  </si>
  <si>
    <t>0823-71-9163</t>
  </si>
  <si>
    <t>https://www.goko.ac.jp/?page_id=96</t>
  </si>
  <si>
    <t>広島市西区</t>
  </si>
  <si>
    <t>山陽高等学校</t>
  </si>
  <si>
    <t>082-232-9156</t>
  </si>
  <si>
    <t>正式名は広島山陽学園山陽高等学校</t>
  </si>
  <si>
    <t>https://www.sanyo.ed.jp/gakkou/access/</t>
  </si>
  <si>
    <t>廿日市市</t>
  </si>
  <si>
    <t>山陽女学園高等部</t>
  </si>
  <si>
    <t>0829-32-2222</t>
  </si>
  <si>
    <t>通信制リアライズコースは0829-32-3330</t>
  </si>
  <si>
    <t>https://sanyo-jogakuen.ed.jp/</t>
  </si>
  <si>
    <t>清水ヶ丘高等学校</t>
  </si>
  <si>
    <t>0823-23-1520</t>
  </si>
  <si>
    <t>法人事務局は0823-22-0012</t>
  </si>
  <si>
    <t>https://www.shimizugaoka.ed.jp/</t>
  </si>
  <si>
    <t>広島市中区</t>
  </si>
  <si>
    <t>修道高等学校</t>
  </si>
  <si>
    <t>082-241-8291</t>
  </si>
  <si>
    <t>https://www.shudo-h.ed.jp/</t>
  </si>
  <si>
    <t>広島市南区</t>
  </si>
  <si>
    <t>進徳女子高等学校</t>
  </si>
  <si>
    <t>082-251-6431</t>
  </si>
  <si>
    <t>https://www.shintoku.ed.jp/</t>
  </si>
  <si>
    <t>三原市</t>
  </si>
  <si>
    <t>如水館高等学校</t>
  </si>
  <si>
    <t>0848-63-2423</t>
  </si>
  <si>
    <t>https://www.josuikan.ed.jp/about/gaiyou</t>
  </si>
  <si>
    <t>崇徳高等学校</t>
  </si>
  <si>
    <t>082-237-9331</t>
  </si>
  <si>
    <t>https://www.sotoku.ed.jp/</t>
  </si>
  <si>
    <t>武田高等学校</t>
  </si>
  <si>
    <t>0823-82-2331</t>
  </si>
  <si>
    <t>https://takeda.ed.jp/</t>
  </si>
  <si>
    <t>東林館高等学校</t>
  </si>
  <si>
    <t>084-923-4543</t>
  </si>
  <si>
    <t>通信制。2010年に本校を神石高原町から福山市へ移転。旧番号0847-85-2041が残るサイトあり</t>
  </si>
  <si>
    <t>https://www.tohrinkan.com/</t>
  </si>
  <si>
    <t>並木学院高等学校</t>
  </si>
  <si>
    <t>082-241-9066</t>
  </si>
  <si>
    <t>FAXは082-241-5211</t>
  </si>
  <si>
    <t>https://namikigakuin.ac.jp/school-info/group/</t>
  </si>
  <si>
    <t>ノートルダム清心高等学校</t>
  </si>
  <si>
    <t>082-271-1724</t>
  </si>
  <si>
    <t>https://www.hiro-seishin.ed.jp/contact/</t>
  </si>
  <si>
    <t>比治山学園高等学校</t>
  </si>
  <si>
    <t>082-251-4478</t>
  </si>
  <si>
    <t>旧・比治山女子。2026年4月に共学化・校名変更。新サイト https://www.hijiyama-h.ed.jp/</t>
  </si>
  <si>
    <t>https://www.hijiyamajoshi-h.ed.jp/education/</t>
  </si>
  <si>
    <t>広島学院高等学校</t>
  </si>
  <si>
    <t>082-271-0241</t>
  </si>
  <si>
    <t>https://www.hiroshimagakuin.ed.jp/contact/</t>
  </si>
  <si>
    <t>広島工業大学高等学校</t>
  </si>
  <si>
    <t>082-277-9205</t>
  </si>
  <si>
    <t>全日制（西区）。通信制（安佐南区）は082-849-6755</t>
  </si>
  <si>
    <t>https://www.kodaikoko.ed.jp/zennichi/</t>
  </si>
  <si>
    <t>海田町</t>
  </si>
  <si>
    <t>広島国際学院高等学校</t>
  </si>
  <si>
    <t>082-823-3401</t>
  </si>
  <si>
    <t>全日制（海田町）。通信制の中野キャンパスは082-820-2515</t>
  </si>
  <si>
    <t>https://www.hi.hkg.ac.jp/access</t>
  </si>
  <si>
    <t>広島市東区</t>
  </si>
  <si>
    <t>広島桜が丘高等学校</t>
  </si>
  <si>
    <t>082-262-0128</t>
  </si>
  <si>
    <t>https://www.mapion.co.jp/phonebook/M11004/34102/ILSP0000041015_ipclm/</t>
  </si>
  <si>
    <t>広島三育学院高等学校</t>
  </si>
  <si>
    <t>0847-33-0311</t>
  </si>
  <si>
    <t>https://www.saniku.ac.jp/hiroshima/about/profile.php</t>
  </si>
  <si>
    <t>広島修道大学ひろしま協創高等学校</t>
  </si>
  <si>
    <t>082-278-1101</t>
  </si>
  <si>
    <t>https://www.shudo-u.ac.jp/fuzoku/</t>
  </si>
  <si>
    <t>坂町</t>
  </si>
  <si>
    <t>広島翔洋高等学校</t>
  </si>
  <si>
    <t>082-884-1616</t>
  </si>
  <si>
    <t>https://www.h-shoyo.ed.jp/overview/details.php</t>
  </si>
  <si>
    <t>北広島町</t>
  </si>
  <si>
    <t>広島新庄高等学校</t>
  </si>
  <si>
    <t>0826-82-2323</t>
  </si>
  <si>
    <t>https://www.shinjou.jp/toiawase/toiawase.html</t>
  </si>
  <si>
    <t>広島城北高等学校</t>
  </si>
  <si>
    <t>082-229-0111</t>
  </si>
  <si>
    <t>https://hiroshimajohoku.ed.jp/school/about/access/</t>
  </si>
  <si>
    <t>広島女学院高等学校</t>
  </si>
  <si>
    <t>082-228-4131</t>
  </si>
  <si>
    <t>https://www.hjs.ed.jp/contact</t>
  </si>
  <si>
    <t>広島県瀬戸内高等学校</t>
  </si>
  <si>
    <t>082-261-1296</t>
  </si>
  <si>
    <t>公式では入試広報部の番号として掲載。082-261-1298とするサイトもあり</t>
  </si>
  <si>
    <t>https://www.setouchi-h.ed.jp/extrance1.html</t>
  </si>
  <si>
    <t>広島市佐伯区</t>
  </si>
  <si>
    <t>広島なぎさ高等学校</t>
  </si>
  <si>
    <t>082-921-2137</t>
  </si>
  <si>
    <t>https://www.nagisa.ed.jp/high/</t>
  </si>
  <si>
    <t>広島市安佐北区</t>
  </si>
  <si>
    <t>広島文教大学附属高等学校</t>
  </si>
  <si>
    <t>082-814-3192</t>
  </si>
  <si>
    <t>https://www.h-bunkyo.ac.jp/highschool/</t>
  </si>
  <si>
    <t>福山暁の星女子高等学校</t>
  </si>
  <si>
    <t>084-922-1682</t>
  </si>
  <si>
    <t>https://www.akenohoshi-cyukou.ed.jp/about/access/</t>
  </si>
  <si>
    <t>安田女子高等学校</t>
  </si>
  <si>
    <t>082-221-3304</t>
  </si>
  <si>
    <t>高校部の番号。中学部は082-221-3362</t>
  </si>
  <si>
    <t>https://www.yasuda-u.ac.jp/jh/</t>
  </si>
  <si>
    <t>山口県</t>
  </si>
  <si>
    <t>宇部市</t>
  </si>
  <si>
    <t>宇部鴻城高等学校</t>
  </si>
  <si>
    <t>0836-41-8109</t>
  </si>
  <si>
    <t>https://www.ubekojo-h.ed.jp/contact/</t>
  </si>
  <si>
    <t>宇部フロンティア大学付属香川高等学校</t>
  </si>
  <si>
    <t>0836-35-9574</t>
  </si>
  <si>
    <t>普通科職員室0836-35-9578、専門部職員室0836-35-9583</t>
  </si>
  <si>
    <t>https://www.kagawa-h.ed.jp/</t>
  </si>
  <si>
    <t>慶進高等学校</t>
  </si>
  <si>
    <t>0836-34-1111</t>
  </si>
  <si>
    <t>https://www.keishin-ug.ed.jp/</t>
  </si>
  <si>
    <t>山陽小野田市</t>
  </si>
  <si>
    <t>ザビエル高等学校</t>
  </si>
  <si>
    <t>0836-83-3587</t>
  </si>
  <si>
    <t>正式表記は「サビエル高等学校」</t>
  </si>
  <si>
    <t>https://xavier.ed.jp/</t>
  </si>
  <si>
    <t>下関市</t>
  </si>
  <si>
    <t>下関国際高等学校</t>
  </si>
  <si>
    <t>083-256-2321</t>
  </si>
  <si>
    <t>https://www.shiboyama.ac.jp/</t>
  </si>
  <si>
    <t>下関短期大学付属高等学校</t>
  </si>
  <si>
    <t>083-232-3785</t>
  </si>
  <si>
    <t>短大の番号（083-223-0339）とは別</t>
  </si>
  <si>
    <t>https://www.shimotan-hs.jp/pages/13/</t>
  </si>
  <si>
    <t>防府市</t>
  </si>
  <si>
    <t>誠英高等学校</t>
  </si>
  <si>
    <t>0835-38-5252</t>
  </si>
  <si>
    <t>通信制課程は0835-38-6161（第三者サイト）</t>
  </si>
  <si>
    <t>https://seiei.ac.jp/</t>
  </si>
  <si>
    <t>山口市</t>
  </si>
  <si>
    <t>精華学園高等学校</t>
  </si>
  <si>
    <t>083-976-8833</t>
  </si>
  <si>
    <t>広域通信制・山口本校</t>
  </si>
  <si>
    <t>https://www.seikagakuen.ac.jp/archives/691</t>
  </si>
  <si>
    <t>光市</t>
  </si>
  <si>
    <t>聖光高等学校</t>
  </si>
  <si>
    <t>0833-72-1187</t>
  </si>
  <si>
    <t>通信制は0833-72-7070（第三者サイト）</t>
  </si>
  <si>
    <t>https://www.seiko-h.ed.jp/</t>
  </si>
  <si>
    <t>美祢市</t>
  </si>
  <si>
    <t>成進高等学校</t>
  </si>
  <si>
    <t>0837-52-1350</t>
  </si>
  <si>
    <t>https://www.mine-c.ed.jp/profile</t>
  </si>
  <si>
    <t>高川学園高等学校</t>
  </si>
  <si>
    <t>0835-33-0101</t>
  </si>
  <si>
    <t>https://takagawagakuen.com/high/</t>
  </si>
  <si>
    <t>岩国市</t>
  </si>
  <si>
    <t>高水高等学校</t>
  </si>
  <si>
    <t>0827-31-7191</t>
  </si>
  <si>
    <t>https://www.takamizu.ed.jp/</t>
  </si>
  <si>
    <t>中村女子高等学校</t>
  </si>
  <si>
    <t>083-922-0418</t>
  </si>
  <si>
    <t>現校名は山口中村学園高等学校（2025年度から共学化）。専攻科は083-928-1331</t>
  </si>
  <si>
    <t>https://www.y-nakamura.jp/</t>
  </si>
  <si>
    <t>長門市</t>
  </si>
  <si>
    <t>長門高等学校</t>
  </si>
  <si>
    <t>0837-22-2944</t>
  </si>
  <si>
    <t>https://nagato.ac.jp/</t>
  </si>
  <si>
    <t>野田学園高等学校</t>
  </si>
  <si>
    <t>083-922-5000</t>
  </si>
  <si>
    <t>https://www.nodagakuen.ed.jp/</t>
  </si>
  <si>
    <t>萩市</t>
  </si>
  <si>
    <t>萩光塩学院高等学校</t>
  </si>
  <si>
    <t>0838-22-0782</t>
  </si>
  <si>
    <t>小中高共通の代表番号（法人サイトでも一致）</t>
  </si>
  <si>
    <t>https://www.yamaguchi-shigaku.or.jp/tyukou/pdf/2025/20_hagikouen2025.pdf</t>
  </si>
  <si>
    <t>早鞆高等学校</t>
  </si>
  <si>
    <t>083-231-0080</t>
  </si>
  <si>
    <t>https://www.hayatomo.ac.jp/course/</t>
  </si>
  <si>
    <t>梅光学院高等学校</t>
  </si>
  <si>
    <t>083-227-1200</t>
  </si>
  <si>
    <t>法人本部は083-227-1000</t>
  </si>
  <si>
    <t>https://www.baiko.ac.jp/highschool/</t>
  </si>
  <si>
    <t>柳井市</t>
  </si>
  <si>
    <t>柳井学園高等学校</t>
  </si>
  <si>
    <t>0820-22-0214</t>
  </si>
  <si>
    <t>https://yanai-g.ed.jp/contact/</t>
  </si>
  <si>
    <t>山口県鴻城高等学校</t>
  </si>
  <si>
    <t>083-972-0307</t>
  </si>
  <si>
    <t>衛生看護専攻科（宇部市）は別番号</t>
  </si>
  <si>
    <t>https://www.y-kojohs.jp/access/</t>
  </si>
  <si>
    <t>周南市</t>
  </si>
  <si>
    <t>山口県桜ケ丘高等学校</t>
  </si>
  <si>
    <t>0834-21-0331</t>
  </si>
  <si>
    <t>晃英館コースは0834-33-3131</t>
  </si>
  <si>
    <t>https://www.y-sakuragaoka.ed.jp/contact.html</t>
  </si>
  <si>
    <t>徳島県</t>
  </si>
  <si>
    <t>徳島市</t>
  </si>
  <si>
    <t>香蘭高等学校</t>
  </si>
  <si>
    <t>088-652-5044</t>
  </si>
  <si>
    <t>徳島県私立学校一覧でも一致</t>
  </si>
  <si>
    <t>https://kouran-kou.jp/nyusi.html</t>
  </si>
  <si>
    <t>生光学園高等学校</t>
  </si>
  <si>
    <t>088-641-1032</t>
  </si>
  <si>
    <t>http://www.seikogakuen.ac.jp/guide.html</t>
  </si>
  <si>
    <t>徳島文理高等学校</t>
  </si>
  <si>
    <t>088-626-1225</t>
  </si>
  <si>
    <t>https://www.bunri.ed.jp/access/</t>
  </si>
  <si>
    <t>香川県</t>
  </si>
  <si>
    <t>高松市</t>
  </si>
  <si>
    <t>英明高等学校</t>
  </si>
  <si>
    <t>087-833-3737</t>
  </si>
  <si>
    <t>公式未確認。香川県私立中高連合会・複数サイトで一致。通信制課程も同じ番号</t>
  </si>
  <si>
    <t>https://www.kagawa-shigaku.jp/eimei</t>
  </si>
  <si>
    <t>大手前高松高等学校</t>
  </si>
  <si>
    <t>087-867-5970</t>
  </si>
  <si>
    <t>https://www.otemae.net/contact/</t>
  </si>
  <si>
    <t>丸亀市</t>
  </si>
  <si>
    <t>大手前丸亀高等学校</t>
  </si>
  <si>
    <t>0877-23-3161</t>
  </si>
  <si>
    <t>https://www.otemae.ed.jp/contact_form/otoiawase.html</t>
  </si>
  <si>
    <t>香川県藤井高等学校</t>
  </si>
  <si>
    <t>0877-22-2328</t>
  </si>
  <si>
    <t>2026年度から「蓬莱高等学校」に校名変更（法人も蓬莱学園に改称）</t>
  </si>
  <si>
    <t>https://www.fujii.ed.jp/fujii/</t>
  </si>
  <si>
    <t>香川誠陵高等学校</t>
  </si>
  <si>
    <t>087-881-7800</t>
  </si>
  <si>
    <t>https://k-seiryo.ed.jp/</t>
  </si>
  <si>
    <t>坂出市</t>
  </si>
  <si>
    <t>坂出第一高等学校</t>
  </si>
  <si>
    <t>0877-46-2157</t>
  </si>
  <si>
    <t>https://www.sakaide1-h.ed.jp/</t>
  </si>
  <si>
    <t>三豊市</t>
  </si>
  <si>
    <t>四国学院大学香川西高等学校</t>
  </si>
  <si>
    <t>0875-72-5193</t>
  </si>
  <si>
    <t>三豊市HPとも一致</t>
  </si>
  <si>
    <t>https://www.kagawanishikou.com/contact</t>
  </si>
  <si>
    <t>善通寺市</t>
  </si>
  <si>
    <t>尽誠学園高等学校</t>
  </si>
  <si>
    <t>0877-62-1515</t>
  </si>
  <si>
    <t>県私立中高連合会とも一致。法人本部は0877-63-1717</t>
  </si>
  <si>
    <t>https://sites.google.com/jinsei.ac.jp/jinseiopenschool2020</t>
  </si>
  <si>
    <t>高松中央高等学校</t>
  </si>
  <si>
    <t>087-831-1291</t>
  </si>
  <si>
    <t>全日制の番号。通信制課程は087-812-5285</t>
  </si>
  <si>
    <t>https://www.ta-chuo.ed.jp/contact/</t>
  </si>
  <si>
    <t>さぬき市</t>
  </si>
  <si>
    <t>藤井学園寒川高等学校</t>
  </si>
  <si>
    <t>0879-43-2571</t>
  </si>
  <si>
    <t>法人名は2026年に蓬莱学園へ改称</t>
  </si>
  <si>
    <t>https://www.sangawa.ed.jp/wp/contact/</t>
  </si>
  <si>
    <t>愛媛県</t>
  </si>
  <si>
    <t>松山市</t>
  </si>
  <si>
    <t>愛光高等学校</t>
  </si>
  <si>
    <t>089-922-8980</t>
  </si>
  <si>
    <t>https://www.aiko.ed.jp/outline/shisetu.html</t>
  </si>
  <si>
    <t>今治市</t>
  </si>
  <si>
    <t>今治精華高等学校</t>
  </si>
  <si>
    <t>0898-32-7100</t>
  </si>
  <si>
    <t>一部サイトに0898-32-7260の記載あり（旧情報の可能性）</t>
  </si>
  <si>
    <t>https://highschool.imabariseika.ac.jp/summary/about/</t>
  </si>
  <si>
    <t>FC今治高等学校 里山校</t>
  </si>
  <si>
    <t>0898-22-1230</t>
  </si>
  <si>
    <t>公式未確認。複数サイト・公式Facebookで一致。2024年に今治明徳高校矢田分校から改称</t>
  </si>
  <si>
    <t>https://www.gakkou.net/kou/view/index_306788.html</t>
  </si>
  <si>
    <t>FC今治高等学校 明徳校</t>
  </si>
  <si>
    <t>0898-22-6767</t>
  </si>
  <si>
    <t>旧・今治明徳高校本校（2024年改称）</t>
  </si>
  <si>
    <t>https://www.meitokuhonko.com/</t>
  </si>
  <si>
    <t>済美高等学校（愛媛県）</t>
  </si>
  <si>
    <t>089-943-4185</t>
  </si>
  <si>
    <t>電話受付は平日7:30-16:55、土曜7:30-13:00</t>
  </si>
  <si>
    <t>https://www.saibi.ac.jp/</t>
  </si>
  <si>
    <t>聖カタリナ学園高等学校</t>
  </si>
  <si>
    <t>089-933-3291</t>
  </si>
  <si>
    <t>普通科・専門学科・総合学科</t>
  </si>
  <si>
    <t>https://catalina.ed.jp/about/outline/</t>
  </si>
  <si>
    <t>大洲市</t>
  </si>
  <si>
    <t>帝京第五高等学校</t>
  </si>
  <si>
    <t>0893-25-0511</t>
  </si>
  <si>
    <t>代表番号。職員室0893-25-0566、通信制0893-57-6850</t>
  </si>
  <si>
    <t>https://teikyo5-h.ed.jp/</t>
  </si>
  <si>
    <t>新田高等学校</t>
  </si>
  <si>
    <t>089-951-0188</t>
  </si>
  <si>
    <t>https://www.nitta.ac.jp/information/about/</t>
  </si>
  <si>
    <t>日本ウェルネス高等学校</t>
  </si>
  <si>
    <t>0897-74-1356</t>
  </si>
  <si>
    <t>通信制・今治本校（大三島町）。総合案内は東京03-3938-7500</t>
  </si>
  <si>
    <t>https://www.taiken.ac.jp/gakuin/school/index.html</t>
  </si>
  <si>
    <t>松山学院高等学校</t>
  </si>
  <si>
    <t>089-976-4343</t>
  </si>
  <si>
    <t>https://mg-h.ed.jp/form/contact/</t>
  </si>
  <si>
    <t>松山東雲高等学校</t>
  </si>
  <si>
    <t>089-941-4136</t>
  </si>
  <si>
    <t>中高の番号。学園代表は089-931-6211</t>
  </si>
  <si>
    <t>https://www.shinonome.ac.jp/overview/contact/</t>
  </si>
  <si>
    <t>松山聖陵高等学校</t>
  </si>
  <si>
    <t>089-924-8783</t>
  </si>
  <si>
    <t>事務室の電話対応は8:00-16:30</t>
  </si>
  <si>
    <t>https://matsuyamaseiryo-h.ed.jp/guidance/about/</t>
  </si>
  <si>
    <t>未来高等学校</t>
  </si>
  <si>
    <t>089-947-4447</t>
  </si>
  <si>
    <t>通信制・松山本校。フリーダイヤル0120-89-4447</t>
  </si>
  <si>
    <t>https://mirai-hs.kawahara.ac.jp/</t>
  </si>
  <si>
    <t>新居浜市</t>
  </si>
  <si>
    <t>未来高等学校 新居浜分校</t>
  </si>
  <si>
    <t>0897-34-9555</t>
  </si>
  <si>
    <t>通信制・新居浜校</t>
  </si>
  <si>
    <t>https://mirai-hs.kawahara.ac.jp/center/</t>
  </si>
  <si>
    <t>高知県</t>
  </si>
  <si>
    <t>高知市</t>
  </si>
  <si>
    <t>高知学芸高等学校</t>
  </si>
  <si>
    <t>088-844-1831</t>
  </si>
  <si>
    <t>中高一体。公式の入試案内ページ（渉外部）に掲載、私学連合会とも一致</t>
  </si>
  <si>
    <t>https://www.kochi-gakugei.ed.jp/page.html?id=45</t>
  </si>
  <si>
    <t>高知高等学校</t>
  </si>
  <si>
    <t>088-840-1111</t>
  </si>
  <si>
    <t>高知中学高等学校（高知学園）</t>
  </si>
  <si>
    <t>https://www.kochigakuen.jp/access.html</t>
  </si>
  <si>
    <t>高知中央高等学校</t>
  </si>
  <si>
    <t>088-866-3166</t>
  </si>
  <si>
    <t>https://www.kochi-chuo.ed.jp/</t>
  </si>
  <si>
    <t>南国市</t>
  </si>
  <si>
    <t>清和女子高等学校</t>
  </si>
  <si>
    <t>088-863-1200</t>
  </si>
  <si>
    <t>清和女子中高等学校</t>
  </si>
  <si>
    <t>https://seiwa-girl.ed.jp/</t>
  </si>
  <si>
    <t>太平洋学園高等学校</t>
  </si>
  <si>
    <t>088-822-3584</t>
  </si>
  <si>
    <t>通信制・定時制あり。088-822-3585も掲載（FAX兼用の可能性）</t>
  </si>
  <si>
    <t>https://www.taiheiyo.ed.jp/</t>
  </si>
  <si>
    <t>土佐高等学校</t>
  </si>
  <si>
    <t>088-833-4394</t>
  </si>
  <si>
    <t>https://www.tosa.ed.jp/</t>
  </si>
  <si>
    <t>土佐塾高等学校</t>
  </si>
  <si>
    <t>088-831-1717</t>
  </si>
  <si>
    <t>https://www.tosajuku.ed.jp/contact.html</t>
  </si>
  <si>
    <t>土佐女子高等学校</t>
  </si>
  <si>
    <t>088-875-3111</t>
  </si>
  <si>
    <t>088-873-1670は寄宿舎の番号</t>
  </si>
  <si>
    <t>https://www.tosajoshi-jh.ed.jp/</t>
  </si>
  <si>
    <t>須崎市</t>
  </si>
  <si>
    <t>明徳義塾高等学校</t>
  </si>
  <si>
    <t>088-856-1211</t>
  </si>
  <si>
    <t>本校（堂ノ浦キャンパス）。須崎市公式ページとも一致</t>
  </si>
  <si>
    <t>https://www.meitoku-gijuku.ed.jp/senior_c2.php</t>
  </si>
  <si>
    <t>福岡県</t>
  </si>
  <si>
    <t>飯塚市</t>
  </si>
  <si>
    <t>飯塚高等学校</t>
  </si>
  <si>
    <t>0948-22-6571</t>
  </si>
  <si>
    <t>https://iizuka.ed.jp/contact/</t>
  </si>
  <si>
    <t>大牟田市</t>
  </si>
  <si>
    <t>大牟田高等学校</t>
  </si>
  <si>
    <t>0944-53-5011</t>
  </si>
  <si>
    <t>併設の大牟田中は0944-53-5335</t>
  </si>
  <si>
    <t>https://www.ohmuta.ac.jp/hs</t>
  </si>
  <si>
    <t>福岡市博多区</t>
  </si>
  <si>
    <t>沖学園高等学校</t>
  </si>
  <si>
    <t>092-431-1868</t>
  </si>
  <si>
    <t>https://oki.ed.jp/about/access.html</t>
  </si>
  <si>
    <t>北九州市八幡西区</t>
  </si>
  <si>
    <t>折尾愛真高等学校</t>
  </si>
  <si>
    <t>093-602-2100</t>
  </si>
  <si>
    <t>https://www.orioaishin.ac.jp/hs/access</t>
  </si>
  <si>
    <t>中間市</t>
  </si>
  <si>
    <t>希望が丘高等学校</t>
  </si>
  <si>
    <t>093-245-0481</t>
  </si>
  <si>
    <t>http://www.kibou.ed.jp/</t>
  </si>
  <si>
    <t>北九州市八幡東区</t>
  </si>
  <si>
    <t>九州国際大学付属高等学校</t>
  </si>
  <si>
    <t>093-671-8443</t>
  </si>
  <si>
    <t>第三者サイトに0120-411-945の記載あり（未確認）</t>
  </si>
  <si>
    <t>https://www.959h.kif.ed.jp/</t>
  </si>
  <si>
    <t>福岡市東区</t>
  </si>
  <si>
    <t>九州産業大学付属九州高等学校</t>
  </si>
  <si>
    <t>092-681-0461</t>
  </si>
  <si>
    <t>https://www.kyushu-h.jp/</t>
  </si>
  <si>
    <t>筑紫野市</t>
  </si>
  <si>
    <t>九州産業大学付属九州産業高等学校</t>
  </si>
  <si>
    <t>092-923-3030</t>
  </si>
  <si>
    <t>事務室092-923-3031の記載あり</t>
  </si>
  <si>
    <t>https://www.kyusanfukyusan-h.ed.jp/contact/</t>
  </si>
  <si>
    <t>近畿大学附属福岡高等学校</t>
  </si>
  <si>
    <t>0948-22-2597</t>
  </si>
  <si>
    <t>全日制の番号。通信制は0948-22-5655</t>
  </si>
  <si>
    <t>https://www.fhs.kindai.ac.jp/contact/</t>
  </si>
  <si>
    <t>仰星学園高等学校</t>
  </si>
  <si>
    <t>093-663-6037</t>
  </si>
  <si>
    <t>入試広報は093-661-8001</t>
  </si>
  <si>
    <t>https://www.gyoseigakuen.ne.jp/contact.html</t>
  </si>
  <si>
    <t>久留米市</t>
  </si>
  <si>
    <t>久留米学園高等学校</t>
  </si>
  <si>
    <t>0942-34-4535</t>
  </si>
  <si>
    <t>https://gakuen.ac.jp/contact/</t>
  </si>
  <si>
    <t>久留米信愛高等学校</t>
  </si>
  <si>
    <t>0942-43-4533</t>
  </si>
  <si>
    <t>中高（全日制）の番号。学院代表0942-43-4531、通信制0942-43-4532</t>
  </si>
  <si>
    <t>https://www.kurume-shinai.ac.jp/contact/</t>
  </si>
  <si>
    <t>久留米大学附設高等学校</t>
  </si>
  <si>
    <t>0942-44-2222</t>
  </si>
  <si>
    <t>中高共通の事務室代表</t>
  </si>
  <si>
    <t>https://fusetsu.kurume-u.ac.jp/contact/</t>
  </si>
  <si>
    <t>北九州市門司区</t>
  </si>
  <si>
    <t>敬愛高等学校</t>
  </si>
  <si>
    <t>093-381-3537</t>
  </si>
  <si>
    <t>https://www.keiai.net/high/</t>
  </si>
  <si>
    <t>北九州市小倉北区</t>
  </si>
  <si>
    <t>慶成高等学校</t>
  </si>
  <si>
    <t>093-561-1331</t>
  </si>
  <si>
    <t>https://keisei-h.jp/inquiry/</t>
  </si>
  <si>
    <t>北九州市若松区</t>
  </si>
  <si>
    <t>高稜高等学校</t>
  </si>
  <si>
    <t>093-791-3911</t>
  </si>
  <si>
    <t>http://www.kouryou.ed.jp/</t>
  </si>
  <si>
    <t>真颯館高等学校</t>
  </si>
  <si>
    <t>093-561-1231</t>
  </si>
  <si>
    <t>http://www.shinsokan-h.ed.jp/contact/</t>
  </si>
  <si>
    <t>福岡市南区</t>
  </si>
  <si>
    <t>純真高等学校</t>
  </si>
  <si>
    <t>092-541-9710</t>
  </si>
  <si>
    <t>法人は092-541-1511</t>
  </si>
  <si>
    <t>https://junshin-hs.ed.jp/contact</t>
  </si>
  <si>
    <t>自由ケ丘高等学校</t>
  </si>
  <si>
    <t>093-693-3090</t>
  </si>
  <si>
    <t>事務室093-693-3030の記載あり</t>
  </si>
  <si>
    <t>https://www.jiyugaoka-hs.ed.jp/</t>
  </si>
  <si>
    <t>福岡市中央区</t>
  </si>
  <si>
    <t>上智福岡高等学校</t>
  </si>
  <si>
    <t>092-712-7181</t>
  </si>
  <si>
    <t>https://www.sophia-fukuoka.ed.jp/contact_info/</t>
  </si>
  <si>
    <t>精華女子高等学校</t>
  </si>
  <si>
    <t>092-431-1434</t>
  </si>
  <si>
    <t>https://www.seika-ghs.ed.jp/</t>
  </si>
  <si>
    <t>誠修高等学校</t>
  </si>
  <si>
    <t>0944-55-2344</t>
  </si>
  <si>
    <t>http://seishu.ed.jp/school/access/</t>
  </si>
  <si>
    <t>福岡市早良区</t>
  </si>
  <si>
    <t>西南学院高等学校</t>
  </si>
  <si>
    <t>092-841-1317</t>
  </si>
  <si>
    <t>https://hs.seinan.ed.jp/access/</t>
  </si>
  <si>
    <t>西南女学院高等学校</t>
  </si>
  <si>
    <t>093-583-5800</t>
  </si>
  <si>
    <t>中高共通番号。gakkou.netは093-583-5848と記載</t>
  </si>
  <si>
    <t>https://www.seinan-jo.ac.jp/houjin/</t>
  </si>
  <si>
    <t>星琳高等学校</t>
  </si>
  <si>
    <t>093-631-5350</t>
  </si>
  <si>
    <t>https://www.seirin.ac.jp/</t>
  </si>
  <si>
    <t>第一薬科大学付属高等学校</t>
  </si>
  <si>
    <t>092-541-0167</t>
  </si>
  <si>
    <t>公式未確認、複数サイトで一致。通信制福岡キャンパスは092-562-4749</t>
  </si>
  <si>
    <t>https://www.mapion.co.jp/phonebook/M11004/40134/ILSP0000041841_ipclm/</t>
  </si>
  <si>
    <t>立花高等学校</t>
  </si>
  <si>
    <t>092-606-2792</t>
  </si>
  <si>
    <t>https://www.tachibanahs.net/blank-18</t>
  </si>
  <si>
    <t>筑紫女学園高等学校</t>
  </si>
  <si>
    <t>092-771-3066</t>
  </si>
  <si>
    <t>https://chikujo.ed.jp/schoolinfo/access/</t>
  </si>
  <si>
    <t>太宰府市</t>
  </si>
  <si>
    <t>筑紫台高等学校</t>
  </si>
  <si>
    <t>092-923-0010</t>
  </si>
  <si>
    <t>https://chikushidai.ed.jp/schoollife/access</t>
  </si>
  <si>
    <t>筑陽学園高等学校</t>
  </si>
  <si>
    <t>092-922-7361</t>
  </si>
  <si>
    <t>http://www.chikuyogakuen.ed.jp/accessmap.html</t>
  </si>
  <si>
    <t>宗像市</t>
  </si>
  <si>
    <t>東海大学付属福岡高等学校</t>
  </si>
  <si>
    <t>0940-32-3311</t>
  </si>
  <si>
    <t>https://www.fukuoka.tokai.ed.jp/contact/</t>
  </si>
  <si>
    <t>北九州市小倉南区</t>
  </si>
  <si>
    <t>常磐高等学校（福岡県）</t>
  </si>
  <si>
    <t>093-961-2334</t>
  </si>
  <si>
    <t>https://www.tokiwa-hs.ed.jp/</t>
  </si>
  <si>
    <t>福岡市城南区</t>
  </si>
  <si>
    <t>中村学園高等学校</t>
  </si>
  <si>
    <t>092-831-0981</t>
  </si>
  <si>
    <t>旧・中村学園女子。2026年4月に共学化・改称</t>
  </si>
  <si>
    <t>https://www.nakamura-njh.ed.jp/access/</t>
  </si>
  <si>
    <t>福岡市西区</t>
  </si>
  <si>
    <t>中村学園三陽高等学校</t>
  </si>
  <si>
    <t>092-882-6611</t>
  </si>
  <si>
    <t>【募集停止】2026年度から生徒募集停止、2028年3月末閉校予定</t>
  </si>
  <si>
    <t>https://www.nakamura-sanyo.ed.jp/</t>
  </si>
  <si>
    <t>八女市</t>
  </si>
  <si>
    <t>西日本短期大学附属高等学校</t>
  </si>
  <si>
    <t>0943-23-5662</t>
  </si>
  <si>
    <t>立志館（特進）は0943-23-5913</t>
  </si>
  <si>
    <t>https://www.nishitan.ed.jp/contact/</t>
  </si>
  <si>
    <t>博多高等学校</t>
  </si>
  <si>
    <t>092-681-0331</t>
  </si>
  <si>
    <t>http://www2.hakata.ed.jp/highschool/</t>
  </si>
  <si>
    <t>博多女子高等学校</t>
  </si>
  <si>
    <t>092-651-1465</t>
  </si>
  <si>
    <t>https://www.ghakata.ac.jp/sh/</t>
  </si>
  <si>
    <t>東筑紫学園高等学校</t>
  </si>
  <si>
    <t>093-571-0488</t>
  </si>
  <si>
    <t>https://www.hcg.ed.jp/inquiry/</t>
  </si>
  <si>
    <t>東福岡高等学校</t>
  </si>
  <si>
    <t>092-411-3702</t>
  </si>
  <si>
    <t>2025年度から男女共学</t>
  </si>
  <si>
    <t>https://www.higashifukuoka.ed.jp/higashifukuoka-info/hscontact</t>
  </si>
  <si>
    <t>福岡海星女子学院高等学校</t>
  </si>
  <si>
    <t>092-565-4950</t>
  </si>
  <si>
    <t>https://www.f-kaisei.ed.jp/access.html</t>
  </si>
  <si>
    <t>柳川市</t>
  </si>
  <si>
    <t>福岡キャリア i 高等学校</t>
  </si>
  <si>
    <t>0944-72-5216</t>
  </si>
  <si>
    <t>2026年4月に杉森高等学校から校名変更（番号は同じ）</t>
  </si>
  <si>
    <t>https://fci-hs.ed.jp/school.php</t>
  </si>
  <si>
    <t>福岡工業大学附属城東高等学校</t>
  </si>
  <si>
    <t>092-606-0724</t>
  </si>
  <si>
    <t>事務室番号。職員室は092-606-0797</t>
  </si>
  <si>
    <t>https://jyoto.fit.jp/zaikousei/</t>
  </si>
  <si>
    <t>福岡常葉高等学校</t>
  </si>
  <si>
    <t>092-926-0731</t>
  </si>
  <si>
    <t>https://ssl.f-joyo.ed.jp/</t>
  </si>
  <si>
    <t>福岡女学院高等学校</t>
  </si>
  <si>
    <t>092-575-2470</t>
  </si>
  <si>
    <t>中高事務室番号。法人本部代表は092-581-1492</t>
  </si>
  <si>
    <t>http://www2.fukujo.ac.jp/js_new/access/</t>
  </si>
  <si>
    <t>那珂川市</t>
  </si>
  <si>
    <t>福岡女子商業高等学校</t>
  </si>
  <si>
    <t>092-952-2231</t>
  </si>
  <si>
    <t>https://yashima.ac.jp/fgchs/?page_id=4804</t>
  </si>
  <si>
    <t>福岡第一高等学校</t>
  </si>
  <si>
    <t>092-541-0165</t>
  </si>
  <si>
    <t>非通知発信はつながらない設定</t>
  </si>
  <si>
    <t>https://f.f-parama.ed.jp/</t>
  </si>
  <si>
    <t>福岡大学附属大濠高等学校</t>
  </si>
  <si>
    <t>092-771-0731</t>
  </si>
  <si>
    <t>高校の番号。中学は092-712-5828</t>
  </si>
  <si>
    <t>https://www.ohori.ed.jp/office/</t>
  </si>
  <si>
    <t>福岡大学附属若葉高等学校</t>
  </si>
  <si>
    <t>092-771-1981</t>
  </si>
  <si>
    <t>事務室番号</t>
  </si>
  <si>
    <t>https://www.f-wakaba.ed.jp/school/information.html</t>
  </si>
  <si>
    <t>福岡雙葉高等学校</t>
  </si>
  <si>
    <t>092-531-0438</t>
  </si>
  <si>
    <t>https://www.fukuokafutaba.ed.jp/highschool/about/access.html</t>
  </si>
  <si>
    <t>福岡舞鶴高等学校</t>
  </si>
  <si>
    <t>092-806-3334</t>
  </si>
  <si>
    <t>http://fmaizuru.ed.jp/</t>
  </si>
  <si>
    <t>田川市</t>
  </si>
  <si>
    <t>福智高等学校</t>
  </si>
  <si>
    <t>0947-42-4711</t>
  </si>
  <si>
    <t>https://www.fukuchi-h.ed.jp/</t>
  </si>
  <si>
    <t>豊国学園高等学校</t>
  </si>
  <si>
    <t>093-371-3037</t>
  </si>
  <si>
    <t>https://www.houkoku.ac.jp/</t>
  </si>
  <si>
    <t>美萩野女子高等学校</t>
  </si>
  <si>
    <t>093-921-1331</t>
  </si>
  <si>
    <t>https://mihagino.ac.jp/about/access/</t>
  </si>
  <si>
    <t>明光学園高等学校</t>
  </si>
  <si>
    <t>0944-58-0907</t>
  </si>
  <si>
    <t>https://welcome.meiko.ed.jp/</t>
  </si>
  <si>
    <t>北九州市戸畑区</t>
  </si>
  <si>
    <t>明治学園高等学校</t>
  </si>
  <si>
    <t>093-881-2861</t>
  </si>
  <si>
    <t>https://meijigakuen.ed.jp/jsh/</t>
  </si>
  <si>
    <t>川崎町</t>
  </si>
  <si>
    <t>明蓬館高等学校</t>
  </si>
  <si>
    <t>0947-49-5111</t>
  </si>
  <si>
    <t>通信制・川崎町の本校。入学相談はフリーダイヤル別途</t>
  </si>
  <si>
    <t>https://at-mhk.com/center/ataka/</t>
  </si>
  <si>
    <t>柳川高等学校</t>
  </si>
  <si>
    <t>0944-73-3333</t>
  </si>
  <si>
    <t>https://yanagawa.ed.jp/</t>
  </si>
  <si>
    <t>直方市</t>
  </si>
  <si>
    <t>大和青藍高等学校</t>
  </si>
  <si>
    <t>0949-22-0533</t>
  </si>
  <si>
    <t>http://www.yamato-gakuen.ac.jp/about/access.html</t>
  </si>
  <si>
    <t>八女学院高等学校</t>
  </si>
  <si>
    <t>0943-23-5111</t>
  </si>
  <si>
    <t>https://www.yamegakuin.ac.jp/</t>
  </si>
  <si>
    <t>祐誠高等学校</t>
  </si>
  <si>
    <t>0942-22-1238</t>
  </si>
  <si>
    <t>https://yusei.ed.jp/information/outline/</t>
  </si>
  <si>
    <t>佐賀県</t>
  </si>
  <si>
    <t>伊万里市</t>
  </si>
  <si>
    <t>敬徳高等学校</t>
  </si>
  <si>
    <t>0955-22-6191</t>
  </si>
  <si>
    <t>全日制直通。通信制は0955-29-8571</t>
  </si>
  <si>
    <t>https://keitoku.ed.jp/</t>
  </si>
  <si>
    <t>佐賀市</t>
  </si>
  <si>
    <t>弘学館高等学校</t>
  </si>
  <si>
    <t>0952-98-2161</t>
  </si>
  <si>
    <t>中高共通。学寮は0952-98-2162</t>
  </si>
  <si>
    <t>https://www.kogakukan.ac.jp/access/</t>
  </si>
  <si>
    <t>佐賀学園高等学校</t>
  </si>
  <si>
    <t>0952-30-4281</t>
  </si>
  <si>
    <t>成穎中学校と併設</t>
  </si>
  <si>
    <t>https://www.sagagakuen.ed.jp/</t>
  </si>
  <si>
    <t>佐賀女子短期大学付属佐賀女子高等学校</t>
  </si>
  <si>
    <t>0952-24-5341</t>
  </si>
  <si>
    <t>衛生看護科は別所在地（本庄町）</t>
  </si>
  <si>
    <t>https://www.asahigakuen.ac.jp/sagajoshikou/</t>
  </si>
  <si>
    <t>佐賀清和高等学校</t>
  </si>
  <si>
    <t>0952-37-5400</t>
  </si>
  <si>
    <t>https://sagaseiwa.com/</t>
  </si>
  <si>
    <t>基山町</t>
  </si>
  <si>
    <t>東明館高等学校</t>
  </si>
  <si>
    <t>0942-92-5775</t>
  </si>
  <si>
    <t>https://inner.tomeikan.ed.jp/about-school/inquiry/</t>
  </si>
  <si>
    <t>北陵高等学校</t>
  </si>
  <si>
    <t>0952-30-8676</t>
  </si>
  <si>
    <t>法人本部は0952-30-5422</t>
  </si>
  <si>
    <t>https://hokuryo.ac.jp/</t>
  </si>
  <si>
    <t>龍谷高等学校</t>
  </si>
  <si>
    <t>0952-24-2244</t>
  </si>
  <si>
    <t>https://www.sagaryukoku.ed.jp/hsc/</t>
  </si>
  <si>
    <t>唐津市</t>
  </si>
  <si>
    <t>早稲田佐賀高等学校</t>
  </si>
  <si>
    <t>0955-58-9000</t>
  </si>
  <si>
    <t>中高共通。唐津市HPとも一致</t>
  </si>
  <si>
    <t>https://www.wasedasaga.jp/</t>
  </si>
  <si>
    <t>長崎県</t>
  </si>
  <si>
    <t>長崎市</t>
  </si>
  <si>
    <t>海星高等学校（長崎県）</t>
  </si>
  <si>
    <t>095-826-7321</t>
  </si>
  <si>
    <t>ステラマリス直通095-821-0705は別番号</t>
  </si>
  <si>
    <t>https://kaisei-ngs.ed.jp/gakuen-shokai/kotsu-access/</t>
  </si>
  <si>
    <t>活水高等学校</t>
  </si>
  <si>
    <t>095-861-5176</t>
  </si>
  <si>
    <t>https://www.kwassui.ac.jp/chuko/hs/hs-news.html</t>
  </si>
  <si>
    <t>佐世保市</t>
  </si>
  <si>
    <t>九州文化学園高等学校</t>
  </si>
  <si>
    <t>0956-26-2323</t>
  </si>
  <si>
    <t>事務室番号。職員室0956-26-2325</t>
  </si>
  <si>
    <t>https://high-school.kyubun.ed.jp/about/access/</t>
  </si>
  <si>
    <t>瓊浦高等学校</t>
  </si>
  <si>
    <t>095-826-1261</t>
  </si>
  <si>
    <t>https://www.gakkou.net/kou/view/index_305777.html</t>
  </si>
  <si>
    <t>大村市</t>
  </si>
  <si>
    <t>向陽高等学校</t>
  </si>
  <si>
    <t>0957-53-1110</t>
  </si>
  <si>
    <t>大村市サイトとも一致。職員室0957-53-9767</t>
  </si>
  <si>
    <t>http://www.koyogakuen.ed.jp/high_school/</t>
  </si>
  <si>
    <t>西海学園高等学校</t>
  </si>
  <si>
    <t>0956-23-6161</t>
  </si>
  <si>
    <t>https://saikaigakuen.ed.jp/</t>
  </si>
  <si>
    <t>佐世保実業高等学校</t>
  </si>
  <si>
    <t>0956-48-8881</t>
  </si>
  <si>
    <t>代表番号。教務室0956-48-8883</t>
  </si>
  <si>
    <t>https://sajitsu.ed.jp/contact/</t>
  </si>
  <si>
    <t>佐世保女子高等学校</t>
  </si>
  <si>
    <t>0956-22-4349</t>
  </si>
  <si>
    <t>正式名は久田学園佐世保女子高等学校。公式未確認、複数資料で一致</t>
  </si>
  <si>
    <t>https://www.mapion.co.jp/phonebook/M11004/42202/ILSP0000041755_ipclm/</t>
  </si>
  <si>
    <t>島原市</t>
  </si>
  <si>
    <t>島原中央高等学校</t>
  </si>
  <si>
    <t>0957-62-2435</t>
  </si>
  <si>
    <t>https://shimabara-chuo.ac.jp/</t>
  </si>
  <si>
    <t>純心女子高等学校</t>
  </si>
  <si>
    <t>095-844-1175</t>
  </si>
  <si>
    <t>https://www.n-junshin.ed.jp/access/</t>
  </si>
  <si>
    <t>時津町</t>
  </si>
  <si>
    <t>青雲高等学校</t>
  </si>
  <si>
    <t>095-882-0678</t>
  </si>
  <si>
    <t>https://seiun-jh.ed.jp/</t>
  </si>
  <si>
    <t>精道三川台高等学校</t>
  </si>
  <si>
    <t>095-845-6161</t>
  </si>
  <si>
    <t>中高一貫。FAXは095-845-6166</t>
  </si>
  <si>
    <t>https://seido-gakuen.net/secondary/about-school/</t>
  </si>
  <si>
    <t>聖母の騎士高等学校</t>
  </si>
  <si>
    <t>095-823-4523</t>
  </si>
  <si>
    <t>https://www.seibonokishi.ed.jp/</t>
  </si>
  <si>
    <t>聖和女子学院高等学校</t>
  </si>
  <si>
    <t>0956-22-7380</t>
  </si>
  <si>
    <t>事務室番号。教務室は0956-23-9643</t>
  </si>
  <si>
    <t>https://www.seiwajoshi.ed.jp/inquiry/</t>
  </si>
  <si>
    <t>諫早市</t>
  </si>
  <si>
    <t>創成館高等学校</t>
  </si>
  <si>
    <t>0957-25-1225</t>
  </si>
  <si>
    <t>諫早市の施設情報とも一致</t>
  </si>
  <si>
    <t>https://www.sohseikan.ac.jp/entrance/admission/</t>
  </si>
  <si>
    <t>鎮西学院高等学校</t>
  </si>
  <si>
    <t>0957-25-1234</t>
  </si>
  <si>
    <t>https://www.chinzeigakuin.ed.jp/</t>
  </si>
  <si>
    <t>長崎玉成高等学校</t>
  </si>
  <si>
    <t>095-826-6321</t>
  </si>
  <si>
    <t>一部サイトの095-826-6322は誤記とみられる</t>
  </si>
  <si>
    <t>https://tamaki.ac.jp/koukou/</t>
  </si>
  <si>
    <t>長崎女子高等学校</t>
  </si>
  <si>
    <t>095-826-4321</t>
  </si>
  <si>
    <t>2026年4月に「鶴鳴高等学校」へ校名変更（女子校のまま）</t>
  </si>
  <si>
    <t>https://kakumei.ac.jp/high_school/</t>
  </si>
  <si>
    <t>長崎女子商業高等学校</t>
  </si>
  <si>
    <t>095-824-2701</t>
  </si>
  <si>
    <t>https://n-joshisho.sakura.ne.jp/</t>
  </si>
  <si>
    <t>長崎総合科学大学附属高等学校</t>
  </si>
  <si>
    <t>095-838-2413</t>
  </si>
  <si>
    <t>私学協会一覧の番号。公式に095-838-2364/2414もあり用途不明。大学サイトでは附属高校事務室095-838-2254</t>
  </si>
  <si>
    <t>http://www.nagasaki-shigaku.jp/shoukai.html</t>
  </si>
  <si>
    <t>長崎南山高等学校</t>
  </si>
  <si>
    <t>095-844-1572</t>
  </si>
  <si>
    <t>https://www.n-nanzan.ed.jp/pages/5/</t>
  </si>
  <si>
    <t>長崎日本大学高等学校</t>
  </si>
  <si>
    <t>0957-26-0061</t>
  </si>
  <si>
    <t>https://nagasaki-nichidai.jp/schoolintroduction/access/</t>
  </si>
  <si>
    <t>熊本県</t>
  </si>
  <si>
    <t>荒尾市</t>
  </si>
  <si>
    <t>有明高等学校</t>
  </si>
  <si>
    <t>0968-63-0545</t>
  </si>
  <si>
    <t>職員室0968-63-0958、衛生看護専攻科0968-63-0546</t>
  </si>
  <si>
    <t>https://ariake-hs.ed.jp/contact/</t>
  </si>
  <si>
    <t>熊本市中央区</t>
  </si>
  <si>
    <t>開新高等学校</t>
  </si>
  <si>
    <t>096-366-1201</t>
  </si>
  <si>
    <t>https://www.kaishin.ed.jp/</t>
  </si>
  <si>
    <t>菊池市</t>
  </si>
  <si>
    <t>菊池女子高等学校</t>
  </si>
  <si>
    <t>0968-25-3032</t>
  </si>
  <si>
    <t>2026年9月に「菊女北辰高等学校」へ校名変更（男子も受入れ）</t>
  </si>
  <si>
    <t>https://www.kikuchijoshi.ac.jp/</t>
  </si>
  <si>
    <t>九州学院高等学校</t>
  </si>
  <si>
    <t>096-364-6134</t>
  </si>
  <si>
    <t>https://kyugaku.ed.jp/hs/guide/</t>
  </si>
  <si>
    <t>熊本学園大学付属高等学校</t>
  </si>
  <si>
    <t>096-371-2551</t>
  </si>
  <si>
    <t>付属中学校は096-364-2316</t>
  </si>
  <si>
    <t>https://www.kumagaku-h.ed.jp/</t>
  </si>
  <si>
    <t>熊本国府高等学校</t>
  </si>
  <si>
    <t>096-366-1276</t>
  </si>
  <si>
    <t>http://www.kumamotokokufu-h.ed.jp/access.html</t>
  </si>
  <si>
    <t>熊本信愛女学院高等学校</t>
  </si>
  <si>
    <t>096-354-5355</t>
  </si>
  <si>
    <t>https://www.kumamoto-shin-ai.ed.jp/</t>
  </si>
  <si>
    <t>南阿蘇村</t>
  </si>
  <si>
    <t>くまもと清陵高等学校</t>
  </si>
  <si>
    <t>0967-63-8251</t>
  </si>
  <si>
    <t>通信制・南阿蘇村の本校</t>
  </si>
  <si>
    <t>https://www.k-seiryo.jp/</t>
  </si>
  <si>
    <t>熊本中央高等学校</t>
  </si>
  <si>
    <t>096-354-2333</t>
  </si>
  <si>
    <t>看護専攻科は096-354-2337</t>
  </si>
  <si>
    <t>https://kasumigakuen.ac.jp/pages/248/</t>
  </si>
  <si>
    <t>熊本市東区</t>
  </si>
  <si>
    <t>熊本マリスト学園高等学校</t>
  </si>
  <si>
    <t>096-368-2131</t>
  </si>
  <si>
    <t>https://www.marist.ed.jp/</t>
  </si>
  <si>
    <t>慶誠高等学校</t>
  </si>
  <si>
    <t>096-366-0128</t>
  </si>
  <si>
    <t>https://keisei-h.ed.jp/</t>
  </si>
  <si>
    <t>八代市</t>
  </si>
  <si>
    <t>秀岳館高等学校</t>
  </si>
  <si>
    <t>0965-33-5134</t>
  </si>
  <si>
    <t>https://syugakukan.ed.jp/</t>
  </si>
  <si>
    <t>尚絅高等学校</t>
  </si>
  <si>
    <t>096-366-0295</t>
  </si>
  <si>
    <t>中高共通。学園事務局は096-364-0116</t>
  </si>
  <si>
    <t>https://www.shokei-gakuen.ac.jp/jh-hs/contacts/</t>
  </si>
  <si>
    <t>真和高等学校</t>
  </si>
  <si>
    <t>096-364-8176</t>
  </si>
  <si>
    <t>鎮西高校と同じ番号（鎮西学園の受付）。職員室096-366-6177の掲載もあり</t>
  </si>
  <si>
    <t>https://www.shinwa.ed.jp/list00527.html</t>
  </si>
  <si>
    <t>山鹿市</t>
  </si>
  <si>
    <t>城北高等学校（熊本県）</t>
  </si>
  <si>
    <t>0968-44-8111</t>
  </si>
  <si>
    <t>https://johoku-hs.ed.jp/contact/</t>
  </si>
  <si>
    <t>玉名市</t>
  </si>
  <si>
    <t>専修大学熊本玉名高等学校</t>
  </si>
  <si>
    <t>0968-72-4151</t>
  </si>
  <si>
    <t>http://www.senshu.ac.jp/access</t>
  </si>
  <si>
    <t>玉名女子高等学校</t>
  </si>
  <si>
    <t>0968-72-5161</t>
  </si>
  <si>
    <t>http://www.tamanajoshi-h.ed.jp/</t>
  </si>
  <si>
    <t>鎮西高等学校</t>
  </si>
  <si>
    <t>真和中高と同じ番号（鎮西学園）</t>
  </si>
  <si>
    <t>http://www.chinzei.ed.jp/index.html</t>
  </si>
  <si>
    <t>東海大学付属熊本星翔高等学校</t>
  </si>
  <si>
    <t>096-382-1146</t>
  </si>
  <si>
    <t>https://www.seisho.tokai.ed.jp/access/</t>
  </si>
  <si>
    <t>山都町</t>
  </si>
  <si>
    <t>一ツ葉高等学校</t>
  </si>
  <si>
    <t>0967-72-3344</t>
  </si>
  <si>
    <t>通信制・山都町の本校。フリーダイヤル0120-277-128</t>
  </si>
  <si>
    <t>https://www.hitotsuba.ed.jp/campus/principal/</t>
  </si>
  <si>
    <t>熊本市西区</t>
  </si>
  <si>
    <t>文徳高等学校</t>
  </si>
  <si>
    <t>096-354-6416</t>
  </si>
  <si>
    <t>文徳中学校は096-323-6677</t>
  </si>
  <si>
    <t>https://www.buntoku-h.ed.jp/buntoku/access/</t>
  </si>
  <si>
    <t>八代白百合学園高等学校</t>
  </si>
  <si>
    <t>0965-32-2354</t>
  </si>
  <si>
    <t>https://yatsushiro-shirayuri.ed.jp/</t>
  </si>
  <si>
    <t>天草市</t>
  </si>
  <si>
    <t>勇志国際高等学校</t>
  </si>
  <si>
    <t>0969-67-3911</t>
  </si>
  <si>
    <t>通信制・天草市の本校。現公式はフリーダイヤル0120-593-135を案内</t>
  </si>
  <si>
    <t>https://zba.jp/tsushin-highschool/schools/detail-yushikokusai/pref-43/</t>
  </si>
  <si>
    <t>ルーテル学院高等学校</t>
  </si>
  <si>
    <t>096-343-3246</t>
  </si>
  <si>
    <t>中高共通。法人事務局は096-343-3111</t>
  </si>
  <si>
    <t>https://luther.ed.jp/</t>
  </si>
  <si>
    <t>大分県</t>
  </si>
  <si>
    <t>竹田市</t>
  </si>
  <si>
    <t>稲葉学園高等学校</t>
  </si>
  <si>
    <t>0974-63-3223</t>
  </si>
  <si>
    <t>旧・竹田南高等学校。NAVITIMEは0974-63-3613を掲載</t>
  </si>
  <si>
    <t>https://inabagakuen.jp/access/</t>
  </si>
  <si>
    <t>大分市</t>
  </si>
  <si>
    <t>岩田高等学校</t>
  </si>
  <si>
    <t>097-558-3007</t>
  </si>
  <si>
    <t>https://www.iwata.ed.jp/menu2-6.html</t>
  </si>
  <si>
    <t>大分高等学校</t>
  </si>
  <si>
    <t>097-551-1101</t>
  </si>
  <si>
    <t>大分中学校を併設</t>
  </si>
  <si>
    <t>http://www.oita-h.ed.jp/about/access.php</t>
  </si>
  <si>
    <t>大分国際情報高等学校</t>
  </si>
  <si>
    <t>097-558-3734</t>
  </si>
  <si>
    <t>https://kokujou.ed.jp/school.php</t>
  </si>
  <si>
    <t>大分東明高等学校</t>
  </si>
  <si>
    <t>097-535-0201</t>
  </si>
  <si>
    <t>法人（平松学園）代表と同じ番号</t>
  </si>
  <si>
    <t>https://www.hiramatsu.ac.jp/tomei</t>
  </si>
  <si>
    <t>日田市</t>
  </si>
  <si>
    <t>昭和学園高等学校</t>
  </si>
  <si>
    <t>0973-22-7420</t>
  </si>
  <si>
    <t>https://www.showa-h.ed.jp/blank-38</t>
  </si>
  <si>
    <t>藤蔭高等学校</t>
  </si>
  <si>
    <t>0973-24-2737</t>
  </si>
  <si>
    <t>通信制課程は0973-23-6655</t>
  </si>
  <si>
    <t>http://tohin.ac.jp/</t>
  </si>
  <si>
    <t>佐伯市</t>
  </si>
  <si>
    <t>日本文理大学附属高等学校</t>
  </si>
  <si>
    <t>0972-22-3501</t>
  </si>
  <si>
    <t>https://www.nbu-h.ed.jp/</t>
  </si>
  <si>
    <t>中津市</t>
  </si>
  <si>
    <t>東九州龍谷高等学校</t>
  </si>
  <si>
    <t>0979-22-0416</t>
  </si>
  <si>
    <t>事務室番号。職員室は0979-22-2555</t>
  </si>
  <si>
    <t>https://hk-ryukoku.ed.jp/</t>
  </si>
  <si>
    <t>福徳学院高等学校</t>
  </si>
  <si>
    <t>097-544-3551</t>
  </si>
  <si>
    <t>https://fukutoku.ed.jp/access/</t>
  </si>
  <si>
    <t>別府市</t>
  </si>
  <si>
    <t>別府溝部学園高等学校</t>
  </si>
  <si>
    <t>0977-67-6908</t>
  </si>
  <si>
    <t>電話帳サイトは0977-66-0224（短大と同番号）を掲載</t>
  </si>
  <si>
    <t>https://www.mizobe-h.ed.jp/about</t>
  </si>
  <si>
    <t>明豊高等学校</t>
  </si>
  <si>
    <t>0977-27-3311</t>
  </si>
  <si>
    <t>https://meiho-beppu.jp/access/</t>
  </si>
  <si>
    <t>宇佐市</t>
  </si>
  <si>
    <t>柳ケ浦高等学校</t>
  </si>
  <si>
    <t>0978-38-0033</t>
  </si>
  <si>
    <t>公式表記は「柳ヶ浦」</t>
  </si>
  <si>
    <t>https://yanagigaura.ed.jp/pages/1</t>
  </si>
  <si>
    <t>楊志館高等学校</t>
  </si>
  <si>
    <t>097-543-6711</t>
  </si>
  <si>
    <t>法人（後藤学園）のページで確認</t>
  </si>
  <si>
    <t>https://www.gotogakuen.ac.jp/yoshikan</t>
  </si>
  <si>
    <t>宮崎県</t>
  </si>
  <si>
    <t>三股町</t>
  </si>
  <si>
    <t>櫻美学園高等学校</t>
  </si>
  <si>
    <t>0986-52-1010</t>
  </si>
  <si>
    <t>2025年4月に都城東高等学校から校名変更</t>
  </si>
  <si>
    <t>https://oubi.ed.jp/</t>
  </si>
  <si>
    <t>小林市</t>
  </si>
  <si>
    <t>小林西高等学校</t>
  </si>
  <si>
    <t>0984-22-5155</t>
  </si>
  <si>
    <t>県サイトとも一致</t>
  </si>
  <si>
    <t>https://www.kobayashi-nishi.net/</t>
  </si>
  <si>
    <t>延岡市</t>
  </si>
  <si>
    <t>聖心ウルスラ学園高等学校</t>
  </si>
  <si>
    <t>0982-33-3472</t>
  </si>
  <si>
    <t>電話帳サイトの0982-31-3058は公式と不一致</t>
  </si>
  <si>
    <t>https://ursula.ed.jp/high/</t>
  </si>
  <si>
    <t>日南市</t>
  </si>
  <si>
    <t>日南学園高等学校</t>
  </si>
  <si>
    <t>0987-23-1311</t>
  </si>
  <si>
    <t>日南本校の番号</t>
  </si>
  <si>
    <t>https://www.nichigaku-highschool.info/</t>
  </si>
  <si>
    <t>宮崎市</t>
  </si>
  <si>
    <t>日南学園高等学校 宮崎穎学館</t>
  </si>
  <si>
    <t>0985-86-1021</t>
  </si>
  <si>
    <t>宮崎市田野町の校舎（本校とは別番号）</t>
  </si>
  <si>
    <t>https://www.eigakukan.ed.jp/</t>
  </si>
  <si>
    <t>えびの市</t>
  </si>
  <si>
    <t>日章学園九州国際高等学校</t>
  </si>
  <si>
    <t>0984-35-3500</t>
  </si>
  <si>
    <t>公式未確認。私学協会・学校情報サイトで一致</t>
  </si>
  <si>
    <t>https://www.miyazaki-shigaku.jp/</t>
  </si>
  <si>
    <t>日章学園高等学校</t>
  </si>
  <si>
    <t>0985-39-1321</t>
  </si>
  <si>
    <t>宮崎市・県サイトとも一致</t>
  </si>
  <si>
    <t>https://nissho.ed.jp/</t>
  </si>
  <si>
    <t>延岡学園高等学校</t>
  </si>
  <si>
    <t>0982-33-3227</t>
  </si>
  <si>
    <t>https://nobeokagakuen-ed.jp/</t>
  </si>
  <si>
    <t>日向学院高等学校</t>
  </si>
  <si>
    <t>0985-22-8296</t>
  </si>
  <si>
    <t>https://www.hyugagakuin.ac.jp/</t>
  </si>
  <si>
    <t>鵬翔高等学校</t>
  </si>
  <si>
    <t>0985-52-2020</t>
  </si>
  <si>
    <t>事務室代表。入試広報部直通は0985-52-3312</t>
  </si>
  <si>
    <t>https://www.hosho.ed.jp/contact/</t>
  </si>
  <si>
    <t>都城市</t>
  </si>
  <si>
    <t>都城高等学校</t>
  </si>
  <si>
    <t>0986-23-2477</t>
  </si>
  <si>
    <t>https://kubogakuen.ac.jp/</t>
  </si>
  <si>
    <t>都城聖ドミニコ学園高等学校</t>
  </si>
  <si>
    <t>0986-39-1303</t>
  </si>
  <si>
    <t>私学協会とも一致</t>
  </si>
  <si>
    <t>https://www.mdominico.com/</t>
  </si>
  <si>
    <t>宮崎学園高等学校</t>
  </si>
  <si>
    <t>0985-23-5318</t>
  </si>
  <si>
    <t>法人サイト・宮崎市サイトで一致</t>
  </si>
  <si>
    <t>https://www.miyagaku.ed.jp/houjinhonbu/access.html</t>
  </si>
  <si>
    <t>宮崎第一高等学校</t>
  </si>
  <si>
    <t>0985-56-2626</t>
  </si>
  <si>
    <t>公式未確認。県・宮崎市・私学協会で一致</t>
  </si>
  <si>
    <t>https://www.sun.pref.miyazaki.lg.jp/facilities_view/58.html</t>
  </si>
  <si>
    <t>宮崎日本大学高等学校</t>
  </si>
  <si>
    <t>0985-39-1121</t>
  </si>
  <si>
    <t>代表番号。県サイトとも一致</t>
  </si>
  <si>
    <t>https://www.m-nichidai.com/</t>
  </si>
  <si>
    <t>鹿児島県</t>
  </si>
  <si>
    <t>鹿児島市</t>
  </si>
  <si>
    <t>池田高等学校</t>
  </si>
  <si>
    <t>099-282-7888</t>
  </si>
  <si>
    <t>県私学協会とも一致。中高一貫（池田学園）</t>
  </si>
  <si>
    <t>http://ikeda-gakuen.ed.jp/</t>
  </si>
  <si>
    <t>出水市</t>
  </si>
  <si>
    <t>出水中央高等学校</t>
  </si>
  <si>
    <t>0996-62-0500</t>
  </si>
  <si>
    <t>代表番号。広報室は0996-62-6677</t>
  </si>
  <si>
    <t>https://izumi.ac.jp/school-info/facility-info/</t>
  </si>
  <si>
    <t>伊佐市</t>
  </si>
  <si>
    <t>大口明光学園高等学校</t>
  </si>
  <si>
    <t>0995-22-0609</t>
  </si>
  <si>
    <t>2022年4月に共学化</t>
  </si>
  <si>
    <t>https://www.okuchimeiko.ac.jp/inquiry/index.html</t>
  </si>
  <si>
    <t>日置市</t>
  </si>
  <si>
    <t>鹿児島育英館高等学校</t>
  </si>
  <si>
    <t>099-273-1407</t>
  </si>
  <si>
    <t>2027年度に「日章学園育英館高等学校」へ校名変更予定</t>
  </si>
  <si>
    <t>https://ikueikan.ed.jp/contact/</t>
  </si>
  <si>
    <t>鹿児島高等学校</t>
  </si>
  <si>
    <t>099-255-3211</t>
  </si>
  <si>
    <t>https://www.kagoshima-h.ed.jp/about/</t>
  </si>
  <si>
    <t>鹿児島修学館高等学校</t>
  </si>
  <si>
    <t>099-258-2211</t>
  </si>
  <si>
    <t>https://www.shugakukan.ed.jp/profile/</t>
  </si>
  <si>
    <t>鹿児島実業高等学校</t>
  </si>
  <si>
    <t>099-286-1313</t>
  </si>
  <si>
    <t>通信制課程は099-286-1508</t>
  </si>
  <si>
    <t>https://www.kajitsu.ac.jp/</t>
  </si>
  <si>
    <t>鹿児島純心女子高等学校</t>
  </si>
  <si>
    <t>099-254-4121</t>
  </si>
  <si>
    <t>受付は平日9:00〜16:30</t>
  </si>
  <si>
    <t>https://www.k-junshin.ed.jp/</t>
  </si>
  <si>
    <t>鹿児島城西高等学校</t>
  </si>
  <si>
    <t>099-273-1234</t>
  </si>
  <si>
    <t>https://kjh.ed.jp/introduction</t>
  </si>
  <si>
    <t>鹿児島情報高等学校</t>
  </si>
  <si>
    <t>099-268-3101</t>
  </si>
  <si>
    <t>https://ka-joho.jp/contactus/</t>
  </si>
  <si>
    <t>霧島市</t>
  </si>
  <si>
    <t>鹿児島第一高等学校</t>
  </si>
  <si>
    <t>0995-46-4608</t>
  </si>
  <si>
    <t>フリーダイヤル0120-56-4608</t>
  </si>
  <si>
    <t>https://h-kd.tsuzuki-edu.ac.jp/access/</t>
  </si>
  <si>
    <t>鹿屋市</t>
  </si>
  <si>
    <t>鹿屋中央高等学校</t>
  </si>
  <si>
    <t>0994-43-3310</t>
  </si>
  <si>
    <t>鹿屋市サイトとも一致</t>
  </si>
  <si>
    <t>https://www.kanoya-chuo.ed.jp/</t>
  </si>
  <si>
    <t>いちき串木野市</t>
  </si>
  <si>
    <t>神村学園高等部</t>
  </si>
  <si>
    <t>0996-32-3232</t>
  </si>
  <si>
    <t>いちき串木野市サイトとも一致</t>
  </si>
  <si>
    <t>https://angel.kamimura.ac.jp/access/</t>
  </si>
  <si>
    <t>志學館高等部</t>
  </si>
  <si>
    <t>099-252-1038</t>
  </si>
  <si>
    <t>中等部と共通番号</t>
  </si>
  <si>
    <t>https://www.jh.shigakukan.ac.jp/</t>
  </si>
  <si>
    <t>志布志市</t>
  </si>
  <si>
    <t>尚志館高等学校</t>
  </si>
  <si>
    <t>099-472-1318</t>
  </si>
  <si>
    <t>https://www.shoshikan.ed.jp/</t>
  </si>
  <si>
    <t>樟南高等学校</t>
  </si>
  <si>
    <t>099-281-2900</t>
  </si>
  <si>
    <t>学園本部は099-281-3611</t>
  </si>
  <si>
    <t>https://www.shonan-h.ac.jp/</t>
  </si>
  <si>
    <t>天城町</t>
  </si>
  <si>
    <t>樟南第二高等学校</t>
  </si>
  <si>
    <t>0997-85-2511</t>
  </si>
  <si>
    <t>https://www.shonandaini.jp/</t>
  </si>
  <si>
    <t>南さつま市</t>
  </si>
  <si>
    <t>鳳凰高等学校</t>
  </si>
  <si>
    <t>0993-53-3633</t>
  </si>
  <si>
    <t>https://hooh.ed.jp/info/introduction/outline/</t>
  </si>
  <si>
    <t>屋久島町</t>
  </si>
  <si>
    <t>屋久島おおぞら高等学校</t>
  </si>
  <si>
    <t>0997-47-3300</t>
  </si>
  <si>
    <t>通信制・屋久島町の本校。公式未確認、私学協会等で一致。全体問合せは0120-43-8940</t>
  </si>
  <si>
    <t>http://kagoshima-shigaku.com/school/id19.html</t>
  </si>
  <si>
    <t>ラ・サール高等学校</t>
  </si>
  <si>
    <t>099-268-3121</t>
  </si>
  <si>
    <t>学園代表番号</t>
  </si>
  <si>
    <t>https://www.lasalle.ed.jp/about/access/</t>
  </si>
  <si>
    <t>姶良市</t>
  </si>
  <si>
    <t>龍桜高等学校</t>
  </si>
  <si>
    <t>0995-63-3001</t>
  </si>
  <si>
    <t>姶良市サイトとも一致</t>
  </si>
  <si>
    <t>https://gh-kagoshima.ac.jp/otoi.html</t>
  </si>
  <si>
    <t>薩摩川内市</t>
  </si>
  <si>
    <t>れいめい高等学校</t>
  </si>
  <si>
    <t>0996-23-3178</t>
  </si>
  <si>
    <t>0996-23-5111は学校法人の番号</t>
  </si>
  <si>
    <t>https://reimei.ed.jp/</t>
  </si>
  <si>
    <t>沖縄県</t>
  </si>
  <si>
    <t>名護市</t>
  </si>
  <si>
    <t>エナジックスポーツ高等学院</t>
  </si>
  <si>
    <t>0980-45-9022</t>
  </si>
  <si>
    <t>名護本校。資料請求用フリーダイヤル0120-115-813</t>
  </si>
  <si>
    <t>https://www.oshiro.ed.jp/enagicsports-hs/access/</t>
  </si>
  <si>
    <t>うるま市</t>
  </si>
  <si>
    <t>Ｎ高等学校</t>
  </si>
  <si>
    <t>098-983-1677</t>
  </si>
  <si>
    <t>通信制・うるま市の沖縄伊計本校。文科省資料・電話帳サイトで一致。公式の案内はフリーダイヤル0120-0252-15</t>
  </si>
  <si>
    <t>https://www.mext.go.jp/content/20220218-mxt_koukou02-000020723_13.pdf</t>
  </si>
  <si>
    <t>宜野湾市</t>
  </si>
  <si>
    <t>沖縄カトリック高等学校</t>
  </si>
  <si>
    <t>098-897-3300</t>
  </si>
  <si>
    <t>沖縄県サイトとも一致。学校法人は098-897-3393</t>
  </si>
  <si>
    <t>https://www.catholic-okinawa.ed.jp/junior-and-senior-highschool/entrance-exam/</t>
  </si>
  <si>
    <t>那覇市</t>
  </si>
  <si>
    <t>沖縄尚学高等学校</t>
  </si>
  <si>
    <t>098-832-1767</t>
  </si>
  <si>
    <t>沖縄県公式サイトで確認</t>
  </si>
  <si>
    <t>https://www.pref.okinawa.lg.jp/kyoiku/gakko/1008900/1018622/1009323/1009331.html</t>
  </si>
  <si>
    <t>興南高等学校</t>
  </si>
  <si>
    <t>098-884-3293</t>
  </si>
  <si>
    <t>沖縄県サイトとも一致。一部サイトの098-884-3292は不一致</t>
  </si>
  <si>
    <t>https://konan-h.ed.jp/</t>
  </si>
  <si>
    <t>浦添市</t>
  </si>
  <si>
    <t>昭和薬科大学附属高等学校</t>
  </si>
  <si>
    <t>098-870-1852</t>
  </si>
  <si>
    <t>沖縄県サイトとも一致</t>
  </si>
  <si>
    <t>https://www.showayakka-jh.ed.jp/about/disclosure/access/</t>
  </si>
  <si>
    <t>沖縄市</t>
  </si>
  <si>
    <t>仙台育英学園沖縄高等学校</t>
  </si>
  <si>
    <t>098-930-4111</t>
  </si>
  <si>
    <t>098-923-2286を掲載するサイトあり（旧番号の可能性）</t>
  </si>
  <si>
    <t>https://www.sendaiikuei.ed.jp/okinawa/intro/access/</t>
  </si>
  <si>
    <t>本部町</t>
  </si>
  <si>
    <t>八洲学園大学国際高等学校</t>
  </si>
  <si>
    <t>0980-51-7711</t>
  </si>
  <si>
    <t>通信制・本部町の本校。フリーコール0120-917-840</t>
  </si>
  <si>
    <t>https://www.pref.okinawa.jp/kyoiku/gakko/1008900/1018622/1009323/1009383.html</t>
  </si>
  <si>
    <t>DXハイスクール テレアポ架電優先順位・運用ルール（私立高校 全国版）</t>
  </si>
  <si>
    <t>私立高校 全国47都道府県／1378校。電話番号は2026年10月にWeb検索で調査（確度・補足はU〜V列）。資料送付〜提案NGはクリックでチェックできます。</t>
  </si>
  <si>
    <t>都道府県名</t>
  </si>
  <si>
    <t>公私</t>
  </si>
  <si>
    <t>学校設置者名</t>
  </si>
  <si>
    <t>新規継続</t>
  </si>
  <si>
    <t>資料送付</t>
  </si>
  <si>
    <t>商談希望</t>
  </si>
  <si>
    <t>ピック</t>
  </si>
  <si>
    <t>受注済</t>
  </si>
  <si>
    <t>提案NG</t>
  </si>
  <si>
    <t>偏差値帯</t>
  </si>
  <si>
    <t>架電回数</t>
  </si>
  <si>
    <t>テレアポ1：日付</t>
  </si>
  <si>
    <t>架電最新結果</t>
  </si>
  <si>
    <t>テレアポ1：詳細</t>
  </si>
  <si>
    <t>取得情報（担当先生、メールアドレス、住所）</t>
  </si>
  <si>
    <t>偏差値</t>
  </si>
  <si>
    <t>01北海道</t>
  </si>
  <si>
    <t>私立</t>
  </si>
  <si>
    <t>02青森県</t>
  </si>
  <si>
    <t>03岩手県</t>
  </si>
  <si>
    <t>04宮城県</t>
  </si>
  <si>
    <t>05秋田県</t>
  </si>
  <si>
    <t>06山形県</t>
  </si>
  <si>
    <t>07福島県</t>
  </si>
  <si>
    <t>08茨城県</t>
  </si>
  <si>
    <t>09栃木県</t>
  </si>
  <si>
    <t>10群馬県</t>
  </si>
  <si>
    <t>11埼玉県</t>
  </si>
  <si>
    <t>12千葉県</t>
  </si>
  <si>
    <t>13東京都</t>
  </si>
  <si>
    <t>14神奈川県</t>
  </si>
  <si>
    <t>15新潟県</t>
  </si>
  <si>
    <t>16富山県</t>
  </si>
  <si>
    <t>17石川県</t>
  </si>
  <si>
    <t>18福井県</t>
  </si>
  <si>
    <t>19山梨県</t>
  </si>
  <si>
    <t>20長野県</t>
  </si>
  <si>
    <t>21岐阜県</t>
  </si>
  <si>
    <t>22静岡県</t>
  </si>
  <si>
    <t>23愛知県</t>
  </si>
  <si>
    <t>24三重県</t>
  </si>
  <si>
    <t>25滋賀県</t>
  </si>
  <si>
    <t>26京都府</t>
  </si>
  <si>
    <t>27大阪府</t>
  </si>
  <si>
    <t>28兵庫県</t>
  </si>
  <si>
    <t>29奈良県</t>
  </si>
  <si>
    <t>30和歌山県</t>
  </si>
  <si>
    <t>31鳥取県</t>
  </si>
  <si>
    <t>32島根県</t>
  </si>
  <si>
    <t>33岡山県</t>
  </si>
  <si>
    <t>34広島県</t>
  </si>
  <si>
    <t>35山口県</t>
  </si>
  <si>
    <t>36徳島県</t>
  </si>
  <si>
    <t>37香川県</t>
  </si>
  <si>
    <t>38愛媛県</t>
  </si>
  <si>
    <t>39高知県</t>
  </si>
  <si>
    <t>40福岡県</t>
  </si>
  <si>
    <t>41佐賀県</t>
  </si>
  <si>
    <t>42長崎県</t>
  </si>
  <si>
    <t>43熊本県</t>
  </si>
  <si>
    <t>44大分県</t>
  </si>
  <si>
    <t>45宮崎県</t>
  </si>
  <si>
    <t>46鹿児島県</t>
  </si>
  <si>
    <t>47沖縄県</t>
  </si>
  <si>
    <t>都道府県別 進捗集計（架電リスト・テレアポ管理の入力に連動して自動計算）</t>
  </si>
  <si>
    <t>学校数</t>
  </si>
  <si>
    <t>電話番号入力済</t>
  </si>
  <si>
    <t>架電済</t>
  </si>
  <si>
    <t>不在・折返し待ち</t>
  </si>
  <si>
    <t>担当者不在</t>
  </si>
  <si>
    <t>アポ獲得</t>
  </si>
  <si>
    <t>検討中</t>
  </si>
  <si>
    <t>NG</t>
  </si>
  <si>
    <t>番号不明</t>
  </si>
  <si>
    <t>架電回数（合計）</t>
  </si>
  <si>
    <t>資料送付（☑数）</t>
  </si>
  <si>
    <t>商談希望（☑数）</t>
  </si>
  <si>
    <t>ピック（☑数）</t>
  </si>
  <si>
    <t>受注済（☑数）</t>
  </si>
  <si>
    <t>提案NG（☑数）</t>
  </si>
  <si>
    <t>合計</t>
  </si>
  <si>
    <t>■ テレアポ管理（私立全国版）の使い方（DXハイスクール テレアポKPIシートと同じ書式）</t>
  </si>
  <si>
    <t>・資料送付／商談希望／ピック／受注済／提案NG はチェックボックスです。セルをクリックするとチェックが入ります（受注済＝緑、商談希望＝黄、提案NG・受付NG・担当者NG＝グレーで行が自動着色）。</t>
  </si>
  <si>
    <t>・架電ごとに「架電回数」を1増やし、「テレアポ1：日付」に最新の架電日、「架電最新結果」にプルダウンで結果を入力してください。</t>
  </si>
  <si>
    <t>・「テレアポ1：詳細」は1回の架電につき1行、新しいものを上に「2026/10/07担当退勤」のように 日付＋内容 で追記します（改行は Alt＋Enter）。</t>
  </si>
  <si>
    <t>・担当の先生と話せた場合は「取得情報」に 氏名（フリガナ）・メールアドレス・資料送付先住所 を記入してください。</t>
  </si>
  <si>
    <t>・「新規継続」「偏差値帯」はプルダウン、「偏差値」は数値で入力します。「学校設置者名」（学校法人名）は分かった時点で記入してください。</t>
  </si>
  <si>
    <t>・「担当者」には架電を担当した方（チーム名・氏名）を入力してください。</t>
  </si>
  <si>
    <t>・チェックボックスはExcel（Microsoft 365）の機能です。古いExcelではTRUE／FALSEと表示されます。Googleスプレッドシートに取り込む場合は、該当列を選んで［挿入］→［チェックボックス］を設定してください。</t>
  </si>
  <si>
    <t>■ 架電リストの使い方</t>
  </si>
  <si>
    <t>・「架電リスト」の黄色の列（電話番号・架電日・担当者・架電結果・次回連絡日・メモ）に入力してください。架電結果はプルダウンから選択します（アポ獲得＝緑、NG＝グレー）。</t>
  </si>
  <si>
    <t>・「学校情報ページ」の「開く」をクリックすると、学校ネットの各校ページが開きます。</t>
  </si>
  <si>
    <t>・「番号の確度」：高＝公式サイト、または2つ以上の情報源で一致／中＝公式未確認で第三者サイトのみ、または代表番号と断定できず（補足欄参照）／要調査＝特定できず・閉校など。</t>
  </si>
  <si>
    <t>・「電話番号の補足」に、代表番号の共有・別番号（入試広報・通信制課程など）・移転・校名変更・募集停止などの注意を記載しています。架電前にご確認ください。</t>
  </si>
  <si>
    <t>・「都道府県別集計」は両シートの入力に連動して自動で集計されます。</t>
  </si>
  <si>
    <t>■ 元データについての注意</t>
  </si>
  <si>
    <t>・出典：ご提供いただいた学校ネットの検索結果（私立高校・全国47都道府県、1378校）の貼り付けデータ。並び順は都道府県コード順、各都道府県内は元データの掲載順です。</t>
  </si>
  <si>
    <t>・電話番号は元データに記載がないため、2026年10月にWeb検索（学校公式サイト、都道府県・市町村・私学協会の資料、学校情報サイトなど）で調査しました。推測による補完はしていません。</t>
  </si>
  <si>
    <t>・通信制（広域通信制）の学校は、所在地・電話番号とも本校のものです。架電先（本校／各キャンパス）にご注意ください。</t>
  </si>
</sst>
</file>

<file path=xl/styles.xml><?xml version="1.0" encoding="utf-8"?>
<styleSheet xmlns="http://schemas.openxmlformats.org/spreadsheetml/2006/main">
  <numFmts count="3">
    <numFmt numFmtId="164" formatCode="@"/>
    <numFmt numFmtId="165" formatCode="yyyy/mm/dd"/>
    <numFmt numFmtId="166" formatCode="m/d"/>
  </numFmts>
  <fonts count="13">
    <font>
      <sz val="11"/>
      <color theme="1"/>
      <name val="Calibri"/>
      <family val="2"/>
      <scheme val="minor"/>
    </font>
    <font>
      <b/>
      <sz val="14"/>
      <color theme="1"/>
      <name val="Yu Gothic"/>
      <family val="2"/>
    </font>
    <font>
      <sz val="9"/>
      <color rgb="FF595959"/>
      <name val="Yu Gothic"/>
      <family val="2"/>
    </font>
    <font>
      <b/>
      <sz val="10"/>
      <color rgb="FFFFFFFF"/>
      <name val="Yu Gothic"/>
      <family val="2"/>
    </font>
    <font>
      <sz val="10"/>
      <color theme="1"/>
      <name val="Yu Gothic"/>
      <family val="2"/>
    </font>
    <font>
      <sz val="9"/>
      <color theme="1"/>
      <name val="Yu Gothic"/>
      <family val="2"/>
    </font>
    <font>
      <sz val="8"/>
      <color rgb="FF595959"/>
      <name val="Yu Gothic"/>
      <family val="2"/>
    </font>
    <font>
      <u/>
      <sz val="10"/>
      <color rgb="FF0563C1"/>
      <name val="Yu Gothic"/>
      <family val="2"/>
    </font>
    <font>
      <u/>
      <sz val="10"/>
      <color rgb="FF1155CC"/>
      <name val="Yu Gothic"/>
      <family val="2"/>
    </font>
    <font>
      <b/>
      <sz val="10"/>
      <color theme="1"/>
      <name val="Yu Gothic"/>
      <family val="2"/>
    </font>
    <font>
      <b/>
      <sz val="9"/>
      <color theme="1"/>
      <name val="Yu Gothic"/>
      <family val="2"/>
    </font>
    <font>
      <b/>
      <sz val="11"/>
      <color theme="1"/>
      <name val="Yu Gothic"/>
      <family val="2"/>
    </font>
    <font>
      <sz val="10"/>
      <color theme="1"/>
      <name val="Yu Gothic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DDEBF7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7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4" fillId="0" borderId="3" xfId="0" applyFont="1" applyBorder="1" applyAlignment="1"/>
    <xf numFmtId="164" fontId="4" fillId="0" borderId="3" xfId="0" applyNumberFormat="1" applyFont="1" applyBorder="1" applyAlignment="1"/>
    <xf numFmtId="0" fontId="4" fillId="0" borderId="4" xfId="0" applyFont="1" applyBorder="1" applyAlignment="1">
      <alignment vertical="top" wrapText="1"/>
    </xf>
    <xf numFmtId="0" fontId="4" fillId="0" borderId="3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3" xfId="0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5" fillId="0" borderId="3" xfId="0" applyFont="1" applyBorder="1" applyAlignment="1">
      <alignment wrapText="1"/>
    </xf>
    <xf numFmtId="0" fontId="7" fillId="0" borderId="3" xfId="0" applyFont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/>
    </xf>
    <xf numFmtId="0" fontId="9" fillId="8" borderId="1" xfId="0" applyFont="1" applyFill="1" applyBorder="1" applyAlignment="1">
      <alignment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jsite.mhlw.go.jp/hokkaido-hellowork/content/contents/002280302.pdf%20;%20https://school.js88.com/scl_h/22052950" TargetMode="External"/><Relationship Id="rId2" Type="http://schemas.openxmlformats.org/officeDocument/2006/relationships/hyperlink" Target="https://www.gakkou.net/kou/view/index_300269.html" TargetMode="External"/><Relationship Id="rId3" Type="http://schemas.openxmlformats.org/officeDocument/2006/relationships/hyperlink" Target="https://jsite.mhlw.go.jp/hokkaido-hellowork/content/contents/002280302.pdf%20;%20https://school.js88.com/scl_h/22052940" TargetMode="External"/><Relationship Id="rId4" Type="http://schemas.openxmlformats.org/officeDocument/2006/relationships/hyperlink" Target="https://www.gakkou.net/kou/view/index_300224.html" TargetMode="External"/><Relationship Id="rId5" Type="http://schemas.openxmlformats.org/officeDocument/2006/relationships/hyperlink" Target="https://school.js88.com/scl_h/22052920" TargetMode="External"/><Relationship Id="rId6" Type="http://schemas.openxmlformats.org/officeDocument/2006/relationships/hyperlink" Target="https://www.gakkou.net/kou/view/index_300215.html" TargetMode="External"/><Relationship Id="rId7" Type="http://schemas.openxmlformats.org/officeDocument/2006/relationships/hyperlink" Target="https://jsite.mhlw.go.jp/hokkaido-hellowork/content/contents/002280302.pdf%20;%20https://school.js88.com/scl_h/22053120" TargetMode="External"/><Relationship Id="rId8" Type="http://schemas.openxmlformats.org/officeDocument/2006/relationships/hyperlink" Target="https://www.gakkou.net/kou/view/index_300258.html" TargetMode="External"/><Relationship Id="rId9" Type="http://schemas.openxmlformats.org/officeDocument/2006/relationships/hyperlink" Target="https://school.js88.com/scl_h/22052930%20;%20https://www.doshigaku.jp/pdf/2023_transfe_10.pdf" TargetMode="External"/><Relationship Id="rId10" Type="http://schemas.openxmlformats.org/officeDocument/2006/relationships/hyperlink" Target="https://www.gakkou.net/kou/view/index_300257.html" TargetMode="External"/><Relationship Id="rId11" Type="http://schemas.openxmlformats.org/officeDocument/2006/relationships/hyperlink" Target="https://www.iaijoshi-h.ed.jp/wp-content/uploads/2022/07/2023&#36986;&#24859;&#22899;&#23376;&#39640;&#26657;&#12497;&#12531;&#12501;&#12524;&#12483;&#12488;.pdf" TargetMode="External"/><Relationship Id="rId12" Type="http://schemas.openxmlformats.org/officeDocument/2006/relationships/hyperlink" Target="https://www.gakkou.net/kou/view/index_300035.html" TargetMode="External"/><Relationship Id="rId13" Type="http://schemas.openxmlformats.org/officeDocument/2006/relationships/hyperlink" Target="https://www.minkou.jp/hischool/school/330/" TargetMode="External"/><Relationship Id="rId14" Type="http://schemas.openxmlformats.org/officeDocument/2006/relationships/hyperlink" Target="https://www.gakkou.net/kou/view/index_306474.html" TargetMode="External"/><Relationship Id="rId15" Type="http://schemas.openxmlformats.org/officeDocument/2006/relationships/hyperlink" Target="https://school.js88.com/scl_h/22052880%20;%20https://www.doshigaku.jp/pdf/2023_transfe_10.pdf" TargetMode="External"/><Relationship Id="rId16" Type="http://schemas.openxmlformats.org/officeDocument/2006/relationships/hyperlink" Target="https://www.gakkou.net/kou/view/index_300073.html" TargetMode="External"/><Relationship Id="rId17" Type="http://schemas.openxmlformats.org/officeDocument/2006/relationships/hyperlink" Target="https://school.js88.com/scl_h/22052890/%20;%20https://www16.sapporo-c.ed.jp/sakaeminami-j/attach/get2/4692/0" TargetMode="External"/><Relationship Id="rId18" Type="http://schemas.openxmlformats.org/officeDocument/2006/relationships/hyperlink" Target="https://www.gakkou.net/kou/view/index_300077.html" TargetMode="External"/><Relationship Id="rId19" Type="http://schemas.openxmlformats.org/officeDocument/2006/relationships/hyperlink" Target="https://www.koubunren-volunteer.hokkaido-c.ed.jp/wysiwyg/file/download/1/16" TargetMode="External"/><Relationship Id="rId20" Type="http://schemas.openxmlformats.org/officeDocument/2006/relationships/hyperlink" Target="https://www.gakkou.net/kou/view/index_300273.html" TargetMode="External"/><Relationship Id="rId21" Type="http://schemas.openxmlformats.org/officeDocument/2006/relationships/hyperlink" Target="https://school.js88.com/scl_h/22053070%20;%20https://www.minkou.jp/hischool/school/1042/" TargetMode="External"/><Relationship Id="rId22" Type="http://schemas.openxmlformats.org/officeDocument/2006/relationships/hyperlink" Target="https://www.gakkou.net/kou/view/index_300279.html" TargetMode="External"/><Relationship Id="rId23" Type="http://schemas.openxmlformats.org/officeDocument/2006/relationships/hyperlink" Target="https://school.js88.com/scl_h/22053040" TargetMode="External"/><Relationship Id="rId24" Type="http://schemas.openxmlformats.org/officeDocument/2006/relationships/hyperlink" Target="https://www.gakkou.net/kou/view/index_300107.html" TargetMode="External"/><Relationship Id="rId25" Type="http://schemas.openxmlformats.org/officeDocument/2006/relationships/hyperlink" Target="https://school.js88.com/scl_h/22052980%20;%20https://map.yahoo.co.jp/v3/place/F1bCf-OH6f6" TargetMode="External"/><Relationship Id="rId26" Type="http://schemas.openxmlformats.org/officeDocument/2006/relationships/hyperlink" Target="https://www.gakkou.net/kou/view/index_300332.html" TargetMode="External"/><Relationship Id="rId27" Type="http://schemas.openxmlformats.org/officeDocument/2006/relationships/hyperlink" Target="https://www.minkou.jp/hischool/school/1635/" TargetMode="External"/><Relationship Id="rId28" Type="http://schemas.openxmlformats.org/officeDocument/2006/relationships/hyperlink" Target="https://www.gakkou.net/kou/view/index_306309.html" TargetMode="External"/><Relationship Id="rId29" Type="http://schemas.openxmlformats.org/officeDocument/2006/relationships/hyperlink" Target="https://school.js88.com/scl_h/22053010" TargetMode="External"/><Relationship Id="rId30" Type="http://schemas.openxmlformats.org/officeDocument/2006/relationships/hyperlink" Target="https://www.gakkou.net/kou/view/index_300119.html" TargetMode="External"/><Relationship Id="rId31" Type="http://schemas.openxmlformats.org/officeDocument/2006/relationships/hyperlink" Target="https://www.city.sapporo.jp/higashi/about/ins_school.html%20;%20https://school.js88.com/scl_h/22052680" TargetMode="External"/><Relationship Id="rId32" Type="http://schemas.openxmlformats.org/officeDocument/2006/relationships/hyperlink" Target="https://www.gakkou.net/kou/view/index_300030.html" TargetMode="External"/><Relationship Id="rId33" Type="http://schemas.openxmlformats.org/officeDocument/2006/relationships/hyperlink" Target="https://www.sapporokosei.ac.jp/common/img/content/content_20260428_165448.pdf" TargetMode="External"/><Relationship Id="rId34" Type="http://schemas.openxmlformats.org/officeDocument/2006/relationships/hyperlink" Target="https://www.gakkou.net/kou/view/index_300032.html" TargetMode="External"/><Relationship Id="rId35" Type="http://schemas.openxmlformats.org/officeDocument/2006/relationships/hyperlink" Target="https://www.city.sapporo.jp/minami/shisetsu/sonota.html%20;%20https://school.js88.com/scl_h/22052720" TargetMode="External"/><Relationship Id="rId36" Type="http://schemas.openxmlformats.org/officeDocument/2006/relationships/hyperlink" Target="https://www.gakkou.net/kou/view/index_300015.html" TargetMode="External"/><Relationship Id="rId37" Type="http://schemas.openxmlformats.org/officeDocument/2006/relationships/hyperlink" Target="https://sanwa71.sakura.ne.jp/contact/%20;%20https://www.mapion.co.jp/phonebook/M11004/01464/ILSP0000041214_ipclm/" TargetMode="External"/><Relationship Id="rId38" Type="http://schemas.openxmlformats.org/officeDocument/2006/relationships/hyperlink" Target="https://www.gakkou.net/kou/view/index_306723.html" TargetMode="External"/><Relationship Id="rId39" Type="http://schemas.openxmlformats.org/officeDocument/2006/relationships/hyperlink" Target="https://school.js88.com/scl_h/22052690" TargetMode="External"/><Relationship Id="rId40" Type="http://schemas.openxmlformats.org/officeDocument/2006/relationships/hyperlink" Target="https://www.gakkou.net/kou/view/index_300147.html" TargetMode="External"/><Relationship Id="rId41" Type="http://schemas.openxmlformats.org/officeDocument/2006/relationships/hyperlink" Target="https://www.doshigaku.jp/pdf/2023_transfe_10.pdf%20;%20https://school.js88.com/scl_h/22049910" TargetMode="External"/><Relationship Id="rId42" Type="http://schemas.openxmlformats.org/officeDocument/2006/relationships/hyperlink" Target="https://www.gakkou.net/kou/view/index_300153.html" TargetMode="External"/><Relationship Id="rId43" Type="http://schemas.openxmlformats.org/officeDocument/2006/relationships/hyperlink" Target="https://www.kibou.ac.jp/daiichi/introduction/access/" TargetMode="External"/><Relationship Id="rId44" Type="http://schemas.openxmlformats.org/officeDocument/2006/relationships/hyperlink" Target="https://www.gakkou.net/kou/view/index_300170.html" TargetMode="External"/><Relationship Id="rId45" Type="http://schemas.openxmlformats.org/officeDocument/2006/relationships/hyperlink" Target="https://school.js88.com/scl_h/22053100" TargetMode="External"/><Relationship Id="rId46" Type="http://schemas.openxmlformats.org/officeDocument/2006/relationships/hyperlink" Target="https://www.gakkou.net/kou/view/index_300159.html" TargetMode="External"/><Relationship Id="rId47" Type="http://schemas.openxmlformats.org/officeDocument/2006/relationships/hyperlink" Target="https://www.city.sapporo.jp/higashi/about/ins_school.html" TargetMode="External"/><Relationship Id="rId48" Type="http://schemas.openxmlformats.org/officeDocument/2006/relationships/hyperlink" Target="https://www.gakkou.net/kou/view/index_300031.html" TargetMode="External"/><Relationship Id="rId49" Type="http://schemas.openxmlformats.org/officeDocument/2006/relationships/hyperlink" Target="https://school.js88.com/scl_h/22052710" TargetMode="External"/><Relationship Id="rId50" Type="http://schemas.openxmlformats.org/officeDocument/2006/relationships/hyperlink" Target="https://www.gakkou.net/kou/view/index_300178.html" TargetMode="External"/><Relationship Id="rId51" Type="http://schemas.openxmlformats.org/officeDocument/2006/relationships/hyperlink" Target="https://www16.sapporo-c.ed.jp/kiyota-j/attach/get2/2208/0" TargetMode="External"/><Relationship Id="rId52" Type="http://schemas.openxmlformats.org/officeDocument/2006/relationships/hyperlink" Target="https://www.gakkou.net/kou/view/index_300142.html" TargetMode="External"/><Relationship Id="rId53" Type="http://schemas.openxmlformats.org/officeDocument/2006/relationships/hyperlink" Target="https://school.js88.com/scl_h/22053060" TargetMode="External"/><Relationship Id="rId54" Type="http://schemas.openxmlformats.org/officeDocument/2006/relationships/hyperlink" Target="https://www.gakkou.net/kou/view/index_300290.html" TargetMode="External"/><Relationship Id="rId55" Type="http://schemas.openxmlformats.org/officeDocument/2006/relationships/hyperlink" Target="https://seisa.ed.jp/ashibetsu/access/" TargetMode="External"/><Relationship Id="rId56" Type="http://schemas.openxmlformats.org/officeDocument/2006/relationships/hyperlink" Target="https://www.gakkou.net/kou/view/index_306406.html" TargetMode="External"/><Relationship Id="rId57" Type="http://schemas.openxmlformats.org/officeDocument/2006/relationships/hyperlink" Target="https://school.js88.com/scl_h/22052840" TargetMode="External"/><Relationship Id="rId58" Type="http://schemas.openxmlformats.org/officeDocument/2006/relationships/hyperlink" Target="https://www.gakkou.net/kou/view/index_300044.html" TargetMode="External"/><Relationship Id="rId59" Type="http://schemas.openxmlformats.org/officeDocument/2006/relationships/hyperlink" Target="https://school.js88.com/scl_h/22052760/" TargetMode="External"/><Relationship Id="rId60" Type="http://schemas.openxmlformats.org/officeDocument/2006/relationships/hyperlink" Target="https://www.gakkou.net/kou/view/index_300017.html" TargetMode="External"/><Relationship Id="rId61" Type="http://schemas.openxmlformats.org/officeDocument/2006/relationships/hyperlink" Target="https://haragakuen.ac.jp/access/" TargetMode="External"/><Relationship Id="rId62" Type="http://schemas.openxmlformats.org/officeDocument/2006/relationships/hyperlink" Target="https://www.gakkou.net/kou/view/index_300122.html" TargetMode="External"/><Relationship Id="rId63" Type="http://schemas.openxmlformats.org/officeDocument/2006/relationships/hyperlink" Target="https://school.js88.com/scl_h/34055718" TargetMode="External"/><Relationship Id="rId64" Type="http://schemas.openxmlformats.org/officeDocument/2006/relationships/hyperlink" Target="https://www.gakkou.net/kou/view/index_306787.html" TargetMode="External"/><Relationship Id="rId65" Type="http://schemas.openxmlformats.org/officeDocument/2006/relationships/hyperlink" Target="https://school.js88.com/scl_h/22052800/" TargetMode="External"/><Relationship Id="rId66" Type="http://schemas.openxmlformats.org/officeDocument/2006/relationships/hyperlink" Target="https://www.gakkou.net/kou/view/index_300050.html" TargetMode="External"/><Relationship Id="rId67" Type="http://schemas.openxmlformats.org/officeDocument/2006/relationships/hyperlink" Target="https://www.minkou.jp/hischool/school/deviation/3622/?c=1" TargetMode="External"/><Relationship Id="rId68" Type="http://schemas.openxmlformats.org/officeDocument/2006/relationships/hyperlink" Target="https://www.gakkou.net/kou/view/index_300034.html" TargetMode="External"/><Relationship Id="rId69" Type="http://schemas.openxmlformats.org/officeDocument/2006/relationships/hyperlink" Target="https://school.js88.com/scl_h/22052830" TargetMode="External"/><Relationship Id="rId70" Type="http://schemas.openxmlformats.org/officeDocument/2006/relationships/hyperlink" Target="https://www.gakkou.net/kou/view/index_300045.html" TargetMode="External"/><Relationship Id="rId71" Type="http://schemas.openxmlformats.org/officeDocument/2006/relationships/hyperlink" Target="https://school.js88.com/scl_h/22052850" TargetMode="External"/><Relationship Id="rId72" Type="http://schemas.openxmlformats.org/officeDocument/2006/relationships/hyperlink" Target="https://www.gakkou.net/kou/view/index_300055.html" TargetMode="External"/><Relationship Id="rId73" Type="http://schemas.openxmlformats.org/officeDocument/2006/relationships/hyperlink" Target="https://school.js88.com/scl_h/22052810" TargetMode="External"/><Relationship Id="rId74" Type="http://schemas.openxmlformats.org/officeDocument/2006/relationships/hyperlink" Target="https://www.gakkou.net/kou/view/index_300054.html" TargetMode="External"/><Relationship Id="rId75" Type="http://schemas.openxmlformats.org/officeDocument/2006/relationships/hyperlink" Target="https://school.js88.com/scl_h/22052860?page=6" TargetMode="External"/><Relationship Id="rId76" Type="http://schemas.openxmlformats.org/officeDocument/2006/relationships/hyperlink" Target="https://www.gakkou.net/kou/view/index_300047.html" TargetMode="External"/><Relationship Id="rId77" Type="http://schemas.openxmlformats.org/officeDocument/2006/relationships/hyperlink" Target="https://www.fuji-gjshs.jp/20020/files/2026kou_youkou.pdf" TargetMode="External"/><Relationship Id="rId78" Type="http://schemas.openxmlformats.org/officeDocument/2006/relationships/hyperlink" Target="https://www.gakkou.net/kou/view/index_300154.html" TargetMode="External"/><Relationship Id="rId79" Type="http://schemas.openxmlformats.org/officeDocument/2006/relationships/hyperlink" Target="https://school.js88.com/scl_h/22053090/" TargetMode="External"/><Relationship Id="rId80" Type="http://schemas.openxmlformats.org/officeDocument/2006/relationships/hyperlink" Target="https://www.gakkou.net/kou/view/index_300301.html" TargetMode="External"/><Relationship Id="rId81" Type="http://schemas.openxmlformats.org/officeDocument/2006/relationships/hyperlink" Target="https://school.js88.com/scl_h/22052870" TargetMode="External"/><Relationship Id="rId82" Type="http://schemas.openxmlformats.org/officeDocument/2006/relationships/hyperlink" Target="https://www.gakkou.net/kou/view/index_300076.html" TargetMode="External"/><Relationship Id="rId83" Type="http://schemas.openxmlformats.org/officeDocument/2006/relationships/hyperlink" Target="https://school.js88.com/scl_h/22052670?page=9" TargetMode="External"/><Relationship Id="rId84" Type="http://schemas.openxmlformats.org/officeDocument/2006/relationships/hyperlink" Target="https://www.gakkou.net/kou/view/index_300148.html" TargetMode="External"/><Relationship Id="rId85" Type="http://schemas.openxmlformats.org/officeDocument/2006/relationships/hyperlink" Target="https://school.js88.com/scl_h/22052660" TargetMode="External"/><Relationship Id="rId86" Type="http://schemas.openxmlformats.org/officeDocument/2006/relationships/hyperlink" Target="https://www.gakkou.net/kou/view/index_300012.html" TargetMode="External"/><Relationship Id="rId87" Type="http://schemas.openxmlformats.org/officeDocument/2006/relationships/hyperlink" Target="https://school.js88.com/scl_h/22052900/" TargetMode="External"/><Relationship Id="rId88" Type="http://schemas.openxmlformats.org/officeDocument/2006/relationships/hyperlink" Target="https://www.gakkou.net/kou/view/index_300066.html" TargetMode="External"/><Relationship Id="rId89" Type="http://schemas.openxmlformats.org/officeDocument/2006/relationships/hyperlink" Target="https://school.js88.com/scl_h/22053110%20;%20https://www.inter-edu.com/schools/school/321" TargetMode="External"/><Relationship Id="rId90" Type="http://schemas.openxmlformats.org/officeDocument/2006/relationships/hyperlink" Target="https://www.gakkou.net/kou/view/index_300169.html" TargetMode="External"/><Relationship Id="rId91" Type="http://schemas.openxmlformats.org/officeDocument/2006/relationships/hyperlink" Target="https://www.hgs.ed.jp/about/index.html" TargetMode="External"/><Relationship Id="rId92" Type="http://schemas.openxmlformats.org/officeDocument/2006/relationships/hyperlink" Target="https://www.gakkou.net/kou/view/index_300174.html" TargetMode="External"/><Relationship Id="rId93" Type="http://schemas.openxmlformats.org/officeDocument/2006/relationships/hyperlink" Target="https://school.js88.com/scl_h/22052590%20;%20https://www.hokkai.ed.jp/sub/access.html" TargetMode="External"/><Relationship Id="rId94" Type="http://schemas.openxmlformats.org/officeDocument/2006/relationships/hyperlink" Target="https://www.gakkou.net/kou/view/index_300173.html" TargetMode="External"/><Relationship Id="rId95" Type="http://schemas.openxmlformats.org/officeDocument/2006/relationships/hyperlink" Target="https://school.js88.com/scl_h/22052990?page=6" TargetMode="External"/><Relationship Id="rId96" Type="http://schemas.openxmlformats.org/officeDocument/2006/relationships/hyperlink" Target="https://www.gakkou.net/kou/view/index_300105.html" TargetMode="External"/><Relationship Id="rId97" Type="http://schemas.openxmlformats.org/officeDocument/2006/relationships/hyperlink" Target="https://www.city.sapporo.jp/teine/shisetsu/school.html%20;%20https://school.js88.com/scl_h/22052630/" TargetMode="External"/><Relationship Id="rId98" Type="http://schemas.openxmlformats.org/officeDocument/2006/relationships/hyperlink" Target="https://www.gakkou.net/kou/view/index_300175.html" TargetMode="External"/><Relationship Id="rId99" Type="http://schemas.openxmlformats.org/officeDocument/2006/relationships/hyperlink" Target="https://www.kyokei.ac.jp/contact/" TargetMode="External"/><Relationship Id="rId100" Type="http://schemas.openxmlformats.org/officeDocument/2006/relationships/hyperlink" Target="https://www.gakkou.net/kou/view/index_306548.html" TargetMode="External"/><Relationship Id="rId101" Type="http://schemas.openxmlformats.org/officeDocument/2006/relationships/hyperlink" Target="https://school.js88.com/scl_h/22053020/" TargetMode="External"/><Relationship Id="rId102" Type="http://schemas.openxmlformats.org/officeDocument/2006/relationships/hyperlink" Target="https://www.gakkou.net/kou/view/index_300137.html" TargetMode="External"/><Relationship Id="rId103" Type="http://schemas.openxmlformats.org/officeDocument/2006/relationships/hyperlink" Target="https://school.js88.com/scl_h/22052730" TargetMode="External"/><Relationship Id="rId104" Type="http://schemas.openxmlformats.org/officeDocument/2006/relationships/hyperlink" Target="https://www.gakkou.net/kou/view/index_300021.html" TargetMode="External"/><Relationship Id="rId105" Type="http://schemas.openxmlformats.org/officeDocument/2006/relationships/hyperlink" Target="https://school.js88.com/scl_h/22052750/" TargetMode="External"/><Relationship Id="rId106" Type="http://schemas.openxmlformats.org/officeDocument/2006/relationships/hyperlink" Target="https://www.gakkou.net/kou/view/index_300202.html" TargetMode="External"/><Relationship Id="rId107" Type="http://schemas.openxmlformats.org/officeDocument/2006/relationships/hyperlink" Target="https://www.minkou.jp/junior/school/6019/" TargetMode="External"/><Relationship Id="rId108" Type="http://schemas.openxmlformats.org/officeDocument/2006/relationships/hyperlink" Target="https://www.gakkou.net/kou/view/index_300201.html" TargetMode="External"/><Relationship Id="rId109" Type="http://schemas.openxmlformats.org/officeDocument/2006/relationships/hyperlink" Target="https://school.js88.com/scl_h/22052960" TargetMode="External"/><Relationship Id="rId110" Type="http://schemas.openxmlformats.org/officeDocument/2006/relationships/hyperlink" Target="https://www.gakkou.net/kou/view/index_300355.html" TargetMode="External"/><Relationship Id="rId111" Type="http://schemas.openxmlformats.org/officeDocument/2006/relationships/hyperlink" Target="https://www.aomoriakenohoshi.ed.jp/%20;%20https://www.mapion.co.jp/phonebook/M11004/02201/ILSP0000041805_ipclm/" TargetMode="External"/><Relationship Id="rId112" Type="http://schemas.openxmlformats.org/officeDocument/2006/relationships/hyperlink" Target="https://www.gakkou.net/kou/view/index_300402.html" TargetMode="External"/><Relationship Id="rId113" Type="http://schemas.openxmlformats.org/officeDocument/2006/relationships/hyperlink" Target="https://www.pref.aomori.lg.jp/soshiki/soumu/gakuji/files/R5_kou.pdf%20;%20https://studychain.jp/koukoudb/school/82/" TargetMode="External"/><Relationship Id="rId114" Type="http://schemas.openxmlformats.org/officeDocument/2006/relationships/hyperlink" Target="https://www.gakkou.net/kou/view/index_300394.html" TargetMode="External"/><Relationship Id="rId115" Type="http://schemas.openxmlformats.org/officeDocument/2006/relationships/hyperlink" Target="https://school.js88.com/scl_h/22027860/" TargetMode="External"/><Relationship Id="rId116" Type="http://schemas.openxmlformats.org/officeDocument/2006/relationships/hyperlink" Target="https://www.gakkou.net/kou/view/index_300406.html" TargetMode="External"/><Relationship Id="rId117" Type="http://schemas.openxmlformats.org/officeDocument/2006/relationships/hyperlink" Target="https://www.mapion.co.jp/phonebook/M11004/02205/ILSP0000040727_ipclm/%20;%20https://www.pref.aomori.lg.jp/soshiki/soumu/gakuji/files/R4_kou.pdf" TargetMode="External"/><Relationship Id="rId118" Type="http://schemas.openxmlformats.org/officeDocument/2006/relationships/hyperlink" Target="https://www.gakkou.net/kou/view/index_300449.html" TargetMode="External"/><Relationship Id="rId119" Type="http://schemas.openxmlformats.org/officeDocument/2006/relationships/hyperlink" Target="https://hs.shibata.ac.jp/access/%20;%20https://school.js88.com/scl_h/22027720" TargetMode="External"/><Relationship Id="rId120" Type="http://schemas.openxmlformats.org/officeDocument/2006/relationships/hyperlink" Target="https://www.gakkou.net/kou/view/index_300441.html" TargetMode="External"/><Relationship Id="rId121" Type="http://schemas.openxmlformats.org/officeDocument/2006/relationships/hyperlink" Target="https://school.js88.com/scl_h/22027820?page=7%20;%20https://www.navitime.co.jp/category/0504/02384/" TargetMode="External"/><Relationship Id="rId122" Type="http://schemas.openxmlformats.org/officeDocument/2006/relationships/hyperlink" Target="https://www.gakkou.net/kou/view/index_300453.html" TargetMode="External"/><Relationship Id="rId123" Type="http://schemas.openxmlformats.org/officeDocument/2006/relationships/hyperlink" Target="https://www.pref.aomori.lg.jp/soshiki/kodomo/kenmin/files/R6_kou.pdf%20;%20https://school.js88.com/scl_h/22027830?page=7" TargetMode="External"/><Relationship Id="rId124" Type="http://schemas.openxmlformats.org/officeDocument/2006/relationships/hyperlink" Target="https://www.gakkou.net/kou/view/index_300489.html" TargetMode="External"/><Relationship Id="rId125" Type="http://schemas.openxmlformats.org/officeDocument/2006/relationships/hyperlink" Target="https://www.pref.aomori.lg.jp/soshiki/kodomo/kenmin/files/R6_kou.pdf%20;%20https://www.mapion.co.jp/phonebook/M11004/02203/ILSP0000041720_ipclm/" TargetMode="External"/><Relationship Id="rId126" Type="http://schemas.openxmlformats.org/officeDocument/2006/relationships/hyperlink" Target="https://www.gakkou.net/kou/view/index_300405.html" TargetMode="External"/><Relationship Id="rId127" Type="http://schemas.openxmlformats.org/officeDocument/2006/relationships/hyperlink" Target="https://www.toogakuen.ac.jp/" TargetMode="External"/><Relationship Id="rId128" Type="http://schemas.openxmlformats.org/officeDocument/2006/relationships/hyperlink" Target="https://www.gakkou.net/kou/view/index_300392.html" TargetMode="External"/><Relationship Id="rId129" Type="http://schemas.openxmlformats.org/officeDocument/2006/relationships/hyperlink" Target="https://www.pref.aomori.lg.jp/soshiki/soumu/gakuji/files/R5_kou.pdf%20;%20https://school.js88.com/scl_h/22027700" TargetMode="External"/><Relationship Id="rId130" Type="http://schemas.openxmlformats.org/officeDocument/2006/relationships/hyperlink" Target="https://www.gakkou.net/kou/view/index_300439.html" TargetMode="External"/><Relationship Id="rId131" Type="http://schemas.openxmlformats.org/officeDocument/2006/relationships/hyperlink" Target="https://kh.hachinohe-u.ac.jp/scinfo/summary/" TargetMode="External"/><Relationship Id="rId132" Type="http://schemas.openxmlformats.org/officeDocument/2006/relationships/hyperlink" Target="https://www.gakkou.net/kou/view/index_300413.html" TargetMode="External"/><Relationship Id="rId133" Type="http://schemas.openxmlformats.org/officeDocument/2006/relationships/hyperlink" Target="https://school.js88.com/scl_h/22027840" TargetMode="External"/><Relationship Id="rId134" Type="http://schemas.openxmlformats.org/officeDocument/2006/relationships/hyperlink" Target="https://www.gakkou.net/kou/view/index_306426.html" TargetMode="External"/><Relationship Id="rId135" Type="http://schemas.openxmlformats.org/officeDocument/2006/relationships/hyperlink" Target="https://school.js88.com/scl_h/22027800%20;%20https://map.yahoo.co.jp/v3/place/dGZMNK1nstI" TargetMode="External"/><Relationship Id="rId136" Type="http://schemas.openxmlformats.org/officeDocument/2006/relationships/hyperlink" Target="https://www.gakkou.net/kou/view/index_300418.html" TargetMode="External"/><Relationship Id="rId137" Type="http://schemas.openxmlformats.org/officeDocument/2006/relationships/hyperlink" Target="https://www.kodai2-h.ed.jp/access" TargetMode="External"/><Relationship Id="rId138" Type="http://schemas.openxmlformats.org/officeDocument/2006/relationships/hyperlink" Target="https://www.gakkou.net/kou/view/index_300415.html" TargetMode="External"/><Relationship Id="rId139" Type="http://schemas.openxmlformats.org/officeDocument/2006/relationships/hyperlink" Target="https://unesco-sdgs.mext.go.jp/stakeholders/hachinohe-st-ursula-junior-and-senior-high-school%20;%20https://studychain.jp/koukoudb/school/4086/" TargetMode="External"/><Relationship Id="rId140" Type="http://schemas.openxmlformats.org/officeDocument/2006/relationships/hyperlink" Target="https://www.gakkou.net/kou/view/index_300480.html" TargetMode="External"/><Relationship Id="rId141" Type="http://schemas.openxmlformats.org/officeDocument/2006/relationships/hyperlink" Target="https://www.pref.aomori.lg.jp/soshiki/kodomo/kenmin/files/R6_kou.pdf" TargetMode="External"/><Relationship Id="rId142" Type="http://schemas.openxmlformats.org/officeDocument/2006/relationships/hyperlink" Target="https://www.gakkou.net/kou/view/index_300440.html" TargetMode="External"/><Relationship Id="rId143" Type="http://schemas.openxmlformats.org/officeDocument/2006/relationships/hyperlink" Target="https://hirosakihigashi-th.ed.jp/%20;%20https://www.pref.aomori.lg.jp/soshiki/soumu/gakuji/files/R5_kou.pdf" TargetMode="External"/><Relationship Id="rId144" Type="http://schemas.openxmlformats.org/officeDocument/2006/relationships/hyperlink" Target="https://www.gakkou.net/kou/view/index_300438.html" TargetMode="External"/><Relationship Id="rId145" Type="http://schemas.openxmlformats.org/officeDocument/2006/relationships/hyperlink" Target="https://ichinoseki-gakuin.jp/contact/index.html%20;%20https://www.mapion.co.jp/phonebook/M11004/03209/ILSP0000041169_ipclm/" TargetMode="External"/><Relationship Id="rId146" Type="http://schemas.openxmlformats.org/officeDocument/2006/relationships/hyperlink" Target="https://www.gakkou.net/kou/view/index_300522.html" TargetMode="External"/><Relationship Id="rId147" Type="http://schemas.openxmlformats.org/officeDocument/2006/relationships/hyperlink" Target="https://shuko.ed.jp/profile/%20;%20https://www.mapion.co.jp/phonebook/M11004/03209/ILSP0000041931_ipclm/" TargetMode="External"/><Relationship Id="rId148" Type="http://schemas.openxmlformats.org/officeDocument/2006/relationships/hyperlink" Target="https://www.gakkou.net/kou/view/index_300521.html" TargetMode="External"/><Relationship Id="rId149" Type="http://schemas.openxmlformats.org/officeDocument/2006/relationships/hyperlink" Target="https://iwate-jh.ed.jp/%20;%20https://map.yahoo.co.jp/v3/place/RvEksJmg4Wo" TargetMode="External"/><Relationship Id="rId150" Type="http://schemas.openxmlformats.org/officeDocument/2006/relationships/hyperlink" Target="https://www.gakkou.net/kou/view/index_300499.html" TargetMode="External"/><Relationship Id="rId151" Type="http://schemas.openxmlformats.org/officeDocument/2006/relationships/hyperlink" Target="https://iwatejoshi-h.ed.jp/access/index.html%20;%20https://school.js88.com/scl_h/22028650" TargetMode="External"/><Relationship Id="rId152" Type="http://schemas.openxmlformats.org/officeDocument/2006/relationships/hyperlink" Target="https://www.gakkou.net/kou/view/index_300496.html" TargetMode="External"/><Relationship Id="rId153" Type="http://schemas.openxmlformats.org/officeDocument/2006/relationships/hyperlink" Target="http://kounan-h.jp/%20;%20https://school.js88.com/scl_h/22028670/" TargetMode="External"/><Relationship Id="rId154" Type="http://schemas.openxmlformats.org/officeDocument/2006/relationships/hyperlink" Target="https://www.gakkou.net/kou/view/index_300506.html" TargetMode="External"/><Relationship Id="rId155" Type="http://schemas.openxmlformats.org/officeDocument/2006/relationships/hyperlink" Target="https://www.minkou.jp/hischool/school/2478/%20;%20https://school.js88.com/scl_h/22028730" TargetMode="External"/><Relationship Id="rId156" Type="http://schemas.openxmlformats.org/officeDocument/2006/relationships/hyperlink" Target="https://www.gakkou.net/kou/view/index_300544.html" TargetMode="External"/><Relationship Id="rId157" Type="http://schemas.openxmlformats.org/officeDocument/2006/relationships/hyperlink" Target="https://www.hanamakihigashi-h.jp/contact/index.php%20;%20https://www.mapion.co.jp/phonebook/M11004/03205/ILSP0000041838_ipclm/" TargetMode="External"/><Relationship Id="rId158" Type="http://schemas.openxmlformats.org/officeDocument/2006/relationships/hyperlink" Target="https://www.gakkou.net/kou/view/index_300548.html" TargetMode="External"/><Relationship Id="rId159" Type="http://schemas.openxmlformats.org/officeDocument/2006/relationships/hyperlink" Target="https://mizuichi.ed.jp/contact/index.html%20;%20https://www.mapion.co.jp/phonebook/M11004/03215/ILSP0000041877_ipclm/" TargetMode="External"/><Relationship Id="rId160" Type="http://schemas.openxmlformats.org/officeDocument/2006/relationships/hyperlink" Target="https://www.gakkou.net/kou/view/index_300536.html" TargetMode="External"/><Relationship Id="rId161" Type="http://schemas.openxmlformats.org/officeDocument/2006/relationships/hyperlink" Target="https://msgsp.jp/admission/%20;%20https://www.mapion.co.jp/phonebook/M11004/03201/ILSP0000040814_ipclm/" TargetMode="External"/><Relationship Id="rId162" Type="http://schemas.openxmlformats.org/officeDocument/2006/relationships/hyperlink" Target="https://www.gakkou.net/kou/view/index_300495.html" TargetMode="External"/><Relationship Id="rId163" Type="http://schemas.openxmlformats.org/officeDocument/2006/relationships/hyperlink" Target="https://school.js88.com/scl_h/22028690?page=7" TargetMode="External"/><Relationship Id="rId164" Type="http://schemas.openxmlformats.org/officeDocument/2006/relationships/hyperlink" Target="https://www.gakkou.net/kou/view/index_300516.html" TargetMode="External"/><Relationship Id="rId165" Type="http://schemas.openxmlformats.org/officeDocument/2006/relationships/hyperlink" Target="https://www.morioka-seio.ed.jp/about_school/%20;%20https://www.mapion.co.jp/phonebook/M11004/03201/ILSP0000040690_ipclm/" TargetMode="External"/><Relationship Id="rId166" Type="http://schemas.openxmlformats.org/officeDocument/2006/relationships/hyperlink" Target="https://www.gakkou.net/kou/view/index_300503.html" TargetMode="External"/><Relationship Id="rId167" Type="http://schemas.openxmlformats.org/officeDocument/2006/relationships/hyperlink" Target="https://school.js88.com/scl_h/22028680/" TargetMode="External"/><Relationship Id="rId168" Type="http://schemas.openxmlformats.org/officeDocument/2006/relationships/hyperlink" Target="https://www.gakkou.net/kou/view/index_300505.html" TargetMode="External"/><Relationship Id="rId169" Type="http://schemas.openxmlformats.org/officeDocument/2006/relationships/hyperlink" Target="https://school.js88.com/scl_h/22028700?page=9%20;%20https://www.inter-edu.com/schools/school/1760" TargetMode="External"/><Relationship Id="rId170" Type="http://schemas.openxmlformats.org/officeDocument/2006/relationships/hyperlink" Target="https://www.gakkou.net/kou/view/index_300504.html" TargetMode="External"/><Relationship Id="rId171" Type="http://schemas.openxmlformats.org/officeDocument/2006/relationships/hyperlink" Target="http://www.osakichuo.ed.jp/access.html%20;%20https://www.pref.miyagi.jp/documents/6697/r6_meibo.pdf" TargetMode="External"/><Relationship Id="rId172" Type="http://schemas.openxmlformats.org/officeDocument/2006/relationships/hyperlink" Target="https://www.gakkou.net/kou/view/index_300725.html" TargetMode="External"/><Relationship Id="rId173" Type="http://schemas.openxmlformats.org/officeDocument/2006/relationships/hyperlink" Target="https://ap.shokei.jp/access/%20;%20https://school.js88.com/scl_h/22029620" TargetMode="External"/><Relationship Id="rId174" Type="http://schemas.openxmlformats.org/officeDocument/2006/relationships/hyperlink" Target="https://www.gakkou.net/kou/view/index_300616.html" TargetMode="External"/><Relationship Id="rId175" Type="http://schemas.openxmlformats.org/officeDocument/2006/relationships/hyperlink" Target="https://www.pref.miyagi.jp/documents/6697/r7_meibo.pdf%20;%20https://school.js88.com/scl_h/22029880/" TargetMode="External"/><Relationship Id="rId176" Type="http://schemas.openxmlformats.org/officeDocument/2006/relationships/hyperlink" Target="https://www.gakkou.net/kou/view/index_300657.html" TargetMode="External"/><Relationship Id="rId177" Type="http://schemas.openxmlformats.org/officeDocument/2006/relationships/hyperlink" Target="https://school.js88.com/scl_h/22029890/" TargetMode="External"/><Relationship Id="rId178" Type="http://schemas.openxmlformats.org/officeDocument/2006/relationships/hyperlink" Target="https://www.gakkou.net/kou/view/index_300617.html" TargetMode="External"/><Relationship Id="rId179" Type="http://schemas.openxmlformats.org/officeDocument/2006/relationships/hyperlink" Target="https://highschool.seiwa.ac.jp/access/" TargetMode="External"/><Relationship Id="rId180" Type="http://schemas.openxmlformats.org/officeDocument/2006/relationships/hyperlink" Target="https://www.gakkou.net/kou/view/index_300654.html" TargetMode="External"/><Relationship Id="rId181" Type="http://schemas.openxmlformats.org/officeDocument/2006/relationships/hyperlink" Target="https://www.sendaiikuei.ed.jp/hs/access/" TargetMode="External"/><Relationship Id="rId182" Type="http://schemas.openxmlformats.org/officeDocument/2006/relationships/hyperlink" Target="https://www.gakkou.net/kou/view/index_300651.html" TargetMode="External"/><Relationship Id="rId183" Type="http://schemas.openxmlformats.org/officeDocument/2006/relationships/hyperlink" Target="https://jh.sendaishirayuri.net/%20;%20https://www.miyagi-chukouren.com/post/" TargetMode="External"/><Relationship Id="rId184" Type="http://schemas.openxmlformats.org/officeDocument/2006/relationships/hyperlink" Target="https://www.gakkou.net/kou/view/index_300608.html" TargetMode="External"/><Relationship Id="rId185" Type="http://schemas.openxmlformats.org/officeDocument/2006/relationships/hyperlink" Target="https://school.js88.com/scl_h/22029900" TargetMode="External"/><Relationship Id="rId186" Type="http://schemas.openxmlformats.org/officeDocument/2006/relationships/hyperlink" Target="https://www.gakkou.net/kou/view/index_306757.html" TargetMode="External"/><Relationship Id="rId187" Type="http://schemas.openxmlformats.org/officeDocument/2006/relationships/hyperlink" Target="https://www.hgm.ed.jp/dnt2/_meisei/access/nic_img/7/files/r8bosyuyokopdf.pdf" TargetMode="External"/><Relationship Id="rId188" Type="http://schemas.openxmlformats.org/officeDocument/2006/relationships/hyperlink" Target="https://www.gakkou.net/kou/view/index_300625.html" TargetMode="External"/><Relationship Id="rId189" Type="http://schemas.openxmlformats.org/officeDocument/2006/relationships/hyperlink" Target="https://www.jhs.tohoku-gakuin.ac.jp/admission/files/guidebook.pdf" TargetMode="External"/><Relationship Id="rId190" Type="http://schemas.openxmlformats.org/officeDocument/2006/relationships/hyperlink" Target="https://www.gakkou.net/kou/view/index_300609.html" TargetMode="External"/><Relationship Id="rId191" Type="http://schemas.openxmlformats.org/officeDocument/2006/relationships/hyperlink" Target="https://www.tutuji.tohoku-gakuin.ac.jp/admission/files/pamphlet.pdf%20;%20https://www.tutuji.tohoku-gakuin.ac.jp/admission/data/second/youkou.pdf" TargetMode="External"/><Relationship Id="rId192" Type="http://schemas.openxmlformats.org/officeDocument/2006/relationships/hyperlink" Target="https://www.gakkou.net/kou/view/index_300632.html" TargetMode="External"/><Relationship Id="rId193" Type="http://schemas.openxmlformats.org/officeDocument/2006/relationships/hyperlink" Target="https://www.tohoku.ed.jp/access/%20;%20https://school.js88.com/scl_h/22029570" TargetMode="External"/><Relationship Id="rId194" Type="http://schemas.openxmlformats.org/officeDocument/2006/relationships/hyperlink" Target="https://www.gakkou.net/kou/view/index_300623.html" TargetMode="External"/><Relationship Id="rId195" Type="http://schemas.openxmlformats.org/officeDocument/2006/relationships/hyperlink" Target="https://www.seibun.ed.jp/contact/" TargetMode="External"/><Relationship Id="rId196" Type="http://schemas.openxmlformats.org/officeDocument/2006/relationships/hyperlink" Target="https://www.gakkou.net/kou/view/index_300641.html" TargetMode="External"/><Relationship Id="rId197" Type="http://schemas.openxmlformats.org/officeDocument/2006/relationships/hyperlink" Target="https://www.pref.miyagi.jp/documents/17663/09kannaigakkouitiran.pdf%20;%20https://school.js88.com/scl_h/22029940" TargetMode="External"/><Relationship Id="rId198" Type="http://schemas.openxmlformats.org/officeDocument/2006/relationships/hyperlink" Target="https://www.gakkou.net/kou/view/index_300698.html" TargetMode="External"/><Relationship Id="rId199" Type="http://schemas.openxmlformats.org/officeDocument/2006/relationships/hyperlink" Target="https://www.tokiwagi.ed.jp/%20;%20https://www.mapion.co.jp/phonebook/M11004/04101/ILSP0000041493_ipclm/" TargetMode="External"/><Relationship Id="rId200" Type="http://schemas.openxmlformats.org/officeDocument/2006/relationships/hyperlink" Target="https://www.gakkou.net/kou/view/index_300607.html" TargetMode="External"/><Relationship Id="rId201" Type="http://schemas.openxmlformats.org/officeDocument/2006/relationships/hyperlink" Target="https://school.js88.com/scl_h/22029950" TargetMode="External"/><Relationship Id="rId202" Type="http://schemas.openxmlformats.org/officeDocument/2006/relationships/hyperlink" Target="https://www.gakkou.net/kou/view/index_300704.html" TargetMode="External"/><Relationship Id="rId203" Type="http://schemas.openxmlformats.org/officeDocument/2006/relationships/hyperlink" Target="https://school.js88.com/scl_h/22029920%20;%20https://www.minkou.jp/hischool/school/university/4189/" TargetMode="External"/><Relationship Id="rId204" Type="http://schemas.openxmlformats.org/officeDocument/2006/relationships/hyperlink" Target="https://www.gakkou.net/kou/view/index_300726.html" TargetMode="External"/><Relationship Id="rId205" Type="http://schemas.openxmlformats.org/officeDocument/2006/relationships/hyperlink" Target="https://www.miyagi-chukouren.com/post/%20;%20https://www.mapion.co.jp/phonebook/M11004/04101/ILSP0000041377_ipclm/" TargetMode="External"/><Relationship Id="rId206" Type="http://schemas.openxmlformats.org/officeDocument/2006/relationships/hyperlink" Target="https://www.gakkou.net/kou/view/index_300626.html" TargetMode="External"/><Relationship Id="rId207" Type="http://schemas.openxmlformats.org/officeDocument/2006/relationships/hyperlink" Target="https://map.yahoo.co.jp/v3/place/bojoJz7KkxU%20;%20https://school.js88.com/scl_h/22030520" TargetMode="External"/><Relationship Id="rId208" Type="http://schemas.openxmlformats.org/officeDocument/2006/relationships/hyperlink" Target="https://www.gakkou.net/kou/view/index_300765.html" TargetMode="External"/><Relationship Id="rId209" Type="http://schemas.openxmlformats.org/officeDocument/2006/relationships/hyperlink" Target="https://www.pref.akita.lg.jp/uploads/public/archive_0000049957_00/R5&#31179;&#30000;&#30476;&#39640;&#31561;&#23398;&#26657;&#19968;&#35239;.pdf" TargetMode="External"/><Relationship Id="rId210" Type="http://schemas.openxmlformats.org/officeDocument/2006/relationships/hyperlink" Target="https://www.gakkou.net/kou/view/index_300744.html" TargetMode="External"/><Relationship Id="rId211" Type="http://schemas.openxmlformats.org/officeDocument/2006/relationships/hyperlink" Target="https://www.pref.akita.lg.jp/uploads/public/archive_0000049957_00/R5&#31179;&#30000;&#30476;&#39640;&#31561;&#23398;&#26657;&#19968;&#35239;.pdf" TargetMode="External"/><Relationship Id="rId212" Type="http://schemas.openxmlformats.org/officeDocument/2006/relationships/hyperlink" Target="https://www.gakkou.net/kou/view/index_300742.html" TargetMode="External"/><Relationship Id="rId213" Type="http://schemas.openxmlformats.org/officeDocument/2006/relationships/hyperlink" Target="https://school.js88.com/scl_h/22030490%20;%20https://akitajet.com/wiki/Seirei_Senior_High_School" TargetMode="External"/><Relationship Id="rId214" Type="http://schemas.openxmlformats.org/officeDocument/2006/relationships/hyperlink" Target="https://www.gakkou.net/kou/view/index_300733.html" TargetMode="External"/><Relationship Id="rId215" Type="http://schemas.openxmlformats.org/officeDocument/2006/relationships/hyperlink" Target="https://www.pref.akita.lg.jp/uploads/public/archive_0000049957_00/R5&#31179;&#30000;&#30476;&#39640;&#31561;&#23398;&#26657;&#19968;&#35239;.pdf" TargetMode="External"/><Relationship Id="rId216" Type="http://schemas.openxmlformats.org/officeDocument/2006/relationships/hyperlink" Target="https://www.gakkou.net/kou/view/index_300734.html" TargetMode="External"/><Relationship Id="rId217" Type="http://schemas.openxmlformats.org/officeDocument/2006/relationships/hyperlink" Target="https://school.js88.com/scl_h/22030920/%20;%20https://studychain.jp/koukoudb/school/1573/" TargetMode="External"/><Relationship Id="rId218" Type="http://schemas.openxmlformats.org/officeDocument/2006/relationships/hyperlink" Target="https://www.gakkou.net/kou/view/index_300872.html" TargetMode="External"/><Relationship Id="rId219" Type="http://schemas.openxmlformats.org/officeDocument/2006/relationships/hyperlink" Target="https://school.js88.com/scl_h/22030900%20;%20https://www100.pref.yamagata.jp/documents/1101/r5meibo.pdf" TargetMode="External"/><Relationship Id="rId220" Type="http://schemas.openxmlformats.org/officeDocument/2006/relationships/hyperlink" Target="https://www.gakkou.net/kou/view/index_300830.html" TargetMode="External"/><Relationship Id="rId221" Type="http://schemas.openxmlformats.org/officeDocument/2006/relationships/hyperlink" Target="https://www.sakataminami-h.ed.jp/contact/" TargetMode="External"/><Relationship Id="rId222" Type="http://schemas.openxmlformats.org/officeDocument/2006/relationships/hyperlink" Target="https://www.gakkou.net/kou/view/index_300864.html" TargetMode="External"/><Relationship Id="rId223" Type="http://schemas.openxmlformats.org/officeDocument/2006/relationships/hyperlink" Target="http://shinjo-east.com/access.html%20;%20https://www.mapion.co.jp/phonebook/M11004/06205/ILSP0000041749_ipclm/" TargetMode="External"/><Relationship Id="rId224" Type="http://schemas.openxmlformats.org/officeDocument/2006/relationships/hyperlink" Target="https://www.gakkou.net/kou/view/index_300847.html" TargetMode="External"/><Relationship Id="rId225" Type="http://schemas.openxmlformats.org/officeDocument/2006/relationships/hyperlink" Target="https://sogaku.ed.jp/introduction/access%20;%20https://www100.pref.yamagata.jp/documents/1101/r5meibo.pdf" TargetMode="External"/><Relationship Id="rId226" Type="http://schemas.openxmlformats.org/officeDocument/2006/relationships/hyperlink" Target="https://www.gakkou.net/kou/view/index_300842.html" TargetMode="External"/><Relationship Id="rId227" Type="http://schemas.openxmlformats.org/officeDocument/2006/relationships/hyperlink" Target="https://school.js88.com/scl_h/22030940/" TargetMode="External"/><Relationship Id="rId228" Type="http://schemas.openxmlformats.org/officeDocument/2006/relationships/hyperlink" Target="https://www.gakkou.net/kou/view/index_300851.html" TargetMode="External"/><Relationship Id="rId229" Type="http://schemas.openxmlformats.org/officeDocument/2006/relationships/hyperlink" Target="https://www.minkou.jp/hischool/school/2773/%20;%20https://www200.pref.yamagata.jp/documents/1101/r7meibo.pdf" TargetMode="External"/><Relationship Id="rId230" Type="http://schemas.openxmlformats.org/officeDocument/2006/relationships/hyperlink" Target="https://www.gakkou.net/kou/view/index_300822.html" TargetMode="External"/><Relationship Id="rId231" Type="http://schemas.openxmlformats.org/officeDocument/2006/relationships/hyperlink" Target="https://www.johoku.ed.jp/school-life/" TargetMode="External"/><Relationship Id="rId232" Type="http://schemas.openxmlformats.org/officeDocument/2006/relationships/hyperlink" Target="https://www.gakkou.net/kou/view/index_300816.html" TargetMode="External"/><Relationship Id="rId233" Type="http://schemas.openxmlformats.org/officeDocument/2006/relationships/hyperlink" Target="https://www.ymgt.hs.nihon-u.ac.jp/wp-content/uploads/2025/06/&#37096;&#27963;&#20307;&#39443;&#20250;2025&#12481;&#12521;&#12471;.pdf" TargetMode="External"/><Relationship Id="rId234" Type="http://schemas.openxmlformats.org/officeDocument/2006/relationships/hyperlink" Target="https://www.gakkou.net/kou/view/index_300823.html" TargetMode="External"/><Relationship Id="rId235" Type="http://schemas.openxmlformats.org/officeDocument/2006/relationships/hyperlink" Target="https://www.haguroko.ed.jp/%20;%20https://www.mapion.co.jp/phonebook/M11004/06203/ILSP0000041869_ipclm/" TargetMode="External"/><Relationship Id="rId236" Type="http://schemas.openxmlformats.org/officeDocument/2006/relationships/hyperlink" Target="https://www.gakkou.net/kou/view/index_300857.html" TargetMode="External"/><Relationship Id="rId237" Type="http://schemas.openxmlformats.org/officeDocument/2006/relationships/hyperlink" Target="https://www.y-gakuin.ac.jp/about/%20;%20https://www200.pref.yamagata.jp/documents/1101/r7meibo.pdf" TargetMode="External"/><Relationship Id="rId238" Type="http://schemas.openxmlformats.org/officeDocument/2006/relationships/hyperlink" Target="https://www.gakkou.net/kou/view/index_300807.html" TargetMode="External"/><Relationship Id="rId239" Type="http://schemas.openxmlformats.org/officeDocument/2006/relationships/hyperlink" Target="https://www100.pref.yamagata.jp/documents/1101/r6meibo.pdf%20;%20https://map.yahoo.co.jp/v3/place/MoZP1zgQvRE" TargetMode="External"/><Relationship Id="rId240" Type="http://schemas.openxmlformats.org/officeDocument/2006/relationships/hyperlink" Target="https://www.gakkou.net/kou/view/index_300820.html" TargetMode="External"/><Relationship Id="rId241" Type="http://schemas.openxmlformats.org/officeDocument/2006/relationships/hyperlink" Target="https://school.js88.com/scl_h/22029820%20;%20https://www.minkou.jp/hischool/school/4893/" TargetMode="External"/><Relationship Id="rId242" Type="http://schemas.openxmlformats.org/officeDocument/2006/relationships/hyperlink" Target="https://www.gakkou.net/kou/view/index_300817.html" TargetMode="External"/><Relationship Id="rId243" Type="http://schemas.openxmlformats.org/officeDocument/2006/relationships/hyperlink" Target="https://school.js88.com/scl_h/22030910?page=7%20;%20https://studychain.jp/koukoudb/school/5290/" TargetMode="External"/><Relationship Id="rId244" Type="http://schemas.openxmlformats.org/officeDocument/2006/relationships/hyperlink" Target="https://www.gakkou.net/kou/view/index_300831.html" TargetMode="External"/><Relationship Id="rId245" Type="http://schemas.openxmlformats.org/officeDocument/2006/relationships/hyperlink" Target="https://www.wajun-honbu.ac.jp/wajunkan/1.html%20;%20https://www.mapion.co.jp/phonebook/M11004/06204/ILSP0000040809_ipclm/" TargetMode="External"/><Relationship Id="rId246" Type="http://schemas.openxmlformats.org/officeDocument/2006/relationships/hyperlink" Target="https://www.gakkou.net/kou/view/index_306483.html" TargetMode="External"/><Relationship Id="rId247" Type="http://schemas.openxmlformats.org/officeDocument/2006/relationships/hyperlink" Target="https://www.city.aizuwakamatsu.fukushima.jp/info/2024041000377/%20;%20https://school.js88.com/scl_h/22031860/" TargetMode="External"/><Relationship Id="rId248" Type="http://schemas.openxmlformats.org/officeDocument/2006/relationships/hyperlink" Target="https://www.gakkou.net/kou/view/index_300948.html" TargetMode="External"/><Relationship Id="rId249" Type="http://schemas.openxmlformats.org/officeDocument/2006/relationships/hyperlink" Target="https://www.aizu-xaverio.ed.jp/%20;%20https://www.city.aizuwakamatsu.fukushima.jp/info/2024041000384/" TargetMode="External"/><Relationship Id="rId250" Type="http://schemas.openxmlformats.org/officeDocument/2006/relationships/hyperlink" Target="https://www.gakkou.net/kou/view/index_300955.html" TargetMode="External"/><Relationship Id="rId251" Type="http://schemas.openxmlformats.org/officeDocument/2006/relationships/hyperlink" Target="https://ishikawa-gijuku.ac.jp/lp2020/%20;%20https://school.js88.com/scl_h/22031850" TargetMode="External"/><Relationship Id="rId252" Type="http://schemas.openxmlformats.org/officeDocument/2006/relationships/hyperlink" Target="https://www.gakkou.net/kou/view/index_300932.html" TargetMode="External"/><Relationship Id="rId253" Type="http://schemas.openxmlformats.org/officeDocument/2006/relationships/hyperlink" Target="https://www.pref.fukushima.lg.jp/uploaded/attachment/598705.pdf%20;%20https://www.minkou.jp/junior/school/94497/" TargetMode="External"/><Relationship Id="rId254" Type="http://schemas.openxmlformats.org/officeDocument/2006/relationships/hyperlink" Target="https://www.gakkou.net/kou/view/index_306433.html" TargetMode="External"/><Relationship Id="rId255" Type="http://schemas.openxmlformats.org/officeDocument/2006/relationships/hyperlink" Target="https://www.iwaki1-h.ed.jp/" TargetMode="External"/><Relationship Id="rId256" Type="http://schemas.openxmlformats.org/officeDocument/2006/relationships/hyperlink" Target="https://www.gakkou.net/kou/view/index_300985.html" TargetMode="External"/><Relationship Id="rId257" Type="http://schemas.openxmlformats.org/officeDocument/2006/relationships/hyperlink" Target="https://www.pref.fukushima.lg.jp/uploaded/attachment/598705.pdf%20;%20https://school.js88.com/scl_h/22031900" TargetMode="External"/><Relationship Id="rId258" Type="http://schemas.openxmlformats.org/officeDocument/2006/relationships/hyperlink" Target="https://www.gakkou.net/kou/view/index_306711.html" TargetMode="External"/><Relationship Id="rId259" Type="http://schemas.openxmlformats.org/officeDocument/2006/relationships/hyperlink" Target="https://school.js88.com/scl_h/22031810/" TargetMode="External"/><Relationship Id="rId260" Type="http://schemas.openxmlformats.org/officeDocument/2006/relationships/hyperlink" Target="https://www.gakkou.net/kou/view/index_300942.html" TargetMode="External"/><Relationship Id="rId261" Type="http://schemas.openxmlformats.org/officeDocument/2006/relationships/hyperlink" Target="https://www.pref.fukushima.lg.jp/uploaded/attachment/598705.pdf%20;%20https://school.js88.com/scl_h/22031780" TargetMode="External"/><Relationship Id="rId262" Type="http://schemas.openxmlformats.org/officeDocument/2006/relationships/hyperlink" Target="https://www.gakkou.net/kou/view/index_300902.html" TargetMode="External"/><Relationship Id="rId263" Type="http://schemas.openxmlformats.org/officeDocument/2006/relationships/hyperlink" Target="https://www.pref.fukushima.lg.jp/uploaded/attachment/598705.pdf%20;%20https://school.js88.com/scl_h/22031760/" TargetMode="External"/><Relationship Id="rId264" Type="http://schemas.openxmlformats.org/officeDocument/2006/relationships/hyperlink" Target="https://www.gakkou.net/kou/view/index_300900.html" TargetMode="External"/><Relationship Id="rId265" Type="http://schemas.openxmlformats.org/officeDocument/2006/relationships/hyperlink" Target="https://www.shoshi.ed.jp/highschool/traffic/index.html%20;%20https://www.mapion.co.jp/phonebook/M11004/07203/ILSP0000041943_ipclm/" TargetMode="External"/><Relationship Id="rId266" Type="http://schemas.openxmlformats.org/officeDocument/2006/relationships/hyperlink" Target="https://www.gakkou.net/kou/view/index_300921.html" TargetMode="External"/><Relationship Id="rId267" Type="http://schemas.openxmlformats.org/officeDocument/2006/relationships/hyperlink" Target="https://school.js88.com/scl_h/34028620/%20;%20https://www.pref.fukushima.lg.jp/uploaded/attachment/598705.pdf" TargetMode="External"/><Relationship Id="rId268" Type="http://schemas.openxmlformats.org/officeDocument/2006/relationships/hyperlink" Target="https://www.gakkou.net/kou/view/index_300947.html" TargetMode="External"/><Relationship Id="rId269" Type="http://schemas.openxmlformats.org/officeDocument/2006/relationships/hyperlink" Target="https://www.seikogakuin.jp/pdf_file/2023outline.pdf?v=3%20;%20http://www.seikogakuin.jp/" TargetMode="External"/><Relationship Id="rId270" Type="http://schemas.openxmlformats.org/officeDocument/2006/relationships/hyperlink" Target="https://www.gakkou.net/kou/view/index_300889.html" TargetMode="External"/><Relationship Id="rId271" Type="http://schemas.openxmlformats.org/officeDocument/2006/relationships/hyperlink" Target="https://school.js88.com/scl_h/22031820" TargetMode="External"/><Relationship Id="rId272" Type="http://schemas.openxmlformats.org/officeDocument/2006/relationships/hyperlink" Target="https://www.gakkou.net/kou/view/index_300919.html" TargetMode="External"/><Relationship Id="rId273" Type="http://schemas.openxmlformats.org/officeDocument/2006/relationships/hyperlink" Target="https://www.tohoku.hs.nihon-u.ac.jp/inq/inq.html" TargetMode="External"/><Relationship Id="rId274" Type="http://schemas.openxmlformats.org/officeDocument/2006/relationships/hyperlink" Target="https://www.gakkou.net/kou/view/index_300923.html" TargetMode="External"/><Relationship Id="rId275" Type="http://schemas.openxmlformats.org/officeDocument/2006/relationships/hyperlink" Target="https://shohei-chukou.ac.jp/school_guidance/access/%20;%20https://shohei-chukou.ac.jp/contact/" TargetMode="External"/><Relationship Id="rId276" Type="http://schemas.openxmlformats.org/officeDocument/2006/relationships/hyperlink" Target="https://www.gakkou.net/kou/view/index_306413.html" TargetMode="External"/><Relationship Id="rId277" Type="http://schemas.openxmlformats.org/officeDocument/2006/relationships/hyperlink" Target="https://www.pref.fukushima.lg.jp/uploaded/attachment/598705.pdf%20;%20https://school.js88.com/scl_h/22031770?page=5" TargetMode="External"/><Relationship Id="rId278" Type="http://schemas.openxmlformats.org/officeDocument/2006/relationships/hyperlink" Target="https://www.gakkou.net/kou/view/index_300906.html" TargetMode="External"/><Relationship Id="rId279" Type="http://schemas.openxmlformats.org/officeDocument/2006/relationships/hyperlink" Target="https://www.toryo.ac.jp/%20;%20https://www.mapion.co.jp/phonebook/M11004/07201/ILSP0000040636_ipclm/" TargetMode="External"/><Relationship Id="rId280" Type="http://schemas.openxmlformats.org/officeDocument/2006/relationships/hyperlink" Target="https://www.gakkou.net/kou/view/index_300904.html" TargetMode="External"/><Relationship Id="rId281" Type="http://schemas.openxmlformats.org/officeDocument/2006/relationships/hyperlink" Target="https://kyoiku.pref.ibaraki.jp/private-school/school-16/%20;%20https://www.city.ryugasaki.ibaraki.jp/shisei/SDGs/SDGspartner.files/aikoku.syoukai.pdf" TargetMode="External"/><Relationship Id="rId282" Type="http://schemas.openxmlformats.org/officeDocument/2006/relationships/hyperlink" Target="https://www.gakkou.net/kou/view/index_301036.html" TargetMode="External"/><Relationship Id="rId283" Type="http://schemas.openxmlformats.org/officeDocument/2006/relationships/hyperlink" Target="https://kyoiku.pref.ibaraki.jp/private-school/school-9/%20;%20https://school.js88.com/scl_h/22001120" TargetMode="External"/><Relationship Id="rId284" Type="http://schemas.openxmlformats.org/officeDocument/2006/relationships/hyperlink" Target="https://www.gakkou.net/kou/view/index_301141.html" TargetMode="External"/><Relationship Id="rId285" Type="http://schemas.openxmlformats.org/officeDocument/2006/relationships/hyperlink" Target="https://www.ibaraki-jsh.ed.jp/access%20;%20https://kyoiku.pref.ibaraki.jp/private-school/school-1/" TargetMode="External"/><Relationship Id="rId286" Type="http://schemas.openxmlformats.org/officeDocument/2006/relationships/hyperlink" Target="https://www.gakkou.net/kou/view/index_301083.html" TargetMode="External"/><Relationship Id="rId287" Type="http://schemas.openxmlformats.org/officeDocument/2006/relationships/hyperlink" Target="https://www.tng.ac.jp/iwase/%20;%20https://kyoiku.pref.ibaraki.jp/private-school/school-13/" TargetMode="External"/><Relationship Id="rId288" Type="http://schemas.openxmlformats.org/officeDocument/2006/relationships/hyperlink" Target="https://www.gakkou.net/kou/view/index_306416.html" TargetMode="External"/><Relationship Id="rId289" Type="http://schemas.openxmlformats.org/officeDocument/2006/relationships/hyperlink" Target="https://kyoiku.pref.ibaraki.jp/private-school/school-32/" TargetMode="External"/><Relationship Id="rId290" Type="http://schemas.openxmlformats.org/officeDocument/2006/relationships/hyperlink" Target="https://www.gakkou.net/kou/view/index_306781.html" TargetMode="External"/><Relationship Id="rId291" Type="http://schemas.openxmlformats.org/officeDocument/2006/relationships/hyperlink" Target="https://www2.e-t.ed.jp/%20;%20https://kyoiku.pref.ibaraki.jp/private-school/school-18/" TargetMode="External"/><Relationship Id="rId292" Type="http://schemas.openxmlformats.org/officeDocument/2006/relationships/hyperlink" Target="https://www.gakkou.net/kou/view/index_301042.html" TargetMode="External"/><Relationship Id="rId293" Type="http://schemas.openxmlformats.org/officeDocument/2006/relationships/hyperlink" Target="https://kgh.ed.jp/contact/main.html%20;%20https://kyoiku.pref.ibaraki.jp/private-school/school-29/" TargetMode="External"/><Relationship Id="rId294" Type="http://schemas.openxmlformats.org/officeDocument/2006/relationships/hyperlink" Target="https://www.gakkou.net/kou/view/index_301120.html" TargetMode="External"/><Relationship Id="rId295" Type="http://schemas.openxmlformats.org/officeDocument/2006/relationships/hyperlink" Target="https://www.kasumi.ed.jp/%E3%81%8A%E5%95%8F%E3%81%84%E5%90%88%E3%82%8F%E3%81%9B/ ; https://www.town.ami.lg.jp/cmsfiles/contents/0000015/15073/kasumigaurashi.pdf" TargetMode="External"/><Relationship Id="rId296" Type="http://schemas.openxmlformats.org/officeDocument/2006/relationships/hyperlink" Target="https://www.gakkou.net/kou/view/index_301013.html" TargetMode="External"/><Relationship Id="rId297" Type="http://schemas.openxmlformats.org/officeDocument/2006/relationships/hyperlink" Target="https://www.koyo-gakuen.ac.jp/hs/access.html" TargetMode="External"/><Relationship Id="rId298" Type="http://schemas.openxmlformats.org/officeDocument/2006/relationships/hyperlink" Target="https://www.gakkou.net/kou/view/index_306484.html" TargetMode="External"/><Relationship Id="rId299" Type="http://schemas.openxmlformats.org/officeDocument/2006/relationships/hyperlink" Target="https://www.shoyo.ac.jp/school/hitachi/%20;%20https://www.mapion.co.jp/phonebook/M11004/08202/ILSP0000041005_ipclm/" TargetMode="External"/><Relationship Id="rId300" Type="http://schemas.openxmlformats.org/officeDocument/2006/relationships/hyperlink" Target="https://www.gakkou.net/kou/view/index_306434.html" TargetMode="External"/><Relationship Id="rId301" Type="http://schemas.openxmlformats.org/officeDocument/2006/relationships/hyperlink" Target="https://joso.ac.jp/information-disclosure%20;%20https://kyoiku.pref.ibaraki.jp/private-school/school-20/" TargetMode="External"/><Relationship Id="rId302" Type="http://schemas.openxmlformats.org/officeDocument/2006/relationships/hyperlink" Target="https://www.gakkou.net/kou/view/index_301018.html" TargetMode="External"/><Relationship Id="rId303" Type="http://schemas.openxmlformats.org/officeDocument/2006/relationships/hyperlink" Target="https://kyoiku.pref.ibaraki.jp/gakko/private-schools/high-school/%20;%20https://school.js88.com/scl_h/22001180/" TargetMode="External"/><Relationship Id="rId304" Type="http://schemas.openxmlformats.org/officeDocument/2006/relationships/hyperlink" Target="https://www.gakkou.net/kou/view/index_301085.html" TargetMode="External"/><Relationship Id="rId305" Type="http://schemas.openxmlformats.org/officeDocument/2006/relationships/hyperlink" Target="https://kyoiku.pref.ibaraki.jp/gakko/private-schools/high-school/%20;%20https://school.js88.com/scl_h/22001240" TargetMode="External"/><Relationship Id="rId306" Type="http://schemas.openxmlformats.org/officeDocument/2006/relationships/hyperlink" Target="https://www.gakkou.net/kou/view/index_301118.html" TargetMode="External"/><Relationship Id="rId307" Type="http://schemas.openxmlformats.org/officeDocument/2006/relationships/hyperlink" Target="https://www.torideseitoku.ed.jp/wp/wp-content/uploads/2023/08/2461bcab6ee07475a751ced6d068d203.pdf%20;%20https://kyoiku.pref.ibaraki.jp/gakko/private-schools/high-school/" TargetMode="External"/><Relationship Id="rId308" Type="http://schemas.openxmlformats.org/officeDocument/2006/relationships/hyperlink" Target="https://www.gakkou.net/kou/view/index_301025.html" TargetMode="External"/><Relationship Id="rId309" Type="http://schemas.openxmlformats.org/officeDocument/2006/relationships/hyperlink" Target="https://kyoiku.pref.ibaraki.jp/gakko/private-schools/high-school/%20;%20https://school.js88.com/scl_h/22001140/" TargetMode="External"/><Relationship Id="rId310" Type="http://schemas.openxmlformats.org/officeDocument/2006/relationships/hyperlink" Target="https://www.gakkou.net/kou/view/index_301082.html" TargetMode="External"/><Relationship Id="rId311" Type="http://schemas.openxmlformats.org/officeDocument/2006/relationships/hyperlink" Target="https://www.daiichigakuin.ed.jp/about/outline/%20;%20https://kyoiku.pref.ibaraki.jp/private-school/school-35/" TargetMode="External"/><Relationship Id="rId312" Type="http://schemas.openxmlformats.org/officeDocument/2006/relationships/hyperlink" Target="https://www.gakkou.net/kou/view/index_306493.html" TargetMode="External"/><Relationship Id="rId313" Type="http://schemas.openxmlformats.org/officeDocument/2006/relationships/hyperlink" Target="https://kyoiku.pref.ibaraki.jp/private-school/school-27/%20;%20https://t-kaisei.ed.jp/ibaraki/" TargetMode="External"/><Relationship Id="rId314" Type="http://schemas.openxmlformats.org/officeDocument/2006/relationships/hyperlink" Target="https://www.gakkou.net/kou/view/index_306473.html" TargetMode="External"/><Relationship Id="rId315" Type="http://schemas.openxmlformats.org/officeDocument/2006/relationships/hyperlink" Target="https://www.tiuh.ed.jp/%20;%20https://kyoiku.pref.ibaraki.jp/private-school/school-10/" TargetMode="External"/><Relationship Id="rId316" Type="http://schemas.openxmlformats.org/officeDocument/2006/relationships/hyperlink" Target="https://www.gakkou.net/kou/view/index_301012.html" TargetMode="External"/><Relationship Id="rId317" Type="http://schemas.openxmlformats.org/officeDocument/2006/relationships/hyperlink" Target="https://www.harukaze.ed.jp/%20;%20https://kyoiku.pref.ibaraki.jp/private-school/school-11/" TargetMode="External"/><Relationship Id="rId318" Type="http://schemas.openxmlformats.org/officeDocument/2006/relationships/hyperlink" Target="https://www.gakkou.net/kou/view/index_306694.html" TargetMode="External"/><Relationship Id="rId319" Type="http://schemas.openxmlformats.org/officeDocument/2006/relationships/hyperlink" Target="https://tsukubashuei.com/contact.html%20;%20https://kyoiku.pref.ibaraki.jp/private-school/school-23/" TargetMode="External"/><Relationship Id="rId320" Type="http://schemas.openxmlformats.org/officeDocument/2006/relationships/hyperlink" Target="https://www.gakkou.net/kou/view/index_301028.html" TargetMode="External"/><Relationship Id="rId321" Type="http://schemas.openxmlformats.org/officeDocument/2006/relationships/hyperlink" Target="https://tng.ac.jp/tsuchiura/files/items/2756/File/2026_AO.pdf" TargetMode="External"/><Relationship Id="rId322" Type="http://schemas.openxmlformats.org/officeDocument/2006/relationships/hyperlink" Target="https://www.gakkou.net/kou/view/index_301016.html" TargetMode="External"/><Relationship Id="rId323" Type="http://schemas.openxmlformats.org/officeDocument/2006/relationships/hyperlink" Target="https://www.toyo.ac.jp/ushiku/assets/2026boshuyoko.pdf" TargetMode="External"/><Relationship Id="rId324" Type="http://schemas.openxmlformats.org/officeDocument/2006/relationships/hyperlink" Target="https://www.gakkou.net/kou/view/index_301021.html" TargetMode="External"/><Relationship Id="rId325" Type="http://schemas.openxmlformats.org/officeDocument/2006/relationships/hyperlink" Target="https://jsite.mhlw.go.jp/ibaraki-roudoukyoku/content/contents/002658628.pdf%20;%20https://school.js88.com/scl_h/22001150" TargetMode="External"/><Relationship Id="rId326" Type="http://schemas.openxmlformats.org/officeDocument/2006/relationships/hyperlink" Target="https://www.gakkou.net/kou/view/index_301079.html" TargetMode="External"/><Relationship Id="rId327" Type="http://schemas.openxmlformats.org/officeDocument/2006/relationships/hyperlink" Target="https://jsite.mhlw.go.jp/ibaraki-roudoukyoku/content/contents/002658628.pdf%20;%20https://school.js88.com/scl_h/22001290" TargetMode="External"/><Relationship Id="rId328" Type="http://schemas.openxmlformats.org/officeDocument/2006/relationships/hyperlink" Target="https://www.gakkou.net/kou/view/index_301088.html" TargetMode="External"/><Relationship Id="rId329" Type="http://schemas.openxmlformats.org/officeDocument/2006/relationships/hyperlink" Target="https://www.mito-keimei.ed.jp/%20;%20https://kyoiku.pref.ibaraki.jp/private-school/school-5/" TargetMode="External"/><Relationship Id="rId330" Type="http://schemas.openxmlformats.org/officeDocument/2006/relationships/hyperlink" Target="https://www.gakkou.net/kou/view/index_301087.html" TargetMode="External"/><Relationship Id="rId331" Type="http://schemas.openxmlformats.org/officeDocument/2006/relationships/hyperlink" Target="https://school.js88.com/scl_h/22001160%20;%20https://jsite.mhlw.go.jp/ibaraki-roudoukyoku/content/contents/002658632.pdf" TargetMode="External"/><Relationship Id="rId332" Type="http://schemas.openxmlformats.org/officeDocument/2006/relationships/hyperlink" Target="https://www.gakkou.net/kou/view/index_301080.html" TargetMode="External"/><Relationship Id="rId333" Type="http://schemas.openxmlformats.org/officeDocument/2006/relationships/hyperlink" Target="https://www.mitoheisei.ac.jp/%20;%20https://kyoiku.pref.ibaraki.jp/private-school/school-30/" TargetMode="External"/><Relationship Id="rId334" Type="http://schemas.openxmlformats.org/officeDocument/2006/relationships/hyperlink" Target="https://www.gakkou.net/kou/view/index_306542.html" TargetMode="External"/><Relationship Id="rId335" Type="http://schemas.openxmlformats.org/officeDocument/2006/relationships/hyperlink" Target="https://www.inter-edu.com/schools/school/43%20;%20https://meikei.ac.jp/uploads/2026/06/462f5bd1d8b7360a3fcc191d581fa4f4.pdf" TargetMode="External"/><Relationship Id="rId336" Type="http://schemas.openxmlformats.org/officeDocument/2006/relationships/hyperlink" Target="https://www.gakkou.net/kou/view/index_301051.html" TargetMode="External"/><Relationship Id="rId337" Type="http://schemas.openxmlformats.org/officeDocument/2006/relationships/hyperlink" Target="https://school.js88.com/scl_h/22001110" TargetMode="External"/><Relationship Id="rId338" Type="http://schemas.openxmlformats.org/officeDocument/2006/relationships/hyperlink" Target="https://www.gakkou.net/kou/view/index_301132.html" TargetMode="External"/><Relationship Id="rId339" Type="http://schemas.openxmlformats.org/officeDocument/2006/relationships/hyperlink" Target="https://www.r-ac.jp/campus/daigo/%20;%20https://kyoiku.pref.ibaraki.jp/private-school/school-36/" TargetMode="External"/><Relationship Id="rId340" Type="http://schemas.openxmlformats.org/officeDocument/2006/relationships/hyperlink" Target="https://www.gakkou.net/kou/view/index_306545.html" TargetMode="External"/><Relationship Id="rId341" Type="http://schemas.openxmlformats.org/officeDocument/2006/relationships/hyperlink" Target="https://www.minkou.jp/hischool/school/302/%20;%20https://www.mapion.co.jp/phonebook/M11004/09202/ILSP0000040888_ipclm/" TargetMode="External"/><Relationship Id="rId342" Type="http://schemas.openxmlformats.org/officeDocument/2006/relationships/hyperlink" Target="https://www.gakkou.net/kou/view/index_301211.html" TargetMode="External"/><Relationship Id="rId343" Type="http://schemas.openxmlformats.org/officeDocument/2006/relationships/hyperlink" Target="https://www.minkou.jp/hischool/school/301/%20;%20https://school.js88.com/scl_h/22002100" TargetMode="External"/><Relationship Id="rId344" Type="http://schemas.openxmlformats.org/officeDocument/2006/relationships/hyperlink" Target="https://www.gakkou.net/kou/view/index_301206.html" TargetMode="External"/><Relationship Id="rId345" Type="http://schemas.openxmlformats.org/officeDocument/2006/relationships/hyperlink" Target="https://school.js88.com/scl_h/22002040/%20;%20https://jsite.mhlw.go.jp/tochigi-roudoukyoku/gakusotsu__teisei.html" TargetMode="External"/><Relationship Id="rId346" Type="http://schemas.openxmlformats.org/officeDocument/2006/relationships/hyperlink" Target="https://www.gakkou.net/kou/view/index_301163.html" TargetMode="External"/><Relationship Id="rId347" Type="http://schemas.openxmlformats.org/officeDocument/2006/relationships/hyperlink" Target="https://map.yahoo.co.jp/v3/place/9Q5SymdS8No%20;%20https://school.js88.com/scl_h/22002030" TargetMode="External"/><Relationship Id="rId348" Type="http://schemas.openxmlformats.org/officeDocument/2006/relationships/hyperlink" Target="https://www.gakkou.net/kou/view/index_301155.html" TargetMode="External"/><Relationship Id="rId349" Type="http://schemas.openxmlformats.org/officeDocument/2006/relationships/hyperlink" Target="https://kokugakuintochigi.jp/wp/wp-content/uploads/2026/06/2027KOKUTOCHI_H.pdf" TargetMode="External"/><Relationship Id="rId350" Type="http://schemas.openxmlformats.org/officeDocument/2006/relationships/hyperlink" Target="https://www.gakkou.net/kou/view/index_301228.html" TargetMode="External"/><Relationship Id="rId351" Type="http://schemas.openxmlformats.org/officeDocument/2006/relationships/hyperlink" Target="https://www.inter-edu.com/schools/school/2541%20;%20https://school.js88.com/scl_h/34025366" TargetMode="External"/><Relationship Id="rId352" Type="http://schemas.openxmlformats.org/officeDocument/2006/relationships/hyperlink" Target="https://www.gakkou.net/kou/view/index_306748.html" TargetMode="External"/><Relationship Id="rId353" Type="http://schemas.openxmlformats.org/officeDocument/2006/relationships/hyperlink" Target="https://school.js88.com/scl_h/22002010%20;%20https://www.sakushin.ac.jp/wp/wp-content/uploads/suadmin/2019/10/a2a92c2162621f8c78cf9e06ac2f5a7c.pdf" TargetMode="External"/><Relationship Id="rId354" Type="http://schemas.openxmlformats.org/officeDocument/2006/relationships/hyperlink" Target="https://www.gakkou.net/kou/view/index_301154.html" TargetMode="External"/><Relationship Id="rId355" Type="http://schemas.openxmlformats.org/officeDocument/2006/relationships/hyperlink" Target="https://school.js88.com/scl_h/22002070%20;%20https://www.inter-edu.com/schools/school/1513" TargetMode="External"/><Relationship Id="rId356" Type="http://schemas.openxmlformats.org/officeDocument/2006/relationships/hyperlink" Target="https://www.gakkou.net/kou/view/index_301221.html" TargetMode="External"/><Relationship Id="rId357" Type="http://schemas.openxmlformats.org/officeDocument/2006/relationships/hyperlink" Target="https://high.sano-nichidai.jp/" TargetMode="External"/><Relationship Id="rId358" Type="http://schemas.openxmlformats.org/officeDocument/2006/relationships/hyperlink" Target="https://www.gakkou.net/kou/view/index_301218.html" TargetMode="External"/><Relationship Id="rId359" Type="http://schemas.openxmlformats.org/officeDocument/2006/relationships/hyperlink" Target="http://www.seirantaito.ed.jp/access.html%20;%20https://itp.ne.jp/info/098605730100000899/" TargetMode="External"/><Relationship Id="rId360" Type="http://schemas.openxmlformats.org/officeDocument/2006/relationships/hyperlink" Target="https://www.gakkou.net/kou/view/index_301220.html" TargetMode="External"/><Relationship Id="rId361" Type="http://schemas.openxmlformats.org/officeDocument/2006/relationships/hyperlink" Target="https://hakuoh-h.jp/contact/%20;%20https://itp.ne.jp/info/097866830100000899/" TargetMode="External"/><Relationship Id="rId362" Type="http://schemas.openxmlformats.org/officeDocument/2006/relationships/hyperlink" Target="https://www.gakkou.net/kou/view/index_301205.html" TargetMode="External"/><Relationship Id="rId363" Type="http://schemas.openxmlformats.org/officeDocument/2006/relationships/hyperlink" Target="https://www.hibiki-gakuen.ed.jp/access/%20;%20https://school.js88.com/scl_h/34028539" TargetMode="External"/><Relationship Id="rId364" Type="http://schemas.openxmlformats.org/officeDocument/2006/relationships/hyperlink" Target="https://www.gakkou.net/kou/view/index_306547.html" TargetMode="External"/><Relationship Id="rId365" Type="http://schemas.openxmlformats.org/officeDocument/2006/relationships/hyperlink" Target="https://www.bunsei.ed.jp/access.html%20;%20https://www.mapion.co.jp/phonebook/M11004/09201/ILSP0000041983_ipclm/" TargetMode="External"/><Relationship Id="rId366" Type="http://schemas.openxmlformats.org/officeDocument/2006/relationships/hyperlink" Target="https://www.gakkou.net/kou/view/index_301161.html" TargetMode="External"/><Relationship Id="rId367" Type="http://schemas.openxmlformats.org/officeDocument/2006/relationships/hyperlink" Target="https://hoshinomori.ed.jp/newstudent%20;%20https://www.mapion.co.jp/phonebook/M11004/09201/ILSP0000041355_ipclm/" TargetMode="External"/><Relationship Id="rId368" Type="http://schemas.openxmlformats.org/officeDocument/2006/relationships/hyperlink" Target="https://www.gakkou.net/kou/view/index_301176.html" TargetMode="External"/><Relationship Id="rId369" Type="http://schemas.openxmlformats.org/officeDocument/2006/relationships/hyperlink" Target="https://www.mapion.co.jp/phonebook/M11004/09211/ILSP0000041686_ipclm/%20;%20https://school.js88.com/scl_h/22002120" TargetMode="External"/><Relationship Id="rId370" Type="http://schemas.openxmlformats.org/officeDocument/2006/relationships/hyperlink" Target="https://www.gakkou.net/kou/view/index_301241.html" TargetMode="External"/><Relationship Id="rId371" Type="http://schemas.openxmlformats.org/officeDocument/2006/relationships/hyperlink" Target="https://www.pref.gunma.jp/page/3563.html%20;%20https://nnn.ed.jp/campus/r_high_school/" TargetMode="External"/><Relationship Id="rId372" Type="http://schemas.openxmlformats.org/officeDocument/2006/relationships/hyperlink" Target="https://www.gakkou.net/kou/view/index_306791.html" TargetMode="External"/><Relationship Id="rId373" Type="http://schemas.openxmlformats.org/officeDocument/2006/relationships/hyperlink" Target="https://www.kanto-gakuen.ac.jp/high/access.htm" TargetMode="External"/><Relationship Id="rId374" Type="http://schemas.openxmlformats.org/officeDocument/2006/relationships/hyperlink" Target="https://www.gakkou.net/kou/view/index_301310.html" TargetMode="External"/><Relationship Id="rId375" Type="http://schemas.openxmlformats.org/officeDocument/2006/relationships/hyperlink" Target="https://school.js88.com/scl_h/22002880%20;%20https://www.pref.gunma.jp/03/a3510009.html" TargetMode="External"/><Relationship Id="rId376" Type="http://schemas.openxmlformats.org/officeDocument/2006/relationships/hyperlink" Target="https://www.gakkou.net/kou/view/index_301286.html" TargetMode="External"/><Relationship Id="rId377" Type="http://schemas.openxmlformats.org/officeDocument/2006/relationships/hyperlink" Target="https://school.js88.com/scl_h/22002890/%20;%20https://www.pref.gunma.jp/page/3563.html" TargetMode="External"/><Relationship Id="rId378" Type="http://schemas.openxmlformats.org/officeDocument/2006/relationships/hyperlink" Target="https://www.gakkou.net/kou/view/index_301323.html" TargetMode="External"/><Relationship Id="rId379" Type="http://schemas.openxmlformats.org/officeDocument/2006/relationships/hyperlink" Target="https://school.js88.com/scl_h/22002990%20;%20https://www.pref.gunma.jp/page/3563.html" TargetMode="External"/><Relationship Id="rId380" Type="http://schemas.openxmlformats.org/officeDocument/2006/relationships/hyperlink" Target="https://www.gakkou.net/kou/view/index_301339.html" TargetMode="External"/><Relationship Id="rId381" Type="http://schemas.openxmlformats.org/officeDocument/2006/relationships/hyperlink" Target="https://center.gsn.ed.jp/school/dai_you/kou_s%20;%20https://www.pref.gunma.jp/page/3563.html" TargetMode="External"/><Relationship Id="rId382" Type="http://schemas.openxmlformats.org/officeDocument/2006/relationships/hyperlink" Target="https://www.gakkou.net/kou/view/index_301319.html" TargetMode="External"/><Relationship Id="rId383" Type="http://schemas.openxmlformats.org/officeDocument/2006/relationships/hyperlink" Target="https://www.tuhw-h.ed.jp/inquiry/" TargetMode="External"/><Relationship Id="rId384" Type="http://schemas.openxmlformats.org/officeDocument/2006/relationships/hyperlink" Target="https://www.gakkou.net/kou/view/index_301249.html" TargetMode="External"/><Relationship Id="rId385" Type="http://schemas.openxmlformats.org/officeDocument/2006/relationships/hyperlink" Target="https://www.pref.gunma.jp/page/3563.html%20;%20https://school.js88.com/scl_h/22002930" TargetMode="External"/><Relationship Id="rId386" Type="http://schemas.openxmlformats.org/officeDocument/2006/relationships/hyperlink" Target="https://www.gakkou.net/kou/view/index_301261.html" TargetMode="External"/><Relationship Id="rId387" Type="http://schemas.openxmlformats.org/officeDocument/2006/relationships/hyperlink" Target="https://www.nodai-2-h.ed.jp/access/" TargetMode="External"/><Relationship Id="rId388" Type="http://schemas.openxmlformats.org/officeDocument/2006/relationships/hyperlink" Target="https://www.gakkou.net/kou/view/index_301263.html" TargetMode="External"/><Relationship Id="rId389" Type="http://schemas.openxmlformats.org/officeDocument/2006/relationships/hyperlink" Target="https://www.pref.gunma.jp/uploaded/attachment/160391.pdf%20;%20https://school.js88.com/scl_h/22002900/" TargetMode="External"/><Relationship Id="rId390" Type="http://schemas.openxmlformats.org/officeDocument/2006/relationships/hyperlink" Target="https://www.gakkou.net/kou/view/index_301304.html" TargetMode="External"/><Relationship Id="rId391" Type="http://schemas.openxmlformats.org/officeDocument/2006/relationships/hyperlink" Target="https://school.js88.com/scl_h/22002910/%20;%20https://www.mapion.co.jp/phonebook/M11004/10211/ILSP0000041225_ipclm/" TargetMode="External"/><Relationship Id="rId392" Type="http://schemas.openxmlformats.org/officeDocument/2006/relationships/hyperlink" Target="https://www.gakkou.net/kou/view/index_301348.html" TargetMode="External"/><Relationship Id="rId393" Type="http://schemas.openxmlformats.org/officeDocument/2006/relationships/hyperlink" Target="https://school.js88.com/scl_h/22002970/%20;%20https://www.mapion.co.jp/phonebook/M11004/10201/ILSP0000041902_ipclm/" TargetMode="External"/><Relationship Id="rId394" Type="http://schemas.openxmlformats.org/officeDocument/2006/relationships/hyperlink" Target="https://www.gakkou.net/kou/view/index_301291.html" TargetMode="External"/><Relationship Id="rId395" Type="http://schemas.openxmlformats.org/officeDocument/2006/relationships/hyperlink" Target="https://www.meiwakenoh.ed.jp/accessmap/" TargetMode="External"/><Relationship Id="rId396" Type="http://schemas.openxmlformats.org/officeDocument/2006/relationships/hyperlink" Target="https://www.gakkou.net/kou/view/index_301275.html" TargetMode="External"/><Relationship Id="rId397" Type="http://schemas.openxmlformats.org/officeDocument/2006/relationships/hyperlink" Target="https://www.inter-edu.com/schools/school/1371%20;%20https://school.js88.com/scl_h/22004860" TargetMode="External"/><Relationship Id="rId398" Type="http://schemas.openxmlformats.org/officeDocument/2006/relationships/hyperlink" Target="https://www.gakkou.net/kou/view/index_301394.html" TargetMode="External"/><Relationship Id="rId399" Type="http://schemas.openxmlformats.org/officeDocument/2006/relationships/hyperlink" Target="https://www.inter-edu.com/schools/school/552%20;%20https://www.univpress.co.jp/gk_pdf/11541.pdf" TargetMode="External"/><Relationship Id="rId400" Type="http://schemas.openxmlformats.org/officeDocument/2006/relationships/hyperlink" Target="https://www.gakkou.net/kou/view/index_301490.html" TargetMode="External"/><Relationship Id="rId401" Type="http://schemas.openxmlformats.org/officeDocument/2006/relationships/hyperlink" Target="https://www.inter-edu.com/schools/school/47" TargetMode="External"/><Relationship Id="rId402" Type="http://schemas.openxmlformats.org/officeDocument/2006/relationships/hyperlink" Target="https://www.gakkou.net/kou/view/index_301395.html" TargetMode="External"/><Relationship Id="rId403" Type="http://schemas.openxmlformats.org/officeDocument/2006/relationships/hyperlink" Target="https://www.inter-edu.com/schools/school/561%20;%20https://univpress.co.jp/gk_pdf/11529.pdf" TargetMode="External"/><Relationship Id="rId404" Type="http://schemas.openxmlformats.org/officeDocument/2006/relationships/hyperlink" Target="https://www.gakkou.net/kou/view/index_301396.html" TargetMode="External"/><Relationship Id="rId405" Type="http://schemas.openxmlformats.org/officeDocument/2006/relationships/hyperlink" Target="https://www.inter-edu.com/schools/school/2026%20;%20https://www.univpress.co.jp/gk_pdf/11520.pdf" TargetMode="External"/><Relationship Id="rId406" Type="http://schemas.openxmlformats.org/officeDocument/2006/relationships/hyperlink" Target="https://www.gakkou.net/kou/view/index_301390.html" TargetMode="External"/><Relationship Id="rId407" Type="http://schemas.openxmlformats.org/officeDocument/2006/relationships/hyperlink" Target="https://www.inter-edu.com/schools/school/562%20;%20https://univpress.co.jp/gk_pdf/11503.pdf" TargetMode="External"/><Relationship Id="rId408" Type="http://schemas.openxmlformats.org/officeDocument/2006/relationships/hyperlink" Target="https://www.gakkou.net/kou/view/index_301386.html" TargetMode="External"/><Relationship Id="rId409" Type="http://schemas.openxmlformats.org/officeDocument/2006/relationships/hyperlink" Target="https://www.inter-edu.com/schools/school/564%20;%20https://map.yahoo.co.jp/v3/place/BK8H6OEnJI-" TargetMode="External"/><Relationship Id="rId410" Type="http://schemas.openxmlformats.org/officeDocument/2006/relationships/hyperlink" Target="https://www.gakkou.net/kou/view/index_301387.html" TargetMode="External"/><Relationship Id="rId411" Type="http://schemas.openxmlformats.org/officeDocument/2006/relationships/hyperlink" Target="https://portal2.mugendai.do-johodai.ac.jp/wordpress/wp-content/uploads/2025/02/&#22823;&#24029;&#23398;&#22290;&#39640;&#31561;&#23398;&#26657;&#38750;&#24120;&#21220;&#35611;&#24107;&#35201;&#32177;.pdf" TargetMode="External"/><Relationship Id="rId412" Type="http://schemas.openxmlformats.org/officeDocument/2006/relationships/hyperlink" Target="https://www.gakkou.net/kou/view/index_306496.html" TargetMode="External"/><Relationship Id="rId413" Type="http://schemas.openxmlformats.org/officeDocument/2006/relationships/hyperlink" Target="https://www.inter-edu.com/schools/school/1970" TargetMode="External"/><Relationship Id="rId414" Type="http://schemas.openxmlformats.org/officeDocument/2006/relationships/hyperlink" Target="https://www.gakkou.net/kou/view/index_301517.html" TargetMode="External"/><Relationship Id="rId415" Type="http://schemas.openxmlformats.org/officeDocument/2006/relationships/hyperlink" Target="https://www.omiyakaisei.jp/pdf/hs/r07_hs-event.pdf" TargetMode="External"/><Relationship Id="rId416" Type="http://schemas.openxmlformats.org/officeDocument/2006/relationships/hyperlink" Target="https://www.gakkou.net/kou/view/index_301357.html" TargetMode="External"/><Relationship Id="rId417" Type="http://schemas.openxmlformats.org/officeDocument/2006/relationships/hyperlink" Target="https://school.js88.com/scl_h/22005030" TargetMode="External"/><Relationship Id="rId418" Type="http://schemas.openxmlformats.org/officeDocument/2006/relationships/hyperlink" Target="https://www.gakkou.net/kou/view/index_301406.html" TargetMode="External"/><Relationship Id="rId419" Type="http://schemas.openxmlformats.org/officeDocument/2006/relationships/hyperlink" Target="https://www.inter-edu.com/schools/school/269%20;%20https://school.js88.com/scl_h/34029513" TargetMode="External"/><Relationship Id="rId420" Type="http://schemas.openxmlformats.org/officeDocument/2006/relationships/hyperlink" Target="https://www.gakkou.net/kou/view/index_306760.html" TargetMode="External"/><Relationship Id="rId421" Type="http://schemas.openxmlformats.org/officeDocument/2006/relationships/hyperlink" Target="https://www.inter-edu.com/schools/school/2028%20;%20https://www.univpress.Co.jp/gk_pdf/11534.pdf" TargetMode="External"/><Relationship Id="rId422" Type="http://schemas.openxmlformats.org/officeDocument/2006/relationships/hyperlink" Target="https://www.gakkou.net/kou/view/index_301436.html" TargetMode="External"/><Relationship Id="rId423" Type="http://schemas.openxmlformats.org/officeDocument/2006/relationships/hyperlink" Target="https://www.minkou.jp/tsushin/school/14/" TargetMode="External"/><Relationship Id="rId424" Type="http://schemas.openxmlformats.org/officeDocument/2006/relationships/hyperlink" Target="https://www.gakkou.net/kou/view/index_306449.html" TargetMode="External"/><Relationship Id="rId425" Type="http://schemas.openxmlformats.org/officeDocument/2006/relationships/hyperlink" Target="https://www.inter-edu.com/schools/school/540%20;%20https://map.yahoo.co.jp/v3/place/aJytamF9ijs" TargetMode="External"/><Relationship Id="rId426" Type="http://schemas.openxmlformats.org/officeDocument/2006/relationships/hyperlink" Target="https://www.gakkou.net/kou/view/index_301462.html" TargetMode="External"/><Relationship Id="rId427" Type="http://schemas.openxmlformats.org/officeDocument/2006/relationships/hyperlink" Target="https://www.shiki.keio.ac.jp/doc/20240419kyouinsaiyou.pdf" TargetMode="External"/><Relationship Id="rId428" Type="http://schemas.openxmlformats.org/officeDocument/2006/relationships/hyperlink" Target="https://www.gakkou.net/kou/view/index_301509.html" TargetMode="External"/><Relationship Id="rId429" Type="http://schemas.openxmlformats.org/officeDocument/2006/relationships/hyperlink" Target="https://school.js88.com/scl_h/22005090%20;%20https://unesco-sdgs.mext.go.jp/?p=6975" TargetMode="External"/><Relationship Id="rId430" Type="http://schemas.openxmlformats.org/officeDocument/2006/relationships/hyperlink" Target="https://www.gakkou.net/kou/view/index_306425.html" TargetMode="External"/><Relationship Id="rId431" Type="http://schemas.openxmlformats.org/officeDocument/2006/relationships/hyperlink" Target="https://www.inter-edu.com/schools/school/175%20;%20https://univpress.co.jp/gk_pdf/11527.pdf" TargetMode="External"/><Relationship Id="rId432" Type="http://schemas.openxmlformats.org/officeDocument/2006/relationships/hyperlink" Target="https://www.gakkou.net/kou/view/index_301361.html" TargetMode="External"/><Relationship Id="rId433" Type="http://schemas.openxmlformats.org/officeDocument/2006/relationships/hyperlink" Target="https://www.inter-edu.com/schools/school/176" TargetMode="External"/><Relationship Id="rId434" Type="http://schemas.openxmlformats.org/officeDocument/2006/relationships/hyperlink" Target="https://www.gakkou.net/kou/view/index_301480.html" TargetMode="External"/><Relationship Id="rId435" Type="http://schemas.openxmlformats.org/officeDocument/2006/relationships/hyperlink" Target="https://www.inter-edu.com/schools/school/602%20;%20https://school.js88.com/scl_h/34025092/" TargetMode="External"/><Relationship Id="rId436" Type="http://schemas.openxmlformats.org/officeDocument/2006/relationships/hyperlink" Target="https://www.gakkou.net/kou/view/index_306437.html" TargetMode="External"/><Relationship Id="rId437" Type="http://schemas.openxmlformats.org/officeDocument/2006/relationships/hyperlink" Target="https://www.sakaehigashi.ed.jp/about/files/self_assessment_h30_sr.pdf" TargetMode="External"/><Relationship Id="rId438" Type="http://schemas.openxmlformats.org/officeDocument/2006/relationships/hyperlink" Target="https://www.gakkou.net/kou/view/index_301352.html" TargetMode="External"/><Relationship Id="rId439" Type="http://schemas.openxmlformats.org/officeDocument/2006/relationships/hyperlink" Target="https://www.inter-edu.com/schools/school/275%20;%20https://www.univpress.co.jp/gk_pdf/11514.pdf" TargetMode="External"/><Relationship Id="rId440" Type="http://schemas.openxmlformats.org/officeDocument/2006/relationships/hyperlink" Target="https://www.gakkou.net/kou/view/index_301532.html" TargetMode="External"/><Relationship Id="rId441" Type="http://schemas.openxmlformats.org/officeDocument/2006/relationships/hyperlink" Target="https://www.inter-edu.com/schools/school/1784%20;%20https://studychain.jp/media/guide-136-2/" TargetMode="External"/><Relationship Id="rId442" Type="http://schemas.openxmlformats.org/officeDocument/2006/relationships/hyperlink" Target="https://www.gakkou.net/kou/view/index_306438.html" TargetMode="External"/><Relationship Id="rId443" Type="http://schemas.openxmlformats.org/officeDocument/2006/relationships/hyperlink" Target="https://www.shumei-eiko.ac.jp/cms/wp-content/uploads/2024/05/schoolguide2025.pdf" TargetMode="External"/><Relationship Id="rId444" Type="http://schemas.openxmlformats.org/officeDocument/2006/relationships/hyperlink" Target="https://www.gakkou.net/kou/view/index_301561.html" TargetMode="External"/><Relationship Id="rId445" Type="http://schemas.openxmlformats.org/officeDocument/2006/relationships/hyperlink" Target="https://www.inter-edu.com/schools/school/1365" TargetMode="External"/><Relationship Id="rId446" Type="http://schemas.openxmlformats.org/officeDocument/2006/relationships/hyperlink" Target="https://www.gakkou.net/kou/view/index_301487.html" TargetMode="External"/><Relationship Id="rId447" Type="http://schemas.openxmlformats.org/officeDocument/2006/relationships/hyperlink" Target="https://www.inter-edu.com/schools/school/1933" TargetMode="External"/><Relationship Id="rId448" Type="http://schemas.openxmlformats.org/officeDocument/2006/relationships/hyperlink" Target="https://www.gakkou.net/kou/view/index_301401.html" TargetMode="External"/><Relationship Id="rId449" Type="http://schemas.openxmlformats.org/officeDocument/2006/relationships/hyperlink" Target="https://www.univpress.co.jp/gk_pdf/11526.pdf%20;%20https://map.yahoo.co.jp/v3/place/7eCemCgbEls" TargetMode="External"/><Relationship Id="rId450" Type="http://schemas.openxmlformats.org/officeDocument/2006/relationships/hyperlink" Target="https://www.gakkou.net/kou/view/index_301481.html" TargetMode="External"/><Relationship Id="rId451" Type="http://schemas.openxmlformats.org/officeDocument/2006/relationships/hyperlink" Target="https://www.inter-edu.com/schools/school/614" TargetMode="External"/><Relationship Id="rId452" Type="http://schemas.openxmlformats.org/officeDocument/2006/relationships/hyperlink" Target="https://www.gakkou.net/kou/view/index_301576.html" TargetMode="External"/><Relationship Id="rId453" Type="http://schemas.openxmlformats.org/officeDocument/2006/relationships/hyperlink" Target="https://www.inter-edu.com/schools/school/267%20;%20https://school.js88.com/scl_h/22004930" TargetMode="External"/><Relationship Id="rId454" Type="http://schemas.openxmlformats.org/officeDocument/2006/relationships/hyperlink" Target="https://www.gakkou.net/kou/view/index_301444.html" TargetMode="External"/><Relationship Id="rId455" Type="http://schemas.openxmlformats.org/officeDocument/2006/relationships/hyperlink" Target="https://www.inter-edu.com/schools/school/293%20;%20https://map.yahoo.co.jp/v3/place/L57Rs8n2arw" TargetMode="External"/><Relationship Id="rId456" Type="http://schemas.openxmlformats.org/officeDocument/2006/relationships/hyperlink" Target="https://www.gakkou.net/kou/view/index_301528.html" TargetMode="External"/><Relationship Id="rId457" Type="http://schemas.openxmlformats.org/officeDocument/2006/relationships/hyperlink" Target="https://www.inter-edu.com/schools/school/202" TargetMode="External"/><Relationship Id="rId458" Type="http://schemas.openxmlformats.org/officeDocument/2006/relationships/hyperlink" Target="https://www.gakkou.net/kou/view/index_301463.html" TargetMode="External"/><Relationship Id="rId459" Type="http://schemas.openxmlformats.org/officeDocument/2006/relationships/hyperlink" Target="https://www.bunri-s.ed.jp/wp-content/uploads/2023/09/8dc6f2ecb08556dbce1a5e6fdde67118.pdf" TargetMode="External"/><Relationship Id="rId460" Type="http://schemas.openxmlformats.org/officeDocument/2006/relationships/hyperlink" Target="https://www.gakkou.net/kou/view/index_301495.html" TargetMode="External"/><Relationship Id="rId461" Type="http://schemas.openxmlformats.org/officeDocument/2006/relationships/hyperlink" Target="https://www.inter-edu.com/schools/school/533%20;%20https://school.js88.com/scl_j/34029399" TargetMode="External"/><Relationship Id="rId462" Type="http://schemas.openxmlformats.org/officeDocument/2006/relationships/hyperlink" Target="https://www.gakkou.net/kou/view/index_301504.html" TargetMode="External"/><Relationship Id="rId463" Type="http://schemas.openxmlformats.org/officeDocument/2006/relationships/hyperlink" Target="https://www.inter-edu.com/schools/school/1960" TargetMode="External"/><Relationship Id="rId464" Type="http://schemas.openxmlformats.org/officeDocument/2006/relationships/hyperlink" Target="https://www.gakkou.net/kou/view/index_301524.html" TargetMode="External"/><Relationship Id="rId465" Type="http://schemas.openxmlformats.org/officeDocument/2006/relationships/hyperlink" Target="https://studychain.jp/media/guide-112-2/" TargetMode="External"/><Relationship Id="rId466" Type="http://schemas.openxmlformats.org/officeDocument/2006/relationships/hyperlink" Target="https://www.gakkou.net/kou/view/index_306485.html" TargetMode="External"/><Relationship Id="rId467" Type="http://schemas.openxmlformats.org/officeDocument/2006/relationships/hyperlink" Target="https://studychain.jp/media/guide-113-2/" TargetMode="External"/><Relationship Id="rId468" Type="http://schemas.openxmlformats.org/officeDocument/2006/relationships/hyperlink" Target="https://www.gakkou.net/kou/view/index_306573.html" TargetMode="External"/><Relationship Id="rId469" Type="http://schemas.openxmlformats.org/officeDocument/2006/relationships/hyperlink" Target="https://www.inter-edu.com/schools/school/274" TargetMode="External"/><Relationship Id="rId470" Type="http://schemas.openxmlformats.org/officeDocument/2006/relationships/hyperlink" Target="https://www.gakkou.net/kou/view/index_301578.html" TargetMode="External"/><Relationship Id="rId471" Type="http://schemas.openxmlformats.org/officeDocument/2006/relationships/hyperlink" Target="https://www.inter-edu.com/schools/school/179" TargetMode="External"/><Relationship Id="rId472" Type="http://schemas.openxmlformats.org/officeDocument/2006/relationships/hyperlink" Target="https://www.gakkou.net/kou/view/index_301512.html" TargetMode="External"/><Relationship Id="rId473" Type="http://schemas.openxmlformats.org/officeDocument/2006/relationships/hyperlink" Target="https://www.inter-edu.com/schools/school/1935" TargetMode="External"/><Relationship Id="rId474" Type="http://schemas.openxmlformats.org/officeDocument/2006/relationships/hyperlink" Target="https://www.gakkou.net/kou/view/index_301464.html" TargetMode="External"/><Relationship Id="rId475" Type="http://schemas.openxmlformats.org/officeDocument/2006/relationships/hyperlink" Target="https://www.inter-edu.com/schools/school/178" TargetMode="External"/><Relationship Id="rId476" Type="http://schemas.openxmlformats.org/officeDocument/2006/relationships/hyperlink" Target="https://www.gakkou.net/kou/view/index_301429.html" TargetMode="External"/><Relationship Id="rId477" Type="http://schemas.openxmlformats.org/officeDocument/2006/relationships/hyperlink" Target="https://www.inter-edu.com/schools/school/669" TargetMode="External"/><Relationship Id="rId478" Type="http://schemas.openxmlformats.org/officeDocument/2006/relationships/hyperlink" Target="https://www.gakkou.net/kou/view/index_301451.html" TargetMode="External"/><Relationship Id="rId479" Type="http://schemas.openxmlformats.org/officeDocument/2006/relationships/hyperlink" Target="https://www.inter-edu.com/schools/school/1030%20;%20https://school.js88.com/scl_h/22005080" TargetMode="External"/><Relationship Id="rId480" Type="http://schemas.openxmlformats.org/officeDocument/2006/relationships/hyperlink" Target="https://www.gakkou.net/kou/view/index_301533.html" TargetMode="External"/><Relationship Id="rId481" Type="http://schemas.openxmlformats.org/officeDocument/2006/relationships/hyperlink" Target="https://www.inter-edu.com/schools/school/273%20;%20https://shingakunet.com/area/saitama/warabishi/" TargetMode="External"/><Relationship Id="rId482" Type="http://schemas.openxmlformats.org/officeDocument/2006/relationships/hyperlink" Target="https://www.gakkou.net/kou/view/index_301380.html" TargetMode="External"/><Relationship Id="rId483" Type="http://schemas.openxmlformats.org/officeDocument/2006/relationships/hyperlink" Target="https://www.inter-edu.com/schools/school/180%20;%20https://www.minkou.jp/hischool/school/4218/" TargetMode="External"/><Relationship Id="rId484" Type="http://schemas.openxmlformats.org/officeDocument/2006/relationships/hyperlink" Target="https://www.gakkou.net/kou/view/index_301471.html" TargetMode="External"/><Relationship Id="rId485" Type="http://schemas.openxmlformats.org/officeDocument/2006/relationships/hyperlink" Target="https://www.inter-edu.com/schools/school/683" TargetMode="External"/><Relationship Id="rId486" Type="http://schemas.openxmlformats.org/officeDocument/2006/relationships/hyperlink" Target="https://www.gakkou.net/kou/view/index_301510.html" TargetMode="External"/><Relationship Id="rId487" Type="http://schemas.openxmlformats.org/officeDocument/2006/relationships/hyperlink" Target="https://school.js88.com/scl_h/22004700%20;%20https://www.hon1.ed.jp/wp-content/uploads/2024/03/67d4127a74b803e7daefda6a83089c2d.pdf" TargetMode="External"/><Relationship Id="rId488" Type="http://schemas.openxmlformats.org/officeDocument/2006/relationships/hyperlink" Target="https://www.gakkou.net/kou/view/index_301580.html" TargetMode="External"/><Relationship Id="rId489" Type="http://schemas.openxmlformats.org/officeDocument/2006/relationships/hyperlink" Target="https://www.honjo-higashi.ed.jp/senior/hyouka-sheet.pdf%20;%20https://www.inter-edu.com/schools/school/181" TargetMode="External"/><Relationship Id="rId490" Type="http://schemas.openxmlformats.org/officeDocument/2006/relationships/hyperlink" Target="https://www.gakkou.net/kou/view/index_301581.html" TargetMode="External"/><Relationship Id="rId491" Type="http://schemas.openxmlformats.org/officeDocument/2006/relationships/hyperlink" Target="https://map.yahoo.co.jp/v3/place/x-2539sF1cY" TargetMode="External"/><Relationship Id="rId492" Type="http://schemas.openxmlformats.org/officeDocument/2006/relationships/hyperlink" Target="https://www.gakkou.net/kou/view/index_306442.html" TargetMode="External"/><Relationship Id="rId493" Type="http://schemas.openxmlformats.org/officeDocument/2006/relationships/hyperlink" Target="https://www.inter-edu.com/schools/school/694" TargetMode="External"/><Relationship Id="rId494" Type="http://schemas.openxmlformats.org/officeDocument/2006/relationships/hyperlink" Target="https://www.gakkou.net/kou/view/index_301478.html" TargetMode="External"/><Relationship Id="rId495" Type="http://schemas.openxmlformats.org/officeDocument/2006/relationships/hyperlink" Target="https://school.js88.com/scl_h/22004890" TargetMode="External"/><Relationship Id="rId496" Type="http://schemas.openxmlformats.org/officeDocument/2006/relationships/hyperlink" Target="https://www.gakkou.net/kou/view/index_301535.html" TargetMode="External"/><Relationship Id="rId497" Type="http://schemas.openxmlformats.org/officeDocument/2006/relationships/hyperlink" Target="https://studychain.jp/media/guide-115-2/%20;%20https://shingakunet.com/area/saitama/koshigayashi/" TargetMode="External"/><Relationship Id="rId498" Type="http://schemas.openxmlformats.org/officeDocument/2006/relationships/hyperlink" Target="https://www.gakkou.net/kou/view/index_306450.html" TargetMode="External"/><Relationship Id="rId499" Type="http://schemas.openxmlformats.org/officeDocument/2006/relationships/hyperlink" Target="https://www.inter-edu.com/schools/school/699" TargetMode="External"/><Relationship Id="rId500" Type="http://schemas.openxmlformats.org/officeDocument/2006/relationships/hyperlink" Target="https://www.gakkou.net/kou/view/index_301482.html" TargetMode="External"/><Relationship Id="rId501" Type="http://schemas.openxmlformats.org/officeDocument/2006/relationships/hyperlink" Target="https://www.inter-edu.com/schools/school/700%20;%20https://school.js88.com/scl_h/22004720" TargetMode="External"/><Relationship Id="rId502" Type="http://schemas.openxmlformats.org/officeDocument/2006/relationships/hyperlink" Target="https://www.gakkou.net/kou/view/index_306403.html" TargetMode="External"/><Relationship Id="rId503" Type="http://schemas.openxmlformats.org/officeDocument/2006/relationships/hyperlink" Target="https://www.inter-edu.com/schools/school/1950" TargetMode="External"/><Relationship Id="rId504" Type="http://schemas.openxmlformats.org/officeDocument/2006/relationships/hyperlink" Target="https://www.gakkou.net/kou/view/index_301502.html" TargetMode="External"/><Relationship Id="rId505" Type="http://schemas.openxmlformats.org/officeDocument/2006/relationships/hyperlink" Target="https://www.waseda.jp/school/honjo/access%20;%20https://map.yahoo.co.jp/v3/place/Ob_2QGs8iuA" TargetMode="External"/><Relationship Id="rId506" Type="http://schemas.openxmlformats.org/officeDocument/2006/relationships/hyperlink" Target="https://www.gakkou.net/kou/view/index_301582.html" TargetMode="External"/><Relationship Id="rId507" Type="http://schemas.openxmlformats.org/officeDocument/2006/relationships/hyperlink" Target="https://www.inter-edu.com/schools/school/169%20;%20https://school.js88.com/scl_h/22006740/" TargetMode="External"/><Relationship Id="rId508" Type="http://schemas.openxmlformats.org/officeDocument/2006/relationships/hyperlink" Target="https://www.gakkou.net/kou/view/index_301667.html" TargetMode="External"/><Relationship Id="rId509" Type="http://schemas.openxmlformats.org/officeDocument/2006/relationships/hyperlink" Target="https://school.js88.com/scl_h/22007000%20;%20https://www.minkou.jp/hischool/school/4/" TargetMode="External"/><Relationship Id="rId510" Type="http://schemas.openxmlformats.org/officeDocument/2006/relationships/hyperlink" Target="https://www.gakkou.net/kou/view/index_301733.html" TargetMode="External"/><Relationship Id="rId511" Type="http://schemas.openxmlformats.org/officeDocument/2006/relationships/hyperlink" Target="https://www.minkou.jp/hischool/school/305/" TargetMode="External"/><Relationship Id="rId512" Type="http://schemas.openxmlformats.org/officeDocument/2006/relationships/hyperlink" Target="https://www.gakkou.net/kou/view/index_306495.html" TargetMode="External"/><Relationship Id="rId513" Type="http://schemas.openxmlformats.org/officeDocument/2006/relationships/hyperlink" Target="https://school.js88.com/scl_h/22006850" TargetMode="External"/><Relationship Id="rId514" Type="http://schemas.openxmlformats.org/officeDocument/2006/relationships/hyperlink" Target="https://www.gakkou.net/kou/view/index_301644.html" TargetMode="External"/><Relationship Id="rId515" Type="http://schemas.openxmlformats.org/officeDocument/2006/relationships/hyperlink" Target="https://www.inter-edu.com/schools/school/24%20;%20https://school.js88.com/scl_h/22006640/" TargetMode="External"/><Relationship Id="rId516" Type="http://schemas.openxmlformats.org/officeDocument/2006/relationships/hyperlink" Target="https://www.gakkou.net/kou/view/index_301666.html" TargetMode="External"/><Relationship Id="rId517" Type="http://schemas.openxmlformats.org/officeDocument/2006/relationships/hyperlink" Target="https://www.inter-edu.com/schools/school/558" TargetMode="External"/><Relationship Id="rId518" Type="http://schemas.openxmlformats.org/officeDocument/2006/relationships/hyperlink" Target="https://www.gakkou.net/kou/view/index_301773.html" TargetMode="External"/><Relationship Id="rId519" Type="http://schemas.openxmlformats.org/officeDocument/2006/relationships/hyperlink" Target="https://www.inter-edu.com/schools/school/560%20;%20https://www.univpress.co.jp/gk_pdf/12542.pdf" TargetMode="External"/><Relationship Id="rId520" Type="http://schemas.openxmlformats.org/officeDocument/2006/relationships/hyperlink" Target="https://www.gakkou.net/kou/view/index_301599.html" TargetMode="External"/><Relationship Id="rId521" Type="http://schemas.openxmlformats.org/officeDocument/2006/relationships/hyperlink" Target="https://www.inter-edu.com/schools/school/1817%20;%20https://school.js88.com/scl_h/34025096" TargetMode="External"/><Relationship Id="rId522" Type="http://schemas.openxmlformats.org/officeDocument/2006/relationships/hyperlink" Target="https://www.gakkou.net/kou/view/index_306439.html" TargetMode="External"/><Relationship Id="rId523" Type="http://schemas.openxmlformats.org/officeDocument/2006/relationships/hyperlink" Target="https://reitoku.ed.jp/pdf/2024&#24180;&#24230;&#29983;&#24466;&#21215;&#38598;&#35201;&#38917;.pdf" TargetMode="External"/><Relationship Id="rId524" Type="http://schemas.openxmlformats.org/officeDocument/2006/relationships/hyperlink" Target="https://www.gakkou.net/kou/view/index_301796.html" TargetMode="External"/><Relationship Id="rId525" Type="http://schemas.openxmlformats.org/officeDocument/2006/relationships/hyperlink" Target="https://www.inter-edu.com/schools/school/579" TargetMode="External"/><Relationship Id="rId526" Type="http://schemas.openxmlformats.org/officeDocument/2006/relationships/hyperlink" Target="https://www.gakkou.net/kou/view/index_301777.html" TargetMode="External"/><Relationship Id="rId527" Type="http://schemas.openxmlformats.org/officeDocument/2006/relationships/hyperlink" Target="https://www.inter-edu.com/schools/school/27%20;%20https://www.minkou.jp/junior/school/9352/" TargetMode="External"/><Relationship Id="rId528" Type="http://schemas.openxmlformats.org/officeDocument/2006/relationships/hyperlink" Target="https://www.gakkou.net/kou/view/index_301784.html" TargetMode="External"/><Relationship Id="rId529" Type="http://schemas.openxmlformats.org/officeDocument/2006/relationships/hyperlink" Target="https://www.inter-edu.com/schools/school/583%20;%20https://school.js88.com/scl_h/22006800" TargetMode="External"/><Relationship Id="rId530" Type="http://schemas.openxmlformats.org/officeDocument/2006/relationships/hyperlink" Target="https://www.gakkou.net/kou/view/index_301623.html" TargetMode="External"/><Relationship Id="rId531" Type="http://schemas.openxmlformats.org/officeDocument/2006/relationships/hyperlink" Target="https://www.pref.chiba.lg.jp/gakuji/shiritsutou/shiritsugakkou/koukou-meibo.html%20;%20https://school.js88.com/scl_h/22006590" TargetMode="External"/><Relationship Id="rId532" Type="http://schemas.openxmlformats.org/officeDocument/2006/relationships/hyperlink" Target="https://www.gakkou.net/kou/view/index_301763.html" TargetMode="External"/><Relationship Id="rId533" Type="http://schemas.openxmlformats.org/officeDocument/2006/relationships/hyperlink" Target="https://www.inter-edu.com/schools/school/532%20;%20https://school.js88.com/scl_h/22007070" TargetMode="External"/><Relationship Id="rId534" Type="http://schemas.openxmlformats.org/officeDocument/2006/relationships/hyperlink" Target="https://www.gakkou.net/kou/view/index_301653.html" TargetMode="External"/><Relationship Id="rId535" Type="http://schemas.openxmlformats.org/officeDocument/2006/relationships/hyperlink" Target="https://school.js88.com/scl_h/22006780%20;%20https://www.pref.chiba.lg.jp/kyouiku/seisaku/kouhou/kyouikubinran/documents/192-197_1.pdf" TargetMode="External"/><Relationship Id="rId536" Type="http://schemas.openxmlformats.org/officeDocument/2006/relationships/hyperlink" Target="https://www.gakkou.net/kou/view/index_301668.html" TargetMode="External"/><Relationship Id="rId537" Type="http://schemas.openxmlformats.org/officeDocument/2006/relationships/hyperlink" Target="https://www.shigakukan.ed.jp/contents/wp-content/uploads/2025/09/SS_Pamph2026.pdf" TargetMode="External"/><Relationship Id="rId538" Type="http://schemas.openxmlformats.org/officeDocument/2006/relationships/hyperlink" Target="https://www.gakkou.net/kou/view/index_301782.html" TargetMode="External"/><Relationship Id="rId539" Type="http://schemas.openxmlformats.org/officeDocument/2006/relationships/hyperlink" Target="https://www.ka.shibaura-it.ac.jp/wp-content/uploads/2026/02/b3c50081251967bacbbff120efa7d4b7.pdf" TargetMode="External"/><Relationship Id="rId540" Type="http://schemas.openxmlformats.org/officeDocument/2006/relationships/hyperlink" Target="https://www.gakkou.net/kou/view/index_301705.html" TargetMode="External"/><Relationship Id="rId541" Type="http://schemas.openxmlformats.org/officeDocument/2006/relationships/hyperlink" Target="https://www.shibumaku.jp/wp-content/uploads/2021/03/transfer2021-4.pdf" TargetMode="External"/><Relationship Id="rId542" Type="http://schemas.openxmlformats.org/officeDocument/2006/relationships/hyperlink" Target="https://www.gakkou.net/kou/view/index_301616.html" TargetMode="External"/><Relationship Id="rId543" Type="http://schemas.openxmlformats.org/officeDocument/2006/relationships/hyperlink" Target="https://school.js88.com/scl_h/22007080%20;%20https://www.inter-edu.com/schools/school/209" TargetMode="External"/><Relationship Id="rId544" Type="http://schemas.openxmlformats.org/officeDocument/2006/relationships/hyperlink" Target="https://www.gakkou.net/kou/view/index_301697.html" TargetMode="External"/><Relationship Id="rId545" Type="http://schemas.openxmlformats.org/officeDocument/2006/relationships/hyperlink" Target="https://school.js88.com/scl_h/22007120/%20;%20https://www.inter-edu.com/schools/school/1485" TargetMode="External"/><Relationship Id="rId546" Type="http://schemas.openxmlformats.org/officeDocument/2006/relationships/hyperlink" Target="https://www.gakkou.net/kou/view/index_301810.html" TargetMode="External"/><Relationship Id="rId547" Type="http://schemas.openxmlformats.org/officeDocument/2006/relationships/hyperlink" Target="https://www.inter-edu.com/schools/school/214%20;%20https://www.pref.chiba.lg.jp/gakuji/shiritsutou/shiritsugakkou/documents/r8chugaku.pdf" TargetMode="External"/><Relationship Id="rId548" Type="http://schemas.openxmlformats.org/officeDocument/2006/relationships/hyperlink" Target="https://www.gakkou.net/kou/view/index_301665.html" TargetMode="External"/><Relationship Id="rId549" Type="http://schemas.openxmlformats.org/officeDocument/2006/relationships/hyperlink" Target="https://www.inter-edu.com/schools/school/34" TargetMode="External"/><Relationship Id="rId550" Type="http://schemas.openxmlformats.org/officeDocument/2006/relationships/hyperlink" Target="https://www.gakkou.net/kou/view/index_301615.html" TargetMode="External"/><Relationship Id="rId551" Type="http://schemas.openxmlformats.org/officeDocument/2006/relationships/hyperlink" Target="https://school.js88.com/scl_h/22007100/%20;%20https://www.inter-edu.com/schools/school/163" TargetMode="External"/><Relationship Id="rId552" Type="http://schemas.openxmlformats.org/officeDocument/2006/relationships/hyperlink" Target="https://www.gakkou.net/kou/view/index_301639.html" TargetMode="External"/><Relationship Id="rId553" Type="http://schemas.openxmlformats.org/officeDocument/2006/relationships/hyperlink" Target="https://univpress.co.jp/gk_pdf/12524.pdf" TargetMode="External"/><Relationship Id="rId554" Type="http://schemas.openxmlformats.org/officeDocument/2006/relationships/hyperlink" Target="https://www.gakkou.net/kou/view/index_301655.html" TargetMode="External"/><Relationship Id="rId555" Type="http://schemas.openxmlformats.org/officeDocument/2006/relationships/hyperlink" Target="https://www.inter-edu.com/schools/school/627" TargetMode="External"/><Relationship Id="rId556" Type="http://schemas.openxmlformats.org/officeDocument/2006/relationships/hyperlink" Target="https://www.gakkou.net/kou/view/index_301785.html" TargetMode="External"/><Relationship Id="rId557" Type="http://schemas.openxmlformats.org/officeDocument/2006/relationships/hyperlink" Target="https://www.inter-edu.com/schools/school/643%20;%20https://school.js88.com/scl_h/22006720?page=5" TargetMode="External"/><Relationship Id="rId558" Type="http://schemas.openxmlformats.org/officeDocument/2006/relationships/hyperlink" Target="https://www.gakkou.net/kou/view/index_301700.html" TargetMode="External"/><Relationship Id="rId559" Type="http://schemas.openxmlformats.org/officeDocument/2006/relationships/hyperlink" Target="https://cgh.ed.jp/edu-contents/hyoka/2025evaluation.pdf" TargetMode="External"/><Relationship Id="rId560" Type="http://schemas.openxmlformats.org/officeDocument/2006/relationships/hyperlink" Target="https://www.gakkou.net/kou/view/index_301726.html" TargetMode="External"/><Relationship Id="rId561" Type="http://schemas.openxmlformats.org/officeDocument/2006/relationships/hyperlink" Target="https://www.pref.chiba.lg.jp/gakuji/shiritsutou/shiritsugakkou/koukou-meibo.html" TargetMode="External"/><Relationship Id="rId562" Type="http://schemas.openxmlformats.org/officeDocument/2006/relationships/hyperlink" Target="https://www.gakkou.net/kou/view/index_301732.html" TargetMode="External"/><Relationship Id="rId563" Type="http://schemas.openxmlformats.org/officeDocument/2006/relationships/hyperlink" Target="https://www.pref.chiba.lg.jp/gakuji/shiritsutou/shiritsugakkou/koukou-meibo.html" TargetMode="External"/><Relationship Id="rId564" Type="http://schemas.openxmlformats.org/officeDocument/2006/relationships/hyperlink" Target="https://www.gakkou.net/kou/view/index_301621.html" TargetMode="External"/><Relationship Id="rId565" Type="http://schemas.openxmlformats.org/officeDocument/2006/relationships/hyperlink" Target="https://school.js88.com/scl_h/22006670" TargetMode="External"/><Relationship Id="rId566" Type="http://schemas.openxmlformats.org/officeDocument/2006/relationships/hyperlink" Target="https://www.gakkou.net/kou/view/index_301792.html" TargetMode="External"/><Relationship Id="rId567" Type="http://schemas.openxmlformats.org/officeDocument/2006/relationships/hyperlink" Target="https://www.inter-edu.com/schools/school/644%20;%20https://www.univpress.co.jp/gk_pdf/12519.pdf" TargetMode="External"/><Relationship Id="rId568" Type="http://schemas.openxmlformats.org/officeDocument/2006/relationships/hyperlink" Target="https://www.gakkou.net/kou/view/index_301672.html" TargetMode="External"/><Relationship Id="rId569" Type="http://schemas.openxmlformats.org/officeDocument/2006/relationships/hyperlink" Target="https://www.inter-edu.com/schools/school/999" TargetMode="External"/><Relationship Id="rId570" Type="http://schemas.openxmlformats.org/officeDocument/2006/relationships/hyperlink" Target="https://www.gakkou.net/kou/view/index_301598.html" TargetMode="External"/><Relationship Id="rId571" Type="http://schemas.openxmlformats.org/officeDocument/2006/relationships/hyperlink" Target="https://www.inter-edu.com/schools/school/165" TargetMode="External"/><Relationship Id="rId572" Type="http://schemas.openxmlformats.org/officeDocument/2006/relationships/hyperlink" Target="https://www.gakkou.net/kou/view/index_301685.html" TargetMode="External"/><Relationship Id="rId573" Type="http://schemas.openxmlformats.org/officeDocument/2006/relationships/hyperlink" Target="https://school.js88.com/scl_h/22006730?page=6" TargetMode="External"/><Relationship Id="rId574" Type="http://schemas.openxmlformats.org/officeDocument/2006/relationships/hyperlink" Target="https://www.gakkou.net/kou/view/index_301749.html" TargetMode="External"/><Relationship Id="rId575" Type="http://schemas.openxmlformats.org/officeDocument/2006/relationships/hyperlink" Target="https://edu.chibameitoku.ac.jp/contents/wp-content/uploads/2025/06/sembatsu.pdf" TargetMode="External"/><Relationship Id="rId576" Type="http://schemas.openxmlformats.org/officeDocument/2006/relationships/hyperlink" Target="https://www.gakkou.net/kou/view/index_301603.html" TargetMode="External"/><Relationship Id="rId577" Type="http://schemas.openxmlformats.org/officeDocument/2006/relationships/hyperlink" Target="https://www.inter-edu.com/schools/school/642%20;%20https://map.yahoo.co.jp/v3/place/QKbeFNPqVqA" TargetMode="External"/><Relationship Id="rId578" Type="http://schemas.openxmlformats.org/officeDocument/2006/relationships/hyperlink" Target="https://www.gakkou.net/kou/view/index_301758.html" TargetMode="External"/><Relationship Id="rId579" Type="http://schemas.openxmlformats.org/officeDocument/2006/relationships/hyperlink" Target="https://www.chuogakuin-h.ed.jp/contents/wp-content/uploads/2022/06/549b6957b0479fd3fb964d3fc7063ede.pdf" TargetMode="External"/><Relationship Id="rId580" Type="http://schemas.openxmlformats.org/officeDocument/2006/relationships/hyperlink" Target="https://www.gakkou.net/kou/view/index_301642.html" TargetMode="External"/><Relationship Id="rId581" Type="http://schemas.openxmlformats.org/officeDocument/2006/relationships/hyperlink" Target="https://school.js88.com/scl_h/22006900" TargetMode="External"/><Relationship Id="rId582" Type="http://schemas.openxmlformats.org/officeDocument/2006/relationships/hyperlink" Target="https://www.gakkou.net/kou/view/index_301770.html" TargetMode="External"/><Relationship Id="rId583" Type="http://schemas.openxmlformats.org/officeDocument/2006/relationships/hyperlink" Target="https://www.inter-edu.com/schools/school/166" TargetMode="External"/><Relationship Id="rId584" Type="http://schemas.openxmlformats.org/officeDocument/2006/relationships/hyperlink" Target="https://www.gakkou.net/kou/view/index_301725.html" TargetMode="External"/><Relationship Id="rId585" Type="http://schemas.openxmlformats.org/officeDocument/2006/relationships/hyperlink" Target="https://www.inter-edu.com/schools/school/167%20;%20https://school.js88.com/scl_h/22007020?page=5" TargetMode="External"/><Relationship Id="rId586" Type="http://schemas.openxmlformats.org/officeDocument/2006/relationships/hyperlink" Target="https://www.gakkou.net/kou/view/index_301724.html" TargetMode="External"/><Relationship Id="rId587" Type="http://schemas.openxmlformats.org/officeDocument/2006/relationships/hyperlink" Target="https://www.inter-edu.com/schools/school/660" TargetMode="External"/><Relationship Id="rId588" Type="http://schemas.openxmlformats.org/officeDocument/2006/relationships/hyperlink" Target="https://www.gakkou.net/kou/view/index_301740.html" TargetMode="External"/><Relationship Id="rId589" Type="http://schemas.openxmlformats.org/officeDocument/2006/relationships/hyperlink" Target="https://school.js88.com/scl_h/22007110" TargetMode="External"/><Relationship Id="rId590" Type="http://schemas.openxmlformats.org/officeDocument/2006/relationships/hyperlink" Target="https://www.gakkou.net/kou/view/index_301682.html" TargetMode="External"/><Relationship Id="rId591" Type="http://schemas.openxmlformats.org/officeDocument/2006/relationships/hyperlink" Target="https://www.inter-edu.com/schools/school/39" TargetMode="External"/><Relationship Id="rId592" Type="http://schemas.openxmlformats.org/officeDocument/2006/relationships/hyperlink" Target="https://www.gakkou.net/kou/view/index_301695.html" TargetMode="External"/><Relationship Id="rId593" Type="http://schemas.openxmlformats.org/officeDocument/2006/relationships/hyperlink" Target="https://www.inter-edu.com/schools/school/1027" TargetMode="External"/><Relationship Id="rId594" Type="http://schemas.openxmlformats.org/officeDocument/2006/relationships/hyperlink" Target="https://www.gakkou.net/kou/view/index_301691.html" TargetMode="External"/><Relationship Id="rId595" Type="http://schemas.openxmlformats.org/officeDocument/2006/relationships/hyperlink" Target="https://studychain.jp/media/?p=36633" TargetMode="External"/><Relationship Id="rId596" Type="http://schemas.openxmlformats.org/officeDocument/2006/relationships/hyperlink" Target="https://www.gakkou.net/kou/view/index_306488.html" TargetMode="External"/><Relationship Id="rId597" Type="http://schemas.openxmlformats.org/officeDocument/2006/relationships/hyperlink" Target="https://www.inter-edu.com/schools/school/168" TargetMode="External"/><Relationship Id="rId598" Type="http://schemas.openxmlformats.org/officeDocument/2006/relationships/hyperlink" Target="https://www.gakkou.net/kou/view/index_301742.html" TargetMode="External"/><Relationship Id="rId599" Type="http://schemas.openxmlformats.org/officeDocument/2006/relationships/hyperlink" Target="https://school.js88.com/scl_h/22006870%20;%20https://univpress.co.jp/gk_pdf/12531.pdf" TargetMode="External"/><Relationship Id="rId600" Type="http://schemas.openxmlformats.org/officeDocument/2006/relationships/hyperlink" Target="https://www.gakkou.net/kou/view/index_301716.html" TargetMode="External"/><Relationship Id="rId601" Type="http://schemas.openxmlformats.org/officeDocument/2006/relationships/hyperlink" Target="https://www.inter-edu.com/schools/school/667" TargetMode="External"/><Relationship Id="rId602" Type="http://schemas.openxmlformats.org/officeDocument/2006/relationships/hyperlink" Target="https://www.gakkou.net/kou/view/index_301703.html" TargetMode="External"/><Relationship Id="rId603" Type="http://schemas.openxmlformats.org/officeDocument/2006/relationships/hyperlink" Target="https://www.nnhs.cst.nihon-u.ac.jp/pdf/recruit/educational_r9.pdf" TargetMode="External"/><Relationship Id="rId604" Type="http://schemas.openxmlformats.org/officeDocument/2006/relationships/hyperlink" Target="https://www.gakkou.net/kou/view/index_301686.html" TargetMode="External"/><Relationship Id="rId605" Type="http://schemas.openxmlformats.org/officeDocument/2006/relationships/hyperlink" Target="https://www.inter-edu.com/schools/school/1000%20;%20https://school.js88.com/scl_h/22006940" TargetMode="External"/><Relationship Id="rId606" Type="http://schemas.openxmlformats.org/officeDocument/2006/relationships/hyperlink" Target="https://www.gakkou.net/kou/view/index_301658.html" TargetMode="External"/><Relationship Id="rId607" Type="http://schemas.openxmlformats.org/officeDocument/2006/relationships/hyperlink" Target="https://map.yahoo.co.jp/v3/place/luayqlYCpL2%20;%20https://resemom.jp/release/prtimes/20260903/209471.html" TargetMode="External"/><Relationship Id="rId608" Type="http://schemas.openxmlformats.org/officeDocument/2006/relationships/hyperlink" Target="https://www.gakkou.net/kou/view/index_306418.html" TargetMode="External"/><Relationship Id="rId609" Type="http://schemas.openxmlformats.org/officeDocument/2006/relationships/hyperlink" Target="https://www.inter-edu.com/schools/school/1028" TargetMode="External"/><Relationship Id="rId610" Type="http://schemas.openxmlformats.org/officeDocument/2006/relationships/hyperlink" Target="https://www.gakkou.net/kou/view/index_301815.html" TargetMode="External"/><Relationship Id="rId611" Type="http://schemas.openxmlformats.org/officeDocument/2006/relationships/hyperlink" Target="https://www.yachiyoshoin.ac.jp/shs/admission-s/school-guide-s/" TargetMode="External"/><Relationship Id="rId612" Type="http://schemas.openxmlformats.org/officeDocument/2006/relationships/hyperlink" Target="https://www.gakkou.net/kou/view/index_301701.html" TargetMode="External"/><Relationship Id="rId613" Type="http://schemas.openxmlformats.org/officeDocument/2006/relationships/hyperlink" Target="https://school.js88.com/scl_h/22006910" TargetMode="External"/><Relationship Id="rId614" Type="http://schemas.openxmlformats.org/officeDocument/2006/relationships/hyperlink" Target="https://www.gakkou.net/kou/view/index_301762.html" TargetMode="External"/><Relationship Id="rId615" Type="http://schemas.openxmlformats.org/officeDocument/2006/relationships/hyperlink" Target="https://www.inter-edu.com/schools/school/2185%20;%20https://school.js88.com/scl_h/22007090" TargetMode="External"/><Relationship Id="rId616" Type="http://schemas.openxmlformats.org/officeDocument/2006/relationships/hyperlink" Target="https://www.gakkou.net/kou/view/index_301714.html" TargetMode="External"/><Relationship Id="rId617" Type="http://schemas.openxmlformats.org/officeDocument/2006/relationships/hyperlink" Target="https://www.inter-edu.com/schools/school/46%20;%20https://school.js88.com/scl_h/22006710?page=5" TargetMode="External"/><Relationship Id="rId618" Type="http://schemas.openxmlformats.org/officeDocument/2006/relationships/hyperlink" Target="https://www.gakkou.net/kou/view/index_301707.html" TargetMode="External"/><Relationship Id="rId619" Type="http://schemas.openxmlformats.org/officeDocument/2006/relationships/hyperlink" Target="https://www.wasegaku.ac.jp/img/others/informationdisclosure/schoolcatalog.pdf" TargetMode="External"/><Relationship Id="rId620" Type="http://schemas.openxmlformats.org/officeDocument/2006/relationships/hyperlink" Target="https://www.gakkou.net/kou/view/index_306444.html" TargetMode="External"/><Relationship Id="rId621" Type="http://schemas.openxmlformats.org/officeDocument/2006/relationships/hyperlink" Target="https://www.inter-edu.com/schools/school/2051%20;%20https://school.js88.com/scl_h/22006700" TargetMode="External"/><Relationship Id="rId622" Type="http://schemas.openxmlformats.org/officeDocument/2006/relationships/hyperlink" Target="https://www.gakkou.net/kou/view/index_306307.html" TargetMode="External"/><Relationship Id="rId623" Type="http://schemas.openxmlformats.org/officeDocument/2006/relationships/hyperlink" Target="https://www.seikatubunka.metro.tokyo.lg.jp/documents/d/seikatubunka/07high_zennichi_r61201%20;%20https://www.inter-edu.com/schools/school/2206" TargetMode="External"/><Relationship Id="rId624" Type="http://schemas.openxmlformats.org/officeDocument/2006/relationships/hyperlink" Target="https://www.gakkou.net/kou/view/index_301993.html" TargetMode="External"/><Relationship Id="rId625" Type="http://schemas.openxmlformats.org/officeDocument/2006/relationships/hyperlink" Target="https://www.seikatubunka.metro.tokyo.lg.jp/documents/d/seikatubunka/07high_zennichi_r61201" TargetMode="External"/><Relationship Id="rId626" Type="http://schemas.openxmlformats.org/officeDocument/2006/relationships/hyperlink" Target="https://www.gakkou.net/kou/view/index_302049.html" TargetMode="External"/><Relationship Id="rId627" Type="http://schemas.openxmlformats.org/officeDocument/2006/relationships/hyperlink" Target="https://www.seikatubunka.metro.tokyo.lg.jp/documents/d/seikatubunka/07high_zennichi_r61201%20;%20https://www.inter-edu.com/schools/school/2" TargetMode="External"/><Relationship Id="rId628" Type="http://schemas.openxmlformats.org/officeDocument/2006/relationships/hyperlink" Target="https://www.gakkou.net/kou/view/index_301862.html" TargetMode="External"/><Relationship Id="rId629" Type="http://schemas.openxmlformats.org/officeDocument/2006/relationships/hyperlink" Target="https://www.seikatubunka.metro.tokyo.lg.jp/documents/d/seikatubunka/07high_zennichi_r61201" TargetMode="External"/><Relationship Id="rId630" Type="http://schemas.openxmlformats.org/officeDocument/2006/relationships/hyperlink" Target="https://www.gakkou.net/kou/view/index_301951.html" TargetMode="External"/><Relationship Id="rId631" Type="http://schemas.openxmlformats.org/officeDocument/2006/relationships/hyperlink" Target="https://www.seikatubunka.metro.tokyo.lg.jp/documents/d/seikatubunka/07high_zennichi_r61201%20;%20https://www.inter-edu.com/schools/school/182" TargetMode="External"/><Relationship Id="rId632" Type="http://schemas.openxmlformats.org/officeDocument/2006/relationships/hyperlink" Target="https://www.gakkou.net/kou/view/index_301895.html" TargetMode="External"/><Relationship Id="rId633" Type="http://schemas.openxmlformats.org/officeDocument/2006/relationships/hyperlink" Target="https://www.seikatubunka.metro.tokyo.lg.jp/documents/d/seikatubunka/07high_zennichi_r61201%20;%20https://www.inter-edu.com/schools/school/1786" TargetMode="External"/><Relationship Id="rId634" Type="http://schemas.openxmlformats.org/officeDocument/2006/relationships/hyperlink" Target="https://www.gakkou.net/kou/view/index_301924.html" TargetMode="External"/><Relationship Id="rId635" Type="http://schemas.openxmlformats.org/officeDocument/2006/relationships/hyperlink" Target="https://www.inter-edu.com/schools/school/984%20;%20https://www.seikatubunka.metro.tokyo.lg.jp/documents/d/seikatubunka/07high_zennichi_r61201" TargetMode="External"/><Relationship Id="rId636" Type="http://schemas.openxmlformats.org/officeDocument/2006/relationships/hyperlink" Target="https://www.gakkou.net/kou/view/index_301913.html" TargetMode="External"/><Relationship Id="rId637" Type="http://schemas.openxmlformats.org/officeDocument/2006/relationships/hyperlink" Target="https://www.seikatubunka.metro.tokyo.lg.jp/documents/d/seikatubunka/07high_zennichi_r61201%20;%20https://www.inter-edu.com/schools/school/185" TargetMode="External"/><Relationship Id="rId638" Type="http://schemas.openxmlformats.org/officeDocument/2006/relationships/hyperlink" Target="https://www.gakkou.net/kou/view/index_301912.html" TargetMode="External"/><Relationship Id="rId639" Type="http://schemas.openxmlformats.org/officeDocument/2006/relationships/hyperlink" Target="https://www.tky-iwakura-h.ed.jp/intro/access/" TargetMode="External"/><Relationship Id="rId640" Type="http://schemas.openxmlformats.org/officeDocument/2006/relationships/hyperlink" Target="https://www.gakkou.net/kou/view/index_301874.html" TargetMode="External"/><Relationship Id="rId641" Type="http://schemas.openxmlformats.org/officeDocument/2006/relationships/hyperlink" Target="https://www.seikatubunka.metro.tokyo.lg.jp/documents/d/seikatubunka/07high_zennichi_r61201%20;%20https://www.inter-edu.com/schools/school/1988" TargetMode="External"/><Relationship Id="rId642" Type="http://schemas.openxmlformats.org/officeDocument/2006/relationships/hyperlink" Target="https://www.gakkou.net/kou/view/index_301880.html" TargetMode="External"/><Relationship Id="rId643" Type="http://schemas.openxmlformats.org/officeDocument/2006/relationships/hyperlink" Target="https://www.seikatubunka.metro.tokyo.lg.jp/documents/d/seikatubunka/07high_zennichi_r61201%20;%20https://www.inter-edu.com/schools/school/25" TargetMode="External"/><Relationship Id="rId644" Type="http://schemas.openxmlformats.org/officeDocument/2006/relationships/hyperlink" Target="https://www.gakkou.net/kou/view/index_302322.html" TargetMode="External"/><Relationship Id="rId645" Type="http://schemas.openxmlformats.org/officeDocument/2006/relationships/hyperlink" Target="https://eimei-frontier.ed.jp/%20;%20https://recruit.eimei-frontier.ed.jp/contact" TargetMode="External"/><Relationship Id="rId646" Type="http://schemas.openxmlformats.org/officeDocument/2006/relationships/hyperlink" Target="https://www.gakkou.net/kou/view/index_302223.html" TargetMode="External"/><Relationship Id="rId647" Type="http://schemas.openxmlformats.org/officeDocument/2006/relationships/hyperlink" Target="https://www.city.edogawa.tokyo.jp/e004/kuseijoho/gaiyo/shisetsuguide/bunya/gakko/toritsushiritsu.html%20;%20https://www.inter-edu.com/schools/school/2036" TargetMode="External"/><Relationship Id="rId648" Type="http://schemas.openxmlformats.org/officeDocument/2006/relationships/hyperlink" Target="https://www.gakkou.net/kou/view/index_301992.html" TargetMode="External"/><Relationship Id="rId649" Type="http://schemas.openxmlformats.org/officeDocument/2006/relationships/hyperlink" Target="https://www.seikatubunka.metro.tokyo.lg.jp/documents/d/seikatubunka/13high_tushin_r61201" TargetMode="External"/><Relationship Id="rId650" Type="http://schemas.openxmlformats.org/officeDocument/2006/relationships/hyperlink" Target="https://www.gakkou.net/kou/view/index_306333.html" TargetMode="External"/><Relationship Id="rId651" Type="http://schemas.openxmlformats.org/officeDocument/2006/relationships/hyperlink" Target="https://www.seikatubunka.metro.tokyo.lg.jp/documents/d/seikatubunka/07high_zennichi_r61201%20;%20https://www.inter-edu.com/schools/school/48" TargetMode="External"/><Relationship Id="rId652" Type="http://schemas.openxmlformats.org/officeDocument/2006/relationships/hyperlink" Target="https://www.gakkou.net/kou/view/index_301916.html" TargetMode="External"/><Relationship Id="rId653" Type="http://schemas.openxmlformats.org/officeDocument/2006/relationships/hyperlink" Target="https://www.inter-edu.com/schools/school/1953%20;%20https://unesco-sdgs.mext.go.jp/?p=6997" TargetMode="External"/><Relationship Id="rId654" Type="http://schemas.openxmlformats.org/officeDocument/2006/relationships/hyperlink" Target="https://www.gakkou.net/kou/view/index_302331.html" TargetMode="External"/><Relationship Id="rId655" Type="http://schemas.openxmlformats.org/officeDocument/2006/relationships/hyperlink" Target="https://www.seikatubunka.metro.tokyo.lg.jp/documents/d/seikatubunka/07high_zennichi_r61201" TargetMode="External"/><Relationship Id="rId656" Type="http://schemas.openxmlformats.org/officeDocument/2006/relationships/hyperlink" Target="https://www.gakkou.net/kou/view/index_302093.html" TargetMode="External"/><Relationship Id="rId657" Type="http://schemas.openxmlformats.org/officeDocument/2006/relationships/hyperlink" Target="https://www.seikatubunka.metro.tokyo.lg.jp/documents/d/seikatubunka/07high_zennichi_r61201%20;%20https://www.inter-edu.com/schools/school/50" TargetMode="External"/><Relationship Id="rId658" Type="http://schemas.openxmlformats.org/officeDocument/2006/relationships/hyperlink" Target="https://www.gakkou.net/kou/view/index_301839.html" TargetMode="External"/><Relationship Id="rId659" Type="http://schemas.openxmlformats.org/officeDocument/2006/relationships/hyperlink" Target="https://www.seikatubunka.metro.tokyo.lg.jp/documents/d/seikatubunka/07high_zennichi_r61201%20;%20https://www.inter-edu.com/schools/school/51" TargetMode="External"/><Relationship Id="rId660" Type="http://schemas.openxmlformats.org/officeDocument/2006/relationships/hyperlink" Target="https://www.gakkou.net/kou/view/index_302373.html" TargetMode="External"/><Relationship Id="rId661" Type="http://schemas.openxmlformats.org/officeDocument/2006/relationships/hyperlink" Target="https://unesco-sdgs.mext.go.jp/?p=6992%20;%20https://www.inter-edu.com/schools/school/52" TargetMode="External"/><Relationship Id="rId662" Type="http://schemas.openxmlformats.org/officeDocument/2006/relationships/hyperlink" Target="https://www.gakkou.net/kou/view/index_302133.html" TargetMode="External"/><Relationship Id="rId663" Type="http://schemas.openxmlformats.org/officeDocument/2006/relationships/hyperlink" Target="https://www.seikatubunka.metro.tokyo.lg.jp/documents/d/seikatubunka/13high_tushin_r61201%20;%20https://map.yahoo.co.jp/v3/place/P1V36L6F1ko" TargetMode="External"/><Relationship Id="rId664" Type="http://schemas.openxmlformats.org/officeDocument/2006/relationships/hyperlink" Target="https://www.gakkou.net/kou/view/index_306660.html" TargetMode="External"/><Relationship Id="rId665" Type="http://schemas.openxmlformats.org/officeDocument/2006/relationships/hyperlink" Target="https://www.inter-edu.com/schools/school/565" TargetMode="External"/><Relationship Id="rId666" Type="http://schemas.openxmlformats.org/officeDocument/2006/relationships/hyperlink" Target="https://www.gakkou.net/kou/view/index_302029.html" TargetMode="External"/><Relationship Id="rId667" Type="http://schemas.openxmlformats.org/officeDocument/2006/relationships/hyperlink" Target="https://www.inter-edu.com/schools/school/4%20;%20https://www.seikatubunka.metro.tokyo.lg.jp/documents/d/seikatubunka/07high_zennichi_r61201" TargetMode="External"/><Relationship Id="rId668" Type="http://schemas.openxmlformats.org/officeDocument/2006/relationships/hyperlink" Target="https://www.gakkou.net/kou/view/index_302177.html" TargetMode="External"/><Relationship Id="rId669" Type="http://schemas.openxmlformats.org/officeDocument/2006/relationships/hyperlink" Target="https://www.inter-edu.com/schools/school/1941" TargetMode="External"/><Relationship Id="rId670" Type="http://schemas.openxmlformats.org/officeDocument/2006/relationships/hyperlink" Target="https://www.gakkou.net/kou/view/index_301943.html" TargetMode="External"/><Relationship Id="rId671" Type="http://schemas.openxmlformats.org/officeDocument/2006/relationships/hyperlink" Target="https://www.seikatubunka.metro.tokyo.lg.jp/documents/d/seikatubunka/07high_zennichi_r61201%20;%20https://www.inter-edu.com/schools/school/255" TargetMode="External"/><Relationship Id="rId672" Type="http://schemas.openxmlformats.org/officeDocument/2006/relationships/hyperlink" Target="https://www.gakkou.net/kou/view/index_301845.html" TargetMode="External"/><Relationship Id="rId673" Type="http://schemas.openxmlformats.org/officeDocument/2006/relationships/hyperlink" Target="https://www.inter-edu.com/schools/school/1989" TargetMode="External"/><Relationship Id="rId674" Type="http://schemas.openxmlformats.org/officeDocument/2006/relationships/hyperlink" Target="https://www.gakkou.net/kou/view/index_301832.html" TargetMode="External"/><Relationship Id="rId675" Type="http://schemas.openxmlformats.org/officeDocument/2006/relationships/hyperlink" Target="https://www.seikatubunka.metro.tokyo.lg.jp/documents/d/seikatubunka/07high_zennichi_r61201%20;%20https://www.seikatubunka.metro.tokyo.lg.jp/documents/d/seikatubunka/13high_tushin_r61201" TargetMode="External"/><Relationship Id="rId676" Type="http://schemas.openxmlformats.org/officeDocument/2006/relationships/hyperlink" Target="https://www.gakkou.net/kou/view/index_302104.html" TargetMode="External"/><Relationship Id="rId677" Type="http://schemas.openxmlformats.org/officeDocument/2006/relationships/hyperlink" Target="https://www.univpress.co.jp/wp-content/uploads/29kawamura-.pdf%20;%20https://map.yahoo.co.jp/v3/place/0LqAmew92LU" TargetMode="External"/><Relationship Id="rId678" Type="http://schemas.openxmlformats.org/officeDocument/2006/relationships/hyperlink" Target="https://www.gakkou.net/kou/view/index_302190.html" TargetMode="External"/><Relationship Id="rId679" Type="http://schemas.openxmlformats.org/officeDocument/2006/relationships/hyperlink" Target="https://www.inter-edu.com/schools/school/2211%20;%20https://school.js88.com/scl_h/22037920" TargetMode="External"/><Relationship Id="rId680" Type="http://schemas.openxmlformats.org/officeDocument/2006/relationships/hyperlink" Target="https://www.gakkou.net/kou/view/index_301829.html" TargetMode="External"/><Relationship Id="rId681" Type="http://schemas.openxmlformats.org/officeDocument/2006/relationships/hyperlink" Target="https://www.inter-edu.com/schools/school/566%20;%20https://www.seikatubunka.metro.tokyo.lg.jp/documents/d/seikatubunka/07high_zennichi_r61201" TargetMode="External"/><Relationship Id="rId682" Type="http://schemas.openxmlformats.org/officeDocument/2006/relationships/hyperlink" Target="https://www.gakkou.net/kou/view/index_302059.html" TargetMode="External"/><Relationship Id="rId683" Type="http://schemas.openxmlformats.org/officeDocument/2006/relationships/hyperlink" Target="https://www.kanto-ichiko.ac.jp/topics/assets/fdd62acf219d9e2f1087e8a41dadae25fea8c585.pdf" TargetMode="External"/><Relationship Id="rId684" Type="http://schemas.openxmlformats.org/officeDocument/2006/relationships/hyperlink" Target="https://www.gakkou.net/kou/view/index_301987.html" TargetMode="External"/><Relationship Id="rId685" Type="http://schemas.openxmlformats.org/officeDocument/2006/relationships/hyperlink" Target="https://www.gakushuin.ac.jp/bsh/admission/pdf/leaf2023.pdf%20;%20https://www.seikatubunka.metro.tokyo.lg.jp/documents/d/seikatubunka/07high_zennichi_r61201" TargetMode="External"/><Relationship Id="rId686" Type="http://schemas.openxmlformats.org/officeDocument/2006/relationships/hyperlink" Target="https://www.gakkou.net/kou/view/index_302189.html" TargetMode="External"/><Relationship Id="rId687" Type="http://schemas.openxmlformats.org/officeDocument/2006/relationships/hyperlink" Target="https://www.inter-edu.com/schools/school/54%20;%20https://www.minkou.jp/junior/school/7530/" TargetMode="External"/><Relationship Id="rId688" Type="http://schemas.openxmlformats.org/officeDocument/2006/relationships/hyperlink" Target="https://www.gakkou.net/kou/view/index_302176.html" TargetMode="External"/><Relationship Id="rId689" Type="http://schemas.openxmlformats.org/officeDocument/2006/relationships/hyperlink" Target="https://www.inter-edu.com/schools/school/1995%20;%20https://school.js88.com/scl_h/22038690?page=6" TargetMode="External"/><Relationship Id="rId690" Type="http://schemas.openxmlformats.org/officeDocument/2006/relationships/hyperlink" Target="https://www.gakkou.net/kou/view/index_301928.html" TargetMode="External"/><Relationship Id="rId691" Type="http://schemas.openxmlformats.org/officeDocument/2006/relationships/hyperlink" Target="https://www.inter-edu.com/schools/school/189" TargetMode="External"/><Relationship Id="rId692" Type="http://schemas.openxmlformats.org/officeDocument/2006/relationships/hyperlink" Target="https://www.gakkou.net/kou/view/index_301942.html" TargetMode="External"/><Relationship Id="rId693" Type="http://schemas.openxmlformats.org/officeDocument/2006/relationships/hyperlink" Target="https://www.inter-edu.com/schools/school/2102%20;%20https://www.minkou.jp/junior/school/8077/" TargetMode="External"/><Relationship Id="rId694" Type="http://schemas.openxmlformats.org/officeDocument/2006/relationships/hyperlink" Target="https://www.gakkou.net/kou/view/index_302235.html" TargetMode="External"/><Relationship Id="rId695" Type="http://schemas.openxmlformats.org/officeDocument/2006/relationships/hyperlink" Target="https://www.inter-edu.com/schools/school/103" TargetMode="External"/><Relationship Id="rId696" Type="http://schemas.openxmlformats.org/officeDocument/2006/relationships/hyperlink" Target="https://www.gakkou.net/kou/view/index_302234.html" TargetMode="External"/><Relationship Id="rId697" Type="http://schemas.openxmlformats.org/officeDocument/2006/relationships/hyperlink" Target="https://www.inter-edu.com/schools/school/1992%20;%20https://univpress.co.jp/gk_pdf/13604.pdf" TargetMode="External"/><Relationship Id="rId698" Type="http://schemas.openxmlformats.org/officeDocument/2006/relationships/hyperlink" Target="https://www.gakkou.net/kou/view/index_301961.html" TargetMode="External"/><Relationship Id="rId699" Type="http://schemas.openxmlformats.org/officeDocument/2006/relationships/hyperlink" Target="https://www.seikatubunka.metro.tokyo.lg.jp/documents/d/seikatubunka/07high_zennichi_r61201%20;%20https://www.inter-edu.com/schools/school/104" TargetMode="External"/><Relationship Id="rId700" Type="http://schemas.openxmlformats.org/officeDocument/2006/relationships/hyperlink" Target="https://www.gakkou.net/kou/view/index_301823.html" TargetMode="External"/><Relationship Id="rId701" Type="http://schemas.openxmlformats.org/officeDocument/2006/relationships/hyperlink" Target="https://www.inter-edu.com/schools/school/1875" TargetMode="External"/><Relationship Id="rId702" Type="http://schemas.openxmlformats.org/officeDocument/2006/relationships/hyperlink" Target="https://www.gakkou.net/kou/view/index_302314.html" TargetMode="External"/><Relationship Id="rId703" Type="http://schemas.openxmlformats.org/officeDocument/2006/relationships/hyperlink" Target="https://www.inter-edu.com/schools/school/1017%20;%20https://school.js88.com/scl_h/22037990" TargetMode="External"/><Relationship Id="rId704" Type="http://schemas.openxmlformats.org/officeDocument/2006/relationships/hyperlink" Target="https://www.gakkou.net/kou/view/index_301826.html" TargetMode="External"/><Relationship Id="rId705" Type="http://schemas.openxmlformats.org/officeDocument/2006/relationships/hyperlink" Target="https://www.inter-edu.com/schools/school/575%20;%20https://www.univpress.co.jp/gk_pdf/13720.pdf" TargetMode="External"/><Relationship Id="rId706" Type="http://schemas.openxmlformats.org/officeDocument/2006/relationships/hyperlink" Target="https://www.gakkou.net/kou/view/index_302269.html" TargetMode="External"/><Relationship Id="rId707" Type="http://schemas.openxmlformats.org/officeDocument/2006/relationships/hyperlink" Target="https://www.seikatubunka.metro.tokyo.lg.jp/documents/d/seikatubunka/07high_zennichi_r61201%20;%20https://www.inter-edu.com/schools/school/105" TargetMode="External"/><Relationship Id="rId708" Type="http://schemas.openxmlformats.org/officeDocument/2006/relationships/hyperlink" Target="https://www.gakkou.net/kou/view/index_301831.html" TargetMode="External"/><Relationship Id="rId709" Type="http://schemas.openxmlformats.org/officeDocument/2006/relationships/hyperlink" Target="https://www.inter-edu.com/schools/school/1873%20;%20https://www.minkou.jp/junior/school/8203/" TargetMode="External"/><Relationship Id="rId710" Type="http://schemas.openxmlformats.org/officeDocument/2006/relationships/hyperlink" Target="https://www.gakkou.net/kou/view/index_302268.html" TargetMode="External"/><Relationship Id="rId711" Type="http://schemas.openxmlformats.org/officeDocument/2006/relationships/hyperlink" Target="https://www.inter-edu.com/schools/school/2112%20;%20https://school.js88.com/scl_h/22039150" TargetMode="External"/><Relationship Id="rId712" Type="http://schemas.openxmlformats.org/officeDocument/2006/relationships/hyperlink" Target="https://www.gakkou.net/kou/view/index_302106.html" TargetMode="External"/><Relationship Id="rId713" Type="http://schemas.openxmlformats.org/officeDocument/2006/relationships/hyperlink" Target="https://www.gshs.keio.ac.jp/common/pdf/2026nyushiyoko_suisen.pdf" TargetMode="External"/><Relationship Id="rId714" Type="http://schemas.openxmlformats.org/officeDocument/2006/relationships/hyperlink" Target="https://www.gakkou.net/kou/view/index_301872.html" TargetMode="External"/><Relationship Id="rId715" Type="http://schemas.openxmlformats.org/officeDocument/2006/relationships/hyperlink" Target="https://www.inter-edu.com/schools/school/1991%20;%20https://www.city.bunkyo.lg.jp/documents/5788/kizi_2024.pdf" TargetMode="External"/><Relationship Id="rId716" Type="http://schemas.openxmlformats.org/officeDocument/2006/relationships/hyperlink" Target="https://www.gakkou.net/kou/view/index_301903.html" TargetMode="External"/><Relationship Id="rId717" Type="http://schemas.openxmlformats.org/officeDocument/2006/relationships/hyperlink" Target="https://www.city.bunkyo.lg.jp/b003/p006756.html%20;%20https://www.univpress.co.jp/gk_pdf/13568.pdf" TargetMode="External"/><Relationship Id="rId718" Type="http://schemas.openxmlformats.org/officeDocument/2006/relationships/hyperlink" Target="https://www.gakkou.net/kou/view/index_301905.html" TargetMode="External"/><Relationship Id="rId719" Type="http://schemas.openxmlformats.org/officeDocument/2006/relationships/hyperlink" Target="https://www.inter-edu.com/schools/school/2098%20;%20https://www.seikatubunka.metro.tokyo.lg.jp/documents/d/seikatubunka/07high_zennichi_r61201" TargetMode="External"/><Relationship Id="rId720" Type="http://schemas.openxmlformats.org/officeDocument/2006/relationships/hyperlink" Target="https://www.gakkou.net/kou/view/index_301904.html" TargetMode="External"/><Relationship Id="rId721" Type="http://schemas.openxmlformats.org/officeDocument/2006/relationships/hyperlink" Target="https://www.inter-edu.com/schools/school/191%20;%20https://uccj.org/kyodan/wp-content/uploads/2022/12/2023school1.pdf" TargetMode="External"/><Relationship Id="rId722" Type="http://schemas.openxmlformats.org/officeDocument/2006/relationships/hyperlink" Target="https://www.gakkou.net/kou/view/index_302097.html" TargetMode="External"/><Relationship Id="rId723" Type="http://schemas.openxmlformats.org/officeDocument/2006/relationships/hyperlink" Target="https://www.inter-edu.com/schools/school/1956" TargetMode="External"/><Relationship Id="rId724" Type="http://schemas.openxmlformats.org/officeDocument/2006/relationships/hyperlink" Target="https://www.gakkou.net/kou/view/index_302337.html" TargetMode="External"/><Relationship Id="rId725" Type="http://schemas.openxmlformats.org/officeDocument/2006/relationships/hyperlink" Target="https://school.js88.com/scl_h/22038550%20;%20https://www.inter-edu.com/schools/school/2113" TargetMode="External"/><Relationship Id="rId726" Type="http://schemas.openxmlformats.org/officeDocument/2006/relationships/hyperlink" Target="https://www.gakkou.net/kou/view/index_301890.html" TargetMode="External"/><Relationship Id="rId727" Type="http://schemas.openxmlformats.org/officeDocument/2006/relationships/hyperlink" Target="https://www.city.suginami.tokyo.jp/kusei/gaiyou/shisetsu/genre/school/shiritsukoukou/index.html%20;%20https://www.inter-edu.com/schools/school/55" TargetMode="External"/><Relationship Id="rId728" Type="http://schemas.openxmlformats.org/officeDocument/2006/relationships/hyperlink" Target="https://www.gakkou.net/kou/view/index_302151.html" TargetMode="External"/><Relationship Id="rId729" Type="http://schemas.openxmlformats.org/officeDocument/2006/relationships/hyperlink" Target="https://www.inter-edu.com/schools/school/56%20;%20https://school.js88.com/scl_h/22038410" TargetMode="External"/><Relationship Id="rId730" Type="http://schemas.openxmlformats.org/officeDocument/2006/relationships/hyperlink" Target="https://www.gakkou.net/kou/view/index_302249.html" TargetMode="External"/><Relationship Id="rId731" Type="http://schemas.openxmlformats.org/officeDocument/2006/relationships/hyperlink" Target="https://www.js.kogakuin.ac.jp/about/contact.html" TargetMode="External"/><Relationship Id="rId732" Type="http://schemas.openxmlformats.org/officeDocument/2006/relationships/hyperlink" Target="https://www.gakkou.net/kou/view/index_302301.html" TargetMode="External"/><Relationship Id="rId733" Type="http://schemas.openxmlformats.org/officeDocument/2006/relationships/hyperlink" Target="https://school.js88.com/scl_h/22038910%20;%20https://www.inter-edu.com/schools/school/8" TargetMode="External"/><Relationship Id="rId734" Type="http://schemas.openxmlformats.org/officeDocument/2006/relationships/hyperlink" Target="https://www.gakkou.net/kou/view/index_302018.html" TargetMode="External"/><Relationship Id="rId735" Type="http://schemas.openxmlformats.org/officeDocument/2006/relationships/hyperlink" Target="https://www.inter-edu.com/schools/school/2058" TargetMode="External"/><Relationship Id="rId736" Type="http://schemas.openxmlformats.org/officeDocument/2006/relationships/hyperlink" Target="https://www.gakkou.net/kou/view/index_301843.html" TargetMode="External"/><Relationship Id="rId737" Type="http://schemas.openxmlformats.org/officeDocument/2006/relationships/hyperlink" Target="https://www.city.suginami.tokyo.jp/kusei/gaiyou/shisetsu/genre/school/shiritsukoukou/index.html%20;%20https://www.kosei.ac.jp/boys/wp-content/uploads/2024/05/310d9b3b51f491fb2df759357d085bb4.pdf" TargetMode="External"/><Relationship Id="rId738" Type="http://schemas.openxmlformats.org/officeDocument/2006/relationships/hyperlink" Target="https://www.gakkou.net/kou/view/index_302155.html" TargetMode="External"/><Relationship Id="rId739" Type="http://schemas.openxmlformats.org/officeDocument/2006/relationships/hyperlink" Target="https://www.inter-edu.com/schools/school/2056%20;%20https://www.seikatubunka.metro.tokyo.lg.jp/documents/d/seikatubunka/07high_zennichi_r61201" TargetMode="External"/><Relationship Id="rId740" Type="http://schemas.openxmlformats.org/officeDocument/2006/relationships/hyperlink" Target="https://www.gakkou.net/kou/view/index_302100.html" TargetMode="External"/><Relationship Id="rId741" Type="http://schemas.openxmlformats.org/officeDocument/2006/relationships/hyperlink" Target="https://www.seikatubunka.metro.tokyo.lg.jp/documents/d/seikatubunka/07high_zennichi_r61201%20;%20https://school.js88.com/scl_h/22038920" TargetMode="External"/><Relationship Id="rId742" Type="http://schemas.openxmlformats.org/officeDocument/2006/relationships/hyperlink" Target="https://www.gakkou.net/kou/view/index_302026.html" TargetMode="External"/><Relationship Id="rId743" Type="http://schemas.openxmlformats.org/officeDocument/2006/relationships/hyperlink" Target="https://www.inter-edu.com/schools/school/541" TargetMode="External"/><Relationship Id="rId744" Type="http://schemas.openxmlformats.org/officeDocument/2006/relationships/hyperlink" Target="https://www.gakkou.net/kou/view/index_302048.html" TargetMode="External"/><Relationship Id="rId745" Type="http://schemas.openxmlformats.org/officeDocument/2006/relationships/hyperlink" Target="https://www.inter-edu.com/schools/school/122" TargetMode="External"/><Relationship Id="rId746" Type="http://schemas.openxmlformats.org/officeDocument/2006/relationships/hyperlink" Target="https://www.gakkou.net/kou/view/index_302172.html" TargetMode="External"/><Relationship Id="rId747" Type="http://schemas.openxmlformats.org/officeDocument/2006/relationships/hyperlink" Target="https://icu-h.ed.jp/news/docs/c92876a21d1bfb013106119a1fa19b9c9d7100d6.pdf" TargetMode="External"/><Relationship Id="rId748" Type="http://schemas.openxmlformats.org/officeDocument/2006/relationships/hyperlink" Target="https://www.gakkou.net/kou/view/index_302261.html" TargetMode="External"/><Relationship Id="rId749" Type="http://schemas.openxmlformats.org/officeDocument/2006/relationships/hyperlink" Target="https://www.kokushikan.ac.jp/houjin/about/public_relations/docs/HSschoolguide2027.pdf" TargetMode="External"/><Relationship Id="rId750" Type="http://schemas.openxmlformats.org/officeDocument/2006/relationships/hyperlink" Target="https://www.gakkou.net/kou/view/index_302083.html" TargetMode="External"/><Relationship Id="rId751" Type="http://schemas.openxmlformats.org/officeDocument/2006/relationships/hyperlink" Target="https://www.inter-edu.com/schools/school/1993%20;%20https://www.city.bunkyo.lg.jp/documents/5788/kizi_2024.pdf" TargetMode="External"/><Relationship Id="rId752" Type="http://schemas.openxmlformats.org/officeDocument/2006/relationships/hyperlink" Target="https://www.gakkou.net/kou/view/index_301909.html" TargetMode="External"/><Relationship Id="rId753" Type="http://schemas.openxmlformats.org/officeDocument/2006/relationships/hyperlink" Target="https://www.inter-edu.com/schools/school/1971%20;%20https://www.seikatubunka.metro.tokyo.lg.jp/documents/d/seikatubunka/07high_zennichi_r61201" TargetMode="External"/><Relationship Id="rId754" Type="http://schemas.openxmlformats.org/officeDocument/2006/relationships/hyperlink" Target="https://www.gakkou.net/kou/view/index_302375.html" TargetMode="External"/><Relationship Id="rId755" Type="http://schemas.openxmlformats.org/officeDocument/2006/relationships/hyperlink" Target="https://www.inter-edu.com/schools/school/589" TargetMode="External"/><Relationship Id="rId756" Type="http://schemas.openxmlformats.org/officeDocument/2006/relationships/hyperlink" Target="https://www.gakkou.net/kou/view/index_302122.html" TargetMode="External"/><Relationship Id="rId757" Type="http://schemas.openxmlformats.org/officeDocument/2006/relationships/hyperlink" Target="https://www.inter-edu.com/schools/school/590" TargetMode="External"/><Relationship Id="rId758" Type="http://schemas.openxmlformats.org/officeDocument/2006/relationships/hyperlink" Target="https://www.gakkou.net/kou/view/index_302086.html" TargetMode="External"/><Relationship Id="rId759" Type="http://schemas.openxmlformats.org/officeDocument/2006/relationships/hyperlink" Target="https://www.inter-edu.com/schools/school/10" TargetMode="External"/><Relationship Id="rId760" Type="http://schemas.openxmlformats.org/officeDocument/2006/relationships/hyperlink" Target="https://www.gakkou.net/kou/view/index_302077.html" TargetMode="External"/><Relationship Id="rId761" Type="http://schemas.openxmlformats.org/officeDocument/2006/relationships/hyperlink" Target="https://www.inter-edu.com/schools/school/1939%20;%20https://school.js88.com/scl_h/22038680/" TargetMode="External"/><Relationship Id="rId762" Type="http://schemas.openxmlformats.org/officeDocument/2006/relationships/hyperlink" Target="https://www.gakkou.net/kou/view/index_301933.html" TargetMode="External"/><Relationship Id="rId763" Type="http://schemas.openxmlformats.org/officeDocument/2006/relationships/hyperlink" Target="https://www.seikatubunka.metro.tokyo.lg.jp/documents/d/seikatubunka/07high_zennichi_r61201%20;%20https://map.yahoo.co.jp/v3/place/TcdA71hDDO2" TargetMode="External"/><Relationship Id="rId764" Type="http://schemas.openxmlformats.org/officeDocument/2006/relationships/hyperlink" Target="https://www.gakkou.net/kou/view/index_301937.html" TargetMode="External"/><Relationship Id="rId765" Type="http://schemas.openxmlformats.org/officeDocument/2006/relationships/hyperlink" Target="https://www.inter-edu.com/schools/school/260%20;%20https://univpress.co.jp/gk_pdf/13659.pdf" TargetMode="External"/><Relationship Id="rId766" Type="http://schemas.openxmlformats.org/officeDocument/2006/relationships/hyperlink" Target="https://www.gakkou.net/kou/view/index_302108.html" TargetMode="External"/><Relationship Id="rId767" Type="http://schemas.openxmlformats.org/officeDocument/2006/relationships/hyperlink" Target="https://x.com/shinagawaetoile%20;%20https://www.school-data.com/school_info/school.php/sc=133063" TargetMode="External"/><Relationship Id="rId768" Type="http://schemas.openxmlformats.org/officeDocument/2006/relationships/hyperlink" Target="https://www.gakkou.net/kou/view/index_302014.html" TargetMode="External"/><Relationship Id="rId769" Type="http://schemas.openxmlformats.org/officeDocument/2006/relationships/hyperlink" Target="https://www.inter-edu.com/schools/school/1808" TargetMode="External"/><Relationship Id="rId770" Type="http://schemas.openxmlformats.org/officeDocument/2006/relationships/hyperlink" Target="https://www.gakkou.net/kou/view/index_302022.html" TargetMode="External"/><Relationship Id="rId771" Type="http://schemas.openxmlformats.org/officeDocument/2006/relationships/hyperlink" Target="https://www.inter-edu.com/schools/school/2110" TargetMode="External"/><Relationship Id="rId772" Type="http://schemas.openxmlformats.org/officeDocument/2006/relationships/hyperlink" Target="https://www.gakkou.net/kou/view/index_302017.html" TargetMode="External"/><Relationship Id="rId773" Type="http://schemas.openxmlformats.org/officeDocument/2006/relationships/hyperlink" Target="https://www.inter-edu.com/schools/school/90%20;%20https://school.js88.com/scl_h/22038930" TargetMode="External"/><Relationship Id="rId774" Type="http://schemas.openxmlformats.org/officeDocument/2006/relationships/hyperlink" Target="https://www.gakkou.net/kou/view/index_302011.html" TargetMode="External"/><Relationship Id="rId775" Type="http://schemas.openxmlformats.org/officeDocument/2006/relationships/hyperlink" Target="https://www.inter-edu.com/schools/school/186" TargetMode="External"/><Relationship Id="rId776" Type="http://schemas.openxmlformats.org/officeDocument/2006/relationships/hyperlink" Target="https://www.gakkou.net/kou/view/index_302204.html" TargetMode="External"/><Relationship Id="rId777" Type="http://schemas.openxmlformats.org/officeDocument/2006/relationships/hyperlink" Target="https://www.inter-edu.com/schools/school/12%20;%20https://school.js88.com/scl_h/22038120/" TargetMode="External"/><Relationship Id="rId778" Type="http://schemas.openxmlformats.org/officeDocument/2006/relationships/hyperlink" Target="https://www.gakkou.net/kou/view/index_301854.html" TargetMode="External"/><Relationship Id="rId779" Type="http://schemas.openxmlformats.org/officeDocument/2006/relationships/hyperlink" Target="https://www.inter-edu.com/schools/school/2074" TargetMode="External"/><Relationship Id="rId780" Type="http://schemas.openxmlformats.org/officeDocument/2006/relationships/hyperlink" Target="https://www.gakkou.net/kou/view/index_301855.html" TargetMode="External"/><Relationship Id="rId781" Type="http://schemas.openxmlformats.org/officeDocument/2006/relationships/hyperlink" Target="https://www.inter-edu.com/schools/school/88/%20;%20https://www.minkou.jp/junior/school/7736/" TargetMode="External"/><Relationship Id="rId782" Type="http://schemas.openxmlformats.org/officeDocument/2006/relationships/hyperlink" Target="https://www.gakkou.net/kou/view/index_302050.html" TargetMode="External"/><Relationship Id="rId783" Type="http://schemas.openxmlformats.org/officeDocument/2006/relationships/hyperlink" Target="https://www.inter-edu.com/schools/school/608%20;%20https://school.js88.com/scl_h/22039260" TargetMode="External"/><Relationship Id="rId784" Type="http://schemas.openxmlformats.org/officeDocument/2006/relationships/hyperlink" Target="https://www.gakkou.net/kou/view/index_302087.html" TargetMode="External"/><Relationship Id="rId785" Type="http://schemas.openxmlformats.org/officeDocument/2006/relationships/hyperlink" Target="https://www.inter-edu.com/schools/school/2076%20;%20https://www.minkou.jp/junior/school/7976/" TargetMode="External"/><Relationship Id="rId786" Type="http://schemas.openxmlformats.org/officeDocument/2006/relationships/hyperlink" Target="https://www.gakkou.net/kou/view/index_301970.html" TargetMode="External"/><Relationship Id="rId787" Type="http://schemas.openxmlformats.org/officeDocument/2006/relationships/hyperlink" Target="https://www.inter-edu.com/schools/school/1994" TargetMode="External"/><Relationship Id="rId788" Type="http://schemas.openxmlformats.org/officeDocument/2006/relationships/hyperlink" Target="https://www.gakkou.net/kou/view/index_302208.html" TargetMode="External"/><Relationship Id="rId789" Type="http://schemas.openxmlformats.org/officeDocument/2006/relationships/hyperlink" Target="https://www.inter-edu.com/schools/school/2078" TargetMode="External"/><Relationship Id="rId790" Type="http://schemas.openxmlformats.org/officeDocument/2006/relationships/hyperlink" Target="https://www.gakkou.net/kou/view/index_302181.html" TargetMode="External"/><Relationship Id="rId791" Type="http://schemas.openxmlformats.org/officeDocument/2006/relationships/hyperlink" Target="https://school.js88.com/scl_h/22039230%20;%20https://www.inter-edu.com/schools/school/2213" TargetMode="External"/><Relationship Id="rId792" Type="http://schemas.openxmlformats.org/officeDocument/2006/relationships/hyperlink" Target="https://www.gakkou.net/kou/view/index_302085.html" TargetMode="External"/><Relationship Id="rId793" Type="http://schemas.openxmlformats.org/officeDocument/2006/relationships/hyperlink" Target="https://www.inter-edu.com/schools/school/58" TargetMode="External"/><Relationship Id="rId794" Type="http://schemas.openxmlformats.org/officeDocument/2006/relationships/hyperlink" Target="https://www.gakkou.net/kou/view/index_301867.html" TargetMode="External"/><Relationship Id="rId795" Type="http://schemas.openxmlformats.org/officeDocument/2006/relationships/hyperlink" Target="https://www.inter-edu.com/schools/school/2070%20;%20https://univpress.co.jp/gk_pdf/13731.pdf" TargetMode="External"/><Relationship Id="rId796" Type="http://schemas.openxmlformats.org/officeDocument/2006/relationships/hyperlink" Target="https://www.gakkou.net/kou/view/index_302239.html" TargetMode="External"/><Relationship Id="rId797" Type="http://schemas.openxmlformats.org/officeDocument/2006/relationships/hyperlink" Target="https://www.seikatubunka.metro.tokyo.lg.jp/documents/d/seikatubunka/07high_zennichi_r61201%20;%20https://www.inter-edu.com/schools/school/225" TargetMode="External"/><Relationship Id="rId798" Type="http://schemas.openxmlformats.org/officeDocument/2006/relationships/hyperlink" Target="https://www.gakkou.net/kou/view/index_302079.html" TargetMode="External"/><Relationship Id="rId799" Type="http://schemas.openxmlformats.org/officeDocument/2006/relationships/hyperlink" Target="https://www.seikatubunka.metro.tokyo.lg.jp/documents/d/seikatubunka/07high_zennichi_r61201%20;%20https://www.inter-edu.com/schools/school/613" TargetMode="External"/><Relationship Id="rId800" Type="http://schemas.openxmlformats.org/officeDocument/2006/relationships/hyperlink" Target="https://www.gakkou.net/kou/view/index_302284.html" TargetMode="External"/><Relationship Id="rId801" Type="http://schemas.openxmlformats.org/officeDocument/2006/relationships/hyperlink" Target="https://www.minkou.jp/hischool/school/2372/%20;%20https://www.city.bunkyo.lg.jp/documents/5788/kizi_2024.pdf" TargetMode="External"/><Relationship Id="rId802" Type="http://schemas.openxmlformats.org/officeDocument/2006/relationships/hyperlink" Target="https://www.gakkou.net/kou/view/index_301917.html" TargetMode="External"/><Relationship Id="rId803" Type="http://schemas.openxmlformats.org/officeDocument/2006/relationships/hyperlink" Target="https://www.seikatubunka.metro.tokyo.lg.jp/documents/d/seikatubunka/07high_zennichi_r61201" TargetMode="External"/><Relationship Id="rId804" Type="http://schemas.openxmlformats.org/officeDocument/2006/relationships/hyperlink" Target="https://www.gakkou.net/kou/view/index_302184.html" TargetMode="External"/><Relationship Id="rId805" Type="http://schemas.openxmlformats.org/officeDocument/2006/relationships/hyperlink" Target="https://www.inter-edu.com/schools/school/60" TargetMode="External"/><Relationship Id="rId806" Type="http://schemas.openxmlformats.org/officeDocument/2006/relationships/hyperlink" Target="https://www.gakkou.net/kou/view/index_301925.html" TargetMode="External"/><Relationship Id="rId807" Type="http://schemas.openxmlformats.org/officeDocument/2006/relationships/hyperlink" Target="https://www.inter-edu.com/schools/school/1800" TargetMode="External"/><Relationship Id="rId808" Type="http://schemas.openxmlformats.org/officeDocument/2006/relationships/hyperlink" Target="https://www.gakkou.net/kou/view/index_302274.html" TargetMode="External"/><Relationship Id="rId809" Type="http://schemas.openxmlformats.org/officeDocument/2006/relationships/hyperlink" Target="https://www.inter-edu.com/schools/school/61" TargetMode="External"/><Relationship Id="rId810" Type="http://schemas.openxmlformats.org/officeDocument/2006/relationships/hyperlink" Target="https://www.gakkou.net/kou/view/index_301837.html" TargetMode="External"/><Relationship Id="rId811" Type="http://schemas.openxmlformats.org/officeDocument/2006/relationships/hyperlink" Target="https://www.inter-edu.com/schools/school/127/" TargetMode="External"/><Relationship Id="rId812" Type="http://schemas.openxmlformats.org/officeDocument/2006/relationships/hyperlink" Target="https://www.gakkou.net/kou/view/index_302139.html" TargetMode="External"/><Relationship Id="rId813" Type="http://schemas.openxmlformats.org/officeDocument/2006/relationships/hyperlink" Target="https://www.inter-edu.com/schools/school/223%20;%20https://school.js88.com/scl_h/22038360" TargetMode="External"/><Relationship Id="rId814" Type="http://schemas.openxmlformats.org/officeDocument/2006/relationships/hyperlink" Target="https://www.gakkou.net/kou/view/index_302052.html" TargetMode="External"/><Relationship Id="rId815" Type="http://schemas.openxmlformats.org/officeDocument/2006/relationships/hyperlink" Target="https://www.inter-edu.com/schools/school/2060%20;%20https://www.univpress.co.jp/gk_pdf/13686.pdf" TargetMode="External"/><Relationship Id="rId816" Type="http://schemas.openxmlformats.org/officeDocument/2006/relationships/hyperlink" Target="https://www.gakkou.net/kou/view/index_302183.html" TargetMode="External"/><Relationship Id="rId817" Type="http://schemas.openxmlformats.org/officeDocument/2006/relationships/hyperlink" Target="https://www.inter-edu.com/schools/school/607%20;%20https://www.univpress.co.jp/gk_pdf/13602.pdf" TargetMode="External"/><Relationship Id="rId818" Type="http://schemas.openxmlformats.org/officeDocument/2006/relationships/hyperlink" Target="https://www.gakkou.net/kou/view/index_301952.html" TargetMode="External"/><Relationship Id="rId819" Type="http://schemas.openxmlformats.org/officeDocument/2006/relationships/hyperlink" Target="https://school.js88.com/scl_h/22039000/%20;%20https://www.jiyugaoka.ed.jp/wp-content/uploads/2026/06/2026&#12458;&#12540;&#12503;&#12531;&#12473;&#12463;&#12540;&#12523;&#12481;&#12521;&#12471;.pdf" TargetMode="External"/><Relationship Id="rId820" Type="http://schemas.openxmlformats.org/officeDocument/2006/relationships/hyperlink" Target="https://www.gakkou.net/kou/view/index_302066.html" TargetMode="External"/><Relationship Id="rId821" Type="http://schemas.openxmlformats.org/officeDocument/2006/relationships/hyperlink" Target="https://www.inter-edu.com/schools/school/2103%20;%20https://www.jiyu.ac.jp/nyushi/2027_sh.pdf" TargetMode="External"/><Relationship Id="rId822" Type="http://schemas.openxmlformats.org/officeDocument/2006/relationships/hyperlink" Target="https://www.gakkou.net/kou/view/index_302362.html" TargetMode="External"/><Relationship Id="rId823" Type="http://schemas.openxmlformats.org/officeDocument/2006/relationships/hyperlink" Target="https://www.inter-edu.com/schools/school/1996%20;%20https://www.minkou.jp/junior/school/7807/" TargetMode="External"/><Relationship Id="rId824" Type="http://schemas.openxmlformats.org/officeDocument/2006/relationships/hyperlink" Target="https://www.gakkou.net/kou/view/index_302196.html" TargetMode="External"/><Relationship Id="rId825" Type="http://schemas.openxmlformats.org/officeDocument/2006/relationships/hyperlink" Target="https://www.johoku.ac.jp/media/47118%20;%20https://www.seikatubunka.metro.tokyo.lg.jp/documents/d/seikatubunka/07high_zennichi_r61201" TargetMode="External"/><Relationship Id="rId826" Type="http://schemas.openxmlformats.org/officeDocument/2006/relationships/hyperlink" Target="https://www.gakkou.net/kou/view/index_302210.html" TargetMode="External"/><Relationship Id="rId827" Type="http://schemas.openxmlformats.org/officeDocument/2006/relationships/hyperlink" Target="https://www.inter-edu.com/schools/school/59%20;%20https://school.js88.com/scl_j/31130011" TargetMode="External"/><Relationship Id="rId828" Type="http://schemas.openxmlformats.org/officeDocument/2006/relationships/hyperlink" Target="https://www.gakkou.net/kou/view/index_301842.html" TargetMode="External"/><Relationship Id="rId829" Type="http://schemas.openxmlformats.org/officeDocument/2006/relationships/hyperlink" Target="https://www.seikatubunka.metro.tokyo.lg.jp/documents/d/seikatubunka/07high_zennichi_r61201%20;%20https://www.inter-edu.com/schools/school/2065" TargetMode="External"/><Relationship Id="rId830" Type="http://schemas.openxmlformats.org/officeDocument/2006/relationships/hyperlink" Target="https://www.gakkou.net/kou/view/index_302154.html" TargetMode="External"/><Relationship Id="rId831" Type="http://schemas.openxmlformats.org/officeDocument/2006/relationships/hyperlink" Target="https://www.inter-edu.com/schools/school/1945" TargetMode="External"/><Relationship Id="rId832" Type="http://schemas.openxmlformats.org/officeDocument/2006/relationships/hyperlink" Target="https://www.gakkou.net/kou/view/index_302186.html" TargetMode="External"/><Relationship Id="rId833" Type="http://schemas.openxmlformats.org/officeDocument/2006/relationships/hyperlink" Target="https://www.inter-edu.com/schools/school/1019%20;%20https://www.city.suginami.tokyo.jp/kusei/gaiyou/shisetsu/genre/school/shiritsukoukou/index.html" TargetMode="External"/><Relationship Id="rId834" Type="http://schemas.openxmlformats.org/officeDocument/2006/relationships/hyperlink" Target="https://www.gakkou.net/kou/view/index_302153.html" TargetMode="External"/><Relationship Id="rId835" Type="http://schemas.openxmlformats.org/officeDocument/2006/relationships/hyperlink" Target="https://www.inter-edu.com/schools/school/2104%20;%20https://school.js88.com/scl_h/22038710" TargetMode="External"/><Relationship Id="rId836" Type="http://schemas.openxmlformats.org/officeDocument/2006/relationships/hyperlink" Target="https://www.gakkou.net/kou/view/index_301921.html" TargetMode="External"/><Relationship Id="rId837" Type="http://schemas.openxmlformats.org/officeDocument/2006/relationships/hyperlink" Target="https://www.inter-edu.com/schools/school/1946" TargetMode="External"/><Relationship Id="rId838" Type="http://schemas.openxmlformats.org/officeDocument/2006/relationships/hyperlink" Target="https://www.gakkou.net/kou/view/index_301926.html" TargetMode="External"/><Relationship Id="rId839" Type="http://schemas.openxmlformats.org/officeDocument/2006/relationships/hyperlink" Target="https://www.inter-edu.com/schools/school/1997%20;%20https://www.minkou.jp/junior/school/8075/" TargetMode="External"/><Relationship Id="rId840" Type="http://schemas.openxmlformats.org/officeDocument/2006/relationships/hyperlink" Target="https://www.gakkou.net/kou/view/index_302232.html" TargetMode="External"/><Relationship Id="rId841" Type="http://schemas.openxmlformats.org/officeDocument/2006/relationships/hyperlink" Target="https://www.minkou.jp/hischool/school/2433/" TargetMode="External"/><Relationship Id="rId842" Type="http://schemas.openxmlformats.org/officeDocument/2006/relationships/hyperlink" Target="https://www.gakkou.net/kou/view/index_301868.html" TargetMode="External"/><Relationship Id="rId843" Type="http://schemas.openxmlformats.org/officeDocument/2006/relationships/hyperlink" Target="https://www.seijogakuen.ed.jp/chukou/info/" TargetMode="External"/><Relationship Id="rId844" Type="http://schemas.openxmlformats.org/officeDocument/2006/relationships/hyperlink" Target="https://www.gakkou.net/kou/view/index_302105.html" TargetMode="External"/><Relationship Id="rId845" Type="http://schemas.openxmlformats.org/officeDocument/2006/relationships/hyperlink" Target="https://www.inter-edu.com/schools/school/16%20;%20https://map.yahoo.co.jp/v3/place/M-_odyJ2xIg" TargetMode="External"/><Relationship Id="rId846" Type="http://schemas.openxmlformats.org/officeDocument/2006/relationships/hyperlink" Target="https://www.gakkou.net/kou/view/index_302126.html" TargetMode="External"/><Relationship Id="rId847" Type="http://schemas.openxmlformats.org/officeDocument/2006/relationships/hyperlink" Target="https://www.seikatubunka.metro.tokyo.lg.jp/documents/d/seikatubunka/07high_zennichi_r61201%20;%20https://school.js88.com/scl_h/22038270/" TargetMode="External"/><Relationship Id="rId848" Type="http://schemas.openxmlformats.org/officeDocument/2006/relationships/hyperlink" Target="https://www.gakkou.net/kou/view/index_302129.html" TargetMode="External"/><Relationship Id="rId849" Type="http://schemas.openxmlformats.org/officeDocument/2006/relationships/hyperlink" Target="https://www.inter-edu.com/schools/school/995%20;%20https://school.js88.com/scl_h/22037990?page=5" TargetMode="External"/><Relationship Id="rId850" Type="http://schemas.openxmlformats.org/officeDocument/2006/relationships/hyperlink" Target="https://www.gakkou.net/kou/view/index_301827.html" TargetMode="External"/><Relationship Id="rId851" Type="http://schemas.openxmlformats.org/officeDocument/2006/relationships/hyperlink" Target="https://www.inter-edu.com/schools/school/1020%20;%20https://univpress.co.jp/gk_pdf/13529.pdf" TargetMode="External"/><Relationship Id="rId852" Type="http://schemas.openxmlformats.org/officeDocument/2006/relationships/hyperlink" Target="https://www.gakkou.net/kou/view/index_301853.html" TargetMode="External"/><Relationship Id="rId853" Type="http://schemas.openxmlformats.org/officeDocument/2006/relationships/hyperlink" Target="https://www.inter-edu.com/schools/school/235%20;%20https://school.js88.com/scl_h/22039270" TargetMode="External"/><Relationship Id="rId854" Type="http://schemas.openxmlformats.org/officeDocument/2006/relationships/hyperlink" Target="https://www.gakkou.net/kou/view/index_302110.html" TargetMode="External"/><Relationship Id="rId855" Type="http://schemas.openxmlformats.org/officeDocument/2006/relationships/hyperlink" Target="https://www.inter-edu.com/schools/school/620%20;%20https://univpress.co.jp/gk_pdf/13710.pdf" TargetMode="External"/><Relationship Id="rId856" Type="http://schemas.openxmlformats.org/officeDocument/2006/relationships/hyperlink" Target="https://www.gakkou.net/kou/view/index_302306.html" TargetMode="External"/><Relationship Id="rId857" Type="http://schemas.openxmlformats.org/officeDocument/2006/relationships/hyperlink" Target="https://www.inter-edu.com/schools/school/2087" TargetMode="External"/><Relationship Id="rId858" Type="http://schemas.openxmlformats.org/officeDocument/2006/relationships/hyperlink" Target="https://www.gakkou.net/kou/view/index_301918.html" TargetMode="External"/><Relationship Id="rId859" Type="http://schemas.openxmlformats.org/officeDocument/2006/relationships/hyperlink" Target="https://www.inter-edu.com/schools/school/2000%20;%20https://school.js88.com/scl_h/22038940" TargetMode="External"/><Relationship Id="rId860" Type="http://schemas.openxmlformats.org/officeDocument/2006/relationships/hyperlink" Target="https://www.gakkou.net/kou/view/index_302023.html" TargetMode="External"/><Relationship Id="rId861" Type="http://schemas.openxmlformats.org/officeDocument/2006/relationships/hyperlink" Target="https://www.inter-edu.com/schools/school/80%20;%20https://www.univpress.co.jp/gk_pdf/13649.pdf" TargetMode="External"/><Relationship Id="rId862" Type="http://schemas.openxmlformats.org/officeDocument/2006/relationships/hyperlink" Target="https://www.gakkou.net/kou/view/index_302080.html" TargetMode="External"/><Relationship Id="rId863" Type="http://schemas.openxmlformats.org/officeDocument/2006/relationships/hyperlink" Target="https://school.js88.com/scl_h/22039570?page=5" TargetMode="External"/><Relationship Id="rId864" Type="http://schemas.openxmlformats.org/officeDocument/2006/relationships/hyperlink" Target="https://www.gakkou.net/kou/view/index_302167.html" TargetMode="External"/><Relationship Id="rId865" Type="http://schemas.openxmlformats.org/officeDocument/2006/relationships/hyperlink" Target="https://www.univpress.Co.jp/gk_pdf/13722.pdf%20;%20https://map.yahoo.co.jp/v3/place/6edwbApzAAk" TargetMode="External"/><Relationship Id="rId866" Type="http://schemas.openxmlformats.org/officeDocument/2006/relationships/hyperlink" Target="https://www.gakkou.net/kou/view/index_302272.html" TargetMode="External"/><Relationship Id="rId867" Type="http://schemas.openxmlformats.org/officeDocument/2006/relationships/hyperlink" Target="https://www.inter-edu.com/schools/school/626" TargetMode="External"/><Relationship Id="rId868" Type="http://schemas.openxmlformats.org/officeDocument/2006/relationships/hyperlink" Target="https://www.gakkou.net/kou/view/index_302243.html" TargetMode="External"/><Relationship Id="rId869" Type="http://schemas.openxmlformats.org/officeDocument/2006/relationships/hyperlink" Target="https://www.minkou.jp/junior/school/7509/" TargetMode="External"/><Relationship Id="rId870" Type="http://schemas.openxmlformats.org/officeDocument/2006/relationships/hyperlink" Target="https://www.gakkou.net/kou/view/index_301873.html" TargetMode="External"/><Relationship Id="rId871" Type="http://schemas.openxmlformats.org/officeDocument/2006/relationships/hyperlink" Target="https://www.inter-edu.com/schools/school/1926" TargetMode="External"/><Relationship Id="rId872" Type="http://schemas.openxmlformats.org/officeDocument/2006/relationships/hyperlink" Target="https://www.gakkou.net/kou/view/index_301927.html" TargetMode="External"/><Relationship Id="rId873" Type="http://schemas.openxmlformats.org/officeDocument/2006/relationships/hyperlink" Target="https://www.inter-edu.com/schools/school/546" TargetMode="External"/><Relationship Id="rId874" Type="http://schemas.openxmlformats.org/officeDocument/2006/relationships/hyperlink" Target="https://www.gakkou.net/kou/view/index_302270.html" TargetMode="External"/><Relationship Id="rId875" Type="http://schemas.openxmlformats.org/officeDocument/2006/relationships/hyperlink" Target="https://univpress.co.jp/gk_pdf/13716.pdf%20;%20https://map.yahoo.co.jp/v3/place/yNs4D15xvU-" TargetMode="External"/><Relationship Id="rId876" Type="http://schemas.openxmlformats.org/officeDocument/2006/relationships/hyperlink" Target="https://www.gakkou.net/kou/view/index_302285.html" TargetMode="External"/><Relationship Id="rId877" Type="http://schemas.openxmlformats.org/officeDocument/2006/relationships/hyperlink" Target="https://www.inter-edu.com/schools/school/2001%20;%20https://www.univpress.co.jp/wp-content/uploads/45tamagawagakuen-.pdf" TargetMode="External"/><Relationship Id="rId878" Type="http://schemas.openxmlformats.org/officeDocument/2006/relationships/hyperlink" Target="https://www.gakkou.net/kou/view/index_302328.html" TargetMode="External"/><Relationship Id="rId879" Type="http://schemas.openxmlformats.org/officeDocument/2006/relationships/hyperlink" Target="https://www.inter-edu.com/schools/school/1972" TargetMode="External"/><Relationship Id="rId880" Type="http://schemas.openxmlformats.org/officeDocument/2006/relationships/hyperlink" Target="https://www.gakkou.net/kou/view/index_302115.html" TargetMode="External"/><Relationship Id="rId881" Type="http://schemas.openxmlformats.org/officeDocument/2006/relationships/hyperlink" Target="https://www.inter-edu.com/schools/school/1982" TargetMode="External"/><Relationship Id="rId882" Type="http://schemas.openxmlformats.org/officeDocument/2006/relationships/hyperlink" Target="https://www.gakkou.net/kou/view/index_302370.html" TargetMode="External"/><Relationship Id="rId883" Type="http://schemas.openxmlformats.org/officeDocument/2006/relationships/hyperlink" Target="https://school.js88.com/scl_h/22039060?page=5%20;%20https://www.inter-edu.com/schools/school/2002" TargetMode="External"/><Relationship Id="rId884" Type="http://schemas.openxmlformats.org/officeDocument/2006/relationships/hyperlink" Target="https://www.gakkou.net/kou/view/index_302074.html" TargetMode="External"/><Relationship Id="rId885" Type="http://schemas.openxmlformats.org/officeDocument/2006/relationships/hyperlink" Target="https://page.line.me/065bkmjx" TargetMode="External"/><Relationship Id="rId886" Type="http://schemas.openxmlformats.org/officeDocument/2006/relationships/hyperlink" Target="https://www.gakkou.net/kou/view/index_306564.html" TargetMode="External"/><Relationship Id="rId887" Type="http://schemas.openxmlformats.org/officeDocument/2006/relationships/hyperlink" Target="https://www.inter-edu.com/schools/school/1812%20;%20https://school.js88.com/scl_h/22039290" TargetMode="External"/><Relationship Id="rId888" Type="http://schemas.openxmlformats.org/officeDocument/2006/relationships/hyperlink" Target="https://www.gakkou.net/kou/view/index_302096.html" TargetMode="External"/><Relationship Id="rId889" Type="http://schemas.openxmlformats.org/officeDocument/2006/relationships/hyperlink" Target="https://www.inter-edu.com/schools/school/547" TargetMode="External"/><Relationship Id="rId890" Type="http://schemas.openxmlformats.org/officeDocument/2006/relationships/hyperlink" Target="https://www.gakkou.net/kou/view/index_302212.html" TargetMode="External"/><Relationship Id="rId891" Type="http://schemas.openxmlformats.org/officeDocument/2006/relationships/hyperlink" Target="https://school.js88.com/scl_h/22038080" TargetMode="External"/><Relationship Id="rId892" Type="http://schemas.openxmlformats.org/officeDocument/2006/relationships/hyperlink" Target="https://www.gakkou.net/kou/view/index_301847.html" TargetMode="External"/><Relationship Id="rId893" Type="http://schemas.openxmlformats.org/officeDocument/2006/relationships/hyperlink" Target="https://www.inter-edu.com/schools/school/628%20;%20https://www.seikatubunka.metro.tokyo.lg.jp/documents/d/seikatubunka/10high_teiji_r20401_01" TargetMode="External"/><Relationship Id="rId894" Type="http://schemas.openxmlformats.org/officeDocument/2006/relationships/hyperlink" Target="https://www.gakkou.net/kou/view/index_301891.html" TargetMode="External"/><Relationship Id="rId895" Type="http://schemas.openxmlformats.org/officeDocument/2006/relationships/hyperlink" Target="https://www.inter-edu.com/schools/school/629" TargetMode="External"/><Relationship Id="rId896" Type="http://schemas.openxmlformats.org/officeDocument/2006/relationships/hyperlink" Target="https://www.gakkou.net/kou/view/index_302164.html" TargetMode="External"/><Relationship Id="rId897" Type="http://schemas.openxmlformats.org/officeDocument/2006/relationships/hyperlink" Target="https://www.chuo-u.ac.jp/media/gaiyo/gaiyo26-27_54.pdf%20;%20https://school.js88.com/scl_h/22040170?page=5" TargetMode="External"/><Relationship Id="rId898" Type="http://schemas.openxmlformats.org/officeDocument/2006/relationships/hyperlink" Target="https://www.gakkou.net/kou/view/index_302262.html" TargetMode="External"/><Relationship Id="rId899" Type="http://schemas.openxmlformats.org/officeDocument/2006/relationships/hyperlink" Target="https://www.inter-edu.com/schools/school/2072%20;%20https://univpress.co.jp/gk_pdf/13512.pdf" TargetMode="External"/><Relationship Id="rId900" Type="http://schemas.openxmlformats.org/officeDocument/2006/relationships/hyperlink" Target="https://www.gakkou.net/kou/view/index_301841.html" TargetMode="External"/><Relationship Id="rId901" Type="http://schemas.openxmlformats.org/officeDocument/2006/relationships/hyperlink" Target="https://school.js88.com/scl_h/22039800%20;%20https://www.minkou.jp/hischool/school/university/2732/" TargetMode="External"/><Relationship Id="rId902" Type="http://schemas.openxmlformats.org/officeDocument/2006/relationships/hyperlink" Target="https://www.gakkou.net/kou/view/index_302197.html" TargetMode="External"/><Relationship Id="rId903" Type="http://schemas.openxmlformats.org/officeDocument/2006/relationships/hyperlink" Target="https://www.inter-edu.com/schools/school/2003" TargetMode="External"/><Relationship Id="rId904" Type="http://schemas.openxmlformats.org/officeDocument/2006/relationships/hyperlink" Target="https://www.gakkou.net/kou/view/index_302308.html" TargetMode="External"/><Relationship Id="rId905" Type="http://schemas.openxmlformats.org/officeDocument/2006/relationships/hyperlink" Target="https://www.inter-edu.com/schools/school/1961%20;%20https://school.js88.com/scl_h/22038380?page=5" TargetMode="External"/><Relationship Id="rId906" Type="http://schemas.openxmlformats.org/officeDocument/2006/relationships/hyperlink" Target="https://www.gakkou.net/kou/view/index_302305.html" TargetMode="External"/><Relationship Id="rId907" Type="http://schemas.openxmlformats.org/officeDocument/2006/relationships/hyperlink" Target="https://www.inter-edu.com/schools/school/2507" TargetMode="External"/><Relationship Id="rId908" Type="http://schemas.openxmlformats.org/officeDocument/2006/relationships/hyperlink" Target="https://www.gakkou.net/kou/view/index_301897.html" TargetMode="External"/><Relationship Id="rId909" Type="http://schemas.openxmlformats.org/officeDocument/2006/relationships/hyperlink" Target="https://www.inter-edu.com/schools/school/240" TargetMode="External"/><Relationship Id="rId910" Type="http://schemas.openxmlformats.org/officeDocument/2006/relationships/hyperlink" Target="https://www.gakkou.net/kou/view/index_302116.html" TargetMode="External"/><Relationship Id="rId911" Type="http://schemas.openxmlformats.org/officeDocument/2006/relationships/hyperlink" Target="https://www.denenchofufutaba.ed.jp/about/access.html" TargetMode="External"/><Relationship Id="rId912" Type="http://schemas.openxmlformats.org/officeDocument/2006/relationships/hyperlink" Target="https://www.gakkou.net/kou/view/index_302117.html" TargetMode="External"/><Relationship Id="rId913" Type="http://schemas.openxmlformats.org/officeDocument/2006/relationships/hyperlink" Target="https://www.inter-edu.com/schools/school/654" TargetMode="External"/><Relationship Id="rId914" Type="http://schemas.openxmlformats.org/officeDocument/2006/relationships/hyperlink" Target="https://www.gakkou.net/kou/view/index_302134.html" TargetMode="External"/><Relationship Id="rId915" Type="http://schemas.openxmlformats.org/officeDocument/2006/relationships/hyperlink" Target="https://school.js88.com/scl_h/22040210" TargetMode="External"/><Relationship Id="rId916" Type="http://schemas.openxmlformats.org/officeDocument/2006/relationships/hyperlink" Target="https://www.gakkou.net/kou/view/index_302291.html" TargetMode="External"/><Relationship Id="rId917" Type="http://schemas.openxmlformats.org/officeDocument/2006/relationships/hyperlink" Target="https://www.inter-edu.com/schools/school/2005%20;%20https://univpress.co.jp/gk_pdf/13533.pdf" TargetMode="External"/><Relationship Id="rId918" Type="http://schemas.openxmlformats.org/officeDocument/2006/relationships/hyperlink" Target="https://www.gakkou.net/kou/view/index_301852.html" TargetMode="External"/><Relationship Id="rId919" Type="http://schemas.openxmlformats.org/officeDocument/2006/relationships/hyperlink" Target="https://www.seikatubunka.metro.tokyo.lg.jp/documents/d/seikatubunka/13high_tushin_r61201" TargetMode="External"/><Relationship Id="rId920" Type="http://schemas.openxmlformats.org/officeDocument/2006/relationships/hyperlink" Target="https://www.gakkou.net/kou/view/index_306330.html" TargetMode="External"/><Relationship Id="rId921" Type="http://schemas.openxmlformats.org/officeDocument/2006/relationships/hyperlink" Target="https://hs.tokyo-ondai.ac.jp/access/" TargetMode="External"/><Relationship Id="rId922" Type="http://schemas.openxmlformats.org/officeDocument/2006/relationships/hyperlink" Target="https://www.gakkou.net/kou/view/index_301900.html" TargetMode="External"/><Relationship Id="rId923" Type="http://schemas.openxmlformats.org/officeDocument/2006/relationships/hyperlink" Target="https://www.inter-edu.com/schools/school/2073" TargetMode="External"/><Relationship Id="rId924" Type="http://schemas.openxmlformats.org/officeDocument/2006/relationships/hyperlink" Target="https://www.gakkou.net/kou/view/index_301840.html" TargetMode="External"/><Relationship Id="rId925" Type="http://schemas.openxmlformats.org/officeDocument/2006/relationships/hyperlink" Target="https://www.inter-edu.com/schools/school/1973%20;%20https://school.js88.com/scl_h/22039810" TargetMode="External"/><Relationship Id="rId926" Type="http://schemas.openxmlformats.org/officeDocument/2006/relationships/hyperlink" Target="https://www.gakkou.net/kou/view/index_302198.html" TargetMode="External"/><Relationship Id="rId927" Type="http://schemas.openxmlformats.org/officeDocument/2006/relationships/hyperlink" Target="https://www.inter-edu.com/schools/school/653%20;%20https://www.univpress.co.jp/gk_pdf/13629.pdf" TargetMode="External"/><Relationship Id="rId928" Type="http://schemas.openxmlformats.org/officeDocument/2006/relationships/hyperlink" Target="https://www.gakkou.net/kou/view/index_302045.html" TargetMode="External"/><Relationship Id="rId929" Type="http://schemas.openxmlformats.org/officeDocument/2006/relationships/hyperlink" Target="https://www.inter-edu.com/schools/school/1022" TargetMode="External"/><Relationship Id="rId930" Type="http://schemas.openxmlformats.org/officeDocument/2006/relationships/hyperlink" Target="https://www.gakkou.net/kou/view/index_302039.html" TargetMode="External"/><Relationship Id="rId931" Type="http://schemas.openxmlformats.org/officeDocument/2006/relationships/hyperlink" Target="https://www.inter-edu.com/schools/school/1974%20;%20https://www.minkou.jp/junior/school/8023/" TargetMode="External"/><Relationship Id="rId932" Type="http://schemas.openxmlformats.org/officeDocument/2006/relationships/hyperlink" Target="https://www.gakkou.net/kou/view/index_302300.html" TargetMode="External"/><Relationship Id="rId933" Type="http://schemas.openxmlformats.org/officeDocument/2006/relationships/hyperlink" Target="https://www.inter-edu.com/schools/school/86" TargetMode="External"/><Relationship Id="rId934" Type="http://schemas.openxmlformats.org/officeDocument/2006/relationships/hyperlink" Target="https://www.gakkou.net/kou/view/index_302053.html" TargetMode="External"/><Relationship Id="rId935" Type="http://schemas.openxmlformats.org/officeDocument/2006/relationships/hyperlink" Target="https://www.tokyoseitoku.jp/hs/assets/pdf/information/pamphlet.pdf" TargetMode="External"/><Relationship Id="rId936" Type="http://schemas.openxmlformats.org/officeDocument/2006/relationships/hyperlink" Target="https://www.gakkou.net/kou/view/index_301923.html" TargetMode="External"/><Relationship Id="rId937" Type="http://schemas.openxmlformats.org/officeDocument/2006/relationships/hyperlink" Target="https://school.js88.com/scl_h/22038580%20;%20https://www.inter-edu.com/schools/school/1962" TargetMode="External"/><Relationship Id="rId938" Type="http://schemas.openxmlformats.org/officeDocument/2006/relationships/hyperlink" Target="https://www.gakkou.net/kou/view/index_302257.html" TargetMode="External"/><Relationship Id="rId939" Type="http://schemas.openxmlformats.org/officeDocument/2006/relationships/hyperlink" Target="https://www.inter-edu.com/schools/school/2004" TargetMode="External"/><Relationship Id="rId940" Type="http://schemas.openxmlformats.org/officeDocument/2006/relationships/hyperlink" Target="https://www.gakkou.net/kou/view/index_302114.html" TargetMode="External"/><Relationship Id="rId941" Type="http://schemas.openxmlformats.org/officeDocument/2006/relationships/hyperlink" Target="https://www.inter-edu.com/schools/school/84%20;%20https://www.minkou.jp/junior/school/7706/" TargetMode="External"/><Relationship Id="rId942" Type="http://schemas.openxmlformats.org/officeDocument/2006/relationships/hyperlink" Target="https://www.gakkou.net/kou/view/index_302103.html" TargetMode="External"/><Relationship Id="rId943" Type="http://schemas.openxmlformats.org/officeDocument/2006/relationships/hyperlink" Target="https://www.inter-edu.com/schools/school/139%20;%20https://www.minkou.jp/junior/school/7689/" TargetMode="External"/><Relationship Id="rId944" Type="http://schemas.openxmlformats.org/officeDocument/2006/relationships/hyperlink" Target="https://www.gakkou.net/kou/view/index_302094.html" TargetMode="External"/><Relationship Id="rId945" Type="http://schemas.openxmlformats.org/officeDocument/2006/relationships/hyperlink" Target="https://school.js88.com/scl_h/22040190%20;%20https://www.minkou.jp/hischool/school/96254/" TargetMode="External"/><Relationship Id="rId946" Type="http://schemas.openxmlformats.org/officeDocument/2006/relationships/hyperlink" Target="https://www.gakkou.net/kou/view/index_302276.html" TargetMode="External"/><Relationship Id="rId947" Type="http://schemas.openxmlformats.org/officeDocument/2006/relationships/hyperlink" Target="https://tokyorissho.ed.jp/exam/pdf/senior_panf2027.pdf" TargetMode="External"/><Relationship Id="rId948" Type="http://schemas.openxmlformats.org/officeDocument/2006/relationships/hyperlink" Target="https://www.gakkou.net/kou/view/index_302156.html" TargetMode="External"/><Relationship Id="rId949" Type="http://schemas.openxmlformats.org/officeDocument/2006/relationships/hyperlink" Target="https://www.inter-edu.com/schools/school/2105%20;%20https://school.js88.com/scl_h/22039870?page=5" TargetMode="External"/><Relationship Id="rId950" Type="http://schemas.openxmlformats.org/officeDocument/2006/relationships/hyperlink" Target="https://www.gakkou.net/kou/view/index_302368.html" TargetMode="External"/><Relationship Id="rId951" Type="http://schemas.openxmlformats.org/officeDocument/2006/relationships/hyperlink" Target="https://www.inter-edu.com/schools/school/1947" TargetMode="External"/><Relationship Id="rId952" Type="http://schemas.openxmlformats.org/officeDocument/2006/relationships/hyperlink" Target="https://www.gakkou.net/kou/view/index_302267.html" TargetMode="External"/><Relationship Id="rId953" Type="http://schemas.openxmlformats.org/officeDocument/2006/relationships/hyperlink" Target="https://chuko.toho.ac.jp/pdf/2026high_suisen_youkou.pdf" TargetMode="External"/><Relationship Id="rId954" Type="http://schemas.openxmlformats.org/officeDocument/2006/relationships/hyperlink" Target="https://www.gakkou.net/kou/view/index_302246.html" TargetMode="External"/><Relationship Id="rId955" Type="http://schemas.openxmlformats.org/officeDocument/2006/relationships/hyperlink" Target="https://www.inter-edu.com/schools/school/65" TargetMode="External"/><Relationship Id="rId956" Type="http://schemas.openxmlformats.org/officeDocument/2006/relationships/hyperlink" Target="https://www.gakkou.net/kou/view/index_301861.html" TargetMode="External"/><Relationship Id="rId957" Type="http://schemas.openxmlformats.org/officeDocument/2006/relationships/hyperlink" Target="https://toyo.ed.jp/wordpress/wp-content/uploads/2024/07/20240701-6681de45f02f1.pdf" TargetMode="External"/><Relationship Id="rId958" Type="http://schemas.openxmlformats.org/officeDocument/2006/relationships/hyperlink" Target="https://www.gakkou.net/kou/view/index_301828.html" TargetMode="External"/><Relationship Id="rId959" Type="http://schemas.openxmlformats.org/officeDocument/2006/relationships/hyperlink" Target="https://www.city.bunkyo.lg.jp/documents/5788/kizi_2024.pdf%20;%20https://www.inter-edu.com/schools/school/652" TargetMode="External"/><Relationship Id="rId960" Type="http://schemas.openxmlformats.org/officeDocument/2006/relationships/hyperlink" Target="https://www.gakkou.net/kou/view/index_301892.html" TargetMode="External"/><Relationship Id="rId961" Type="http://schemas.openxmlformats.org/officeDocument/2006/relationships/hyperlink" Target="https://www.inter-edu.com/schools/school/2179%20;%20https://www.minkou.jp/junior/school/7822/" TargetMode="External"/><Relationship Id="rId962" Type="http://schemas.openxmlformats.org/officeDocument/2006/relationships/hyperlink" Target="https://www.gakkou.net/kou/view/index_301901.html" TargetMode="External"/><Relationship Id="rId963" Type="http://schemas.openxmlformats.org/officeDocument/2006/relationships/hyperlink" Target="https://www.inter-edu.com/schools/school/2077%20;%20https://school.js88.com/scl_h/22039030/" TargetMode="External"/><Relationship Id="rId964" Type="http://schemas.openxmlformats.org/officeDocument/2006/relationships/hyperlink" Target="https://www.gakkou.net/kou/view/index_302061.html" TargetMode="External"/><Relationship Id="rId965" Type="http://schemas.openxmlformats.org/officeDocument/2006/relationships/hyperlink" Target="https://www.inter-edu.com/schools/school/66" TargetMode="External"/><Relationship Id="rId966" Type="http://schemas.openxmlformats.org/officeDocument/2006/relationships/hyperlink" Target="https://www.gakkou.net/kou/view/index_302188.html" TargetMode="External"/><Relationship Id="rId967" Type="http://schemas.openxmlformats.org/officeDocument/2006/relationships/hyperlink" Target="https://www.inter-edu.com/schools/school/655%20;%20https://school.js88.com/scl_h/22039730?page=5" TargetMode="External"/><Relationship Id="rId968" Type="http://schemas.openxmlformats.org/officeDocument/2006/relationships/hyperlink" Target="https://www.gakkou.net/kou/view/index_302185.html" TargetMode="External"/><Relationship Id="rId969" Type="http://schemas.openxmlformats.org/officeDocument/2006/relationships/hyperlink" Target="https://www.city.bunkyo.lg.jp/documents/5788/kizi_2024.pdf%20;%20https://www.inter-edu.com/schools/school/93" TargetMode="External"/><Relationship Id="rId970" Type="http://schemas.openxmlformats.org/officeDocument/2006/relationships/hyperlink" Target="https://www.gakkou.net/kou/view/index_301899.html" TargetMode="External"/><Relationship Id="rId971" Type="http://schemas.openxmlformats.org/officeDocument/2006/relationships/hyperlink" Target="https://www.inter-edu.com/schools/school/2508%20;%20https://school.js88.com/scl_j/34041514" TargetMode="External"/><Relationship Id="rId972" Type="http://schemas.openxmlformats.org/officeDocument/2006/relationships/hyperlink" Target="https://www.gakkou.net/kou/view/index_302075.html" TargetMode="External"/><Relationship Id="rId973" Type="http://schemas.openxmlformats.org/officeDocument/2006/relationships/hyperlink" Target="https://www.inter-edu.com/schools/school/2081%20;%20https://school.js88.com/scl_h/22038820/" TargetMode="External"/><Relationship Id="rId974" Type="http://schemas.openxmlformats.org/officeDocument/2006/relationships/hyperlink" Target="https://www.gakkou.net/kou/view/index_302003.html" TargetMode="External"/><Relationship Id="rId975" Type="http://schemas.openxmlformats.org/officeDocument/2006/relationships/hyperlink" Target="https://school.js88.com/scl_h/22038030" TargetMode="External"/><Relationship Id="rId976" Type="http://schemas.openxmlformats.org/officeDocument/2006/relationships/hyperlink" Target="https://www.gakkou.net/kou/view/index_301838.html" TargetMode="External"/><Relationship Id="rId977" Type="http://schemas.openxmlformats.org/officeDocument/2006/relationships/hyperlink" Target="https://www.inter-edu.com/schools/school/2101" TargetMode="External"/><Relationship Id="rId978" Type="http://schemas.openxmlformats.org/officeDocument/2006/relationships/hyperlink" Target="https://www.gakkou.net/kou/view/index_302140.html" TargetMode="External"/><Relationship Id="rId979" Type="http://schemas.openxmlformats.org/officeDocument/2006/relationships/hyperlink" Target="https://www.inter-edu.com/schools/school/2079" TargetMode="External"/><Relationship Id="rId980" Type="http://schemas.openxmlformats.org/officeDocument/2006/relationships/hyperlink" Target="https://www.gakkou.net/kou/view/index_302068.html" TargetMode="External"/><Relationship Id="rId981" Type="http://schemas.openxmlformats.org/officeDocument/2006/relationships/hyperlink" Target="https://www.inter-edu.com/schools/school/1801" TargetMode="External"/><Relationship Id="rId982" Type="http://schemas.openxmlformats.org/officeDocument/2006/relationships/hyperlink" Target="https://www.gakkou.net/kou/view/index_302089.html" TargetMode="External"/><Relationship Id="rId983" Type="http://schemas.openxmlformats.org/officeDocument/2006/relationships/hyperlink" Target="https://www.inter-edu.com/schools/school/1023%20;%20https://school.js88.com/scl_h/22039120" TargetMode="External"/><Relationship Id="rId984" Type="http://schemas.openxmlformats.org/officeDocument/2006/relationships/hyperlink" Target="https://www.gakkou.net/kou/view/index_302042.html" TargetMode="External"/><Relationship Id="rId985" Type="http://schemas.openxmlformats.org/officeDocument/2006/relationships/hyperlink" Target="https://school.js88.com/scl_h/22040050%20;%20https://www.inter-edu.com/schools/school/2212" TargetMode="External"/><Relationship Id="rId986" Type="http://schemas.openxmlformats.org/officeDocument/2006/relationships/hyperlink" Target="https://www.gakkou.net/kou/view/index_302283.html" TargetMode="External"/><Relationship Id="rId987" Type="http://schemas.openxmlformats.org/officeDocument/2006/relationships/hyperlink" Target="https://www.inter-edu.com/schools/school/666" TargetMode="External"/><Relationship Id="rId988" Type="http://schemas.openxmlformats.org/officeDocument/2006/relationships/hyperlink" Target="https://www.gakkou.net/kou/view/index_302092.html" TargetMode="External"/><Relationship Id="rId989" Type="http://schemas.openxmlformats.org/officeDocument/2006/relationships/hyperlink" Target="https://www.inter-edu.com/schools/school/1963" TargetMode="External"/><Relationship Id="rId990" Type="http://schemas.openxmlformats.org/officeDocument/2006/relationships/hyperlink" Target="https://www.gakkou.net/kou/view/index_301972.html" TargetMode="External"/><Relationship Id="rId991" Type="http://schemas.openxmlformats.org/officeDocument/2006/relationships/hyperlink" Target="https://www.inter-edu.com/schools/school/1964" TargetMode="External"/><Relationship Id="rId992" Type="http://schemas.openxmlformats.org/officeDocument/2006/relationships/hyperlink" Target="https://www.gakkou.net/kou/view/index_302330.html" TargetMode="External"/><Relationship Id="rId993" Type="http://schemas.openxmlformats.org/officeDocument/2006/relationships/hyperlink" Target="https://www.nichidai2.ac.jp/access/" TargetMode="External"/><Relationship Id="rId994" Type="http://schemas.openxmlformats.org/officeDocument/2006/relationships/hyperlink" Target="https://www.gakkou.net/kou/view/index_302161.html" TargetMode="External"/><Relationship Id="rId995" Type="http://schemas.openxmlformats.org/officeDocument/2006/relationships/hyperlink" Target="https://www.inter-edu.com/schools/school/549" TargetMode="External"/><Relationship Id="rId996" Type="http://schemas.openxmlformats.org/officeDocument/2006/relationships/hyperlink" Target="https://www.gakkou.net/kou/view/index_302168.html" TargetMode="External"/><Relationship Id="rId997" Type="http://schemas.openxmlformats.org/officeDocument/2006/relationships/hyperlink" Target="https://www.buzan.hs.nihon-u.ac.jp/app/files/uploads/2023/07/0c3e5f5f42ed3ec2a5cc6564632ff9a9.pdf" TargetMode="External"/><Relationship Id="rId998" Type="http://schemas.openxmlformats.org/officeDocument/2006/relationships/hyperlink" Target="https://www.gakkou.net/kou/view/index_301896.html" TargetMode="External"/><Relationship Id="rId999" Type="http://schemas.openxmlformats.org/officeDocument/2006/relationships/hyperlink" Target="https://www.inter-edu.com/schools/school/253" TargetMode="External"/><Relationship Id="rId1000" Type="http://schemas.openxmlformats.org/officeDocument/2006/relationships/hyperlink" Target="https://www.gakkou.net/kou/view/index_302209.html" TargetMode="External"/><Relationship Id="rId1001" Type="http://schemas.openxmlformats.org/officeDocument/2006/relationships/hyperlink" Target="https://www.inter-edu.com/schools/school/2097" TargetMode="External"/><Relationship Id="rId1002" Type="http://schemas.openxmlformats.org/officeDocument/2006/relationships/hyperlink" Target="https://www.gakkou.net/kou/view/index_302319.html" TargetMode="External"/><Relationship Id="rId1003" Type="http://schemas.openxmlformats.org/officeDocument/2006/relationships/hyperlink" Target="https://www.inter-edu.com/schools/school/2106" TargetMode="External"/><Relationship Id="rId1004" Type="http://schemas.openxmlformats.org/officeDocument/2006/relationships/hyperlink" Target="https://www.gakkou.net/kou/view/index_302320.html" TargetMode="External"/><Relationship Id="rId1005" Type="http://schemas.openxmlformats.org/officeDocument/2006/relationships/hyperlink" Target="https://prtimes.jp/main/html/rd/p/000000037.000115210.html%20;%20https://www.inter-edu.com/schools/school/1871" TargetMode="External"/><Relationship Id="rId1006" Type="http://schemas.openxmlformats.org/officeDocument/2006/relationships/hyperlink" Target="https://www.gakkou.net/kou/view/index_302036.html" TargetMode="External"/><Relationship Id="rId1007" Type="http://schemas.openxmlformats.org/officeDocument/2006/relationships/hyperlink" Target="https://hiroo-koishikawa.ed.jp/contact" TargetMode="External"/><Relationship Id="rId1008" Type="http://schemas.openxmlformats.org/officeDocument/2006/relationships/hyperlink" Target="https://www.gakkou.net/kou/view/index_301889.html" TargetMode="External"/><Relationship Id="rId1009" Type="http://schemas.openxmlformats.org/officeDocument/2006/relationships/hyperlink" Target="https://www.hiroogakuen.ed.jp/junior/2026bosyuyoko_info.pdf" TargetMode="External"/><Relationship Id="rId1010" Type="http://schemas.openxmlformats.org/officeDocument/2006/relationships/hyperlink" Target="https://www.gakkou.net/kou/view/index_301863.html" TargetMode="External"/><Relationship Id="rId1011" Type="http://schemas.openxmlformats.org/officeDocument/2006/relationships/hyperlink" Target="https://school.js88.com/scl_h/22039420" TargetMode="External"/><Relationship Id="rId1012" Type="http://schemas.openxmlformats.org/officeDocument/2006/relationships/hyperlink" Target="https://www.gakkou.net/kou/view/index_302333.html" TargetMode="External"/><Relationship Id="rId1013" Type="http://schemas.openxmlformats.org/officeDocument/2006/relationships/hyperlink" Target="https://www.inter-edu.com/schools/school/256%20;%20https://www.minkou.jp/hischool/school/4180/" TargetMode="External"/><Relationship Id="rId1014" Type="http://schemas.openxmlformats.org/officeDocument/2006/relationships/hyperlink" Target="https://www.gakkou.net/kou/view/index_302060.html" TargetMode="External"/><Relationship Id="rId1015" Type="http://schemas.openxmlformats.org/officeDocument/2006/relationships/hyperlink" Target="https://www.city.nerima.tokyo.jp/shisetsu/gakko/koko.html%20;%20https://www.inter-edu.com/schools/school/257" TargetMode="External"/><Relationship Id="rId1016" Type="http://schemas.openxmlformats.org/officeDocument/2006/relationships/hyperlink" Target="https://www.gakkou.net/kou/view/index_302218.html" TargetMode="External"/><Relationship Id="rId1017" Type="http://schemas.openxmlformats.org/officeDocument/2006/relationships/hyperlink" Target="https://www.inter-edu.com/schools/school/68%20;%20https://www.minkou.jp/junior/school/7479/" TargetMode="External"/><Relationship Id="rId1018" Type="http://schemas.openxmlformats.org/officeDocument/2006/relationships/hyperlink" Target="https://www.gakkou.net/kou/view/index_301844.html" TargetMode="External"/><Relationship Id="rId1019" Type="http://schemas.openxmlformats.org/officeDocument/2006/relationships/hyperlink" Target="https://www.inter-edu.com/schools/school/258%20;%20https://k-doumei.or.jp/wp-content/uploads/2024/09/bd9e3ce9489feb4f707ef4abc1c07b2f.pdf" TargetMode="External"/><Relationship Id="rId1020" Type="http://schemas.openxmlformats.org/officeDocument/2006/relationships/hyperlink" Target="https://www.gakkou.net/kou/view/index_301871.html" TargetMode="External"/><Relationship Id="rId1021" Type="http://schemas.openxmlformats.org/officeDocument/2006/relationships/hyperlink" Target="https://www.city.suginami.tokyo.jp/shisetsu/school/shiritsuko/index.html%20;%20https://www.inter-edu.com/schools/school/69" TargetMode="External"/><Relationship Id="rId1022" Type="http://schemas.openxmlformats.org/officeDocument/2006/relationships/hyperlink" Target="https://www.gakkou.net/kou/view/index_302152.html" TargetMode="External"/><Relationship Id="rId1023" Type="http://schemas.openxmlformats.org/officeDocument/2006/relationships/hyperlink" Target="https://www.inter-edu.com/schools/school/259%20;%20https://www.bgu.ac.jp/bgu_sys/wp-content/uploads/2026/02/bgu815.pdf" TargetMode="External"/><Relationship Id="rId1024" Type="http://schemas.openxmlformats.org/officeDocument/2006/relationships/hyperlink" Target="https://www.gakkou.net/kou/view/index_301908.html" TargetMode="External"/><Relationship Id="rId1025" Type="http://schemas.openxmlformats.org/officeDocument/2006/relationships/hyperlink" Target="https://www.bunkyo.ac.jp/jsh/news/docs/2020hennyu_02.pdf" TargetMode="External"/><Relationship Id="rId1026" Type="http://schemas.openxmlformats.org/officeDocument/2006/relationships/hyperlink" Target="https://www.gakkou.net/kou/view/index_302027.html" TargetMode="External"/><Relationship Id="rId1027" Type="http://schemas.openxmlformats.org/officeDocument/2006/relationships/hyperlink" Target="https://school.js88.com/scl_h/22040140%20;%20https://www.inter-edu.com/schools/school/2007" TargetMode="External"/><Relationship Id="rId1028" Type="http://schemas.openxmlformats.org/officeDocument/2006/relationships/hyperlink" Target="https://www.gakkou.net/kou/view/index_302233.html" TargetMode="External"/><Relationship Id="rId1029" Type="http://schemas.openxmlformats.org/officeDocument/2006/relationships/hyperlink" Target="https://www.inter-edu.com/schools/school/681" TargetMode="External"/><Relationship Id="rId1030" Type="http://schemas.openxmlformats.org/officeDocument/2006/relationships/hyperlink" Target="https://www.gakkou.net/kou/view/index_306792.html" TargetMode="External"/><Relationship Id="rId1031" Type="http://schemas.openxmlformats.org/officeDocument/2006/relationships/hyperlink" Target="https://www.inter-edu.com/schools/school/95" TargetMode="External"/><Relationship Id="rId1032" Type="http://schemas.openxmlformats.org/officeDocument/2006/relationships/hyperlink" Target="https://www.gakkou.net/kou/view/index_302138.html" TargetMode="External"/><Relationship Id="rId1033" Type="http://schemas.openxmlformats.org/officeDocument/2006/relationships/hyperlink" Target="https://www.inter-edu.com/schools/school/682" TargetMode="External"/><Relationship Id="rId1034" Type="http://schemas.openxmlformats.org/officeDocument/2006/relationships/hyperlink" Target="https://www.gakkou.net/kou/view/index_302191.html" TargetMode="External"/><Relationship Id="rId1035" Type="http://schemas.openxmlformats.org/officeDocument/2006/relationships/hyperlink" Target="https://www.inter-edu.com/schools/school/680%20;%20https://www.univpress.co.jp/gk_pdf/13614.pdf" TargetMode="External"/><Relationship Id="rId1036" Type="http://schemas.openxmlformats.org/officeDocument/2006/relationships/hyperlink" Target="https://www.gakkou.net/kou/view/index_302016.html" TargetMode="External"/><Relationship Id="rId1037" Type="http://schemas.openxmlformats.org/officeDocument/2006/relationships/hyperlink" Target="https://www.inter-edu.com/schools/school/679" TargetMode="External"/><Relationship Id="rId1038" Type="http://schemas.openxmlformats.org/officeDocument/2006/relationships/hyperlink" Target="https://www.gakkou.net/kou/view/index_302178.html" TargetMode="External"/><Relationship Id="rId1039" Type="http://schemas.openxmlformats.org/officeDocument/2006/relationships/hyperlink" Target="https://www.inter-edu.com/schools/school/1929%20;%20https://school.js88.com/scl_h/22039490?page=8" TargetMode="External"/><Relationship Id="rId1040" Type="http://schemas.openxmlformats.org/officeDocument/2006/relationships/hyperlink" Target="https://www.gakkou.net/kou/view/index_302137.html" TargetMode="External"/><Relationship Id="rId1041" Type="http://schemas.openxmlformats.org/officeDocument/2006/relationships/hyperlink" Target="https://www.minkou.jp/hischool/school/university/4472/s=1/%20;%20https://www.inter-edu.com/schools/school/82/" TargetMode="External"/><Relationship Id="rId1042" Type="http://schemas.openxmlformats.org/officeDocument/2006/relationships/hyperlink" Target="https://www.gakkou.net/kou/view/index_302182.html" TargetMode="External"/><Relationship Id="rId1043" Type="http://schemas.openxmlformats.org/officeDocument/2006/relationships/hyperlink" Target="https://www.inter-edu.com/schools/school/252" TargetMode="External"/><Relationship Id="rId1044" Type="http://schemas.openxmlformats.org/officeDocument/2006/relationships/hyperlink" Target="https://www.gakkou.net/kou/view/index_302121.html" TargetMode="External"/><Relationship Id="rId1045" Type="http://schemas.openxmlformats.org/officeDocument/2006/relationships/hyperlink" Target="https://www.inter-edu.com/schools/school/146%20;%20https://school.js88.com/scl_h/22040160" TargetMode="External"/><Relationship Id="rId1046" Type="http://schemas.openxmlformats.org/officeDocument/2006/relationships/hyperlink" Target="https://www.gakkou.net/kou/view/index_302240.html" TargetMode="External"/><Relationship Id="rId1047" Type="http://schemas.openxmlformats.org/officeDocument/2006/relationships/hyperlink" Target="https://www.inter-edu.com/schools/school/70%20;%20https://www.minkou.jp/junior/school/7488/" TargetMode="External"/><Relationship Id="rId1048" Type="http://schemas.openxmlformats.org/officeDocument/2006/relationships/hyperlink" Target="https://www.gakkou.net/kou/view/index_301836.html" TargetMode="External"/><Relationship Id="rId1049" Type="http://schemas.openxmlformats.org/officeDocument/2006/relationships/hyperlink" Target="https://www.inter-edu.com/schools/school/18" TargetMode="External"/><Relationship Id="rId1050" Type="http://schemas.openxmlformats.org/officeDocument/2006/relationships/hyperlink" Target="https://www.gakkou.net/kou/view/index_302215.html" TargetMode="External"/><Relationship Id="rId1051" Type="http://schemas.openxmlformats.org/officeDocument/2006/relationships/hyperlink" Target="https://www.inter-edu.com/schools/school/291%20;%20https://school.js88.com/scl_h/22038770?page=5" TargetMode="External"/><Relationship Id="rId1052" Type="http://schemas.openxmlformats.org/officeDocument/2006/relationships/hyperlink" Target="https://www.gakkou.net/kou/view/index_301934.html" TargetMode="External"/><Relationship Id="rId1053" Type="http://schemas.openxmlformats.org/officeDocument/2006/relationships/hyperlink" Target="https://www.inter-edu.com/schools/school/1976" TargetMode="External"/><Relationship Id="rId1054" Type="http://schemas.openxmlformats.org/officeDocument/2006/relationships/hyperlink" Target="https://www.gakkou.net/kou/view/index_302361.html" TargetMode="External"/><Relationship Id="rId1055" Type="http://schemas.openxmlformats.org/officeDocument/2006/relationships/hyperlink" Target="https://school.js88.com/scl_h/22038230/" TargetMode="External"/><Relationship Id="rId1056" Type="http://schemas.openxmlformats.org/officeDocument/2006/relationships/hyperlink" Target="https://www.gakkou.net/kou/view/index_301866.html" TargetMode="External"/><Relationship Id="rId1057" Type="http://schemas.openxmlformats.org/officeDocument/2006/relationships/hyperlink" Target="https://www.inter-edu.com/schools/school/144%20;%20https://school.js88.com/scl_h/22040060?page=5" TargetMode="External"/><Relationship Id="rId1058" Type="http://schemas.openxmlformats.org/officeDocument/2006/relationships/hyperlink" Target="https://www.gakkou.net/kou/view/index_302281.html" TargetMode="External"/><Relationship Id="rId1059" Type="http://schemas.openxmlformats.org/officeDocument/2006/relationships/hyperlink" Target="https://www.inter-edu.com/schools/school/2042" TargetMode="External"/><Relationship Id="rId1060" Type="http://schemas.openxmlformats.org/officeDocument/2006/relationships/hyperlink" Target="https://www.gakkou.net/kou/view/index_302088.html" TargetMode="External"/><Relationship Id="rId1061" Type="http://schemas.openxmlformats.org/officeDocument/2006/relationships/hyperlink" Target="https://www.inter-edu.com/schools/school/1948" TargetMode="External"/><Relationship Id="rId1062" Type="http://schemas.openxmlformats.org/officeDocument/2006/relationships/hyperlink" Target="https://www.gakkou.net/kou/view/index_302135.html" TargetMode="External"/><Relationship Id="rId1063" Type="http://schemas.openxmlformats.org/officeDocument/2006/relationships/hyperlink" Target="https://www.inter-edu.com/schools/school/1967" TargetMode="External"/><Relationship Id="rId1064" Type="http://schemas.openxmlformats.org/officeDocument/2006/relationships/hyperlink" Target="https://www.gakkou.net/kou/view/index_302299.html" TargetMode="External"/><Relationship Id="rId1065" Type="http://schemas.openxmlformats.org/officeDocument/2006/relationships/hyperlink" Target="https://www.meiji.ac.jp/ko_chu/admission/ujnu1b0000000aab-att/a1568003491541.pdf%20;%20https://school.js88.com/scl_h/22038060" TargetMode="External"/><Relationship Id="rId1066" Type="http://schemas.openxmlformats.org/officeDocument/2006/relationships/hyperlink" Target="https://www.gakkou.net/kou/view/index_301830.html" TargetMode="External"/><Relationship Id="rId1067" Type="http://schemas.openxmlformats.org/officeDocument/2006/relationships/hyperlink" Target="https://www.inter-edu.com/schools/school/2009" TargetMode="External"/><Relationship Id="rId1068" Type="http://schemas.openxmlformats.org/officeDocument/2006/relationships/hyperlink" Target="https://www.gakkou.net/kou/view/index_302254.html" TargetMode="External"/><Relationship Id="rId1069" Type="http://schemas.openxmlformats.org/officeDocument/2006/relationships/hyperlink" Target="https://www.inter-edu.com/schools/school/1981" TargetMode="External"/><Relationship Id="rId1070" Type="http://schemas.openxmlformats.org/officeDocument/2006/relationships/hyperlink" Target="https://www.gakkou.net/kou/view/index_302282.html" TargetMode="External"/><Relationship Id="rId1071" Type="http://schemas.openxmlformats.org/officeDocument/2006/relationships/hyperlink" Target="https://www.inter-edu.com/schools/school/193" TargetMode="External"/><Relationship Id="rId1072" Type="http://schemas.openxmlformats.org/officeDocument/2006/relationships/hyperlink" Target="https://www.gakkou.net/kou/view/index_302072.html" TargetMode="External"/><Relationship Id="rId1073" Type="http://schemas.openxmlformats.org/officeDocument/2006/relationships/hyperlink" Target="https://www.inter-edu.com/schools/school/2107%20;%20https://www.univpress.co.jp/gk_pdf/13623.pdf" TargetMode="External"/><Relationship Id="rId1074" Type="http://schemas.openxmlformats.org/officeDocument/2006/relationships/hyperlink" Target="https://www.gakkou.net/kou/view/index_302073.html" TargetMode="External"/><Relationship Id="rId1075" Type="http://schemas.openxmlformats.org/officeDocument/2006/relationships/hyperlink" Target="https://www.inter-edu.com/schools/school/2011%20;%20https://school.js88.com/scl_h/22038300" TargetMode="External"/><Relationship Id="rId1076" Type="http://schemas.openxmlformats.org/officeDocument/2006/relationships/hyperlink" Target="https://www.gakkou.net/kou/view/index_302123.html" TargetMode="External"/><Relationship Id="rId1077" Type="http://schemas.openxmlformats.org/officeDocument/2006/relationships/hyperlink" Target="https://www.inter-edu.com/schools/school/2084" TargetMode="External"/><Relationship Id="rId1078" Type="http://schemas.openxmlformats.org/officeDocument/2006/relationships/hyperlink" Target="https://www.gakkou.net/kou/view/index_302065.html" TargetMode="External"/><Relationship Id="rId1079" Type="http://schemas.openxmlformats.org/officeDocument/2006/relationships/hyperlink" Target="https://www.yasuda.ed.jp/wordpress/wp-content/uploads/2025/09/20250922-68d0e3d53964f.pdf" TargetMode="External"/><Relationship Id="rId1080" Type="http://schemas.openxmlformats.org/officeDocument/2006/relationships/hyperlink" Target="https://www.gakkou.net/kou/view/index_301973.html" TargetMode="External"/><Relationship Id="rId1081" Type="http://schemas.openxmlformats.org/officeDocument/2006/relationships/hyperlink" Target="https://www.yamawaki.ed.jp/wordpress/wp-content/uploads/2025/07/2026yamawaki_youkou_ippan.pdf%20;%20https://www.inter-edu.com/schools/school/261" TargetMode="External"/><Relationship Id="rId1082" Type="http://schemas.openxmlformats.org/officeDocument/2006/relationships/hyperlink" Target="https://www.gakkou.net/kou/view/index_301864.html" TargetMode="External"/><Relationship Id="rId1083" Type="http://schemas.openxmlformats.org/officeDocument/2006/relationships/hyperlink" Target="https://www.inter-edu.com/schools/school/2043" TargetMode="External"/><Relationship Id="rId1084" Type="http://schemas.openxmlformats.org/officeDocument/2006/relationships/hyperlink" Target="https://www.gakkou.net/kou/view/index_306412.html" TargetMode="External"/><Relationship Id="rId1085" Type="http://schemas.openxmlformats.org/officeDocument/2006/relationships/hyperlink" Target="https://www.gakkou.net/chugaku/view/index_227851.html" TargetMode="External"/><Relationship Id="rId1086" Type="http://schemas.openxmlformats.org/officeDocument/2006/relationships/hyperlink" Target="https://www.gakkou.net/kou/view/index_306769.html" TargetMode="External"/><Relationship Id="rId1087" Type="http://schemas.openxmlformats.org/officeDocument/2006/relationships/hyperlink" Target="https://www.city.suginami.tokyo.jp/shisetsu/school/shiritsuko/index.html" TargetMode="External"/><Relationship Id="rId1088" Type="http://schemas.openxmlformats.org/officeDocument/2006/relationships/hyperlink" Target="https://www.gakkou.net/kou/view/index_302173.html" TargetMode="External"/><Relationship Id="rId1089" Type="http://schemas.openxmlformats.org/officeDocument/2006/relationships/hyperlink" Target="https://www.seikatubunka.metro.tokyo.lg.jp/documents/d/seikatubunka/13high_tushin_r61201" TargetMode="External"/><Relationship Id="rId1090" Type="http://schemas.openxmlformats.org/officeDocument/2006/relationships/hyperlink" Target="https://www.gakkou.net/kou/view/index_306409.html" TargetMode="External"/><Relationship Id="rId1091" Type="http://schemas.openxmlformats.org/officeDocument/2006/relationships/hyperlink" Target="https://www.rissho-hs.ac.jp/material/data/request/RisshoJHguide2026.pdf" TargetMode="External"/><Relationship Id="rId1092" Type="http://schemas.openxmlformats.org/officeDocument/2006/relationships/hyperlink" Target="https://www.gakkou.net/kou/view/index_302019.html" TargetMode="External"/><Relationship Id="rId1093" Type="http://schemas.openxmlformats.org/officeDocument/2006/relationships/hyperlink" Target="https://school.js88.com/scl_h/22039400%20;%20https://www.inter-edu.com/schools/school/2012" TargetMode="External"/><Relationship Id="rId1094" Type="http://schemas.openxmlformats.org/officeDocument/2006/relationships/hyperlink" Target="https://www.gakkou.net/kou/view/index_302332.html" TargetMode="External"/><Relationship Id="rId1095" Type="http://schemas.openxmlformats.org/officeDocument/2006/relationships/hyperlink" Target="https://school.js88.com/scl_h/22038310%20;%20https://www.inter-edu.com/schools/school/22" TargetMode="External"/><Relationship Id="rId1096" Type="http://schemas.openxmlformats.org/officeDocument/2006/relationships/hyperlink" Target="https://www.gakkou.net/kou/view/index_302125.html" TargetMode="External"/><Relationship Id="rId1097" Type="http://schemas.openxmlformats.org/officeDocument/2006/relationships/hyperlink" Target="https://www.inter-edu.com/schools/school/2176" TargetMode="External"/><Relationship Id="rId1098" Type="http://schemas.openxmlformats.org/officeDocument/2006/relationships/hyperlink" Target="https://www.gakkou.net/kou/view/index_302124.html" TargetMode="External"/><Relationship Id="rId1099" Type="http://schemas.openxmlformats.org/officeDocument/2006/relationships/hyperlink" Target="https://www.waseda.jp/school/shs/access/" TargetMode="External"/><Relationship Id="rId1100" Type="http://schemas.openxmlformats.org/officeDocument/2006/relationships/hyperlink" Target="https://www.gakkou.net/kou/view/index_302220.html" TargetMode="External"/><Relationship Id="rId1101" Type="http://schemas.openxmlformats.org/officeDocument/2006/relationships/hyperlink" Target="https://www.inter-edu.com/schools/school/244" TargetMode="External"/><Relationship Id="rId1102" Type="http://schemas.openxmlformats.org/officeDocument/2006/relationships/hyperlink" Target="https://www.gakkou.net/kou/view/index_301835.html" TargetMode="External"/><Relationship Id="rId1103" Type="http://schemas.openxmlformats.org/officeDocument/2006/relationships/hyperlink" Target="https://www.city.yokohama.lg.jp/minami/kosodate_kyoiku/kyoiku/gakko/juniorhighschool.html%20;%20https://www.inter-edu.com/schools/school/218" TargetMode="External"/><Relationship Id="rId1104" Type="http://schemas.openxmlformats.org/officeDocument/2006/relationships/hyperlink" Target="https://www.gakkou.net/kou/view/index_302506.html" TargetMode="External"/><Relationship Id="rId1105" Type="http://schemas.openxmlformats.org/officeDocument/2006/relationships/hyperlink" Target="https://www.inter-edu.com/schools/school/1/" TargetMode="External"/><Relationship Id="rId1106" Type="http://schemas.openxmlformats.org/officeDocument/2006/relationships/hyperlink" Target="https://www.gakkou.net/kou/view/index_302421.html" TargetMode="External"/><Relationship Id="rId1107" Type="http://schemas.openxmlformats.org/officeDocument/2006/relationships/hyperlink" Target="https://school.js88.com/scl_h/22042660" TargetMode="External"/><Relationship Id="rId1108" Type="http://schemas.openxmlformats.org/officeDocument/2006/relationships/hyperlink" Target="https://www.gakkou.net/kou/view/index_302615.html" TargetMode="External"/><Relationship Id="rId1109" Type="http://schemas.openxmlformats.org/officeDocument/2006/relationships/hyperlink" Target="https://school.js88.com/scl_h/22042730%20;%20https://www.inter-edu.com/schools/school/553" TargetMode="External"/><Relationship Id="rId1110" Type="http://schemas.openxmlformats.org/officeDocument/2006/relationships/hyperlink" Target="https://www.gakkou.net/kou/view/index_302464.html" TargetMode="External"/><Relationship Id="rId1111" Type="http://schemas.openxmlformats.org/officeDocument/2006/relationships/hyperlink" Target="https://school.js88.com/scl_h/34025180" TargetMode="External"/><Relationship Id="rId1112" Type="http://schemas.openxmlformats.org/officeDocument/2006/relationships/hyperlink" Target="https://www.gakkou.net/kou/view/index_306415.html" TargetMode="External"/><Relationship Id="rId1113" Type="http://schemas.openxmlformats.org/officeDocument/2006/relationships/hyperlink" Target="https://www.inter-edu.com/schools/school/2220%20;%20https://school.js88.com/scl_h/22042670" TargetMode="External"/><Relationship Id="rId1114" Type="http://schemas.openxmlformats.org/officeDocument/2006/relationships/hyperlink" Target="https://www.gakkou.net/kou/view/index_302643.html" TargetMode="External"/><Relationship Id="rId1115" Type="http://schemas.openxmlformats.org/officeDocument/2006/relationships/hyperlink" Target="https://www.inter-edu.com/schools/school/3%20;%20https://school.js88.com/scl_h/22042500" TargetMode="External"/><Relationship Id="rId1116" Type="http://schemas.openxmlformats.org/officeDocument/2006/relationships/hyperlink" Target="https://www.gakkou.net/kou/view/index_302600.html" TargetMode="External"/><Relationship Id="rId1117" Type="http://schemas.openxmlformats.org/officeDocument/2006/relationships/hyperlink" Target="https://www.inter-edu.com/schools/school/1816" TargetMode="External"/><Relationship Id="rId1118" Type="http://schemas.openxmlformats.org/officeDocument/2006/relationships/hyperlink" Target="https://www.gakkou.net/kou/view/index_302431.html" TargetMode="External"/><Relationship Id="rId1119" Type="http://schemas.openxmlformats.org/officeDocument/2006/relationships/hyperlink" Target="https://school.js88.com/scl_h/22042430/%20;%20https://www.inter-edu.com/schools/school/1864" TargetMode="External"/><Relationship Id="rId1120" Type="http://schemas.openxmlformats.org/officeDocument/2006/relationships/hyperlink" Target="https://www.gakkou.net/kou/view/index_302397.html" TargetMode="External"/><Relationship Id="rId1121" Type="http://schemas.openxmlformats.org/officeDocument/2006/relationships/hyperlink" Target="https://school.js88.com/scl_h/22108010" TargetMode="External"/><Relationship Id="rId1122" Type="http://schemas.openxmlformats.org/officeDocument/2006/relationships/hyperlink" Target="https://www.gakkou.net/kou/view/index_306336.html" TargetMode="External"/><Relationship Id="rId1123" Type="http://schemas.openxmlformats.org/officeDocument/2006/relationships/hyperlink" Target="https://www.inter-edu.com/schools/school/242" TargetMode="External"/><Relationship Id="rId1124" Type="http://schemas.openxmlformats.org/officeDocument/2006/relationships/hyperlink" Target="https://www.gakkou.net/kou/view/index_302426.html" TargetMode="External"/><Relationship Id="rId1125" Type="http://schemas.openxmlformats.org/officeDocument/2006/relationships/hyperlink" Target="https://www.inter-edu.com/schools/school/150%20;%20https://www.fhs.kanagawa-u.ac.jp/images/topics/1407458985/1407458985_20.pdf" TargetMode="External"/><Relationship Id="rId1126" Type="http://schemas.openxmlformats.org/officeDocument/2006/relationships/hyperlink" Target="https://www.gakkou.net/kou/view/index_302449.html" TargetMode="External"/><Relationship Id="rId1127" Type="http://schemas.openxmlformats.org/officeDocument/2006/relationships/hyperlink" Target="https://www.inter-edu.com/schools/school/1984%20;%20https://school.js88.com/scl_h/22042510" TargetMode="External"/><Relationship Id="rId1128" Type="http://schemas.openxmlformats.org/officeDocument/2006/relationships/hyperlink" Target="https://www.gakkou.net/kou/view/index_302599.html" TargetMode="External"/><Relationship Id="rId1129" Type="http://schemas.openxmlformats.org/officeDocument/2006/relationships/hyperlink" Target="https://www.inter-edu.com/schools/school/2071%20;%20https://school.js88.com/scl_h/22042540" TargetMode="External"/><Relationship Id="rId1130" Type="http://schemas.openxmlformats.org/officeDocument/2006/relationships/hyperlink" Target="https://www.gakkou.net/kou/view/index_302596.html" TargetMode="External"/><Relationship Id="rId1131" Type="http://schemas.openxmlformats.org/officeDocument/2006/relationships/hyperlink" Target="https://www.inter-edu.com/schools/school/241" TargetMode="External"/><Relationship Id="rId1132" Type="http://schemas.openxmlformats.org/officeDocument/2006/relationships/hyperlink" Target="https://www.gakkou.net/kou/view/index_302603.html" TargetMode="External"/><Relationship Id="rId1133" Type="http://schemas.openxmlformats.org/officeDocument/2006/relationships/hyperlink" Target="https://school.js88.com/scl_h/22042440%20;%20https://www.inter-edu.com/schools/school/91" TargetMode="External"/><Relationship Id="rId1134" Type="http://schemas.openxmlformats.org/officeDocument/2006/relationships/hyperlink" Target="https://www.gakkou.net/kou/view/index_302402.html" TargetMode="External"/><Relationship Id="rId1135" Type="http://schemas.openxmlformats.org/officeDocument/2006/relationships/hyperlink" Target="https://www.inter-edu.com/schools/school/151" TargetMode="External"/><Relationship Id="rId1136" Type="http://schemas.openxmlformats.org/officeDocument/2006/relationships/hyperlink" Target="https://www.gakkou.net/kou/view/index_302499.html" TargetMode="External"/><Relationship Id="rId1137" Type="http://schemas.openxmlformats.org/officeDocument/2006/relationships/hyperlink" Target="https://www.inter-edu.com/schools/school/2013" TargetMode="External"/><Relationship Id="rId1138" Type="http://schemas.openxmlformats.org/officeDocument/2006/relationships/hyperlink" Target="https://www.gakkou.net/kou/view/index_302520.html" TargetMode="External"/><Relationship Id="rId1139" Type="http://schemas.openxmlformats.org/officeDocument/2006/relationships/hyperlink" Target="https://kanrei-shirayuri.ed.jp/mh/_src/49746279/2026_H_yoko.pdf" TargetMode="External"/><Relationship Id="rId1140" Type="http://schemas.openxmlformats.org/officeDocument/2006/relationships/hyperlink" Target="https://www.gakkou.net/kou/view/index_302620.html" TargetMode="External"/><Relationship Id="rId1141" Type="http://schemas.openxmlformats.org/officeDocument/2006/relationships/hyperlink" Target="https://www.inter-edu.com/schools/school/2069%20;%20https://school.js88.com/scl_h/22042530" TargetMode="External"/><Relationship Id="rId1142" Type="http://schemas.openxmlformats.org/officeDocument/2006/relationships/hyperlink" Target="https://www.gakkou.net/kou/view/index_302598.html" TargetMode="External"/><Relationship Id="rId1143" Type="http://schemas.openxmlformats.org/officeDocument/2006/relationships/hyperlink" Target="https://www.inter-edu.com/schools/school/580" TargetMode="External"/><Relationship Id="rId1144" Type="http://schemas.openxmlformats.org/officeDocument/2006/relationships/hyperlink" Target="https://www.gakkou.net/kou/view/index_302627.html" TargetMode="External"/><Relationship Id="rId1145" Type="http://schemas.openxmlformats.org/officeDocument/2006/relationships/hyperlink" Target="https://www.inter-edu.com/schools/school/278" TargetMode="External"/><Relationship Id="rId1146" Type="http://schemas.openxmlformats.org/officeDocument/2006/relationships/hyperlink" Target="https://www.gakkou.net/kou/view/index_302579.html" TargetMode="External"/><Relationship Id="rId1147" Type="http://schemas.openxmlformats.org/officeDocument/2006/relationships/hyperlink" Target="https://www.hs.keio.ac.jp/files/2025/4/22/20250422_japanese.pdf" TargetMode="External"/><Relationship Id="rId1148" Type="http://schemas.openxmlformats.org/officeDocument/2006/relationships/hyperlink" Target="https://www.gakkou.net/kou/view/index_302438.html" TargetMode="External"/><Relationship Id="rId1149" Type="http://schemas.openxmlformats.org/officeDocument/2006/relationships/hyperlink" Target="https://www.inter-edu.com/schools/school/28" TargetMode="External"/><Relationship Id="rId1150" Type="http://schemas.openxmlformats.org/officeDocument/2006/relationships/hyperlink" Target="https://www.gakkou.net/kou/view/index_302640.html" TargetMode="External"/><Relationship Id="rId1151" Type="http://schemas.openxmlformats.org/officeDocument/2006/relationships/hyperlink" Target="https://www.inter-edu.com/schools/school/1024%20;%20https://map.yahoo.co.jp/v3/place/21qUFjHT1e6" TargetMode="External"/><Relationship Id="rId1152" Type="http://schemas.openxmlformats.org/officeDocument/2006/relationships/hyperlink" Target="https://www.gakkou.net/kou/view/index_302674.html" TargetMode="External"/><Relationship Id="rId1153" Type="http://schemas.openxmlformats.org/officeDocument/2006/relationships/hyperlink" Target="https://www.inter-edu.com/schools/school/1025" TargetMode="External"/><Relationship Id="rId1154" Type="http://schemas.openxmlformats.org/officeDocument/2006/relationships/hyperlink" Target="https://www.gakkou.net/kou/view/index_302465.html" TargetMode="External"/><Relationship Id="rId1155" Type="http://schemas.openxmlformats.org/officeDocument/2006/relationships/hyperlink" Target="https://www.inter-edu.com/schools/school/2067" TargetMode="External"/><Relationship Id="rId1156" Type="http://schemas.openxmlformats.org/officeDocument/2006/relationships/hyperlink" Target="https://www.gakkou.net/kou/view/index_302459.html" TargetMode="External"/><Relationship Id="rId1157" Type="http://schemas.openxmlformats.org/officeDocument/2006/relationships/hyperlink" Target="https://www.inter-edu.com/schools/school/11" TargetMode="External"/><Relationship Id="rId1158" Type="http://schemas.openxmlformats.org/officeDocument/2006/relationships/hyperlink" Target="https://www.gakkou.net/kou/view/index_302440.html" TargetMode="External"/><Relationship Id="rId1159" Type="http://schemas.openxmlformats.org/officeDocument/2006/relationships/hyperlink" Target="https://studychain.jp/media/guide-158-2/" TargetMode="External"/><Relationship Id="rId1160" Type="http://schemas.openxmlformats.org/officeDocument/2006/relationships/hyperlink" Target="https://www.gakkou.net/kou/view/index_306338.html" TargetMode="External"/><Relationship Id="rId1161" Type="http://schemas.openxmlformats.org/officeDocument/2006/relationships/hyperlink" Target="https://www.inter-edu.com/schools/school/615%20;%20https://page.line.me/374yawot" TargetMode="External"/><Relationship Id="rId1162" Type="http://schemas.openxmlformats.org/officeDocument/2006/relationships/hyperlink" Target="https://www.gakkou.net/kou/view/index_302529.html" TargetMode="External"/><Relationship Id="rId1163" Type="http://schemas.openxmlformats.org/officeDocument/2006/relationships/hyperlink" Target="https://www.inter-edu.com/schools/school/153" TargetMode="External"/><Relationship Id="rId1164" Type="http://schemas.openxmlformats.org/officeDocument/2006/relationships/hyperlink" Target="https://www.gakkou.net/kou/view/index_302629.html" TargetMode="External"/><Relationship Id="rId1165" Type="http://schemas.openxmlformats.org/officeDocument/2006/relationships/hyperlink" Target="https://www.inter-edu.com/schools/school/616" TargetMode="External"/><Relationship Id="rId1166" Type="http://schemas.openxmlformats.org/officeDocument/2006/relationships/hyperlink" Target="https://www.gakkou.net/kou/view/index_302630.html" TargetMode="External"/><Relationship Id="rId1167" Type="http://schemas.openxmlformats.org/officeDocument/2006/relationships/hyperlink" Target="https://www.inter-edu.com/schools/school/233" TargetMode="External"/><Relationship Id="rId1168" Type="http://schemas.openxmlformats.org/officeDocument/2006/relationships/hyperlink" Target="https://www.gakkou.net/kou/view/index_302628.html" TargetMode="External"/><Relationship Id="rId1169" Type="http://schemas.openxmlformats.org/officeDocument/2006/relationships/hyperlink" Target="https://univpress.co.jp/gk_pdf/14562.pdf%20;%20https://www.inter-edu.com/schools/school/81" TargetMode="External"/><Relationship Id="rId1170" Type="http://schemas.openxmlformats.org/officeDocument/2006/relationships/hyperlink" Target="https://www.gakkou.net/kou/view/index_302610.html" TargetMode="External"/><Relationship Id="rId1171" Type="http://schemas.openxmlformats.org/officeDocument/2006/relationships/hyperlink" Target="https://www.inter-edu.com/schools/school/79" TargetMode="External"/><Relationship Id="rId1172" Type="http://schemas.openxmlformats.org/officeDocument/2006/relationships/hyperlink" Target="https://www.gakkou.net/kou/view/index_302493.html" TargetMode="External"/><Relationship Id="rId1173" Type="http://schemas.openxmlformats.org/officeDocument/2006/relationships/hyperlink" Target="https://school.js88.com/scl_h/34029509?page=5%20;%20https://www.inter-edu.com/schools/school/1851" TargetMode="External"/><Relationship Id="rId1174" Type="http://schemas.openxmlformats.org/officeDocument/2006/relationships/hyperlink" Target="https://www.gakkou.net/kou/view/index_306556.html" TargetMode="External"/><Relationship Id="rId1175" Type="http://schemas.openxmlformats.org/officeDocument/2006/relationships/hyperlink" Target="https://www.minkou.jp/hischool/school/93248/" TargetMode="External"/><Relationship Id="rId1176" Type="http://schemas.openxmlformats.org/officeDocument/2006/relationships/hyperlink" Target="https://www.gakkou.net/kou/view/index_306335.html" TargetMode="External"/><Relationship Id="rId1177" Type="http://schemas.openxmlformats.org/officeDocument/2006/relationships/hyperlink" Target="https://school.js88.com/scl_h/22042740%20;%20https://univpress.co.jp/gk_pdf/14567.pdf" TargetMode="External"/><Relationship Id="rId1178" Type="http://schemas.openxmlformats.org/officeDocument/2006/relationships/hyperlink" Target="https://www.gakkou.net/kou/view/index_302565.html" TargetMode="External"/><Relationship Id="rId1179" Type="http://schemas.openxmlformats.org/officeDocument/2006/relationships/hyperlink" Target="https://www.inter-edu.com/schools/school/228" TargetMode="External"/><Relationship Id="rId1180" Type="http://schemas.openxmlformats.org/officeDocument/2006/relationships/hyperlink" Target="https://www.gakkou.net/kou/view/index_302602.html" TargetMode="External"/><Relationship Id="rId1181" Type="http://schemas.openxmlformats.org/officeDocument/2006/relationships/hyperlink" Target="https://www.inter-edu.com/schools/school/230%20;%20https://school.js88.com/scl_h/22042250" TargetMode="External"/><Relationship Id="rId1182" Type="http://schemas.openxmlformats.org/officeDocument/2006/relationships/hyperlink" Target="https://www.gakkou.net/kou/view/index_302477.html" TargetMode="External"/><Relationship Id="rId1183" Type="http://schemas.openxmlformats.org/officeDocument/2006/relationships/hyperlink" Target="https://school.js88.com/scl_h/22042680%20;%20https://www.inter-edu.com/schools/school/1804" TargetMode="External"/><Relationship Id="rId1184" Type="http://schemas.openxmlformats.org/officeDocument/2006/relationships/hyperlink" Target="https://www.gakkou.net/kou/view/index_302607.html" TargetMode="External"/><Relationship Id="rId1185" Type="http://schemas.openxmlformats.org/officeDocument/2006/relationships/hyperlink" Target="https://www.inter-edu.com/schools/school/87" TargetMode="External"/><Relationship Id="rId1186" Type="http://schemas.openxmlformats.org/officeDocument/2006/relationships/hyperlink" Target="https://www.gakkou.net/kou/view/index_302400.html" TargetMode="External"/><Relationship Id="rId1187" Type="http://schemas.openxmlformats.org/officeDocument/2006/relationships/hyperlink" Target="https://www.inter-edu.com/schools/school/2062" TargetMode="External"/><Relationship Id="rId1188" Type="http://schemas.openxmlformats.org/officeDocument/2006/relationships/hyperlink" Target="https://www.gakkou.net/kou/view/index_302422.html" TargetMode="External"/><Relationship Id="rId1189" Type="http://schemas.openxmlformats.org/officeDocument/2006/relationships/hyperlink" Target="https://school.js88.com/scl_h/22042650/%20;%20https://www.inter-edu.com/schools/school/2524" TargetMode="External"/><Relationship Id="rId1190" Type="http://schemas.openxmlformats.org/officeDocument/2006/relationships/hyperlink" Target="https://www.gakkou.net/kou/view/index_302617.html" TargetMode="External"/><Relationship Id="rId1191" Type="http://schemas.openxmlformats.org/officeDocument/2006/relationships/hyperlink" Target="https://www.inter-edu.com/schools/school/1787" TargetMode="External"/><Relationship Id="rId1192" Type="http://schemas.openxmlformats.org/officeDocument/2006/relationships/hyperlink" Target="https://www.gakkou.net/kou/view/index_302483.html" TargetMode="External"/><Relationship Id="rId1193" Type="http://schemas.openxmlformats.org/officeDocument/2006/relationships/hyperlink" Target="https://school.js88.com/scl_h/22042750?page=9" TargetMode="External"/><Relationship Id="rId1194" Type="http://schemas.openxmlformats.org/officeDocument/2006/relationships/hyperlink" Target="https://www.gakkou.net/kou/view/index_302667.html" TargetMode="External"/><Relationship Id="rId1195" Type="http://schemas.openxmlformats.org/officeDocument/2006/relationships/hyperlink" Target="https://www.inter-edu.com/schools/school/2092" TargetMode="External"/><Relationship Id="rId1196" Type="http://schemas.openxmlformats.org/officeDocument/2006/relationships/hyperlink" Target="https://www.gakkou.net/kou/view/index_302498.html" TargetMode="External"/><Relationship Id="rId1197" Type="http://schemas.openxmlformats.org/officeDocument/2006/relationships/hyperlink" Target="https://www.inter-edu.com/schools/school/2014%20;%20https://www.minkou.jp/junior/school/8301/" TargetMode="External"/><Relationship Id="rId1198" Type="http://schemas.openxmlformats.org/officeDocument/2006/relationships/hyperlink" Target="https://www.gakkou.net/kou/view/index_302482.html" TargetMode="External"/><Relationship Id="rId1199" Type="http://schemas.openxmlformats.org/officeDocument/2006/relationships/hyperlink" Target="https://www.inter-edu.com/schools/school/94" TargetMode="External"/><Relationship Id="rId1200" Type="http://schemas.openxmlformats.org/officeDocument/2006/relationships/hyperlink" Target="https://www.gakkou.net/kou/view/index_302446.html" TargetMode="External"/><Relationship Id="rId1201" Type="http://schemas.openxmlformats.org/officeDocument/2006/relationships/hyperlink" Target="https://www.inter-edu.com/schools/school/2015" TargetMode="External"/><Relationship Id="rId1202" Type="http://schemas.openxmlformats.org/officeDocument/2006/relationships/hyperlink" Target="https://www.gakkou.net/kou/view/index_302460.html" TargetMode="External"/><Relationship Id="rId1203" Type="http://schemas.openxmlformats.org/officeDocument/2006/relationships/hyperlink" Target="https://www.inter-edu.com/schools/school/107" TargetMode="External"/><Relationship Id="rId1204" Type="http://schemas.openxmlformats.org/officeDocument/2006/relationships/hyperlink" Target="https://www.gakkou.net/kou/view/index_302413.html" TargetMode="External"/><Relationship Id="rId1205" Type="http://schemas.openxmlformats.org/officeDocument/2006/relationships/hyperlink" Target="https://www.inter-edu.com/schools/school/2045%20;%20https://school.js88.com/scl_h/22042610/" TargetMode="External"/><Relationship Id="rId1206" Type="http://schemas.openxmlformats.org/officeDocument/2006/relationships/hyperlink" Target="https://www.gakkou.net/kou/view/index_302623.html" TargetMode="External"/><Relationship Id="rId1207" Type="http://schemas.openxmlformats.org/officeDocument/2006/relationships/hyperlink" Target="https://www.inter-edu.com/schools/school/2059" TargetMode="External"/><Relationship Id="rId1208" Type="http://schemas.openxmlformats.org/officeDocument/2006/relationships/hyperlink" Target="https://www.gakkou.net/kou/view/index_302408.html" TargetMode="External"/><Relationship Id="rId1209" Type="http://schemas.openxmlformats.org/officeDocument/2006/relationships/hyperlink" Target="https://www.yokohama.hs.nihon-u.ac.jp/senior/pdf/exam/2025_examination.pdf" TargetMode="External"/><Relationship Id="rId1210" Type="http://schemas.openxmlformats.org/officeDocument/2006/relationships/hyperlink" Target="https://www.gakkou.net/kou/view/index_302436.html" TargetMode="External"/><Relationship Id="rId1211" Type="http://schemas.openxmlformats.org/officeDocument/2006/relationships/hyperlink" Target="https://www.fujisawa.hs.nihon-u.ac.jp/news/21344" TargetMode="External"/><Relationship Id="rId1212" Type="http://schemas.openxmlformats.org/officeDocument/2006/relationships/hyperlink" Target="https://www.gakkou.net/kou/view/index_302638.html" TargetMode="External"/><Relationship Id="rId1213" Type="http://schemas.openxmlformats.org/officeDocument/2006/relationships/hyperlink" Target="https://www.inter-edu.com/schools/school/1825" TargetMode="External"/><Relationship Id="rId1214" Type="http://schemas.openxmlformats.org/officeDocument/2006/relationships/hyperlink" Target="https://www.gakkou.net/kou/view/index_302484.html" TargetMode="External"/><Relationship Id="rId1215" Type="http://schemas.openxmlformats.org/officeDocument/2006/relationships/hyperlink" Target="https://www.inter-edu.com/schools/school/673%20;%20https://school.js88.com/scl_h/22042490?page=9" TargetMode="External"/><Relationship Id="rId1216" Type="http://schemas.openxmlformats.org/officeDocument/2006/relationships/hyperlink" Target="https://www.gakkou.net/kou/view/index_302658.html" TargetMode="External"/><Relationship Id="rId1217" Type="http://schemas.openxmlformats.org/officeDocument/2006/relationships/hyperlink" Target="https://www.inter-edu.com/schools/school/67%20;%20https://school.js88.com/scl_h/22042080" TargetMode="External"/><Relationship Id="rId1218" Type="http://schemas.openxmlformats.org/officeDocument/2006/relationships/hyperlink" Target="https://www.gakkou.net/kou/view/index_302495.html" TargetMode="External"/><Relationship Id="rId1219" Type="http://schemas.openxmlformats.org/officeDocument/2006/relationships/hyperlink" Target="https://www.inter-edu.com/schools/school/997" TargetMode="External"/><Relationship Id="rId1220" Type="http://schemas.openxmlformats.org/officeDocument/2006/relationships/hyperlink" Target="https://www.gakkou.net/kou/view/index_302633.html" TargetMode="External"/><Relationship Id="rId1221" Type="http://schemas.openxmlformats.org/officeDocument/2006/relationships/hyperlink" Target="https://www.inter-edu.com/schools/school/2047" TargetMode="External"/><Relationship Id="rId1222" Type="http://schemas.openxmlformats.org/officeDocument/2006/relationships/hyperlink" Target="https://www.gakkou.net/kou/view/index_302432.html" TargetMode="External"/><Relationship Id="rId1223" Type="http://schemas.openxmlformats.org/officeDocument/2006/relationships/hyperlink" Target="https://kokusai-high.ws.hosei.ac.jp/wpcu/1786078104_6ZQ.pdf%20;%20https://www.inter-edu.com/schools/school/684" TargetMode="External"/><Relationship Id="rId1224" Type="http://schemas.openxmlformats.org/officeDocument/2006/relationships/hyperlink" Target="https://www.gakkou.net/kou/view/index_302486.html" TargetMode="External"/><Relationship Id="rId1225" Type="http://schemas.openxmlformats.org/officeDocument/2006/relationships/hyperlink" Target="https://www.inter-edu.com/schools/school/198" TargetMode="External"/><Relationship Id="rId1226" Type="http://schemas.openxmlformats.org/officeDocument/2006/relationships/hyperlink" Target="https://www.gakkou.net/kou/view/index_302395.html" TargetMode="External"/><Relationship Id="rId1227" Type="http://schemas.openxmlformats.org/officeDocument/2006/relationships/hyperlink" Target="https://www.inter-edu.com/schools/school/690" TargetMode="External"/><Relationship Id="rId1228" Type="http://schemas.openxmlformats.org/officeDocument/2006/relationships/hyperlink" Target="https://www.gakkou.net/kou/view/index_302535.html" TargetMode="External"/><Relationship Id="rId1229" Type="http://schemas.openxmlformats.org/officeDocument/2006/relationships/hyperlink" Target="https://www.inter-edu.com/schools/school/2057" TargetMode="External"/><Relationship Id="rId1230" Type="http://schemas.openxmlformats.org/officeDocument/2006/relationships/hyperlink" Target="https://www.gakkou.net/kou/view/index_302634.html" TargetMode="External"/><Relationship Id="rId1231" Type="http://schemas.openxmlformats.org/officeDocument/2006/relationships/hyperlink" Target="https://www.minkou.jp/hischool/school/4559/" TargetMode="External"/><Relationship Id="rId1232" Type="http://schemas.openxmlformats.org/officeDocument/2006/relationships/hyperlink" Target="https://www.gakkou.net/kou/view/index_302530.html" TargetMode="External"/><Relationship Id="rId1233" Type="http://schemas.openxmlformats.org/officeDocument/2006/relationships/hyperlink" Target="https://www.inter-edu.com/schools/school/158" TargetMode="External"/><Relationship Id="rId1234" Type="http://schemas.openxmlformats.org/officeDocument/2006/relationships/hyperlink" Target="https://www.gakkou.net/kou/view/index_302447.html" TargetMode="External"/><Relationship Id="rId1235" Type="http://schemas.openxmlformats.org/officeDocument/2006/relationships/hyperlink" Target="https://www.yamate-gakuin.ac.jp/file/bosyuu.pdf" TargetMode="External"/><Relationship Id="rId1236" Type="http://schemas.openxmlformats.org/officeDocument/2006/relationships/hyperlink" Target="https://www.gakkou.net/kou/view/index_302595.html" TargetMode="External"/><Relationship Id="rId1237" Type="http://schemas.openxmlformats.org/officeDocument/2006/relationships/hyperlink" Target="https://www.inter-edu.com/schools/school/159" TargetMode="External"/><Relationship Id="rId1238" Type="http://schemas.openxmlformats.org/officeDocument/2006/relationships/hyperlink" Target="https://www.gakkou.net/kou/view/index_302528.html" TargetMode="External"/><Relationship Id="rId1239" Type="http://schemas.openxmlformats.org/officeDocument/2006/relationships/hyperlink" Target="https://school.js88.com/scl_h/22042340?page=5" TargetMode="External"/><Relationship Id="rId1240" Type="http://schemas.openxmlformats.org/officeDocument/2006/relationships/hyperlink" Target="https://www.gakkou.net/kou/view/index_302514.html" TargetMode="External"/><Relationship Id="rId1241" Type="http://schemas.openxmlformats.org/officeDocument/2006/relationships/hyperlink" Target="https://www.inter-edu.com/schools/school/217" TargetMode="External"/><Relationship Id="rId1242" Type="http://schemas.openxmlformats.org/officeDocument/2006/relationships/hyperlink" Target="https://www.gakkou.net/kou/view/index_302494.html" TargetMode="External"/><Relationship Id="rId1243" Type="http://schemas.openxmlformats.org/officeDocument/2006/relationships/hyperlink" Target="https://www.inter-edu.com/schools/school/2048%20;%20https://www.minkou.jp/junior/school/8367/" TargetMode="External"/><Relationship Id="rId1244" Type="http://schemas.openxmlformats.org/officeDocument/2006/relationships/hyperlink" Target="https://www.gakkou.net/kou/view/index_302525.html" TargetMode="External"/><Relationship Id="rId1245" Type="http://schemas.openxmlformats.org/officeDocument/2006/relationships/hyperlink" Target="https://www.inter-edu.com/schools/school/702" TargetMode="External"/><Relationship Id="rId1246" Type="http://schemas.openxmlformats.org/officeDocument/2006/relationships/hyperlink" Target="https://www.gakkou.net/kou/view/index_302557.html" TargetMode="External"/><Relationship Id="rId1247" Type="http://schemas.openxmlformats.org/officeDocument/2006/relationships/hyperlink" Target="https://yjg.y-gakuin.ed.jp/yjg-info/wp-content/uploads/2025/01/&#27178;&#27996;&#22899;&#23398;&#38498;_25&#21463;&#39443;&#26696;&#20869;.pdf" TargetMode="External"/><Relationship Id="rId1248" Type="http://schemas.openxmlformats.org/officeDocument/2006/relationships/hyperlink" Target="https://www.gakkou.net/kou/view/index_302496.html" TargetMode="External"/><Relationship Id="rId1249" Type="http://schemas.openxmlformats.org/officeDocument/2006/relationships/hyperlink" Target="https://www.inter-edu.com/schools/school/2055" TargetMode="External"/><Relationship Id="rId1250" Type="http://schemas.openxmlformats.org/officeDocument/2006/relationships/hyperlink" Target="https://www.gakkou.net/kou/view/index_302450.html" TargetMode="External"/><Relationship Id="rId1251" Type="http://schemas.openxmlformats.org/officeDocument/2006/relationships/hyperlink" Target="https://school.js88.com/scl_h/22042170/%20;%20https://map.yahoo.co.jp/v3/place/bG8VLDV7swI" TargetMode="External"/><Relationship Id="rId1252" Type="http://schemas.openxmlformats.org/officeDocument/2006/relationships/hyperlink" Target="https://www.gakkou.net/kou/view/index_302549.html" TargetMode="External"/><Relationship Id="rId1253" Type="http://schemas.openxmlformats.org/officeDocument/2006/relationships/hyperlink" Target="https://www.inter-edu.com/schools/school/2108" TargetMode="External"/><Relationship Id="rId1254" Type="http://schemas.openxmlformats.org/officeDocument/2006/relationships/hyperlink" Target="https://www.gakkou.net/kou/view/index_302420.html" TargetMode="External"/><Relationship Id="rId1255" Type="http://schemas.openxmlformats.org/officeDocument/2006/relationships/hyperlink" Target="https://www.inter-edu.com/schools/school/1026" TargetMode="External"/><Relationship Id="rId1256" Type="http://schemas.openxmlformats.org/officeDocument/2006/relationships/hyperlink" Target="https://www.gakkou.net/kou/view/index_302521.html" TargetMode="External"/><Relationship Id="rId1257" Type="http://schemas.openxmlformats.org/officeDocument/2006/relationships/hyperlink" Target="https://www.inter-edu.com/schools/school/160" TargetMode="External"/><Relationship Id="rId1258" Type="http://schemas.openxmlformats.org/officeDocument/2006/relationships/hyperlink" Target="https://www.gakkou.net/kou/view/index_302592.html" TargetMode="External"/><Relationship Id="rId1259" Type="http://schemas.openxmlformats.org/officeDocument/2006/relationships/hyperlink" Target="https://www.inter-edu.com/schools/school/2054" TargetMode="External"/><Relationship Id="rId1260" Type="http://schemas.openxmlformats.org/officeDocument/2006/relationships/hyperlink" Target="https://www.gakkou.net/kou/view/index_306770.html" TargetMode="External"/><Relationship Id="rId1261" Type="http://schemas.openxmlformats.org/officeDocument/2006/relationships/hyperlink" Target="https://www.inter-edu.com/schools/school/212" TargetMode="External"/><Relationship Id="rId1262" Type="http://schemas.openxmlformats.org/officeDocument/2006/relationships/hyperlink" Target="https://www.gakkou.net/kou/view/index_302497.html" TargetMode="External"/><Relationship Id="rId1263" Type="http://schemas.openxmlformats.org/officeDocument/2006/relationships/hyperlink" Target="https://school.js88.com/scl_h/34024908%20;%20https://www.minkou.jp/hischool/school/1045/" TargetMode="External"/><Relationship Id="rId1264" Type="http://schemas.openxmlformats.org/officeDocument/2006/relationships/hyperlink" Target="https://www.gakkou.net/kou/view/index_306436.html" TargetMode="External"/><Relationship Id="rId1265" Type="http://schemas.openxmlformats.org/officeDocument/2006/relationships/hyperlink" Target="https://www.gyosei.ac.jp/%20;%20https://www.mapion.co.jp/phonebook/M11004/15209/ILSP0000041397_ipclm/" TargetMode="External"/><Relationship Id="rId1266" Type="http://schemas.openxmlformats.org/officeDocument/2006/relationships/hyperlink" Target="https://www.gakkou.net/kou/view/index_302804.html" TargetMode="External"/><Relationship Id="rId1267" Type="http://schemas.openxmlformats.org/officeDocument/2006/relationships/hyperlink" Target="https://www.keiwa-c.ac.jp/wp2021/wp-content/uploads/2025/06/hokoku2024.pdf" TargetMode="External"/><Relationship Id="rId1268" Type="http://schemas.openxmlformats.org/officeDocument/2006/relationships/hyperlink" Target="https://www.gakkou.net/kou/view/index_302758.html" TargetMode="External"/><Relationship Id="rId1269" Type="http://schemas.openxmlformats.org/officeDocument/2006/relationships/hyperlink" Target="https://school.js88.com/scl_h/22023970" TargetMode="External"/><Relationship Id="rId1270" Type="http://schemas.openxmlformats.org/officeDocument/2006/relationships/hyperlink" Target="https://www.gakkou.net/kou/view/index_302793.html" TargetMode="External"/><Relationship Id="rId1271" Type="http://schemas.openxmlformats.org/officeDocument/2006/relationships/hyperlink" Target="https://www.joetsu-hs.com/access/" TargetMode="External"/><Relationship Id="rId1272" Type="http://schemas.openxmlformats.org/officeDocument/2006/relationships/hyperlink" Target="https://www.gakkou.net/kou/view/index_302705.html" TargetMode="External"/><Relationship Id="rId1273" Type="http://schemas.openxmlformats.org/officeDocument/2006/relationships/hyperlink" Target="https://school.js88.com/scl_h/22024010%20;%20https://www.kandagaigo.ac.jp/kuis/alumni/wp-content/uploads/2025/12/R8&#38306;&#26681;&#23398;&#22290;&#39640;&#26657;&#33521;&#35486;&#21215;&#38598;&#35201;&#38917;.pdf" TargetMode="External"/><Relationship Id="rId1274" Type="http://schemas.openxmlformats.org/officeDocument/2006/relationships/hyperlink" Target="https://www.gakkou.net/kou/view/index_302706.html" TargetMode="External"/><Relationship Id="rId1275" Type="http://schemas.openxmlformats.org/officeDocument/2006/relationships/hyperlink" Target="https://www.minkou.jp/hischool/school/3587/" TargetMode="External"/><Relationship Id="rId1276" Type="http://schemas.openxmlformats.org/officeDocument/2006/relationships/hyperlink" Target="https://www.gakkou.net/kou/view/index_306472.html" TargetMode="External"/><Relationship Id="rId1277" Type="http://schemas.openxmlformats.org/officeDocument/2006/relationships/hyperlink" Target="https://www.chuetsu-h.ed.jp/about/access/%20;%20https://www.mapion.co.jp/phonebook/M11004/15202/ILSP0000040646_ipclm/" TargetMode="External"/><Relationship Id="rId1278" Type="http://schemas.openxmlformats.org/officeDocument/2006/relationships/hyperlink" Target="https://www.gakkou.net/kou/view/index_302687.html" TargetMode="External"/><Relationship Id="rId1279" Type="http://schemas.openxmlformats.org/officeDocument/2006/relationships/hyperlink" Target="https://www.mapion.co.jp/phonebook/M11004/15202/ILSP0000041523_ipclm/" TargetMode="External"/><Relationship Id="rId1280" Type="http://schemas.openxmlformats.org/officeDocument/2006/relationships/hyperlink" Target="https://www.gakkou.net/kou/view/index_302679.html" TargetMode="External"/><Relationship Id="rId1281" Type="http://schemas.openxmlformats.org/officeDocument/2006/relationships/hyperlink" Target="https://school.js88.com/scl_h/22024030/" TargetMode="External"/><Relationship Id="rId1282" Type="http://schemas.openxmlformats.org/officeDocument/2006/relationships/hyperlink" Target="https://www.gakkou.net/kou/view/index_302752.html" TargetMode="External"/><Relationship Id="rId1283" Type="http://schemas.openxmlformats.org/officeDocument/2006/relationships/hyperlink" Target="https://school.js88.com/scl_h/34028502%20;%20https://studychain.jp/media/guide-172-2/" TargetMode="External"/><Relationship Id="rId1284" Type="http://schemas.openxmlformats.org/officeDocument/2006/relationships/hyperlink" Target="https://www.gakkou.net/kou/view/index_306509.html" TargetMode="External"/><Relationship Id="rId1285" Type="http://schemas.openxmlformats.org/officeDocument/2006/relationships/hyperlink" Target="https://www.nsf-h.ed.jp/schoolintroduction.html" TargetMode="External"/><Relationship Id="rId1286" Type="http://schemas.openxmlformats.org/officeDocument/2006/relationships/hyperlink" Target="https://www.gakkou.net/kou/view/index_302715.html" TargetMode="External"/><Relationship Id="rId1287" Type="http://schemas.openxmlformats.org/officeDocument/2006/relationships/hyperlink" Target="https://school.js88.com/scl_h/22023990%20;%20https://school.js88.com/scl_j/31150033/" TargetMode="External"/><Relationship Id="rId1288" Type="http://schemas.openxmlformats.org/officeDocument/2006/relationships/hyperlink" Target="https://www.gakkou.net/kou/view/index_302756.html" TargetMode="External"/><Relationship Id="rId1289" Type="http://schemas.openxmlformats.org/officeDocument/2006/relationships/hyperlink" Target="https://www.seiryo-high.ed.jp/%20;%20https://townpage.goo.ne.jp/shopdetail.php?matomeid=159094796000000899" TargetMode="External"/><Relationship Id="rId1290" Type="http://schemas.openxmlformats.org/officeDocument/2006/relationships/hyperlink" Target="https://www.gakkou.net/kou/view/index_302760.html" TargetMode="External"/><Relationship Id="rId1291" Type="http://schemas.openxmlformats.org/officeDocument/2006/relationships/hyperlink" Target="https://school.js88.com/scl_h/22024020?page=10%20;%20https://www.minkou.jp/hischool/school/3557/" TargetMode="External"/><Relationship Id="rId1292" Type="http://schemas.openxmlformats.org/officeDocument/2006/relationships/hyperlink" Target="https://www.gakkou.net/kou/view/index_302766.html" TargetMode="External"/><Relationship Id="rId1293" Type="http://schemas.openxmlformats.org/officeDocument/2006/relationships/hyperlink" Target="https://www.zyuken.net/school_page/11520131166/search/%E7%94%9F%E5%BE%92%E6%95%B0/" TargetMode="External"/><Relationship Id="rId1294" Type="http://schemas.openxmlformats.org/officeDocument/2006/relationships/hyperlink" Target="https://www.gakkou.net/kou/view/index_302765.html" TargetMode="External"/><Relationship Id="rId1295" Type="http://schemas.openxmlformats.org/officeDocument/2006/relationships/hyperlink" Target="https://school.js88.com/scl_h/22024040?page=9" TargetMode="External"/><Relationship Id="rId1296" Type="http://schemas.openxmlformats.org/officeDocument/2006/relationships/hyperlink" Target="https://www.gakkou.net/kou/view/index_302755.html" TargetMode="External"/><Relationship Id="rId1297" Type="http://schemas.openxmlformats.org/officeDocument/2006/relationships/hyperlink" Target="https://www.mapion.co.jp/phonebook/M11004/15103/ILSP0000041961_ipclm/%20;%20https://www.navita.co.jp/s/11040479/" TargetMode="External"/><Relationship Id="rId1298" Type="http://schemas.openxmlformats.org/officeDocument/2006/relationships/hyperlink" Target="https://www.gakkou.net/kou/view/index_302746.html" TargetMode="External"/><Relationship Id="rId1299" Type="http://schemas.openxmlformats.org/officeDocument/2006/relationships/hyperlink" Target="https://www.katayamagakuen.jp/other/contact/%20;%20https://www.mapion.co.jp/phonebook/M11004/16201/ILSP0000041530_ipclm/" TargetMode="External"/><Relationship Id="rId1300" Type="http://schemas.openxmlformats.org/officeDocument/2006/relationships/hyperlink" Target="https://www.gakkou.net/kou/view/index_306628.html" TargetMode="External"/><Relationship Id="rId1301" Type="http://schemas.openxmlformats.org/officeDocument/2006/relationships/hyperlink" Target="https://www.koho.ac.jp/%20;%20https://school.js88.com/scl_h/22024520" TargetMode="External"/><Relationship Id="rId1302" Type="http://schemas.openxmlformats.org/officeDocument/2006/relationships/hyperlink" Target="https://www.gakkou.net/kou/view/index_302835.html" TargetMode="External"/><Relationship Id="rId1303" Type="http://schemas.openxmlformats.org/officeDocument/2006/relationships/hyperlink" Target="https://takaokakoryo-h.ed.jp/%20;%20https://www.mapion.co.jp/phonebook/M11004/16202/ILSP0000041111_ipclm/" TargetMode="External"/><Relationship Id="rId1304" Type="http://schemas.openxmlformats.org/officeDocument/2006/relationships/hyperlink" Target="https://www.gakkou.net/kou/view/index_302840.html" TargetMode="External"/><Relationship Id="rId1305" Type="http://schemas.openxmlformats.org/officeDocument/2006/relationships/hyperlink" Target="https://www.takaoka1-h.ed.jp/%20;%20https://www.takaoka.ac.jp/gakuen" TargetMode="External"/><Relationship Id="rId1306" Type="http://schemas.openxmlformats.org/officeDocument/2006/relationships/hyperlink" Target="https://www.gakkou.net/kou/view/index_302847.html" TargetMode="External"/><Relationship Id="rId1307" Type="http://schemas.openxmlformats.org/officeDocument/2006/relationships/hyperlink" Target="https://www.takaokaryukoku-h.ed.jp/contact/" TargetMode="External"/><Relationship Id="rId1308" Type="http://schemas.openxmlformats.org/officeDocument/2006/relationships/hyperlink" Target="https://www.gakkou.net/kou/view/index_302841.html" TargetMode="External"/><Relationship Id="rId1309" Type="http://schemas.openxmlformats.org/officeDocument/2006/relationships/hyperlink" Target="https://www.tuins-h.ed.jp/contact/" TargetMode="External"/><Relationship Id="rId1310" Type="http://schemas.openxmlformats.org/officeDocument/2006/relationships/hyperlink" Target="https://www.gakkou.net/kou/view/index_302819.html" TargetMode="External"/><Relationship Id="rId1311" Type="http://schemas.openxmlformats.org/officeDocument/2006/relationships/hyperlink" Target="https://www.tomiichi.ed.jp/access" TargetMode="External"/><Relationship Id="rId1312" Type="http://schemas.openxmlformats.org/officeDocument/2006/relationships/hyperlink" Target="https://www.gakkou.net/kou/view/index_302828.html" TargetMode="External"/><Relationship Id="rId1313" Type="http://schemas.openxmlformats.org/officeDocument/2006/relationships/hyperlink" Target="https://niikawa.ed.jp/%20;%20https://www.mapion.co.jp/phonebook/M11004/16204/ILSP0000040613_ipclm/" TargetMode="External"/><Relationship Id="rId1314" Type="http://schemas.openxmlformats.org/officeDocument/2006/relationships/hyperlink" Target="https://www.gakkou.net/kou/view/index_302862.html" TargetMode="External"/><Relationship Id="rId1315" Type="http://schemas.openxmlformats.org/officeDocument/2006/relationships/hyperlink" Target="https://www.mapion.co.jp/phonebook/M11004/16201/ILSP0000040920_ipclm/%20;%20https://www.instagram.com/fujikoshi.technical.highschool/" TargetMode="External"/><Relationship Id="rId1316" Type="http://schemas.openxmlformats.org/officeDocument/2006/relationships/hyperlink" Target="https://www.gakkou.net/kou/view/index_302829.html" TargetMode="External"/><Relationship Id="rId1317" Type="http://schemas.openxmlformats.org/officeDocument/2006/relationships/hyperlink" Target="https://ryukokutoyama.jp/contact" TargetMode="External"/><Relationship Id="rId1318" Type="http://schemas.openxmlformats.org/officeDocument/2006/relationships/hyperlink" Target="https://www.gakkou.net/kou/view/index_302824.html" TargetMode="External"/><Relationship Id="rId1319" Type="http://schemas.openxmlformats.org/officeDocument/2006/relationships/hyperlink" Target="https://www.mapion.co.jp/phonebook/M11004/17210/ILSP0000041103_ipclm/%20;%20https://school.js88.com/scl_h/34028535" TargetMode="External"/><Relationship Id="rId1320" Type="http://schemas.openxmlformats.org/officeDocument/2006/relationships/hyperlink" Target="https://www.gakkou.net/kou/view/index_306491.html" TargetMode="External"/><Relationship Id="rId1321" Type="http://schemas.openxmlformats.org/officeDocument/2006/relationships/hyperlink" Target="https://www.ohtori.ed.jp/access/" TargetMode="External"/><Relationship Id="rId1322" Type="http://schemas.openxmlformats.org/officeDocument/2006/relationships/hyperlink" Target="https://www.gakkou.net/kou/view/index_302933.html" TargetMode="External"/><Relationship Id="rId1323" Type="http://schemas.openxmlformats.org/officeDocument/2006/relationships/hyperlink" Target="https://www.kanazawa-gu.ac.jp/hs/" TargetMode="External"/><Relationship Id="rId1324" Type="http://schemas.openxmlformats.org/officeDocument/2006/relationships/hyperlink" Target="https://www.gakkou.net/kou/view/index_302901.html" TargetMode="External"/><Relationship Id="rId1325" Type="http://schemas.openxmlformats.org/officeDocument/2006/relationships/hyperlink" Target="https://kanazawa-hs.jp/access/%20;%20https://www.pref.ishikawa.lg.jp/soumu/bunkyo/bunkyo2.html" TargetMode="External"/><Relationship Id="rId1326" Type="http://schemas.openxmlformats.org/officeDocument/2006/relationships/hyperlink" Target="https://www.gakkou.net/kou/view/index_302906.html" TargetMode="External"/><Relationship Id="rId1327" Type="http://schemas.openxmlformats.org/officeDocument/2006/relationships/hyperlink" Target="https://www.kanazawa-ryukoku.jp/" TargetMode="External"/><Relationship Id="rId1328" Type="http://schemas.openxmlformats.org/officeDocument/2006/relationships/hyperlink" Target="https://www.gakkou.net/kou/view/index_302891.html" TargetMode="External"/><Relationship Id="rId1329" Type="http://schemas.openxmlformats.org/officeDocument/2006/relationships/hyperlink" Target="https://komatsu-otani.jp/category12/" TargetMode="External"/><Relationship Id="rId1330" Type="http://schemas.openxmlformats.org/officeDocument/2006/relationships/hyperlink" Target="https://www.gakkou.net/kou/view/index_302919.html" TargetMode="External"/><Relationship Id="rId1331" Type="http://schemas.openxmlformats.org/officeDocument/2006/relationships/hyperlink" Target="https://www.seiryo-hs.jp/s/%20;%20https://www.mapion.co.jp/phonebook/M11004/17201/ILSP0000041122_ipclm/" TargetMode="External"/><Relationship Id="rId1332" Type="http://schemas.openxmlformats.org/officeDocument/2006/relationships/hyperlink" Target="https://www.gakkou.net/kou/view/index_302892.html" TargetMode="External"/><Relationship Id="rId1333" Type="http://schemas.openxmlformats.org/officeDocument/2006/relationships/hyperlink" Target="https://www.jaaw-hs.net/campus/notoairport_campus/campus_info" TargetMode="External"/><Relationship Id="rId1334" Type="http://schemas.openxmlformats.org/officeDocument/2006/relationships/hyperlink" Target="https://www.gakkou.net/kou/view/index_306446.html" TargetMode="External"/><Relationship Id="rId1335" Type="http://schemas.openxmlformats.org/officeDocument/2006/relationships/hyperlink" Target="https://www.hokurikugakuin.ac.jp/sj/contact/index.html" TargetMode="External"/><Relationship Id="rId1336" Type="http://schemas.openxmlformats.org/officeDocument/2006/relationships/hyperlink" Target="https://www.gakkou.net/kou/view/index_302894.html" TargetMode="External"/><Relationship Id="rId1337" Type="http://schemas.openxmlformats.org/officeDocument/2006/relationships/hyperlink" Target="https://www.mapion.co.jp/phonebook/M11004/17201/ILSP0000041055_ipclm/%20;%20https://www.gakkou.net/kou/view/index_302899.html" TargetMode="External"/><Relationship Id="rId1338" Type="http://schemas.openxmlformats.org/officeDocument/2006/relationships/hyperlink" Target="https://www.gakkou.net/kou/view/index_302899.html" TargetMode="External"/><Relationship Id="rId1339" Type="http://schemas.openxmlformats.org/officeDocument/2006/relationships/hyperlink" Target="https://www.keishin.ed.jp/%20;%20https://www.mapion.co.jp/phonebook/M11004/18201/ILSP0000041008_ipclm/" TargetMode="External"/><Relationship Id="rId1340" Type="http://schemas.openxmlformats.org/officeDocument/2006/relationships/hyperlink" Target="https://www.gakkou.net/kou/view/index_302961.html" TargetMode="External"/><Relationship Id="rId1341" Type="http://schemas.openxmlformats.org/officeDocument/2006/relationships/hyperlink" Target="https://www.jin-ai-h.ed.jp/%20;%20https://www.mapion.co.jp/phonebook/M11004/18201/ILSP0000041741_ipclm/" TargetMode="External"/><Relationship Id="rId1342" Type="http://schemas.openxmlformats.org/officeDocument/2006/relationships/hyperlink" Target="https://www.gakkou.net/kou/view/index_302958.html" TargetMode="External"/><Relationship Id="rId1343" Type="http://schemas.openxmlformats.org/officeDocument/2006/relationships/hyperlink" Target="https://tsurugakehi.ed.jp/contact" TargetMode="External"/><Relationship Id="rId1344" Type="http://schemas.openxmlformats.org/officeDocument/2006/relationships/hyperlink" Target="https://www.gakkou.net/kou/view/index_302980.html" TargetMode="External"/><Relationship Id="rId1345" Type="http://schemas.openxmlformats.org/officeDocument/2006/relationships/hyperlink" Target="https://www.fukui-ut-fukui-h.ed.jp/high/contact/%20;%20https://www.fukui-ut-fukui-h.ed.jp/access/" TargetMode="External"/><Relationship Id="rId1346" Type="http://schemas.openxmlformats.org/officeDocument/2006/relationships/hyperlink" Target="https://www.gakkou.net/kou/view/index_302963.html" TargetMode="External"/><Relationship Id="rId1347" Type="http://schemas.openxmlformats.org/officeDocument/2006/relationships/hyperlink" Target="https://www.fukuiminami.ed.jp/%E3%82%A2%E3%82%AF%E3%82%BB%E3%82%B9" TargetMode="External"/><Relationship Id="rId1348" Type="http://schemas.openxmlformats.org/officeDocument/2006/relationships/hyperlink" Target="https://www.gakkou.net/kou/view/index_302999.html" TargetMode="External"/><Relationship Id="rId1349" Type="http://schemas.openxmlformats.org/officeDocument/2006/relationships/hyperlink" Target="https://www.hokuriku.ed.jp/%20;%20https://www.mapion.co.jp/phonebook/M11004/18201/ILSP0000040913_ipclm/" TargetMode="External"/><Relationship Id="rId1350" Type="http://schemas.openxmlformats.org/officeDocument/2006/relationships/hyperlink" Target="https://www.gakkou.net/kou/view/index_302960.html" TargetMode="External"/><Relationship Id="rId1351" Type="http://schemas.openxmlformats.org/officeDocument/2006/relationships/hyperlink" Target="https://www.mapion.co.jp/phonebook/M11004/19201/ILSP0000041535_ipclm/%20;%20https://www.navita.co.jp/s/11014626/" TargetMode="External"/><Relationship Id="rId1352" Type="http://schemas.openxmlformats.org/officeDocument/2006/relationships/hyperlink" Target="https://www.gakkou.net/kou/view/index_303025.html" TargetMode="External"/><Relationship Id="rId1353" Type="http://schemas.openxmlformats.org/officeDocument/2006/relationships/hyperlink" Target="https://shizengakuen.ed.jp/campus/sutama/%20;%20https://www.mapion.co.jp/phonebook/M11004/19209/ILSP0000041836_ipclm/" TargetMode="External"/><Relationship Id="rId1354" Type="http://schemas.openxmlformats.org/officeDocument/2006/relationships/hyperlink" Target="https://www.gakkou.net/kou/view/index_303053.html" TargetMode="External"/><Relationship Id="rId1355" Type="http://schemas.openxmlformats.org/officeDocument/2006/relationships/hyperlink" Target="https://www.sundai-kofu.ed.jp/high/info/inquiry.html" TargetMode="External"/><Relationship Id="rId1356" Type="http://schemas.openxmlformats.org/officeDocument/2006/relationships/hyperlink" Target="https://www.gakkou.net/kou/view/index_303009.html" TargetMode="External"/><Relationship Id="rId1357" Type="http://schemas.openxmlformats.org/officeDocument/2006/relationships/hyperlink" Target="https://www.teikyo3.ed.jp/ ; https://www.ypec.ed.jp/ypechp/wp-content/uploads/2024/06/49_%E5%B8%9D%E4%BA%AC%E7%AC%AC%E4%B8%89_R6%E3%83%8F%E3%82%A4%E3%82%B9%E3%82%AF%E3%83%BC%E3%83%AB%E3%82%AC%E3%82%A4%E3%83%89.pdf" TargetMode="External"/><Relationship Id="rId1358" Type="http://schemas.openxmlformats.org/officeDocument/2006/relationships/hyperlink" Target="https://www.gakkou.net/kou/view/index_303052.html" TargetMode="External"/><Relationship Id="rId1359" Type="http://schemas.openxmlformats.org/officeDocument/2006/relationships/hyperlink" Target="https://www.kofu.tokai.ed.jp/access/" TargetMode="External"/><Relationship Id="rId1360" Type="http://schemas.openxmlformats.org/officeDocument/2006/relationships/hyperlink" Target="https://www.gakkou.net/kou/view/index_303011.html" TargetMode="External"/><Relationship Id="rId1361" Type="http://schemas.openxmlformats.org/officeDocument/2006/relationships/hyperlink" Target="https://www.jaaw-hs.net/yamanashi/access/" TargetMode="External"/><Relationship Id="rId1362" Type="http://schemas.openxmlformats.org/officeDocument/2006/relationships/hyperlink" Target="https://www.gakkou.net/kou/view/index_303048.html" TargetMode="External"/><Relationship Id="rId1363" Type="http://schemas.openxmlformats.org/officeDocument/2006/relationships/hyperlink" Target="https://www.meisei.hs.nihon-u.ac.jp/%20;%20https://www.ypec.ed.jp/ypechp/wp-content/uploads/2023/06/nichidaimeisei.pdf" TargetMode="External"/><Relationship Id="rId1364" Type="http://schemas.openxmlformats.org/officeDocument/2006/relationships/hyperlink" Target="https://www.gakkou.net/kou/view/index_303055.html" TargetMode="External"/><Relationship Id="rId1365" Type="http://schemas.openxmlformats.org/officeDocument/2006/relationships/hyperlink" Target="https://gekkouji.ac.jp/access/%20;%20https://www.mapion.co.jp/phonebook/M11004/19202/ILSP0000040658_ipclm/" TargetMode="External"/><Relationship Id="rId1366" Type="http://schemas.openxmlformats.org/officeDocument/2006/relationships/hyperlink" Target="https://www.gakkou.net/kou/view/index_303037.html" TargetMode="External"/><Relationship Id="rId1367" Type="http://schemas.openxmlformats.org/officeDocument/2006/relationships/hyperlink" Target="https://www.min.ac.jp/parents/guide/" TargetMode="External"/><Relationship Id="rId1368" Type="http://schemas.openxmlformats.org/officeDocument/2006/relationships/hyperlink" Target="https://www.gakkou.net/kou/view/index_303058.html" TargetMode="External"/><Relationship Id="rId1369" Type="http://schemas.openxmlformats.org/officeDocument/2006/relationships/hyperlink" Target="https://www.yamanashi-eiwa.ac.jp/jsh/about/access" TargetMode="External"/><Relationship Id="rId1370" Type="http://schemas.openxmlformats.org/officeDocument/2006/relationships/hyperlink" Target="https://www.gakkou.net/kou/view/index_303005.html" TargetMode="External"/><Relationship Id="rId1371" Type="http://schemas.openxmlformats.org/officeDocument/2006/relationships/hyperlink" Target="https://www.yghs.ed.jp/%20;%20https://www.pref.yamanashi.jp/koukoukyo/182_224.html" TargetMode="External"/><Relationship Id="rId1372" Type="http://schemas.openxmlformats.org/officeDocument/2006/relationships/hyperlink" Target="https://www.gakkou.net/kou/view/index_303021.html" TargetMode="External"/><Relationship Id="rId1373" Type="http://schemas.openxmlformats.org/officeDocument/2006/relationships/hyperlink" Target="https://i-joshi.com/contact%20;%20https://www.mapion.co.jp/phonebook/M11004/20205/ILSP0000041878_ipclm/" TargetMode="External"/><Relationship Id="rId1374" Type="http://schemas.openxmlformats.org/officeDocument/2006/relationships/hyperlink" Target="https://www.gakkou.net/kou/view/index_303156.html" TargetMode="External"/><Relationship Id="rId1375" Type="http://schemas.openxmlformats.org/officeDocument/2006/relationships/hyperlink" Target="https://www.inanishi.net/%20;%20https://www.mapion.co.jp/phonebook/M11004/20209/ILSP0000040644_ipclm/" TargetMode="External"/><Relationship Id="rId1376" Type="http://schemas.openxmlformats.org/officeDocument/2006/relationships/hyperlink" Target="https://www.gakkou.net/kou/view/index_303181.html" TargetMode="External"/><Relationship Id="rId1377" Type="http://schemas.openxmlformats.org/officeDocument/2006/relationships/hyperlink" Target="https://uedanishi.ed.jp/access/" TargetMode="External"/><Relationship Id="rId1378" Type="http://schemas.openxmlformats.org/officeDocument/2006/relationships/hyperlink" Target="https://www.gakkou.net/kou/view/index_303112.html" TargetMode="External"/><Relationship Id="rId1379" Type="http://schemas.openxmlformats.org/officeDocument/2006/relationships/hyperlink" Target="https://www.excellent.ed.jp/school-information/" TargetMode="External"/><Relationship Id="rId1380" Type="http://schemas.openxmlformats.org/officeDocument/2006/relationships/hyperlink" Target="https://www.gakkou.net/kou/view/index_303129.html" TargetMode="External"/><Relationship Id="rId1381" Type="http://schemas.openxmlformats.org/officeDocument/2006/relationships/hyperlink" Target="https://sakuchosei.ed.jp/contact/" TargetMode="External"/><Relationship Id="rId1382" Type="http://schemas.openxmlformats.org/officeDocument/2006/relationships/hyperlink" Target="https://www.gakkou.net/kou/view/index_303102.html" TargetMode="External"/><Relationship Id="rId1383" Type="http://schemas.openxmlformats.org/officeDocument/2006/relationships/hyperlink" Target="https://sakura-kokusai.ed.jp/access/" TargetMode="External"/><Relationship Id="rId1384" Type="http://schemas.openxmlformats.org/officeDocument/2006/relationships/hyperlink" Target="https://www.gakkou.net/kou/view/index_306550.html" TargetMode="External"/><Relationship Id="rId1385" Type="http://schemas.openxmlformats.org/officeDocument/2006/relationships/hyperlink" Target="https://www.terra.ed.jp/contact" TargetMode="External"/><Relationship Id="rId1386" Type="http://schemas.openxmlformats.org/officeDocument/2006/relationships/hyperlink" Target="https://www.gakkou.net/kou/view/index_306445.html" TargetMode="External"/><Relationship Id="rId1387" Type="http://schemas.openxmlformats.org/officeDocument/2006/relationships/hyperlink" Target="https://earth.ac.jp/pages/25/" TargetMode="External"/><Relationship Id="rId1388" Type="http://schemas.openxmlformats.org/officeDocument/2006/relationships/hyperlink" Target="https://www.gakkou.net/kou/view/index_306432.html" TargetMode="External"/><Relationship Id="rId1389" Type="http://schemas.openxmlformats.org/officeDocument/2006/relationships/hyperlink" Target="https://www.donguri-gakuen.jp/entry-2/%20;%20https://map.yahoo.co.jp/v3/place/G0mevp8o9t2" TargetMode="External"/><Relationship Id="rId1390" Type="http://schemas.openxmlformats.org/officeDocument/2006/relationships/hyperlink" Target="https://www.gakkou.net/kou/view/index_306655.html" TargetMode="External"/><Relationship Id="rId1391" Type="http://schemas.openxmlformats.org/officeDocument/2006/relationships/hyperlink" Target="https://www.suwa.tokai.ed.jp/contact/" TargetMode="External"/><Relationship Id="rId1392" Type="http://schemas.openxmlformats.org/officeDocument/2006/relationships/hyperlink" Target="https://www.gakkou.net/kou/view/index_303143.html" TargetMode="External"/><Relationship Id="rId1393" Type="http://schemas.openxmlformats.org/officeDocument/2006/relationships/hyperlink" Target="https://www.tcu-shiojiri.ed.jp/%20;%20https://itp.ne.jp/info/200174033181650060/" TargetMode="External"/><Relationship Id="rId1394" Type="http://schemas.openxmlformats.org/officeDocument/2006/relationships/hyperlink" Target="https://www.gakkou.net/kou/view/index_303175.html" TargetMode="External"/><Relationship Id="rId1395" Type="http://schemas.openxmlformats.org/officeDocument/2006/relationships/hyperlink" Target="https://www.mapion.co.jp/phonebook/M11004/20201/ILSP0000041052_ipclm/%20;%20https://www.nagano-pta.org/link/school/96.html" TargetMode="External"/><Relationship Id="rId1396" Type="http://schemas.openxmlformats.org/officeDocument/2006/relationships/hyperlink" Target="https://www.gakkou.net/kou/view/index_303117.html" TargetMode="External"/><Relationship Id="rId1397" Type="http://schemas.openxmlformats.org/officeDocument/2006/relationships/hyperlink" Target="https://www.pref.nagano.lg.jp/ken-manabi/kyoiku/gakkoukou/koukou/koukou/mebo.html%20;%20https://www.mapion.co.jp/phonebook/M11004/20201/ILSP0000040749_ipclm/" TargetMode="External"/><Relationship Id="rId1398" Type="http://schemas.openxmlformats.org/officeDocument/2006/relationships/hyperlink" Target="https://www.gakkou.net/kou/view/index_303067.html" TargetMode="External"/><Relationship Id="rId1399" Type="http://schemas.openxmlformats.org/officeDocument/2006/relationships/hyperlink" Target="https://www.seisen.ed.jp/" TargetMode="External"/><Relationship Id="rId1400" Type="http://schemas.openxmlformats.org/officeDocument/2006/relationships/hyperlink" Target="https://www.gakkou.net/kou/view/index_303064.html" TargetMode="External"/><Relationship Id="rId1401" Type="http://schemas.openxmlformats.org/officeDocument/2006/relationships/hyperlink" Target="https://www.mapion.co.jp/phonebook/M11004/20201/ILSP0000041769_ipclm/%20;%20https://www.nagano-pta.org/link/school/115.html" TargetMode="External"/><Relationship Id="rId1402" Type="http://schemas.openxmlformats.org/officeDocument/2006/relationships/hyperlink" Target="https://www.gakkou.net/kou/view/index_303074.html" TargetMode="External"/><Relationship Id="rId1403" Type="http://schemas.openxmlformats.org/officeDocument/2006/relationships/hyperlink" Target="http://www.gakuen-nagano.ac.jp/%20;%20https://www.mapion.co.jp/phonebook/M11004/20201/ILSP0000041410_ipclm/" TargetMode="External"/><Relationship Id="rId1404" Type="http://schemas.openxmlformats.org/officeDocument/2006/relationships/hyperlink" Target="https://www.gakkou.net/kou/view/index_303068.html" TargetMode="External"/><Relationship Id="rId1405" Type="http://schemas.openxmlformats.org/officeDocument/2006/relationships/hyperlink" Target="https://www.matsusho-h.ed.jp/about-school/access.php" TargetMode="External"/><Relationship Id="rId1406" Type="http://schemas.openxmlformats.org/officeDocument/2006/relationships/hyperlink" Target="https://www.gakkou.net/kou/view/index_303133.html" TargetMode="External"/><Relationship Id="rId1407" Type="http://schemas.openxmlformats.org/officeDocument/2006/relationships/hyperlink" Target="https://m-kokusai.ac.jp/%20;%20https://www.mapion.co.jp/phonebook/M11004/20202/ILSP0000041198_ipclm/" TargetMode="External"/><Relationship Id="rId1408" Type="http://schemas.openxmlformats.org/officeDocument/2006/relationships/hyperlink" Target="https://www.gakkou.net/kou/view/index_303137.html" TargetMode="External"/><Relationship Id="rId1409" Type="http://schemas.openxmlformats.org/officeDocument/2006/relationships/hyperlink" Target="https://www.matsumoto1-h.ed.jp/guide/" TargetMode="External"/><Relationship Id="rId1410" Type="http://schemas.openxmlformats.org/officeDocument/2006/relationships/hyperlink" Target="https://www.gakkou.net/kou/view/index_303130.html" TargetMode="External"/><Relationship Id="rId1411" Type="http://schemas.openxmlformats.org/officeDocument/2006/relationships/hyperlink" Target="https://www.mapion.co.jp/phonebook/M11004/21201/ILSP0000041163_ipclm/%20;%20https://www.inter-edu.com/schools/school/1452" TargetMode="External"/><Relationship Id="rId1412" Type="http://schemas.openxmlformats.org/officeDocument/2006/relationships/hyperlink" Target="https://www.gakkou.net/kou/view/index_303194.html" TargetMode="External"/><Relationship Id="rId1413" Type="http://schemas.openxmlformats.org/officeDocument/2006/relationships/hyperlink" Target="https://www.ogaki.ac.jp/%20;%20https://www.gifu-net.ed.jp/ssd/sien/guide/gakkou/309.pdf" TargetMode="External"/><Relationship Id="rId1414" Type="http://schemas.openxmlformats.org/officeDocument/2006/relationships/hyperlink" Target="https://www.gakkou.net/kou/view/index_303238.html" TargetMode="External"/><Relationship Id="rId1415" Type="http://schemas.openxmlformats.org/officeDocument/2006/relationships/hyperlink" Target="https://gifu-kokusai.denpa.jp/%20;%20https://www.gifu-net.ed.jp/ssd/sien/guide/gakkou/318.pdf" TargetMode="External"/><Relationship Id="rId1416" Type="http://schemas.openxmlformats.org/officeDocument/2006/relationships/hyperlink" Target="https://www.gakkou.net/kou/view/index_306653.html" TargetMode="External"/><Relationship Id="rId1417" Type="http://schemas.openxmlformats.org/officeDocument/2006/relationships/hyperlink" Target="https://www.shotoku.jp/access/index.html" TargetMode="External"/><Relationship Id="rId1418" Type="http://schemas.openxmlformats.org/officeDocument/2006/relationships/hyperlink" Target="https://www.gakkou.net/kou/view/index_303198.html" TargetMode="External"/><Relationship Id="rId1419" Type="http://schemas.openxmlformats.org/officeDocument/2006/relationships/hyperlink" Target="https://www.gifujoshi.ed.jp/info/" TargetMode="External"/><Relationship Id="rId1420" Type="http://schemas.openxmlformats.org/officeDocument/2006/relationships/hyperlink" Target="https://www.gakkou.net/kou/view/index_303223.html" TargetMode="External"/><Relationship Id="rId1421" Type="http://schemas.openxmlformats.org/officeDocument/2006/relationships/hyperlink" Target="https://www.mapion.co.jp/phonebook/M11004/21218/ILSP0000041106_ipclm/%20;%20https://www.iezo.net/tiikinavi/gifu/motosu/" TargetMode="External"/><Relationship Id="rId1422" Type="http://schemas.openxmlformats.org/officeDocument/2006/relationships/hyperlink" Target="https://www.gakkou.net/kou/view/index_303207.html" TargetMode="External"/><Relationship Id="rId1423" Type="http://schemas.openxmlformats.org/officeDocument/2006/relationships/hyperlink" Target="https://www.gito.ed.jp/contact/" TargetMode="External"/><Relationship Id="rId1424" Type="http://schemas.openxmlformats.org/officeDocument/2006/relationships/hyperlink" Target="https://www.gakkou.net/kou/view/index_303196.html" TargetMode="External"/><Relationship Id="rId1425" Type="http://schemas.openxmlformats.org/officeDocument/2006/relationships/hyperlink" Target="https://hope.sc/access/" TargetMode="External"/><Relationship Id="rId1426" Type="http://schemas.openxmlformats.org/officeDocument/2006/relationships/hyperlink" Target="https://www.gakkou.net/kou/view/index_306654.html" TargetMode="External"/><Relationship Id="rId1427" Type="http://schemas.openxmlformats.org/officeDocument/2006/relationships/hyperlink" Target="https://www.gifu-seibi.ed.jp/access/" TargetMode="External"/><Relationship Id="rId1428" Type="http://schemas.openxmlformats.org/officeDocument/2006/relationships/hyperlink" Target="https://www.gakkou.net/kou/view/index_303202.html" TargetMode="External"/><Relationship Id="rId1429" Type="http://schemas.openxmlformats.org/officeDocument/2006/relationships/hyperlink" Target="https://maria.ed.jp/access/" TargetMode="External"/><Relationship Id="rId1430" Type="http://schemas.openxmlformats.org/officeDocument/2006/relationships/hyperlink" Target="https://www.gakkou.net/kou/view/index_303212.html" TargetMode="External"/><Relationship Id="rId1431" Type="http://schemas.openxmlformats.org/officeDocument/2006/relationships/hyperlink" Target="https://takanishi.ed.jp/" TargetMode="External"/><Relationship Id="rId1432" Type="http://schemas.openxmlformats.org/officeDocument/2006/relationships/hyperlink" Target="https://www.gakkou.net/kou/view/index_303266.html" TargetMode="External"/><Relationship Id="rId1433" Type="http://schemas.openxmlformats.org/officeDocument/2006/relationships/hyperlink" Target="https://www.tajiminishi.ed.jp/high/attending-school/" TargetMode="External"/><Relationship Id="rId1434" Type="http://schemas.openxmlformats.org/officeDocument/2006/relationships/hyperlink" Target="https://www.gakkou.net/kou/view/index_303271.html" TargetMode="External"/><Relationship Id="rId1435" Type="http://schemas.openxmlformats.org/officeDocument/2006/relationships/hyperlink" Target="https://www.city.mizunami.lg.jp/kosodate/gakkoukyouiku/1002127.html%20;%20https://www.mapion.co.jp/phonebook/M11004/21208/ILSP0000040904_ipclm/" TargetMode="External"/><Relationship Id="rId1436" Type="http://schemas.openxmlformats.org/officeDocument/2006/relationships/hyperlink" Target="https://www.gakkou.net/kou/view/index_303291.html" TargetMode="External"/><Relationship Id="rId1437" Type="http://schemas.openxmlformats.org/officeDocument/2006/relationships/hyperlink" Target="https://www.teikyo-kani.ed.jp/high/access/" TargetMode="External"/><Relationship Id="rId1438" Type="http://schemas.openxmlformats.org/officeDocument/2006/relationships/hyperlink" Target="https://www.gakkou.net/kou/view/index_303281.html" TargetMode="External"/><Relationship Id="rId1439" Type="http://schemas.openxmlformats.org/officeDocument/2006/relationships/hyperlink" Target="https://www.tomita.ac.jp/" TargetMode="External"/><Relationship Id="rId1440" Type="http://schemas.openxmlformats.org/officeDocument/2006/relationships/hyperlink" Target="https://www.gakkou.net/kou/view/index_303195.html" TargetMode="External"/><Relationship Id="rId1441" Type="http://schemas.openxmlformats.org/officeDocument/2006/relationships/hyperlink" Target="https://minokamo.ed.jp/" TargetMode="External"/><Relationship Id="rId1442" Type="http://schemas.openxmlformats.org/officeDocument/2006/relationships/hyperlink" Target="https://www.gakkou.net/kou/view/index_303258.html" TargetMode="External"/><Relationship Id="rId1443" Type="http://schemas.openxmlformats.org/officeDocument/2006/relationships/hyperlink" Target="https://www.mz.reitaku.jp/school-guide/overview_history/" TargetMode="External"/><Relationship Id="rId1444" Type="http://schemas.openxmlformats.org/officeDocument/2006/relationships/hyperlink" Target="https://www.gakkou.net/kou/view/index_303292.html" TargetMode="External"/><Relationship Id="rId1445" Type="http://schemas.openxmlformats.org/officeDocument/2006/relationships/hyperlink" Target="https://www.iwatahigashi-h.ed.jp/%20;%20https://www.mapion.co.jp/phonebook/M11004/22211/ILSP0000041612_ipclm/" TargetMode="External"/><Relationship Id="rId1446" Type="http://schemas.openxmlformats.org/officeDocument/2006/relationships/hyperlink" Target="https://www.gakkou.net/kou/view/index_303473.html" TargetMode="External"/><Relationship Id="rId1447" Type="http://schemas.openxmlformats.org/officeDocument/2006/relationships/hyperlink" Target="https://www.oisca.ed.jp/school/access/%20;%20https://www.minkou.jp/hischool/school/646/" TargetMode="External"/><Relationship Id="rId1448" Type="http://schemas.openxmlformats.org/officeDocument/2006/relationships/hyperlink" Target="https://www.gakkou.net/kou/view/index_303432.html" TargetMode="External"/><Relationship Id="rId1449" Type="http://schemas.openxmlformats.org/officeDocument/2006/relationships/hyperlink" Target="https://www.mapion.co.jp/phonebook/M11004/22203/ILSP0000041290_ipclm/%20;%20https://school.js88.com/scl_h/22009120" TargetMode="External"/><Relationship Id="rId1450" Type="http://schemas.openxmlformats.org/officeDocument/2006/relationships/hyperlink" Target="https://www.gakkou.net/kou/view/index_303304.html" TargetMode="External"/><Relationship Id="rId1451" Type="http://schemas.openxmlformats.org/officeDocument/2006/relationships/hyperlink" Target="https://www.katogaku.jp/KatohHS/" TargetMode="External"/><Relationship Id="rId1452" Type="http://schemas.openxmlformats.org/officeDocument/2006/relationships/hyperlink" Target="https://www.gakkou.net/kou/view/index_303307.html" TargetMode="External"/><Relationship Id="rId1453" Type="http://schemas.openxmlformats.org/officeDocument/2006/relationships/hyperlink" Target="https://www.kirari-highschool.jp/introduction/access/" TargetMode="External"/><Relationship Id="rId1454" Type="http://schemas.openxmlformats.org/officeDocument/2006/relationships/hyperlink" Target="https://www.gakkou.net/kou/view/index_306559.html" TargetMode="External"/><Relationship Id="rId1455" Type="http://schemas.openxmlformats.org/officeDocument/2006/relationships/hyperlink" Target="https://gotembanishi-h.ed.jp/access/" TargetMode="External"/><Relationship Id="rId1456" Type="http://schemas.openxmlformats.org/officeDocument/2006/relationships/hyperlink" Target="https://www.gakkou.net/kou/view/index_303335.html" TargetMode="External"/><Relationship Id="rId1457" Type="http://schemas.openxmlformats.org/officeDocument/2006/relationships/hyperlink" Target="https://www.mapion.co.jp/phonebook/M11004/22101/ILSP0000040742_ipclm/%20;%20https://shizu-hsmap.com/3460/" TargetMode="External"/><Relationship Id="rId1458" Type="http://schemas.openxmlformats.org/officeDocument/2006/relationships/hyperlink" Target="https://www.gakkou.net/kou/view/index_303374.html" TargetMode="External"/><Relationship Id="rId1459" Type="http://schemas.openxmlformats.org/officeDocument/2006/relationships/hyperlink" Target="https://www.shizugaku.ed.jp/" TargetMode="External"/><Relationship Id="rId1460" Type="http://schemas.openxmlformats.org/officeDocument/2006/relationships/hyperlink" Target="https://www.gakkou.net/kou/view/index_303386.html" TargetMode="External"/><Relationship Id="rId1461" Type="http://schemas.openxmlformats.org/officeDocument/2006/relationships/hyperlink" Target="https://shizukita.jp/contact/" TargetMode="External"/><Relationship Id="rId1462" Type="http://schemas.openxmlformats.org/officeDocument/2006/relationships/hyperlink" Target="https://www.gakkou.net/kou/view/index_303377.html" TargetMode="External"/><Relationship Id="rId1463" Type="http://schemas.openxmlformats.org/officeDocument/2006/relationships/hyperlink" Target="https://www.seien.ed.jp/" TargetMode="External"/><Relationship Id="rId1464" Type="http://schemas.openxmlformats.org/officeDocument/2006/relationships/hyperlink" Target="https://www.gakkou.net/kou/view/index_303420.html" TargetMode="External"/><Relationship Id="rId1465" Type="http://schemas.openxmlformats.org/officeDocument/2006/relationships/hyperlink" Target="https://fujimi.ed.jp/" TargetMode="External"/><Relationship Id="rId1466" Type="http://schemas.openxmlformats.org/officeDocument/2006/relationships/hyperlink" Target="https://www.gakkou.net/kou/view/index_303349.html" TargetMode="External"/><Relationship Id="rId1467" Type="http://schemas.openxmlformats.org/officeDocument/2006/relationships/hyperlink" Target="https://ssalesio.ac.jp/high/contact/" TargetMode="External"/><Relationship Id="rId1468" Type="http://schemas.openxmlformats.org/officeDocument/2006/relationships/hyperlink" Target="https://www.gakkou.net/kou/view/index_303398.html" TargetMode="External"/><Relationship Id="rId1469" Type="http://schemas.openxmlformats.org/officeDocument/2006/relationships/hyperlink" Target="https://shizuoka-joshi.ac.jp/" TargetMode="External"/><Relationship Id="rId1470" Type="http://schemas.openxmlformats.org/officeDocument/2006/relationships/hyperlink" Target="https://www.gakkou.net/kou/view/index_303391.html" TargetMode="External"/><Relationship Id="rId1471" Type="http://schemas.openxmlformats.org/officeDocument/2006/relationships/hyperlink" Target="https://www.mapion.co.jp/phonebook/M11004/22102/ILSP0000041139_ipclm/%20;%20https://itp.ne.jp/info/229451737200000899/" TargetMode="External"/><Relationship Id="rId1472" Type="http://schemas.openxmlformats.org/officeDocument/2006/relationships/hyperlink" Target="https://www.gakkou.net/kou/view/index_303388.html" TargetMode="External"/><Relationship Id="rId1473" Type="http://schemas.openxmlformats.org/officeDocument/2006/relationships/hyperlink" Target="https://www.mapion.co.jp/phonebook/M11004/22101/ILSP0000040794_ipclm/" TargetMode="External"/><Relationship Id="rId1474" Type="http://schemas.openxmlformats.org/officeDocument/2006/relationships/hyperlink" Target="https://www.gakkou.net/kou/view/index_303368.html" TargetMode="External"/><Relationship Id="rId1475" Type="http://schemas.openxmlformats.org/officeDocument/2006/relationships/hyperlink" Target="https://shizuoka-futaba.ac.jp/graduate/certificate/%20;%20https://www.mapion.co.jp/phonebook/M11004/22101/ILSP0000041364_ipclm/" TargetMode="External"/><Relationship Id="rId1476" Type="http://schemas.openxmlformats.org/officeDocument/2006/relationships/hyperlink" Target="https://www.gakkou.net/kou/view/index_303371.html" TargetMode="External"/><Relationship Id="rId1477" Type="http://schemas.openxmlformats.org/officeDocument/2006/relationships/hyperlink" Target="https://www.mapion.co.jp/phonebook/M11004/22209/ILSP0000041690_ipclm/%20;%20https://www.minkou.jp/hischool/school/2271/" TargetMode="External"/><Relationship Id="rId1478" Type="http://schemas.openxmlformats.org/officeDocument/2006/relationships/hyperlink" Target="https://www.gakkou.net/kou/view/index_303416.html" TargetMode="External"/><Relationship Id="rId1479" Type="http://schemas.openxmlformats.org/officeDocument/2006/relationships/hyperlink" Target="https://www.shimizu-kokusai.ac.jp/" TargetMode="External"/><Relationship Id="rId1480" Type="http://schemas.openxmlformats.org/officeDocument/2006/relationships/hyperlink" Target="https://www.gakkou.net/kou/view/index_303395.html" TargetMode="External"/><Relationship Id="rId1481" Type="http://schemas.openxmlformats.org/officeDocument/2006/relationships/hyperlink" Target="https://www.johnan.ac.jp/" TargetMode="External"/><Relationship Id="rId1482" Type="http://schemas.openxmlformats.org/officeDocument/2006/relationships/hyperlink" Target="https://www.gakkou.net/kou/view/index_303390.html" TargetMode="External"/><Relationship Id="rId1483" Type="http://schemas.openxmlformats.org/officeDocument/2006/relationships/hyperlink" Target="http://www.seikei-on.ac.jp/contact/" TargetMode="External"/><Relationship Id="rId1484" Type="http://schemas.openxmlformats.org/officeDocument/2006/relationships/hyperlink" Target="https://www.gakkou.net/kou/view/index_303312.html" TargetMode="External"/><Relationship Id="rId1485" Type="http://schemas.openxmlformats.org/officeDocument/2006/relationships/hyperlink" Target="https://seisei.ed.jp/access/" TargetMode="External"/><Relationship Id="rId1486" Type="http://schemas.openxmlformats.org/officeDocument/2006/relationships/hyperlink" Target="https://www.gakkou.net/kou/view/index_303406.html" TargetMode="External"/><Relationship Id="rId1487" Type="http://schemas.openxmlformats.org/officeDocument/2006/relationships/hyperlink" Target="https://starhill.ed.jp/hs/" TargetMode="External"/><Relationship Id="rId1488" Type="http://schemas.openxmlformats.org/officeDocument/2006/relationships/hyperlink" Target="https://www.gakkou.net/kou/view/index_303356.html" TargetMode="External"/><Relationship Id="rId1489" Type="http://schemas.openxmlformats.org/officeDocument/2006/relationships/hyperlink" Target="https://www.mapion.co.jp/phonebook/M11004/22138/ILSP0000041195_ipclm/%20;%20https://school.js88.com/scl_h/22009420" TargetMode="External"/><Relationship Id="rId1490" Type="http://schemas.openxmlformats.org/officeDocument/2006/relationships/hyperlink" Target="https://www.gakkou.net/kou/view/index_303450.html" TargetMode="External"/><Relationship Id="rId1491" Type="http://schemas.openxmlformats.org/officeDocument/2006/relationships/hyperlink" Target="https://www.mapion.co.jp/phonebook/M11004/22342/ILSP0000041799_ipclm/%20;%20https://itp.ne.jp/info/225247068200000899/" TargetMode="External"/><Relationship Id="rId1492" Type="http://schemas.openxmlformats.org/officeDocument/2006/relationships/hyperlink" Target="https://www.gakkou.net/kou/view/index_303333.html" TargetMode="External"/><Relationship Id="rId1493" Type="http://schemas.openxmlformats.org/officeDocument/2006/relationships/hyperlink" Target="https://www.shoyo.tokai.ed.jp/contact/" TargetMode="External"/><Relationship Id="rId1494" Type="http://schemas.openxmlformats.org/officeDocument/2006/relationships/hyperlink" Target="https://www.gakkou.net/kou/view/index_303401.html" TargetMode="External"/><Relationship Id="rId1495" Type="http://schemas.openxmlformats.org/officeDocument/2006/relationships/hyperlink" Target="https://toyo-numazu.ac.jp/contact/%20;%20https://www.mapion.co.jp/phonebook/M11004/22203/ILSP0000041817_ipclm/" TargetMode="External"/><Relationship Id="rId1496" Type="http://schemas.openxmlformats.org/officeDocument/2006/relationships/hyperlink" Target="https://www.gakkou.net/kou/view/index_303311.html" TargetMode="External"/><Relationship Id="rId1497" Type="http://schemas.openxmlformats.org/officeDocument/2006/relationships/hyperlink" Target="https://tokoha.net/kikugawa/guide/access/" TargetMode="External"/><Relationship Id="rId1498" Type="http://schemas.openxmlformats.org/officeDocument/2006/relationships/hyperlink" Target="https://www.gakkou.net/kou/view/index_303474.html" TargetMode="External"/><Relationship Id="rId1499" Type="http://schemas.openxmlformats.org/officeDocument/2006/relationships/hyperlink" Target="https://www.tokoha.ac.jp/tachibana-jh/" TargetMode="External"/><Relationship Id="rId1500" Type="http://schemas.openxmlformats.org/officeDocument/2006/relationships/hyperlink" Target="https://www.gakkou.net/kou/view/index_303376.html" TargetMode="External"/><Relationship Id="rId1501" Type="http://schemas.openxmlformats.org/officeDocument/2006/relationships/hyperlink" Target="https://www.tokoha-u.ac.jp/university/links/%20;%20https://www.mapion.co.jp/phonebook/M11004/22101/ILSP0000041765_ipclm/" TargetMode="External"/><Relationship Id="rId1502" Type="http://schemas.openxmlformats.org/officeDocument/2006/relationships/hyperlink" Target="https://www.gakkou.net/kou/view/index_303367.html" TargetMode="External"/><Relationship Id="rId1503" Type="http://schemas.openxmlformats.org/officeDocument/2006/relationships/hyperlink" Target="https://www.mishima.hs.nihon-u.ac.jp/" TargetMode="External"/><Relationship Id="rId1504" Type="http://schemas.openxmlformats.org/officeDocument/2006/relationships/hyperlink" Target="https://www.gakkou.net/kou/view/index_303328.html" TargetMode="External"/><Relationship Id="rId1505" Type="http://schemas.openxmlformats.org/officeDocument/2006/relationships/hyperlink" Target="https://www.n-chuo.ac.jp/contact%20;%20https://www.mapion.co.jp/phonebook/M11004/22203/ILSP0000041058_ipclm/" TargetMode="External"/><Relationship Id="rId1506" Type="http://schemas.openxmlformats.org/officeDocument/2006/relationships/hyperlink" Target="https://www.gakkou.net/kou/view/index_303310.html" TargetMode="External"/><Relationship Id="rId1507" Type="http://schemas.openxmlformats.org/officeDocument/2006/relationships/hyperlink" Target="https://www.kaiseikan.ed.jp/top-page/school-overview/" TargetMode="External"/><Relationship Id="rId1508" Type="http://schemas.openxmlformats.org/officeDocument/2006/relationships/hyperlink" Target="https://www.gakkou.net/kou/view/index_303426.html" TargetMode="External"/><Relationship Id="rId1509" Type="http://schemas.openxmlformats.org/officeDocument/2006/relationships/hyperlink" Target="https://www.hamagaku.ac.jp/gakuin/schoolprospectus/history/%20;%20https://school.js88.com/scl_h/22009350" TargetMode="External"/><Relationship Id="rId1510" Type="http://schemas.openxmlformats.org/officeDocument/2006/relationships/hyperlink" Target="https://www.gakkou.net/kou/view/index_303425.html" TargetMode="External"/><Relationship Id="rId1511" Type="http://schemas.openxmlformats.org/officeDocument/2006/relationships/hyperlink" Target="https://www.gakugei.ed.jp/high/" TargetMode="External"/><Relationship Id="rId1512" Type="http://schemas.openxmlformats.org/officeDocument/2006/relationships/hyperlink" Target="https://www.gakkou.net/kou/view/index_303423.html" TargetMode="External"/><Relationship Id="rId1513" Type="http://schemas.openxmlformats.org/officeDocument/2006/relationships/hyperlink" Target="https://keiyo.ed.jp/%20;%20https://school.js88.com/scl_h/34029510?page=6" TargetMode="External"/><Relationship Id="rId1514" Type="http://schemas.openxmlformats.org/officeDocument/2006/relationships/hyperlink" Target="https://www.gakkou.net/kou/view/index_306572.html" TargetMode="External"/><Relationship Id="rId1515" Type="http://schemas.openxmlformats.org/officeDocument/2006/relationships/hyperlink" Target="https://www.shugakusha.ed.jp/" TargetMode="External"/><Relationship Id="rId1516" Type="http://schemas.openxmlformats.org/officeDocument/2006/relationships/hyperlink" Target="https://www.gakkou.net/kou/view/index_303422.html" TargetMode="External"/><Relationship Id="rId1517" Type="http://schemas.openxmlformats.org/officeDocument/2006/relationships/hyperlink" Target="https://hamamatsu-seisei.jp/about/school_outline.html" TargetMode="External"/><Relationship Id="rId1518" Type="http://schemas.openxmlformats.org/officeDocument/2006/relationships/hyperlink" Target="https://www.gakkou.net/kou/view/index_303447.html" TargetMode="External"/><Relationship Id="rId1519" Type="http://schemas.openxmlformats.org/officeDocument/2006/relationships/hyperlink" Target="https://www.h-nittai.ed.jp/" TargetMode="External"/><Relationship Id="rId1520" Type="http://schemas.openxmlformats.org/officeDocument/2006/relationships/hyperlink" Target="https://www.gakkou.net/kou/view/index_303438.html" TargetMode="External"/><Relationship Id="rId1521" Type="http://schemas.openxmlformats.org/officeDocument/2006/relationships/hyperlink" Target="https://hiryu.ed.jp/about-us/access/" TargetMode="External"/><Relationship Id="rId1522" Type="http://schemas.openxmlformats.org/officeDocument/2006/relationships/hyperlink" Target="https://www.gakkou.net/kou/view/index_303306.html" TargetMode="External"/><Relationship Id="rId1523" Type="http://schemas.openxmlformats.org/officeDocument/2006/relationships/hyperlink" Target="https://www.mapion.co.jp/phonebook/M11004/22214/ILSP0000041630_ipclm/%20;%20https://school.js88.com/scl_h/22009310?page=9" TargetMode="External"/><Relationship Id="rId1524" Type="http://schemas.openxmlformats.org/officeDocument/2006/relationships/hyperlink" Target="https://www.gakkou.net/kou/view/index_303412.html" TargetMode="External"/><Relationship Id="rId1525" Type="http://schemas.openxmlformats.org/officeDocument/2006/relationships/hyperlink" Target="https://www.fgmeisei.ed.jp/contact/" TargetMode="External"/><Relationship Id="rId1526" Type="http://schemas.openxmlformats.org/officeDocument/2006/relationships/hyperlink" Target="https://www.gakkou.net/kou/view/index_303411.html" TargetMode="External"/><Relationship Id="rId1527" Type="http://schemas.openxmlformats.org/officeDocument/2006/relationships/hyperlink" Target="https://www.fujiseishin-jh.ed.jp/access/" TargetMode="External"/><Relationship Id="rId1528" Type="http://schemas.openxmlformats.org/officeDocument/2006/relationships/hyperlink" Target="https://www.gakkou.net/kou/view/index_303317.html" TargetMode="External"/><Relationship Id="rId1529" Type="http://schemas.openxmlformats.org/officeDocument/2006/relationships/hyperlink" Target="https://yaizu-h.ed.jp/" TargetMode="External"/><Relationship Id="rId1530" Type="http://schemas.openxmlformats.org/officeDocument/2006/relationships/hyperlink" Target="https://www.gakkou.net/kou/view/index_303402.html" TargetMode="External"/><Relationship Id="rId1531" Type="http://schemas.openxmlformats.org/officeDocument/2006/relationships/hyperlink" Target="https://keisei.ed.jp/%20;%20https://www.city.inazawa.aichi.jp/0000002446.html" TargetMode="External"/><Relationship Id="rId1532" Type="http://schemas.openxmlformats.org/officeDocument/2006/relationships/hyperlink" Target="https://www.gakkou.net/kou/view/index_303728.html" TargetMode="External"/><Relationship Id="rId1533" Type="http://schemas.openxmlformats.org/officeDocument/2006/relationships/hyperlink" Target="https://www.meiden.ed.jp/others/contact.html" TargetMode="External"/><Relationship Id="rId1534" Type="http://schemas.openxmlformats.org/officeDocument/2006/relationships/hyperlink" Target="https://www.gakkou.net/kou/view/index_303597.html" TargetMode="External"/><Relationship Id="rId1535" Type="http://schemas.openxmlformats.org/officeDocument/2006/relationships/hyperlink" Target="https://www.aichi-h.ed.jp/hs/access/" TargetMode="External"/><Relationship Id="rId1536" Type="http://schemas.openxmlformats.org/officeDocument/2006/relationships/hyperlink" Target="https://www.gakkou.net/kou/view/index_303594.html" TargetMode="External"/><Relationship Id="rId1537" Type="http://schemas.openxmlformats.org/officeDocument/2006/relationships/hyperlink" Target="https://www.mikawa.ed.jp/introduction/information/" TargetMode="External"/><Relationship Id="rId1538" Type="http://schemas.openxmlformats.org/officeDocument/2006/relationships/hyperlink" Target="https://www.gakkou.net/kou/view/index_303511.html" TargetMode="External"/><Relationship Id="rId1539" Type="http://schemas.openxmlformats.org/officeDocument/2006/relationships/hyperlink" Target="https://www.aichishukutoku-h.jp/contact/" TargetMode="External"/><Relationship Id="rId1540" Type="http://schemas.openxmlformats.org/officeDocument/2006/relationships/hyperlink" Target="https://www.gakkou.net/kou/view/index_303595.html" TargetMode="External"/><Relationship Id="rId1541" Type="http://schemas.openxmlformats.org/officeDocument/2006/relationships/hyperlink" Target="https://www.aichi-mizuho.ac.jp/mhs/" TargetMode="External"/><Relationship Id="rId1542" Type="http://schemas.openxmlformats.org/officeDocument/2006/relationships/hyperlink" Target="https://www.gakkou.net/kou/view/index_303619.html" TargetMode="External"/><Relationship Id="rId1543" Type="http://schemas.openxmlformats.org/officeDocument/2006/relationships/hyperlink" Target="https://www.mapion.co.jp/phonebook/M11004/23235/ILSP0000040620_ipclm/%20;%20https://school.js88.com/scl_h/22011520" TargetMode="External"/><Relationship Id="rId1544" Type="http://schemas.openxmlformats.org/officeDocument/2006/relationships/hyperlink" Target="https://www.gakkou.net/kou/view/index_303747.html" TargetMode="External"/><Relationship Id="rId1545" Type="http://schemas.openxmlformats.org/officeDocument/2006/relationships/hyperlink" Target="https://www.angaku.jp/contact" TargetMode="External"/><Relationship Id="rId1546" Type="http://schemas.openxmlformats.org/officeDocument/2006/relationships/hyperlink" Target="https://www.gakkou.net/kou/view/index_303536.html" TargetMode="External"/><Relationship Id="rId1547" Type="http://schemas.openxmlformats.org/officeDocument/2006/relationships/hyperlink" Target="https://www.eitoku-h.ed.jp/" TargetMode="External"/><Relationship Id="rId1548" Type="http://schemas.openxmlformats.org/officeDocument/2006/relationships/hyperlink" Target="https://www.gakkou.net/kou/view/index_303680.html" TargetMode="External"/><Relationship Id="rId1549" Type="http://schemas.openxmlformats.org/officeDocument/2006/relationships/hyperlink" Target="https://ohka-hs.com/profile/" TargetMode="External"/><Relationship Id="rId1550" Type="http://schemas.openxmlformats.org/officeDocument/2006/relationships/hyperlink" Target="https://www.gakkou.net/kou/view/index_303606.html" TargetMode="External"/><Relationship Id="rId1551" Type="http://schemas.openxmlformats.org/officeDocument/2006/relationships/hyperlink" Target="https://www.johsei.jp/contact/" TargetMode="External"/><Relationship Id="rId1552" Type="http://schemas.openxmlformats.org/officeDocument/2006/relationships/hyperlink" Target="https://www.gakkou.net/kou/view/index_303525.html" TargetMode="External"/><Relationship Id="rId1553" Type="http://schemas.openxmlformats.org/officeDocument/2006/relationships/hyperlink" Target="https://kikuka.ed.jp/" TargetMode="External"/><Relationship Id="rId1554" Type="http://schemas.openxmlformats.org/officeDocument/2006/relationships/hyperlink" Target="https://www.gakkou.net/kou/view/index_303593.html" TargetMode="External"/><Relationship Id="rId1555" Type="http://schemas.openxmlformats.org/officeDocument/2006/relationships/hyperlink" Target="https://www.kyoei-h.ed.jp/contact/" TargetMode="External"/><Relationship Id="rId1556" Type="http://schemas.openxmlformats.org/officeDocument/2006/relationships/hyperlink" Target="https://www.gakkou.net/kou/view/index_303614.html" TargetMode="External"/><Relationship Id="rId1557" Type="http://schemas.openxmlformats.org/officeDocument/2006/relationships/hyperlink" Target="https://www.hs.kinjo-u.ac.jp/contact/" TargetMode="External"/><Relationship Id="rId1558" Type="http://schemas.openxmlformats.org/officeDocument/2006/relationships/hyperlink" Target="https://www.gakkou.net/kou/view/index_303581.html" TargetMode="External"/><Relationship Id="rId1559" Type="http://schemas.openxmlformats.org/officeDocument/2006/relationships/hyperlink" Target="https://keimeigakkan-h.ed.jp/" TargetMode="External"/><Relationship Id="rId1560" Type="http://schemas.openxmlformats.org/officeDocument/2006/relationships/hyperlink" Target="https://www.gakkou.net/kou/view/index_303550.html" TargetMode="External"/><Relationship Id="rId1561" Type="http://schemas.openxmlformats.org/officeDocument/2006/relationships/hyperlink" Target="https://www.sakuragaoka-gakuen.ed.jp/h/" TargetMode="External"/><Relationship Id="rId1562" Type="http://schemas.openxmlformats.org/officeDocument/2006/relationships/hyperlink" Target="https://www.gakkou.net/kou/view/index_303476.html" TargetMode="External"/><Relationship Id="rId1563" Type="http://schemas.openxmlformats.org/officeDocument/2006/relationships/hyperlink" Target="https://www.shigakukan-h.ed.jp/" TargetMode="External"/><Relationship Id="rId1564" Type="http://schemas.openxmlformats.org/officeDocument/2006/relationships/hyperlink" Target="https://www.gakkou.net/kou/view/index_303587.html" TargetMode="External"/><Relationship Id="rId1565" Type="http://schemas.openxmlformats.org/officeDocument/2006/relationships/hyperlink" Target="https://www.gakuin-hs.shubun.ac.jp/contact" TargetMode="External"/><Relationship Id="rId1566" Type="http://schemas.openxmlformats.org/officeDocument/2006/relationships/hyperlink" Target="https://www.gakkou.net/kou/view/index_303726.html" TargetMode="External"/><Relationship Id="rId1567" Type="http://schemas.openxmlformats.org/officeDocument/2006/relationships/hyperlink" Target="https://www.sugiyama-u.ac.jp/high/index.html" TargetMode="External"/><Relationship Id="rId1568" Type="http://schemas.openxmlformats.org/officeDocument/2006/relationships/hyperlink" Target="https://www.gakkou.net/kou/view/index_303602.html" TargetMode="External"/><Relationship Id="rId1569" Type="http://schemas.openxmlformats.org/officeDocument/2006/relationships/hyperlink" Target="https://www.st-capitanio.ed.jp/access/access.html" TargetMode="External"/><Relationship Id="rId1570" Type="http://schemas.openxmlformats.org/officeDocument/2006/relationships/hyperlink" Target="https://www.gakkou.net/kou/view/index_303712.html" TargetMode="External"/><Relationship Id="rId1571" Type="http://schemas.openxmlformats.org/officeDocument/2006/relationships/hyperlink" Target="https://www.a-seishin.ed.jp/contact/" TargetMode="External"/><Relationship Id="rId1572" Type="http://schemas.openxmlformats.org/officeDocument/2006/relationships/hyperlink" Target="https://www.gakkou.net/kou/view/index_303677.html" TargetMode="External"/><Relationship Id="rId1573" Type="http://schemas.openxmlformats.org/officeDocument/2006/relationships/hyperlink" Target="https://www.seijoh.ed.jp/" TargetMode="External"/><Relationship Id="rId1574" Type="http://schemas.openxmlformats.org/officeDocument/2006/relationships/hyperlink" Target="https://www.gakkou.net/kou/view/index_303635.html" TargetMode="External"/><Relationship Id="rId1575" Type="http://schemas.openxmlformats.org/officeDocument/2006/relationships/hyperlink" Target="https://www.seirinkan.ed.jp/high/access" TargetMode="External"/><Relationship Id="rId1576" Type="http://schemas.openxmlformats.org/officeDocument/2006/relationships/hyperlink" Target="https://www.gakkou.net/kou/view/index_303739.html" TargetMode="External"/><Relationship Id="rId1577" Type="http://schemas.openxmlformats.org/officeDocument/2006/relationships/hyperlink" Target="https://www.seto-seirei-js.ed.jp/" TargetMode="External"/><Relationship Id="rId1578" Type="http://schemas.openxmlformats.org/officeDocument/2006/relationships/hyperlink" Target="https://www.gakkou.net/kou/view/index_303706.html" TargetMode="External"/><Relationship Id="rId1579" Type="http://schemas.openxmlformats.org/officeDocument/2006/relationships/hyperlink" Target="https://www.aichi-shinwa-taisei.ed.jp/high/%20;%20https://www.city.ichinomiya.aichi.jp/shisetsu/hoikugakko/1008935/1009298.html" TargetMode="External"/><Relationship Id="rId1580" Type="http://schemas.openxmlformats.org/officeDocument/2006/relationships/hyperlink" Target="https://www.gakkou.net/kou/view/index_303722.html" TargetMode="External"/><Relationship Id="rId1581" Type="http://schemas.openxmlformats.org/officeDocument/2006/relationships/hyperlink" Target="https://www.taki-hj.ac.jp/guide/access.html" TargetMode="External"/><Relationship Id="rId1582" Type="http://schemas.openxmlformats.org/officeDocument/2006/relationships/hyperlink" Target="https://www.gakkou.net/kou/view/index_303685.html" TargetMode="External"/><Relationship Id="rId1583" Type="http://schemas.openxmlformats.org/officeDocument/2006/relationships/hyperlink" Target="https://www.daido-h.ed.jp/access/" TargetMode="External"/><Relationship Id="rId1584" Type="http://schemas.openxmlformats.org/officeDocument/2006/relationships/hyperlink" Target="https://www.gakkou.net/kou/view/index_303572.html" TargetMode="External"/><Relationship Id="rId1585" Type="http://schemas.openxmlformats.org/officeDocument/2006/relationships/hyperlink" Target="https://www.chukyo.ed.jp/contact/" TargetMode="External"/><Relationship Id="rId1586" Type="http://schemas.openxmlformats.org/officeDocument/2006/relationships/hyperlink" Target="https://www.gakkou.net/kou/view/index_303610.html" TargetMode="External"/><Relationship Id="rId1587" Type="http://schemas.openxmlformats.org/officeDocument/2006/relationships/hyperlink" Target="https://www.mapion.co.jp/phonebook/M11004/23230/ILSP0000041881_ipclm/%20;%20https://www.gakkou.net/kou/view/index_303623.html" TargetMode="External"/><Relationship Id="rId1588" Type="http://schemas.openxmlformats.org/officeDocument/2006/relationships/hyperlink" Target="https://www.gakkou.net/kou/view/index_303623.html" TargetMode="External"/><Relationship Id="rId1589" Type="http://schemas.openxmlformats.org/officeDocument/2006/relationships/hyperlink" Target="https://www.haruhigaoka.ed.jp/senior/%20;%20https://www.city.kasugai.lg.jp/shisei/shisetsu/kosodate/1010552/1010560.html" TargetMode="External"/><Relationship Id="rId1590" Type="http://schemas.openxmlformats.org/officeDocument/2006/relationships/hyperlink" Target="https://www.gakkou.net/kou/view/index_303702.html" TargetMode="External"/><Relationship Id="rId1591" Type="http://schemas.openxmlformats.org/officeDocument/2006/relationships/hyperlink" Target="https://www.mapion.co.jp/phonebook/M11004/23221/ILSP0000041060_ipclm/%20;%20https://www.navitime.co.jp/poi?spot=00004-23108700184" TargetMode="External"/><Relationship Id="rId1592" Type="http://schemas.openxmlformats.org/officeDocument/2006/relationships/hyperlink" Target="https://www.gakkou.net/kou/view/index_303490.html" TargetMode="External"/><Relationship Id="rId1593" Type="http://schemas.openxmlformats.org/officeDocument/2006/relationships/hyperlink" Target="https://tokaigakuen.ed.jp/" TargetMode="External"/><Relationship Id="rId1594" Type="http://schemas.openxmlformats.org/officeDocument/2006/relationships/hyperlink" Target="https://www.gakkou.net/kou/view/index_303621.html" TargetMode="External"/><Relationship Id="rId1595" Type="http://schemas.openxmlformats.org/officeDocument/2006/relationships/hyperlink" Target="https://www.tokai-jh.ed.jp/profile/06.html" TargetMode="External"/><Relationship Id="rId1596" Type="http://schemas.openxmlformats.org/officeDocument/2006/relationships/hyperlink" Target="https://www.gakkou.net/kou/view/index_303578.html" TargetMode="External"/><Relationship Id="rId1597" Type="http://schemas.openxmlformats.org/officeDocument/2006/relationships/hyperlink" Target="https://www.toho-h.ed.jp/" TargetMode="External"/><Relationship Id="rId1598" Type="http://schemas.openxmlformats.org/officeDocument/2006/relationships/hyperlink" Target="https://www.gakkou.net/kou/view/index_303605.html" TargetMode="External"/><Relationship Id="rId1599" Type="http://schemas.openxmlformats.org/officeDocument/2006/relationships/hyperlink" Target="https://www.tojaku-h.ed.jp/" TargetMode="External"/><Relationship Id="rId1600" Type="http://schemas.openxmlformats.org/officeDocument/2006/relationships/hyperlink" Target="https://www.gakkou.net/kou/view/index_303628.html" TargetMode="External"/><Relationship Id="rId1601" Type="http://schemas.openxmlformats.org/officeDocument/2006/relationships/hyperlink" Target="https://toyokawa.ed.jp/contact" TargetMode="External"/><Relationship Id="rId1602" Type="http://schemas.openxmlformats.org/officeDocument/2006/relationships/hyperlink" Target="https://www.gakkou.net/kou/view/index_303502.html" TargetMode="External"/><Relationship Id="rId1603" Type="http://schemas.openxmlformats.org/officeDocument/2006/relationships/hyperlink" Target="https://www.navita.co.jp/s/11101207/%20;%20https://www.mapion.co.jp/phonebook/M11004/23211/ILSP0000041953_ipclm/" TargetMode="External"/><Relationship Id="rId1604" Type="http://schemas.openxmlformats.org/officeDocument/2006/relationships/hyperlink" Target="https://www.gakkou.net/kou/view/index_303629.html" TargetMode="External"/><Relationship Id="rId1605" Type="http://schemas.openxmlformats.org/officeDocument/2006/relationships/hyperlink" Target="https://toyohashi-chuo.ed.jp/?page_id=53" TargetMode="External"/><Relationship Id="rId1606" Type="http://schemas.openxmlformats.org/officeDocument/2006/relationships/hyperlink" Target="https://www.gakkou.net/kou/view/index_303480.html" TargetMode="External"/><Relationship Id="rId1607" Type="http://schemas.openxmlformats.org/officeDocument/2006/relationships/hyperlink" Target="https://www.doho-h.ed.jp/" TargetMode="External"/><Relationship Id="rId1608" Type="http://schemas.openxmlformats.org/officeDocument/2006/relationships/hyperlink" Target="https://www.gakkou.net/kou/view/index_303558.html" TargetMode="External"/><Relationship Id="rId1609" Type="http://schemas.openxmlformats.org/officeDocument/2006/relationships/hyperlink" Target="https://www.nagoya-aoi.ed.jp/contact/" TargetMode="External"/><Relationship Id="rId1610" Type="http://schemas.openxmlformats.org/officeDocument/2006/relationships/hyperlink" Target="https://www.gakkou.net/kou/view/index_303613.html" TargetMode="External"/><Relationship Id="rId1611" Type="http://schemas.openxmlformats.org/officeDocument/2006/relationships/hyperlink" Target="https://nagoyaotani.owari.ac.jp/access/" TargetMode="External"/><Relationship Id="rId1612" Type="http://schemas.openxmlformats.org/officeDocument/2006/relationships/hyperlink" Target="https://www.gakkou.net/kou/view/index_303616.html" TargetMode="External"/><Relationship Id="rId1613" Type="http://schemas.openxmlformats.org/officeDocument/2006/relationships/hyperlink" Target="https://ichimura.ed.jp/access/" TargetMode="External"/><Relationship Id="rId1614" Type="http://schemas.openxmlformats.org/officeDocument/2006/relationships/hyperlink" Target="https://www.gakkou.net/kou/view/index_303598.html" TargetMode="External"/><Relationship Id="rId1615" Type="http://schemas.openxmlformats.org/officeDocument/2006/relationships/hyperlink" Target="https://www.takakura-hj.info/access" TargetMode="External"/><Relationship Id="rId1616" Type="http://schemas.openxmlformats.org/officeDocument/2006/relationships/hyperlink" Target="https://www.gakkou.net/kou/view/index_303566.html" TargetMode="External"/><Relationship Id="rId1617" Type="http://schemas.openxmlformats.org/officeDocument/2006/relationships/hyperlink" Target="https://nagoya-th.ed.jp/%20;%20https://www.aichi-shigaku.gr.jp/guidebook2025/pageindices/index68.html" TargetMode="External"/><Relationship Id="rId1618" Type="http://schemas.openxmlformats.org/officeDocument/2006/relationships/hyperlink" Target="https://www.gakkou.net/kou/view/index_303609.html" TargetMode="External"/><Relationship Id="rId1619" Type="http://schemas.openxmlformats.org/officeDocument/2006/relationships/hyperlink" Target="https://www.meigaku.ac.jp/access/" TargetMode="External"/><Relationship Id="rId1620" Type="http://schemas.openxmlformats.org/officeDocument/2006/relationships/hyperlink" Target="https://www.gakkou.net/kou/view/index_303586.html" TargetMode="External"/><Relationship Id="rId1621" Type="http://schemas.openxmlformats.org/officeDocument/2006/relationships/hyperlink" Target="https://www.unesco-school.mext.go.jp/schools/list/nagoya-international-junior-senior-high-school/%20;%20https://www.aichi.sc/gakkou/kokusai/" TargetMode="External"/><Relationship Id="rId1622" Type="http://schemas.openxmlformats.org/officeDocument/2006/relationships/hyperlink" Target="https://www.gakkou.net/kou/view/index_303612.html" TargetMode="External"/><Relationship Id="rId1623" Type="http://schemas.openxmlformats.org/officeDocument/2006/relationships/hyperlink" Target="https://tachibana-hs.ed.jp/" TargetMode="External"/><Relationship Id="rId1624" Type="http://schemas.openxmlformats.org/officeDocument/2006/relationships/hyperlink" Target="https://www.gakkou.net/kou/view/index_303577.html" TargetMode="External"/><Relationship Id="rId1625" Type="http://schemas.openxmlformats.org/officeDocument/2006/relationships/hyperlink" Target="https://www.nanzan-girls.ed.jp/access.html" TargetMode="External"/><Relationship Id="rId1626" Type="http://schemas.openxmlformats.org/officeDocument/2006/relationships/hyperlink" Target="https://www.gakkou.net/kou/view/index_306756.html" TargetMode="External"/><Relationship Id="rId1627" Type="http://schemas.openxmlformats.org/officeDocument/2006/relationships/hyperlink" Target="https://www.nanzan-boys.ed.jp/" TargetMode="External"/><Relationship Id="rId1628" Type="http://schemas.openxmlformats.org/officeDocument/2006/relationships/hyperlink" Target="https://www.gakkou.net/kou/view/index_303611.html" TargetMode="External"/><Relationship Id="rId1629" Type="http://schemas.openxmlformats.org/officeDocument/2006/relationships/hyperlink" Target="https://www.n-fukushi.ac.jp/koukou/" TargetMode="External"/><Relationship Id="rId1630" Type="http://schemas.openxmlformats.org/officeDocument/2006/relationships/hyperlink" Target="https://www.gakkou.net/kou/view/index_303640.html" TargetMode="External"/><Relationship Id="rId1631" Type="http://schemas.openxmlformats.org/officeDocument/2006/relationships/hyperlink" Target="https://www.jinkan-okazaki.ed.jp/about/" TargetMode="External"/><Relationship Id="rId1632" Type="http://schemas.openxmlformats.org/officeDocument/2006/relationships/hyperlink" Target="https://www.gakkou.net/kou/view/index_303513.html" TargetMode="External"/><Relationship Id="rId1633" Type="http://schemas.openxmlformats.org/officeDocument/2006/relationships/hyperlink" Target="https://hikarigaoka-h.ed.jp/" TargetMode="External"/><Relationship Id="rId1634" Type="http://schemas.openxmlformats.org/officeDocument/2006/relationships/hyperlink" Target="https://www.gakkou.net/kou/view/index_303519.html" TargetMode="External"/><Relationship Id="rId1635" Type="http://schemas.openxmlformats.org/officeDocument/2006/relationships/hyperlink" Target="https://www.fujinohana-h.ed.jp/" TargetMode="External"/><Relationship Id="rId1636" Type="http://schemas.openxmlformats.org/officeDocument/2006/relationships/hyperlink" Target="https://www.gakkou.net/kou/view/index_303478.html" TargetMode="External"/><Relationship Id="rId1637" Type="http://schemas.openxmlformats.org/officeDocument/2006/relationships/hyperlink" Target="https://www.mapion.co.jp/phonebook/M11004/23219/ILSP0000041861_ipclm/%20;%20https://www.city.komaki.aichi.jp/admin/soshiki/fumei/highscool/4872.html" TargetMode="External"/><Relationship Id="rId1638" Type="http://schemas.openxmlformats.org/officeDocument/2006/relationships/hyperlink" Target="https://www.gakkou.net/kou/view/index_303695.html" TargetMode="External"/><Relationship Id="rId1639" Type="http://schemas.openxmlformats.org/officeDocument/2006/relationships/hyperlink" Target="https://www.meijo-h.ed.jp/profile/" TargetMode="External"/><Relationship Id="rId1640" Type="http://schemas.openxmlformats.org/officeDocument/2006/relationships/hyperlink" Target="https://www.gakkou.net/kou/view/index_303556.html" TargetMode="External"/><Relationship Id="rId1641" Type="http://schemas.openxmlformats.org/officeDocument/2006/relationships/hyperlink" Target="https://ainogakuen.ed.jp/%20;%20https://www.mapion.co.jp/phonebook/M11004/24216/ILSP0000041735_ipclm/" TargetMode="External"/><Relationship Id="rId1642" Type="http://schemas.openxmlformats.org/officeDocument/2006/relationships/hyperlink" Target="https://www.gakkou.net/kou/view/index_303817.html" TargetMode="External"/><Relationship Id="rId1643" Type="http://schemas.openxmlformats.org/officeDocument/2006/relationships/hyperlink" Target="https://aoyama-h.ed.jp/" TargetMode="External"/><Relationship Id="rId1644" Type="http://schemas.openxmlformats.org/officeDocument/2006/relationships/hyperlink" Target="https://www.gakkou.net/kou/view/index_303798.html" TargetMode="External"/><Relationship Id="rId1645" Type="http://schemas.openxmlformats.org/officeDocument/2006/relationships/hyperlink" Target="https://www.akatsuki.ed.jp/akatsuki-h/" TargetMode="External"/><Relationship Id="rId1646" Type="http://schemas.openxmlformats.org/officeDocument/2006/relationships/hyperlink" Target="https://www.gakkou.net/kou/view/index_303775.html" TargetMode="External"/><Relationship Id="rId1647" Type="http://schemas.openxmlformats.org/officeDocument/2006/relationships/hyperlink" Target="https://www.isegakuen.ac.jp/contact.html" TargetMode="External"/><Relationship Id="rId1648" Type="http://schemas.openxmlformats.org/officeDocument/2006/relationships/hyperlink" Target="https://www.gakkou.net/kou/view/index_303805.html" TargetMode="External"/><Relationship Id="rId1649" Type="http://schemas.openxmlformats.org/officeDocument/2006/relationships/hyperlink" Target="https://www.ckip.jp/eishin/infomations/contact%20;%20https://www.mapion.co.jp/phonebook/M11004/24203/ILSP0060149148_ipclm/" TargetMode="External"/><Relationship Id="rId1650" Type="http://schemas.openxmlformats.org/officeDocument/2006/relationships/hyperlink" Target="https://www.gakkou.net/kou/view/index_306465.html" TargetMode="External"/><Relationship Id="rId1651" Type="http://schemas.openxmlformats.org/officeDocument/2006/relationships/hyperlink" Target="https://www.ohashigh.ed.jp/school_info/access/" TargetMode="External"/><Relationship Id="rId1652" Type="http://schemas.openxmlformats.org/officeDocument/2006/relationships/hyperlink" Target="https://www.gakkou.net/kou/view/index_306358.html" TargetMode="External"/><Relationship Id="rId1653" Type="http://schemas.openxmlformats.org/officeDocument/2006/relationships/hyperlink" Target="https://www.kaisei.ed.jp/access/" TargetMode="External"/><Relationship Id="rId1654" Type="http://schemas.openxmlformats.org/officeDocument/2006/relationships/hyperlink" Target="https://www.gakkou.net/kou/view/index_303752.html" TargetMode="External"/><Relationship Id="rId1655" Type="http://schemas.openxmlformats.org/officeDocument/2006/relationships/hyperlink" Target="https://angel.kamimura.ac.jp/koiki/iga/access/" TargetMode="External"/><Relationship Id="rId1656" Type="http://schemas.openxmlformats.org/officeDocument/2006/relationships/hyperlink" Target="https://www.gakkou.net/kou/view/index_306543.html" TargetMode="External"/><Relationship Id="rId1657" Type="http://schemas.openxmlformats.org/officeDocument/2006/relationships/hyperlink" Target="https://www.kogakkan-h.jp/access/" TargetMode="External"/><Relationship Id="rId1658" Type="http://schemas.openxmlformats.org/officeDocument/2006/relationships/hyperlink" Target="https://www.gakkou.net/kou/view/index_303800.html" TargetMode="External"/><Relationship Id="rId1659" Type="http://schemas.openxmlformats.org/officeDocument/2006/relationships/hyperlink" Target="https://sakura-gaoka.ed.jp/%20;%20https://school.js88.com/scl_h/22012400" TargetMode="External"/><Relationship Id="rId1660" Type="http://schemas.openxmlformats.org/officeDocument/2006/relationships/hyperlink" Target="https://www.gakkou.net/kou/view/index_303816.html" TargetMode="External"/><Relationship Id="rId1661" Type="http://schemas.openxmlformats.org/officeDocument/2006/relationships/hyperlink" Target="https://suzukakyoei.ed.jp/suzukah/page06_00/" TargetMode="External"/><Relationship Id="rId1662" Type="http://schemas.openxmlformats.org/officeDocument/2006/relationships/hyperlink" Target="https://www.gakkou.net/kou/view/index_303781.html" TargetMode="External"/><Relationship Id="rId1663" Type="http://schemas.openxmlformats.org/officeDocument/2006/relationships/hyperlink" Target="https://sjjg.ac.jp/" TargetMode="External"/><Relationship Id="rId1664" Type="http://schemas.openxmlformats.org/officeDocument/2006/relationships/hyperlink" Target="https://www.gakkou.net/kou/view/index_303789.html" TargetMode="External"/><Relationship Id="rId1665" Type="http://schemas.openxmlformats.org/officeDocument/2006/relationships/hyperlink" Target="https://www.mie-takada-hj.ed.jp/hj4/" TargetMode="External"/><Relationship Id="rId1666" Type="http://schemas.openxmlformats.org/officeDocument/2006/relationships/hyperlink" Target="https://www.gakkou.net/kou/view/index_303786.html" TargetMode="External"/><Relationship Id="rId1667" Type="http://schemas.openxmlformats.org/officeDocument/2006/relationships/hyperlink" Target="https://tsudagakuen.ac.jp/access.html" TargetMode="External"/><Relationship Id="rId1668" Type="http://schemas.openxmlformats.org/officeDocument/2006/relationships/hyperlink" Target="https://www.gakkou.net/kou/view/index_303767.html" TargetMode="External"/><Relationship Id="rId1669" Type="http://schemas.openxmlformats.org/officeDocument/2006/relationships/hyperlink" Target="https://mietokufu.ed.jp/" TargetMode="External"/><Relationship Id="rId1670" Type="http://schemas.openxmlformats.org/officeDocument/2006/relationships/hyperlink" Target="https://www.gakkou.net/kou/view/index_306361.html" TargetMode="External"/><Relationship Id="rId1671" Type="http://schemas.openxmlformats.org/officeDocument/2006/relationships/hyperlink" Target="https://www.mie-mie-h.ed.jp/high/%20;%20https://www.pref.mie.lg.jp/SIGAKU/HP/shigaku/20490021350.htm" TargetMode="External"/><Relationship Id="rId1672" Type="http://schemas.openxmlformats.org/officeDocument/2006/relationships/hyperlink" Target="https://www.gakkou.net/kou/view/index_303793.html" TargetMode="External"/><Relationship Id="rId1673" Type="http://schemas.openxmlformats.org/officeDocument/2006/relationships/hyperlink" Target="https://maryknoll.ed.jp/contact" TargetMode="External"/><Relationship Id="rId1674" Type="http://schemas.openxmlformats.org/officeDocument/2006/relationships/hyperlink" Target="https://www.gakkou.net/kou/view/index_303772.html" TargetMode="External"/><Relationship Id="rId1675" Type="http://schemas.openxmlformats.org/officeDocument/2006/relationships/hyperlink" Target="https://yoyogi.ed.jp/otoiawasetel/" TargetMode="External"/><Relationship Id="rId1676" Type="http://schemas.openxmlformats.org/officeDocument/2006/relationships/hyperlink" Target="https://www.gakkou.net/kou/view/index_306544.html" TargetMode="External"/><Relationship Id="rId1677" Type="http://schemas.openxmlformats.org/officeDocument/2006/relationships/hyperlink" Target="https://www.ayaha.ed.jp/access/" TargetMode="External"/><Relationship Id="rId1678" Type="http://schemas.openxmlformats.org/officeDocument/2006/relationships/hyperlink" Target="https://www.gakkou.net/kou/view/index_303884.html" TargetMode="External"/><Relationship Id="rId1679" Type="http://schemas.openxmlformats.org/officeDocument/2006/relationships/hyperlink" Target="https://www.ecc.ed.jp/about/overview.html%20;%20https://www.mapion.co.jp/phonebook/M11004/25212/22530407740/" TargetMode="External"/><Relationship Id="rId1680" Type="http://schemas.openxmlformats.org/officeDocument/2006/relationships/hyperlink" Target="https://www.gakkou.net/kou/view/index_306629.html" TargetMode="External"/><Relationship Id="rId1681" Type="http://schemas.openxmlformats.org/officeDocument/2006/relationships/hyperlink" Target="https://www.vories.ac.jp/omibh-shs" TargetMode="External"/><Relationship Id="rId1682" Type="http://schemas.openxmlformats.org/officeDocument/2006/relationships/hyperlink" Target="https://www.gakkou.net/kou/view/index_303878.html" TargetMode="External"/><Relationship Id="rId1683" Type="http://schemas.openxmlformats.org/officeDocument/2006/relationships/hyperlink" Target="https://www.ohmi-h.ed.jp/information/access.php" TargetMode="External"/><Relationship Id="rId1684" Type="http://schemas.openxmlformats.org/officeDocument/2006/relationships/hyperlink" Target="https://www.gakkou.net/kou/view/index_303868.html" TargetMode="External"/><Relationship Id="rId1685" Type="http://schemas.openxmlformats.org/officeDocument/2006/relationships/hyperlink" Target="https://www.kousen.ed.jp/high/contact/" TargetMode="External"/><Relationship Id="rId1686" Type="http://schemas.openxmlformats.org/officeDocument/2006/relationships/hyperlink" Target="https://www.gakkou.net/kou/view/index_303887.html" TargetMode="External"/><Relationship Id="rId1687" Type="http://schemas.openxmlformats.org/officeDocument/2006/relationships/hyperlink" Target="https://www.shigagakuen.ed.jp/" TargetMode="External"/><Relationship Id="rId1688" Type="http://schemas.openxmlformats.org/officeDocument/2006/relationships/hyperlink" Target="https://www.gakkou.net/kou/view/index_303894.html" TargetMode="External"/><Relationship Id="rId1689" Type="http://schemas.openxmlformats.org/officeDocument/2006/relationships/hyperlink" Target="https://www.mapion.co.jp/phonebook/M11004/25213/ILSP0000040974_ipclm/%20;%20https://miraitizu.com/tsushin-school/7364" TargetMode="External"/><Relationship Id="rId1690" Type="http://schemas.openxmlformats.org/officeDocument/2006/relationships/hyperlink" Target="https://www.gakkou.net/kou/view/index_306364.html" TargetMode="External"/><Relationship Id="rId1691" Type="http://schemas.openxmlformats.org/officeDocument/2006/relationships/hyperlink" Target="https://www.sumire.ac.jp/highschool/form/" TargetMode="External"/><Relationship Id="rId1692" Type="http://schemas.openxmlformats.org/officeDocument/2006/relationships/hyperlink" Target="https://www.gakkou.net/kou/view/index_303844.html" TargetMode="External"/><Relationship Id="rId1693" Type="http://schemas.openxmlformats.org/officeDocument/2006/relationships/hyperlink" Target="https://hieizan.ed.jp/hieizan-jh-hs/about/access/" TargetMode="External"/><Relationship Id="rId1694" Type="http://schemas.openxmlformats.org/officeDocument/2006/relationships/hyperlink" Target="https://www.gakkou.net/kou/view/index_303846.html" TargetMode="External"/><Relationship Id="rId1695" Type="http://schemas.openxmlformats.org/officeDocument/2006/relationships/hyperlink" Target="https://hikosou.jp/contact/" TargetMode="External"/><Relationship Id="rId1696" Type="http://schemas.openxmlformats.org/officeDocument/2006/relationships/hyperlink" Target="https://www.gakkou.net/kou/view/index_306448.html" TargetMode="External"/><Relationship Id="rId1697" Type="http://schemas.openxmlformats.org/officeDocument/2006/relationships/hyperlink" Target="https://www.city.moriyama.lg.jp/shisetsu/jidoushisetsu/1006181/1006184.html%20;%20https://school.js88.com/scl_h/22012790" TargetMode="External"/><Relationship Id="rId1698" Type="http://schemas.openxmlformats.org/officeDocument/2006/relationships/hyperlink" Target="https://www.gakkou.net/kou/view/index_306571.html" TargetMode="External"/><Relationship Id="rId1699" Type="http://schemas.openxmlformats.org/officeDocument/2006/relationships/hyperlink" Target="https://www.mapion.co.jp/phonebook/M11004/26110/ILSP0000041313_ipclm/%20;%20https://ksf-site.com/school/ittoen/" TargetMode="External"/><Relationship Id="rId1700" Type="http://schemas.openxmlformats.org/officeDocument/2006/relationships/hyperlink" Target="https://www.gakkou.net/kou/view/index_303946.html" TargetMode="External"/><Relationship Id="rId1701" Type="http://schemas.openxmlformats.org/officeDocument/2006/relationships/hyperlink" Target="https://www.otani.ac.jp/sinsyu_gakuen/index.html%20;%20https://school.js88.com/scl_h/22013530" TargetMode="External"/><Relationship Id="rId1702" Type="http://schemas.openxmlformats.org/officeDocument/2006/relationships/hyperlink" Target="https://www.gakkou.net/kou/view/index_303936.html" TargetMode="External"/><Relationship Id="rId1703" Type="http://schemas.openxmlformats.org/officeDocument/2006/relationships/hyperlink" Target="https://www.kacho.ed.jp/" TargetMode="External"/><Relationship Id="rId1704" Type="http://schemas.openxmlformats.org/officeDocument/2006/relationships/hyperlink" Target="https://www.gakkou.net/kou/view/index_303933.html" TargetMode="External"/><Relationship Id="rId1705" Type="http://schemas.openxmlformats.org/officeDocument/2006/relationships/hyperlink" Target="https://kgn.kufs.ac.jp/contact/" TargetMode="External"/><Relationship Id="rId1706" Type="http://schemas.openxmlformats.org/officeDocument/2006/relationships/hyperlink" Target="https://www.gakkou.net/kou/view/index_303974.html" TargetMode="External"/><Relationship Id="rId1707" Type="http://schemas.openxmlformats.org/officeDocument/2006/relationships/hyperlink" Target="https://www.mapion.co.jp/phonebook/M11004/26201/ILSP0000041239_ipclm/" TargetMode="External"/><Relationship Id="rId1708" Type="http://schemas.openxmlformats.org/officeDocument/2006/relationships/hyperlink" Target="https://www.gakkou.net/kou/view/index_303988.html" TargetMode="External"/><Relationship Id="rId1709" Type="http://schemas.openxmlformats.org/officeDocument/2006/relationships/hyperlink" Target="https://www.mapion.co.jp/phonebook/M11004/26205/ILSP0000041228_ipclm/%20;%20https://ksf-site.com/school/kyotogyosei/" TargetMode="External"/><Relationship Id="rId1710" Type="http://schemas.openxmlformats.org/officeDocument/2006/relationships/hyperlink" Target="https://www.gakkou.net/kou/view/index_304012.html" TargetMode="External"/><Relationship Id="rId1711" Type="http://schemas.openxmlformats.org/officeDocument/2006/relationships/hyperlink" Target="https://www.kyoto-geikou.ed.jp/school/access.html" TargetMode="External"/><Relationship Id="rId1712" Type="http://schemas.openxmlformats.org/officeDocument/2006/relationships/hyperlink" Target="https://www.gakkou.net/kou/view/index_306430.html" TargetMode="External"/><Relationship Id="rId1713" Type="http://schemas.openxmlformats.org/officeDocument/2006/relationships/hyperlink" Target="https://www.kyoto-art.ac.jp/news/press/899" TargetMode="External"/><Relationship Id="rId1714" Type="http://schemas.openxmlformats.org/officeDocument/2006/relationships/hyperlink" Target="https://www.gakkou.net/kou/view/index_306780.html" TargetMode="External"/><Relationship Id="rId1715" Type="http://schemas.openxmlformats.org/officeDocument/2006/relationships/hyperlink" Target="https://www.schoolnetwork.jp/kansai/shs/school_list/school/koka/%20;%20https://ksf-site.com/school/kyotokoka/" TargetMode="External"/><Relationship Id="rId1716" Type="http://schemas.openxmlformats.org/officeDocument/2006/relationships/hyperlink" Target="https://www.gakkou.net/kou/view/index_303975.html" TargetMode="External"/><Relationship Id="rId1717" Type="http://schemas.openxmlformats.org/officeDocument/2006/relationships/hyperlink" Target="https://kyoto-kogakkan.mkg.ac.jp/" TargetMode="External"/><Relationship Id="rId1718" Type="http://schemas.openxmlformats.org/officeDocument/2006/relationships/hyperlink" Target="https://www.gakkou.net/kou/view/index_303987.html" TargetMode="External"/><Relationship Id="rId1719" Type="http://schemas.openxmlformats.org/officeDocument/2006/relationships/hyperlink" Target="https://kyoto-kokusai.ed.jp/jp/entranceguide" TargetMode="External"/><Relationship Id="rId1720" Type="http://schemas.openxmlformats.org/officeDocument/2006/relationships/hyperlink" Target="https://www.gakkou.net/kou/view/index_306476.html" TargetMode="External"/><Relationship Id="rId1721" Type="http://schemas.openxmlformats.org/officeDocument/2006/relationships/hyperlink" Target="https://www.jsh.kyoto-su.ac.jp/about/index.html%20;%20https://www.pref.kyoto.jp/bunkyo/documents/05_kyotosangyo.pdf" TargetMode="External"/><Relationship Id="rId1722" Type="http://schemas.openxmlformats.org/officeDocument/2006/relationships/hyperlink" Target="https://www.gakkou.net/kou/view/index_303919.html" TargetMode="External"/><Relationship Id="rId1723" Type="http://schemas.openxmlformats.org/officeDocument/2006/relationships/hyperlink" Target="http://www.kyoto-shoei.ac.jp/%E3%82%A2%E3%82%AF%E3%82%BB%E3%82%B9.html" TargetMode="External"/><Relationship Id="rId1724" Type="http://schemas.openxmlformats.org/officeDocument/2006/relationships/hyperlink" Target="https://www.gakkou.net/kou/view/index_303958.html" TargetMode="External"/><Relationship Id="rId1725" Type="http://schemas.openxmlformats.org/officeDocument/2006/relationships/hyperlink" Target="https://kgs.ed.jp/about_us/outline" TargetMode="External"/><Relationship Id="rId1726" Type="http://schemas.openxmlformats.org/officeDocument/2006/relationships/hyperlink" Target="https://www.gakkou.net/kou/view/index_303934.html" TargetMode="External"/><Relationship Id="rId1727" Type="http://schemas.openxmlformats.org/officeDocument/2006/relationships/hyperlink" Target="https://www.mapion.co.jp/phonebook/M11004/26103/ILSP0000041269_ipclm/%20;%20https://school.js88.com/scl_h/22013670" TargetMode="External"/><Relationship Id="rId1728" Type="http://schemas.openxmlformats.org/officeDocument/2006/relationships/hyperlink" Target="https://www.gakkou.net/kou/view/index_303941.html" TargetMode="External"/><Relationship Id="rId1729" Type="http://schemas.openxmlformats.org/officeDocument/2006/relationships/hyperlink" Target="https://www.catalina-kyoto.ed.jp/about/access/" TargetMode="External"/><Relationship Id="rId1730" Type="http://schemas.openxmlformats.org/officeDocument/2006/relationships/hyperlink" Target="https://www.gakkou.net/kou/view/index_303999.html" TargetMode="External"/><Relationship Id="rId1731" Type="http://schemas.openxmlformats.org/officeDocument/2006/relationships/hyperlink" Target="https://kyoto-seisho.ed.jp/graduate/" TargetMode="External"/><Relationship Id="rId1732" Type="http://schemas.openxmlformats.org/officeDocument/2006/relationships/hyperlink" Target="https://www.gakkou.net/kou/view/index_303952.html" TargetMode="External"/><Relationship Id="rId1733" Type="http://schemas.openxmlformats.org/officeDocument/2006/relationships/hyperlink" Target="https://www.seibo.ed.jp/kyoto-hs/kyotoseibo-only" TargetMode="External"/><Relationship Id="rId1734" Type="http://schemas.openxmlformats.org/officeDocument/2006/relationships/hyperlink" Target="https://www.gakkou.net/kou/view/index_303966.html" TargetMode="External"/><Relationship Id="rId1735" Type="http://schemas.openxmlformats.org/officeDocument/2006/relationships/hyperlink" Target="https://www.js.kuas.ac.jp/contact" TargetMode="External"/><Relationship Id="rId1736" Type="http://schemas.openxmlformats.org/officeDocument/2006/relationships/hyperlink" Target="https://www.gakkou.net/kou/view/index_303978.html" TargetMode="External"/><Relationship Id="rId1737" Type="http://schemas.openxmlformats.org/officeDocument/2006/relationships/hyperlink" Target="https://www.tachibana-hs.jp/contact/" TargetMode="External"/><Relationship Id="rId1738" Type="http://schemas.openxmlformats.org/officeDocument/2006/relationships/hyperlink" Target="https://www.gakkou.net/kou/view/index_303968.html" TargetMode="External"/><Relationship Id="rId1739" Type="http://schemas.openxmlformats.org/officeDocument/2006/relationships/hyperlink" Target="https://www.mapion.co.jp/phonebook/M11004/26208/ILSP0000041262_ipclm/%20;%20https://school.js88.com/scl_h/22013730" TargetMode="External"/><Relationship Id="rId1740" Type="http://schemas.openxmlformats.org/officeDocument/2006/relationships/hyperlink" Target="https://www.gakkou.net/kou/view/index_303981.html" TargetMode="External"/><Relationship Id="rId1741" Type="http://schemas.openxmlformats.org/officeDocument/2006/relationships/hyperlink" Target="https://www.kbu.ac.jp/kbghs/inquiry/index.html" TargetMode="External"/><Relationship Id="rId1742" Type="http://schemas.openxmlformats.org/officeDocument/2006/relationships/hyperlink" Target="https://www.gakkou.net/kou/view/index_303942.html" TargetMode="External"/><Relationship Id="rId1743" Type="http://schemas.openxmlformats.org/officeDocument/2006/relationships/hyperlink" Target="https://www.miyama.ed.jp/cgi/kexplan_cl_1.php" TargetMode="External"/><Relationship Id="rId1744" Type="http://schemas.openxmlformats.org/officeDocument/2006/relationships/hyperlink" Target="https://www.gakkou.net/kou/view/index_303907.html" TargetMode="External"/><Relationship Id="rId1745" Type="http://schemas.openxmlformats.org/officeDocument/2006/relationships/hyperlink" Target="https://www.meitoku.ac.jp/inquiry" TargetMode="External"/><Relationship Id="rId1746" Type="http://schemas.openxmlformats.org/officeDocument/2006/relationships/hyperlink" Target="https://www.gakkou.net/kou/view/index_303953.html" TargetMode="External"/><Relationship Id="rId1747" Type="http://schemas.openxmlformats.org/officeDocument/2006/relationships/hyperlink" Target="https://www.kyoto-ryoyo.ed.jp/inquiry/" TargetMode="External"/><Relationship Id="rId1748" Type="http://schemas.openxmlformats.org/officeDocument/2006/relationships/hyperlink" Target="https://www.gakkou.net/kou/view/index_303932.html" TargetMode="External"/><Relationship Id="rId1749" Type="http://schemas.openxmlformats.org/officeDocument/2006/relationships/hyperlink" Target="https://www.mapion.co.jp/phonebook/M11004/26102/ILSP0000041353_ipclm/%20;%20https://www.studyh.jp/kansai/school/C27P001/" TargetMode="External"/><Relationship Id="rId1750" Type="http://schemas.openxmlformats.org/officeDocument/2006/relationships/hyperlink" Target="https://www.gakkou.net/kou/view/index_303918.html" TargetMode="External"/><Relationship Id="rId1751" Type="http://schemas.openxmlformats.org/officeDocument/2006/relationships/hyperlink" Target="https://js.doshisha.ac.jp/high/access/" TargetMode="External"/><Relationship Id="rId1752" Type="http://schemas.openxmlformats.org/officeDocument/2006/relationships/hyperlink" Target="https://www.gakkou.net/kou/view/index_303937.html" TargetMode="External"/><Relationship Id="rId1753" Type="http://schemas.openxmlformats.org/officeDocument/2006/relationships/hyperlink" Target="https://www.mapion.co.jp/phonebook/M11004/26211/ILSP0000041744_ipclm/%20;%20https://school.js88.com/scl_h/22013860" TargetMode="External"/><Relationship Id="rId1754" Type="http://schemas.openxmlformats.org/officeDocument/2006/relationships/hyperlink" Target="https://www.gakkou.net/kou/view/index_303950.html" TargetMode="External"/><Relationship Id="rId1755" Type="http://schemas.openxmlformats.org/officeDocument/2006/relationships/hyperlink" Target="https://www.nisseihs.ed.jp/%20;%20https://www.mapion.co.jp/phonebook/M11004/26202/ILSP0000040685_ipclm/" TargetMode="External"/><Relationship Id="rId1756" Type="http://schemas.openxmlformats.org/officeDocument/2006/relationships/hyperlink" Target="https://www.gakkou.net/kou/view/index_304008.html" TargetMode="External"/><Relationship Id="rId1757" Type="http://schemas.openxmlformats.org/officeDocument/2006/relationships/hyperlink" Target="https://www.kyoto-hanazono-h.ed.jp/hanazono_hs/" TargetMode="External"/><Relationship Id="rId1758" Type="http://schemas.openxmlformats.org/officeDocument/2006/relationships/hyperlink" Target="https://www.gakkou.net/kou/view/index_303977.html" TargetMode="External"/><Relationship Id="rId1759" Type="http://schemas.openxmlformats.org/officeDocument/2006/relationships/hyperlink" Target="https://www.higashiyama.ed.jp/access/" TargetMode="External"/><Relationship Id="rId1760" Type="http://schemas.openxmlformats.org/officeDocument/2006/relationships/hyperlink" Target="https://www.gakkou.net/kou/view/index_303944.html" TargetMode="External"/><Relationship Id="rId1761" Type="http://schemas.openxmlformats.org/officeDocument/2006/relationships/hyperlink" Target="https://www.kan-on-sen-ku.ed.jp/art2017/art-design/contact.html" TargetMode="External"/><Relationship Id="rId1762" Type="http://schemas.openxmlformats.org/officeDocument/2006/relationships/hyperlink" Target="https://www.gakkou.net/kou/view/index_303994.html" TargetMode="External"/><Relationship Id="rId1763" Type="http://schemas.openxmlformats.org/officeDocument/2006/relationships/hyperlink" Target="https://www.seibi-hs.jp/guide/access.html" TargetMode="External"/><Relationship Id="rId1764" Type="http://schemas.openxmlformats.org/officeDocument/2006/relationships/hyperlink" Target="https://www.gakkou.net/kou/view/index_303993.html" TargetMode="External"/><Relationship Id="rId1765" Type="http://schemas.openxmlformats.org/officeDocument/2006/relationships/hyperlink" Target="http://jh.heian.ac.jp/otoiawase" TargetMode="External"/><Relationship Id="rId1766" Type="http://schemas.openxmlformats.org/officeDocument/2006/relationships/hyperlink" Target="https://www.gakkou.net/kou/view/index_303917.html" TargetMode="External"/><Relationship Id="rId1767" Type="http://schemas.openxmlformats.org/officeDocument/2006/relationships/hyperlink" Target="https://www.mapion.co.jp/phonebook/M11004/26101/ILSP0000041505_ipclm/%20;%20https://www.schoolnetwork.jp/kansai/jhs/school_list/school/rakusei/" TargetMode="External"/><Relationship Id="rId1768" Type="http://schemas.openxmlformats.org/officeDocument/2006/relationships/hyperlink" Target="https://www.gakkou.net/kou/view/index_303923.html" TargetMode="External"/><Relationship Id="rId1769" Type="http://schemas.openxmlformats.org/officeDocument/2006/relationships/hyperlink" Target="https://www.notredame-jogakuin.ed.jp/access/" TargetMode="External"/><Relationship Id="rId1770" Type="http://schemas.openxmlformats.org/officeDocument/2006/relationships/hyperlink" Target="https://www.gakkou.net/kou/view/index_303943.html" TargetMode="External"/><Relationship Id="rId1771" Type="http://schemas.openxmlformats.org/officeDocument/2006/relationships/hyperlink" Target="https://www.rakunan-h.ed.jp/gakuen/access/" TargetMode="External"/><Relationship Id="rId1772" Type="http://schemas.openxmlformats.org/officeDocument/2006/relationships/hyperlink" Target="https://www.gakkou.net/kou/view/index_303905.html" TargetMode="External"/><Relationship Id="rId1773" Type="http://schemas.openxmlformats.org/officeDocument/2006/relationships/hyperlink" Target="https://www.mapion.co.jp/phonebook/M11004/26104/ILSP0000040710_ipclm/%20;%20https://koukounyushi.net/kinki/kyoto/highschool/01kyotocity_otokuni/425rakuyosogo/" TargetMode="External"/><Relationship Id="rId1774" Type="http://schemas.openxmlformats.org/officeDocument/2006/relationships/hyperlink" Target="https://www.gakkou.net/kou/view/index_303931.html" TargetMode="External"/><Relationship Id="rId1775" Type="http://schemas.openxmlformats.org/officeDocument/2006/relationships/hyperlink" Target="https://www.ritsumei.ac.jp/uji/" TargetMode="External"/><Relationship Id="rId1776" Type="http://schemas.openxmlformats.org/officeDocument/2006/relationships/hyperlink" Target="https://www.gakkou.net/kou/view/index_303957.html" TargetMode="External"/><Relationship Id="rId1777" Type="http://schemas.openxmlformats.org/officeDocument/2006/relationships/hyperlink" Target="https://www.ritsumei.ac.jp/nkc/" TargetMode="External"/><Relationship Id="rId1778" Type="http://schemas.openxmlformats.org/officeDocument/2006/relationships/hyperlink" Target="https://www.gakkou.net/kou/view/index_303967.html" TargetMode="External"/><Relationship Id="rId1779" Type="http://schemas.openxmlformats.org/officeDocument/2006/relationships/hyperlink" Target="https://www.heian.ed.jp/" TargetMode="External"/><Relationship Id="rId1780" Type="http://schemas.openxmlformats.org/officeDocument/2006/relationships/hyperlink" Target="https://www.gakkou.net/kou/view/index_303904.html" TargetMode="External"/><Relationship Id="rId1781" Type="http://schemas.openxmlformats.org/officeDocument/2006/relationships/hyperlink" Target="https://www.assumption.ed.jp/jsh/" TargetMode="External"/><Relationship Id="rId1782" Type="http://schemas.openxmlformats.org/officeDocument/2006/relationships/hyperlink" Target="https://www.gakkou.net/kou/view/index_304145.html" TargetMode="External"/><Relationship Id="rId1783" Type="http://schemas.openxmlformats.org/officeDocument/2006/relationships/hyperlink" Target="https://www.anangakuen.ed.jp/pdf/infodisclosure/2022/report/report01.pdf" TargetMode="External"/><Relationship Id="rId1784" Type="http://schemas.openxmlformats.org/officeDocument/2006/relationships/hyperlink" Target="https://www.gakkou.net/kou/view/index_304241.html" TargetMode="External"/><Relationship Id="rId1785" Type="http://schemas.openxmlformats.org/officeDocument/2006/relationships/hyperlink" Target="https://abeno-shogaku.ed.jp/school/access" TargetMode="External"/><Relationship Id="rId1786" Type="http://schemas.openxmlformats.org/officeDocument/2006/relationships/hyperlink" Target="https://www.gakkou.net/kou/view/index_304083.html" TargetMode="External"/><Relationship Id="rId1787" Type="http://schemas.openxmlformats.org/officeDocument/2006/relationships/hyperlink" Target="https://www.uenomiya.ed.jp/" TargetMode="External"/><Relationship Id="rId1788" Type="http://schemas.openxmlformats.org/officeDocument/2006/relationships/hyperlink" Target="https://www.gakkou.net/kou/view/index_304068.html" TargetMode="External"/><Relationship Id="rId1789" Type="http://schemas.openxmlformats.org/officeDocument/2006/relationships/hyperlink" Target="https://uenomiya-taishi.ed.jp/contact/" TargetMode="External"/><Relationship Id="rId1790" Type="http://schemas.openxmlformats.org/officeDocument/2006/relationships/hyperlink" Target="https://www.gakkou.net/kou/view/index_304271.html" TargetMode="External"/><Relationship Id="rId1791" Type="http://schemas.openxmlformats.org/officeDocument/2006/relationships/hyperlink" Target="https://eishingakuen.ac.jp/contact/" TargetMode="External"/><Relationship Id="rId1792" Type="http://schemas.openxmlformats.org/officeDocument/2006/relationships/hyperlink" Target="https://www.gakkou.net/kou/view/index_304027.html" TargetMode="External"/><Relationship Id="rId1793" Type="http://schemas.openxmlformats.org/officeDocument/2006/relationships/hyperlink" Target="https://www.eifu.ed.jp/access/" TargetMode="External"/><Relationship Id="rId1794" Type="http://schemas.openxmlformats.org/officeDocument/2006/relationships/hyperlink" Target="https://www.gakkou.net/kou/view/index_306779.html" TargetMode="External"/><Relationship Id="rId1795" Type="http://schemas.openxmlformats.org/officeDocument/2006/relationships/hyperlink" Target="https://www.otemon-js.ed.jp/hs/" TargetMode="External"/><Relationship Id="rId1796" Type="http://schemas.openxmlformats.org/officeDocument/2006/relationships/hyperlink" Target="https://www.gakkou.net/kou/view/index_304057.html" TargetMode="External"/><Relationship Id="rId1797" Type="http://schemas.openxmlformats.org/officeDocument/2006/relationships/hyperlink" Target="https://www.otemon-jh.ed.jp/access/" TargetMode="External"/><Relationship Id="rId1798" Type="http://schemas.openxmlformats.org/officeDocument/2006/relationships/hyperlink" Target="https://www.gakkou.net/kou/view/index_304170.html" TargetMode="External"/><Relationship Id="rId1799" Type="http://schemas.openxmlformats.org/officeDocument/2006/relationships/hyperlink" Target="https://www.osaka-kaisei.ac.jp/" TargetMode="External"/><Relationship Id="rId1800" Type="http://schemas.openxmlformats.org/officeDocument/2006/relationships/hyperlink" Target="https://www.gakkou.net/kou/view/index_304079.html" TargetMode="External"/><Relationship Id="rId1801" Type="http://schemas.openxmlformats.org/officeDocument/2006/relationships/hyperlink" Target="https://www.ogu-h.ed.jp/access.html" TargetMode="External"/><Relationship Id="rId1802" Type="http://schemas.openxmlformats.org/officeDocument/2006/relationships/hyperlink" Target="https://www.gakkou.net/kou/view/index_304158.html" TargetMode="External"/><Relationship Id="rId1803" Type="http://schemas.openxmlformats.org/officeDocument/2006/relationships/hyperlink" Target="https://www.osakagakugei.ac.jp/senior/" TargetMode="External"/><Relationship Id="rId1804" Type="http://schemas.openxmlformats.org/officeDocument/2006/relationships/hyperlink" Target="https://www.gakkou.net/kou/view/index_304123.html" TargetMode="External"/><Relationship Id="rId1805" Type="http://schemas.openxmlformats.org/officeDocument/2006/relationships/hyperlink" Target="https://www.osakagyoko.ed.jp/official/" TargetMode="External"/><Relationship Id="rId1806" Type="http://schemas.openxmlformats.org/officeDocument/2006/relationships/hyperlink" Target="https://www.gakkou.net/kou/view/index_304281.html" TargetMode="External"/><Relationship Id="rId1807" Type="http://schemas.openxmlformats.org/officeDocument/2006/relationships/hyperlink" Target="https://www.kun-ei.jp/contact/" TargetMode="External"/><Relationship Id="rId1808" Type="http://schemas.openxmlformats.org/officeDocument/2006/relationships/hyperlink" Target="https://www.gakkou.net/kou/view/index_304167.html" TargetMode="External"/><Relationship Id="rId1809" Type="http://schemas.openxmlformats.org/officeDocument/2006/relationships/hyperlink" Target="https://www.osakashs.ed.jp/" TargetMode="External"/><Relationship Id="rId1810" Type="http://schemas.openxmlformats.org/officeDocument/2006/relationships/hyperlink" Target="https://www.gakkou.net/kou/view/index_304032.html" TargetMode="External"/><Relationship Id="rId1811" Type="http://schemas.openxmlformats.org/officeDocument/2006/relationships/hyperlink" Target="https://www.kokusai-h.oiu.ed.jp/" TargetMode="External"/><Relationship Id="rId1812" Type="http://schemas.openxmlformats.org/officeDocument/2006/relationships/hyperlink" Target="https://www.gakkou.net/kou/view/index_304193.html" TargetMode="External"/><Relationship Id="rId1813" Type="http://schemas.openxmlformats.org/officeDocument/2006/relationships/hyperlink" Target="https://www.kongogakuen.ed.jp/" TargetMode="External"/><Relationship Id="rId1814" Type="http://schemas.openxmlformats.org/officeDocument/2006/relationships/hyperlink" Target="https://www.gakkou.net/kou/view/index_304121.html" TargetMode="External"/><Relationship Id="rId1815" Type="http://schemas.openxmlformats.org/officeDocument/2006/relationships/hyperlink" Target="https://www.osaka-sandai.ed.jp/guide/outline" TargetMode="External"/><Relationship Id="rId1816" Type="http://schemas.openxmlformats.org/officeDocument/2006/relationships/hyperlink" Target="https://www.gakkou.net/kou/view/index_304044.html" TargetMode="External"/><Relationship Id="rId1817" Type="http://schemas.openxmlformats.org/officeDocument/2006/relationships/hyperlink" Target="https://www.daishodai-h.ed.jp/contact/" TargetMode="External"/><Relationship Id="rId1818" Type="http://schemas.openxmlformats.org/officeDocument/2006/relationships/hyperlink" Target="https://www.gakkou.net/kou/view/index_304230.html" TargetMode="External"/><Relationship Id="rId1819" Type="http://schemas.openxmlformats.org/officeDocument/2006/relationships/hyperlink" Target="https://www.shodaisakai.ac.jp/inquiry/" TargetMode="External"/><Relationship Id="rId1820" Type="http://schemas.openxmlformats.org/officeDocument/2006/relationships/hyperlink" Target="https://www.gakkou.net/kou/view/index_304344.html" TargetMode="External"/><Relationship Id="rId1821" Type="http://schemas.openxmlformats.org/officeDocument/2006/relationships/hyperlink" Target="https://high.osaka-shinai.ed.jp/admissions/opencampus/" TargetMode="External"/><Relationship Id="rId1822" Type="http://schemas.openxmlformats.org/officeDocument/2006/relationships/hyperlink" Target="https://www.gakkou.net/kou/view/index_304045.html" TargetMode="External"/><Relationship Id="rId1823" Type="http://schemas.openxmlformats.org/officeDocument/2006/relationships/hyperlink" Target="https://www.osaka-jogakuin.ed.jp/contact/" TargetMode="External"/><Relationship Id="rId1824" Type="http://schemas.openxmlformats.org/officeDocument/2006/relationships/hyperlink" Target="https://www.gakkou.net/kou/view/index_304052.html" TargetMode="External"/><Relationship Id="rId1825" Type="http://schemas.openxmlformats.org/officeDocument/2006/relationships/hyperlink" Target="https://high.osaka-seikei.jp/access/" TargetMode="External"/><Relationship Id="rId1826" Type="http://schemas.openxmlformats.org/officeDocument/2006/relationships/hyperlink" Target="https://www.gakkou.net/kou/view/index_304033.html" TargetMode="External"/><Relationship Id="rId1827" Type="http://schemas.openxmlformats.org/officeDocument/2006/relationships/hyperlink" Target="http://www.osakaseiko.ac.jp/access/access.html" TargetMode="External"/><Relationship Id="rId1828" Type="http://schemas.openxmlformats.org/officeDocument/2006/relationships/hyperlink" Target="https://www.gakkou.net/kou/view/index_304073.html" TargetMode="External"/><Relationship Id="rId1829" Type="http://schemas.openxmlformats.org/officeDocument/2006/relationships/hyperlink" Target="https://www.osakaseiryo.jp/access/" TargetMode="External"/><Relationship Id="rId1830" Type="http://schemas.openxmlformats.org/officeDocument/2006/relationships/hyperlink" Target="https://www.gakkou.net/kou/view/index_304182.html" TargetMode="External"/><Relationship Id="rId1831" Type="http://schemas.openxmlformats.org/officeDocument/2006/relationships/hyperlink" Target="https://www.ouhs-school.jp/namisho/" TargetMode="External"/><Relationship Id="rId1832" Type="http://schemas.openxmlformats.org/officeDocument/2006/relationships/hyperlink" Target="https://www.gakkou.net/kou/view/index_304303.html" TargetMode="External"/><Relationship Id="rId1833" Type="http://schemas.openxmlformats.org/officeDocument/2006/relationships/hyperlink" Target="https://www.osakac.ac.jp/corp/access/" TargetMode="External"/><Relationship Id="rId1834" Type="http://schemas.openxmlformats.org/officeDocument/2006/relationships/hyperlink" Target="https://www.gakkou.net/kou/view/index_304196.html" TargetMode="External"/><Relationship Id="rId1835" Type="http://schemas.openxmlformats.org/officeDocument/2006/relationships/hyperlink" Target="https://www.osakatoin.ed.jp/access/" TargetMode="External"/><Relationship Id="rId1836" Type="http://schemas.openxmlformats.org/officeDocument/2006/relationships/hyperlink" Target="https://www.gakkou.net/kou/view/index_304220.html" TargetMode="External"/><Relationship Id="rId1837" Type="http://schemas.openxmlformats.org/officeDocument/2006/relationships/hyperlink" Target="https://www.oyg.ed.jp/about/" TargetMode="External"/><Relationship Id="rId1838" Type="http://schemas.openxmlformats.org/officeDocument/2006/relationships/hyperlink" Target="https://www.gakkou.net/kou/view/index_304074.html" TargetMode="External"/><Relationship Id="rId1839" Type="http://schemas.openxmlformats.org/officeDocument/2006/relationships/hyperlink" Target="https://www.osakaryokuryo.ed.jp/" TargetMode="External"/><Relationship Id="rId1840" Type="http://schemas.openxmlformats.org/officeDocument/2006/relationships/hyperlink" Target="https://www.gakkou.net/kou/view/index_304266.html" TargetMode="External"/><Relationship Id="rId1841" Type="http://schemas.openxmlformats.org/officeDocument/2006/relationships/hyperlink" Target="https://www.osk-ohtani.ed.jp/policy/" TargetMode="External"/><Relationship Id="rId1842" Type="http://schemas.openxmlformats.org/officeDocument/2006/relationships/hyperlink" Target="https://www.gakkou.net/kou/view/index_304092.html" TargetMode="External"/><Relationship Id="rId1843" Type="http://schemas.openxmlformats.org/officeDocument/2006/relationships/hyperlink" Target="https://kaimei.ed.jp/" TargetMode="External"/><Relationship Id="rId1844" Type="http://schemas.openxmlformats.org/officeDocument/2006/relationships/hyperlink" Target="https://www.gakkou.net/kou/view/index_304046.html" TargetMode="External"/><Relationship Id="rId1845" Type="http://schemas.openxmlformats.org/officeDocument/2006/relationships/hyperlink" Target="https://liberte.ed.jp/" TargetMode="External"/><Relationship Id="rId1846" Type="http://schemas.openxmlformats.org/officeDocument/2006/relationships/hyperlink" Target="https://www.gakkou.net/kou/view/index_304290.html" TargetMode="External"/><Relationship Id="rId1847" Type="http://schemas.openxmlformats.org/officeDocument/2006/relationships/hyperlink" Target="https://www.kankura.jp/" TargetMode="External"/><Relationship Id="rId1848" Type="http://schemas.openxmlformats.org/officeDocument/2006/relationships/hyperlink" Target="https://www.gakkou.net/kou/view/index_304177.html" TargetMode="External"/><Relationship Id="rId1849" Type="http://schemas.openxmlformats.org/officeDocument/2006/relationships/hyperlink" Target="https://kansai-senior.soka.ed.jp/access/" TargetMode="External"/><Relationship Id="rId1850" Type="http://schemas.openxmlformats.org/officeDocument/2006/relationships/hyperlink" Target="https://www.gakkou.net/kou/view/index_304227.html" TargetMode="External"/><Relationship Id="rId1851" Type="http://schemas.openxmlformats.org/officeDocument/2006/relationships/hyperlink" Target="https://www.kansai-u.ac.jp/Fc_ss/access.php" TargetMode="External"/><Relationship Id="rId1852" Type="http://schemas.openxmlformats.org/officeDocument/2006/relationships/hyperlink" Target="https://www.gakkou.net/kou/view/index_306745.html" TargetMode="External"/><Relationship Id="rId1853" Type="http://schemas.openxmlformats.org/officeDocument/2006/relationships/hyperlink" Target="https://www.kansai-u.ac.jp/dai-ichi/high/" TargetMode="External"/><Relationship Id="rId1854" Type="http://schemas.openxmlformats.org/officeDocument/2006/relationships/hyperlink" Target="https://www.gakkou.net/kou/view/index_304159.html" TargetMode="External"/><Relationship Id="rId1855" Type="http://schemas.openxmlformats.org/officeDocument/2006/relationships/hyperlink" Target="https://www.kansai-u.ac.jp/hokuyo/header/access.html" TargetMode="External"/><Relationship Id="rId1856" Type="http://schemas.openxmlformats.org/officeDocument/2006/relationships/hyperlink" Target="https://www.gakkou.net/kou/view/index_304031.html" TargetMode="External"/><Relationship Id="rId1857" Type="http://schemas.openxmlformats.org/officeDocument/2006/relationships/hyperlink" Target="https://www.hs.fuksi-kagk-u.ac.jp/contact/" TargetMode="External"/><Relationship Id="rId1858" Type="http://schemas.openxmlformats.org/officeDocument/2006/relationships/hyperlink" Target="https://www.gakkou.net/kou/view/index_304263.html" TargetMode="External"/><Relationship Id="rId1859" Type="http://schemas.openxmlformats.org/officeDocument/2006/relationships/hyperlink" Target="https://sis.kwansei.ac.jp/contact" TargetMode="External"/><Relationship Id="rId1860" Type="http://schemas.openxmlformats.org/officeDocument/2006/relationships/hyperlink" Target="https://www.gakkou.net/kou/view/index_304147.html" TargetMode="External"/><Relationship Id="rId1861" Type="http://schemas.openxmlformats.org/officeDocument/2006/relationships/hyperlink" Target="https://www.kindai-sensyu.ed.jp/contact/" TargetMode="External"/><Relationship Id="rId1862" Type="http://schemas.openxmlformats.org/officeDocument/2006/relationships/hyperlink" Target="https://www.gakkou.net/kou/view/index_304325.html" TargetMode="External"/><Relationship Id="rId1863" Type="http://schemas.openxmlformats.org/officeDocument/2006/relationships/hyperlink" Target="https://www.jsh.kindai.ac.jp/hs/access/" TargetMode="External"/><Relationship Id="rId1864" Type="http://schemas.openxmlformats.org/officeDocument/2006/relationships/hyperlink" Target="https://www.gakkou.net/kou/view/index_304237.html" TargetMode="External"/><Relationship Id="rId1865" Type="http://schemas.openxmlformats.org/officeDocument/2006/relationships/hyperlink" Target="https://kinran.ed.jp/contact/" TargetMode="External"/><Relationship Id="rId1866" Type="http://schemas.openxmlformats.org/officeDocument/2006/relationships/hyperlink" Target="https://www.gakkou.net/kou/view/index_304025.html" TargetMode="External"/><Relationship Id="rId1867" Type="http://schemas.openxmlformats.org/officeDocument/2006/relationships/hyperlink" Target="https://www.kinransenri.ed.jp/contact/" TargetMode="External"/><Relationship Id="rId1868" Type="http://schemas.openxmlformats.org/officeDocument/2006/relationships/hyperlink" Target="https://www.gakkou.net/kou/view/index_304165.html" TargetMode="External"/><Relationship Id="rId1869" Type="http://schemas.openxmlformats.org/officeDocument/2006/relationships/hyperlink" Target="https://keonguk.ac.jp/access/" TargetMode="External"/><Relationship Id="rId1870" Type="http://schemas.openxmlformats.org/officeDocument/2006/relationships/hyperlink" Target="https://www.gakkou.net/kou/view/index_304127.html" TargetMode="External"/><Relationship Id="rId1871" Type="http://schemas.openxmlformats.org/officeDocument/2006/relationships/hyperlink" Target="https://kenmei.jp/contact/inquiry/" TargetMode="External"/><Relationship Id="rId1872" Type="http://schemas.openxmlformats.org/officeDocument/2006/relationships/hyperlink" Target="https://www.gakkou.net/kou/view/index_304308.html" TargetMode="External"/><Relationship Id="rId1873" Type="http://schemas.openxmlformats.org/officeDocument/2006/relationships/hyperlink" Target="https://www.kokoku.ed.jp/contact/" TargetMode="External"/><Relationship Id="rId1874" Type="http://schemas.openxmlformats.org/officeDocument/2006/relationships/hyperlink" Target="https://www.gakkou.net/kou/view/index_304070.html" TargetMode="External"/><Relationship Id="rId1875" Type="http://schemas.openxmlformats.org/officeDocument/2006/relationships/hyperlink" Target="https://koubun.ed.jp/access.html" TargetMode="External"/><Relationship Id="rId1876" Type="http://schemas.openxmlformats.org/officeDocument/2006/relationships/hyperlink" Target="https://www.gakkou.net/kou/view/index_304114.html" TargetMode="External"/><Relationship Id="rId1877" Type="http://schemas.openxmlformats.org/officeDocument/2006/relationships/hyperlink" Target="https://www.koyodai.ed.jp/form.php" TargetMode="External"/><Relationship Id="rId1878" Type="http://schemas.openxmlformats.org/officeDocument/2006/relationships/hyperlink" Target="https://www.gakkou.net/kou/view/index_306368.html" TargetMode="External"/><Relationship Id="rId1879" Type="http://schemas.openxmlformats.org/officeDocument/2006/relationships/hyperlink" Target="https://www.seibo.ed.jp/nevers-hs/" TargetMode="External"/><Relationship Id="rId1880" Type="http://schemas.openxmlformats.org/officeDocument/2006/relationships/hyperlink" Target="https://www.gakkou.net/kou/view/index_304202.html" TargetMode="External"/><Relationship Id="rId1881" Type="http://schemas.openxmlformats.org/officeDocument/2006/relationships/hyperlink" Target="https://www.kohs.ed.jp/access/" TargetMode="External"/><Relationship Id="rId1882" Type="http://schemas.openxmlformats.org/officeDocument/2006/relationships/hyperlink" Target="https://www.gakkou.net/kou/view/index_304181.html" TargetMode="External"/><Relationship Id="rId1883" Type="http://schemas.openxmlformats.org/officeDocument/2006/relationships/hyperlink" Target="https://www.konkoutouin.ed.jp/school/access.html" TargetMode="External"/><Relationship Id="rId1884" Type="http://schemas.openxmlformats.org/officeDocument/2006/relationships/hyperlink" Target="https://www.gakkou.net/kou/view/index_304075.html" TargetMode="External"/><Relationship Id="rId1885" Type="http://schemas.openxmlformats.org/officeDocument/2006/relationships/hyperlink" Target="https://konkoyao.ed.jp/contact/" TargetMode="External"/><Relationship Id="rId1886" Type="http://schemas.openxmlformats.org/officeDocument/2006/relationships/hyperlink" Target="https://www.gakkou.net/kou/view/index_304253.html" TargetMode="External"/><Relationship Id="rId1887" Type="http://schemas.openxmlformats.org/officeDocument/2006/relationships/hyperlink" Target="https://www.liberal.ed.jp/access/" TargetMode="External"/><Relationship Id="rId1888" Type="http://schemas.openxmlformats.org/officeDocument/2006/relationships/hyperlink" Target="https://www.gakkou.net/kou/view/index_306774.html" TargetMode="External"/><Relationship Id="rId1889" Type="http://schemas.openxmlformats.org/officeDocument/2006/relationships/hyperlink" Target="https://hs.shijonawate-gakuen.ac.jp/access/" TargetMode="External"/><Relationship Id="rId1890" Type="http://schemas.openxmlformats.org/officeDocument/2006/relationships/hyperlink" Target="https://www.gakkou.net/kou/view/index_304219.html" TargetMode="External"/><Relationship Id="rId1891" Type="http://schemas.openxmlformats.org/officeDocument/2006/relationships/hyperlink" Target="https://www.mapion.co.jp/phonebook/M11004/27109/ILSP0000040799_ipclm/" TargetMode="External"/><Relationship Id="rId1892" Type="http://schemas.openxmlformats.org/officeDocument/2006/relationships/hyperlink" Target="https://www.gakkou.net/kou/view/index_304071.html" TargetMode="External"/><Relationship Id="rId1893" Type="http://schemas.openxmlformats.org/officeDocument/2006/relationships/hyperlink" Target="https://www.shuoh.ed.jp/" TargetMode="External"/><Relationship Id="rId1894" Type="http://schemas.openxmlformats.org/officeDocument/2006/relationships/hyperlink" Target="https://www.gakkou.net/kou/view/index_306440.html" TargetMode="External"/><Relationship Id="rId1895" Type="http://schemas.openxmlformats.org/officeDocument/2006/relationships/hyperlink" Target="https://shoin-chuko.sakuraweb.com/hs/contact/" TargetMode="External"/><Relationship Id="rId1896" Type="http://schemas.openxmlformats.org/officeDocument/2006/relationships/hyperlink" Target="https://www.gakkou.net/kou/view/index_304236.html" TargetMode="External"/><Relationship Id="rId1897" Type="http://schemas.openxmlformats.org/officeDocument/2006/relationships/hyperlink" Target="https://www.jonan.ac.jp/senior/access/" TargetMode="External"/><Relationship Id="rId1898" Type="http://schemas.openxmlformats.org/officeDocument/2006/relationships/hyperlink" Target="https://www.gakkou.net/kou/view/index_304094.html" TargetMode="External"/><Relationship Id="rId1899" Type="http://schemas.openxmlformats.org/officeDocument/2006/relationships/hyperlink" Target="https://www.oskshoyo.ed.jp/contact/" TargetMode="External"/><Relationship Id="rId1900" Type="http://schemas.openxmlformats.org/officeDocument/2006/relationships/hyperlink" Target="https://www.gakkou.net/kou/view/index_304112.html" TargetMode="External"/><Relationship Id="rId1901" Type="http://schemas.openxmlformats.org/officeDocument/2006/relationships/hyperlink" Target="https://www.highs.josho.ac.jp/contact/" TargetMode="External"/><Relationship Id="rId1902" Type="http://schemas.openxmlformats.org/officeDocument/2006/relationships/hyperlink" Target="https://www.gakkou.net/kou/view/index_304042.html" TargetMode="External"/><Relationship Id="rId1903" Type="http://schemas.openxmlformats.org/officeDocument/2006/relationships/hyperlink" Target="https://www.keiko.josho.ac.jp/access/" TargetMode="External"/><Relationship Id="rId1904" Type="http://schemas.openxmlformats.org/officeDocument/2006/relationships/hyperlink" Target="https://www.gakkou.net/kou/view/index_304218.html" TargetMode="External"/><Relationship Id="rId1905" Type="http://schemas.openxmlformats.org/officeDocument/2006/relationships/hyperlink" Target="https://www.josei.ed.jp/" TargetMode="External"/><Relationship Id="rId1906" Type="http://schemas.openxmlformats.org/officeDocument/2006/relationships/hyperlink" Target="https://www.gakkou.net/kou/view/index_304054.html" TargetMode="External"/><Relationship Id="rId1907" Type="http://schemas.openxmlformats.org/officeDocument/2006/relationships/hyperlink" Target="https://www.seika-h.ed.jp/inquiry/" TargetMode="External"/><Relationship Id="rId1908" Type="http://schemas.openxmlformats.org/officeDocument/2006/relationships/hyperlink" Target="https://www.gakkou.net/kou/view/index_304343.html" TargetMode="External"/><Relationship Id="rId1909" Type="http://schemas.openxmlformats.org/officeDocument/2006/relationships/hyperlink" Target="https://www.seikyo.ed.jp/guide/" TargetMode="External"/><Relationship Id="rId1910" Type="http://schemas.openxmlformats.org/officeDocument/2006/relationships/hyperlink" Target="https://www.gakkou.net/kou/view/index_304283.html" TargetMode="External"/><Relationship Id="rId1911" Type="http://schemas.openxmlformats.org/officeDocument/2006/relationships/hyperlink" Target="https://www.osaka-seisho.ed.jp/contact/" TargetMode="External"/><Relationship Id="rId1912" Type="http://schemas.openxmlformats.org/officeDocument/2006/relationships/hyperlink" Target="https://www.gakkou.net/kou/view/index_304166.html" TargetMode="External"/><Relationship Id="rId1913" Type="http://schemas.openxmlformats.org/officeDocument/2006/relationships/hyperlink" Target="https://www.seifu.ac.jp/access/" TargetMode="External"/><Relationship Id="rId1914" Type="http://schemas.openxmlformats.org/officeDocument/2006/relationships/hyperlink" Target="https://www.gakkou.net/kou/view/index_304066.html" TargetMode="External"/><Relationship Id="rId1915" Type="http://schemas.openxmlformats.org/officeDocument/2006/relationships/hyperlink" Target="https://www.seifunankai.ac.jp/" TargetMode="External"/><Relationship Id="rId1916" Type="http://schemas.openxmlformats.org/officeDocument/2006/relationships/hyperlink" Target="https://www.gakkou.net/kou/view/index_304313.html" TargetMode="External"/><Relationship Id="rId1917" Type="http://schemas.openxmlformats.org/officeDocument/2006/relationships/hyperlink" Target="https://www.seimei.ed.jp/about/access.html" TargetMode="External"/><Relationship Id="rId1918" Type="http://schemas.openxmlformats.org/officeDocument/2006/relationships/hyperlink" Target="https://www.gakkou.net/kou/view/index_304128.html" TargetMode="External"/><Relationship Id="rId1919" Type="http://schemas.openxmlformats.org/officeDocument/2006/relationships/hyperlink" Target="https://senshin-gakuen.jp/access/" TargetMode="External"/><Relationship Id="rId1920" Type="http://schemas.openxmlformats.org/officeDocument/2006/relationships/hyperlink" Target="https://www.gakkou.net/kou/view/index_304153.html" TargetMode="External"/><Relationship Id="rId1921" Type="http://schemas.openxmlformats.org/officeDocument/2006/relationships/hyperlink" Target="https://www.soai.ed.jp/school/access.html" TargetMode="External"/><Relationship Id="rId1922" Type="http://schemas.openxmlformats.org/officeDocument/2006/relationships/hyperlink" Target="https://www.gakkou.net/kou/view/index_304060.html" TargetMode="External"/><Relationship Id="rId1923" Type="http://schemas.openxmlformats.org/officeDocument/2006/relationships/hyperlink" Target="https://www.taisei-hs.ac.jp/hs/" TargetMode="External"/><Relationship Id="rId1924" Type="http://schemas.openxmlformats.org/officeDocument/2006/relationships/hyperlink" Target="https://www.gakkou.net/kou/view/index_304222.html" TargetMode="External"/><Relationship Id="rId1925" Type="http://schemas.openxmlformats.org/officeDocument/2006/relationships/hyperlink" Target="https://www.takatsuki.ed.jp/access" TargetMode="External"/><Relationship Id="rId1926" Type="http://schemas.openxmlformats.org/officeDocument/2006/relationships/hyperlink" Target="https://www.gakkou.net/kou/view/index_304185.html" TargetMode="External"/><Relationship Id="rId1927" Type="http://schemas.openxmlformats.org/officeDocument/2006/relationships/hyperlink" Target="https://www.daisho.ac.jp/" TargetMode="External"/><Relationship Id="rId1928" Type="http://schemas.openxmlformats.org/officeDocument/2006/relationships/hyperlink" Target="https://www.gakkou.net/kou/view/index_304142.html" TargetMode="External"/><Relationship Id="rId1929" Type="http://schemas.openxmlformats.org/officeDocument/2006/relationships/hyperlink" Target="https://www.tezuka-i-h.jp/" TargetMode="External"/><Relationship Id="rId1930" Type="http://schemas.openxmlformats.org/officeDocument/2006/relationships/hyperlink" Target="https://www.gakkou.net/kou/view/index_304297.html" TargetMode="External"/><Relationship Id="rId1931" Type="http://schemas.openxmlformats.org/officeDocument/2006/relationships/hyperlink" Target="https://www.tezukayama.ac.jp/access/" TargetMode="External"/><Relationship Id="rId1932" Type="http://schemas.openxmlformats.org/officeDocument/2006/relationships/hyperlink" Target="https://www.gakkou.net/kou/view/index_304129.html" TargetMode="External"/><Relationship Id="rId1933" Type="http://schemas.openxmlformats.org/officeDocument/2006/relationships/hyperlink" Target="https://tg-group.ac.jp/tgkoko/i/ipc/contact/" TargetMode="External"/><Relationship Id="rId1934" Type="http://schemas.openxmlformats.org/officeDocument/2006/relationships/hyperlink" Target="https://www.gakkou.net/kou/view/index_306443.html" TargetMode="External"/><Relationship Id="rId1935" Type="http://schemas.openxmlformats.org/officeDocument/2006/relationships/hyperlink" Target="https://www.tokai-gyosei.ed.jp/access/" TargetMode="External"/><Relationship Id="rId1936" Type="http://schemas.openxmlformats.org/officeDocument/2006/relationships/hyperlink" Target="https://www.gakkou.net/kou/view/index_304209.html" TargetMode="External"/><Relationship Id="rId1937" Type="http://schemas.openxmlformats.org/officeDocument/2006/relationships/hyperlink" Target="https://www.kori.doshisha.ac.jp/agreement/" TargetMode="External"/><Relationship Id="rId1938" Type="http://schemas.openxmlformats.org/officeDocument/2006/relationships/hyperlink" Target="https://www.gakkou.net/kou/view/index_304203.html" TargetMode="External"/><Relationship Id="rId1939" Type="http://schemas.openxmlformats.org/officeDocument/2006/relationships/hyperlink" Target="https://www.nagaodani.ed.jp/contact/" TargetMode="External"/><Relationship Id="rId1940" Type="http://schemas.openxmlformats.org/officeDocument/2006/relationships/hyperlink" Target="https://www.gakkou.net/kou/view/index_306369.html" TargetMode="External"/><Relationship Id="rId1941" Type="http://schemas.openxmlformats.org/officeDocument/2006/relationships/hyperlink" Target="https://www.naniwa.ed.jp/contact/" TargetMode="External"/><Relationship Id="rId1942" Type="http://schemas.openxmlformats.org/officeDocument/2006/relationships/hyperlink" Target="https://www.gakkou.net/kou/view/index_304126.html" TargetMode="External"/><Relationship Id="rId1943" Type="http://schemas.openxmlformats.org/officeDocument/2006/relationships/hyperlink" Target="https://hagoromogakuen.ed.jp/contact/" TargetMode="External"/><Relationship Id="rId1944" Type="http://schemas.openxmlformats.org/officeDocument/2006/relationships/hyperlink" Target="https://www.gakkou.net/kou/view/index_304311.html" TargetMode="External"/><Relationship Id="rId1945" Type="http://schemas.openxmlformats.org/officeDocument/2006/relationships/hyperlink" Target="https://www.rishogakuen.ed.jp/tondabayashi/info/inquiry.html" TargetMode="External"/><Relationship Id="rId1946" Type="http://schemas.openxmlformats.org/officeDocument/2006/relationships/hyperlink" Target="https://www.gakkou.net/kou/view/index_304277.html" TargetMode="External"/><Relationship Id="rId1947" Type="http://schemas.openxmlformats.org/officeDocument/2006/relationships/hyperlink" Target="https://www.hdk.ed.jp/access/" TargetMode="External"/><Relationship Id="rId1948" Type="http://schemas.openxmlformats.org/officeDocument/2006/relationships/hyperlink" Target="https://www.gakkou.net/kou/view/index_304251.html" TargetMode="External"/><Relationship Id="rId1949" Type="http://schemas.openxmlformats.org/officeDocument/2006/relationships/hyperlink" Target="https://www.baika-jh.ed.jp/guide/access/" TargetMode="External"/><Relationship Id="rId1950" Type="http://schemas.openxmlformats.org/officeDocument/2006/relationships/hyperlink" Target="https://www.gakkou.net/kou/view/index_304136.html" TargetMode="External"/><Relationship Id="rId1951" Type="http://schemas.openxmlformats.org/officeDocument/2006/relationships/hyperlink" Target="https://www.gakkou.net/kou/view/index_304261.html" TargetMode="External"/><Relationship Id="rId1952" Type="http://schemas.openxmlformats.org/officeDocument/2006/relationships/hyperlink" Target="https://www.gakkou.net/kou/view/index_304261.html" TargetMode="External"/><Relationship Id="rId1953" Type="http://schemas.openxmlformats.org/officeDocument/2006/relationships/hyperlink" Target="https://www.higashiosaka-hs.ac.jp/keiai/" TargetMode="External"/><Relationship Id="rId1954" Type="http://schemas.openxmlformats.org/officeDocument/2006/relationships/hyperlink" Target="https://www.gakkou.net/kou/view/index_304231.html" TargetMode="External"/><Relationship Id="rId1955" Type="http://schemas.openxmlformats.org/officeDocument/2006/relationships/hyperlink" Target="https://higashiohtani.ac.jp/contact" TargetMode="External"/><Relationship Id="rId1956" Type="http://schemas.openxmlformats.org/officeDocument/2006/relationships/hyperlink" Target="https://www.gakkou.net/kou/view/index_304093.html" TargetMode="External"/><Relationship Id="rId1957" Type="http://schemas.openxmlformats.org/officeDocument/2006/relationships/hyperlink" Target="https://www.pl-gakuen.ac.jp/schoolguide/" TargetMode="External"/><Relationship Id="rId1958" Type="http://schemas.openxmlformats.org/officeDocument/2006/relationships/hyperlink" Target="https://www.gakkou.net/kou/view/index_304272.html" TargetMode="External"/><Relationship Id="rId1959" Type="http://schemas.openxmlformats.org/officeDocument/2006/relationships/hyperlink" Target="https://poole.ed.jp/" TargetMode="External"/><Relationship Id="rId1960" Type="http://schemas.openxmlformats.org/officeDocument/2006/relationships/hyperlink" Target="https://www.gakkou.net/kou/view/index_304082.html" TargetMode="External"/><Relationship Id="rId1961" Type="http://schemas.openxmlformats.org/officeDocument/2006/relationships/hyperlink" Target="https://minohgakuen.ed.jp/" TargetMode="External"/><Relationship Id="rId1962" Type="http://schemas.openxmlformats.org/officeDocument/2006/relationships/hyperlink" Target="https://www.gakkou.net/kou/view/index_304143.html" TargetMode="External"/><Relationship Id="rId1963" Type="http://schemas.openxmlformats.org/officeDocument/2006/relationships/hyperlink" Target="https://mino-jiyu.ed.jp/hs/" TargetMode="External"/><Relationship Id="rId1964" Type="http://schemas.openxmlformats.org/officeDocument/2006/relationships/hyperlink" Target="https://www.gakkou.net/kou/view/index_304138.html" TargetMode="External"/><Relationship Id="rId1965" Type="http://schemas.openxmlformats.org/officeDocument/2006/relationships/hyperlink" Target="https://www.unesco-school.mext.go.jp/schools/list/meijo-gakuin-high-school/" TargetMode="External"/><Relationship Id="rId1966" Type="http://schemas.openxmlformats.org/officeDocument/2006/relationships/hyperlink" Target="https://www.gakkou.net/kou/view/index_304086.html" TargetMode="External"/><Relationship Id="rId1967" Type="http://schemas.openxmlformats.org/officeDocument/2006/relationships/hyperlink" Target="https://www.meisei.ed.jp/" TargetMode="External"/><Relationship Id="rId1968" Type="http://schemas.openxmlformats.org/officeDocument/2006/relationships/hyperlink" Target="https://www.gakkou.net/kou/view/index_304065.html" TargetMode="External"/><Relationship Id="rId1969" Type="http://schemas.openxmlformats.org/officeDocument/2006/relationships/hyperlink" Target="https://www.momoyamagakuin-h.ed.jp/about/access/" TargetMode="External"/><Relationship Id="rId1970" Type="http://schemas.openxmlformats.org/officeDocument/2006/relationships/hyperlink" Target="https://www.gakkou.net/kou/view/index_304089.html" TargetMode="External"/><Relationship Id="rId1971" Type="http://schemas.openxmlformats.org/officeDocument/2006/relationships/hyperlink" Target="https://yashima.ac.jp/?page_id=167" TargetMode="External"/><Relationship Id="rId1972" Type="http://schemas.openxmlformats.org/officeDocument/2006/relationships/hyperlink" Target="https://www.gakkou.net/kou/view/index_306371.html" TargetMode="External"/><Relationship Id="rId1973" Type="http://schemas.openxmlformats.org/officeDocument/2006/relationships/hyperlink" Target="https://www.rishogakuen.ed.jp/ritsumeikan/info/information.html" TargetMode="External"/><Relationship Id="rId1974" Type="http://schemas.openxmlformats.org/officeDocument/2006/relationships/hyperlink" Target="https://www.gakkou.net/kou/view/index_304339.html" TargetMode="External"/><Relationship Id="rId1975" Type="http://schemas.openxmlformats.org/officeDocument/2006/relationships/hyperlink" Target="https://riseisha.ed.jp/info/access/" TargetMode="External"/><Relationship Id="rId1976" Type="http://schemas.openxmlformats.org/officeDocument/2006/relationships/hyperlink" Target="https://www.gakkou.net/kou/view/index_304139.html" TargetMode="External"/><Relationship Id="rId1977" Type="http://schemas.openxmlformats.org/officeDocument/2006/relationships/hyperlink" Target="https://www.ymcagakuin.ac.jp/introduction/access.html" TargetMode="External"/><Relationship Id="rId1978" Type="http://schemas.openxmlformats.org/officeDocument/2006/relationships/hyperlink" Target="https://www.gakkou.net/kou/view/index_306441.html" TargetMode="External"/><Relationship Id="rId1979" Type="http://schemas.openxmlformats.org/officeDocument/2006/relationships/hyperlink" Target="https://waseda-osaka.jp/" TargetMode="External"/><Relationship Id="rId1980" Type="http://schemas.openxmlformats.org/officeDocument/2006/relationships/hyperlink" Target="https://www.gakkou.net/kou/view/index_304176.html" TargetMode="External"/><Relationship Id="rId1981" Type="http://schemas.openxmlformats.org/officeDocument/2006/relationships/hyperlink" Target="https://www.mapion.co.jp/phonebook/M11004/28208/ILSP0000041756_ipclm/" TargetMode="External"/><Relationship Id="rId1982" Type="http://schemas.openxmlformats.org/officeDocument/2006/relationships/hyperlink" Target="https://www.gakkou.net/kou/view/index_306617.html" TargetMode="External"/><Relationship Id="rId1983" Type="http://schemas.openxmlformats.org/officeDocument/2006/relationships/hyperlink" Target="https://www.aitokugakuen.ed.jp/contact" TargetMode="External"/><Relationship Id="rId1984" Type="http://schemas.openxmlformats.org/officeDocument/2006/relationships/hyperlink" Target="https://www.gakkou.net/kou/view/index_304392.html" TargetMode="External"/><Relationship Id="rId1985" Type="http://schemas.openxmlformats.org/officeDocument/2006/relationships/hyperlink" Target="https://www.ashiya.ed.jp/" TargetMode="External"/><Relationship Id="rId1986" Type="http://schemas.openxmlformats.org/officeDocument/2006/relationships/hyperlink" Target="https://www.gakkou.net/kou/view/index_304420.html" TargetMode="External"/><Relationship Id="rId1987" Type="http://schemas.openxmlformats.org/officeDocument/2006/relationships/hyperlink" Target="https://www.ikuei.ac.jp/access/" TargetMode="External"/><Relationship Id="rId1988" Type="http://schemas.openxmlformats.org/officeDocument/2006/relationships/hyperlink" Target="https://www.gakkou.net/kou/view/index_304378.html" TargetMode="External"/><Relationship Id="rId1989" Type="http://schemas.openxmlformats.org/officeDocument/2006/relationships/hyperlink" Target="https://www.ikuno.ed.jp/highschool/" TargetMode="External"/><Relationship Id="rId1990" Type="http://schemas.openxmlformats.org/officeDocument/2006/relationships/hyperlink" Target="https://www.gakkou.net/kou/view/index_304582.html" TargetMode="External"/><Relationship Id="rId1991" Type="http://schemas.openxmlformats.org/officeDocument/2006/relationships/hyperlink" Target="https://ichikawa.ed.jp/other/access/" TargetMode="External"/><Relationship Id="rId1992" Type="http://schemas.openxmlformats.org/officeDocument/2006/relationships/hyperlink" Target="https://www.gakkou.net/kou/view/index_304579.html" TargetMode="External"/><Relationship Id="rId1993" Type="http://schemas.openxmlformats.org/officeDocument/2006/relationships/hyperlink" Target="https://sh.kwansei.ac.jp/" TargetMode="External"/><Relationship Id="rId1994" Type="http://schemas.openxmlformats.org/officeDocument/2006/relationships/hyperlink" Target="https://www.gakkou.net/kou/view/index_304450.html" TargetMode="External"/><Relationship Id="rId1995" Type="http://schemas.openxmlformats.org/officeDocument/2006/relationships/hyperlink" Target="https://www.kindai-toyooka.ed.jp/contact/" TargetMode="External"/><Relationship Id="rId1996" Type="http://schemas.openxmlformats.org/officeDocument/2006/relationships/hyperlink" Target="https://www.gakkou.net/kou/view/index_304484.html" TargetMode="External"/><Relationship Id="rId1997" Type="http://schemas.openxmlformats.org/officeDocument/2006/relationships/hyperlink" Target="https://www.keimei.ed.jp/" TargetMode="External"/><Relationship Id="rId1998" Type="http://schemas.openxmlformats.org/officeDocument/2006/relationships/hyperlink" Target="https://www.gakkou.net/kou/view/index_304385.html" TargetMode="External"/><Relationship Id="rId1999" Type="http://schemas.openxmlformats.org/officeDocument/2006/relationships/hyperlink" Target="https://www.himejikenmei.ac.jp/" TargetMode="External"/><Relationship Id="rId2000" Type="http://schemas.openxmlformats.org/officeDocument/2006/relationships/hyperlink" Target="https://www.gakkou.net/kou/view/index_304507.html" TargetMode="External"/><Relationship Id="rId2001" Type="http://schemas.openxmlformats.org/officeDocument/2006/relationships/hyperlink" Target="http://www.koshiengakuin-h.ed.jp/about_us/access.html" TargetMode="External"/><Relationship Id="rId2002" Type="http://schemas.openxmlformats.org/officeDocument/2006/relationships/hyperlink" Target="https://www.gakkou.net/kou/view/index_304453.html" TargetMode="External"/><Relationship Id="rId2003" Type="http://schemas.openxmlformats.org/officeDocument/2006/relationships/hyperlink" Target="https://www.konan.ed.jp/information/access.html" TargetMode="External"/><Relationship Id="rId2004" Type="http://schemas.openxmlformats.org/officeDocument/2006/relationships/hyperlink" Target="https://www.gakkou.net/kou/view/index_304424.html" TargetMode="External"/><Relationship Id="rId2005" Type="http://schemas.openxmlformats.org/officeDocument/2006/relationships/hyperlink" Target="https://gakuen.konan-wu.ac.jp/contact/" TargetMode="External"/><Relationship Id="rId2006" Type="http://schemas.openxmlformats.org/officeDocument/2006/relationships/hyperlink" Target="https://www.gakkou.net/kou/view/index_304411.html" TargetMode="External"/><Relationship Id="rId2007" Type="http://schemas.openxmlformats.org/officeDocument/2006/relationships/hyperlink" Target="https://www.kobekaisei.ed.jp/jr-high/contact/" TargetMode="External"/><Relationship Id="rId2008" Type="http://schemas.openxmlformats.org/officeDocument/2006/relationships/hyperlink" Target="https://www.gakkou.net/kou/view/index_304410.html" TargetMode="External"/><Relationship Id="rId2009" Type="http://schemas.openxmlformats.org/officeDocument/2006/relationships/hyperlink" Target="https://www.kobegakuin-f.ed.jp/" TargetMode="External"/><Relationship Id="rId2010" Type="http://schemas.openxmlformats.org/officeDocument/2006/relationships/hyperlink" Target="https://www.gakkou.net/kou/view/index_304363.html" TargetMode="External"/><Relationship Id="rId2011" Type="http://schemas.openxmlformats.org/officeDocument/2006/relationships/hyperlink" Target="https://www.kobe-koryo.com/" TargetMode="External"/><Relationship Id="rId2012" Type="http://schemas.openxmlformats.org/officeDocument/2006/relationships/hyperlink" Target="https://www.gakkou.net/kou/view/index_304352.html" TargetMode="External"/><Relationship Id="rId2013" Type="http://schemas.openxmlformats.org/officeDocument/2006/relationships/hyperlink" Target="https://kis.ed.jp/06info/" TargetMode="External"/><Relationship Id="rId2014" Type="http://schemas.openxmlformats.org/officeDocument/2006/relationships/hyperlink" Target="https://www.gakkou.net/kou/view/index_304383.html" TargetMode="External"/><Relationship Id="rId2015" Type="http://schemas.openxmlformats.org/officeDocument/2006/relationships/hyperlink" Target="https://www.kobe-michael.ac.jp/" TargetMode="External"/><Relationship Id="rId2016" Type="http://schemas.openxmlformats.org/officeDocument/2006/relationships/hyperlink" Target="https://www.gakkou.net/kou/view/index_304391.html" TargetMode="External"/><Relationship Id="rId2017" Type="http://schemas.openxmlformats.org/officeDocument/2006/relationships/hyperlink" Target="https://www.kobejogakuin-h.ed.jp/info/toiawase.html" TargetMode="External"/><Relationship Id="rId2018" Type="http://schemas.openxmlformats.org/officeDocument/2006/relationships/hyperlink" Target="https://www.gakkou.net/kou/view/index_304448.html" TargetMode="External"/><Relationship Id="rId2019" Type="http://schemas.openxmlformats.org/officeDocument/2006/relationships/hyperlink" Target="https://www.seijoh.ac.jp/06_01contact.html" TargetMode="External"/><Relationship Id="rId2020" Type="http://schemas.openxmlformats.org/officeDocument/2006/relationships/hyperlink" Target="https://www.gakkou.net/kou/view/index_304384.html" TargetMode="External"/><Relationship Id="rId2021" Type="http://schemas.openxmlformats.org/officeDocument/2006/relationships/hyperlink" Target="https://kobedai1.ed.jp/school-guide/" TargetMode="External"/><Relationship Id="rId2022" Type="http://schemas.openxmlformats.org/officeDocument/2006/relationships/hyperlink" Target="https://www.gakkou.net/kou/view/index_304351.html" TargetMode="External"/><Relationship Id="rId2023" Type="http://schemas.openxmlformats.org/officeDocument/2006/relationships/hyperlink" Target="https://www.kobe-tokiwa.ed.jp/about/" TargetMode="External"/><Relationship Id="rId2024" Type="http://schemas.openxmlformats.org/officeDocument/2006/relationships/hyperlink" Target="https://www.gakkou.net/kou/view/index_304375.html" TargetMode="External"/><Relationship Id="rId2025" Type="http://schemas.openxmlformats.org/officeDocument/2006/relationships/hyperlink" Target="https://kobenoda-h.ed.jp/jh-access/" TargetMode="External"/><Relationship Id="rId2026" Type="http://schemas.openxmlformats.org/officeDocument/2006/relationships/hyperlink" Target="https://www.gakkou.net/kou/view/index_304369.html" TargetMode="External"/><Relationship Id="rId2027" Type="http://schemas.openxmlformats.org/officeDocument/2006/relationships/hyperlink" Target="https://www.kobeyamate.ed.jp/" TargetMode="External"/><Relationship Id="rId2028" Type="http://schemas.openxmlformats.org/officeDocument/2006/relationships/hyperlink" Target="https://www.gakkou.net/kou/view/index_304347.html" TargetMode="External"/><Relationship Id="rId2029" Type="http://schemas.openxmlformats.org/officeDocument/2006/relationships/hyperlink" Target="https://www.koberyukoku.ed.jp/graduate/certificate/" TargetMode="External"/><Relationship Id="rId2030" Type="http://schemas.openxmlformats.org/officeDocument/2006/relationships/hyperlink" Target="https://www.gakkou.net/kou/view/index_304349.html" TargetMode="External"/><Relationship Id="rId2031" Type="http://schemas.openxmlformats.org/officeDocument/2006/relationships/hyperlink" Target="https://www.koyo.ac.jp/" TargetMode="External"/><Relationship Id="rId2032" Type="http://schemas.openxmlformats.org/officeDocument/2006/relationships/hyperlink" Target="https://www.gakkou.net/kou/view/index_304445.html" TargetMode="External"/><Relationship Id="rId2033" Type="http://schemas.openxmlformats.org/officeDocument/2006/relationships/hyperlink" Target="https://www.oby-sacred-heart.ed.jp/contact/" TargetMode="External"/><Relationship Id="rId2034" Type="http://schemas.openxmlformats.org/officeDocument/2006/relationships/hyperlink" Target="https://www.gakkou.net/kou/view/index_304467.html" TargetMode="External"/><Relationship Id="rId2035" Type="http://schemas.openxmlformats.org/officeDocument/2006/relationships/hyperlink" Target="https://saiseikoka.ed.jp/" TargetMode="External"/><Relationship Id="rId2036" Type="http://schemas.openxmlformats.org/officeDocument/2006/relationships/hyperlink" Target="https://www.gakkou.net/kou/view/index_304368.html" TargetMode="External"/><Relationship Id="rId2037" Type="http://schemas.openxmlformats.org/officeDocument/2006/relationships/hyperlink" Target="https://www.sandagakuen.ed.jp/access/" TargetMode="External"/><Relationship Id="rId2038" Type="http://schemas.openxmlformats.org/officeDocument/2006/relationships/hyperlink" Target="https://www.gakkou.net/kou/view/index_304490.html" TargetMode="External"/><Relationship Id="rId2039" Type="http://schemas.openxmlformats.org/officeDocument/2006/relationships/hyperlink" Target="https://www.sandashosei.net/news/procedures/" TargetMode="External"/><Relationship Id="rId2040" Type="http://schemas.openxmlformats.org/officeDocument/2006/relationships/hyperlink" Target="https://www.gakkou.net/kou/view/index_304487.html" TargetMode="External"/><Relationship Id="rId2041" Type="http://schemas.openxmlformats.org/officeDocument/2006/relationships/hyperlink" Target="https://www.sumashuku.jp/contact/" TargetMode="External"/><Relationship Id="rId2042" Type="http://schemas.openxmlformats.org/officeDocument/2006/relationships/hyperlink" Target="https://www.gakkou.net/kou/view/index_304443.html" TargetMode="External"/><Relationship Id="rId2043" Type="http://schemas.openxmlformats.org/officeDocument/2006/relationships/hyperlink" Target="https://shoin-jhs.ac.jp/access/" TargetMode="External"/><Relationship Id="rId2044" Type="http://schemas.openxmlformats.org/officeDocument/2006/relationships/hyperlink" Target="https://www.gakkou.net/kou/view/index_304409.html" TargetMode="External"/><Relationship Id="rId2045" Type="http://schemas.openxmlformats.org/officeDocument/2006/relationships/hyperlink" Target="https://shinko.ed.jp/contacts/" TargetMode="External"/><Relationship Id="rId2046" Type="http://schemas.openxmlformats.org/officeDocument/2006/relationships/hyperlink" Target="https://www.gakkou.net/kou/view/index_304346.html" TargetMode="External"/><Relationship Id="rId2047" Type="http://schemas.openxmlformats.org/officeDocument/2006/relationships/hyperlink" Target="https://www.kobe-shinwa.ed.jp/access/" TargetMode="External"/><Relationship Id="rId2048" Type="http://schemas.openxmlformats.org/officeDocument/2006/relationships/hyperlink" Target="https://www.gakkou.net/kou/view/index_304406.html" TargetMode="External"/><Relationship Id="rId2049" Type="http://schemas.openxmlformats.org/officeDocument/2006/relationships/hyperlink" Target="https://www.junshin.ed.jp/" TargetMode="External"/><Relationship Id="rId2050" Type="http://schemas.openxmlformats.org/officeDocument/2006/relationships/hyperlink" Target="https://www.gakkou.net/kou/view/index_304508.html" TargetMode="External"/><Relationship Id="rId2051" Type="http://schemas.openxmlformats.org/officeDocument/2006/relationships/hyperlink" Target="https://www.suma.ac.jp/contact/" TargetMode="External"/><Relationship Id="rId2052" Type="http://schemas.openxmlformats.org/officeDocument/2006/relationships/hyperlink" Target="https://www.gakkou.net/kou/view/index_304380.html" TargetMode="External"/><Relationship Id="rId2053" Type="http://schemas.openxmlformats.org/officeDocument/2006/relationships/hyperlink" Target="https://seifukan-gakuin.com/session/" TargetMode="External"/><Relationship Id="rId2054" Type="http://schemas.openxmlformats.org/officeDocument/2006/relationships/hyperlink" Target="https://www.gakkou.net/kou/view/index_306785.html" TargetMode="External"/><Relationship Id="rId2055" Type="http://schemas.openxmlformats.org/officeDocument/2006/relationships/hyperlink" Target="https://www.soukai-school.jp/exam/admission_hi/" TargetMode="External"/><Relationship Id="rId2056" Type="http://schemas.openxmlformats.org/officeDocument/2006/relationships/hyperlink" Target="https://www.gakkou.net/kou/view/index_304396.html" TargetMode="External"/><Relationship Id="rId2057" Type="http://schemas.openxmlformats.org/officeDocument/2006/relationships/hyperlink" Target="https://www.sonodagakuen.ed.jp/" TargetMode="External"/><Relationship Id="rId2058" Type="http://schemas.openxmlformats.org/officeDocument/2006/relationships/hyperlink" Target="https://www.gakkou.net/kou/view/index_304435.html" TargetMode="External"/><Relationship Id="rId2059" Type="http://schemas.openxmlformats.org/officeDocument/2006/relationships/hyperlink" Target="https://www.takigawa.ac.jp/enquiry.php" TargetMode="External"/><Relationship Id="rId2060" Type="http://schemas.openxmlformats.org/officeDocument/2006/relationships/hyperlink" Target="https://www.gakkou.net/kou/view/index_304379.html" TargetMode="External"/><Relationship Id="rId2061" Type="http://schemas.openxmlformats.org/officeDocument/2006/relationships/hyperlink" Target="https://takigawa2.ed.jp/contact" TargetMode="External"/><Relationship Id="rId2062" Type="http://schemas.openxmlformats.org/officeDocument/2006/relationships/hyperlink" Target="https://www.gakkou.net/kou/view/index_304360.html" TargetMode="External"/><Relationship Id="rId2063" Type="http://schemas.openxmlformats.org/officeDocument/2006/relationships/hyperlink" Target="https://www.daiichigakuin.ed.jp/about/outline/" TargetMode="External"/><Relationship Id="rId2064" Type="http://schemas.openxmlformats.org/officeDocument/2006/relationships/hyperlink" Target="https://www.gakkou.net/kou/view/index_306594.html" TargetMode="External"/><Relationship Id="rId2065" Type="http://schemas.openxmlformats.org/officeDocument/2006/relationships/hyperlink" Target="https://www.toyo.ac.jp/himeji/yellowpage/" TargetMode="External"/><Relationship Id="rId2066" Type="http://schemas.openxmlformats.org/officeDocument/2006/relationships/hyperlink" Target="https://www.gakkou.net/kou/view/index_304523.html" TargetMode="External"/><Relationship Id="rId2067" Type="http://schemas.openxmlformats.org/officeDocument/2006/relationships/hyperlink" Target="http://www.nada.ac.jp/sotugyousyoumeisyo.html" TargetMode="External"/><Relationship Id="rId2068" Type="http://schemas.openxmlformats.org/officeDocument/2006/relationships/hyperlink" Target="https://www.gakkou.net/kou/view/index_304418.html" TargetMode="External"/><Relationship Id="rId2069" Type="http://schemas.openxmlformats.org/officeDocument/2006/relationships/hyperlink" Target="https://www.nigawa.ac.jp/inquiry/" TargetMode="External"/><Relationship Id="rId2070" Type="http://schemas.openxmlformats.org/officeDocument/2006/relationships/hyperlink" Target="https://www.gakkou.net/kou/view/index_304446.html" TargetMode="External"/><Relationship Id="rId2071" Type="http://schemas.openxmlformats.org/officeDocument/2006/relationships/hyperlink" Target="https://www.hakuryo.ed.jp/index4.html" TargetMode="External"/><Relationship Id="rId2072" Type="http://schemas.openxmlformats.org/officeDocument/2006/relationships/hyperlink" Target="https://www.gakkou.net/kou/view/index_304564.html" TargetMode="External"/><Relationship Id="rId2073" Type="http://schemas.openxmlformats.org/officeDocument/2006/relationships/hyperlink" Target="https://www.hinomoto.ac.jp/school_life/access/" TargetMode="External"/><Relationship Id="rId2074" Type="http://schemas.openxmlformats.org/officeDocument/2006/relationships/hyperlink" Target="https://www.gakkou.net/kou/view/index_304576.html" TargetMode="External"/><Relationship Id="rId2075" Type="http://schemas.openxmlformats.org/officeDocument/2006/relationships/hyperlink" Target="https://www.hibari-ho.ed.jp/inquiry.html" TargetMode="External"/><Relationship Id="rId2076" Type="http://schemas.openxmlformats.org/officeDocument/2006/relationships/hyperlink" Target="https://www.gakkou.net/kou/view/index_304468.html" TargetMode="External"/><Relationship Id="rId2077" Type="http://schemas.openxmlformats.org/officeDocument/2006/relationships/hyperlink" Target="https://www.himeji-jogakuin.ed.jp/academy_information/" TargetMode="External"/><Relationship Id="rId2078" Type="http://schemas.openxmlformats.org/officeDocument/2006/relationships/hyperlink" Target="https://www.gakkou.net/kou/view/index_304515.html" TargetMode="External"/><Relationship Id="rId2079" Type="http://schemas.openxmlformats.org/officeDocument/2006/relationships/hyperlink" Target="https://www.sumanoura.ed.jp/" TargetMode="External"/><Relationship Id="rId2080" Type="http://schemas.openxmlformats.org/officeDocument/2006/relationships/hyperlink" Target="https://www.gakkou.net/kou/view/index_304382.html" TargetMode="External"/><Relationship Id="rId2081" Type="http://schemas.openxmlformats.org/officeDocument/2006/relationships/hyperlink" Target="https://www.hotoku.ac.jp/about/access" TargetMode="External"/><Relationship Id="rId2082" Type="http://schemas.openxmlformats.org/officeDocument/2006/relationships/hyperlink" Target="https://www.gakkou.net/kou/view/index_304452.html" TargetMode="External"/><Relationship Id="rId2083" Type="http://schemas.openxmlformats.org/officeDocument/2006/relationships/hyperlink" Target="https://www.mukogawa-u.ac.jp/~JHS/openschool/index.html" TargetMode="External"/><Relationship Id="rId2084" Type="http://schemas.openxmlformats.org/officeDocument/2006/relationships/hyperlink" Target="https://www.gakkou.net/kou/view/index_304455.html" TargetMode="External"/><Relationship Id="rId2085" Type="http://schemas.openxmlformats.org/officeDocument/2006/relationships/hyperlink" Target="https://www.mapion.co.jp/phonebook/M11004/28202/ILSP0000041583_ipclm/" TargetMode="External"/><Relationship Id="rId2086" Type="http://schemas.openxmlformats.org/officeDocument/2006/relationships/hyperlink" Target="https://www.gakkou.net/kou/view/index_304439.html" TargetMode="External"/><Relationship Id="rId2087" Type="http://schemas.openxmlformats.org/officeDocument/2006/relationships/hyperlink" Target="http://rokkogakuin.ed.jp/rblog/news/" TargetMode="External"/><Relationship Id="rId2088" Type="http://schemas.openxmlformats.org/officeDocument/2006/relationships/hyperlink" Target="https://www.gakkou.net/kou/view/index_304405.html" TargetMode="External"/><Relationship Id="rId2089" Type="http://schemas.openxmlformats.org/officeDocument/2006/relationships/hyperlink" Target="https://www.sanko.ac.jp/asuka/group/outline/" TargetMode="External"/><Relationship Id="rId2090" Type="http://schemas.openxmlformats.org/officeDocument/2006/relationships/hyperlink" Target="https://www.gakkou.net/kou/view/index_306725.html" TargetMode="External"/><Relationship Id="rId2091" Type="http://schemas.openxmlformats.org/officeDocument/2006/relationships/hyperlink" Target="https://www.ikuei.ed.jp/ikunishi/about/access/" TargetMode="External"/><Relationship Id="rId2092" Type="http://schemas.openxmlformats.org/officeDocument/2006/relationships/hyperlink" Target="https://www.gakkou.net/kou/view/index_304606.html" TargetMode="External"/><Relationship Id="rId2093" Type="http://schemas.openxmlformats.org/officeDocument/2006/relationships/hyperlink" Target="https://www.kashigaku.ed.jp/introduction-access.html" TargetMode="External"/><Relationship Id="rId2094" Type="http://schemas.openxmlformats.org/officeDocument/2006/relationships/hyperlink" Target="https://www.gakkou.net/kou/view/index_304627.html" TargetMode="External"/><Relationship Id="rId2095" Type="http://schemas.openxmlformats.org/officeDocument/2006/relationships/hyperlink" Target="https://www.chiben.ac.jp/gojo/wp-content/uploads/sites/5/2025/07/13b1883b7cc9a504f8251f3cfd903829.pdf" TargetMode="External"/><Relationship Id="rId2096" Type="http://schemas.openxmlformats.org/officeDocument/2006/relationships/hyperlink" Target="https://www.gakkou.net/kou/view/index_304645.html" TargetMode="External"/><Relationship Id="rId2097" Type="http://schemas.openxmlformats.org/officeDocument/2006/relationships/hyperlink" Target="https://www.chiben.ac.jp/naracollege/futures/" TargetMode="External"/><Relationship Id="rId2098" Type="http://schemas.openxmlformats.org/officeDocument/2006/relationships/hyperlink" Target="https://www.gakkou.net/kou/view/index_306487.html" TargetMode="External"/><Relationship Id="rId2099" Type="http://schemas.openxmlformats.org/officeDocument/2006/relationships/hyperlink" Target="https://www.tezukayama-h.ed.jp/access/" TargetMode="External"/><Relationship Id="rId2100" Type="http://schemas.openxmlformats.org/officeDocument/2006/relationships/hyperlink" Target="https://www.gakkou.net/kou/view/index_304602.html" TargetMode="External"/><Relationship Id="rId2101" Type="http://schemas.openxmlformats.org/officeDocument/2006/relationships/hyperlink" Target="https://rirc.or.jp/database/?rircdb=16033" TargetMode="External"/><Relationship Id="rId2102" Type="http://schemas.openxmlformats.org/officeDocument/2006/relationships/hyperlink" Target="https://www.gakkou.net/kou/view/index_304613.html" TargetMode="External"/><Relationship Id="rId2103" Type="http://schemas.openxmlformats.org/officeDocument/2006/relationships/hyperlink" Target="https://www.tenri-h.ed.jp/1bu/" TargetMode="External"/><Relationship Id="rId2104" Type="http://schemas.openxmlformats.org/officeDocument/2006/relationships/hyperlink" Target="https://www.gakkou.net/kou/view/index_304615.html" TargetMode="External"/><Relationship Id="rId2105" Type="http://schemas.openxmlformats.org/officeDocument/2006/relationships/hyperlink" Target="https://www.tdj.ac.jp/access.html" TargetMode="External"/><Relationship Id="rId2106" Type="http://schemas.openxmlformats.org/officeDocument/2006/relationships/hyperlink" Target="https://www.gakkou.net/kou/view/index_304607.html" TargetMode="External"/><Relationship Id="rId2107" Type="http://schemas.openxmlformats.org/officeDocument/2006/relationships/hyperlink" Target="https://www.ikuei.ed.jp/ikuei-jh/" TargetMode="External"/><Relationship Id="rId2108" Type="http://schemas.openxmlformats.org/officeDocument/2006/relationships/hyperlink" Target="https://www.gakkou.net/kou/view/index_304598.html" TargetMode="External"/><Relationship Id="rId2109" Type="http://schemas.openxmlformats.org/officeDocument/2006/relationships/hyperlink" Target="https://www.naragakuen.ed.jp/info/edu_corp.html" TargetMode="External"/><Relationship Id="rId2110" Type="http://schemas.openxmlformats.org/officeDocument/2006/relationships/hyperlink" Target="https://www.gakkou.net/kou/view/index_304656.html" TargetMode="External"/><Relationship Id="rId2111" Type="http://schemas.openxmlformats.org/officeDocument/2006/relationships/hyperlink" Target="https://www.naragakuen.jp/inquary/" TargetMode="External"/><Relationship Id="rId2112" Type="http://schemas.openxmlformats.org/officeDocument/2006/relationships/hyperlink" Target="https://www.gakkou.net/kou/view/index_306692.html" TargetMode="External"/><Relationship Id="rId2113" Type="http://schemas.openxmlformats.org/officeDocument/2006/relationships/hyperlink" Target="https://shirafuji.ac.jp/shirafuji_high/?page_id=43" TargetMode="External"/><Relationship Id="rId2114" Type="http://schemas.openxmlformats.org/officeDocument/2006/relationships/hyperlink" Target="https://www.gakkou.net/kou/view/index_304599.html" TargetMode="External"/><Relationship Id="rId2115" Type="http://schemas.openxmlformats.org/officeDocument/2006/relationships/hyperlink" Target="https://www.nara-u-h.ed.jp/access/" TargetMode="External"/><Relationship Id="rId2116" Type="http://schemas.openxmlformats.org/officeDocument/2006/relationships/hyperlink" Target="https://www.gakkou.net/kou/view/index_304611.html" TargetMode="External"/><Relationship Id="rId2117" Type="http://schemas.openxmlformats.org/officeDocument/2006/relationships/hyperlink" Target="https://www.narabunka.ed.jp/" TargetMode="External"/><Relationship Id="rId2118" Type="http://schemas.openxmlformats.org/officeDocument/2006/relationships/hyperlink" Target="https://www.gakkou.net/kou/view/index_304636.html" TargetMode="External"/><Relationship Id="rId2119" Type="http://schemas.openxmlformats.org/officeDocument/2006/relationships/hyperlink" Target="https://www.nishiyamato.ed.jp/contact/" TargetMode="External"/><Relationship Id="rId2120" Type="http://schemas.openxmlformats.org/officeDocument/2006/relationships/hyperlink" Target="https://www.gakkou.net/kou/view/index_304640.html" TargetMode="External"/><Relationship Id="rId2121" Type="http://schemas.openxmlformats.org/officeDocument/2006/relationships/hyperlink" Target="https://www.kaichi.ed.jp/about/access.html" TargetMode="External"/><Relationship Id="rId2122" Type="http://schemas.openxmlformats.org/officeDocument/2006/relationships/hyperlink" Target="https://www.gakkou.net/kou/view/index_304675.html" TargetMode="External"/><Relationship Id="rId2123" Type="http://schemas.openxmlformats.org/officeDocument/2006/relationships/hyperlink" Target="https://www.shingu.kindai.ac.jp/current_students-graduates/" TargetMode="External"/><Relationship Id="rId2124" Type="http://schemas.openxmlformats.org/officeDocument/2006/relationships/hyperlink" Target="https://www.gakkou.net/kou/view/index_304703.html" TargetMode="External"/><Relationship Id="rId2125" Type="http://schemas.openxmlformats.org/officeDocument/2006/relationships/hyperlink" Target="https://www.hwaka.kindai.ac.jp/" TargetMode="External"/><Relationship Id="rId2126" Type="http://schemas.openxmlformats.org/officeDocument/2006/relationships/hyperlink" Target="https://www.gakkou.net/kou/view/index_304674.html" TargetMode="External"/><Relationship Id="rId2127" Type="http://schemas.openxmlformats.org/officeDocument/2006/relationships/hyperlink" Target="https://keifu.ac.jp/access/" TargetMode="External"/><Relationship Id="rId2128" Type="http://schemas.openxmlformats.org/officeDocument/2006/relationships/hyperlink" Target="https://www.gakkou.net/kou/view/index_306498.html" TargetMode="External"/><Relationship Id="rId2129" Type="http://schemas.openxmlformats.org/officeDocument/2006/relationships/hyperlink" Target="https://www.koyasan-h.ed.jp/" TargetMode="External"/><Relationship Id="rId2130" Type="http://schemas.openxmlformats.org/officeDocument/2006/relationships/hyperlink" Target="https://www.gakkou.net/kou/view/index_304707.html" TargetMode="External"/><Relationship Id="rId2131" Type="http://schemas.openxmlformats.org/officeDocument/2006/relationships/hyperlink" Target="https://www.chiben.ac.jp/wakayama/" TargetMode="External"/><Relationship Id="rId2132" Type="http://schemas.openxmlformats.org/officeDocument/2006/relationships/hyperlink" Target="https://www.gakkou.net/kou/view/index_304663.html" TargetMode="External"/><Relationship Id="rId2133" Type="http://schemas.openxmlformats.org/officeDocument/2006/relationships/hyperlink" Target="https://www.rishogakuen.ed.jp/hatsuhashi/guide/enkaku.html" TargetMode="External"/><Relationship Id="rId2134" Type="http://schemas.openxmlformats.org/officeDocument/2006/relationships/hyperlink" Target="https://www.gakkou.net/kou/view/index_304704.html" TargetMode="External"/><Relationship Id="rId2135" Type="http://schemas.openxmlformats.org/officeDocument/2006/relationships/hyperlink" Target="https://www.shin-ai.ac.jp/" TargetMode="External"/><Relationship Id="rId2136" Type="http://schemas.openxmlformats.org/officeDocument/2006/relationships/hyperlink" Target="https://www.gakkou.net/kou/view/index_304669.html" TargetMode="External"/><Relationship Id="rId2137" Type="http://schemas.openxmlformats.org/officeDocument/2006/relationships/hyperlink" Target="https://w-nanryo.ed.jp/contact/" TargetMode="External"/><Relationship Id="rId2138" Type="http://schemas.openxmlformats.org/officeDocument/2006/relationships/hyperlink" Target="https://www.gakkou.net/kou/view/index_304712.html" TargetMode="External"/><Relationship Id="rId2139" Type="http://schemas.openxmlformats.org/officeDocument/2006/relationships/hyperlink" Target="https://kurayoshikita-h.ed.jp/contact/" TargetMode="External"/><Relationship Id="rId2140" Type="http://schemas.openxmlformats.org/officeDocument/2006/relationships/hyperlink" Target="https://www.gakkou.net/kou/view/index_304738.html" TargetMode="External"/><Relationship Id="rId2141" Type="http://schemas.openxmlformats.org/officeDocument/2006/relationships/hyperlink" Target="https://seishokaichi.jp/about/information/" TargetMode="External"/><Relationship Id="rId2142" Type="http://schemas.openxmlformats.org/officeDocument/2006/relationships/hyperlink" Target="https://www.gakkou.net/kou/view/index_306762.html" TargetMode="External"/><Relationship Id="rId2143" Type="http://schemas.openxmlformats.org/officeDocument/2006/relationships/hyperlink" Target="https://t-ki.jp/publics/index/2/" TargetMode="External"/><Relationship Id="rId2144" Type="http://schemas.openxmlformats.org/officeDocument/2006/relationships/hyperlink" Target="https://www.gakkou.net/kou/view/index_304727.html" TargetMode="External"/><Relationship Id="rId2145" Type="http://schemas.openxmlformats.org/officeDocument/2006/relationships/hyperlink" Target="https://www.tottori-johoku.ed.jp/contact" TargetMode="External"/><Relationship Id="rId2146" Type="http://schemas.openxmlformats.org/officeDocument/2006/relationships/hyperlink" Target="https://www.gakkou.net/kou/view/index_304731.html" TargetMode="External"/><Relationship Id="rId2147" Type="http://schemas.openxmlformats.org/officeDocument/2006/relationships/hyperlink" Target="https://www.yurihamagakuen.ac.jp/about/" TargetMode="External"/><Relationship Id="rId2148" Type="http://schemas.openxmlformats.org/officeDocument/2006/relationships/hyperlink" Target="https://www.gakkou.net/kou/view/index_306551.html" TargetMode="External"/><Relationship Id="rId2149" Type="http://schemas.openxmlformats.org/officeDocument/2006/relationships/hyperlink" Target="https://www.yonagokita.ed.jp/" TargetMode="External"/><Relationship Id="rId2150" Type="http://schemas.openxmlformats.org/officeDocument/2006/relationships/hyperlink" Target="https://www.gakkou.net/kou/view/index_304753.html" TargetMode="External"/><Relationship Id="rId2151" Type="http://schemas.openxmlformats.org/officeDocument/2006/relationships/hyperlink" Target="https://www.yonagoshoin.ed.jp/" TargetMode="External"/><Relationship Id="rId2152" Type="http://schemas.openxmlformats.org/officeDocument/2006/relationships/hyperlink" Target="https://www.gakkou.net/kou/view/index_304764.html" TargetMode="External"/><Relationship Id="rId2153" Type="http://schemas.openxmlformats.org/officeDocument/2006/relationships/hyperlink" Target="https://www.mapion.co.jp/phonebook/M11004/31202/ILSP0000041708_ipclm/" TargetMode="External"/><Relationship Id="rId2154" Type="http://schemas.openxmlformats.org/officeDocument/2006/relationships/hyperlink" Target="https://www.gakkou.net/kou/view/index_304754.html" TargetMode="External"/><Relationship Id="rId2155" Type="http://schemas.openxmlformats.org/officeDocument/2006/relationships/hyperlink" Target="https://www.izumonishikou.jp/contact/" TargetMode="External"/><Relationship Id="rId2156" Type="http://schemas.openxmlformats.org/officeDocument/2006/relationships/hyperlink" Target="https://www.gakkou.net/kou/view/index_304793.html" TargetMode="External"/><Relationship Id="rId2157" Type="http://schemas.openxmlformats.org/officeDocument/2006/relationships/hyperlink" Target="https://izumohokuryo-h.ed.jp/" TargetMode="External"/><Relationship Id="rId2158" Type="http://schemas.openxmlformats.org/officeDocument/2006/relationships/hyperlink" Target="https://www.gakkou.net/kou/view/index_304795.html" TargetMode="External"/><Relationship Id="rId2159" Type="http://schemas.openxmlformats.org/officeDocument/2006/relationships/hyperlink" Target="https://www.iwamichisuikan.ed.jp/guardian/contact" TargetMode="External"/><Relationship Id="rId2160" Type="http://schemas.openxmlformats.org/officeDocument/2006/relationships/hyperlink" Target="https://www.gakkou.net/kou/view/index_304798.html" TargetMode="External"/><Relationship Id="rId2161" Type="http://schemas.openxmlformats.org/officeDocument/2006/relationships/hyperlink" Target="https://shimane-kaisei.ed.jp/news/nyuushi/12016" TargetMode="External"/><Relationship Id="rId2162" Type="http://schemas.openxmlformats.org/officeDocument/2006/relationships/hyperlink" Target="https://www.gakkou.net/kou/view/index_304776.html" TargetMode="External"/><Relationship Id="rId2163" Type="http://schemas.openxmlformats.org/officeDocument/2006/relationships/hyperlink" Target="https://aishinhigh.ed.jp/" TargetMode="External"/><Relationship Id="rId2164" Type="http://schemas.openxmlformats.org/officeDocument/2006/relationships/hyperlink" Target="https://www.gakkou.net/kou/view/index_304799.html" TargetMode="External"/><Relationship Id="rId2165" Type="http://schemas.openxmlformats.org/officeDocument/2006/relationships/hyperlink" Target="https://shotoku-h.ed.jp/" TargetMode="External"/><Relationship Id="rId2166" Type="http://schemas.openxmlformats.org/officeDocument/2006/relationships/hyperlink" Target="https://www.gakkou.net/kou/view/index_304775.html" TargetMode="External"/><Relationship Id="rId2167" Type="http://schemas.openxmlformats.org/officeDocument/2006/relationships/hyperlink" Target="https://masuda-higashi.com/contact/" TargetMode="External"/><Relationship Id="rId2168" Type="http://schemas.openxmlformats.org/officeDocument/2006/relationships/hyperlink" Target="https://www.gakkou.net/kou/view/index_304811.html" TargetMode="External"/><Relationship Id="rId2169" Type="http://schemas.openxmlformats.org/officeDocument/2006/relationships/hyperlink" Target="https://www.matsuenishi-h.ed.jp/inquiry" TargetMode="External"/><Relationship Id="rId2170" Type="http://schemas.openxmlformats.org/officeDocument/2006/relationships/hyperlink" Target="https://www.gakkou.net/kou/view/index_304774.html" TargetMode="External"/><Relationship Id="rId2171" Type="http://schemas.openxmlformats.org/officeDocument/2006/relationships/hyperlink" Target="https://www.meisei-masuda.ed.jp/" TargetMode="External"/><Relationship Id="rId2172" Type="http://schemas.openxmlformats.org/officeDocument/2006/relationships/hyperlink" Target="https://www.gakkou.net/kou/view/index_304810.html" TargetMode="External"/><Relationship Id="rId2173" Type="http://schemas.openxmlformats.org/officeDocument/2006/relationships/hyperlink" Target="https://www.shonangakuen-h.ed.jp/contact/" TargetMode="External"/><Relationship Id="rId2174" Type="http://schemas.openxmlformats.org/officeDocument/2006/relationships/hyperlink" Target="https://www.gakkou.net/kou/view/index_304777.html" TargetMode="External"/><Relationship Id="rId2175" Type="http://schemas.openxmlformats.org/officeDocument/2006/relationships/hyperlink" Target="https://www.gakugeikan.ed.jp/contact/index.html" TargetMode="External"/><Relationship Id="rId2176" Type="http://schemas.openxmlformats.org/officeDocument/2006/relationships/hyperlink" Target="https://www.gakkou.net/kou/view/index_304853.html" TargetMode="External"/><Relationship Id="rId2177" Type="http://schemas.openxmlformats.org/officeDocument/2006/relationships/hyperlink" Target="https://www.kyousei.ed.jp/" TargetMode="External"/><Relationship Id="rId2178" Type="http://schemas.openxmlformats.org/officeDocument/2006/relationships/hyperlink" Target="https://www.gakkou.net/kou/view/index_304927.html" TargetMode="External"/><Relationship Id="rId2179" Type="http://schemas.openxmlformats.org/officeDocument/2006/relationships/hyperlink" Target="https://www.sakuyo-h.ed.jp/access/" TargetMode="External"/><Relationship Id="rId2180" Type="http://schemas.openxmlformats.org/officeDocument/2006/relationships/hyperlink" Target="https://www.gakkou.net/kou/view/index_304868.html" TargetMode="External"/><Relationship Id="rId2181" Type="http://schemas.openxmlformats.org/officeDocument/2006/relationships/hyperlink" Target="https://mimasaka.jp/gakuen/houjin.html" TargetMode="External"/><Relationship Id="rId2182" Type="http://schemas.openxmlformats.org/officeDocument/2006/relationships/hyperlink" Target="https://www.gakkou.net/kou/view/index_304865.html" TargetMode="External"/><Relationship Id="rId2183" Type="http://schemas.openxmlformats.org/officeDocument/2006/relationships/hyperlink" Target="https://www.okayama-h.ed.jp/access/" TargetMode="External"/><Relationship Id="rId2184" Type="http://schemas.openxmlformats.org/officeDocument/2006/relationships/hyperlink" Target="https://www.gakkou.net/kou/view/index_304838.html" TargetMode="External"/><Relationship Id="rId2185" Type="http://schemas.openxmlformats.org/officeDocument/2006/relationships/hyperlink" Target="https://www.okayama-sanyo-hs.ed.jp/" TargetMode="External"/><Relationship Id="rId2186" Type="http://schemas.openxmlformats.org/officeDocument/2006/relationships/hyperlink" Target="https://www.gakkou.net/kou/view/index_304930.html" TargetMode="External"/><Relationship Id="rId2187" Type="http://schemas.openxmlformats.org/officeDocument/2006/relationships/hyperlink" Target="https://www.osu-h.ed.jp/" TargetMode="External"/><Relationship Id="rId2188" Type="http://schemas.openxmlformats.org/officeDocument/2006/relationships/hyperlink" Target="https://www.gakkou.net/kou/view/index_304831.html" TargetMode="External"/><Relationship Id="rId2189" Type="http://schemas.openxmlformats.org/officeDocument/2006/relationships/hyperlink" Target="https://www.okahaku.ed.jp/access_inquiry/" TargetMode="External"/><Relationship Id="rId2190" Type="http://schemas.openxmlformats.org/officeDocument/2006/relationships/hyperlink" Target="https://www.gakkou.net/kou/view/index_304871.html" TargetMode="External"/><Relationship Id="rId2191" Type="http://schemas.openxmlformats.org/officeDocument/2006/relationships/hyperlink" Target="https://okayama.ridaifu.net/contact/" TargetMode="External"/><Relationship Id="rId2192" Type="http://schemas.openxmlformats.org/officeDocument/2006/relationships/hyperlink" Target="https://www.gakkou.net/kou/view/index_304823.html" TargetMode="External"/><Relationship Id="rId2193" Type="http://schemas.openxmlformats.org/officeDocument/2006/relationships/hyperlink" Target="https://www.ok-ryukoku.ed.jp/" TargetMode="External"/><Relationship Id="rId2194" Type="http://schemas.openxmlformats.org/officeDocument/2006/relationships/hyperlink" Target="https://www.gakkou.net/kou/view/index_304909.html" TargetMode="External"/><Relationship Id="rId2195" Type="http://schemas.openxmlformats.org/officeDocument/2006/relationships/hyperlink" Target="https://s.kawasaki-m.ac.jp/" TargetMode="External"/><Relationship Id="rId2196" Type="http://schemas.openxmlformats.org/officeDocument/2006/relationships/hyperlink" Target="https://www.gakkou.net/kou/view/index_304880.html" TargetMode="External"/><Relationship Id="rId2197" Type="http://schemas.openxmlformats.org/officeDocument/2006/relationships/hyperlink" Target="https://kanzei.ac.jp/" TargetMode="External"/><Relationship Id="rId2198" Type="http://schemas.openxmlformats.org/officeDocument/2006/relationships/hyperlink" Target="https://www.gakkou.net/kou/view/index_304829.html" TargetMode="External"/><Relationship Id="rId2199" Type="http://schemas.openxmlformats.org/officeDocument/2006/relationships/hyperlink" Target="https://www.kibikogengakuen.ed.jp/inquiry/form/" TargetMode="External"/><Relationship Id="rId2200" Type="http://schemas.openxmlformats.org/officeDocument/2006/relationships/hyperlink" Target="https://www.gakkou.net/kou/view/index_304875.html" TargetMode="External"/><Relationship Id="rId2201" Type="http://schemas.openxmlformats.org/officeDocument/2006/relationships/hyperlink" Target="https://www.kurashiki.ac.jp/news/" TargetMode="External"/><Relationship Id="rId2202" Type="http://schemas.openxmlformats.org/officeDocument/2006/relationships/hyperlink" Target="https://www.gakkou.net/kou/view/index_304883.html" TargetMode="External"/><Relationship Id="rId2203" Type="http://schemas.openxmlformats.org/officeDocument/2006/relationships/hyperlink" Target="https://www.suisho.ed.jp/" TargetMode="External"/><Relationship Id="rId2204" Type="http://schemas.openxmlformats.org/officeDocument/2006/relationships/hyperlink" Target="https://www.gakkou.net/kou/view/index_304881.html" TargetMode="External"/><Relationship Id="rId2205" Type="http://schemas.openxmlformats.org/officeDocument/2006/relationships/hyperlink" Target="https://kojokan-h.ed.jp/" TargetMode="External"/><Relationship Id="rId2206" Type="http://schemas.openxmlformats.org/officeDocument/2006/relationships/hyperlink" Target="https://www.gakkou.net/kou/view/index_304912.html" TargetMode="External"/><Relationship Id="rId2207" Type="http://schemas.openxmlformats.org/officeDocument/2006/relationships/hyperlink" Target="https://www.konkougakuen.net/high/" TargetMode="External"/><Relationship Id="rId2208" Type="http://schemas.openxmlformats.org/officeDocument/2006/relationships/hyperlink" Target="https://www.gakkou.net/kou/view/index_304928.html" TargetMode="External"/><Relationship Id="rId2209" Type="http://schemas.openxmlformats.org/officeDocument/2006/relationships/hyperlink" Target="https://www.sanyogakuen.ed.jp/school/access" TargetMode="External"/><Relationship Id="rId2210" Type="http://schemas.openxmlformats.org/officeDocument/2006/relationships/hyperlink" Target="https://www.gakkou.net/kou/view/index_304849.html" TargetMode="External"/><Relationship Id="rId2211" Type="http://schemas.openxmlformats.org/officeDocument/2006/relationships/hyperlink" Target="https://www.shujitsu-gakuen.jp/contact/index.html" TargetMode="External"/><Relationship Id="rId2212" Type="http://schemas.openxmlformats.org/officeDocument/2006/relationships/hyperlink" Target="https://www.gakkou.net/kou/view/index_304832.html" TargetMode="External"/><Relationship Id="rId2213" Type="http://schemas.openxmlformats.org/officeDocument/2006/relationships/hyperlink" Target="https://www.nd-seishin.ac.jp/school/access/" TargetMode="External"/><Relationship Id="rId2214" Type="http://schemas.openxmlformats.org/officeDocument/2006/relationships/hyperlink" Target="https://www.gakkou.net/kou/view/index_304837.html" TargetMode="External"/><Relationship Id="rId2215" Type="http://schemas.openxmlformats.org/officeDocument/2006/relationships/hyperlink" Target="https://www.soshigakuen.ed.jp/access/" TargetMode="External"/><Relationship Id="rId2216" Type="http://schemas.openxmlformats.org/officeDocument/2006/relationships/hyperlink" Target="https://www.gakkou.net/kou/view/index_304827.html" TargetMode="External"/><Relationship Id="rId2217" Type="http://schemas.openxmlformats.org/officeDocument/2006/relationships/hyperlink" Target="https://www.houkoku-gakusha.ed.jp/introduction/" TargetMode="External"/><Relationship Id="rId2218" Type="http://schemas.openxmlformats.org/officeDocument/2006/relationships/hyperlink" Target="https://www.gakkou.net/kou/view/index_304917.html" TargetMode="External"/><Relationship Id="rId2219" Type="http://schemas.openxmlformats.org/officeDocument/2006/relationships/hyperlink" Target="https://www.meiseigakuin.ac.jp/" TargetMode="External"/><Relationship Id="rId2220" Type="http://schemas.openxmlformats.org/officeDocument/2006/relationships/hyperlink" Target="https://www.gakkou.net/kou/view/index_304830.html" TargetMode="External"/><Relationship Id="rId2221" Type="http://schemas.openxmlformats.org/officeDocument/2006/relationships/hyperlink" Target="https://aicj.ed.jp/access.html" TargetMode="External"/><Relationship Id="rId2222" Type="http://schemas.openxmlformats.org/officeDocument/2006/relationships/hyperlink" Target="https://www.gakkou.net/kou/view/index_305020.html" TargetMode="External"/><Relationship Id="rId2223" Type="http://schemas.openxmlformats.org/officeDocument/2006/relationships/hyperlink" Target="https://www.eishin.ed.jp/access/" TargetMode="External"/><Relationship Id="rId2224" Type="http://schemas.openxmlformats.org/officeDocument/2006/relationships/hyperlink" Target="https://www.gakkou.net/kou/view/index_304938.html" TargetMode="External"/><Relationship Id="rId2225" Type="http://schemas.openxmlformats.org/officeDocument/2006/relationships/hyperlink" Target="https://goto.eisu-ejs.ac.jp/access/" TargetMode="External"/><Relationship Id="rId2226" Type="http://schemas.openxmlformats.org/officeDocument/2006/relationships/hyperlink" Target="https://www.gakkou.net/kou/view/index_304959.html" TargetMode="External"/><Relationship Id="rId2227" Type="http://schemas.openxmlformats.org/officeDocument/2006/relationships/hyperlink" Target="https://onomichi.ac.jp/" TargetMode="External"/><Relationship Id="rId2228" Type="http://schemas.openxmlformats.org/officeDocument/2006/relationships/hyperlink" Target="https://www.gakkou.net/kou/view/index_304963.html" TargetMode="External"/><Relationship Id="rId2229" Type="http://schemas.openxmlformats.org/officeDocument/2006/relationships/hyperlink" Target="https://hh.kindai.ac.jp/" TargetMode="External"/><Relationship Id="rId2230" Type="http://schemas.openxmlformats.org/officeDocument/2006/relationships/hyperlink" Target="https://www.gakkou.net/kou/view/index_305103.html" TargetMode="External"/><Relationship Id="rId2231" Type="http://schemas.openxmlformats.org/officeDocument/2006/relationships/hyperlink" Target="https://www.fukuyama.kindai.ac.jp/gakko/gakko-shokai.html" TargetMode="External"/><Relationship Id="rId2232" Type="http://schemas.openxmlformats.org/officeDocument/2006/relationships/hyperlink" Target="https://www.gakkou.net/kou/view/index_304947.html" TargetMode="External"/><Relationship Id="rId2233" Type="http://schemas.openxmlformats.org/officeDocument/2006/relationships/hyperlink" Target="https://www.ginga.ac.jp/donationginga/" TargetMode="External"/><Relationship Id="rId2234" Type="http://schemas.openxmlformats.org/officeDocument/2006/relationships/hyperlink" Target="https://www.gakkou.net/kou/view/index_304958.html" TargetMode="External"/><Relationship Id="rId2235" Type="http://schemas.openxmlformats.org/officeDocument/2006/relationships/hyperlink" Target="https://www.kureaoyama.ed.jp/" TargetMode="External"/><Relationship Id="rId2236" Type="http://schemas.openxmlformats.org/officeDocument/2006/relationships/hyperlink" Target="https://www.gakkou.net/kou/view/index_306447.html" TargetMode="External"/><Relationship Id="rId2237" Type="http://schemas.openxmlformats.org/officeDocument/2006/relationships/hyperlink" Target="https://www.koryo.ac.jp/" TargetMode="External"/><Relationship Id="rId2238" Type="http://schemas.openxmlformats.org/officeDocument/2006/relationships/hyperlink" Target="https://www.gakkou.net/kou/view/index_305034.html" TargetMode="External"/><Relationship Id="rId2239" Type="http://schemas.openxmlformats.org/officeDocument/2006/relationships/hyperlink" Target="https://www.goko.ac.jp/?page_id=96" TargetMode="External"/><Relationship Id="rId2240" Type="http://schemas.openxmlformats.org/officeDocument/2006/relationships/hyperlink" Target="https://www.gakkou.net/kou/view/index_305074.html" TargetMode="External"/><Relationship Id="rId2241" Type="http://schemas.openxmlformats.org/officeDocument/2006/relationships/hyperlink" Target="https://www.sanyo.ed.jp/gakkou/access/" TargetMode="External"/><Relationship Id="rId2242" Type="http://schemas.openxmlformats.org/officeDocument/2006/relationships/hyperlink" Target="https://www.gakkou.net/kou/view/index_305049.html" TargetMode="External"/><Relationship Id="rId2243" Type="http://schemas.openxmlformats.org/officeDocument/2006/relationships/hyperlink" Target="https://sanyo-jogakuen.ed.jp/" TargetMode="External"/><Relationship Id="rId2244" Type="http://schemas.openxmlformats.org/officeDocument/2006/relationships/hyperlink" Target="https://www.gakkou.net/kou/view/index_304937.html" TargetMode="External"/><Relationship Id="rId2245" Type="http://schemas.openxmlformats.org/officeDocument/2006/relationships/hyperlink" Target="https://www.shimizugaoka.ed.jp/" TargetMode="External"/><Relationship Id="rId2246" Type="http://schemas.openxmlformats.org/officeDocument/2006/relationships/hyperlink" Target="https://www.gakkou.net/kou/view/index_305071.html" TargetMode="External"/><Relationship Id="rId2247" Type="http://schemas.openxmlformats.org/officeDocument/2006/relationships/hyperlink" Target="https://www.shudo-h.ed.jp/" TargetMode="External"/><Relationship Id="rId2248" Type="http://schemas.openxmlformats.org/officeDocument/2006/relationships/hyperlink" Target="https://www.gakkou.net/kou/view/index_305016.html" TargetMode="External"/><Relationship Id="rId2249" Type="http://schemas.openxmlformats.org/officeDocument/2006/relationships/hyperlink" Target="https://www.shintoku.ed.jp/" TargetMode="External"/><Relationship Id="rId2250" Type="http://schemas.openxmlformats.org/officeDocument/2006/relationships/hyperlink" Target="https://www.gakkou.net/kou/view/index_305059.html" TargetMode="External"/><Relationship Id="rId2251" Type="http://schemas.openxmlformats.org/officeDocument/2006/relationships/hyperlink" Target="https://www.josuikan.ed.jp/about/gaiyou" TargetMode="External"/><Relationship Id="rId2252" Type="http://schemas.openxmlformats.org/officeDocument/2006/relationships/hyperlink" Target="https://www.gakkou.net/kou/view/index_304974.html" TargetMode="External"/><Relationship Id="rId2253" Type="http://schemas.openxmlformats.org/officeDocument/2006/relationships/hyperlink" Target="https://www.sotoku.ed.jp/" TargetMode="External"/><Relationship Id="rId2254" Type="http://schemas.openxmlformats.org/officeDocument/2006/relationships/hyperlink" Target="https://www.gakkou.net/kou/view/index_305046.html" TargetMode="External"/><Relationship Id="rId2255" Type="http://schemas.openxmlformats.org/officeDocument/2006/relationships/hyperlink" Target="https://takeda.ed.jp/" TargetMode="External"/><Relationship Id="rId2256" Type="http://schemas.openxmlformats.org/officeDocument/2006/relationships/hyperlink" Target="https://www.gakkou.net/kou/view/index_304979.html" TargetMode="External"/><Relationship Id="rId2257" Type="http://schemas.openxmlformats.org/officeDocument/2006/relationships/hyperlink" Target="https://www.tohrinkan.com/" TargetMode="External"/><Relationship Id="rId2258" Type="http://schemas.openxmlformats.org/officeDocument/2006/relationships/hyperlink" Target="https://www.gakkou.net/kou/view/index_306435.html" TargetMode="External"/><Relationship Id="rId2259" Type="http://schemas.openxmlformats.org/officeDocument/2006/relationships/hyperlink" Target="https://namikigakuin.ac.jp/school-info/group/" TargetMode="External"/><Relationship Id="rId2260" Type="http://schemas.openxmlformats.org/officeDocument/2006/relationships/hyperlink" Target="https://www.gakkou.net/kou/view/index_306471.html" TargetMode="External"/><Relationship Id="rId2261" Type="http://schemas.openxmlformats.org/officeDocument/2006/relationships/hyperlink" Target="https://www.hiro-seishin.ed.jp/contact/" TargetMode="External"/><Relationship Id="rId2262" Type="http://schemas.openxmlformats.org/officeDocument/2006/relationships/hyperlink" Target="https://www.gakkou.net/kou/view/index_305050.html" TargetMode="External"/><Relationship Id="rId2263" Type="http://schemas.openxmlformats.org/officeDocument/2006/relationships/hyperlink" Target="https://www.hijiyamajoshi-h.ed.jp/education/" TargetMode="External"/><Relationship Id="rId2264" Type="http://schemas.openxmlformats.org/officeDocument/2006/relationships/hyperlink" Target="https://www.gakkou.net/kou/view/index_305062.html" TargetMode="External"/><Relationship Id="rId2265" Type="http://schemas.openxmlformats.org/officeDocument/2006/relationships/hyperlink" Target="https://www.hiroshimagakuin.ed.jp/contact/" TargetMode="External"/><Relationship Id="rId2266" Type="http://schemas.openxmlformats.org/officeDocument/2006/relationships/hyperlink" Target="https://www.gakkou.net/kou/view/index_305055.html" TargetMode="External"/><Relationship Id="rId2267" Type="http://schemas.openxmlformats.org/officeDocument/2006/relationships/hyperlink" Target="https://www.kodaikoko.ed.jp/zennichi/" TargetMode="External"/><Relationship Id="rId2268" Type="http://schemas.openxmlformats.org/officeDocument/2006/relationships/hyperlink" Target="https://www.gakkou.net/kou/view/index_305054.html" TargetMode="External"/><Relationship Id="rId2269" Type="http://schemas.openxmlformats.org/officeDocument/2006/relationships/hyperlink" Target="https://www.hi.hkg.ac.jp/access" TargetMode="External"/><Relationship Id="rId2270" Type="http://schemas.openxmlformats.org/officeDocument/2006/relationships/hyperlink" Target="https://www.gakkou.net/kou/view/index_305064.html" TargetMode="External"/><Relationship Id="rId2271" Type="http://schemas.openxmlformats.org/officeDocument/2006/relationships/hyperlink" Target="https://www.mapion.co.jp/phonebook/M11004/34102/ILSP0000041015_ipclm/" TargetMode="External"/><Relationship Id="rId2272" Type="http://schemas.openxmlformats.org/officeDocument/2006/relationships/hyperlink" Target="https://www.gakkou.net/kou/view/index_305044.html" TargetMode="External"/><Relationship Id="rId2273" Type="http://schemas.openxmlformats.org/officeDocument/2006/relationships/hyperlink" Target="https://www.saniku.ac.jp/hiroshima/about/profile.php" TargetMode="External"/><Relationship Id="rId2274" Type="http://schemas.openxmlformats.org/officeDocument/2006/relationships/hyperlink" Target="https://www.gakkou.net/kou/view/index_304998.html" TargetMode="External"/><Relationship Id="rId2275" Type="http://schemas.openxmlformats.org/officeDocument/2006/relationships/hyperlink" Target="https://www.shudo-u.ac.jp/fuzoku/" TargetMode="External"/><Relationship Id="rId2276" Type="http://schemas.openxmlformats.org/officeDocument/2006/relationships/hyperlink" Target="https://www.gakkou.net/kou/view/index_305053.html" TargetMode="External"/><Relationship Id="rId2277" Type="http://schemas.openxmlformats.org/officeDocument/2006/relationships/hyperlink" Target="https://www.h-shoyo.ed.jp/overview/details.php" TargetMode="External"/><Relationship Id="rId2278" Type="http://schemas.openxmlformats.org/officeDocument/2006/relationships/hyperlink" Target="https://www.gakkou.net/kou/view/index_305037.html" TargetMode="External"/><Relationship Id="rId2279" Type="http://schemas.openxmlformats.org/officeDocument/2006/relationships/hyperlink" Target="https://www.shinjou.jp/toiawase/toiawase.html" TargetMode="External"/><Relationship Id="rId2280" Type="http://schemas.openxmlformats.org/officeDocument/2006/relationships/hyperlink" Target="https://www.gakkou.net/kou/view/index_305031.html" TargetMode="External"/><Relationship Id="rId2281" Type="http://schemas.openxmlformats.org/officeDocument/2006/relationships/hyperlink" Target="https://hiroshimajohoku.ed.jp/school/about/access/" TargetMode="External"/><Relationship Id="rId2282" Type="http://schemas.openxmlformats.org/officeDocument/2006/relationships/hyperlink" Target="https://www.gakkou.net/kou/view/index_305041.html" TargetMode="External"/><Relationship Id="rId2283" Type="http://schemas.openxmlformats.org/officeDocument/2006/relationships/hyperlink" Target="https://www.hjs.ed.jp/contact" TargetMode="External"/><Relationship Id="rId2284" Type="http://schemas.openxmlformats.org/officeDocument/2006/relationships/hyperlink" Target="https://www.gakkou.net/kou/view/index_305012.html" TargetMode="External"/><Relationship Id="rId2285" Type="http://schemas.openxmlformats.org/officeDocument/2006/relationships/hyperlink" Target="https://www.setouchi-h.ed.jp/extrance1.html" TargetMode="External"/><Relationship Id="rId2286" Type="http://schemas.openxmlformats.org/officeDocument/2006/relationships/hyperlink" Target="https://www.gakkou.net/kou/view/index_305043.html" TargetMode="External"/><Relationship Id="rId2287" Type="http://schemas.openxmlformats.org/officeDocument/2006/relationships/hyperlink" Target="https://www.nagisa.ed.jp/high/" TargetMode="External"/><Relationship Id="rId2288" Type="http://schemas.openxmlformats.org/officeDocument/2006/relationships/hyperlink" Target="https://www.gakkou.net/kou/view/index_305039.html" TargetMode="External"/><Relationship Id="rId2289" Type="http://schemas.openxmlformats.org/officeDocument/2006/relationships/hyperlink" Target="https://www.h-bunkyo.ac.jp/highschool/" TargetMode="External"/><Relationship Id="rId2290" Type="http://schemas.openxmlformats.org/officeDocument/2006/relationships/hyperlink" Target="https://www.gakkou.net/kou/view/index_305026.html" TargetMode="External"/><Relationship Id="rId2291" Type="http://schemas.openxmlformats.org/officeDocument/2006/relationships/hyperlink" Target="https://www.akenohoshi-cyukou.ed.jp/about/access/" TargetMode="External"/><Relationship Id="rId2292" Type="http://schemas.openxmlformats.org/officeDocument/2006/relationships/hyperlink" Target="https://www.gakkou.net/kou/view/index_304960.html" TargetMode="External"/><Relationship Id="rId2293" Type="http://schemas.openxmlformats.org/officeDocument/2006/relationships/hyperlink" Target="https://www.yasuda-u.ac.jp/jh/" TargetMode="External"/><Relationship Id="rId2294" Type="http://schemas.openxmlformats.org/officeDocument/2006/relationships/hyperlink" Target="https://www.gakkou.net/kou/view/index_305010.html" TargetMode="External"/><Relationship Id="rId2295" Type="http://schemas.openxmlformats.org/officeDocument/2006/relationships/hyperlink" Target="https://www.ubekojo-h.ed.jp/contact/" TargetMode="External"/><Relationship Id="rId2296" Type="http://schemas.openxmlformats.org/officeDocument/2006/relationships/hyperlink" Target="https://www.gakkou.net/kou/view/index_305196.html" TargetMode="External"/><Relationship Id="rId2297" Type="http://schemas.openxmlformats.org/officeDocument/2006/relationships/hyperlink" Target="https://www.kagawa-h.ed.jp/" TargetMode="External"/><Relationship Id="rId2298" Type="http://schemas.openxmlformats.org/officeDocument/2006/relationships/hyperlink" Target="https://www.gakkou.net/kou/view/index_305180.html" TargetMode="External"/><Relationship Id="rId2299" Type="http://schemas.openxmlformats.org/officeDocument/2006/relationships/hyperlink" Target="https://www.keishin-ug.ed.jp/" TargetMode="External"/><Relationship Id="rId2300" Type="http://schemas.openxmlformats.org/officeDocument/2006/relationships/hyperlink" Target="https://www.gakkou.net/kou/view/index_305175.html" TargetMode="External"/><Relationship Id="rId2301" Type="http://schemas.openxmlformats.org/officeDocument/2006/relationships/hyperlink" Target="https://xavier.ed.jp/" TargetMode="External"/><Relationship Id="rId2302" Type="http://schemas.openxmlformats.org/officeDocument/2006/relationships/hyperlink" Target="https://www.gakkou.net/kou/view/index_305182.html" TargetMode="External"/><Relationship Id="rId2303" Type="http://schemas.openxmlformats.org/officeDocument/2006/relationships/hyperlink" Target="https://www.shiboyama.ac.jp/" TargetMode="External"/><Relationship Id="rId2304" Type="http://schemas.openxmlformats.org/officeDocument/2006/relationships/hyperlink" Target="https://www.gakkou.net/kou/view/index_305162.html" TargetMode="External"/><Relationship Id="rId2305" Type="http://schemas.openxmlformats.org/officeDocument/2006/relationships/hyperlink" Target="https://www.shimotan-hs.jp/pages/13/" TargetMode="External"/><Relationship Id="rId2306" Type="http://schemas.openxmlformats.org/officeDocument/2006/relationships/hyperlink" Target="https://www.gakkou.net/kou/view/index_305152.html" TargetMode="External"/><Relationship Id="rId2307" Type="http://schemas.openxmlformats.org/officeDocument/2006/relationships/hyperlink" Target="https://seiei.ac.jp/" TargetMode="External"/><Relationship Id="rId2308" Type="http://schemas.openxmlformats.org/officeDocument/2006/relationships/hyperlink" Target="https://www.gakkou.net/kou/view/index_305148.html" TargetMode="External"/><Relationship Id="rId2309" Type="http://schemas.openxmlformats.org/officeDocument/2006/relationships/hyperlink" Target="https://www.seikagakuen.ac.jp/archives/691" TargetMode="External"/><Relationship Id="rId2310" Type="http://schemas.openxmlformats.org/officeDocument/2006/relationships/hyperlink" Target="https://www.gakkou.net/kou/view/index_306695.html" TargetMode="External"/><Relationship Id="rId2311" Type="http://schemas.openxmlformats.org/officeDocument/2006/relationships/hyperlink" Target="https://www.seiko-h.ed.jp/" TargetMode="External"/><Relationship Id="rId2312" Type="http://schemas.openxmlformats.org/officeDocument/2006/relationships/hyperlink" Target="https://www.gakkou.net/kou/view/index_305127.html" TargetMode="External"/><Relationship Id="rId2313" Type="http://schemas.openxmlformats.org/officeDocument/2006/relationships/hyperlink" Target="https://www.mine-c.ed.jp/profile" TargetMode="External"/><Relationship Id="rId2314" Type="http://schemas.openxmlformats.org/officeDocument/2006/relationships/hyperlink" Target="https://www.gakkou.net/kou/view/index_305199.html" TargetMode="External"/><Relationship Id="rId2315" Type="http://schemas.openxmlformats.org/officeDocument/2006/relationships/hyperlink" Target="https://takagawagakuen.com/high/" TargetMode="External"/><Relationship Id="rId2316" Type="http://schemas.openxmlformats.org/officeDocument/2006/relationships/hyperlink" Target="https://www.gakkou.net/kou/view/index_305143.html" TargetMode="External"/><Relationship Id="rId2317" Type="http://schemas.openxmlformats.org/officeDocument/2006/relationships/hyperlink" Target="https://www.takamizu.ed.jp/" TargetMode="External"/><Relationship Id="rId2318" Type="http://schemas.openxmlformats.org/officeDocument/2006/relationships/hyperlink" Target="https://www.gakkou.net/kou/view/index_305106.html" TargetMode="External"/><Relationship Id="rId2319" Type="http://schemas.openxmlformats.org/officeDocument/2006/relationships/hyperlink" Target="https://www.y-nakamura.jp/" TargetMode="External"/><Relationship Id="rId2320" Type="http://schemas.openxmlformats.org/officeDocument/2006/relationships/hyperlink" Target="https://www.gakkou.net/kou/view/index_305165.html" TargetMode="External"/><Relationship Id="rId2321" Type="http://schemas.openxmlformats.org/officeDocument/2006/relationships/hyperlink" Target="https://nagato.ac.jp/" TargetMode="External"/><Relationship Id="rId2322" Type="http://schemas.openxmlformats.org/officeDocument/2006/relationships/hyperlink" Target="https://www.gakkou.net/kou/view/index_305204.html" TargetMode="External"/><Relationship Id="rId2323" Type="http://schemas.openxmlformats.org/officeDocument/2006/relationships/hyperlink" Target="https://www.nodagakuen.ed.jp/" TargetMode="External"/><Relationship Id="rId2324" Type="http://schemas.openxmlformats.org/officeDocument/2006/relationships/hyperlink" Target="https://www.gakkou.net/kou/view/index_305170.html" TargetMode="External"/><Relationship Id="rId2325" Type="http://schemas.openxmlformats.org/officeDocument/2006/relationships/hyperlink" Target="https://www.yamaguchi-shigaku.or.jp/tyukou/pdf/2025/20_hagikouen2025.pdf" TargetMode="External"/><Relationship Id="rId2326" Type="http://schemas.openxmlformats.org/officeDocument/2006/relationships/hyperlink" Target="https://www.gakkou.net/kou/view/index_305190.html" TargetMode="External"/><Relationship Id="rId2327" Type="http://schemas.openxmlformats.org/officeDocument/2006/relationships/hyperlink" Target="https://www.hayatomo.ac.jp/course/" TargetMode="External"/><Relationship Id="rId2328" Type="http://schemas.openxmlformats.org/officeDocument/2006/relationships/hyperlink" Target="https://www.gakkou.net/kou/view/index_305150.html" TargetMode="External"/><Relationship Id="rId2329" Type="http://schemas.openxmlformats.org/officeDocument/2006/relationships/hyperlink" Target="https://www.baiko.ac.jp/highschool/" TargetMode="External"/><Relationship Id="rId2330" Type="http://schemas.openxmlformats.org/officeDocument/2006/relationships/hyperlink" Target="https://www.gakkou.net/kou/view/index_305151.html" TargetMode="External"/><Relationship Id="rId2331" Type="http://schemas.openxmlformats.org/officeDocument/2006/relationships/hyperlink" Target="https://yanai-g.ed.jp/contact/" TargetMode="External"/><Relationship Id="rId2332" Type="http://schemas.openxmlformats.org/officeDocument/2006/relationships/hyperlink" Target="https://www.gakkou.net/kou/view/index_305115.html" TargetMode="External"/><Relationship Id="rId2333" Type="http://schemas.openxmlformats.org/officeDocument/2006/relationships/hyperlink" Target="https://www.y-kojohs.jp/access/" TargetMode="External"/><Relationship Id="rId2334" Type="http://schemas.openxmlformats.org/officeDocument/2006/relationships/hyperlink" Target="https://www.gakkou.net/kou/view/index_305173.html" TargetMode="External"/><Relationship Id="rId2335" Type="http://schemas.openxmlformats.org/officeDocument/2006/relationships/hyperlink" Target="https://www.y-sakuragaoka.ed.jp/contact.html" TargetMode="External"/><Relationship Id="rId2336" Type="http://schemas.openxmlformats.org/officeDocument/2006/relationships/hyperlink" Target="https://www.gakkou.net/kou/view/index_306500.html" TargetMode="External"/><Relationship Id="rId2337" Type="http://schemas.openxmlformats.org/officeDocument/2006/relationships/hyperlink" Target="https://kouran-kou.jp/nyusi.html" TargetMode="External"/><Relationship Id="rId2338" Type="http://schemas.openxmlformats.org/officeDocument/2006/relationships/hyperlink" Target="https://www.gakkou.net/kou/view/index_305216.html" TargetMode="External"/><Relationship Id="rId2339" Type="http://schemas.openxmlformats.org/officeDocument/2006/relationships/hyperlink" Target="http://www.seikogakuen.ac.jp/guide.html" TargetMode="External"/><Relationship Id="rId2340" Type="http://schemas.openxmlformats.org/officeDocument/2006/relationships/hyperlink" Target="https://www.gakkou.net/kou/view/index_305226.html" TargetMode="External"/><Relationship Id="rId2341" Type="http://schemas.openxmlformats.org/officeDocument/2006/relationships/hyperlink" Target="https://www.bunri.ed.jp/access/" TargetMode="External"/><Relationship Id="rId2342" Type="http://schemas.openxmlformats.org/officeDocument/2006/relationships/hyperlink" Target="https://www.gakkou.net/kou/view/index_305222.html" TargetMode="External"/><Relationship Id="rId2343" Type="http://schemas.openxmlformats.org/officeDocument/2006/relationships/hyperlink" Target="https://www.kagawa-shigaku.jp/eimei" TargetMode="External"/><Relationship Id="rId2344" Type="http://schemas.openxmlformats.org/officeDocument/2006/relationships/hyperlink" Target="https://www.gakkou.net/kou/view/index_305270.html" TargetMode="External"/><Relationship Id="rId2345" Type="http://schemas.openxmlformats.org/officeDocument/2006/relationships/hyperlink" Target="https://www.otemae.net/contact/" TargetMode="External"/><Relationship Id="rId2346" Type="http://schemas.openxmlformats.org/officeDocument/2006/relationships/hyperlink" Target="https://www.gakkou.net/kou/view/index_305290.html" TargetMode="External"/><Relationship Id="rId2347" Type="http://schemas.openxmlformats.org/officeDocument/2006/relationships/hyperlink" Target="https://www.otemae.ed.jp/contact_form/otoiawase.html" TargetMode="External"/><Relationship Id="rId2348" Type="http://schemas.openxmlformats.org/officeDocument/2006/relationships/hyperlink" Target="https://www.gakkou.net/kou/view/index_305303.html" TargetMode="External"/><Relationship Id="rId2349" Type="http://schemas.openxmlformats.org/officeDocument/2006/relationships/hyperlink" Target="https://www.fujii.ed.jp/fujii/" TargetMode="External"/><Relationship Id="rId2350" Type="http://schemas.openxmlformats.org/officeDocument/2006/relationships/hyperlink" Target="https://www.gakkou.net/kou/view/index_305305.html" TargetMode="External"/><Relationship Id="rId2351" Type="http://schemas.openxmlformats.org/officeDocument/2006/relationships/hyperlink" Target="https://k-seiryo.ed.jp/" TargetMode="External"/><Relationship Id="rId2352" Type="http://schemas.openxmlformats.org/officeDocument/2006/relationships/hyperlink" Target="https://www.gakkou.net/kou/view/index_305314.html" TargetMode="External"/><Relationship Id="rId2353" Type="http://schemas.openxmlformats.org/officeDocument/2006/relationships/hyperlink" Target="https://www.sakaide1-h.ed.jp/" TargetMode="External"/><Relationship Id="rId2354" Type="http://schemas.openxmlformats.org/officeDocument/2006/relationships/hyperlink" Target="https://www.gakkou.net/kou/view/index_305295.html" TargetMode="External"/><Relationship Id="rId2355" Type="http://schemas.openxmlformats.org/officeDocument/2006/relationships/hyperlink" Target="https://www.kagawanishikou.com/contact" TargetMode="External"/><Relationship Id="rId2356" Type="http://schemas.openxmlformats.org/officeDocument/2006/relationships/hyperlink" Target="https://www.gakkou.net/kou/view/index_305317.html" TargetMode="External"/><Relationship Id="rId2357" Type="http://schemas.openxmlformats.org/officeDocument/2006/relationships/hyperlink" Target="https://sites.google.com/jinsei.ac.jp/jinseiopenschool2020" TargetMode="External"/><Relationship Id="rId2358" Type="http://schemas.openxmlformats.org/officeDocument/2006/relationships/hyperlink" Target="https://www.gakkou.net/kou/view/index_305313.html" TargetMode="External"/><Relationship Id="rId2359" Type="http://schemas.openxmlformats.org/officeDocument/2006/relationships/hyperlink" Target="https://www.ta-chuo.ed.jp/contact/" TargetMode="External"/><Relationship Id="rId2360" Type="http://schemas.openxmlformats.org/officeDocument/2006/relationships/hyperlink" Target="https://www.gakkou.net/kou/view/index_305277.html" TargetMode="External"/><Relationship Id="rId2361" Type="http://schemas.openxmlformats.org/officeDocument/2006/relationships/hyperlink" Target="https://www.sangawa.ed.jp/wp/contact/" TargetMode="External"/><Relationship Id="rId2362" Type="http://schemas.openxmlformats.org/officeDocument/2006/relationships/hyperlink" Target="https://www.gakkou.net/kou/view/index_305327.html" TargetMode="External"/><Relationship Id="rId2363" Type="http://schemas.openxmlformats.org/officeDocument/2006/relationships/hyperlink" Target="https://www.aiko.ed.jp/outline/shisetu.html" TargetMode="External"/><Relationship Id="rId2364" Type="http://schemas.openxmlformats.org/officeDocument/2006/relationships/hyperlink" Target="https://www.gakkou.net/kou/view/index_305360.html" TargetMode="External"/><Relationship Id="rId2365" Type="http://schemas.openxmlformats.org/officeDocument/2006/relationships/hyperlink" Target="https://highschool.imabariseika.ac.jp/summary/about/" TargetMode="External"/><Relationship Id="rId2366" Type="http://schemas.openxmlformats.org/officeDocument/2006/relationships/hyperlink" Target="https://www.gakkou.net/kou/view/index_305377.html" TargetMode="External"/><Relationship Id="rId2367" Type="http://schemas.openxmlformats.org/officeDocument/2006/relationships/hyperlink" Target="https://www.gakkou.net/kou/view/index_306788.html" TargetMode="External"/><Relationship Id="rId2368" Type="http://schemas.openxmlformats.org/officeDocument/2006/relationships/hyperlink" Target="https://www.gakkou.net/kou/view/index_306788.html" TargetMode="External"/><Relationship Id="rId2369" Type="http://schemas.openxmlformats.org/officeDocument/2006/relationships/hyperlink" Target="https://www.meitokuhonko.com/" TargetMode="External"/><Relationship Id="rId2370" Type="http://schemas.openxmlformats.org/officeDocument/2006/relationships/hyperlink" Target="https://www.gakkou.net/kou/view/index_305374.html" TargetMode="External"/><Relationship Id="rId2371" Type="http://schemas.openxmlformats.org/officeDocument/2006/relationships/hyperlink" Target="https://www.saibi.ac.jp/" TargetMode="External"/><Relationship Id="rId2372" Type="http://schemas.openxmlformats.org/officeDocument/2006/relationships/hyperlink" Target="https://www.gakkou.net/kou/view/index_305334.html" TargetMode="External"/><Relationship Id="rId2373" Type="http://schemas.openxmlformats.org/officeDocument/2006/relationships/hyperlink" Target="https://catalina.ed.jp/about/outline/" TargetMode="External"/><Relationship Id="rId2374" Type="http://schemas.openxmlformats.org/officeDocument/2006/relationships/hyperlink" Target="https://www.gakkou.net/kou/view/index_305337.html" TargetMode="External"/><Relationship Id="rId2375" Type="http://schemas.openxmlformats.org/officeDocument/2006/relationships/hyperlink" Target="https://teikyo5-h.ed.jp/" TargetMode="External"/><Relationship Id="rId2376" Type="http://schemas.openxmlformats.org/officeDocument/2006/relationships/hyperlink" Target="https://www.gakkou.net/kou/view/index_305389.html" TargetMode="External"/><Relationship Id="rId2377" Type="http://schemas.openxmlformats.org/officeDocument/2006/relationships/hyperlink" Target="https://www.nitta.ac.jp/information/about/" TargetMode="External"/><Relationship Id="rId2378" Type="http://schemas.openxmlformats.org/officeDocument/2006/relationships/hyperlink" Target="https://www.gakkou.net/kou/view/index_305361.html" TargetMode="External"/><Relationship Id="rId2379" Type="http://schemas.openxmlformats.org/officeDocument/2006/relationships/hyperlink" Target="https://www.taiken.ac.jp/gakuin/school/index.html" TargetMode="External"/><Relationship Id="rId2380" Type="http://schemas.openxmlformats.org/officeDocument/2006/relationships/hyperlink" Target="https://www.gakkou.net/kou/view/index_306570.html" TargetMode="External"/><Relationship Id="rId2381" Type="http://schemas.openxmlformats.org/officeDocument/2006/relationships/hyperlink" Target="https://mg-h.ed.jp/form/contact/" TargetMode="External"/><Relationship Id="rId2382" Type="http://schemas.openxmlformats.org/officeDocument/2006/relationships/hyperlink" Target="https://www.gakkou.net/kou/view/index_305346.html" TargetMode="External"/><Relationship Id="rId2383" Type="http://schemas.openxmlformats.org/officeDocument/2006/relationships/hyperlink" Target="https://www.shinonome.ac.jp/overview/contact/" TargetMode="External"/><Relationship Id="rId2384" Type="http://schemas.openxmlformats.org/officeDocument/2006/relationships/hyperlink" Target="https://www.gakkou.net/kou/view/index_305333.html" TargetMode="External"/><Relationship Id="rId2385" Type="http://schemas.openxmlformats.org/officeDocument/2006/relationships/hyperlink" Target="https://matsuyamaseiryo-h.ed.jp/guidance/about/" TargetMode="External"/><Relationship Id="rId2386" Type="http://schemas.openxmlformats.org/officeDocument/2006/relationships/hyperlink" Target="https://www.gakkou.net/kou/view/index_305359.html" TargetMode="External"/><Relationship Id="rId2387" Type="http://schemas.openxmlformats.org/officeDocument/2006/relationships/hyperlink" Target="https://mirai-hs.kawahara.ac.jp/" TargetMode="External"/><Relationship Id="rId2388" Type="http://schemas.openxmlformats.org/officeDocument/2006/relationships/hyperlink" Target="https://www.gakkou.net/kou/view/index_306581.html" TargetMode="External"/><Relationship Id="rId2389" Type="http://schemas.openxmlformats.org/officeDocument/2006/relationships/hyperlink" Target="https://mirai-hs.kawahara.ac.jp/center/" TargetMode="External"/><Relationship Id="rId2390" Type="http://schemas.openxmlformats.org/officeDocument/2006/relationships/hyperlink" Target="https://www.gakkou.net/kou/view/index_306659.html" TargetMode="External"/><Relationship Id="rId2391" Type="http://schemas.openxmlformats.org/officeDocument/2006/relationships/hyperlink" Target="https://www.kochi-gakugei.ed.jp/page.html?id=45" TargetMode="External"/><Relationship Id="rId2392" Type="http://schemas.openxmlformats.org/officeDocument/2006/relationships/hyperlink" Target="https://www.gakkou.net/kou/view/index_305436.html" TargetMode="External"/><Relationship Id="rId2393" Type="http://schemas.openxmlformats.org/officeDocument/2006/relationships/hyperlink" Target="https://www.kochigakuen.jp/access.html" TargetMode="External"/><Relationship Id="rId2394" Type="http://schemas.openxmlformats.org/officeDocument/2006/relationships/hyperlink" Target="https://www.gakkou.net/kou/view/index_305428.html" TargetMode="External"/><Relationship Id="rId2395" Type="http://schemas.openxmlformats.org/officeDocument/2006/relationships/hyperlink" Target="https://www.kochi-chuo.ed.jp/" TargetMode="External"/><Relationship Id="rId2396" Type="http://schemas.openxmlformats.org/officeDocument/2006/relationships/hyperlink" Target="https://www.gakkou.net/kou/view/index_305449.html" TargetMode="External"/><Relationship Id="rId2397" Type="http://schemas.openxmlformats.org/officeDocument/2006/relationships/hyperlink" Target="https://seiwa-girl.ed.jp/" TargetMode="External"/><Relationship Id="rId2398" Type="http://schemas.openxmlformats.org/officeDocument/2006/relationships/hyperlink" Target="https://www.gakkou.net/kou/view/index_305463.html" TargetMode="External"/><Relationship Id="rId2399" Type="http://schemas.openxmlformats.org/officeDocument/2006/relationships/hyperlink" Target="https://www.taiheiyo.ed.jp/" TargetMode="External"/><Relationship Id="rId2400" Type="http://schemas.openxmlformats.org/officeDocument/2006/relationships/hyperlink" Target="https://www.gakkou.net/kou/view/index_306389.html" TargetMode="External"/><Relationship Id="rId2401" Type="http://schemas.openxmlformats.org/officeDocument/2006/relationships/hyperlink" Target="https://www.tosa.ed.jp/" TargetMode="External"/><Relationship Id="rId2402" Type="http://schemas.openxmlformats.org/officeDocument/2006/relationships/hyperlink" Target="https://www.gakkou.net/kou/view/index_305432.html" TargetMode="External"/><Relationship Id="rId2403" Type="http://schemas.openxmlformats.org/officeDocument/2006/relationships/hyperlink" Target="https://www.tosajuku.ed.jp/contact.html" TargetMode="External"/><Relationship Id="rId2404" Type="http://schemas.openxmlformats.org/officeDocument/2006/relationships/hyperlink" Target="https://www.gakkou.net/kou/view/index_305433.html" TargetMode="External"/><Relationship Id="rId2405" Type="http://schemas.openxmlformats.org/officeDocument/2006/relationships/hyperlink" Target="https://www.tosajoshi-jh.ed.jp/" TargetMode="External"/><Relationship Id="rId2406" Type="http://schemas.openxmlformats.org/officeDocument/2006/relationships/hyperlink" Target="https://www.gakkou.net/kou/view/index_305423.html" TargetMode="External"/><Relationship Id="rId2407" Type="http://schemas.openxmlformats.org/officeDocument/2006/relationships/hyperlink" Target="https://www.meitoku-gijuku.ed.jp/senior_c2.php" TargetMode="External"/><Relationship Id="rId2408" Type="http://schemas.openxmlformats.org/officeDocument/2006/relationships/hyperlink" Target="https://www.gakkou.net/kou/view/index_305474.html" TargetMode="External"/><Relationship Id="rId2409" Type="http://schemas.openxmlformats.org/officeDocument/2006/relationships/hyperlink" Target="https://iizuka.ed.jp/contact/" TargetMode="External"/><Relationship Id="rId2410" Type="http://schemas.openxmlformats.org/officeDocument/2006/relationships/hyperlink" Target="https://www.gakkou.net/kou/view/index_305631.html" TargetMode="External"/><Relationship Id="rId2411" Type="http://schemas.openxmlformats.org/officeDocument/2006/relationships/hyperlink" Target="https://www.ohmuta.ac.jp/hs" TargetMode="External"/><Relationship Id="rId2412" Type="http://schemas.openxmlformats.org/officeDocument/2006/relationships/hyperlink" Target="https://www.gakkou.net/kou/view/index_305697.html" TargetMode="External"/><Relationship Id="rId2413" Type="http://schemas.openxmlformats.org/officeDocument/2006/relationships/hyperlink" Target="https://oki.ed.jp/about/access.html" TargetMode="External"/><Relationship Id="rId2414" Type="http://schemas.openxmlformats.org/officeDocument/2006/relationships/hyperlink" Target="https://www.gakkou.net/kou/view/index_305601.html" TargetMode="External"/><Relationship Id="rId2415" Type="http://schemas.openxmlformats.org/officeDocument/2006/relationships/hyperlink" Target="https://www.orioaishin.ac.jp/hs/access" TargetMode="External"/><Relationship Id="rId2416" Type="http://schemas.openxmlformats.org/officeDocument/2006/relationships/hyperlink" Target="https://www.gakkou.net/kou/view/index_305534.html" TargetMode="External"/><Relationship Id="rId2417" Type="http://schemas.openxmlformats.org/officeDocument/2006/relationships/hyperlink" Target="http://www.kibou.ed.jp/" TargetMode="External"/><Relationship Id="rId2418" Type="http://schemas.openxmlformats.org/officeDocument/2006/relationships/hyperlink" Target="https://www.gakkou.net/kou/view/index_305547.html" TargetMode="External"/><Relationship Id="rId2419" Type="http://schemas.openxmlformats.org/officeDocument/2006/relationships/hyperlink" Target="https://www.959h.kif.ed.jp/" TargetMode="External"/><Relationship Id="rId2420" Type="http://schemas.openxmlformats.org/officeDocument/2006/relationships/hyperlink" Target="https://www.gakkou.net/kou/view/index_305525.html" TargetMode="External"/><Relationship Id="rId2421" Type="http://schemas.openxmlformats.org/officeDocument/2006/relationships/hyperlink" Target="https://www.kyushu-h.jp/" TargetMode="External"/><Relationship Id="rId2422" Type="http://schemas.openxmlformats.org/officeDocument/2006/relationships/hyperlink" Target="https://www.gakkou.net/kou/view/index_305583.html" TargetMode="External"/><Relationship Id="rId2423" Type="http://schemas.openxmlformats.org/officeDocument/2006/relationships/hyperlink" Target="https://www.kyusanfukyusan-h.ed.jp/contact/" TargetMode="External"/><Relationship Id="rId2424" Type="http://schemas.openxmlformats.org/officeDocument/2006/relationships/hyperlink" Target="https://www.gakkou.net/kou/view/index_305608.html" TargetMode="External"/><Relationship Id="rId2425" Type="http://schemas.openxmlformats.org/officeDocument/2006/relationships/hyperlink" Target="https://www.fhs.kindai.ac.jp/contact/" TargetMode="External"/><Relationship Id="rId2426" Type="http://schemas.openxmlformats.org/officeDocument/2006/relationships/hyperlink" Target="https://www.gakkou.net/kou/view/index_305625.html" TargetMode="External"/><Relationship Id="rId2427" Type="http://schemas.openxmlformats.org/officeDocument/2006/relationships/hyperlink" Target="https://www.gyoseigakuen.ne.jp/contact.html" TargetMode="External"/><Relationship Id="rId2428" Type="http://schemas.openxmlformats.org/officeDocument/2006/relationships/hyperlink" Target="https://www.gakkou.net/kou/view/index_306563.html" TargetMode="External"/><Relationship Id="rId2429" Type="http://schemas.openxmlformats.org/officeDocument/2006/relationships/hyperlink" Target="https://gakuen.ac.jp/contact/" TargetMode="External"/><Relationship Id="rId2430" Type="http://schemas.openxmlformats.org/officeDocument/2006/relationships/hyperlink" Target="https://www.gakkou.net/kou/view/index_305664.html" TargetMode="External"/><Relationship Id="rId2431" Type="http://schemas.openxmlformats.org/officeDocument/2006/relationships/hyperlink" Target="https://www.kurume-shinai.ac.jp/contact/" TargetMode="External"/><Relationship Id="rId2432" Type="http://schemas.openxmlformats.org/officeDocument/2006/relationships/hyperlink" Target="https://www.gakkou.net/kou/view/index_305707.html" TargetMode="External"/><Relationship Id="rId2433" Type="http://schemas.openxmlformats.org/officeDocument/2006/relationships/hyperlink" Target="https://fusetsu.kurume-u.ac.jp/contact/" TargetMode="External"/><Relationship Id="rId2434" Type="http://schemas.openxmlformats.org/officeDocument/2006/relationships/hyperlink" Target="https://www.gakkou.net/kou/view/index_305709.html" TargetMode="External"/><Relationship Id="rId2435" Type="http://schemas.openxmlformats.org/officeDocument/2006/relationships/hyperlink" Target="https://www.keiai.net/high/" TargetMode="External"/><Relationship Id="rId2436" Type="http://schemas.openxmlformats.org/officeDocument/2006/relationships/hyperlink" Target="https://www.gakkou.net/kou/view/index_305496.html" TargetMode="External"/><Relationship Id="rId2437" Type="http://schemas.openxmlformats.org/officeDocument/2006/relationships/hyperlink" Target="https://keisei-h.jp/inquiry/" TargetMode="External"/><Relationship Id="rId2438" Type="http://schemas.openxmlformats.org/officeDocument/2006/relationships/hyperlink" Target="https://www.gakkou.net/kou/view/index_305517.html" TargetMode="External"/><Relationship Id="rId2439" Type="http://schemas.openxmlformats.org/officeDocument/2006/relationships/hyperlink" Target="http://www.kouryou.ed.jp/" TargetMode="External"/><Relationship Id="rId2440" Type="http://schemas.openxmlformats.org/officeDocument/2006/relationships/hyperlink" Target="https://www.gakkou.net/kou/view/index_305544.html" TargetMode="External"/><Relationship Id="rId2441" Type="http://schemas.openxmlformats.org/officeDocument/2006/relationships/hyperlink" Target="http://www.shinsokan-h.ed.jp/contact/" TargetMode="External"/><Relationship Id="rId2442" Type="http://schemas.openxmlformats.org/officeDocument/2006/relationships/hyperlink" Target="https://www.gakkou.net/kou/view/index_305512.html" TargetMode="External"/><Relationship Id="rId2443" Type="http://schemas.openxmlformats.org/officeDocument/2006/relationships/hyperlink" Target="https://junshin-hs.ed.jp/contact" TargetMode="External"/><Relationship Id="rId2444" Type="http://schemas.openxmlformats.org/officeDocument/2006/relationships/hyperlink" Target="https://www.gakkou.net/kou/view/index_305595.html" TargetMode="External"/><Relationship Id="rId2445" Type="http://schemas.openxmlformats.org/officeDocument/2006/relationships/hyperlink" Target="https://www.jiyugaoka-hs.ed.jp/" TargetMode="External"/><Relationship Id="rId2446" Type="http://schemas.openxmlformats.org/officeDocument/2006/relationships/hyperlink" Target="https://www.gakkou.net/kou/view/index_305537.html" TargetMode="External"/><Relationship Id="rId2447" Type="http://schemas.openxmlformats.org/officeDocument/2006/relationships/hyperlink" Target="https://www.sophia-fukuoka.ed.jp/contact_info/" TargetMode="External"/><Relationship Id="rId2448" Type="http://schemas.openxmlformats.org/officeDocument/2006/relationships/hyperlink" Target="https://www.gakkou.net/kou/view/index_305551.html" TargetMode="External"/><Relationship Id="rId2449" Type="http://schemas.openxmlformats.org/officeDocument/2006/relationships/hyperlink" Target="https://www.seika-ghs.ed.jp/" TargetMode="External"/><Relationship Id="rId2450" Type="http://schemas.openxmlformats.org/officeDocument/2006/relationships/hyperlink" Target="https://www.gakkou.net/kou/view/index_305575.html" TargetMode="External"/><Relationship Id="rId2451" Type="http://schemas.openxmlformats.org/officeDocument/2006/relationships/hyperlink" Target="http://seishu.ed.jp/school/access/" TargetMode="External"/><Relationship Id="rId2452" Type="http://schemas.openxmlformats.org/officeDocument/2006/relationships/hyperlink" Target="https://www.gakkou.net/kou/view/index_305695.html" TargetMode="External"/><Relationship Id="rId2453" Type="http://schemas.openxmlformats.org/officeDocument/2006/relationships/hyperlink" Target="https://hs.seinan.ed.jp/access/" TargetMode="External"/><Relationship Id="rId2454" Type="http://schemas.openxmlformats.org/officeDocument/2006/relationships/hyperlink" Target="https://www.gakkou.net/kou/view/index_305588.html" TargetMode="External"/><Relationship Id="rId2455" Type="http://schemas.openxmlformats.org/officeDocument/2006/relationships/hyperlink" Target="https://www.seinan-jo.ac.jp/houjin/" TargetMode="External"/><Relationship Id="rId2456" Type="http://schemas.openxmlformats.org/officeDocument/2006/relationships/hyperlink" Target="https://www.gakkou.net/kou/view/index_305514.html" TargetMode="External"/><Relationship Id="rId2457" Type="http://schemas.openxmlformats.org/officeDocument/2006/relationships/hyperlink" Target="https://www.seirin.ac.jp/" TargetMode="External"/><Relationship Id="rId2458" Type="http://schemas.openxmlformats.org/officeDocument/2006/relationships/hyperlink" Target="https://www.gakkou.net/kou/view/index_305529.html" TargetMode="External"/><Relationship Id="rId2459" Type="http://schemas.openxmlformats.org/officeDocument/2006/relationships/hyperlink" Target="https://www.mapion.co.jp/phonebook/M11004/40134/ILSP0000041841_ipclm/" TargetMode="External"/><Relationship Id="rId2460" Type="http://schemas.openxmlformats.org/officeDocument/2006/relationships/hyperlink" Target="https://www.gakkou.net/kou/view/index_305598.html" TargetMode="External"/><Relationship Id="rId2461" Type="http://schemas.openxmlformats.org/officeDocument/2006/relationships/hyperlink" Target="https://www.tachibanahs.net/blank-18" TargetMode="External"/><Relationship Id="rId2462" Type="http://schemas.openxmlformats.org/officeDocument/2006/relationships/hyperlink" Target="https://www.gakkou.net/kou/view/index_305555.html" TargetMode="External"/><Relationship Id="rId2463" Type="http://schemas.openxmlformats.org/officeDocument/2006/relationships/hyperlink" Target="https://chikujo.ed.jp/schoolinfo/access/" TargetMode="External"/><Relationship Id="rId2464" Type="http://schemas.openxmlformats.org/officeDocument/2006/relationships/hyperlink" Target="https://www.gakkou.net/kou/view/index_305549.html" TargetMode="External"/><Relationship Id="rId2465" Type="http://schemas.openxmlformats.org/officeDocument/2006/relationships/hyperlink" Target="https://chikushidai.ed.jp/schoollife/access" TargetMode="External"/><Relationship Id="rId2466" Type="http://schemas.openxmlformats.org/officeDocument/2006/relationships/hyperlink" Target="https://www.gakkou.net/kou/view/index_305610.html" TargetMode="External"/><Relationship Id="rId2467" Type="http://schemas.openxmlformats.org/officeDocument/2006/relationships/hyperlink" Target="http://www.chikuyogakuen.ed.jp/accessmap.html" TargetMode="External"/><Relationship Id="rId2468" Type="http://schemas.openxmlformats.org/officeDocument/2006/relationships/hyperlink" Target="https://www.gakkou.net/kou/view/index_305609.html" TargetMode="External"/><Relationship Id="rId2469" Type="http://schemas.openxmlformats.org/officeDocument/2006/relationships/hyperlink" Target="https://www.fukuoka.tokai.ed.jp/contact/" TargetMode="External"/><Relationship Id="rId2470" Type="http://schemas.openxmlformats.org/officeDocument/2006/relationships/hyperlink" Target="https://www.gakkou.net/kou/view/index_305572.html" TargetMode="External"/><Relationship Id="rId2471" Type="http://schemas.openxmlformats.org/officeDocument/2006/relationships/hyperlink" Target="https://www.tokiwa-hs.ed.jp/" TargetMode="External"/><Relationship Id="rId2472" Type="http://schemas.openxmlformats.org/officeDocument/2006/relationships/hyperlink" Target="https://www.gakkou.net/kou/view/index_305518.html" TargetMode="External"/><Relationship Id="rId2473" Type="http://schemas.openxmlformats.org/officeDocument/2006/relationships/hyperlink" Target="https://www.nakamura-njh.ed.jp/access/" TargetMode="External"/><Relationship Id="rId2474" Type="http://schemas.openxmlformats.org/officeDocument/2006/relationships/hyperlink" Target="https://www.gakkou.net/kou/view/index_305592.html" TargetMode="External"/><Relationship Id="rId2475" Type="http://schemas.openxmlformats.org/officeDocument/2006/relationships/hyperlink" Target="https://www.nakamura-sanyo.ed.jp/" TargetMode="External"/><Relationship Id="rId2476" Type="http://schemas.openxmlformats.org/officeDocument/2006/relationships/hyperlink" Target="https://www.gakkou.net/kou/view/index_305619.html" TargetMode="External"/><Relationship Id="rId2477" Type="http://schemas.openxmlformats.org/officeDocument/2006/relationships/hyperlink" Target="https://www.nishitan.ed.jp/contact/" TargetMode="External"/><Relationship Id="rId2478" Type="http://schemas.openxmlformats.org/officeDocument/2006/relationships/hyperlink" Target="https://www.gakkou.net/kou/view/index_305683.html" TargetMode="External"/><Relationship Id="rId2479" Type="http://schemas.openxmlformats.org/officeDocument/2006/relationships/hyperlink" Target="http://www2.hakata.ed.jp/highschool/" TargetMode="External"/><Relationship Id="rId2480" Type="http://schemas.openxmlformats.org/officeDocument/2006/relationships/hyperlink" Target="https://www.gakkou.net/kou/view/index_305584.html" TargetMode="External"/><Relationship Id="rId2481" Type="http://schemas.openxmlformats.org/officeDocument/2006/relationships/hyperlink" Target="https://www.ghakata.ac.jp/sh/" TargetMode="External"/><Relationship Id="rId2482" Type="http://schemas.openxmlformats.org/officeDocument/2006/relationships/hyperlink" Target="https://www.gakkou.net/kou/view/index_305579.html" TargetMode="External"/><Relationship Id="rId2483" Type="http://schemas.openxmlformats.org/officeDocument/2006/relationships/hyperlink" Target="https://www.hcg.ed.jp/inquiry/" TargetMode="External"/><Relationship Id="rId2484" Type="http://schemas.openxmlformats.org/officeDocument/2006/relationships/hyperlink" Target="https://www.gakkou.net/kou/view/index_305513.html" TargetMode="External"/><Relationship Id="rId2485" Type="http://schemas.openxmlformats.org/officeDocument/2006/relationships/hyperlink" Target="https://www.higashifukuoka.ed.jp/higashifukuoka-info/hscontact" TargetMode="External"/><Relationship Id="rId2486" Type="http://schemas.openxmlformats.org/officeDocument/2006/relationships/hyperlink" Target="https://www.gakkou.net/kou/view/index_305574.html" TargetMode="External"/><Relationship Id="rId2487" Type="http://schemas.openxmlformats.org/officeDocument/2006/relationships/hyperlink" Target="https://www.f-kaisei.ed.jp/access.html" TargetMode="External"/><Relationship Id="rId2488" Type="http://schemas.openxmlformats.org/officeDocument/2006/relationships/hyperlink" Target="https://www.gakkou.net/kou/view/index_305559.html" TargetMode="External"/><Relationship Id="rId2489" Type="http://schemas.openxmlformats.org/officeDocument/2006/relationships/hyperlink" Target="https://fci-hs.ed.jp/school.php" TargetMode="External"/><Relationship Id="rId2490" Type="http://schemas.openxmlformats.org/officeDocument/2006/relationships/hyperlink" Target="https://www.gakkou.net/kou/view/index_305675.html" TargetMode="External"/><Relationship Id="rId2491" Type="http://schemas.openxmlformats.org/officeDocument/2006/relationships/hyperlink" Target="https://jyoto.fit.jp/zaikousei/" TargetMode="External"/><Relationship Id="rId2492" Type="http://schemas.openxmlformats.org/officeDocument/2006/relationships/hyperlink" Target="https://www.gakkou.net/kou/view/index_305556.html" TargetMode="External"/><Relationship Id="rId2493" Type="http://schemas.openxmlformats.org/officeDocument/2006/relationships/hyperlink" Target="https://ssl.f-joyo.ed.jp/" TargetMode="External"/><Relationship Id="rId2494" Type="http://schemas.openxmlformats.org/officeDocument/2006/relationships/hyperlink" Target="https://www.gakkou.net/kou/view/index_305607.html" TargetMode="External"/><Relationship Id="rId2495" Type="http://schemas.openxmlformats.org/officeDocument/2006/relationships/hyperlink" Target="http://www2.fukujo.ac.jp/js_new/access/" TargetMode="External"/><Relationship Id="rId2496" Type="http://schemas.openxmlformats.org/officeDocument/2006/relationships/hyperlink" Target="https://www.gakkou.net/kou/view/index_305594.html" TargetMode="External"/><Relationship Id="rId2497" Type="http://schemas.openxmlformats.org/officeDocument/2006/relationships/hyperlink" Target="https://yashima.ac.jp/fgchs/?page_id=4804" TargetMode="External"/><Relationship Id="rId2498" Type="http://schemas.openxmlformats.org/officeDocument/2006/relationships/hyperlink" Target="https://www.gakkou.net/kou/view/index_305558.html" TargetMode="External"/><Relationship Id="rId2499" Type="http://schemas.openxmlformats.org/officeDocument/2006/relationships/hyperlink" Target="https://f.f-parama.ed.jp/" TargetMode="External"/><Relationship Id="rId2500" Type="http://schemas.openxmlformats.org/officeDocument/2006/relationships/hyperlink" Target="https://www.gakkou.net/kou/view/index_305597.html" TargetMode="External"/><Relationship Id="rId2501" Type="http://schemas.openxmlformats.org/officeDocument/2006/relationships/hyperlink" Target="https://www.ohori.ed.jp/office/" TargetMode="External"/><Relationship Id="rId2502" Type="http://schemas.openxmlformats.org/officeDocument/2006/relationships/hyperlink" Target="https://www.gakkou.net/kou/view/index_305552.html" TargetMode="External"/><Relationship Id="rId2503" Type="http://schemas.openxmlformats.org/officeDocument/2006/relationships/hyperlink" Target="https://www.f-wakaba.ed.jp/school/information.html" TargetMode="External"/><Relationship Id="rId2504" Type="http://schemas.openxmlformats.org/officeDocument/2006/relationships/hyperlink" Target="https://www.gakkou.net/kou/view/index_305553.html" TargetMode="External"/><Relationship Id="rId2505" Type="http://schemas.openxmlformats.org/officeDocument/2006/relationships/hyperlink" Target="https://www.fukuokafutaba.ed.jp/highschool/about/access.html" TargetMode="External"/><Relationship Id="rId2506" Type="http://schemas.openxmlformats.org/officeDocument/2006/relationships/hyperlink" Target="https://www.gakkou.net/kou/view/index_305550.html" TargetMode="External"/><Relationship Id="rId2507" Type="http://schemas.openxmlformats.org/officeDocument/2006/relationships/hyperlink" Target="http://fmaizuru.ed.jp/" TargetMode="External"/><Relationship Id="rId2508" Type="http://schemas.openxmlformats.org/officeDocument/2006/relationships/hyperlink" Target="https://www.gakkou.net/kou/view/index_305617.html" TargetMode="External"/><Relationship Id="rId2509" Type="http://schemas.openxmlformats.org/officeDocument/2006/relationships/hyperlink" Target="https://www.fukuchi-h.ed.jp/" TargetMode="External"/><Relationship Id="rId2510" Type="http://schemas.openxmlformats.org/officeDocument/2006/relationships/hyperlink" Target="https://www.gakkou.net/kou/view/index_305654.html" TargetMode="External"/><Relationship Id="rId2511" Type="http://schemas.openxmlformats.org/officeDocument/2006/relationships/hyperlink" Target="https://www.houkoku.ac.jp/" TargetMode="External"/><Relationship Id="rId2512" Type="http://schemas.openxmlformats.org/officeDocument/2006/relationships/hyperlink" Target="https://www.gakkou.net/kou/view/index_305495.html" TargetMode="External"/><Relationship Id="rId2513" Type="http://schemas.openxmlformats.org/officeDocument/2006/relationships/hyperlink" Target="https://mihagino.ac.jp/about/access/" TargetMode="External"/><Relationship Id="rId2514" Type="http://schemas.openxmlformats.org/officeDocument/2006/relationships/hyperlink" Target="https://www.gakkou.net/kou/view/index_305504.html" TargetMode="External"/><Relationship Id="rId2515" Type="http://schemas.openxmlformats.org/officeDocument/2006/relationships/hyperlink" Target="https://welcome.meiko.ed.jp/" TargetMode="External"/><Relationship Id="rId2516" Type="http://schemas.openxmlformats.org/officeDocument/2006/relationships/hyperlink" Target="https://www.gakkou.net/kou/view/index_305694.html" TargetMode="External"/><Relationship Id="rId2517" Type="http://schemas.openxmlformats.org/officeDocument/2006/relationships/hyperlink" Target="https://meijigakuen.ed.jp/jsh/" TargetMode="External"/><Relationship Id="rId2518" Type="http://schemas.openxmlformats.org/officeDocument/2006/relationships/hyperlink" Target="https://www.gakkou.net/kou/view/index_305519.html" TargetMode="External"/><Relationship Id="rId2519" Type="http://schemas.openxmlformats.org/officeDocument/2006/relationships/hyperlink" Target="https://at-mhk.com/center/ataka/" TargetMode="External"/><Relationship Id="rId2520" Type="http://schemas.openxmlformats.org/officeDocument/2006/relationships/hyperlink" Target="https://www.gakkou.net/kou/view/index_306717.html" TargetMode="External"/><Relationship Id="rId2521" Type="http://schemas.openxmlformats.org/officeDocument/2006/relationships/hyperlink" Target="https://yanagawa.ed.jp/" TargetMode="External"/><Relationship Id="rId2522" Type="http://schemas.openxmlformats.org/officeDocument/2006/relationships/hyperlink" Target="https://www.gakkou.net/kou/view/index_305677.html" TargetMode="External"/><Relationship Id="rId2523" Type="http://schemas.openxmlformats.org/officeDocument/2006/relationships/hyperlink" Target="http://www.yamato-gakuen.ac.jp/about/access.html" TargetMode="External"/><Relationship Id="rId2524" Type="http://schemas.openxmlformats.org/officeDocument/2006/relationships/hyperlink" Target="https://www.gakkou.net/kou/view/index_305638.html" TargetMode="External"/><Relationship Id="rId2525" Type="http://schemas.openxmlformats.org/officeDocument/2006/relationships/hyperlink" Target="https://www.yamegakuin.ac.jp/" TargetMode="External"/><Relationship Id="rId2526" Type="http://schemas.openxmlformats.org/officeDocument/2006/relationships/hyperlink" Target="https://www.gakkou.net/kou/view/index_305684.html" TargetMode="External"/><Relationship Id="rId2527" Type="http://schemas.openxmlformats.org/officeDocument/2006/relationships/hyperlink" Target="https://yusei.ed.jp/information/outline/" TargetMode="External"/><Relationship Id="rId2528" Type="http://schemas.openxmlformats.org/officeDocument/2006/relationships/hyperlink" Target="https://www.gakkou.net/kou/view/index_305667.html" TargetMode="External"/><Relationship Id="rId2529" Type="http://schemas.openxmlformats.org/officeDocument/2006/relationships/hyperlink" Target="https://keitoku.ed.jp/" TargetMode="External"/><Relationship Id="rId2530" Type="http://schemas.openxmlformats.org/officeDocument/2006/relationships/hyperlink" Target="https://www.gakkou.net/kou/view/index_305752.html" TargetMode="External"/><Relationship Id="rId2531" Type="http://schemas.openxmlformats.org/officeDocument/2006/relationships/hyperlink" Target="https://www.kogakukan.ac.jp/access/" TargetMode="External"/><Relationship Id="rId2532" Type="http://schemas.openxmlformats.org/officeDocument/2006/relationships/hyperlink" Target="https://www.gakkou.net/kou/view/index_305759.html" TargetMode="External"/><Relationship Id="rId2533" Type="http://schemas.openxmlformats.org/officeDocument/2006/relationships/hyperlink" Target="https://www.sagagakuen.ed.jp/" TargetMode="External"/><Relationship Id="rId2534" Type="http://schemas.openxmlformats.org/officeDocument/2006/relationships/hyperlink" Target="https://www.gakkou.net/kou/view/index_305723.html" TargetMode="External"/><Relationship Id="rId2535" Type="http://schemas.openxmlformats.org/officeDocument/2006/relationships/hyperlink" Target="https://www.asahigakuen.ac.jp/sagajoshikou/" TargetMode="External"/><Relationship Id="rId2536" Type="http://schemas.openxmlformats.org/officeDocument/2006/relationships/hyperlink" Target="https://www.gakkou.net/kou/view/index_305719.html" TargetMode="External"/><Relationship Id="rId2537" Type="http://schemas.openxmlformats.org/officeDocument/2006/relationships/hyperlink" Target="https://sagaseiwa.com/" TargetMode="External"/><Relationship Id="rId2538" Type="http://schemas.openxmlformats.org/officeDocument/2006/relationships/hyperlink" Target="https://www.gakkou.net/kou/view/index_305718.html" TargetMode="External"/><Relationship Id="rId2539" Type="http://schemas.openxmlformats.org/officeDocument/2006/relationships/hyperlink" Target="https://inner.tomeikan.ed.jp/about-school/inquiry/" TargetMode="External"/><Relationship Id="rId2540" Type="http://schemas.openxmlformats.org/officeDocument/2006/relationships/hyperlink" Target="https://www.gakkou.net/kou/view/index_305734.html" TargetMode="External"/><Relationship Id="rId2541" Type="http://schemas.openxmlformats.org/officeDocument/2006/relationships/hyperlink" Target="https://hokuryo.ac.jp/" TargetMode="External"/><Relationship Id="rId2542" Type="http://schemas.openxmlformats.org/officeDocument/2006/relationships/hyperlink" Target="https://www.gakkou.net/kou/view/index_305761.html" TargetMode="External"/><Relationship Id="rId2543" Type="http://schemas.openxmlformats.org/officeDocument/2006/relationships/hyperlink" Target="https://www.sagaryukoku.ed.jp/hsc/" TargetMode="External"/><Relationship Id="rId2544" Type="http://schemas.openxmlformats.org/officeDocument/2006/relationships/hyperlink" Target="https://www.gakkou.net/kou/view/index_305721.html" TargetMode="External"/><Relationship Id="rId2545" Type="http://schemas.openxmlformats.org/officeDocument/2006/relationships/hyperlink" Target="https://www.wasedasaga.jp/" TargetMode="External"/><Relationship Id="rId2546" Type="http://schemas.openxmlformats.org/officeDocument/2006/relationships/hyperlink" Target="https://www.gakkou.net/kou/view/index_306744.html" TargetMode="External"/><Relationship Id="rId2547" Type="http://schemas.openxmlformats.org/officeDocument/2006/relationships/hyperlink" Target="https://kaisei-ngs.ed.jp/gakuen-shokai/kotsu-access/" TargetMode="External"/><Relationship Id="rId2548" Type="http://schemas.openxmlformats.org/officeDocument/2006/relationships/hyperlink" Target="https://www.gakkou.net/kou/view/index_305784.html" TargetMode="External"/><Relationship Id="rId2549" Type="http://schemas.openxmlformats.org/officeDocument/2006/relationships/hyperlink" Target="https://www.kwassui.ac.jp/chuko/hs/hs-news.html" TargetMode="External"/><Relationship Id="rId2550" Type="http://schemas.openxmlformats.org/officeDocument/2006/relationships/hyperlink" Target="https://www.gakkou.net/kou/view/index_305798.html" TargetMode="External"/><Relationship Id="rId2551" Type="http://schemas.openxmlformats.org/officeDocument/2006/relationships/hyperlink" Target="https://high-school.kyubun.ed.jp/about/access/" TargetMode="External"/><Relationship Id="rId2552" Type="http://schemas.openxmlformats.org/officeDocument/2006/relationships/hyperlink" Target="https://www.gakkou.net/kou/view/index_305837.html" TargetMode="External"/><Relationship Id="rId2553" Type="http://schemas.openxmlformats.org/officeDocument/2006/relationships/hyperlink" Target="https://www.gakkou.net/kou/view/index_305777.html" TargetMode="External"/><Relationship Id="rId2554" Type="http://schemas.openxmlformats.org/officeDocument/2006/relationships/hyperlink" Target="https://www.gakkou.net/kou/view/index_305777.html" TargetMode="External"/><Relationship Id="rId2555" Type="http://schemas.openxmlformats.org/officeDocument/2006/relationships/hyperlink" Target="http://www.koyogakuen.ed.jp/high_school/" TargetMode="External"/><Relationship Id="rId2556" Type="http://schemas.openxmlformats.org/officeDocument/2006/relationships/hyperlink" Target="https://www.gakkou.net/kou/view/index_305827.html" TargetMode="External"/><Relationship Id="rId2557" Type="http://schemas.openxmlformats.org/officeDocument/2006/relationships/hyperlink" Target="https://saikaigakuen.ed.jp/" TargetMode="External"/><Relationship Id="rId2558" Type="http://schemas.openxmlformats.org/officeDocument/2006/relationships/hyperlink" Target="https://www.gakkou.net/kou/view/index_305832.html" TargetMode="External"/><Relationship Id="rId2559" Type="http://schemas.openxmlformats.org/officeDocument/2006/relationships/hyperlink" Target="https://sajitsu.ed.jp/contact/" TargetMode="External"/><Relationship Id="rId2560" Type="http://schemas.openxmlformats.org/officeDocument/2006/relationships/hyperlink" Target="https://www.gakkou.net/kou/view/index_305849.html" TargetMode="External"/><Relationship Id="rId2561" Type="http://schemas.openxmlformats.org/officeDocument/2006/relationships/hyperlink" Target="https://www.mapion.co.jp/phonebook/M11004/42202/ILSP0000041755_ipclm/" TargetMode="External"/><Relationship Id="rId2562" Type="http://schemas.openxmlformats.org/officeDocument/2006/relationships/hyperlink" Target="https://www.gakkou.net/kou/view/index_305836.html" TargetMode="External"/><Relationship Id="rId2563" Type="http://schemas.openxmlformats.org/officeDocument/2006/relationships/hyperlink" Target="https://shimabara-chuo.ac.jp/" TargetMode="External"/><Relationship Id="rId2564" Type="http://schemas.openxmlformats.org/officeDocument/2006/relationships/hyperlink" Target="https://www.gakkou.net/kou/view/index_305825.html" TargetMode="External"/><Relationship Id="rId2565" Type="http://schemas.openxmlformats.org/officeDocument/2006/relationships/hyperlink" Target="https://www.n-junshin.ed.jp/access/" TargetMode="External"/><Relationship Id="rId2566" Type="http://schemas.openxmlformats.org/officeDocument/2006/relationships/hyperlink" Target="https://www.gakkou.net/kou/view/index_305802.html" TargetMode="External"/><Relationship Id="rId2567" Type="http://schemas.openxmlformats.org/officeDocument/2006/relationships/hyperlink" Target="https://seiun-jh.ed.jp/" TargetMode="External"/><Relationship Id="rId2568" Type="http://schemas.openxmlformats.org/officeDocument/2006/relationships/hyperlink" Target="https://www.gakkou.net/kou/view/index_305793.html" TargetMode="External"/><Relationship Id="rId2569" Type="http://schemas.openxmlformats.org/officeDocument/2006/relationships/hyperlink" Target="https://seido-gakuen.net/secondary/about-school/" TargetMode="External"/><Relationship Id="rId2570" Type="http://schemas.openxmlformats.org/officeDocument/2006/relationships/hyperlink" Target="https://www.gakkou.net/kou/view/index_306693.html" TargetMode="External"/><Relationship Id="rId2571" Type="http://schemas.openxmlformats.org/officeDocument/2006/relationships/hyperlink" Target="https://www.seibonokishi.ed.jp/" TargetMode="External"/><Relationship Id="rId2572" Type="http://schemas.openxmlformats.org/officeDocument/2006/relationships/hyperlink" Target="https://www.gakkou.net/kou/view/index_305776.html" TargetMode="External"/><Relationship Id="rId2573" Type="http://schemas.openxmlformats.org/officeDocument/2006/relationships/hyperlink" Target="https://www.seiwajoshi.ed.jp/inquiry/" TargetMode="External"/><Relationship Id="rId2574" Type="http://schemas.openxmlformats.org/officeDocument/2006/relationships/hyperlink" Target="https://www.gakkou.net/kou/view/index_305833.html" TargetMode="External"/><Relationship Id="rId2575" Type="http://schemas.openxmlformats.org/officeDocument/2006/relationships/hyperlink" Target="https://www.sohseikan.ac.jp/entrance/admission/" TargetMode="External"/><Relationship Id="rId2576" Type="http://schemas.openxmlformats.org/officeDocument/2006/relationships/hyperlink" Target="https://www.gakkou.net/kou/view/index_305816.html" TargetMode="External"/><Relationship Id="rId2577" Type="http://schemas.openxmlformats.org/officeDocument/2006/relationships/hyperlink" Target="https://www.chinzeigakuin.ed.jp/" TargetMode="External"/><Relationship Id="rId2578" Type="http://schemas.openxmlformats.org/officeDocument/2006/relationships/hyperlink" Target="https://www.gakkou.net/kou/view/index_305817.html" TargetMode="External"/><Relationship Id="rId2579" Type="http://schemas.openxmlformats.org/officeDocument/2006/relationships/hyperlink" Target="https://tamaki.ac.jp/koukou/" TargetMode="External"/><Relationship Id="rId2580" Type="http://schemas.openxmlformats.org/officeDocument/2006/relationships/hyperlink" Target="https://www.gakkou.net/kou/view/index_305778.html" TargetMode="External"/><Relationship Id="rId2581" Type="http://schemas.openxmlformats.org/officeDocument/2006/relationships/hyperlink" Target="https://kakumei.ac.jp/high_school/" TargetMode="External"/><Relationship Id="rId2582" Type="http://schemas.openxmlformats.org/officeDocument/2006/relationships/hyperlink" Target="https://www.gakkou.net/kou/view/index_305781.html" TargetMode="External"/><Relationship Id="rId2583" Type="http://schemas.openxmlformats.org/officeDocument/2006/relationships/hyperlink" Target="https://n-joshisho.sakura.ne.jp/" TargetMode="External"/><Relationship Id="rId2584" Type="http://schemas.openxmlformats.org/officeDocument/2006/relationships/hyperlink" Target="https://www.gakkou.net/kou/view/index_305783.html" TargetMode="External"/><Relationship Id="rId2585" Type="http://schemas.openxmlformats.org/officeDocument/2006/relationships/hyperlink" Target="http://www.nagasaki-shigaku.jp/shoukai.html" TargetMode="External"/><Relationship Id="rId2586" Type="http://schemas.openxmlformats.org/officeDocument/2006/relationships/hyperlink" Target="https://www.gakkou.net/kou/view/index_305788.html" TargetMode="External"/><Relationship Id="rId2587" Type="http://schemas.openxmlformats.org/officeDocument/2006/relationships/hyperlink" Target="https://www.n-nanzan.ed.jp/pages/5/" TargetMode="External"/><Relationship Id="rId2588" Type="http://schemas.openxmlformats.org/officeDocument/2006/relationships/hyperlink" Target="https://www.gakkou.net/kou/view/index_305801.html" TargetMode="External"/><Relationship Id="rId2589" Type="http://schemas.openxmlformats.org/officeDocument/2006/relationships/hyperlink" Target="https://nagasaki-nichidai.jp/schoolintroduction/access/" TargetMode="External"/><Relationship Id="rId2590" Type="http://schemas.openxmlformats.org/officeDocument/2006/relationships/hyperlink" Target="https://www.gakkou.net/kou/view/index_305815.html" TargetMode="External"/><Relationship Id="rId2591" Type="http://schemas.openxmlformats.org/officeDocument/2006/relationships/hyperlink" Target="https://ariake-hs.ed.jp/contact/" TargetMode="External"/><Relationship Id="rId2592" Type="http://schemas.openxmlformats.org/officeDocument/2006/relationships/hyperlink" Target="https://www.gakkou.net/kou/view/index_305924.html" TargetMode="External"/><Relationship Id="rId2593" Type="http://schemas.openxmlformats.org/officeDocument/2006/relationships/hyperlink" Target="https://www.kaishin.ed.jp/" TargetMode="External"/><Relationship Id="rId2594" Type="http://schemas.openxmlformats.org/officeDocument/2006/relationships/hyperlink" Target="https://www.gakkou.net/kou/view/index_305906.html" TargetMode="External"/><Relationship Id="rId2595" Type="http://schemas.openxmlformats.org/officeDocument/2006/relationships/hyperlink" Target="https://www.kikuchijoshi.ac.jp/" TargetMode="External"/><Relationship Id="rId2596" Type="http://schemas.openxmlformats.org/officeDocument/2006/relationships/hyperlink" Target="https://www.gakkou.net/kou/view/index_305885.html" TargetMode="External"/><Relationship Id="rId2597" Type="http://schemas.openxmlformats.org/officeDocument/2006/relationships/hyperlink" Target="https://kyugaku.ed.jp/hs/guide/" TargetMode="External"/><Relationship Id="rId2598" Type="http://schemas.openxmlformats.org/officeDocument/2006/relationships/hyperlink" Target="https://www.gakkou.net/kou/view/index_305905.html" TargetMode="External"/><Relationship Id="rId2599" Type="http://schemas.openxmlformats.org/officeDocument/2006/relationships/hyperlink" Target="https://www.kumagaku-h.ed.jp/" TargetMode="External"/><Relationship Id="rId2600" Type="http://schemas.openxmlformats.org/officeDocument/2006/relationships/hyperlink" Target="https://www.gakkou.net/kou/view/index_305908.html" TargetMode="External"/><Relationship Id="rId2601" Type="http://schemas.openxmlformats.org/officeDocument/2006/relationships/hyperlink" Target="http://www.kumamotokokufu-h.ed.jp/access.html" TargetMode="External"/><Relationship Id="rId2602" Type="http://schemas.openxmlformats.org/officeDocument/2006/relationships/hyperlink" Target="https://www.gakkou.net/kou/view/index_305901.html" TargetMode="External"/><Relationship Id="rId2603" Type="http://schemas.openxmlformats.org/officeDocument/2006/relationships/hyperlink" Target="https://www.kumamoto-shin-ai.ed.jp/" TargetMode="External"/><Relationship Id="rId2604" Type="http://schemas.openxmlformats.org/officeDocument/2006/relationships/hyperlink" Target="https://www.gakkou.net/kou/view/index_305873.html" TargetMode="External"/><Relationship Id="rId2605" Type="http://schemas.openxmlformats.org/officeDocument/2006/relationships/hyperlink" Target="https://www.k-seiryo.jp/" TargetMode="External"/><Relationship Id="rId2606" Type="http://schemas.openxmlformats.org/officeDocument/2006/relationships/hyperlink" Target="https://www.gakkou.net/kou/view/index_306546.html" TargetMode="External"/><Relationship Id="rId2607" Type="http://schemas.openxmlformats.org/officeDocument/2006/relationships/hyperlink" Target="https://kasumigakuen.ac.jp/pages/248/" TargetMode="External"/><Relationship Id="rId2608" Type="http://schemas.openxmlformats.org/officeDocument/2006/relationships/hyperlink" Target="https://www.gakkou.net/kou/view/index_305871.html" TargetMode="External"/><Relationship Id="rId2609" Type="http://schemas.openxmlformats.org/officeDocument/2006/relationships/hyperlink" Target="https://www.marist.ed.jp/" TargetMode="External"/><Relationship Id="rId2610" Type="http://schemas.openxmlformats.org/officeDocument/2006/relationships/hyperlink" Target="https://www.gakkou.net/kou/view/index_305897.html" TargetMode="External"/><Relationship Id="rId2611" Type="http://schemas.openxmlformats.org/officeDocument/2006/relationships/hyperlink" Target="https://keisei-h.ed.jp/" TargetMode="External"/><Relationship Id="rId2612" Type="http://schemas.openxmlformats.org/officeDocument/2006/relationships/hyperlink" Target="https://www.gakkou.net/kou/view/index_305907.html" TargetMode="External"/><Relationship Id="rId2613" Type="http://schemas.openxmlformats.org/officeDocument/2006/relationships/hyperlink" Target="https://syugakukan.ed.jp/" TargetMode="External"/><Relationship Id="rId2614" Type="http://schemas.openxmlformats.org/officeDocument/2006/relationships/hyperlink" Target="https://www.gakkou.net/kou/view/index_305936.html" TargetMode="External"/><Relationship Id="rId2615" Type="http://schemas.openxmlformats.org/officeDocument/2006/relationships/hyperlink" Target="https://www.shokei-gakuen.ac.jp/jh-hs/contacts/" TargetMode="External"/><Relationship Id="rId2616" Type="http://schemas.openxmlformats.org/officeDocument/2006/relationships/hyperlink" Target="https://www.gakkou.net/kou/view/index_305913.html" TargetMode="External"/><Relationship Id="rId2617" Type="http://schemas.openxmlformats.org/officeDocument/2006/relationships/hyperlink" Target="https://www.shinwa.ed.jp/list00527.html" TargetMode="External"/><Relationship Id="rId2618" Type="http://schemas.openxmlformats.org/officeDocument/2006/relationships/hyperlink" Target="https://www.gakkou.net/kou/view/index_305912.html" TargetMode="External"/><Relationship Id="rId2619" Type="http://schemas.openxmlformats.org/officeDocument/2006/relationships/hyperlink" Target="https://johoku-hs.ed.jp/contact/" TargetMode="External"/><Relationship Id="rId2620" Type="http://schemas.openxmlformats.org/officeDocument/2006/relationships/hyperlink" Target="https://www.gakkou.net/kou/view/index_305881.html" TargetMode="External"/><Relationship Id="rId2621" Type="http://schemas.openxmlformats.org/officeDocument/2006/relationships/hyperlink" Target="http://www.senshu.ac.jp/access" TargetMode="External"/><Relationship Id="rId2622" Type="http://schemas.openxmlformats.org/officeDocument/2006/relationships/hyperlink" Target="https://www.gakkou.net/kou/view/index_305949.html" TargetMode="External"/><Relationship Id="rId2623" Type="http://schemas.openxmlformats.org/officeDocument/2006/relationships/hyperlink" Target="http://www.tamanajoshi-h.ed.jp/" TargetMode="External"/><Relationship Id="rId2624" Type="http://schemas.openxmlformats.org/officeDocument/2006/relationships/hyperlink" Target="https://www.gakkou.net/kou/view/index_305926.html" TargetMode="External"/><Relationship Id="rId2625" Type="http://schemas.openxmlformats.org/officeDocument/2006/relationships/hyperlink" Target="http://www.chinzei.ed.jp/index.html" TargetMode="External"/><Relationship Id="rId2626" Type="http://schemas.openxmlformats.org/officeDocument/2006/relationships/hyperlink" Target="https://www.gakkou.net/kou/view/index_305911.html" TargetMode="External"/><Relationship Id="rId2627" Type="http://schemas.openxmlformats.org/officeDocument/2006/relationships/hyperlink" Target="https://www.seisho.tokai.ed.jp/access/" TargetMode="External"/><Relationship Id="rId2628" Type="http://schemas.openxmlformats.org/officeDocument/2006/relationships/hyperlink" Target="https://www.gakkou.net/kou/view/index_305910.html" TargetMode="External"/><Relationship Id="rId2629" Type="http://schemas.openxmlformats.org/officeDocument/2006/relationships/hyperlink" Target="https://www.hitotsuba.ed.jp/campus/principal/" TargetMode="External"/><Relationship Id="rId2630" Type="http://schemas.openxmlformats.org/officeDocument/2006/relationships/hyperlink" Target="https://www.gakkou.net/kou/view/index_306657.html" TargetMode="External"/><Relationship Id="rId2631" Type="http://schemas.openxmlformats.org/officeDocument/2006/relationships/hyperlink" Target="https://www.buntoku-h.ed.jp/buntoku/access/" TargetMode="External"/><Relationship Id="rId2632" Type="http://schemas.openxmlformats.org/officeDocument/2006/relationships/hyperlink" Target="https://www.gakkou.net/kou/view/index_305872.html" TargetMode="External"/><Relationship Id="rId2633" Type="http://schemas.openxmlformats.org/officeDocument/2006/relationships/hyperlink" Target="https://yatsushiro-shirayuri.ed.jp/" TargetMode="External"/><Relationship Id="rId2634" Type="http://schemas.openxmlformats.org/officeDocument/2006/relationships/hyperlink" Target="https://www.gakkou.net/kou/view/index_305933.html" TargetMode="External"/><Relationship Id="rId2635" Type="http://schemas.openxmlformats.org/officeDocument/2006/relationships/hyperlink" Target="https://zba.jp/tsushin-highschool/schools/detail-yushikokusai/pref-43/" TargetMode="External"/><Relationship Id="rId2636" Type="http://schemas.openxmlformats.org/officeDocument/2006/relationships/hyperlink" Target="https://www.gakkou.net/kou/view/index_306494.html" TargetMode="External"/><Relationship Id="rId2637" Type="http://schemas.openxmlformats.org/officeDocument/2006/relationships/hyperlink" Target="https://luther.ed.jp/" TargetMode="External"/><Relationship Id="rId2638" Type="http://schemas.openxmlformats.org/officeDocument/2006/relationships/hyperlink" Target="https://www.gakkou.net/kou/view/index_305875.html" TargetMode="External"/><Relationship Id="rId2639" Type="http://schemas.openxmlformats.org/officeDocument/2006/relationships/hyperlink" Target="https://inabagakuen.jp/access/" TargetMode="External"/><Relationship Id="rId2640" Type="http://schemas.openxmlformats.org/officeDocument/2006/relationships/hyperlink" Target="https://www.gakkou.net/kou/view/index_306033.html" TargetMode="External"/><Relationship Id="rId2641" Type="http://schemas.openxmlformats.org/officeDocument/2006/relationships/hyperlink" Target="https://www.iwata.ed.jp/menu2-6.html" TargetMode="External"/><Relationship Id="rId2642" Type="http://schemas.openxmlformats.org/officeDocument/2006/relationships/hyperlink" Target="https://www.gakkou.net/kou/view/index_305980.html" TargetMode="External"/><Relationship Id="rId2643" Type="http://schemas.openxmlformats.org/officeDocument/2006/relationships/hyperlink" Target="http://www.oita-h.ed.jp/about/access.php" TargetMode="External"/><Relationship Id="rId2644" Type="http://schemas.openxmlformats.org/officeDocument/2006/relationships/hyperlink" Target="https://www.gakkou.net/kou/view/index_305968.html" TargetMode="External"/><Relationship Id="rId2645" Type="http://schemas.openxmlformats.org/officeDocument/2006/relationships/hyperlink" Target="https://kokujou.ed.jp/school.php" TargetMode="External"/><Relationship Id="rId2646" Type="http://schemas.openxmlformats.org/officeDocument/2006/relationships/hyperlink" Target="https://www.gakkou.net/kou/view/index_305977.html" TargetMode="External"/><Relationship Id="rId2647" Type="http://schemas.openxmlformats.org/officeDocument/2006/relationships/hyperlink" Target="https://www.hiramatsu.ac.jp/tomei" TargetMode="External"/><Relationship Id="rId2648" Type="http://schemas.openxmlformats.org/officeDocument/2006/relationships/hyperlink" Target="https://www.gakkou.net/kou/view/index_305964.html" TargetMode="External"/><Relationship Id="rId2649" Type="http://schemas.openxmlformats.org/officeDocument/2006/relationships/hyperlink" Target="https://www.showa-h.ed.jp/blank-38" TargetMode="External"/><Relationship Id="rId2650" Type="http://schemas.openxmlformats.org/officeDocument/2006/relationships/hyperlink" Target="https://www.gakkou.net/kou/view/index_306028.html" TargetMode="External"/><Relationship Id="rId2651" Type="http://schemas.openxmlformats.org/officeDocument/2006/relationships/hyperlink" Target="http://tohin.ac.jp/" TargetMode="External"/><Relationship Id="rId2652" Type="http://schemas.openxmlformats.org/officeDocument/2006/relationships/hyperlink" Target="https://www.gakkou.net/kou/view/index_306027.html" TargetMode="External"/><Relationship Id="rId2653" Type="http://schemas.openxmlformats.org/officeDocument/2006/relationships/hyperlink" Target="https://www.nbu-h.ed.jp/" TargetMode="External"/><Relationship Id="rId2654" Type="http://schemas.openxmlformats.org/officeDocument/2006/relationships/hyperlink" Target="https://www.gakkou.net/kou/view/index_306021.html" TargetMode="External"/><Relationship Id="rId2655" Type="http://schemas.openxmlformats.org/officeDocument/2006/relationships/hyperlink" Target="https://hk-ryukoku.ed.jp/" TargetMode="External"/><Relationship Id="rId2656" Type="http://schemas.openxmlformats.org/officeDocument/2006/relationships/hyperlink" Target="https://www.gakkou.net/kou/view/index_305993.html" TargetMode="External"/><Relationship Id="rId2657" Type="http://schemas.openxmlformats.org/officeDocument/2006/relationships/hyperlink" Target="https://fukutoku.ed.jp/access/" TargetMode="External"/><Relationship Id="rId2658" Type="http://schemas.openxmlformats.org/officeDocument/2006/relationships/hyperlink" Target="https://www.gakkou.net/kou/view/index_305976.html" TargetMode="External"/><Relationship Id="rId2659" Type="http://schemas.openxmlformats.org/officeDocument/2006/relationships/hyperlink" Target="https://www.mizobe-h.ed.jp/about" TargetMode="External"/><Relationship Id="rId2660" Type="http://schemas.openxmlformats.org/officeDocument/2006/relationships/hyperlink" Target="https://www.gakkou.net/kou/view/index_306007.html" TargetMode="External"/><Relationship Id="rId2661" Type="http://schemas.openxmlformats.org/officeDocument/2006/relationships/hyperlink" Target="https://meiho-beppu.jp/access/" TargetMode="External"/><Relationship Id="rId2662" Type="http://schemas.openxmlformats.org/officeDocument/2006/relationships/hyperlink" Target="https://www.gakkou.net/kou/view/index_306005.html" TargetMode="External"/><Relationship Id="rId2663" Type="http://schemas.openxmlformats.org/officeDocument/2006/relationships/hyperlink" Target="https://yanagigaura.ed.jp/pages/1" TargetMode="External"/><Relationship Id="rId2664" Type="http://schemas.openxmlformats.org/officeDocument/2006/relationships/hyperlink" Target="https://www.gakkou.net/kou/view/index_305996.html" TargetMode="External"/><Relationship Id="rId2665" Type="http://schemas.openxmlformats.org/officeDocument/2006/relationships/hyperlink" Target="https://www.gotogakuen.ac.jp/yoshikan" TargetMode="External"/><Relationship Id="rId2666" Type="http://schemas.openxmlformats.org/officeDocument/2006/relationships/hyperlink" Target="https://www.gakkou.net/kou/view/index_305974.html" TargetMode="External"/><Relationship Id="rId2667" Type="http://schemas.openxmlformats.org/officeDocument/2006/relationships/hyperlink" Target="https://oubi.ed.jp/" TargetMode="External"/><Relationship Id="rId2668" Type="http://schemas.openxmlformats.org/officeDocument/2006/relationships/hyperlink" Target="https://www.gakkou.net/kou/view/index_306107.html" TargetMode="External"/><Relationship Id="rId2669" Type="http://schemas.openxmlformats.org/officeDocument/2006/relationships/hyperlink" Target="https://www.kobayashi-nishi.net/" TargetMode="External"/><Relationship Id="rId2670" Type="http://schemas.openxmlformats.org/officeDocument/2006/relationships/hyperlink" Target="https://www.gakkou.net/kou/view/index_306114.html" TargetMode="External"/><Relationship Id="rId2671" Type="http://schemas.openxmlformats.org/officeDocument/2006/relationships/hyperlink" Target="https://ursula.ed.jp/high/" TargetMode="External"/><Relationship Id="rId2672" Type="http://schemas.openxmlformats.org/officeDocument/2006/relationships/hyperlink" Target="https://www.gakkou.net/kou/view/index_306078.html" TargetMode="External"/><Relationship Id="rId2673" Type="http://schemas.openxmlformats.org/officeDocument/2006/relationships/hyperlink" Target="https://www.nichigaku-highschool.info/" TargetMode="External"/><Relationship Id="rId2674" Type="http://schemas.openxmlformats.org/officeDocument/2006/relationships/hyperlink" Target="https://www.gakkou.net/kou/view/index_306100.html" TargetMode="External"/><Relationship Id="rId2675" Type="http://schemas.openxmlformats.org/officeDocument/2006/relationships/hyperlink" Target="https://www.eigakukan.ed.jp/" TargetMode="External"/><Relationship Id="rId2676" Type="http://schemas.openxmlformats.org/officeDocument/2006/relationships/hyperlink" Target="https://www.gakkou.net/kou/view/index_306105.html" TargetMode="External"/><Relationship Id="rId2677" Type="http://schemas.openxmlformats.org/officeDocument/2006/relationships/hyperlink" Target="https://www.miyazaki-shigaku.jp/" TargetMode="External"/><Relationship Id="rId2678" Type="http://schemas.openxmlformats.org/officeDocument/2006/relationships/hyperlink" Target="https://www.gakkou.net/kou/view/index_306112.html" TargetMode="External"/><Relationship Id="rId2679" Type="http://schemas.openxmlformats.org/officeDocument/2006/relationships/hyperlink" Target="https://nissho.ed.jp/" TargetMode="External"/><Relationship Id="rId2680" Type="http://schemas.openxmlformats.org/officeDocument/2006/relationships/hyperlink" Target="https://www.gakkou.net/kou/view/index_306056.html" TargetMode="External"/><Relationship Id="rId2681" Type="http://schemas.openxmlformats.org/officeDocument/2006/relationships/hyperlink" Target="https://nobeokagakuen-ed.jp/" TargetMode="External"/><Relationship Id="rId2682" Type="http://schemas.openxmlformats.org/officeDocument/2006/relationships/hyperlink" Target="https://www.gakkou.net/kou/view/index_306072.html" TargetMode="External"/><Relationship Id="rId2683" Type="http://schemas.openxmlformats.org/officeDocument/2006/relationships/hyperlink" Target="https://www.hyugagakuin.ac.jp/" TargetMode="External"/><Relationship Id="rId2684" Type="http://schemas.openxmlformats.org/officeDocument/2006/relationships/hyperlink" Target="https://www.gakkou.net/kou/view/index_306060.html" TargetMode="External"/><Relationship Id="rId2685" Type="http://schemas.openxmlformats.org/officeDocument/2006/relationships/hyperlink" Target="https://www.hosho.ed.jp/contact/" TargetMode="External"/><Relationship Id="rId2686" Type="http://schemas.openxmlformats.org/officeDocument/2006/relationships/hyperlink" Target="https://www.gakkou.net/kou/view/index_306063.html" TargetMode="External"/><Relationship Id="rId2687" Type="http://schemas.openxmlformats.org/officeDocument/2006/relationships/hyperlink" Target="https://kubogakuen.ac.jp/" TargetMode="External"/><Relationship Id="rId2688" Type="http://schemas.openxmlformats.org/officeDocument/2006/relationships/hyperlink" Target="https://www.gakkou.net/kou/view/index_306095.html" TargetMode="External"/><Relationship Id="rId2689" Type="http://schemas.openxmlformats.org/officeDocument/2006/relationships/hyperlink" Target="https://www.mdominico.com/" TargetMode="External"/><Relationship Id="rId2690" Type="http://schemas.openxmlformats.org/officeDocument/2006/relationships/hyperlink" Target="https://www.gakkou.net/kou/view/index_306092.html" TargetMode="External"/><Relationship Id="rId2691" Type="http://schemas.openxmlformats.org/officeDocument/2006/relationships/hyperlink" Target="https://www.miyagaku.ed.jp/houjinhonbu/access.html" TargetMode="External"/><Relationship Id="rId2692" Type="http://schemas.openxmlformats.org/officeDocument/2006/relationships/hyperlink" Target="https://www.gakkou.net/kou/view/index_306059.html" TargetMode="External"/><Relationship Id="rId2693" Type="http://schemas.openxmlformats.org/officeDocument/2006/relationships/hyperlink" Target="https://www.sun.pref.miyazaki.lg.jp/facilities_view/58.html" TargetMode="External"/><Relationship Id="rId2694" Type="http://schemas.openxmlformats.org/officeDocument/2006/relationships/hyperlink" Target="https://www.gakkou.net/kou/view/index_306061.html" TargetMode="External"/><Relationship Id="rId2695" Type="http://schemas.openxmlformats.org/officeDocument/2006/relationships/hyperlink" Target="https://www.m-nichidai.com/" TargetMode="External"/><Relationship Id="rId2696" Type="http://schemas.openxmlformats.org/officeDocument/2006/relationships/hyperlink" Target="https://www.gakkou.net/kou/view/index_306054.html" TargetMode="External"/><Relationship Id="rId2697" Type="http://schemas.openxmlformats.org/officeDocument/2006/relationships/hyperlink" Target="http://ikeda-gakuen.ed.jp/" TargetMode="External"/><Relationship Id="rId2698" Type="http://schemas.openxmlformats.org/officeDocument/2006/relationships/hyperlink" Target="https://www.gakkou.net/kou/view/index_306122.html" TargetMode="External"/><Relationship Id="rId2699" Type="http://schemas.openxmlformats.org/officeDocument/2006/relationships/hyperlink" Target="https://izumi.ac.jp/school-info/facility-info/" TargetMode="External"/><Relationship Id="rId2700" Type="http://schemas.openxmlformats.org/officeDocument/2006/relationships/hyperlink" Target="https://www.gakkou.net/kou/view/index_306198.html" TargetMode="External"/><Relationship Id="rId2701" Type="http://schemas.openxmlformats.org/officeDocument/2006/relationships/hyperlink" Target="https://www.okuchimeiko.ac.jp/inquiry/index.html" TargetMode="External"/><Relationship Id="rId2702" Type="http://schemas.openxmlformats.org/officeDocument/2006/relationships/hyperlink" Target="https://www.gakkou.net/kou/view/index_306182.html" TargetMode="External"/><Relationship Id="rId2703" Type="http://schemas.openxmlformats.org/officeDocument/2006/relationships/hyperlink" Target="https://ikueikan.ed.jp/contact/" TargetMode="External"/><Relationship Id="rId2704" Type="http://schemas.openxmlformats.org/officeDocument/2006/relationships/hyperlink" Target="https://www.gakkou.net/kou/view/index_306208.html" TargetMode="External"/><Relationship Id="rId2705" Type="http://schemas.openxmlformats.org/officeDocument/2006/relationships/hyperlink" Target="https://www.kagoshima-h.ed.jp/about/" TargetMode="External"/><Relationship Id="rId2706" Type="http://schemas.openxmlformats.org/officeDocument/2006/relationships/hyperlink" Target="https://www.gakkou.net/kou/view/index_306126.html" TargetMode="External"/><Relationship Id="rId2707" Type="http://schemas.openxmlformats.org/officeDocument/2006/relationships/hyperlink" Target="https://www.shugakukan.ed.jp/profile/" TargetMode="External"/><Relationship Id="rId2708" Type="http://schemas.openxmlformats.org/officeDocument/2006/relationships/hyperlink" Target="https://www.gakkou.net/kou/view/index_306431.html" TargetMode="External"/><Relationship Id="rId2709" Type="http://schemas.openxmlformats.org/officeDocument/2006/relationships/hyperlink" Target="https://www.kajitsu.ac.jp/" TargetMode="External"/><Relationship Id="rId2710" Type="http://schemas.openxmlformats.org/officeDocument/2006/relationships/hyperlink" Target="https://www.gakkou.net/kou/view/index_306123.html" TargetMode="External"/><Relationship Id="rId2711" Type="http://schemas.openxmlformats.org/officeDocument/2006/relationships/hyperlink" Target="https://www.k-junshin.ed.jp/" TargetMode="External"/><Relationship Id="rId2712" Type="http://schemas.openxmlformats.org/officeDocument/2006/relationships/hyperlink" Target="https://www.gakkou.net/kou/view/index_306131.html" TargetMode="External"/><Relationship Id="rId2713" Type="http://schemas.openxmlformats.org/officeDocument/2006/relationships/hyperlink" Target="https://kjh.ed.jp/introduction" TargetMode="External"/><Relationship Id="rId2714" Type="http://schemas.openxmlformats.org/officeDocument/2006/relationships/hyperlink" Target="https://www.gakkou.net/kou/view/index_306209.html" TargetMode="External"/><Relationship Id="rId2715" Type="http://schemas.openxmlformats.org/officeDocument/2006/relationships/hyperlink" Target="https://ka-joho.jp/contactus/" TargetMode="External"/><Relationship Id="rId2716" Type="http://schemas.openxmlformats.org/officeDocument/2006/relationships/hyperlink" Target="https://www.gakkou.net/kou/view/index_306124.html" TargetMode="External"/><Relationship Id="rId2717" Type="http://schemas.openxmlformats.org/officeDocument/2006/relationships/hyperlink" Target="https://h-kd.tsuzuki-edu.ac.jp/access/" TargetMode="External"/><Relationship Id="rId2718" Type="http://schemas.openxmlformats.org/officeDocument/2006/relationships/hyperlink" Target="https://www.gakkou.net/kou/view/index_306213.html" TargetMode="External"/><Relationship Id="rId2719" Type="http://schemas.openxmlformats.org/officeDocument/2006/relationships/hyperlink" Target="https://www.kanoya-chuo.ed.jp/" TargetMode="External"/><Relationship Id="rId2720" Type="http://schemas.openxmlformats.org/officeDocument/2006/relationships/hyperlink" Target="https://www.gakkou.net/kou/view/index_306158.html" TargetMode="External"/><Relationship Id="rId2721" Type="http://schemas.openxmlformats.org/officeDocument/2006/relationships/hyperlink" Target="https://angel.kamimura.ac.jp/access/" TargetMode="External"/><Relationship Id="rId2722" Type="http://schemas.openxmlformats.org/officeDocument/2006/relationships/hyperlink" Target="https://www.gakkou.net/kou/view/index_306184.html" TargetMode="External"/><Relationship Id="rId2723" Type="http://schemas.openxmlformats.org/officeDocument/2006/relationships/hyperlink" Target="https://www.jh.shigakukan.ac.jp/" TargetMode="External"/><Relationship Id="rId2724" Type="http://schemas.openxmlformats.org/officeDocument/2006/relationships/hyperlink" Target="https://www.gakkou.net/kou/view/index_306130.html" TargetMode="External"/><Relationship Id="rId2725" Type="http://schemas.openxmlformats.org/officeDocument/2006/relationships/hyperlink" Target="https://www.shoshikan.ed.jp/" TargetMode="External"/><Relationship Id="rId2726" Type="http://schemas.openxmlformats.org/officeDocument/2006/relationships/hyperlink" Target="https://www.gakkou.net/kou/view/index_306226.html" TargetMode="External"/><Relationship Id="rId2727" Type="http://schemas.openxmlformats.org/officeDocument/2006/relationships/hyperlink" Target="https://www.shonan-h.ac.jp/" TargetMode="External"/><Relationship Id="rId2728" Type="http://schemas.openxmlformats.org/officeDocument/2006/relationships/hyperlink" Target="https://www.gakkou.net/kou/view/index_306127.html" TargetMode="External"/><Relationship Id="rId2729" Type="http://schemas.openxmlformats.org/officeDocument/2006/relationships/hyperlink" Target="https://www.shonandaini.jp/" TargetMode="External"/><Relationship Id="rId2730" Type="http://schemas.openxmlformats.org/officeDocument/2006/relationships/hyperlink" Target="https://www.gakkou.net/kou/view/index_306149.html" TargetMode="External"/><Relationship Id="rId2731" Type="http://schemas.openxmlformats.org/officeDocument/2006/relationships/hyperlink" Target="https://hooh.ed.jp/info/introduction/outline/" TargetMode="External"/><Relationship Id="rId2732" Type="http://schemas.openxmlformats.org/officeDocument/2006/relationships/hyperlink" Target="https://www.gakkou.net/kou/view/index_306190.html" TargetMode="External"/><Relationship Id="rId2733" Type="http://schemas.openxmlformats.org/officeDocument/2006/relationships/hyperlink" Target="http://kagoshima-shigaku.com/school/id19.html" TargetMode="External"/><Relationship Id="rId2734" Type="http://schemas.openxmlformats.org/officeDocument/2006/relationships/hyperlink" Target="https://www.gakkou.net/kou/view/index_306492.html" TargetMode="External"/><Relationship Id="rId2735" Type="http://schemas.openxmlformats.org/officeDocument/2006/relationships/hyperlink" Target="https://www.lasalle.ed.jp/about/access/" TargetMode="External"/><Relationship Id="rId2736" Type="http://schemas.openxmlformats.org/officeDocument/2006/relationships/hyperlink" Target="https://www.gakkou.net/kou/view/index_306132.html" TargetMode="External"/><Relationship Id="rId2737" Type="http://schemas.openxmlformats.org/officeDocument/2006/relationships/hyperlink" Target="https://gh-kagoshima.ac.jp/otoi.html" TargetMode="External"/><Relationship Id="rId2738" Type="http://schemas.openxmlformats.org/officeDocument/2006/relationships/hyperlink" Target="https://www.gakkou.net/kou/view/index_306220.html" TargetMode="External"/><Relationship Id="rId2739" Type="http://schemas.openxmlformats.org/officeDocument/2006/relationships/hyperlink" Target="https://reimei.ed.jp/" TargetMode="External"/><Relationship Id="rId2740" Type="http://schemas.openxmlformats.org/officeDocument/2006/relationships/hyperlink" Target="https://www.gakkou.net/kou/view/index_306173.html" TargetMode="External"/><Relationship Id="rId2741" Type="http://schemas.openxmlformats.org/officeDocument/2006/relationships/hyperlink" Target="https://www.oshiro.ed.jp/enagicsports-hs/access/" TargetMode="External"/><Relationship Id="rId2742" Type="http://schemas.openxmlformats.org/officeDocument/2006/relationships/hyperlink" Target="https://www.gakkou.net/kou/view/index_306790.html" TargetMode="External"/><Relationship Id="rId2743" Type="http://schemas.openxmlformats.org/officeDocument/2006/relationships/hyperlink" Target="https://www.mext.go.jp/content/20220218-mxt_koukou02-000020723_13.pdf" TargetMode="External"/><Relationship Id="rId2744" Type="http://schemas.openxmlformats.org/officeDocument/2006/relationships/hyperlink" Target="https://www.gakkou.net/kou/view/index_306767.html" TargetMode="External"/><Relationship Id="rId2745" Type="http://schemas.openxmlformats.org/officeDocument/2006/relationships/hyperlink" Target="https://www.catholic-okinawa.ed.jp/junior-and-senior-highschool/entrance-exam/" TargetMode="External"/><Relationship Id="rId2746" Type="http://schemas.openxmlformats.org/officeDocument/2006/relationships/hyperlink" Target="https://www.gakkou.net/kou/view/index_306475.html" TargetMode="External"/><Relationship Id="rId2747" Type="http://schemas.openxmlformats.org/officeDocument/2006/relationships/hyperlink" Target="https://www.pref.okinawa.lg.jp/kyoiku/gakko/1008900/1018622/1009323/1009331.html" TargetMode="External"/><Relationship Id="rId2748" Type="http://schemas.openxmlformats.org/officeDocument/2006/relationships/hyperlink" Target="https://www.gakkou.net/kou/view/index_306267.html" TargetMode="External"/><Relationship Id="rId2749" Type="http://schemas.openxmlformats.org/officeDocument/2006/relationships/hyperlink" Target="https://konan-h.ed.jp/" TargetMode="External"/><Relationship Id="rId2750" Type="http://schemas.openxmlformats.org/officeDocument/2006/relationships/hyperlink" Target="https://www.gakkou.net/kou/view/index_306262.html" TargetMode="External"/><Relationship Id="rId2751" Type="http://schemas.openxmlformats.org/officeDocument/2006/relationships/hyperlink" Target="https://www.showayakka-jh.ed.jp/about/disclosure/access/" TargetMode="External"/><Relationship Id="rId2752" Type="http://schemas.openxmlformats.org/officeDocument/2006/relationships/hyperlink" Target="https://www.gakkou.net/kou/view/index_306251.html" TargetMode="External"/><Relationship Id="rId2753" Type="http://schemas.openxmlformats.org/officeDocument/2006/relationships/hyperlink" Target="https://www.sendaiikuei.ed.jp/okinawa/intro/access/" TargetMode="External"/><Relationship Id="rId2754" Type="http://schemas.openxmlformats.org/officeDocument/2006/relationships/hyperlink" Target="https://www.gakkou.net/kou/view/index_306786.html" TargetMode="External"/><Relationship Id="rId2755" Type="http://schemas.openxmlformats.org/officeDocument/2006/relationships/hyperlink" Target="https://www.pref.okinawa.jp/kyoiku/gakko/1008900/1018622/1009323/1009383.html" TargetMode="External"/><Relationship Id="rId2756" Type="http://schemas.openxmlformats.org/officeDocument/2006/relationships/hyperlink" Target="https://www.gakkou.net/kou/view/index_306407.html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akkou.net/kou/view/index_300269.html" TargetMode="External"/><Relationship Id="rId2" Type="http://schemas.openxmlformats.org/officeDocument/2006/relationships/hyperlink" Target="https://www.gakkou.net/kou/view/index_300224.html" TargetMode="External"/><Relationship Id="rId3" Type="http://schemas.openxmlformats.org/officeDocument/2006/relationships/hyperlink" Target="https://www.gakkou.net/kou/view/index_300215.html" TargetMode="External"/><Relationship Id="rId4" Type="http://schemas.openxmlformats.org/officeDocument/2006/relationships/hyperlink" Target="https://www.gakkou.net/kou/view/index_300258.html" TargetMode="External"/><Relationship Id="rId5" Type="http://schemas.openxmlformats.org/officeDocument/2006/relationships/hyperlink" Target="https://www.gakkou.net/kou/view/index_300257.html" TargetMode="External"/><Relationship Id="rId6" Type="http://schemas.openxmlformats.org/officeDocument/2006/relationships/hyperlink" Target="https://www.gakkou.net/kou/view/index_300035.html" TargetMode="External"/><Relationship Id="rId7" Type="http://schemas.openxmlformats.org/officeDocument/2006/relationships/hyperlink" Target="https://www.gakkou.net/kou/view/index_306474.html" TargetMode="External"/><Relationship Id="rId8" Type="http://schemas.openxmlformats.org/officeDocument/2006/relationships/hyperlink" Target="https://www.gakkou.net/kou/view/index_300073.html" TargetMode="External"/><Relationship Id="rId9" Type="http://schemas.openxmlformats.org/officeDocument/2006/relationships/hyperlink" Target="https://www.gakkou.net/kou/view/index_300077.html" TargetMode="External"/><Relationship Id="rId10" Type="http://schemas.openxmlformats.org/officeDocument/2006/relationships/hyperlink" Target="https://www.gakkou.net/kou/view/index_300273.html" TargetMode="External"/><Relationship Id="rId11" Type="http://schemas.openxmlformats.org/officeDocument/2006/relationships/hyperlink" Target="https://www.gakkou.net/kou/view/index_300279.html" TargetMode="External"/><Relationship Id="rId12" Type="http://schemas.openxmlformats.org/officeDocument/2006/relationships/hyperlink" Target="https://www.gakkou.net/kou/view/index_300107.html" TargetMode="External"/><Relationship Id="rId13" Type="http://schemas.openxmlformats.org/officeDocument/2006/relationships/hyperlink" Target="https://www.gakkou.net/kou/view/index_300332.html" TargetMode="External"/><Relationship Id="rId14" Type="http://schemas.openxmlformats.org/officeDocument/2006/relationships/hyperlink" Target="https://www.gakkou.net/kou/view/index_306309.html" TargetMode="External"/><Relationship Id="rId15" Type="http://schemas.openxmlformats.org/officeDocument/2006/relationships/hyperlink" Target="https://www.gakkou.net/kou/view/index_300119.html" TargetMode="External"/><Relationship Id="rId16" Type="http://schemas.openxmlformats.org/officeDocument/2006/relationships/hyperlink" Target="https://www.gakkou.net/kou/view/index_300030.html" TargetMode="External"/><Relationship Id="rId17" Type="http://schemas.openxmlformats.org/officeDocument/2006/relationships/hyperlink" Target="https://www.gakkou.net/kou/view/index_300032.html" TargetMode="External"/><Relationship Id="rId18" Type="http://schemas.openxmlformats.org/officeDocument/2006/relationships/hyperlink" Target="https://www.gakkou.net/kou/view/index_300015.html" TargetMode="External"/><Relationship Id="rId19" Type="http://schemas.openxmlformats.org/officeDocument/2006/relationships/hyperlink" Target="https://www.gakkou.net/kou/view/index_306723.html" TargetMode="External"/><Relationship Id="rId20" Type="http://schemas.openxmlformats.org/officeDocument/2006/relationships/hyperlink" Target="https://www.gakkou.net/kou/view/index_300147.html" TargetMode="External"/><Relationship Id="rId21" Type="http://schemas.openxmlformats.org/officeDocument/2006/relationships/hyperlink" Target="https://www.gakkou.net/kou/view/index_300153.html" TargetMode="External"/><Relationship Id="rId22" Type="http://schemas.openxmlformats.org/officeDocument/2006/relationships/hyperlink" Target="https://www.gakkou.net/kou/view/index_300170.html" TargetMode="External"/><Relationship Id="rId23" Type="http://schemas.openxmlformats.org/officeDocument/2006/relationships/hyperlink" Target="https://www.gakkou.net/kou/view/index_300159.html" TargetMode="External"/><Relationship Id="rId24" Type="http://schemas.openxmlformats.org/officeDocument/2006/relationships/hyperlink" Target="https://www.gakkou.net/kou/view/index_300031.html" TargetMode="External"/><Relationship Id="rId25" Type="http://schemas.openxmlformats.org/officeDocument/2006/relationships/hyperlink" Target="https://www.gakkou.net/kou/view/index_300178.html" TargetMode="External"/><Relationship Id="rId26" Type="http://schemas.openxmlformats.org/officeDocument/2006/relationships/hyperlink" Target="https://www.gakkou.net/kou/view/index_300142.html" TargetMode="External"/><Relationship Id="rId27" Type="http://schemas.openxmlformats.org/officeDocument/2006/relationships/hyperlink" Target="https://www.gakkou.net/kou/view/index_300290.html" TargetMode="External"/><Relationship Id="rId28" Type="http://schemas.openxmlformats.org/officeDocument/2006/relationships/hyperlink" Target="https://www.gakkou.net/kou/view/index_306406.html" TargetMode="External"/><Relationship Id="rId29" Type="http://schemas.openxmlformats.org/officeDocument/2006/relationships/hyperlink" Target="https://www.gakkou.net/kou/view/index_300044.html" TargetMode="External"/><Relationship Id="rId30" Type="http://schemas.openxmlformats.org/officeDocument/2006/relationships/hyperlink" Target="https://www.gakkou.net/kou/view/index_300017.html" TargetMode="External"/><Relationship Id="rId31" Type="http://schemas.openxmlformats.org/officeDocument/2006/relationships/hyperlink" Target="https://www.gakkou.net/kou/view/index_300122.html" TargetMode="External"/><Relationship Id="rId32" Type="http://schemas.openxmlformats.org/officeDocument/2006/relationships/hyperlink" Target="https://www.gakkou.net/kou/view/index_306787.html" TargetMode="External"/><Relationship Id="rId33" Type="http://schemas.openxmlformats.org/officeDocument/2006/relationships/hyperlink" Target="https://www.gakkou.net/kou/view/index_300050.html" TargetMode="External"/><Relationship Id="rId34" Type="http://schemas.openxmlformats.org/officeDocument/2006/relationships/hyperlink" Target="https://www.gakkou.net/kou/view/index_300034.html" TargetMode="External"/><Relationship Id="rId35" Type="http://schemas.openxmlformats.org/officeDocument/2006/relationships/hyperlink" Target="https://www.gakkou.net/kou/view/index_300045.html" TargetMode="External"/><Relationship Id="rId36" Type="http://schemas.openxmlformats.org/officeDocument/2006/relationships/hyperlink" Target="https://www.gakkou.net/kou/view/index_300055.html" TargetMode="External"/><Relationship Id="rId37" Type="http://schemas.openxmlformats.org/officeDocument/2006/relationships/hyperlink" Target="https://www.gakkou.net/kou/view/index_300054.html" TargetMode="External"/><Relationship Id="rId38" Type="http://schemas.openxmlformats.org/officeDocument/2006/relationships/hyperlink" Target="https://www.gakkou.net/kou/view/index_300047.html" TargetMode="External"/><Relationship Id="rId39" Type="http://schemas.openxmlformats.org/officeDocument/2006/relationships/hyperlink" Target="https://www.gakkou.net/kou/view/index_300154.html" TargetMode="External"/><Relationship Id="rId40" Type="http://schemas.openxmlformats.org/officeDocument/2006/relationships/hyperlink" Target="https://www.gakkou.net/kou/view/index_300301.html" TargetMode="External"/><Relationship Id="rId41" Type="http://schemas.openxmlformats.org/officeDocument/2006/relationships/hyperlink" Target="https://www.gakkou.net/kou/view/index_300076.html" TargetMode="External"/><Relationship Id="rId42" Type="http://schemas.openxmlformats.org/officeDocument/2006/relationships/hyperlink" Target="https://www.gakkou.net/kou/view/index_300148.html" TargetMode="External"/><Relationship Id="rId43" Type="http://schemas.openxmlformats.org/officeDocument/2006/relationships/hyperlink" Target="https://www.gakkou.net/kou/view/index_300012.html" TargetMode="External"/><Relationship Id="rId44" Type="http://schemas.openxmlformats.org/officeDocument/2006/relationships/hyperlink" Target="https://www.gakkou.net/kou/view/index_300066.html" TargetMode="External"/><Relationship Id="rId45" Type="http://schemas.openxmlformats.org/officeDocument/2006/relationships/hyperlink" Target="https://www.gakkou.net/kou/view/index_300169.html" TargetMode="External"/><Relationship Id="rId46" Type="http://schemas.openxmlformats.org/officeDocument/2006/relationships/hyperlink" Target="https://www.gakkou.net/kou/view/index_300174.html" TargetMode="External"/><Relationship Id="rId47" Type="http://schemas.openxmlformats.org/officeDocument/2006/relationships/hyperlink" Target="https://www.gakkou.net/kou/view/index_300173.html" TargetMode="External"/><Relationship Id="rId48" Type="http://schemas.openxmlformats.org/officeDocument/2006/relationships/hyperlink" Target="https://www.gakkou.net/kou/view/index_300105.html" TargetMode="External"/><Relationship Id="rId49" Type="http://schemas.openxmlformats.org/officeDocument/2006/relationships/hyperlink" Target="https://www.gakkou.net/kou/view/index_300175.html" TargetMode="External"/><Relationship Id="rId50" Type="http://schemas.openxmlformats.org/officeDocument/2006/relationships/hyperlink" Target="https://www.gakkou.net/kou/view/index_306548.html" TargetMode="External"/><Relationship Id="rId51" Type="http://schemas.openxmlformats.org/officeDocument/2006/relationships/hyperlink" Target="https://www.gakkou.net/kou/view/index_300137.html" TargetMode="External"/><Relationship Id="rId52" Type="http://schemas.openxmlformats.org/officeDocument/2006/relationships/hyperlink" Target="https://www.gakkou.net/kou/view/index_300021.html" TargetMode="External"/><Relationship Id="rId53" Type="http://schemas.openxmlformats.org/officeDocument/2006/relationships/hyperlink" Target="https://www.gakkou.net/kou/view/index_300202.html" TargetMode="External"/><Relationship Id="rId54" Type="http://schemas.openxmlformats.org/officeDocument/2006/relationships/hyperlink" Target="https://www.gakkou.net/kou/view/index_300201.html" TargetMode="External"/><Relationship Id="rId55" Type="http://schemas.openxmlformats.org/officeDocument/2006/relationships/hyperlink" Target="https://www.gakkou.net/kou/view/index_300355.html" TargetMode="External"/><Relationship Id="rId56" Type="http://schemas.openxmlformats.org/officeDocument/2006/relationships/hyperlink" Target="https://www.gakkou.net/kou/view/index_300402.html" TargetMode="External"/><Relationship Id="rId57" Type="http://schemas.openxmlformats.org/officeDocument/2006/relationships/hyperlink" Target="https://www.gakkou.net/kou/view/index_300394.html" TargetMode="External"/><Relationship Id="rId58" Type="http://schemas.openxmlformats.org/officeDocument/2006/relationships/hyperlink" Target="https://www.gakkou.net/kou/view/index_300406.html" TargetMode="External"/><Relationship Id="rId59" Type="http://schemas.openxmlformats.org/officeDocument/2006/relationships/hyperlink" Target="https://www.gakkou.net/kou/view/index_300449.html" TargetMode="External"/><Relationship Id="rId60" Type="http://schemas.openxmlformats.org/officeDocument/2006/relationships/hyperlink" Target="https://www.gakkou.net/kou/view/index_300441.html" TargetMode="External"/><Relationship Id="rId61" Type="http://schemas.openxmlformats.org/officeDocument/2006/relationships/hyperlink" Target="https://www.gakkou.net/kou/view/index_300453.html" TargetMode="External"/><Relationship Id="rId62" Type="http://schemas.openxmlformats.org/officeDocument/2006/relationships/hyperlink" Target="https://www.gakkou.net/kou/view/index_300489.html" TargetMode="External"/><Relationship Id="rId63" Type="http://schemas.openxmlformats.org/officeDocument/2006/relationships/hyperlink" Target="https://www.gakkou.net/kou/view/index_300405.html" TargetMode="External"/><Relationship Id="rId64" Type="http://schemas.openxmlformats.org/officeDocument/2006/relationships/hyperlink" Target="https://www.gakkou.net/kou/view/index_300392.html" TargetMode="External"/><Relationship Id="rId65" Type="http://schemas.openxmlformats.org/officeDocument/2006/relationships/hyperlink" Target="https://www.gakkou.net/kou/view/index_300439.html" TargetMode="External"/><Relationship Id="rId66" Type="http://schemas.openxmlformats.org/officeDocument/2006/relationships/hyperlink" Target="https://www.gakkou.net/kou/view/index_300413.html" TargetMode="External"/><Relationship Id="rId67" Type="http://schemas.openxmlformats.org/officeDocument/2006/relationships/hyperlink" Target="https://www.gakkou.net/kou/view/index_306426.html" TargetMode="External"/><Relationship Id="rId68" Type="http://schemas.openxmlformats.org/officeDocument/2006/relationships/hyperlink" Target="https://www.gakkou.net/kou/view/index_300418.html" TargetMode="External"/><Relationship Id="rId69" Type="http://schemas.openxmlformats.org/officeDocument/2006/relationships/hyperlink" Target="https://www.gakkou.net/kou/view/index_300415.html" TargetMode="External"/><Relationship Id="rId70" Type="http://schemas.openxmlformats.org/officeDocument/2006/relationships/hyperlink" Target="https://www.gakkou.net/kou/view/index_300480.html" TargetMode="External"/><Relationship Id="rId71" Type="http://schemas.openxmlformats.org/officeDocument/2006/relationships/hyperlink" Target="https://www.gakkou.net/kou/view/index_300440.html" TargetMode="External"/><Relationship Id="rId72" Type="http://schemas.openxmlformats.org/officeDocument/2006/relationships/hyperlink" Target="https://www.gakkou.net/kou/view/index_300438.html" TargetMode="External"/><Relationship Id="rId73" Type="http://schemas.openxmlformats.org/officeDocument/2006/relationships/hyperlink" Target="https://www.gakkou.net/kou/view/index_300522.html" TargetMode="External"/><Relationship Id="rId74" Type="http://schemas.openxmlformats.org/officeDocument/2006/relationships/hyperlink" Target="https://www.gakkou.net/kou/view/index_300521.html" TargetMode="External"/><Relationship Id="rId75" Type="http://schemas.openxmlformats.org/officeDocument/2006/relationships/hyperlink" Target="https://www.gakkou.net/kou/view/index_300499.html" TargetMode="External"/><Relationship Id="rId76" Type="http://schemas.openxmlformats.org/officeDocument/2006/relationships/hyperlink" Target="https://www.gakkou.net/kou/view/index_300496.html" TargetMode="External"/><Relationship Id="rId77" Type="http://schemas.openxmlformats.org/officeDocument/2006/relationships/hyperlink" Target="https://www.gakkou.net/kou/view/index_300506.html" TargetMode="External"/><Relationship Id="rId78" Type="http://schemas.openxmlformats.org/officeDocument/2006/relationships/hyperlink" Target="https://www.gakkou.net/kou/view/index_300544.html" TargetMode="External"/><Relationship Id="rId79" Type="http://schemas.openxmlformats.org/officeDocument/2006/relationships/hyperlink" Target="https://www.gakkou.net/kou/view/index_300548.html" TargetMode="External"/><Relationship Id="rId80" Type="http://schemas.openxmlformats.org/officeDocument/2006/relationships/hyperlink" Target="https://www.gakkou.net/kou/view/index_300536.html" TargetMode="External"/><Relationship Id="rId81" Type="http://schemas.openxmlformats.org/officeDocument/2006/relationships/hyperlink" Target="https://www.gakkou.net/kou/view/index_300495.html" TargetMode="External"/><Relationship Id="rId82" Type="http://schemas.openxmlformats.org/officeDocument/2006/relationships/hyperlink" Target="https://www.gakkou.net/kou/view/index_300516.html" TargetMode="External"/><Relationship Id="rId83" Type="http://schemas.openxmlformats.org/officeDocument/2006/relationships/hyperlink" Target="https://www.gakkou.net/kou/view/index_300503.html" TargetMode="External"/><Relationship Id="rId84" Type="http://schemas.openxmlformats.org/officeDocument/2006/relationships/hyperlink" Target="https://www.gakkou.net/kou/view/index_300505.html" TargetMode="External"/><Relationship Id="rId85" Type="http://schemas.openxmlformats.org/officeDocument/2006/relationships/hyperlink" Target="https://www.gakkou.net/kou/view/index_300504.html" TargetMode="External"/><Relationship Id="rId86" Type="http://schemas.openxmlformats.org/officeDocument/2006/relationships/hyperlink" Target="https://www.gakkou.net/kou/view/index_300725.html" TargetMode="External"/><Relationship Id="rId87" Type="http://schemas.openxmlformats.org/officeDocument/2006/relationships/hyperlink" Target="https://www.gakkou.net/kou/view/index_300616.html" TargetMode="External"/><Relationship Id="rId88" Type="http://schemas.openxmlformats.org/officeDocument/2006/relationships/hyperlink" Target="https://www.gakkou.net/kou/view/index_300657.html" TargetMode="External"/><Relationship Id="rId89" Type="http://schemas.openxmlformats.org/officeDocument/2006/relationships/hyperlink" Target="https://www.gakkou.net/kou/view/index_300617.html" TargetMode="External"/><Relationship Id="rId90" Type="http://schemas.openxmlformats.org/officeDocument/2006/relationships/hyperlink" Target="https://www.gakkou.net/kou/view/index_300654.html" TargetMode="External"/><Relationship Id="rId91" Type="http://schemas.openxmlformats.org/officeDocument/2006/relationships/hyperlink" Target="https://www.gakkou.net/kou/view/index_300651.html" TargetMode="External"/><Relationship Id="rId92" Type="http://schemas.openxmlformats.org/officeDocument/2006/relationships/hyperlink" Target="https://www.gakkou.net/kou/view/index_300608.html" TargetMode="External"/><Relationship Id="rId93" Type="http://schemas.openxmlformats.org/officeDocument/2006/relationships/hyperlink" Target="https://www.gakkou.net/kou/view/index_306757.html" TargetMode="External"/><Relationship Id="rId94" Type="http://schemas.openxmlformats.org/officeDocument/2006/relationships/hyperlink" Target="https://www.gakkou.net/kou/view/index_300625.html" TargetMode="External"/><Relationship Id="rId95" Type="http://schemas.openxmlformats.org/officeDocument/2006/relationships/hyperlink" Target="https://www.gakkou.net/kou/view/index_300609.html" TargetMode="External"/><Relationship Id="rId96" Type="http://schemas.openxmlformats.org/officeDocument/2006/relationships/hyperlink" Target="https://www.gakkou.net/kou/view/index_300632.html" TargetMode="External"/><Relationship Id="rId97" Type="http://schemas.openxmlformats.org/officeDocument/2006/relationships/hyperlink" Target="https://www.gakkou.net/kou/view/index_300623.html" TargetMode="External"/><Relationship Id="rId98" Type="http://schemas.openxmlformats.org/officeDocument/2006/relationships/hyperlink" Target="https://www.gakkou.net/kou/view/index_300641.html" TargetMode="External"/><Relationship Id="rId99" Type="http://schemas.openxmlformats.org/officeDocument/2006/relationships/hyperlink" Target="https://www.gakkou.net/kou/view/index_300698.html" TargetMode="External"/><Relationship Id="rId100" Type="http://schemas.openxmlformats.org/officeDocument/2006/relationships/hyperlink" Target="https://www.gakkou.net/kou/view/index_300607.html" TargetMode="External"/><Relationship Id="rId101" Type="http://schemas.openxmlformats.org/officeDocument/2006/relationships/hyperlink" Target="https://www.gakkou.net/kou/view/index_300704.html" TargetMode="External"/><Relationship Id="rId102" Type="http://schemas.openxmlformats.org/officeDocument/2006/relationships/hyperlink" Target="https://www.gakkou.net/kou/view/index_300726.html" TargetMode="External"/><Relationship Id="rId103" Type="http://schemas.openxmlformats.org/officeDocument/2006/relationships/hyperlink" Target="https://www.gakkou.net/kou/view/index_300626.html" TargetMode="External"/><Relationship Id="rId104" Type="http://schemas.openxmlformats.org/officeDocument/2006/relationships/hyperlink" Target="https://www.gakkou.net/kou/view/index_300765.html" TargetMode="External"/><Relationship Id="rId105" Type="http://schemas.openxmlformats.org/officeDocument/2006/relationships/hyperlink" Target="https://www.gakkou.net/kou/view/index_300744.html" TargetMode="External"/><Relationship Id="rId106" Type="http://schemas.openxmlformats.org/officeDocument/2006/relationships/hyperlink" Target="https://www.gakkou.net/kou/view/index_300742.html" TargetMode="External"/><Relationship Id="rId107" Type="http://schemas.openxmlformats.org/officeDocument/2006/relationships/hyperlink" Target="https://www.gakkou.net/kou/view/index_300733.html" TargetMode="External"/><Relationship Id="rId108" Type="http://schemas.openxmlformats.org/officeDocument/2006/relationships/hyperlink" Target="https://www.gakkou.net/kou/view/index_300734.html" TargetMode="External"/><Relationship Id="rId109" Type="http://schemas.openxmlformats.org/officeDocument/2006/relationships/hyperlink" Target="https://www.gakkou.net/kou/view/index_300872.html" TargetMode="External"/><Relationship Id="rId110" Type="http://schemas.openxmlformats.org/officeDocument/2006/relationships/hyperlink" Target="https://www.gakkou.net/kou/view/index_300830.html" TargetMode="External"/><Relationship Id="rId111" Type="http://schemas.openxmlformats.org/officeDocument/2006/relationships/hyperlink" Target="https://www.gakkou.net/kou/view/index_300864.html" TargetMode="External"/><Relationship Id="rId112" Type="http://schemas.openxmlformats.org/officeDocument/2006/relationships/hyperlink" Target="https://www.gakkou.net/kou/view/index_300847.html" TargetMode="External"/><Relationship Id="rId113" Type="http://schemas.openxmlformats.org/officeDocument/2006/relationships/hyperlink" Target="https://www.gakkou.net/kou/view/index_300842.html" TargetMode="External"/><Relationship Id="rId114" Type="http://schemas.openxmlformats.org/officeDocument/2006/relationships/hyperlink" Target="https://www.gakkou.net/kou/view/index_300851.html" TargetMode="External"/><Relationship Id="rId115" Type="http://schemas.openxmlformats.org/officeDocument/2006/relationships/hyperlink" Target="https://www.gakkou.net/kou/view/index_300822.html" TargetMode="External"/><Relationship Id="rId116" Type="http://schemas.openxmlformats.org/officeDocument/2006/relationships/hyperlink" Target="https://www.gakkou.net/kou/view/index_300816.html" TargetMode="External"/><Relationship Id="rId117" Type="http://schemas.openxmlformats.org/officeDocument/2006/relationships/hyperlink" Target="https://www.gakkou.net/kou/view/index_300823.html" TargetMode="External"/><Relationship Id="rId118" Type="http://schemas.openxmlformats.org/officeDocument/2006/relationships/hyperlink" Target="https://www.gakkou.net/kou/view/index_300857.html" TargetMode="External"/><Relationship Id="rId119" Type="http://schemas.openxmlformats.org/officeDocument/2006/relationships/hyperlink" Target="https://www.gakkou.net/kou/view/index_300807.html" TargetMode="External"/><Relationship Id="rId120" Type="http://schemas.openxmlformats.org/officeDocument/2006/relationships/hyperlink" Target="https://www.gakkou.net/kou/view/index_300820.html" TargetMode="External"/><Relationship Id="rId121" Type="http://schemas.openxmlformats.org/officeDocument/2006/relationships/hyperlink" Target="https://www.gakkou.net/kou/view/index_300817.html" TargetMode="External"/><Relationship Id="rId122" Type="http://schemas.openxmlformats.org/officeDocument/2006/relationships/hyperlink" Target="https://www.gakkou.net/kou/view/index_300831.html" TargetMode="External"/><Relationship Id="rId123" Type="http://schemas.openxmlformats.org/officeDocument/2006/relationships/hyperlink" Target="https://www.gakkou.net/kou/view/index_306483.html" TargetMode="External"/><Relationship Id="rId124" Type="http://schemas.openxmlformats.org/officeDocument/2006/relationships/hyperlink" Target="https://www.gakkou.net/kou/view/index_300948.html" TargetMode="External"/><Relationship Id="rId125" Type="http://schemas.openxmlformats.org/officeDocument/2006/relationships/hyperlink" Target="https://www.gakkou.net/kou/view/index_300955.html" TargetMode="External"/><Relationship Id="rId126" Type="http://schemas.openxmlformats.org/officeDocument/2006/relationships/hyperlink" Target="https://www.gakkou.net/kou/view/index_300932.html" TargetMode="External"/><Relationship Id="rId127" Type="http://schemas.openxmlformats.org/officeDocument/2006/relationships/hyperlink" Target="https://www.gakkou.net/kou/view/index_306433.html" TargetMode="External"/><Relationship Id="rId128" Type="http://schemas.openxmlformats.org/officeDocument/2006/relationships/hyperlink" Target="https://www.gakkou.net/kou/view/index_300985.html" TargetMode="External"/><Relationship Id="rId129" Type="http://schemas.openxmlformats.org/officeDocument/2006/relationships/hyperlink" Target="https://www.gakkou.net/kou/view/index_306711.html" TargetMode="External"/><Relationship Id="rId130" Type="http://schemas.openxmlformats.org/officeDocument/2006/relationships/hyperlink" Target="https://www.gakkou.net/kou/view/index_300942.html" TargetMode="External"/><Relationship Id="rId131" Type="http://schemas.openxmlformats.org/officeDocument/2006/relationships/hyperlink" Target="https://www.gakkou.net/kou/view/index_300902.html" TargetMode="External"/><Relationship Id="rId132" Type="http://schemas.openxmlformats.org/officeDocument/2006/relationships/hyperlink" Target="https://www.gakkou.net/kou/view/index_300900.html" TargetMode="External"/><Relationship Id="rId133" Type="http://schemas.openxmlformats.org/officeDocument/2006/relationships/hyperlink" Target="https://www.gakkou.net/kou/view/index_300921.html" TargetMode="External"/><Relationship Id="rId134" Type="http://schemas.openxmlformats.org/officeDocument/2006/relationships/hyperlink" Target="https://www.gakkou.net/kou/view/index_300947.html" TargetMode="External"/><Relationship Id="rId135" Type="http://schemas.openxmlformats.org/officeDocument/2006/relationships/hyperlink" Target="https://www.gakkou.net/kou/view/index_300889.html" TargetMode="External"/><Relationship Id="rId136" Type="http://schemas.openxmlformats.org/officeDocument/2006/relationships/hyperlink" Target="https://www.gakkou.net/kou/view/index_300919.html" TargetMode="External"/><Relationship Id="rId137" Type="http://schemas.openxmlformats.org/officeDocument/2006/relationships/hyperlink" Target="https://www.gakkou.net/kou/view/index_300923.html" TargetMode="External"/><Relationship Id="rId138" Type="http://schemas.openxmlformats.org/officeDocument/2006/relationships/hyperlink" Target="https://www.gakkou.net/kou/view/index_306413.html" TargetMode="External"/><Relationship Id="rId139" Type="http://schemas.openxmlformats.org/officeDocument/2006/relationships/hyperlink" Target="https://www.gakkou.net/kou/view/index_300906.html" TargetMode="External"/><Relationship Id="rId140" Type="http://schemas.openxmlformats.org/officeDocument/2006/relationships/hyperlink" Target="https://www.gakkou.net/kou/view/index_300904.html" TargetMode="External"/><Relationship Id="rId141" Type="http://schemas.openxmlformats.org/officeDocument/2006/relationships/hyperlink" Target="https://www.gakkou.net/kou/view/index_301036.html" TargetMode="External"/><Relationship Id="rId142" Type="http://schemas.openxmlformats.org/officeDocument/2006/relationships/hyperlink" Target="https://www.gakkou.net/kou/view/index_301141.html" TargetMode="External"/><Relationship Id="rId143" Type="http://schemas.openxmlformats.org/officeDocument/2006/relationships/hyperlink" Target="https://www.gakkou.net/kou/view/index_301083.html" TargetMode="External"/><Relationship Id="rId144" Type="http://schemas.openxmlformats.org/officeDocument/2006/relationships/hyperlink" Target="https://www.gakkou.net/kou/view/index_306416.html" TargetMode="External"/><Relationship Id="rId145" Type="http://schemas.openxmlformats.org/officeDocument/2006/relationships/hyperlink" Target="https://www.gakkou.net/kou/view/index_306781.html" TargetMode="External"/><Relationship Id="rId146" Type="http://schemas.openxmlformats.org/officeDocument/2006/relationships/hyperlink" Target="https://www.gakkou.net/kou/view/index_301042.html" TargetMode="External"/><Relationship Id="rId147" Type="http://schemas.openxmlformats.org/officeDocument/2006/relationships/hyperlink" Target="https://www.gakkou.net/kou/view/index_301120.html" TargetMode="External"/><Relationship Id="rId148" Type="http://schemas.openxmlformats.org/officeDocument/2006/relationships/hyperlink" Target="https://www.gakkou.net/kou/view/index_301013.html" TargetMode="External"/><Relationship Id="rId149" Type="http://schemas.openxmlformats.org/officeDocument/2006/relationships/hyperlink" Target="https://www.gakkou.net/kou/view/index_306484.html" TargetMode="External"/><Relationship Id="rId150" Type="http://schemas.openxmlformats.org/officeDocument/2006/relationships/hyperlink" Target="https://www.gakkou.net/kou/view/index_306434.html" TargetMode="External"/><Relationship Id="rId151" Type="http://schemas.openxmlformats.org/officeDocument/2006/relationships/hyperlink" Target="https://www.gakkou.net/kou/view/index_301018.html" TargetMode="External"/><Relationship Id="rId152" Type="http://schemas.openxmlformats.org/officeDocument/2006/relationships/hyperlink" Target="https://www.gakkou.net/kou/view/index_301085.html" TargetMode="External"/><Relationship Id="rId153" Type="http://schemas.openxmlformats.org/officeDocument/2006/relationships/hyperlink" Target="https://www.gakkou.net/kou/view/index_301118.html" TargetMode="External"/><Relationship Id="rId154" Type="http://schemas.openxmlformats.org/officeDocument/2006/relationships/hyperlink" Target="https://www.gakkou.net/kou/view/index_301025.html" TargetMode="External"/><Relationship Id="rId155" Type="http://schemas.openxmlformats.org/officeDocument/2006/relationships/hyperlink" Target="https://www.gakkou.net/kou/view/index_301082.html" TargetMode="External"/><Relationship Id="rId156" Type="http://schemas.openxmlformats.org/officeDocument/2006/relationships/hyperlink" Target="https://www.gakkou.net/kou/view/index_306493.html" TargetMode="External"/><Relationship Id="rId157" Type="http://schemas.openxmlformats.org/officeDocument/2006/relationships/hyperlink" Target="https://www.gakkou.net/kou/view/index_306473.html" TargetMode="External"/><Relationship Id="rId158" Type="http://schemas.openxmlformats.org/officeDocument/2006/relationships/hyperlink" Target="https://www.gakkou.net/kou/view/index_301012.html" TargetMode="External"/><Relationship Id="rId159" Type="http://schemas.openxmlformats.org/officeDocument/2006/relationships/hyperlink" Target="https://www.gakkou.net/kou/view/index_306694.html" TargetMode="External"/><Relationship Id="rId160" Type="http://schemas.openxmlformats.org/officeDocument/2006/relationships/hyperlink" Target="https://www.gakkou.net/kou/view/index_301028.html" TargetMode="External"/><Relationship Id="rId161" Type="http://schemas.openxmlformats.org/officeDocument/2006/relationships/hyperlink" Target="https://www.gakkou.net/kou/view/index_301016.html" TargetMode="External"/><Relationship Id="rId162" Type="http://schemas.openxmlformats.org/officeDocument/2006/relationships/hyperlink" Target="https://www.gakkou.net/kou/view/index_301021.html" TargetMode="External"/><Relationship Id="rId163" Type="http://schemas.openxmlformats.org/officeDocument/2006/relationships/hyperlink" Target="https://www.gakkou.net/kou/view/index_301079.html" TargetMode="External"/><Relationship Id="rId164" Type="http://schemas.openxmlformats.org/officeDocument/2006/relationships/hyperlink" Target="https://www.gakkou.net/kou/view/index_301088.html" TargetMode="External"/><Relationship Id="rId165" Type="http://schemas.openxmlformats.org/officeDocument/2006/relationships/hyperlink" Target="https://www.gakkou.net/kou/view/index_301087.html" TargetMode="External"/><Relationship Id="rId166" Type="http://schemas.openxmlformats.org/officeDocument/2006/relationships/hyperlink" Target="https://www.gakkou.net/kou/view/index_301080.html" TargetMode="External"/><Relationship Id="rId167" Type="http://schemas.openxmlformats.org/officeDocument/2006/relationships/hyperlink" Target="https://www.gakkou.net/kou/view/index_306542.html" TargetMode="External"/><Relationship Id="rId168" Type="http://schemas.openxmlformats.org/officeDocument/2006/relationships/hyperlink" Target="https://www.gakkou.net/kou/view/index_301051.html" TargetMode="External"/><Relationship Id="rId169" Type="http://schemas.openxmlformats.org/officeDocument/2006/relationships/hyperlink" Target="https://www.gakkou.net/kou/view/index_301132.html" TargetMode="External"/><Relationship Id="rId170" Type="http://schemas.openxmlformats.org/officeDocument/2006/relationships/hyperlink" Target="https://www.gakkou.net/kou/view/index_306545.html" TargetMode="External"/><Relationship Id="rId171" Type="http://schemas.openxmlformats.org/officeDocument/2006/relationships/hyperlink" Target="https://www.gakkou.net/kou/view/index_301211.html" TargetMode="External"/><Relationship Id="rId172" Type="http://schemas.openxmlformats.org/officeDocument/2006/relationships/hyperlink" Target="https://www.gakkou.net/kou/view/index_301206.html" TargetMode="External"/><Relationship Id="rId173" Type="http://schemas.openxmlformats.org/officeDocument/2006/relationships/hyperlink" Target="https://www.gakkou.net/kou/view/index_301163.html" TargetMode="External"/><Relationship Id="rId174" Type="http://schemas.openxmlformats.org/officeDocument/2006/relationships/hyperlink" Target="https://www.gakkou.net/kou/view/index_301155.html" TargetMode="External"/><Relationship Id="rId175" Type="http://schemas.openxmlformats.org/officeDocument/2006/relationships/hyperlink" Target="https://www.gakkou.net/kou/view/index_301228.html" TargetMode="External"/><Relationship Id="rId176" Type="http://schemas.openxmlformats.org/officeDocument/2006/relationships/hyperlink" Target="https://www.gakkou.net/kou/view/index_306748.html" TargetMode="External"/><Relationship Id="rId177" Type="http://schemas.openxmlformats.org/officeDocument/2006/relationships/hyperlink" Target="https://www.gakkou.net/kou/view/index_301154.html" TargetMode="External"/><Relationship Id="rId178" Type="http://schemas.openxmlformats.org/officeDocument/2006/relationships/hyperlink" Target="https://www.gakkou.net/kou/view/index_301221.html" TargetMode="External"/><Relationship Id="rId179" Type="http://schemas.openxmlformats.org/officeDocument/2006/relationships/hyperlink" Target="https://www.gakkou.net/kou/view/index_301218.html" TargetMode="External"/><Relationship Id="rId180" Type="http://schemas.openxmlformats.org/officeDocument/2006/relationships/hyperlink" Target="https://www.gakkou.net/kou/view/index_301220.html" TargetMode="External"/><Relationship Id="rId181" Type="http://schemas.openxmlformats.org/officeDocument/2006/relationships/hyperlink" Target="https://www.gakkou.net/kou/view/index_301205.html" TargetMode="External"/><Relationship Id="rId182" Type="http://schemas.openxmlformats.org/officeDocument/2006/relationships/hyperlink" Target="https://www.gakkou.net/kou/view/index_306547.html" TargetMode="External"/><Relationship Id="rId183" Type="http://schemas.openxmlformats.org/officeDocument/2006/relationships/hyperlink" Target="https://www.gakkou.net/kou/view/index_301161.html" TargetMode="External"/><Relationship Id="rId184" Type="http://schemas.openxmlformats.org/officeDocument/2006/relationships/hyperlink" Target="https://www.gakkou.net/kou/view/index_301176.html" TargetMode="External"/><Relationship Id="rId185" Type="http://schemas.openxmlformats.org/officeDocument/2006/relationships/hyperlink" Target="https://www.gakkou.net/kou/view/index_301241.html" TargetMode="External"/><Relationship Id="rId186" Type="http://schemas.openxmlformats.org/officeDocument/2006/relationships/hyperlink" Target="https://www.gakkou.net/kou/view/index_306791.html" TargetMode="External"/><Relationship Id="rId187" Type="http://schemas.openxmlformats.org/officeDocument/2006/relationships/hyperlink" Target="https://www.gakkou.net/kou/view/index_301310.html" TargetMode="External"/><Relationship Id="rId188" Type="http://schemas.openxmlformats.org/officeDocument/2006/relationships/hyperlink" Target="https://www.gakkou.net/kou/view/index_301286.html" TargetMode="External"/><Relationship Id="rId189" Type="http://schemas.openxmlformats.org/officeDocument/2006/relationships/hyperlink" Target="https://www.gakkou.net/kou/view/index_301323.html" TargetMode="External"/><Relationship Id="rId190" Type="http://schemas.openxmlformats.org/officeDocument/2006/relationships/hyperlink" Target="https://www.gakkou.net/kou/view/index_301339.html" TargetMode="External"/><Relationship Id="rId191" Type="http://schemas.openxmlformats.org/officeDocument/2006/relationships/hyperlink" Target="https://www.gakkou.net/kou/view/index_301319.html" TargetMode="External"/><Relationship Id="rId192" Type="http://schemas.openxmlformats.org/officeDocument/2006/relationships/hyperlink" Target="https://www.gakkou.net/kou/view/index_301249.html" TargetMode="External"/><Relationship Id="rId193" Type="http://schemas.openxmlformats.org/officeDocument/2006/relationships/hyperlink" Target="https://www.gakkou.net/kou/view/index_301261.html" TargetMode="External"/><Relationship Id="rId194" Type="http://schemas.openxmlformats.org/officeDocument/2006/relationships/hyperlink" Target="https://www.gakkou.net/kou/view/index_301263.html" TargetMode="External"/><Relationship Id="rId195" Type="http://schemas.openxmlformats.org/officeDocument/2006/relationships/hyperlink" Target="https://www.gakkou.net/kou/view/index_301304.html" TargetMode="External"/><Relationship Id="rId196" Type="http://schemas.openxmlformats.org/officeDocument/2006/relationships/hyperlink" Target="https://www.gakkou.net/kou/view/index_301348.html" TargetMode="External"/><Relationship Id="rId197" Type="http://schemas.openxmlformats.org/officeDocument/2006/relationships/hyperlink" Target="https://www.gakkou.net/kou/view/index_301291.html" TargetMode="External"/><Relationship Id="rId198" Type="http://schemas.openxmlformats.org/officeDocument/2006/relationships/hyperlink" Target="https://www.gakkou.net/kou/view/index_301275.html" TargetMode="External"/><Relationship Id="rId199" Type="http://schemas.openxmlformats.org/officeDocument/2006/relationships/hyperlink" Target="https://www.gakkou.net/kou/view/index_301394.html" TargetMode="External"/><Relationship Id="rId200" Type="http://schemas.openxmlformats.org/officeDocument/2006/relationships/hyperlink" Target="https://www.gakkou.net/kou/view/index_301490.html" TargetMode="External"/><Relationship Id="rId201" Type="http://schemas.openxmlformats.org/officeDocument/2006/relationships/hyperlink" Target="https://www.gakkou.net/kou/view/index_301395.html" TargetMode="External"/><Relationship Id="rId202" Type="http://schemas.openxmlformats.org/officeDocument/2006/relationships/hyperlink" Target="https://www.gakkou.net/kou/view/index_301396.html" TargetMode="External"/><Relationship Id="rId203" Type="http://schemas.openxmlformats.org/officeDocument/2006/relationships/hyperlink" Target="https://www.gakkou.net/kou/view/index_301390.html" TargetMode="External"/><Relationship Id="rId204" Type="http://schemas.openxmlformats.org/officeDocument/2006/relationships/hyperlink" Target="https://www.gakkou.net/kou/view/index_301386.html" TargetMode="External"/><Relationship Id="rId205" Type="http://schemas.openxmlformats.org/officeDocument/2006/relationships/hyperlink" Target="https://www.gakkou.net/kou/view/index_301387.html" TargetMode="External"/><Relationship Id="rId206" Type="http://schemas.openxmlformats.org/officeDocument/2006/relationships/hyperlink" Target="https://www.gakkou.net/kou/view/index_306496.html" TargetMode="External"/><Relationship Id="rId207" Type="http://schemas.openxmlformats.org/officeDocument/2006/relationships/hyperlink" Target="https://www.gakkou.net/kou/view/index_301517.html" TargetMode="External"/><Relationship Id="rId208" Type="http://schemas.openxmlformats.org/officeDocument/2006/relationships/hyperlink" Target="https://www.gakkou.net/kou/view/index_301357.html" TargetMode="External"/><Relationship Id="rId209" Type="http://schemas.openxmlformats.org/officeDocument/2006/relationships/hyperlink" Target="https://www.gakkou.net/kou/view/index_301406.html" TargetMode="External"/><Relationship Id="rId210" Type="http://schemas.openxmlformats.org/officeDocument/2006/relationships/hyperlink" Target="https://www.gakkou.net/kou/view/index_306760.html" TargetMode="External"/><Relationship Id="rId211" Type="http://schemas.openxmlformats.org/officeDocument/2006/relationships/hyperlink" Target="https://www.gakkou.net/kou/view/index_301436.html" TargetMode="External"/><Relationship Id="rId212" Type="http://schemas.openxmlformats.org/officeDocument/2006/relationships/hyperlink" Target="https://www.gakkou.net/kou/view/index_306449.html" TargetMode="External"/><Relationship Id="rId213" Type="http://schemas.openxmlformats.org/officeDocument/2006/relationships/hyperlink" Target="https://www.gakkou.net/kou/view/index_301462.html" TargetMode="External"/><Relationship Id="rId214" Type="http://schemas.openxmlformats.org/officeDocument/2006/relationships/hyperlink" Target="https://www.gakkou.net/kou/view/index_301509.html" TargetMode="External"/><Relationship Id="rId215" Type="http://schemas.openxmlformats.org/officeDocument/2006/relationships/hyperlink" Target="https://www.gakkou.net/kou/view/index_306425.html" TargetMode="External"/><Relationship Id="rId216" Type="http://schemas.openxmlformats.org/officeDocument/2006/relationships/hyperlink" Target="https://www.gakkou.net/kou/view/index_301361.html" TargetMode="External"/><Relationship Id="rId217" Type="http://schemas.openxmlformats.org/officeDocument/2006/relationships/hyperlink" Target="https://www.gakkou.net/kou/view/index_301480.html" TargetMode="External"/><Relationship Id="rId218" Type="http://schemas.openxmlformats.org/officeDocument/2006/relationships/hyperlink" Target="https://www.gakkou.net/kou/view/index_306437.html" TargetMode="External"/><Relationship Id="rId219" Type="http://schemas.openxmlformats.org/officeDocument/2006/relationships/hyperlink" Target="https://www.gakkou.net/kou/view/index_301352.html" TargetMode="External"/><Relationship Id="rId220" Type="http://schemas.openxmlformats.org/officeDocument/2006/relationships/hyperlink" Target="https://www.gakkou.net/kou/view/index_301532.html" TargetMode="External"/><Relationship Id="rId221" Type="http://schemas.openxmlformats.org/officeDocument/2006/relationships/hyperlink" Target="https://www.gakkou.net/kou/view/index_306438.html" TargetMode="External"/><Relationship Id="rId222" Type="http://schemas.openxmlformats.org/officeDocument/2006/relationships/hyperlink" Target="https://www.gakkou.net/kou/view/index_301561.html" TargetMode="External"/><Relationship Id="rId223" Type="http://schemas.openxmlformats.org/officeDocument/2006/relationships/hyperlink" Target="https://www.gakkou.net/kou/view/index_301487.html" TargetMode="External"/><Relationship Id="rId224" Type="http://schemas.openxmlformats.org/officeDocument/2006/relationships/hyperlink" Target="https://www.gakkou.net/kou/view/index_301401.html" TargetMode="External"/><Relationship Id="rId225" Type="http://schemas.openxmlformats.org/officeDocument/2006/relationships/hyperlink" Target="https://www.gakkou.net/kou/view/index_301481.html" TargetMode="External"/><Relationship Id="rId226" Type="http://schemas.openxmlformats.org/officeDocument/2006/relationships/hyperlink" Target="https://www.gakkou.net/kou/view/index_301576.html" TargetMode="External"/><Relationship Id="rId227" Type="http://schemas.openxmlformats.org/officeDocument/2006/relationships/hyperlink" Target="https://www.gakkou.net/kou/view/index_301444.html" TargetMode="External"/><Relationship Id="rId228" Type="http://schemas.openxmlformats.org/officeDocument/2006/relationships/hyperlink" Target="https://www.gakkou.net/kou/view/index_301528.html" TargetMode="External"/><Relationship Id="rId229" Type="http://schemas.openxmlformats.org/officeDocument/2006/relationships/hyperlink" Target="https://www.gakkou.net/kou/view/index_301463.html" TargetMode="External"/><Relationship Id="rId230" Type="http://schemas.openxmlformats.org/officeDocument/2006/relationships/hyperlink" Target="https://www.gakkou.net/kou/view/index_301495.html" TargetMode="External"/><Relationship Id="rId231" Type="http://schemas.openxmlformats.org/officeDocument/2006/relationships/hyperlink" Target="https://www.gakkou.net/kou/view/index_301504.html" TargetMode="External"/><Relationship Id="rId232" Type="http://schemas.openxmlformats.org/officeDocument/2006/relationships/hyperlink" Target="https://www.gakkou.net/kou/view/index_301524.html" TargetMode="External"/><Relationship Id="rId233" Type="http://schemas.openxmlformats.org/officeDocument/2006/relationships/hyperlink" Target="https://www.gakkou.net/kou/view/index_306485.html" TargetMode="External"/><Relationship Id="rId234" Type="http://schemas.openxmlformats.org/officeDocument/2006/relationships/hyperlink" Target="https://www.gakkou.net/kou/view/index_306573.html" TargetMode="External"/><Relationship Id="rId235" Type="http://schemas.openxmlformats.org/officeDocument/2006/relationships/hyperlink" Target="https://www.gakkou.net/kou/view/index_301578.html" TargetMode="External"/><Relationship Id="rId236" Type="http://schemas.openxmlformats.org/officeDocument/2006/relationships/hyperlink" Target="https://www.gakkou.net/kou/view/index_301512.html" TargetMode="External"/><Relationship Id="rId237" Type="http://schemas.openxmlformats.org/officeDocument/2006/relationships/hyperlink" Target="https://www.gakkou.net/kou/view/index_301464.html" TargetMode="External"/><Relationship Id="rId238" Type="http://schemas.openxmlformats.org/officeDocument/2006/relationships/hyperlink" Target="https://www.gakkou.net/kou/view/index_301429.html" TargetMode="External"/><Relationship Id="rId239" Type="http://schemas.openxmlformats.org/officeDocument/2006/relationships/hyperlink" Target="https://www.gakkou.net/kou/view/index_301451.html" TargetMode="External"/><Relationship Id="rId240" Type="http://schemas.openxmlformats.org/officeDocument/2006/relationships/hyperlink" Target="https://www.gakkou.net/kou/view/index_301533.html" TargetMode="External"/><Relationship Id="rId241" Type="http://schemas.openxmlformats.org/officeDocument/2006/relationships/hyperlink" Target="https://www.gakkou.net/kou/view/index_301380.html" TargetMode="External"/><Relationship Id="rId242" Type="http://schemas.openxmlformats.org/officeDocument/2006/relationships/hyperlink" Target="https://www.gakkou.net/kou/view/index_301471.html" TargetMode="External"/><Relationship Id="rId243" Type="http://schemas.openxmlformats.org/officeDocument/2006/relationships/hyperlink" Target="https://www.gakkou.net/kou/view/index_301510.html" TargetMode="External"/><Relationship Id="rId244" Type="http://schemas.openxmlformats.org/officeDocument/2006/relationships/hyperlink" Target="https://www.gakkou.net/kou/view/index_301580.html" TargetMode="External"/><Relationship Id="rId245" Type="http://schemas.openxmlformats.org/officeDocument/2006/relationships/hyperlink" Target="https://www.gakkou.net/kou/view/index_301581.html" TargetMode="External"/><Relationship Id="rId246" Type="http://schemas.openxmlformats.org/officeDocument/2006/relationships/hyperlink" Target="https://www.gakkou.net/kou/view/index_306442.html" TargetMode="External"/><Relationship Id="rId247" Type="http://schemas.openxmlformats.org/officeDocument/2006/relationships/hyperlink" Target="https://www.gakkou.net/kou/view/index_301478.html" TargetMode="External"/><Relationship Id="rId248" Type="http://schemas.openxmlformats.org/officeDocument/2006/relationships/hyperlink" Target="https://www.gakkou.net/kou/view/index_301535.html" TargetMode="External"/><Relationship Id="rId249" Type="http://schemas.openxmlformats.org/officeDocument/2006/relationships/hyperlink" Target="https://www.gakkou.net/kou/view/index_306450.html" TargetMode="External"/><Relationship Id="rId250" Type="http://schemas.openxmlformats.org/officeDocument/2006/relationships/hyperlink" Target="https://www.gakkou.net/kou/view/index_301482.html" TargetMode="External"/><Relationship Id="rId251" Type="http://schemas.openxmlformats.org/officeDocument/2006/relationships/hyperlink" Target="https://www.gakkou.net/kou/view/index_306403.html" TargetMode="External"/><Relationship Id="rId252" Type="http://schemas.openxmlformats.org/officeDocument/2006/relationships/hyperlink" Target="https://www.gakkou.net/kou/view/index_301502.html" TargetMode="External"/><Relationship Id="rId253" Type="http://schemas.openxmlformats.org/officeDocument/2006/relationships/hyperlink" Target="https://www.gakkou.net/kou/view/index_301582.html" TargetMode="External"/><Relationship Id="rId254" Type="http://schemas.openxmlformats.org/officeDocument/2006/relationships/hyperlink" Target="https://www.gakkou.net/kou/view/index_301667.html" TargetMode="External"/><Relationship Id="rId255" Type="http://schemas.openxmlformats.org/officeDocument/2006/relationships/hyperlink" Target="https://www.gakkou.net/kou/view/index_301733.html" TargetMode="External"/><Relationship Id="rId256" Type="http://schemas.openxmlformats.org/officeDocument/2006/relationships/hyperlink" Target="https://www.gakkou.net/kou/view/index_306495.html" TargetMode="External"/><Relationship Id="rId257" Type="http://schemas.openxmlformats.org/officeDocument/2006/relationships/hyperlink" Target="https://www.gakkou.net/kou/view/index_301644.html" TargetMode="External"/><Relationship Id="rId258" Type="http://schemas.openxmlformats.org/officeDocument/2006/relationships/hyperlink" Target="https://www.gakkou.net/kou/view/index_301666.html" TargetMode="External"/><Relationship Id="rId259" Type="http://schemas.openxmlformats.org/officeDocument/2006/relationships/hyperlink" Target="https://www.gakkou.net/kou/view/index_301773.html" TargetMode="External"/><Relationship Id="rId260" Type="http://schemas.openxmlformats.org/officeDocument/2006/relationships/hyperlink" Target="https://www.gakkou.net/kou/view/index_301599.html" TargetMode="External"/><Relationship Id="rId261" Type="http://schemas.openxmlformats.org/officeDocument/2006/relationships/hyperlink" Target="https://www.gakkou.net/kou/view/index_306439.html" TargetMode="External"/><Relationship Id="rId262" Type="http://schemas.openxmlformats.org/officeDocument/2006/relationships/hyperlink" Target="https://www.gakkou.net/kou/view/index_301796.html" TargetMode="External"/><Relationship Id="rId263" Type="http://schemas.openxmlformats.org/officeDocument/2006/relationships/hyperlink" Target="https://www.gakkou.net/kou/view/index_301777.html" TargetMode="External"/><Relationship Id="rId264" Type="http://schemas.openxmlformats.org/officeDocument/2006/relationships/hyperlink" Target="https://www.gakkou.net/kou/view/index_301784.html" TargetMode="External"/><Relationship Id="rId265" Type="http://schemas.openxmlformats.org/officeDocument/2006/relationships/hyperlink" Target="https://www.gakkou.net/kou/view/index_301623.html" TargetMode="External"/><Relationship Id="rId266" Type="http://schemas.openxmlformats.org/officeDocument/2006/relationships/hyperlink" Target="https://www.gakkou.net/kou/view/index_301763.html" TargetMode="External"/><Relationship Id="rId267" Type="http://schemas.openxmlformats.org/officeDocument/2006/relationships/hyperlink" Target="https://www.gakkou.net/kou/view/index_301653.html" TargetMode="External"/><Relationship Id="rId268" Type="http://schemas.openxmlformats.org/officeDocument/2006/relationships/hyperlink" Target="https://www.gakkou.net/kou/view/index_301668.html" TargetMode="External"/><Relationship Id="rId269" Type="http://schemas.openxmlformats.org/officeDocument/2006/relationships/hyperlink" Target="https://www.gakkou.net/kou/view/index_301782.html" TargetMode="External"/><Relationship Id="rId270" Type="http://schemas.openxmlformats.org/officeDocument/2006/relationships/hyperlink" Target="https://www.gakkou.net/kou/view/index_301705.html" TargetMode="External"/><Relationship Id="rId271" Type="http://schemas.openxmlformats.org/officeDocument/2006/relationships/hyperlink" Target="https://www.gakkou.net/kou/view/index_301616.html" TargetMode="External"/><Relationship Id="rId272" Type="http://schemas.openxmlformats.org/officeDocument/2006/relationships/hyperlink" Target="https://www.gakkou.net/kou/view/index_301697.html" TargetMode="External"/><Relationship Id="rId273" Type="http://schemas.openxmlformats.org/officeDocument/2006/relationships/hyperlink" Target="https://www.gakkou.net/kou/view/index_301810.html" TargetMode="External"/><Relationship Id="rId274" Type="http://schemas.openxmlformats.org/officeDocument/2006/relationships/hyperlink" Target="https://www.gakkou.net/kou/view/index_301665.html" TargetMode="External"/><Relationship Id="rId275" Type="http://schemas.openxmlformats.org/officeDocument/2006/relationships/hyperlink" Target="https://www.gakkou.net/kou/view/index_301615.html" TargetMode="External"/><Relationship Id="rId276" Type="http://schemas.openxmlformats.org/officeDocument/2006/relationships/hyperlink" Target="https://www.gakkou.net/kou/view/index_301639.html" TargetMode="External"/><Relationship Id="rId277" Type="http://schemas.openxmlformats.org/officeDocument/2006/relationships/hyperlink" Target="https://www.gakkou.net/kou/view/index_301655.html" TargetMode="External"/><Relationship Id="rId278" Type="http://schemas.openxmlformats.org/officeDocument/2006/relationships/hyperlink" Target="https://www.gakkou.net/kou/view/index_301785.html" TargetMode="External"/><Relationship Id="rId279" Type="http://schemas.openxmlformats.org/officeDocument/2006/relationships/hyperlink" Target="https://www.gakkou.net/kou/view/index_301700.html" TargetMode="External"/><Relationship Id="rId280" Type="http://schemas.openxmlformats.org/officeDocument/2006/relationships/hyperlink" Target="https://www.gakkou.net/kou/view/index_301726.html" TargetMode="External"/><Relationship Id="rId281" Type="http://schemas.openxmlformats.org/officeDocument/2006/relationships/hyperlink" Target="https://www.gakkou.net/kou/view/index_301732.html" TargetMode="External"/><Relationship Id="rId282" Type="http://schemas.openxmlformats.org/officeDocument/2006/relationships/hyperlink" Target="https://www.gakkou.net/kou/view/index_301621.html" TargetMode="External"/><Relationship Id="rId283" Type="http://schemas.openxmlformats.org/officeDocument/2006/relationships/hyperlink" Target="https://www.gakkou.net/kou/view/index_301792.html" TargetMode="External"/><Relationship Id="rId284" Type="http://schemas.openxmlformats.org/officeDocument/2006/relationships/hyperlink" Target="https://www.gakkou.net/kou/view/index_301672.html" TargetMode="External"/><Relationship Id="rId285" Type="http://schemas.openxmlformats.org/officeDocument/2006/relationships/hyperlink" Target="https://www.gakkou.net/kou/view/index_301598.html" TargetMode="External"/><Relationship Id="rId286" Type="http://schemas.openxmlformats.org/officeDocument/2006/relationships/hyperlink" Target="https://www.gakkou.net/kou/view/index_301685.html" TargetMode="External"/><Relationship Id="rId287" Type="http://schemas.openxmlformats.org/officeDocument/2006/relationships/hyperlink" Target="https://www.gakkou.net/kou/view/index_301749.html" TargetMode="External"/><Relationship Id="rId288" Type="http://schemas.openxmlformats.org/officeDocument/2006/relationships/hyperlink" Target="https://www.gakkou.net/kou/view/index_301603.html" TargetMode="External"/><Relationship Id="rId289" Type="http://schemas.openxmlformats.org/officeDocument/2006/relationships/hyperlink" Target="https://www.gakkou.net/kou/view/index_301758.html" TargetMode="External"/><Relationship Id="rId290" Type="http://schemas.openxmlformats.org/officeDocument/2006/relationships/hyperlink" Target="https://www.gakkou.net/kou/view/index_301642.html" TargetMode="External"/><Relationship Id="rId291" Type="http://schemas.openxmlformats.org/officeDocument/2006/relationships/hyperlink" Target="https://www.gakkou.net/kou/view/index_301770.html" TargetMode="External"/><Relationship Id="rId292" Type="http://schemas.openxmlformats.org/officeDocument/2006/relationships/hyperlink" Target="https://www.gakkou.net/kou/view/index_301725.html" TargetMode="External"/><Relationship Id="rId293" Type="http://schemas.openxmlformats.org/officeDocument/2006/relationships/hyperlink" Target="https://www.gakkou.net/kou/view/index_301724.html" TargetMode="External"/><Relationship Id="rId294" Type="http://schemas.openxmlformats.org/officeDocument/2006/relationships/hyperlink" Target="https://www.gakkou.net/kou/view/index_301740.html" TargetMode="External"/><Relationship Id="rId295" Type="http://schemas.openxmlformats.org/officeDocument/2006/relationships/hyperlink" Target="https://www.gakkou.net/kou/view/index_301682.html" TargetMode="External"/><Relationship Id="rId296" Type="http://schemas.openxmlformats.org/officeDocument/2006/relationships/hyperlink" Target="https://www.gakkou.net/kou/view/index_301695.html" TargetMode="External"/><Relationship Id="rId297" Type="http://schemas.openxmlformats.org/officeDocument/2006/relationships/hyperlink" Target="https://www.gakkou.net/kou/view/index_301691.html" TargetMode="External"/><Relationship Id="rId298" Type="http://schemas.openxmlformats.org/officeDocument/2006/relationships/hyperlink" Target="https://www.gakkou.net/kou/view/index_306488.html" TargetMode="External"/><Relationship Id="rId299" Type="http://schemas.openxmlformats.org/officeDocument/2006/relationships/hyperlink" Target="https://www.gakkou.net/kou/view/index_301742.html" TargetMode="External"/><Relationship Id="rId300" Type="http://schemas.openxmlformats.org/officeDocument/2006/relationships/hyperlink" Target="https://www.gakkou.net/kou/view/index_301716.html" TargetMode="External"/><Relationship Id="rId301" Type="http://schemas.openxmlformats.org/officeDocument/2006/relationships/hyperlink" Target="https://www.gakkou.net/kou/view/index_301703.html" TargetMode="External"/><Relationship Id="rId302" Type="http://schemas.openxmlformats.org/officeDocument/2006/relationships/hyperlink" Target="https://www.gakkou.net/kou/view/index_301686.html" TargetMode="External"/><Relationship Id="rId303" Type="http://schemas.openxmlformats.org/officeDocument/2006/relationships/hyperlink" Target="https://www.gakkou.net/kou/view/index_301658.html" TargetMode="External"/><Relationship Id="rId304" Type="http://schemas.openxmlformats.org/officeDocument/2006/relationships/hyperlink" Target="https://www.gakkou.net/kou/view/index_306418.html" TargetMode="External"/><Relationship Id="rId305" Type="http://schemas.openxmlformats.org/officeDocument/2006/relationships/hyperlink" Target="https://www.gakkou.net/kou/view/index_301815.html" TargetMode="External"/><Relationship Id="rId306" Type="http://schemas.openxmlformats.org/officeDocument/2006/relationships/hyperlink" Target="https://www.gakkou.net/kou/view/index_301701.html" TargetMode="External"/><Relationship Id="rId307" Type="http://schemas.openxmlformats.org/officeDocument/2006/relationships/hyperlink" Target="https://www.gakkou.net/kou/view/index_301762.html" TargetMode="External"/><Relationship Id="rId308" Type="http://schemas.openxmlformats.org/officeDocument/2006/relationships/hyperlink" Target="https://www.gakkou.net/kou/view/index_301714.html" TargetMode="External"/><Relationship Id="rId309" Type="http://schemas.openxmlformats.org/officeDocument/2006/relationships/hyperlink" Target="https://www.gakkou.net/kou/view/index_301707.html" TargetMode="External"/><Relationship Id="rId310" Type="http://schemas.openxmlformats.org/officeDocument/2006/relationships/hyperlink" Target="https://www.gakkou.net/kou/view/index_306444.html" TargetMode="External"/><Relationship Id="rId311" Type="http://schemas.openxmlformats.org/officeDocument/2006/relationships/hyperlink" Target="https://www.gakkou.net/kou/view/index_306307.html" TargetMode="External"/><Relationship Id="rId312" Type="http://schemas.openxmlformats.org/officeDocument/2006/relationships/hyperlink" Target="https://www.gakkou.net/kou/view/index_301993.html" TargetMode="External"/><Relationship Id="rId313" Type="http://schemas.openxmlformats.org/officeDocument/2006/relationships/hyperlink" Target="https://www.gakkou.net/kou/view/index_302049.html" TargetMode="External"/><Relationship Id="rId314" Type="http://schemas.openxmlformats.org/officeDocument/2006/relationships/hyperlink" Target="https://www.gakkou.net/kou/view/index_301862.html" TargetMode="External"/><Relationship Id="rId315" Type="http://schemas.openxmlformats.org/officeDocument/2006/relationships/hyperlink" Target="https://www.gakkou.net/kou/view/index_301951.html" TargetMode="External"/><Relationship Id="rId316" Type="http://schemas.openxmlformats.org/officeDocument/2006/relationships/hyperlink" Target="https://www.gakkou.net/kou/view/index_301895.html" TargetMode="External"/><Relationship Id="rId317" Type="http://schemas.openxmlformats.org/officeDocument/2006/relationships/hyperlink" Target="https://www.gakkou.net/kou/view/index_301924.html" TargetMode="External"/><Relationship Id="rId318" Type="http://schemas.openxmlformats.org/officeDocument/2006/relationships/hyperlink" Target="https://www.gakkou.net/kou/view/index_301913.html" TargetMode="External"/><Relationship Id="rId319" Type="http://schemas.openxmlformats.org/officeDocument/2006/relationships/hyperlink" Target="https://www.gakkou.net/kou/view/index_301912.html" TargetMode="External"/><Relationship Id="rId320" Type="http://schemas.openxmlformats.org/officeDocument/2006/relationships/hyperlink" Target="https://www.gakkou.net/kou/view/index_301874.html" TargetMode="External"/><Relationship Id="rId321" Type="http://schemas.openxmlformats.org/officeDocument/2006/relationships/hyperlink" Target="https://www.gakkou.net/kou/view/index_301880.html" TargetMode="External"/><Relationship Id="rId322" Type="http://schemas.openxmlformats.org/officeDocument/2006/relationships/hyperlink" Target="https://www.gakkou.net/kou/view/index_302322.html" TargetMode="External"/><Relationship Id="rId323" Type="http://schemas.openxmlformats.org/officeDocument/2006/relationships/hyperlink" Target="https://www.gakkou.net/kou/view/index_302223.html" TargetMode="External"/><Relationship Id="rId324" Type="http://schemas.openxmlformats.org/officeDocument/2006/relationships/hyperlink" Target="https://www.gakkou.net/kou/view/index_301992.html" TargetMode="External"/><Relationship Id="rId325" Type="http://schemas.openxmlformats.org/officeDocument/2006/relationships/hyperlink" Target="https://www.gakkou.net/kou/view/index_306333.html" TargetMode="External"/><Relationship Id="rId326" Type="http://schemas.openxmlformats.org/officeDocument/2006/relationships/hyperlink" Target="https://www.gakkou.net/kou/view/index_301916.html" TargetMode="External"/><Relationship Id="rId327" Type="http://schemas.openxmlformats.org/officeDocument/2006/relationships/hyperlink" Target="https://www.gakkou.net/kou/view/index_302331.html" TargetMode="External"/><Relationship Id="rId328" Type="http://schemas.openxmlformats.org/officeDocument/2006/relationships/hyperlink" Target="https://www.gakkou.net/kou/view/index_302093.html" TargetMode="External"/><Relationship Id="rId329" Type="http://schemas.openxmlformats.org/officeDocument/2006/relationships/hyperlink" Target="https://www.gakkou.net/kou/view/index_301839.html" TargetMode="External"/><Relationship Id="rId330" Type="http://schemas.openxmlformats.org/officeDocument/2006/relationships/hyperlink" Target="https://www.gakkou.net/kou/view/index_302373.html" TargetMode="External"/><Relationship Id="rId331" Type="http://schemas.openxmlformats.org/officeDocument/2006/relationships/hyperlink" Target="https://www.gakkou.net/kou/view/index_302133.html" TargetMode="External"/><Relationship Id="rId332" Type="http://schemas.openxmlformats.org/officeDocument/2006/relationships/hyperlink" Target="https://www.gakkou.net/kou/view/index_306660.html" TargetMode="External"/><Relationship Id="rId333" Type="http://schemas.openxmlformats.org/officeDocument/2006/relationships/hyperlink" Target="https://www.gakkou.net/kou/view/index_302029.html" TargetMode="External"/><Relationship Id="rId334" Type="http://schemas.openxmlformats.org/officeDocument/2006/relationships/hyperlink" Target="https://www.gakkou.net/kou/view/index_302177.html" TargetMode="External"/><Relationship Id="rId335" Type="http://schemas.openxmlformats.org/officeDocument/2006/relationships/hyperlink" Target="https://www.gakkou.net/kou/view/index_301943.html" TargetMode="External"/><Relationship Id="rId336" Type="http://schemas.openxmlformats.org/officeDocument/2006/relationships/hyperlink" Target="https://www.gakkou.net/kou/view/index_301845.html" TargetMode="External"/><Relationship Id="rId337" Type="http://schemas.openxmlformats.org/officeDocument/2006/relationships/hyperlink" Target="https://www.gakkou.net/kou/view/index_301832.html" TargetMode="External"/><Relationship Id="rId338" Type="http://schemas.openxmlformats.org/officeDocument/2006/relationships/hyperlink" Target="https://www.gakkou.net/kou/view/index_302104.html" TargetMode="External"/><Relationship Id="rId339" Type="http://schemas.openxmlformats.org/officeDocument/2006/relationships/hyperlink" Target="https://www.gakkou.net/kou/view/index_302190.html" TargetMode="External"/><Relationship Id="rId340" Type="http://schemas.openxmlformats.org/officeDocument/2006/relationships/hyperlink" Target="https://www.gakkou.net/kou/view/index_301829.html" TargetMode="External"/><Relationship Id="rId341" Type="http://schemas.openxmlformats.org/officeDocument/2006/relationships/hyperlink" Target="https://www.gakkou.net/kou/view/index_302059.html" TargetMode="External"/><Relationship Id="rId342" Type="http://schemas.openxmlformats.org/officeDocument/2006/relationships/hyperlink" Target="https://www.gakkou.net/kou/view/index_301987.html" TargetMode="External"/><Relationship Id="rId343" Type="http://schemas.openxmlformats.org/officeDocument/2006/relationships/hyperlink" Target="https://www.gakkou.net/kou/view/index_302189.html" TargetMode="External"/><Relationship Id="rId344" Type="http://schemas.openxmlformats.org/officeDocument/2006/relationships/hyperlink" Target="https://www.gakkou.net/kou/view/index_302176.html" TargetMode="External"/><Relationship Id="rId345" Type="http://schemas.openxmlformats.org/officeDocument/2006/relationships/hyperlink" Target="https://www.gakkou.net/kou/view/index_301928.html" TargetMode="External"/><Relationship Id="rId346" Type="http://schemas.openxmlformats.org/officeDocument/2006/relationships/hyperlink" Target="https://www.gakkou.net/kou/view/index_301942.html" TargetMode="External"/><Relationship Id="rId347" Type="http://schemas.openxmlformats.org/officeDocument/2006/relationships/hyperlink" Target="https://www.gakkou.net/kou/view/index_302235.html" TargetMode="External"/><Relationship Id="rId348" Type="http://schemas.openxmlformats.org/officeDocument/2006/relationships/hyperlink" Target="https://www.gakkou.net/kou/view/index_302234.html" TargetMode="External"/><Relationship Id="rId349" Type="http://schemas.openxmlformats.org/officeDocument/2006/relationships/hyperlink" Target="https://www.gakkou.net/kou/view/index_301961.html" TargetMode="External"/><Relationship Id="rId350" Type="http://schemas.openxmlformats.org/officeDocument/2006/relationships/hyperlink" Target="https://www.gakkou.net/kou/view/index_301823.html" TargetMode="External"/><Relationship Id="rId351" Type="http://schemas.openxmlformats.org/officeDocument/2006/relationships/hyperlink" Target="https://www.gakkou.net/kou/view/index_302314.html" TargetMode="External"/><Relationship Id="rId352" Type="http://schemas.openxmlformats.org/officeDocument/2006/relationships/hyperlink" Target="https://www.gakkou.net/kou/view/index_301826.html" TargetMode="External"/><Relationship Id="rId353" Type="http://schemas.openxmlformats.org/officeDocument/2006/relationships/hyperlink" Target="https://www.gakkou.net/kou/view/index_302269.html" TargetMode="External"/><Relationship Id="rId354" Type="http://schemas.openxmlformats.org/officeDocument/2006/relationships/hyperlink" Target="https://www.gakkou.net/kou/view/index_301831.html" TargetMode="External"/><Relationship Id="rId355" Type="http://schemas.openxmlformats.org/officeDocument/2006/relationships/hyperlink" Target="https://www.gakkou.net/kou/view/index_302268.html" TargetMode="External"/><Relationship Id="rId356" Type="http://schemas.openxmlformats.org/officeDocument/2006/relationships/hyperlink" Target="https://www.gakkou.net/kou/view/index_302106.html" TargetMode="External"/><Relationship Id="rId357" Type="http://schemas.openxmlformats.org/officeDocument/2006/relationships/hyperlink" Target="https://www.gakkou.net/kou/view/index_301872.html" TargetMode="External"/><Relationship Id="rId358" Type="http://schemas.openxmlformats.org/officeDocument/2006/relationships/hyperlink" Target="https://www.gakkou.net/kou/view/index_301903.html" TargetMode="External"/><Relationship Id="rId359" Type="http://schemas.openxmlformats.org/officeDocument/2006/relationships/hyperlink" Target="https://www.gakkou.net/kou/view/index_301905.html" TargetMode="External"/><Relationship Id="rId360" Type="http://schemas.openxmlformats.org/officeDocument/2006/relationships/hyperlink" Target="https://www.gakkou.net/kou/view/index_301904.html" TargetMode="External"/><Relationship Id="rId361" Type="http://schemas.openxmlformats.org/officeDocument/2006/relationships/hyperlink" Target="https://www.gakkou.net/kou/view/index_302097.html" TargetMode="External"/><Relationship Id="rId362" Type="http://schemas.openxmlformats.org/officeDocument/2006/relationships/hyperlink" Target="https://www.gakkou.net/kou/view/index_302337.html" TargetMode="External"/><Relationship Id="rId363" Type="http://schemas.openxmlformats.org/officeDocument/2006/relationships/hyperlink" Target="https://www.gakkou.net/kou/view/index_301890.html" TargetMode="External"/><Relationship Id="rId364" Type="http://schemas.openxmlformats.org/officeDocument/2006/relationships/hyperlink" Target="https://www.gakkou.net/kou/view/index_302151.html" TargetMode="External"/><Relationship Id="rId365" Type="http://schemas.openxmlformats.org/officeDocument/2006/relationships/hyperlink" Target="https://www.gakkou.net/kou/view/index_302249.html" TargetMode="External"/><Relationship Id="rId366" Type="http://schemas.openxmlformats.org/officeDocument/2006/relationships/hyperlink" Target="https://www.gakkou.net/kou/view/index_302301.html" TargetMode="External"/><Relationship Id="rId367" Type="http://schemas.openxmlformats.org/officeDocument/2006/relationships/hyperlink" Target="https://www.gakkou.net/kou/view/index_302018.html" TargetMode="External"/><Relationship Id="rId368" Type="http://schemas.openxmlformats.org/officeDocument/2006/relationships/hyperlink" Target="https://www.gakkou.net/kou/view/index_301843.html" TargetMode="External"/><Relationship Id="rId369" Type="http://schemas.openxmlformats.org/officeDocument/2006/relationships/hyperlink" Target="https://www.gakkou.net/kou/view/index_302155.html" TargetMode="External"/><Relationship Id="rId370" Type="http://schemas.openxmlformats.org/officeDocument/2006/relationships/hyperlink" Target="https://www.gakkou.net/kou/view/index_302100.html" TargetMode="External"/><Relationship Id="rId371" Type="http://schemas.openxmlformats.org/officeDocument/2006/relationships/hyperlink" Target="https://www.gakkou.net/kou/view/index_302026.html" TargetMode="External"/><Relationship Id="rId372" Type="http://schemas.openxmlformats.org/officeDocument/2006/relationships/hyperlink" Target="https://www.gakkou.net/kou/view/index_302048.html" TargetMode="External"/><Relationship Id="rId373" Type="http://schemas.openxmlformats.org/officeDocument/2006/relationships/hyperlink" Target="https://www.gakkou.net/kou/view/index_302172.html" TargetMode="External"/><Relationship Id="rId374" Type="http://schemas.openxmlformats.org/officeDocument/2006/relationships/hyperlink" Target="https://www.gakkou.net/kou/view/index_302261.html" TargetMode="External"/><Relationship Id="rId375" Type="http://schemas.openxmlformats.org/officeDocument/2006/relationships/hyperlink" Target="https://www.gakkou.net/kou/view/index_302083.html" TargetMode="External"/><Relationship Id="rId376" Type="http://schemas.openxmlformats.org/officeDocument/2006/relationships/hyperlink" Target="https://www.gakkou.net/kou/view/index_301909.html" TargetMode="External"/><Relationship Id="rId377" Type="http://schemas.openxmlformats.org/officeDocument/2006/relationships/hyperlink" Target="https://www.gakkou.net/kou/view/index_302375.html" TargetMode="External"/><Relationship Id="rId378" Type="http://schemas.openxmlformats.org/officeDocument/2006/relationships/hyperlink" Target="https://www.gakkou.net/kou/view/index_302122.html" TargetMode="External"/><Relationship Id="rId379" Type="http://schemas.openxmlformats.org/officeDocument/2006/relationships/hyperlink" Target="https://www.gakkou.net/kou/view/index_302086.html" TargetMode="External"/><Relationship Id="rId380" Type="http://schemas.openxmlformats.org/officeDocument/2006/relationships/hyperlink" Target="https://www.gakkou.net/kou/view/index_302077.html" TargetMode="External"/><Relationship Id="rId381" Type="http://schemas.openxmlformats.org/officeDocument/2006/relationships/hyperlink" Target="https://www.gakkou.net/kou/view/index_301933.html" TargetMode="External"/><Relationship Id="rId382" Type="http://schemas.openxmlformats.org/officeDocument/2006/relationships/hyperlink" Target="https://www.gakkou.net/kou/view/index_301937.html" TargetMode="External"/><Relationship Id="rId383" Type="http://schemas.openxmlformats.org/officeDocument/2006/relationships/hyperlink" Target="https://www.gakkou.net/kou/view/index_302108.html" TargetMode="External"/><Relationship Id="rId384" Type="http://schemas.openxmlformats.org/officeDocument/2006/relationships/hyperlink" Target="https://www.gakkou.net/kou/view/index_302014.html" TargetMode="External"/><Relationship Id="rId385" Type="http://schemas.openxmlformats.org/officeDocument/2006/relationships/hyperlink" Target="https://www.gakkou.net/kou/view/index_302022.html" TargetMode="External"/><Relationship Id="rId386" Type="http://schemas.openxmlformats.org/officeDocument/2006/relationships/hyperlink" Target="https://www.gakkou.net/kou/view/index_302017.html" TargetMode="External"/><Relationship Id="rId387" Type="http://schemas.openxmlformats.org/officeDocument/2006/relationships/hyperlink" Target="https://www.gakkou.net/kou/view/index_302011.html" TargetMode="External"/><Relationship Id="rId388" Type="http://schemas.openxmlformats.org/officeDocument/2006/relationships/hyperlink" Target="https://www.gakkou.net/kou/view/index_302204.html" TargetMode="External"/><Relationship Id="rId389" Type="http://schemas.openxmlformats.org/officeDocument/2006/relationships/hyperlink" Target="https://www.gakkou.net/kou/view/index_301854.html" TargetMode="External"/><Relationship Id="rId390" Type="http://schemas.openxmlformats.org/officeDocument/2006/relationships/hyperlink" Target="https://www.gakkou.net/kou/view/index_301855.html" TargetMode="External"/><Relationship Id="rId391" Type="http://schemas.openxmlformats.org/officeDocument/2006/relationships/hyperlink" Target="https://www.gakkou.net/kou/view/index_302050.html" TargetMode="External"/><Relationship Id="rId392" Type="http://schemas.openxmlformats.org/officeDocument/2006/relationships/hyperlink" Target="https://www.gakkou.net/kou/view/index_302087.html" TargetMode="External"/><Relationship Id="rId393" Type="http://schemas.openxmlformats.org/officeDocument/2006/relationships/hyperlink" Target="https://www.gakkou.net/kou/view/index_301970.html" TargetMode="External"/><Relationship Id="rId394" Type="http://schemas.openxmlformats.org/officeDocument/2006/relationships/hyperlink" Target="https://www.gakkou.net/kou/view/index_302208.html" TargetMode="External"/><Relationship Id="rId395" Type="http://schemas.openxmlformats.org/officeDocument/2006/relationships/hyperlink" Target="https://www.gakkou.net/kou/view/index_302181.html" TargetMode="External"/><Relationship Id="rId396" Type="http://schemas.openxmlformats.org/officeDocument/2006/relationships/hyperlink" Target="https://www.gakkou.net/kou/view/index_302085.html" TargetMode="External"/><Relationship Id="rId397" Type="http://schemas.openxmlformats.org/officeDocument/2006/relationships/hyperlink" Target="https://www.gakkou.net/kou/view/index_301867.html" TargetMode="External"/><Relationship Id="rId398" Type="http://schemas.openxmlformats.org/officeDocument/2006/relationships/hyperlink" Target="https://www.gakkou.net/kou/view/index_302239.html" TargetMode="External"/><Relationship Id="rId399" Type="http://schemas.openxmlformats.org/officeDocument/2006/relationships/hyperlink" Target="https://www.gakkou.net/kou/view/index_302079.html" TargetMode="External"/><Relationship Id="rId400" Type="http://schemas.openxmlformats.org/officeDocument/2006/relationships/hyperlink" Target="https://www.gakkou.net/kou/view/index_302284.html" TargetMode="External"/><Relationship Id="rId401" Type="http://schemas.openxmlformats.org/officeDocument/2006/relationships/hyperlink" Target="https://www.gakkou.net/kou/view/index_301917.html" TargetMode="External"/><Relationship Id="rId402" Type="http://schemas.openxmlformats.org/officeDocument/2006/relationships/hyperlink" Target="https://www.gakkou.net/kou/view/index_302184.html" TargetMode="External"/><Relationship Id="rId403" Type="http://schemas.openxmlformats.org/officeDocument/2006/relationships/hyperlink" Target="https://www.gakkou.net/kou/view/index_301925.html" TargetMode="External"/><Relationship Id="rId404" Type="http://schemas.openxmlformats.org/officeDocument/2006/relationships/hyperlink" Target="https://www.gakkou.net/kou/view/index_302274.html" TargetMode="External"/><Relationship Id="rId405" Type="http://schemas.openxmlformats.org/officeDocument/2006/relationships/hyperlink" Target="https://www.gakkou.net/kou/view/index_301837.html" TargetMode="External"/><Relationship Id="rId406" Type="http://schemas.openxmlformats.org/officeDocument/2006/relationships/hyperlink" Target="https://www.gakkou.net/kou/view/index_302139.html" TargetMode="External"/><Relationship Id="rId407" Type="http://schemas.openxmlformats.org/officeDocument/2006/relationships/hyperlink" Target="https://www.gakkou.net/kou/view/index_302052.html" TargetMode="External"/><Relationship Id="rId408" Type="http://schemas.openxmlformats.org/officeDocument/2006/relationships/hyperlink" Target="https://www.gakkou.net/kou/view/index_302183.html" TargetMode="External"/><Relationship Id="rId409" Type="http://schemas.openxmlformats.org/officeDocument/2006/relationships/hyperlink" Target="https://www.gakkou.net/kou/view/index_301952.html" TargetMode="External"/><Relationship Id="rId410" Type="http://schemas.openxmlformats.org/officeDocument/2006/relationships/hyperlink" Target="https://www.gakkou.net/kou/view/index_302066.html" TargetMode="External"/><Relationship Id="rId411" Type="http://schemas.openxmlformats.org/officeDocument/2006/relationships/hyperlink" Target="https://www.gakkou.net/kou/view/index_302362.html" TargetMode="External"/><Relationship Id="rId412" Type="http://schemas.openxmlformats.org/officeDocument/2006/relationships/hyperlink" Target="https://www.gakkou.net/kou/view/index_302196.html" TargetMode="External"/><Relationship Id="rId413" Type="http://schemas.openxmlformats.org/officeDocument/2006/relationships/hyperlink" Target="https://www.gakkou.net/kou/view/index_302210.html" TargetMode="External"/><Relationship Id="rId414" Type="http://schemas.openxmlformats.org/officeDocument/2006/relationships/hyperlink" Target="https://www.gakkou.net/kou/view/index_301842.html" TargetMode="External"/><Relationship Id="rId415" Type="http://schemas.openxmlformats.org/officeDocument/2006/relationships/hyperlink" Target="https://www.gakkou.net/kou/view/index_302154.html" TargetMode="External"/><Relationship Id="rId416" Type="http://schemas.openxmlformats.org/officeDocument/2006/relationships/hyperlink" Target="https://www.gakkou.net/kou/view/index_302186.html" TargetMode="External"/><Relationship Id="rId417" Type="http://schemas.openxmlformats.org/officeDocument/2006/relationships/hyperlink" Target="https://www.gakkou.net/kou/view/index_302153.html" TargetMode="External"/><Relationship Id="rId418" Type="http://schemas.openxmlformats.org/officeDocument/2006/relationships/hyperlink" Target="https://www.gakkou.net/kou/view/index_301921.html" TargetMode="External"/><Relationship Id="rId419" Type="http://schemas.openxmlformats.org/officeDocument/2006/relationships/hyperlink" Target="https://www.gakkou.net/kou/view/index_301926.html" TargetMode="External"/><Relationship Id="rId420" Type="http://schemas.openxmlformats.org/officeDocument/2006/relationships/hyperlink" Target="https://www.gakkou.net/kou/view/index_302232.html" TargetMode="External"/><Relationship Id="rId421" Type="http://schemas.openxmlformats.org/officeDocument/2006/relationships/hyperlink" Target="https://www.gakkou.net/kou/view/index_301868.html" TargetMode="External"/><Relationship Id="rId422" Type="http://schemas.openxmlformats.org/officeDocument/2006/relationships/hyperlink" Target="https://www.gakkou.net/kou/view/index_302105.html" TargetMode="External"/><Relationship Id="rId423" Type="http://schemas.openxmlformats.org/officeDocument/2006/relationships/hyperlink" Target="https://www.gakkou.net/kou/view/index_302126.html" TargetMode="External"/><Relationship Id="rId424" Type="http://schemas.openxmlformats.org/officeDocument/2006/relationships/hyperlink" Target="https://www.gakkou.net/kou/view/index_302129.html" TargetMode="External"/><Relationship Id="rId425" Type="http://schemas.openxmlformats.org/officeDocument/2006/relationships/hyperlink" Target="https://www.gakkou.net/kou/view/index_301827.html" TargetMode="External"/><Relationship Id="rId426" Type="http://schemas.openxmlformats.org/officeDocument/2006/relationships/hyperlink" Target="https://www.gakkou.net/kou/view/index_301853.html" TargetMode="External"/><Relationship Id="rId427" Type="http://schemas.openxmlformats.org/officeDocument/2006/relationships/hyperlink" Target="https://www.gakkou.net/kou/view/index_302110.html" TargetMode="External"/><Relationship Id="rId428" Type="http://schemas.openxmlformats.org/officeDocument/2006/relationships/hyperlink" Target="https://www.gakkou.net/kou/view/index_302306.html" TargetMode="External"/><Relationship Id="rId429" Type="http://schemas.openxmlformats.org/officeDocument/2006/relationships/hyperlink" Target="https://www.gakkou.net/kou/view/index_301918.html" TargetMode="External"/><Relationship Id="rId430" Type="http://schemas.openxmlformats.org/officeDocument/2006/relationships/hyperlink" Target="https://www.gakkou.net/kou/view/index_302023.html" TargetMode="External"/><Relationship Id="rId431" Type="http://schemas.openxmlformats.org/officeDocument/2006/relationships/hyperlink" Target="https://www.gakkou.net/kou/view/index_302080.html" TargetMode="External"/><Relationship Id="rId432" Type="http://schemas.openxmlformats.org/officeDocument/2006/relationships/hyperlink" Target="https://www.gakkou.net/kou/view/index_302167.html" TargetMode="External"/><Relationship Id="rId433" Type="http://schemas.openxmlformats.org/officeDocument/2006/relationships/hyperlink" Target="https://www.gakkou.net/kou/view/index_302272.html" TargetMode="External"/><Relationship Id="rId434" Type="http://schemas.openxmlformats.org/officeDocument/2006/relationships/hyperlink" Target="https://www.gakkou.net/kou/view/index_302243.html" TargetMode="External"/><Relationship Id="rId435" Type="http://schemas.openxmlformats.org/officeDocument/2006/relationships/hyperlink" Target="https://www.gakkou.net/kou/view/index_301873.html" TargetMode="External"/><Relationship Id="rId436" Type="http://schemas.openxmlformats.org/officeDocument/2006/relationships/hyperlink" Target="https://www.gakkou.net/kou/view/index_301927.html" TargetMode="External"/><Relationship Id="rId437" Type="http://schemas.openxmlformats.org/officeDocument/2006/relationships/hyperlink" Target="https://www.gakkou.net/kou/view/index_302270.html" TargetMode="External"/><Relationship Id="rId438" Type="http://schemas.openxmlformats.org/officeDocument/2006/relationships/hyperlink" Target="https://www.gakkou.net/kou/view/index_302285.html" TargetMode="External"/><Relationship Id="rId439" Type="http://schemas.openxmlformats.org/officeDocument/2006/relationships/hyperlink" Target="https://www.gakkou.net/kou/view/index_302328.html" TargetMode="External"/><Relationship Id="rId440" Type="http://schemas.openxmlformats.org/officeDocument/2006/relationships/hyperlink" Target="https://www.gakkou.net/kou/view/index_302115.html" TargetMode="External"/><Relationship Id="rId441" Type="http://schemas.openxmlformats.org/officeDocument/2006/relationships/hyperlink" Target="https://www.gakkou.net/kou/view/index_302370.html" TargetMode="External"/><Relationship Id="rId442" Type="http://schemas.openxmlformats.org/officeDocument/2006/relationships/hyperlink" Target="https://www.gakkou.net/kou/view/index_302074.html" TargetMode="External"/><Relationship Id="rId443" Type="http://schemas.openxmlformats.org/officeDocument/2006/relationships/hyperlink" Target="https://www.gakkou.net/kou/view/index_306564.html" TargetMode="External"/><Relationship Id="rId444" Type="http://schemas.openxmlformats.org/officeDocument/2006/relationships/hyperlink" Target="https://www.gakkou.net/kou/view/index_302096.html" TargetMode="External"/><Relationship Id="rId445" Type="http://schemas.openxmlformats.org/officeDocument/2006/relationships/hyperlink" Target="https://www.gakkou.net/kou/view/index_302212.html" TargetMode="External"/><Relationship Id="rId446" Type="http://schemas.openxmlformats.org/officeDocument/2006/relationships/hyperlink" Target="https://www.gakkou.net/kou/view/index_301847.html" TargetMode="External"/><Relationship Id="rId447" Type="http://schemas.openxmlformats.org/officeDocument/2006/relationships/hyperlink" Target="https://www.gakkou.net/kou/view/index_301891.html" TargetMode="External"/><Relationship Id="rId448" Type="http://schemas.openxmlformats.org/officeDocument/2006/relationships/hyperlink" Target="https://www.gakkou.net/kou/view/index_302164.html" TargetMode="External"/><Relationship Id="rId449" Type="http://schemas.openxmlformats.org/officeDocument/2006/relationships/hyperlink" Target="https://www.gakkou.net/kou/view/index_302262.html" TargetMode="External"/><Relationship Id="rId450" Type="http://schemas.openxmlformats.org/officeDocument/2006/relationships/hyperlink" Target="https://www.gakkou.net/kou/view/index_301841.html" TargetMode="External"/><Relationship Id="rId451" Type="http://schemas.openxmlformats.org/officeDocument/2006/relationships/hyperlink" Target="https://www.gakkou.net/kou/view/index_302197.html" TargetMode="External"/><Relationship Id="rId452" Type="http://schemas.openxmlformats.org/officeDocument/2006/relationships/hyperlink" Target="https://www.gakkou.net/kou/view/index_302308.html" TargetMode="External"/><Relationship Id="rId453" Type="http://schemas.openxmlformats.org/officeDocument/2006/relationships/hyperlink" Target="https://www.gakkou.net/kou/view/index_302305.html" TargetMode="External"/><Relationship Id="rId454" Type="http://schemas.openxmlformats.org/officeDocument/2006/relationships/hyperlink" Target="https://www.gakkou.net/kou/view/index_301897.html" TargetMode="External"/><Relationship Id="rId455" Type="http://schemas.openxmlformats.org/officeDocument/2006/relationships/hyperlink" Target="https://www.gakkou.net/kou/view/index_302116.html" TargetMode="External"/><Relationship Id="rId456" Type="http://schemas.openxmlformats.org/officeDocument/2006/relationships/hyperlink" Target="https://www.gakkou.net/kou/view/index_302117.html" TargetMode="External"/><Relationship Id="rId457" Type="http://schemas.openxmlformats.org/officeDocument/2006/relationships/hyperlink" Target="https://www.gakkou.net/kou/view/index_302134.html" TargetMode="External"/><Relationship Id="rId458" Type="http://schemas.openxmlformats.org/officeDocument/2006/relationships/hyperlink" Target="https://www.gakkou.net/kou/view/index_302291.html" TargetMode="External"/><Relationship Id="rId459" Type="http://schemas.openxmlformats.org/officeDocument/2006/relationships/hyperlink" Target="https://www.gakkou.net/kou/view/index_301852.html" TargetMode="External"/><Relationship Id="rId460" Type="http://schemas.openxmlformats.org/officeDocument/2006/relationships/hyperlink" Target="https://www.gakkou.net/kou/view/index_306330.html" TargetMode="External"/><Relationship Id="rId461" Type="http://schemas.openxmlformats.org/officeDocument/2006/relationships/hyperlink" Target="https://www.gakkou.net/kou/view/index_301900.html" TargetMode="External"/><Relationship Id="rId462" Type="http://schemas.openxmlformats.org/officeDocument/2006/relationships/hyperlink" Target="https://www.gakkou.net/kou/view/index_301840.html" TargetMode="External"/><Relationship Id="rId463" Type="http://schemas.openxmlformats.org/officeDocument/2006/relationships/hyperlink" Target="https://www.gakkou.net/kou/view/index_302198.html" TargetMode="External"/><Relationship Id="rId464" Type="http://schemas.openxmlformats.org/officeDocument/2006/relationships/hyperlink" Target="https://www.gakkou.net/kou/view/index_302045.html" TargetMode="External"/><Relationship Id="rId465" Type="http://schemas.openxmlformats.org/officeDocument/2006/relationships/hyperlink" Target="https://www.gakkou.net/kou/view/index_302039.html" TargetMode="External"/><Relationship Id="rId466" Type="http://schemas.openxmlformats.org/officeDocument/2006/relationships/hyperlink" Target="https://www.gakkou.net/kou/view/index_302300.html" TargetMode="External"/><Relationship Id="rId467" Type="http://schemas.openxmlformats.org/officeDocument/2006/relationships/hyperlink" Target="https://www.gakkou.net/kou/view/index_302053.html" TargetMode="External"/><Relationship Id="rId468" Type="http://schemas.openxmlformats.org/officeDocument/2006/relationships/hyperlink" Target="https://www.gakkou.net/kou/view/index_301923.html" TargetMode="External"/><Relationship Id="rId469" Type="http://schemas.openxmlformats.org/officeDocument/2006/relationships/hyperlink" Target="https://www.gakkou.net/kou/view/index_302257.html" TargetMode="External"/><Relationship Id="rId470" Type="http://schemas.openxmlformats.org/officeDocument/2006/relationships/hyperlink" Target="https://www.gakkou.net/kou/view/index_302114.html" TargetMode="External"/><Relationship Id="rId471" Type="http://schemas.openxmlformats.org/officeDocument/2006/relationships/hyperlink" Target="https://www.gakkou.net/kou/view/index_302103.html" TargetMode="External"/><Relationship Id="rId472" Type="http://schemas.openxmlformats.org/officeDocument/2006/relationships/hyperlink" Target="https://www.gakkou.net/kou/view/index_302094.html" TargetMode="External"/><Relationship Id="rId473" Type="http://schemas.openxmlformats.org/officeDocument/2006/relationships/hyperlink" Target="https://www.gakkou.net/kou/view/index_302276.html" TargetMode="External"/><Relationship Id="rId474" Type="http://schemas.openxmlformats.org/officeDocument/2006/relationships/hyperlink" Target="https://www.gakkou.net/kou/view/index_302156.html" TargetMode="External"/><Relationship Id="rId475" Type="http://schemas.openxmlformats.org/officeDocument/2006/relationships/hyperlink" Target="https://www.gakkou.net/kou/view/index_302368.html" TargetMode="External"/><Relationship Id="rId476" Type="http://schemas.openxmlformats.org/officeDocument/2006/relationships/hyperlink" Target="https://www.gakkou.net/kou/view/index_302267.html" TargetMode="External"/><Relationship Id="rId477" Type="http://schemas.openxmlformats.org/officeDocument/2006/relationships/hyperlink" Target="https://www.gakkou.net/kou/view/index_302246.html" TargetMode="External"/><Relationship Id="rId478" Type="http://schemas.openxmlformats.org/officeDocument/2006/relationships/hyperlink" Target="https://www.gakkou.net/kou/view/index_301861.html" TargetMode="External"/><Relationship Id="rId479" Type="http://schemas.openxmlformats.org/officeDocument/2006/relationships/hyperlink" Target="https://www.gakkou.net/kou/view/index_301828.html" TargetMode="External"/><Relationship Id="rId480" Type="http://schemas.openxmlformats.org/officeDocument/2006/relationships/hyperlink" Target="https://www.gakkou.net/kou/view/index_301892.html" TargetMode="External"/><Relationship Id="rId481" Type="http://schemas.openxmlformats.org/officeDocument/2006/relationships/hyperlink" Target="https://www.gakkou.net/kou/view/index_301901.html" TargetMode="External"/><Relationship Id="rId482" Type="http://schemas.openxmlformats.org/officeDocument/2006/relationships/hyperlink" Target="https://www.gakkou.net/kou/view/index_302061.html" TargetMode="External"/><Relationship Id="rId483" Type="http://schemas.openxmlformats.org/officeDocument/2006/relationships/hyperlink" Target="https://www.gakkou.net/kou/view/index_302188.html" TargetMode="External"/><Relationship Id="rId484" Type="http://schemas.openxmlformats.org/officeDocument/2006/relationships/hyperlink" Target="https://www.gakkou.net/kou/view/index_302185.html" TargetMode="External"/><Relationship Id="rId485" Type="http://schemas.openxmlformats.org/officeDocument/2006/relationships/hyperlink" Target="https://www.gakkou.net/kou/view/index_301899.html" TargetMode="External"/><Relationship Id="rId486" Type="http://schemas.openxmlformats.org/officeDocument/2006/relationships/hyperlink" Target="https://www.gakkou.net/kou/view/index_302075.html" TargetMode="External"/><Relationship Id="rId487" Type="http://schemas.openxmlformats.org/officeDocument/2006/relationships/hyperlink" Target="https://www.gakkou.net/kou/view/index_302003.html" TargetMode="External"/><Relationship Id="rId488" Type="http://schemas.openxmlformats.org/officeDocument/2006/relationships/hyperlink" Target="https://www.gakkou.net/kou/view/index_301838.html" TargetMode="External"/><Relationship Id="rId489" Type="http://schemas.openxmlformats.org/officeDocument/2006/relationships/hyperlink" Target="https://www.gakkou.net/kou/view/index_302140.html" TargetMode="External"/><Relationship Id="rId490" Type="http://schemas.openxmlformats.org/officeDocument/2006/relationships/hyperlink" Target="https://www.gakkou.net/kou/view/index_302068.html" TargetMode="External"/><Relationship Id="rId491" Type="http://schemas.openxmlformats.org/officeDocument/2006/relationships/hyperlink" Target="https://www.gakkou.net/kou/view/index_302089.html" TargetMode="External"/><Relationship Id="rId492" Type="http://schemas.openxmlformats.org/officeDocument/2006/relationships/hyperlink" Target="https://www.gakkou.net/kou/view/index_302042.html" TargetMode="External"/><Relationship Id="rId493" Type="http://schemas.openxmlformats.org/officeDocument/2006/relationships/hyperlink" Target="https://www.gakkou.net/kou/view/index_302283.html" TargetMode="External"/><Relationship Id="rId494" Type="http://schemas.openxmlformats.org/officeDocument/2006/relationships/hyperlink" Target="https://www.gakkou.net/kou/view/index_302092.html" TargetMode="External"/><Relationship Id="rId495" Type="http://schemas.openxmlformats.org/officeDocument/2006/relationships/hyperlink" Target="https://www.gakkou.net/kou/view/index_301972.html" TargetMode="External"/><Relationship Id="rId496" Type="http://schemas.openxmlformats.org/officeDocument/2006/relationships/hyperlink" Target="https://www.gakkou.net/kou/view/index_302330.html" TargetMode="External"/><Relationship Id="rId497" Type="http://schemas.openxmlformats.org/officeDocument/2006/relationships/hyperlink" Target="https://www.gakkou.net/kou/view/index_302161.html" TargetMode="External"/><Relationship Id="rId498" Type="http://schemas.openxmlformats.org/officeDocument/2006/relationships/hyperlink" Target="https://www.gakkou.net/kou/view/index_302168.html" TargetMode="External"/><Relationship Id="rId499" Type="http://schemas.openxmlformats.org/officeDocument/2006/relationships/hyperlink" Target="https://www.gakkou.net/kou/view/index_301896.html" TargetMode="External"/><Relationship Id="rId500" Type="http://schemas.openxmlformats.org/officeDocument/2006/relationships/hyperlink" Target="https://www.gakkou.net/kou/view/index_302209.html" TargetMode="External"/><Relationship Id="rId501" Type="http://schemas.openxmlformats.org/officeDocument/2006/relationships/hyperlink" Target="https://www.gakkou.net/kou/view/index_302319.html" TargetMode="External"/><Relationship Id="rId502" Type="http://schemas.openxmlformats.org/officeDocument/2006/relationships/hyperlink" Target="https://www.gakkou.net/kou/view/index_302320.html" TargetMode="External"/><Relationship Id="rId503" Type="http://schemas.openxmlformats.org/officeDocument/2006/relationships/hyperlink" Target="https://www.gakkou.net/kou/view/index_302036.html" TargetMode="External"/><Relationship Id="rId504" Type="http://schemas.openxmlformats.org/officeDocument/2006/relationships/hyperlink" Target="https://www.gakkou.net/kou/view/index_301889.html" TargetMode="External"/><Relationship Id="rId505" Type="http://schemas.openxmlformats.org/officeDocument/2006/relationships/hyperlink" Target="https://www.gakkou.net/kou/view/index_301863.html" TargetMode="External"/><Relationship Id="rId506" Type="http://schemas.openxmlformats.org/officeDocument/2006/relationships/hyperlink" Target="https://www.gakkou.net/kou/view/index_302333.html" TargetMode="External"/><Relationship Id="rId507" Type="http://schemas.openxmlformats.org/officeDocument/2006/relationships/hyperlink" Target="https://www.gakkou.net/kou/view/index_302060.html" TargetMode="External"/><Relationship Id="rId508" Type="http://schemas.openxmlformats.org/officeDocument/2006/relationships/hyperlink" Target="https://www.gakkou.net/kou/view/index_302218.html" TargetMode="External"/><Relationship Id="rId509" Type="http://schemas.openxmlformats.org/officeDocument/2006/relationships/hyperlink" Target="https://www.gakkou.net/kou/view/index_301844.html" TargetMode="External"/><Relationship Id="rId510" Type="http://schemas.openxmlformats.org/officeDocument/2006/relationships/hyperlink" Target="https://www.gakkou.net/kou/view/index_301871.html" TargetMode="External"/><Relationship Id="rId511" Type="http://schemas.openxmlformats.org/officeDocument/2006/relationships/hyperlink" Target="https://www.gakkou.net/kou/view/index_302152.html" TargetMode="External"/><Relationship Id="rId512" Type="http://schemas.openxmlformats.org/officeDocument/2006/relationships/hyperlink" Target="https://www.gakkou.net/kou/view/index_301908.html" TargetMode="External"/><Relationship Id="rId513" Type="http://schemas.openxmlformats.org/officeDocument/2006/relationships/hyperlink" Target="https://www.gakkou.net/kou/view/index_302027.html" TargetMode="External"/><Relationship Id="rId514" Type="http://schemas.openxmlformats.org/officeDocument/2006/relationships/hyperlink" Target="https://www.gakkou.net/kou/view/index_302233.html" TargetMode="External"/><Relationship Id="rId515" Type="http://schemas.openxmlformats.org/officeDocument/2006/relationships/hyperlink" Target="https://www.gakkou.net/kou/view/index_306792.html" TargetMode="External"/><Relationship Id="rId516" Type="http://schemas.openxmlformats.org/officeDocument/2006/relationships/hyperlink" Target="https://www.gakkou.net/kou/view/index_302138.html" TargetMode="External"/><Relationship Id="rId517" Type="http://schemas.openxmlformats.org/officeDocument/2006/relationships/hyperlink" Target="https://www.gakkou.net/kou/view/index_302191.html" TargetMode="External"/><Relationship Id="rId518" Type="http://schemas.openxmlformats.org/officeDocument/2006/relationships/hyperlink" Target="https://www.gakkou.net/kou/view/index_302016.html" TargetMode="External"/><Relationship Id="rId519" Type="http://schemas.openxmlformats.org/officeDocument/2006/relationships/hyperlink" Target="https://www.gakkou.net/kou/view/index_302178.html" TargetMode="External"/><Relationship Id="rId520" Type="http://schemas.openxmlformats.org/officeDocument/2006/relationships/hyperlink" Target="https://www.gakkou.net/kou/view/index_302137.html" TargetMode="External"/><Relationship Id="rId521" Type="http://schemas.openxmlformats.org/officeDocument/2006/relationships/hyperlink" Target="https://www.gakkou.net/kou/view/index_302182.html" TargetMode="External"/><Relationship Id="rId522" Type="http://schemas.openxmlformats.org/officeDocument/2006/relationships/hyperlink" Target="https://www.gakkou.net/kou/view/index_302121.html" TargetMode="External"/><Relationship Id="rId523" Type="http://schemas.openxmlformats.org/officeDocument/2006/relationships/hyperlink" Target="https://www.gakkou.net/kou/view/index_302240.html" TargetMode="External"/><Relationship Id="rId524" Type="http://schemas.openxmlformats.org/officeDocument/2006/relationships/hyperlink" Target="https://www.gakkou.net/kou/view/index_301836.html" TargetMode="External"/><Relationship Id="rId525" Type="http://schemas.openxmlformats.org/officeDocument/2006/relationships/hyperlink" Target="https://www.gakkou.net/kou/view/index_302215.html" TargetMode="External"/><Relationship Id="rId526" Type="http://schemas.openxmlformats.org/officeDocument/2006/relationships/hyperlink" Target="https://www.gakkou.net/kou/view/index_301934.html" TargetMode="External"/><Relationship Id="rId527" Type="http://schemas.openxmlformats.org/officeDocument/2006/relationships/hyperlink" Target="https://www.gakkou.net/kou/view/index_302361.html" TargetMode="External"/><Relationship Id="rId528" Type="http://schemas.openxmlformats.org/officeDocument/2006/relationships/hyperlink" Target="https://www.gakkou.net/kou/view/index_301866.html" TargetMode="External"/><Relationship Id="rId529" Type="http://schemas.openxmlformats.org/officeDocument/2006/relationships/hyperlink" Target="https://www.gakkou.net/kou/view/index_302281.html" TargetMode="External"/><Relationship Id="rId530" Type="http://schemas.openxmlformats.org/officeDocument/2006/relationships/hyperlink" Target="https://www.gakkou.net/kou/view/index_302088.html" TargetMode="External"/><Relationship Id="rId531" Type="http://schemas.openxmlformats.org/officeDocument/2006/relationships/hyperlink" Target="https://www.gakkou.net/kou/view/index_302135.html" TargetMode="External"/><Relationship Id="rId532" Type="http://schemas.openxmlformats.org/officeDocument/2006/relationships/hyperlink" Target="https://www.gakkou.net/kou/view/index_302299.html" TargetMode="External"/><Relationship Id="rId533" Type="http://schemas.openxmlformats.org/officeDocument/2006/relationships/hyperlink" Target="https://www.gakkou.net/kou/view/index_301830.html" TargetMode="External"/><Relationship Id="rId534" Type="http://schemas.openxmlformats.org/officeDocument/2006/relationships/hyperlink" Target="https://www.gakkou.net/kou/view/index_302254.html" TargetMode="External"/><Relationship Id="rId535" Type="http://schemas.openxmlformats.org/officeDocument/2006/relationships/hyperlink" Target="https://www.gakkou.net/kou/view/index_302282.html" TargetMode="External"/><Relationship Id="rId536" Type="http://schemas.openxmlformats.org/officeDocument/2006/relationships/hyperlink" Target="https://www.gakkou.net/kou/view/index_302072.html" TargetMode="External"/><Relationship Id="rId537" Type="http://schemas.openxmlformats.org/officeDocument/2006/relationships/hyperlink" Target="https://www.gakkou.net/kou/view/index_302073.html" TargetMode="External"/><Relationship Id="rId538" Type="http://schemas.openxmlformats.org/officeDocument/2006/relationships/hyperlink" Target="https://www.gakkou.net/kou/view/index_302123.html" TargetMode="External"/><Relationship Id="rId539" Type="http://schemas.openxmlformats.org/officeDocument/2006/relationships/hyperlink" Target="https://www.gakkou.net/kou/view/index_302065.html" TargetMode="External"/><Relationship Id="rId540" Type="http://schemas.openxmlformats.org/officeDocument/2006/relationships/hyperlink" Target="https://www.gakkou.net/kou/view/index_301973.html" TargetMode="External"/><Relationship Id="rId541" Type="http://schemas.openxmlformats.org/officeDocument/2006/relationships/hyperlink" Target="https://www.gakkou.net/kou/view/index_301864.html" TargetMode="External"/><Relationship Id="rId542" Type="http://schemas.openxmlformats.org/officeDocument/2006/relationships/hyperlink" Target="https://www.gakkou.net/kou/view/index_306412.html" TargetMode="External"/><Relationship Id="rId543" Type="http://schemas.openxmlformats.org/officeDocument/2006/relationships/hyperlink" Target="https://www.gakkou.net/kou/view/index_306769.html" TargetMode="External"/><Relationship Id="rId544" Type="http://schemas.openxmlformats.org/officeDocument/2006/relationships/hyperlink" Target="https://www.gakkou.net/kou/view/index_302173.html" TargetMode="External"/><Relationship Id="rId545" Type="http://schemas.openxmlformats.org/officeDocument/2006/relationships/hyperlink" Target="https://www.gakkou.net/kou/view/index_306409.html" TargetMode="External"/><Relationship Id="rId546" Type="http://schemas.openxmlformats.org/officeDocument/2006/relationships/hyperlink" Target="https://www.gakkou.net/kou/view/index_302019.html" TargetMode="External"/><Relationship Id="rId547" Type="http://schemas.openxmlformats.org/officeDocument/2006/relationships/hyperlink" Target="https://www.gakkou.net/kou/view/index_302332.html" TargetMode="External"/><Relationship Id="rId548" Type="http://schemas.openxmlformats.org/officeDocument/2006/relationships/hyperlink" Target="https://www.gakkou.net/kou/view/index_302125.html" TargetMode="External"/><Relationship Id="rId549" Type="http://schemas.openxmlformats.org/officeDocument/2006/relationships/hyperlink" Target="https://www.gakkou.net/kou/view/index_302124.html" TargetMode="External"/><Relationship Id="rId550" Type="http://schemas.openxmlformats.org/officeDocument/2006/relationships/hyperlink" Target="https://www.gakkou.net/kou/view/index_302220.html" TargetMode="External"/><Relationship Id="rId551" Type="http://schemas.openxmlformats.org/officeDocument/2006/relationships/hyperlink" Target="https://www.gakkou.net/kou/view/index_301835.html" TargetMode="External"/><Relationship Id="rId552" Type="http://schemas.openxmlformats.org/officeDocument/2006/relationships/hyperlink" Target="https://www.gakkou.net/kou/view/index_302506.html" TargetMode="External"/><Relationship Id="rId553" Type="http://schemas.openxmlformats.org/officeDocument/2006/relationships/hyperlink" Target="https://www.gakkou.net/kou/view/index_302421.html" TargetMode="External"/><Relationship Id="rId554" Type="http://schemas.openxmlformats.org/officeDocument/2006/relationships/hyperlink" Target="https://www.gakkou.net/kou/view/index_302615.html" TargetMode="External"/><Relationship Id="rId555" Type="http://schemas.openxmlformats.org/officeDocument/2006/relationships/hyperlink" Target="https://www.gakkou.net/kou/view/index_302464.html" TargetMode="External"/><Relationship Id="rId556" Type="http://schemas.openxmlformats.org/officeDocument/2006/relationships/hyperlink" Target="https://www.gakkou.net/kou/view/index_306415.html" TargetMode="External"/><Relationship Id="rId557" Type="http://schemas.openxmlformats.org/officeDocument/2006/relationships/hyperlink" Target="https://www.gakkou.net/kou/view/index_302643.html" TargetMode="External"/><Relationship Id="rId558" Type="http://schemas.openxmlformats.org/officeDocument/2006/relationships/hyperlink" Target="https://www.gakkou.net/kou/view/index_302600.html" TargetMode="External"/><Relationship Id="rId559" Type="http://schemas.openxmlformats.org/officeDocument/2006/relationships/hyperlink" Target="https://www.gakkou.net/kou/view/index_302431.html" TargetMode="External"/><Relationship Id="rId560" Type="http://schemas.openxmlformats.org/officeDocument/2006/relationships/hyperlink" Target="https://www.gakkou.net/kou/view/index_302397.html" TargetMode="External"/><Relationship Id="rId561" Type="http://schemas.openxmlformats.org/officeDocument/2006/relationships/hyperlink" Target="https://www.gakkou.net/kou/view/index_306336.html" TargetMode="External"/><Relationship Id="rId562" Type="http://schemas.openxmlformats.org/officeDocument/2006/relationships/hyperlink" Target="https://www.gakkou.net/kou/view/index_302426.html" TargetMode="External"/><Relationship Id="rId563" Type="http://schemas.openxmlformats.org/officeDocument/2006/relationships/hyperlink" Target="https://www.gakkou.net/kou/view/index_302449.html" TargetMode="External"/><Relationship Id="rId564" Type="http://schemas.openxmlformats.org/officeDocument/2006/relationships/hyperlink" Target="https://www.gakkou.net/kou/view/index_302599.html" TargetMode="External"/><Relationship Id="rId565" Type="http://schemas.openxmlformats.org/officeDocument/2006/relationships/hyperlink" Target="https://www.gakkou.net/kou/view/index_302596.html" TargetMode="External"/><Relationship Id="rId566" Type="http://schemas.openxmlformats.org/officeDocument/2006/relationships/hyperlink" Target="https://www.gakkou.net/kou/view/index_302603.html" TargetMode="External"/><Relationship Id="rId567" Type="http://schemas.openxmlformats.org/officeDocument/2006/relationships/hyperlink" Target="https://www.gakkou.net/kou/view/index_302402.html" TargetMode="External"/><Relationship Id="rId568" Type="http://schemas.openxmlformats.org/officeDocument/2006/relationships/hyperlink" Target="https://www.gakkou.net/kou/view/index_302499.html" TargetMode="External"/><Relationship Id="rId569" Type="http://schemas.openxmlformats.org/officeDocument/2006/relationships/hyperlink" Target="https://www.gakkou.net/kou/view/index_302520.html" TargetMode="External"/><Relationship Id="rId570" Type="http://schemas.openxmlformats.org/officeDocument/2006/relationships/hyperlink" Target="https://www.gakkou.net/kou/view/index_302620.html" TargetMode="External"/><Relationship Id="rId571" Type="http://schemas.openxmlformats.org/officeDocument/2006/relationships/hyperlink" Target="https://www.gakkou.net/kou/view/index_302598.html" TargetMode="External"/><Relationship Id="rId572" Type="http://schemas.openxmlformats.org/officeDocument/2006/relationships/hyperlink" Target="https://www.gakkou.net/kou/view/index_302627.html" TargetMode="External"/><Relationship Id="rId573" Type="http://schemas.openxmlformats.org/officeDocument/2006/relationships/hyperlink" Target="https://www.gakkou.net/kou/view/index_302579.html" TargetMode="External"/><Relationship Id="rId574" Type="http://schemas.openxmlformats.org/officeDocument/2006/relationships/hyperlink" Target="https://www.gakkou.net/kou/view/index_302438.html" TargetMode="External"/><Relationship Id="rId575" Type="http://schemas.openxmlformats.org/officeDocument/2006/relationships/hyperlink" Target="https://www.gakkou.net/kou/view/index_302640.html" TargetMode="External"/><Relationship Id="rId576" Type="http://schemas.openxmlformats.org/officeDocument/2006/relationships/hyperlink" Target="https://www.gakkou.net/kou/view/index_302674.html" TargetMode="External"/><Relationship Id="rId577" Type="http://schemas.openxmlformats.org/officeDocument/2006/relationships/hyperlink" Target="https://www.gakkou.net/kou/view/index_302465.html" TargetMode="External"/><Relationship Id="rId578" Type="http://schemas.openxmlformats.org/officeDocument/2006/relationships/hyperlink" Target="https://www.gakkou.net/kou/view/index_302459.html" TargetMode="External"/><Relationship Id="rId579" Type="http://schemas.openxmlformats.org/officeDocument/2006/relationships/hyperlink" Target="https://www.gakkou.net/kou/view/index_302440.html" TargetMode="External"/><Relationship Id="rId580" Type="http://schemas.openxmlformats.org/officeDocument/2006/relationships/hyperlink" Target="https://www.gakkou.net/kou/view/index_306338.html" TargetMode="External"/><Relationship Id="rId581" Type="http://schemas.openxmlformats.org/officeDocument/2006/relationships/hyperlink" Target="https://www.gakkou.net/kou/view/index_302529.html" TargetMode="External"/><Relationship Id="rId582" Type="http://schemas.openxmlformats.org/officeDocument/2006/relationships/hyperlink" Target="https://www.gakkou.net/kou/view/index_302629.html" TargetMode="External"/><Relationship Id="rId583" Type="http://schemas.openxmlformats.org/officeDocument/2006/relationships/hyperlink" Target="https://www.gakkou.net/kou/view/index_302630.html" TargetMode="External"/><Relationship Id="rId584" Type="http://schemas.openxmlformats.org/officeDocument/2006/relationships/hyperlink" Target="https://www.gakkou.net/kou/view/index_302628.html" TargetMode="External"/><Relationship Id="rId585" Type="http://schemas.openxmlformats.org/officeDocument/2006/relationships/hyperlink" Target="https://www.gakkou.net/kou/view/index_302610.html" TargetMode="External"/><Relationship Id="rId586" Type="http://schemas.openxmlformats.org/officeDocument/2006/relationships/hyperlink" Target="https://www.gakkou.net/kou/view/index_302493.html" TargetMode="External"/><Relationship Id="rId587" Type="http://schemas.openxmlformats.org/officeDocument/2006/relationships/hyperlink" Target="https://www.gakkou.net/kou/view/index_306556.html" TargetMode="External"/><Relationship Id="rId588" Type="http://schemas.openxmlformats.org/officeDocument/2006/relationships/hyperlink" Target="https://www.gakkou.net/kou/view/index_306335.html" TargetMode="External"/><Relationship Id="rId589" Type="http://schemas.openxmlformats.org/officeDocument/2006/relationships/hyperlink" Target="https://www.gakkou.net/kou/view/index_302565.html" TargetMode="External"/><Relationship Id="rId590" Type="http://schemas.openxmlformats.org/officeDocument/2006/relationships/hyperlink" Target="https://www.gakkou.net/kou/view/index_302602.html" TargetMode="External"/><Relationship Id="rId591" Type="http://schemas.openxmlformats.org/officeDocument/2006/relationships/hyperlink" Target="https://www.gakkou.net/kou/view/index_302477.html" TargetMode="External"/><Relationship Id="rId592" Type="http://schemas.openxmlformats.org/officeDocument/2006/relationships/hyperlink" Target="https://www.gakkou.net/kou/view/index_302607.html" TargetMode="External"/><Relationship Id="rId593" Type="http://schemas.openxmlformats.org/officeDocument/2006/relationships/hyperlink" Target="https://www.gakkou.net/kou/view/index_302400.html" TargetMode="External"/><Relationship Id="rId594" Type="http://schemas.openxmlformats.org/officeDocument/2006/relationships/hyperlink" Target="https://www.gakkou.net/kou/view/index_302422.html" TargetMode="External"/><Relationship Id="rId595" Type="http://schemas.openxmlformats.org/officeDocument/2006/relationships/hyperlink" Target="https://www.gakkou.net/kou/view/index_302617.html" TargetMode="External"/><Relationship Id="rId596" Type="http://schemas.openxmlformats.org/officeDocument/2006/relationships/hyperlink" Target="https://www.gakkou.net/kou/view/index_302483.html" TargetMode="External"/><Relationship Id="rId597" Type="http://schemas.openxmlformats.org/officeDocument/2006/relationships/hyperlink" Target="https://www.gakkou.net/kou/view/index_302667.html" TargetMode="External"/><Relationship Id="rId598" Type="http://schemas.openxmlformats.org/officeDocument/2006/relationships/hyperlink" Target="https://www.gakkou.net/kou/view/index_302498.html" TargetMode="External"/><Relationship Id="rId599" Type="http://schemas.openxmlformats.org/officeDocument/2006/relationships/hyperlink" Target="https://www.gakkou.net/kou/view/index_302482.html" TargetMode="External"/><Relationship Id="rId600" Type="http://schemas.openxmlformats.org/officeDocument/2006/relationships/hyperlink" Target="https://www.gakkou.net/kou/view/index_302446.html" TargetMode="External"/><Relationship Id="rId601" Type="http://schemas.openxmlformats.org/officeDocument/2006/relationships/hyperlink" Target="https://www.gakkou.net/kou/view/index_302460.html" TargetMode="External"/><Relationship Id="rId602" Type="http://schemas.openxmlformats.org/officeDocument/2006/relationships/hyperlink" Target="https://www.gakkou.net/kou/view/index_302413.html" TargetMode="External"/><Relationship Id="rId603" Type="http://schemas.openxmlformats.org/officeDocument/2006/relationships/hyperlink" Target="https://www.gakkou.net/kou/view/index_302623.html" TargetMode="External"/><Relationship Id="rId604" Type="http://schemas.openxmlformats.org/officeDocument/2006/relationships/hyperlink" Target="https://www.gakkou.net/kou/view/index_302408.html" TargetMode="External"/><Relationship Id="rId605" Type="http://schemas.openxmlformats.org/officeDocument/2006/relationships/hyperlink" Target="https://www.gakkou.net/kou/view/index_302436.html" TargetMode="External"/><Relationship Id="rId606" Type="http://schemas.openxmlformats.org/officeDocument/2006/relationships/hyperlink" Target="https://www.gakkou.net/kou/view/index_302638.html" TargetMode="External"/><Relationship Id="rId607" Type="http://schemas.openxmlformats.org/officeDocument/2006/relationships/hyperlink" Target="https://www.gakkou.net/kou/view/index_302484.html" TargetMode="External"/><Relationship Id="rId608" Type="http://schemas.openxmlformats.org/officeDocument/2006/relationships/hyperlink" Target="https://www.gakkou.net/kou/view/index_302658.html" TargetMode="External"/><Relationship Id="rId609" Type="http://schemas.openxmlformats.org/officeDocument/2006/relationships/hyperlink" Target="https://www.gakkou.net/kou/view/index_302495.html" TargetMode="External"/><Relationship Id="rId610" Type="http://schemas.openxmlformats.org/officeDocument/2006/relationships/hyperlink" Target="https://www.gakkou.net/kou/view/index_302633.html" TargetMode="External"/><Relationship Id="rId611" Type="http://schemas.openxmlformats.org/officeDocument/2006/relationships/hyperlink" Target="https://www.gakkou.net/kou/view/index_302432.html" TargetMode="External"/><Relationship Id="rId612" Type="http://schemas.openxmlformats.org/officeDocument/2006/relationships/hyperlink" Target="https://www.gakkou.net/kou/view/index_302486.html" TargetMode="External"/><Relationship Id="rId613" Type="http://schemas.openxmlformats.org/officeDocument/2006/relationships/hyperlink" Target="https://www.gakkou.net/kou/view/index_302395.html" TargetMode="External"/><Relationship Id="rId614" Type="http://schemas.openxmlformats.org/officeDocument/2006/relationships/hyperlink" Target="https://www.gakkou.net/kou/view/index_302535.html" TargetMode="External"/><Relationship Id="rId615" Type="http://schemas.openxmlformats.org/officeDocument/2006/relationships/hyperlink" Target="https://www.gakkou.net/kou/view/index_302634.html" TargetMode="External"/><Relationship Id="rId616" Type="http://schemas.openxmlformats.org/officeDocument/2006/relationships/hyperlink" Target="https://www.gakkou.net/kou/view/index_302530.html" TargetMode="External"/><Relationship Id="rId617" Type="http://schemas.openxmlformats.org/officeDocument/2006/relationships/hyperlink" Target="https://www.gakkou.net/kou/view/index_302447.html" TargetMode="External"/><Relationship Id="rId618" Type="http://schemas.openxmlformats.org/officeDocument/2006/relationships/hyperlink" Target="https://www.gakkou.net/kou/view/index_302595.html" TargetMode="External"/><Relationship Id="rId619" Type="http://schemas.openxmlformats.org/officeDocument/2006/relationships/hyperlink" Target="https://www.gakkou.net/kou/view/index_302528.html" TargetMode="External"/><Relationship Id="rId620" Type="http://schemas.openxmlformats.org/officeDocument/2006/relationships/hyperlink" Target="https://www.gakkou.net/kou/view/index_302514.html" TargetMode="External"/><Relationship Id="rId621" Type="http://schemas.openxmlformats.org/officeDocument/2006/relationships/hyperlink" Target="https://www.gakkou.net/kou/view/index_302494.html" TargetMode="External"/><Relationship Id="rId622" Type="http://schemas.openxmlformats.org/officeDocument/2006/relationships/hyperlink" Target="https://www.gakkou.net/kou/view/index_302525.html" TargetMode="External"/><Relationship Id="rId623" Type="http://schemas.openxmlformats.org/officeDocument/2006/relationships/hyperlink" Target="https://www.gakkou.net/kou/view/index_302557.html" TargetMode="External"/><Relationship Id="rId624" Type="http://schemas.openxmlformats.org/officeDocument/2006/relationships/hyperlink" Target="https://www.gakkou.net/kou/view/index_302496.html" TargetMode="External"/><Relationship Id="rId625" Type="http://schemas.openxmlformats.org/officeDocument/2006/relationships/hyperlink" Target="https://www.gakkou.net/kou/view/index_302450.html" TargetMode="External"/><Relationship Id="rId626" Type="http://schemas.openxmlformats.org/officeDocument/2006/relationships/hyperlink" Target="https://www.gakkou.net/kou/view/index_302549.html" TargetMode="External"/><Relationship Id="rId627" Type="http://schemas.openxmlformats.org/officeDocument/2006/relationships/hyperlink" Target="https://www.gakkou.net/kou/view/index_302420.html" TargetMode="External"/><Relationship Id="rId628" Type="http://schemas.openxmlformats.org/officeDocument/2006/relationships/hyperlink" Target="https://www.gakkou.net/kou/view/index_302521.html" TargetMode="External"/><Relationship Id="rId629" Type="http://schemas.openxmlformats.org/officeDocument/2006/relationships/hyperlink" Target="https://www.gakkou.net/kou/view/index_302592.html" TargetMode="External"/><Relationship Id="rId630" Type="http://schemas.openxmlformats.org/officeDocument/2006/relationships/hyperlink" Target="https://www.gakkou.net/kou/view/index_306770.html" TargetMode="External"/><Relationship Id="rId631" Type="http://schemas.openxmlformats.org/officeDocument/2006/relationships/hyperlink" Target="https://www.gakkou.net/kou/view/index_302497.html" TargetMode="External"/><Relationship Id="rId632" Type="http://schemas.openxmlformats.org/officeDocument/2006/relationships/hyperlink" Target="https://www.gakkou.net/kou/view/index_306436.html" TargetMode="External"/><Relationship Id="rId633" Type="http://schemas.openxmlformats.org/officeDocument/2006/relationships/hyperlink" Target="https://www.gakkou.net/kou/view/index_302804.html" TargetMode="External"/><Relationship Id="rId634" Type="http://schemas.openxmlformats.org/officeDocument/2006/relationships/hyperlink" Target="https://www.gakkou.net/kou/view/index_302758.html" TargetMode="External"/><Relationship Id="rId635" Type="http://schemas.openxmlformats.org/officeDocument/2006/relationships/hyperlink" Target="https://www.gakkou.net/kou/view/index_302793.html" TargetMode="External"/><Relationship Id="rId636" Type="http://schemas.openxmlformats.org/officeDocument/2006/relationships/hyperlink" Target="https://www.gakkou.net/kou/view/index_302705.html" TargetMode="External"/><Relationship Id="rId637" Type="http://schemas.openxmlformats.org/officeDocument/2006/relationships/hyperlink" Target="https://www.gakkou.net/kou/view/index_302706.html" TargetMode="External"/><Relationship Id="rId638" Type="http://schemas.openxmlformats.org/officeDocument/2006/relationships/hyperlink" Target="https://www.gakkou.net/kou/view/index_306472.html" TargetMode="External"/><Relationship Id="rId639" Type="http://schemas.openxmlformats.org/officeDocument/2006/relationships/hyperlink" Target="https://www.gakkou.net/kou/view/index_302687.html" TargetMode="External"/><Relationship Id="rId640" Type="http://schemas.openxmlformats.org/officeDocument/2006/relationships/hyperlink" Target="https://www.gakkou.net/kou/view/index_302679.html" TargetMode="External"/><Relationship Id="rId641" Type="http://schemas.openxmlformats.org/officeDocument/2006/relationships/hyperlink" Target="https://www.gakkou.net/kou/view/index_302752.html" TargetMode="External"/><Relationship Id="rId642" Type="http://schemas.openxmlformats.org/officeDocument/2006/relationships/hyperlink" Target="https://www.gakkou.net/kou/view/index_306509.html" TargetMode="External"/><Relationship Id="rId643" Type="http://schemas.openxmlformats.org/officeDocument/2006/relationships/hyperlink" Target="https://www.gakkou.net/kou/view/index_302715.html" TargetMode="External"/><Relationship Id="rId644" Type="http://schemas.openxmlformats.org/officeDocument/2006/relationships/hyperlink" Target="https://www.gakkou.net/kou/view/index_302756.html" TargetMode="External"/><Relationship Id="rId645" Type="http://schemas.openxmlformats.org/officeDocument/2006/relationships/hyperlink" Target="https://www.gakkou.net/kou/view/index_302760.html" TargetMode="External"/><Relationship Id="rId646" Type="http://schemas.openxmlformats.org/officeDocument/2006/relationships/hyperlink" Target="https://www.gakkou.net/kou/view/index_302766.html" TargetMode="External"/><Relationship Id="rId647" Type="http://schemas.openxmlformats.org/officeDocument/2006/relationships/hyperlink" Target="https://www.gakkou.net/kou/view/index_302765.html" TargetMode="External"/><Relationship Id="rId648" Type="http://schemas.openxmlformats.org/officeDocument/2006/relationships/hyperlink" Target="https://www.gakkou.net/kou/view/index_302755.html" TargetMode="External"/><Relationship Id="rId649" Type="http://schemas.openxmlformats.org/officeDocument/2006/relationships/hyperlink" Target="https://www.gakkou.net/kou/view/index_302746.html" TargetMode="External"/><Relationship Id="rId650" Type="http://schemas.openxmlformats.org/officeDocument/2006/relationships/hyperlink" Target="https://www.gakkou.net/kou/view/index_306628.html" TargetMode="External"/><Relationship Id="rId651" Type="http://schemas.openxmlformats.org/officeDocument/2006/relationships/hyperlink" Target="https://www.gakkou.net/kou/view/index_302835.html" TargetMode="External"/><Relationship Id="rId652" Type="http://schemas.openxmlformats.org/officeDocument/2006/relationships/hyperlink" Target="https://www.gakkou.net/kou/view/index_302840.html" TargetMode="External"/><Relationship Id="rId653" Type="http://schemas.openxmlformats.org/officeDocument/2006/relationships/hyperlink" Target="https://www.gakkou.net/kou/view/index_302847.html" TargetMode="External"/><Relationship Id="rId654" Type="http://schemas.openxmlformats.org/officeDocument/2006/relationships/hyperlink" Target="https://www.gakkou.net/kou/view/index_302841.html" TargetMode="External"/><Relationship Id="rId655" Type="http://schemas.openxmlformats.org/officeDocument/2006/relationships/hyperlink" Target="https://www.gakkou.net/kou/view/index_302819.html" TargetMode="External"/><Relationship Id="rId656" Type="http://schemas.openxmlformats.org/officeDocument/2006/relationships/hyperlink" Target="https://www.gakkou.net/kou/view/index_302828.html" TargetMode="External"/><Relationship Id="rId657" Type="http://schemas.openxmlformats.org/officeDocument/2006/relationships/hyperlink" Target="https://www.gakkou.net/kou/view/index_302862.html" TargetMode="External"/><Relationship Id="rId658" Type="http://schemas.openxmlformats.org/officeDocument/2006/relationships/hyperlink" Target="https://www.gakkou.net/kou/view/index_302829.html" TargetMode="External"/><Relationship Id="rId659" Type="http://schemas.openxmlformats.org/officeDocument/2006/relationships/hyperlink" Target="https://www.gakkou.net/kou/view/index_302824.html" TargetMode="External"/><Relationship Id="rId660" Type="http://schemas.openxmlformats.org/officeDocument/2006/relationships/hyperlink" Target="https://www.gakkou.net/kou/view/index_306491.html" TargetMode="External"/><Relationship Id="rId661" Type="http://schemas.openxmlformats.org/officeDocument/2006/relationships/hyperlink" Target="https://www.gakkou.net/kou/view/index_302933.html" TargetMode="External"/><Relationship Id="rId662" Type="http://schemas.openxmlformats.org/officeDocument/2006/relationships/hyperlink" Target="https://www.gakkou.net/kou/view/index_302901.html" TargetMode="External"/><Relationship Id="rId663" Type="http://schemas.openxmlformats.org/officeDocument/2006/relationships/hyperlink" Target="https://www.gakkou.net/kou/view/index_302906.html" TargetMode="External"/><Relationship Id="rId664" Type="http://schemas.openxmlformats.org/officeDocument/2006/relationships/hyperlink" Target="https://www.gakkou.net/kou/view/index_302891.html" TargetMode="External"/><Relationship Id="rId665" Type="http://schemas.openxmlformats.org/officeDocument/2006/relationships/hyperlink" Target="https://www.gakkou.net/kou/view/index_302919.html" TargetMode="External"/><Relationship Id="rId666" Type="http://schemas.openxmlformats.org/officeDocument/2006/relationships/hyperlink" Target="https://www.gakkou.net/kou/view/index_302892.html" TargetMode="External"/><Relationship Id="rId667" Type="http://schemas.openxmlformats.org/officeDocument/2006/relationships/hyperlink" Target="https://www.gakkou.net/kou/view/index_306446.html" TargetMode="External"/><Relationship Id="rId668" Type="http://schemas.openxmlformats.org/officeDocument/2006/relationships/hyperlink" Target="https://www.gakkou.net/kou/view/index_302894.html" TargetMode="External"/><Relationship Id="rId669" Type="http://schemas.openxmlformats.org/officeDocument/2006/relationships/hyperlink" Target="https://www.gakkou.net/kou/view/index_302899.html" TargetMode="External"/><Relationship Id="rId670" Type="http://schemas.openxmlformats.org/officeDocument/2006/relationships/hyperlink" Target="https://www.gakkou.net/kou/view/index_302961.html" TargetMode="External"/><Relationship Id="rId671" Type="http://schemas.openxmlformats.org/officeDocument/2006/relationships/hyperlink" Target="https://www.gakkou.net/kou/view/index_302958.html" TargetMode="External"/><Relationship Id="rId672" Type="http://schemas.openxmlformats.org/officeDocument/2006/relationships/hyperlink" Target="https://www.gakkou.net/kou/view/index_302980.html" TargetMode="External"/><Relationship Id="rId673" Type="http://schemas.openxmlformats.org/officeDocument/2006/relationships/hyperlink" Target="https://www.gakkou.net/kou/view/index_302963.html" TargetMode="External"/><Relationship Id="rId674" Type="http://schemas.openxmlformats.org/officeDocument/2006/relationships/hyperlink" Target="https://www.gakkou.net/kou/view/index_302999.html" TargetMode="External"/><Relationship Id="rId675" Type="http://schemas.openxmlformats.org/officeDocument/2006/relationships/hyperlink" Target="https://www.gakkou.net/kou/view/index_302960.html" TargetMode="External"/><Relationship Id="rId676" Type="http://schemas.openxmlformats.org/officeDocument/2006/relationships/hyperlink" Target="https://www.gakkou.net/kou/view/index_303025.html" TargetMode="External"/><Relationship Id="rId677" Type="http://schemas.openxmlformats.org/officeDocument/2006/relationships/hyperlink" Target="https://www.gakkou.net/kou/view/index_303053.html" TargetMode="External"/><Relationship Id="rId678" Type="http://schemas.openxmlformats.org/officeDocument/2006/relationships/hyperlink" Target="https://www.gakkou.net/kou/view/index_303009.html" TargetMode="External"/><Relationship Id="rId679" Type="http://schemas.openxmlformats.org/officeDocument/2006/relationships/hyperlink" Target="https://www.gakkou.net/kou/view/index_303052.html" TargetMode="External"/><Relationship Id="rId680" Type="http://schemas.openxmlformats.org/officeDocument/2006/relationships/hyperlink" Target="https://www.gakkou.net/kou/view/index_303011.html" TargetMode="External"/><Relationship Id="rId681" Type="http://schemas.openxmlformats.org/officeDocument/2006/relationships/hyperlink" Target="https://www.gakkou.net/kou/view/index_303048.html" TargetMode="External"/><Relationship Id="rId682" Type="http://schemas.openxmlformats.org/officeDocument/2006/relationships/hyperlink" Target="https://www.gakkou.net/kou/view/index_303055.html" TargetMode="External"/><Relationship Id="rId683" Type="http://schemas.openxmlformats.org/officeDocument/2006/relationships/hyperlink" Target="https://www.gakkou.net/kou/view/index_303037.html" TargetMode="External"/><Relationship Id="rId684" Type="http://schemas.openxmlformats.org/officeDocument/2006/relationships/hyperlink" Target="https://www.gakkou.net/kou/view/index_303058.html" TargetMode="External"/><Relationship Id="rId685" Type="http://schemas.openxmlformats.org/officeDocument/2006/relationships/hyperlink" Target="https://www.gakkou.net/kou/view/index_303005.html" TargetMode="External"/><Relationship Id="rId686" Type="http://schemas.openxmlformats.org/officeDocument/2006/relationships/hyperlink" Target="https://www.gakkou.net/kou/view/index_303021.html" TargetMode="External"/><Relationship Id="rId687" Type="http://schemas.openxmlformats.org/officeDocument/2006/relationships/hyperlink" Target="https://www.gakkou.net/kou/view/index_303156.html" TargetMode="External"/><Relationship Id="rId688" Type="http://schemas.openxmlformats.org/officeDocument/2006/relationships/hyperlink" Target="https://www.gakkou.net/kou/view/index_303181.html" TargetMode="External"/><Relationship Id="rId689" Type="http://schemas.openxmlformats.org/officeDocument/2006/relationships/hyperlink" Target="https://www.gakkou.net/kou/view/index_303112.html" TargetMode="External"/><Relationship Id="rId690" Type="http://schemas.openxmlformats.org/officeDocument/2006/relationships/hyperlink" Target="https://www.gakkou.net/kou/view/index_303129.html" TargetMode="External"/><Relationship Id="rId691" Type="http://schemas.openxmlformats.org/officeDocument/2006/relationships/hyperlink" Target="https://www.gakkou.net/kou/view/index_303102.html" TargetMode="External"/><Relationship Id="rId692" Type="http://schemas.openxmlformats.org/officeDocument/2006/relationships/hyperlink" Target="https://www.gakkou.net/kou/view/index_306550.html" TargetMode="External"/><Relationship Id="rId693" Type="http://schemas.openxmlformats.org/officeDocument/2006/relationships/hyperlink" Target="https://www.gakkou.net/kou/view/index_306445.html" TargetMode="External"/><Relationship Id="rId694" Type="http://schemas.openxmlformats.org/officeDocument/2006/relationships/hyperlink" Target="https://www.gakkou.net/kou/view/index_306432.html" TargetMode="External"/><Relationship Id="rId695" Type="http://schemas.openxmlformats.org/officeDocument/2006/relationships/hyperlink" Target="https://www.gakkou.net/kou/view/index_306655.html" TargetMode="External"/><Relationship Id="rId696" Type="http://schemas.openxmlformats.org/officeDocument/2006/relationships/hyperlink" Target="https://www.gakkou.net/kou/view/index_303143.html" TargetMode="External"/><Relationship Id="rId697" Type="http://schemas.openxmlformats.org/officeDocument/2006/relationships/hyperlink" Target="https://www.gakkou.net/kou/view/index_303175.html" TargetMode="External"/><Relationship Id="rId698" Type="http://schemas.openxmlformats.org/officeDocument/2006/relationships/hyperlink" Target="https://www.gakkou.net/kou/view/index_303117.html" TargetMode="External"/><Relationship Id="rId699" Type="http://schemas.openxmlformats.org/officeDocument/2006/relationships/hyperlink" Target="https://www.gakkou.net/kou/view/index_303067.html" TargetMode="External"/><Relationship Id="rId700" Type="http://schemas.openxmlformats.org/officeDocument/2006/relationships/hyperlink" Target="https://www.gakkou.net/kou/view/index_303064.html" TargetMode="External"/><Relationship Id="rId701" Type="http://schemas.openxmlformats.org/officeDocument/2006/relationships/hyperlink" Target="https://www.gakkou.net/kou/view/index_303074.html" TargetMode="External"/><Relationship Id="rId702" Type="http://schemas.openxmlformats.org/officeDocument/2006/relationships/hyperlink" Target="https://www.gakkou.net/kou/view/index_303068.html" TargetMode="External"/><Relationship Id="rId703" Type="http://schemas.openxmlformats.org/officeDocument/2006/relationships/hyperlink" Target="https://www.gakkou.net/kou/view/index_303133.html" TargetMode="External"/><Relationship Id="rId704" Type="http://schemas.openxmlformats.org/officeDocument/2006/relationships/hyperlink" Target="https://www.gakkou.net/kou/view/index_303137.html" TargetMode="External"/><Relationship Id="rId705" Type="http://schemas.openxmlformats.org/officeDocument/2006/relationships/hyperlink" Target="https://www.gakkou.net/kou/view/index_303130.html" TargetMode="External"/><Relationship Id="rId706" Type="http://schemas.openxmlformats.org/officeDocument/2006/relationships/hyperlink" Target="https://www.gakkou.net/kou/view/index_303194.html" TargetMode="External"/><Relationship Id="rId707" Type="http://schemas.openxmlformats.org/officeDocument/2006/relationships/hyperlink" Target="https://www.gakkou.net/kou/view/index_303238.html" TargetMode="External"/><Relationship Id="rId708" Type="http://schemas.openxmlformats.org/officeDocument/2006/relationships/hyperlink" Target="https://www.gakkou.net/kou/view/index_306653.html" TargetMode="External"/><Relationship Id="rId709" Type="http://schemas.openxmlformats.org/officeDocument/2006/relationships/hyperlink" Target="https://www.gakkou.net/kou/view/index_303198.html" TargetMode="External"/><Relationship Id="rId710" Type="http://schemas.openxmlformats.org/officeDocument/2006/relationships/hyperlink" Target="https://www.gakkou.net/kou/view/index_303223.html" TargetMode="External"/><Relationship Id="rId711" Type="http://schemas.openxmlformats.org/officeDocument/2006/relationships/hyperlink" Target="https://www.gakkou.net/kou/view/index_303207.html" TargetMode="External"/><Relationship Id="rId712" Type="http://schemas.openxmlformats.org/officeDocument/2006/relationships/hyperlink" Target="https://www.gakkou.net/kou/view/index_303196.html" TargetMode="External"/><Relationship Id="rId713" Type="http://schemas.openxmlformats.org/officeDocument/2006/relationships/hyperlink" Target="https://www.gakkou.net/kou/view/index_306654.html" TargetMode="External"/><Relationship Id="rId714" Type="http://schemas.openxmlformats.org/officeDocument/2006/relationships/hyperlink" Target="https://www.gakkou.net/kou/view/index_303202.html" TargetMode="External"/><Relationship Id="rId715" Type="http://schemas.openxmlformats.org/officeDocument/2006/relationships/hyperlink" Target="https://www.gakkou.net/kou/view/index_303212.html" TargetMode="External"/><Relationship Id="rId716" Type="http://schemas.openxmlformats.org/officeDocument/2006/relationships/hyperlink" Target="https://www.gakkou.net/kou/view/index_303266.html" TargetMode="External"/><Relationship Id="rId717" Type="http://schemas.openxmlformats.org/officeDocument/2006/relationships/hyperlink" Target="https://www.gakkou.net/kou/view/index_303271.html" TargetMode="External"/><Relationship Id="rId718" Type="http://schemas.openxmlformats.org/officeDocument/2006/relationships/hyperlink" Target="https://www.gakkou.net/kou/view/index_303291.html" TargetMode="External"/><Relationship Id="rId719" Type="http://schemas.openxmlformats.org/officeDocument/2006/relationships/hyperlink" Target="https://www.gakkou.net/kou/view/index_303281.html" TargetMode="External"/><Relationship Id="rId720" Type="http://schemas.openxmlformats.org/officeDocument/2006/relationships/hyperlink" Target="https://www.gakkou.net/kou/view/index_303195.html" TargetMode="External"/><Relationship Id="rId721" Type="http://schemas.openxmlformats.org/officeDocument/2006/relationships/hyperlink" Target="https://www.gakkou.net/kou/view/index_303258.html" TargetMode="External"/><Relationship Id="rId722" Type="http://schemas.openxmlformats.org/officeDocument/2006/relationships/hyperlink" Target="https://www.gakkou.net/kou/view/index_303292.html" TargetMode="External"/><Relationship Id="rId723" Type="http://schemas.openxmlformats.org/officeDocument/2006/relationships/hyperlink" Target="https://www.gakkou.net/kou/view/index_303473.html" TargetMode="External"/><Relationship Id="rId724" Type="http://schemas.openxmlformats.org/officeDocument/2006/relationships/hyperlink" Target="https://www.gakkou.net/kou/view/index_303432.html" TargetMode="External"/><Relationship Id="rId725" Type="http://schemas.openxmlformats.org/officeDocument/2006/relationships/hyperlink" Target="https://www.gakkou.net/kou/view/index_303304.html" TargetMode="External"/><Relationship Id="rId726" Type="http://schemas.openxmlformats.org/officeDocument/2006/relationships/hyperlink" Target="https://www.gakkou.net/kou/view/index_303307.html" TargetMode="External"/><Relationship Id="rId727" Type="http://schemas.openxmlformats.org/officeDocument/2006/relationships/hyperlink" Target="https://www.gakkou.net/kou/view/index_306559.html" TargetMode="External"/><Relationship Id="rId728" Type="http://schemas.openxmlformats.org/officeDocument/2006/relationships/hyperlink" Target="https://www.gakkou.net/kou/view/index_303335.html" TargetMode="External"/><Relationship Id="rId729" Type="http://schemas.openxmlformats.org/officeDocument/2006/relationships/hyperlink" Target="https://www.gakkou.net/kou/view/index_303374.html" TargetMode="External"/><Relationship Id="rId730" Type="http://schemas.openxmlformats.org/officeDocument/2006/relationships/hyperlink" Target="https://www.gakkou.net/kou/view/index_303386.html" TargetMode="External"/><Relationship Id="rId731" Type="http://schemas.openxmlformats.org/officeDocument/2006/relationships/hyperlink" Target="https://www.gakkou.net/kou/view/index_303377.html" TargetMode="External"/><Relationship Id="rId732" Type="http://schemas.openxmlformats.org/officeDocument/2006/relationships/hyperlink" Target="https://www.gakkou.net/kou/view/index_303420.html" TargetMode="External"/><Relationship Id="rId733" Type="http://schemas.openxmlformats.org/officeDocument/2006/relationships/hyperlink" Target="https://www.gakkou.net/kou/view/index_303349.html" TargetMode="External"/><Relationship Id="rId734" Type="http://schemas.openxmlformats.org/officeDocument/2006/relationships/hyperlink" Target="https://www.gakkou.net/kou/view/index_303398.html" TargetMode="External"/><Relationship Id="rId735" Type="http://schemas.openxmlformats.org/officeDocument/2006/relationships/hyperlink" Target="https://www.gakkou.net/kou/view/index_303391.html" TargetMode="External"/><Relationship Id="rId736" Type="http://schemas.openxmlformats.org/officeDocument/2006/relationships/hyperlink" Target="https://www.gakkou.net/kou/view/index_303388.html" TargetMode="External"/><Relationship Id="rId737" Type="http://schemas.openxmlformats.org/officeDocument/2006/relationships/hyperlink" Target="https://www.gakkou.net/kou/view/index_303368.html" TargetMode="External"/><Relationship Id="rId738" Type="http://schemas.openxmlformats.org/officeDocument/2006/relationships/hyperlink" Target="https://www.gakkou.net/kou/view/index_303371.html" TargetMode="External"/><Relationship Id="rId739" Type="http://schemas.openxmlformats.org/officeDocument/2006/relationships/hyperlink" Target="https://www.gakkou.net/kou/view/index_303416.html" TargetMode="External"/><Relationship Id="rId740" Type="http://schemas.openxmlformats.org/officeDocument/2006/relationships/hyperlink" Target="https://www.gakkou.net/kou/view/index_303395.html" TargetMode="External"/><Relationship Id="rId741" Type="http://schemas.openxmlformats.org/officeDocument/2006/relationships/hyperlink" Target="https://www.gakkou.net/kou/view/index_303390.html" TargetMode="External"/><Relationship Id="rId742" Type="http://schemas.openxmlformats.org/officeDocument/2006/relationships/hyperlink" Target="https://www.gakkou.net/kou/view/index_303312.html" TargetMode="External"/><Relationship Id="rId743" Type="http://schemas.openxmlformats.org/officeDocument/2006/relationships/hyperlink" Target="https://www.gakkou.net/kou/view/index_303406.html" TargetMode="External"/><Relationship Id="rId744" Type="http://schemas.openxmlformats.org/officeDocument/2006/relationships/hyperlink" Target="https://www.gakkou.net/kou/view/index_303356.html" TargetMode="External"/><Relationship Id="rId745" Type="http://schemas.openxmlformats.org/officeDocument/2006/relationships/hyperlink" Target="https://www.gakkou.net/kou/view/index_303450.html" TargetMode="External"/><Relationship Id="rId746" Type="http://schemas.openxmlformats.org/officeDocument/2006/relationships/hyperlink" Target="https://www.gakkou.net/kou/view/index_303333.html" TargetMode="External"/><Relationship Id="rId747" Type="http://schemas.openxmlformats.org/officeDocument/2006/relationships/hyperlink" Target="https://www.gakkou.net/kou/view/index_303401.html" TargetMode="External"/><Relationship Id="rId748" Type="http://schemas.openxmlformats.org/officeDocument/2006/relationships/hyperlink" Target="https://www.gakkou.net/kou/view/index_303311.html" TargetMode="External"/><Relationship Id="rId749" Type="http://schemas.openxmlformats.org/officeDocument/2006/relationships/hyperlink" Target="https://www.gakkou.net/kou/view/index_303474.html" TargetMode="External"/><Relationship Id="rId750" Type="http://schemas.openxmlformats.org/officeDocument/2006/relationships/hyperlink" Target="https://www.gakkou.net/kou/view/index_303376.html" TargetMode="External"/><Relationship Id="rId751" Type="http://schemas.openxmlformats.org/officeDocument/2006/relationships/hyperlink" Target="https://www.gakkou.net/kou/view/index_303367.html" TargetMode="External"/><Relationship Id="rId752" Type="http://schemas.openxmlformats.org/officeDocument/2006/relationships/hyperlink" Target="https://www.gakkou.net/kou/view/index_303328.html" TargetMode="External"/><Relationship Id="rId753" Type="http://schemas.openxmlformats.org/officeDocument/2006/relationships/hyperlink" Target="https://www.gakkou.net/kou/view/index_303310.html" TargetMode="External"/><Relationship Id="rId754" Type="http://schemas.openxmlformats.org/officeDocument/2006/relationships/hyperlink" Target="https://www.gakkou.net/kou/view/index_303426.html" TargetMode="External"/><Relationship Id="rId755" Type="http://schemas.openxmlformats.org/officeDocument/2006/relationships/hyperlink" Target="https://www.gakkou.net/kou/view/index_303425.html" TargetMode="External"/><Relationship Id="rId756" Type="http://schemas.openxmlformats.org/officeDocument/2006/relationships/hyperlink" Target="https://www.gakkou.net/kou/view/index_303423.html" TargetMode="External"/><Relationship Id="rId757" Type="http://schemas.openxmlformats.org/officeDocument/2006/relationships/hyperlink" Target="https://www.gakkou.net/kou/view/index_306572.html" TargetMode="External"/><Relationship Id="rId758" Type="http://schemas.openxmlformats.org/officeDocument/2006/relationships/hyperlink" Target="https://www.gakkou.net/kou/view/index_303422.html" TargetMode="External"/><Relationship Id="rId759" Type="http://schemas.openxmlformats.org/officeDocument/2006/relationships/hyperlink" Target="https://www.gakkou.net/kou/view/index_303447.html" TargetMode="External"/><Relationship Id="rId760" Type="http://schemas.openxmlformats.org/officeDocument/2006/relationships/hyperlink" Target="https://www.gakkou.net/kou/view/index_303438.html" TargetMode="External"/><Relationship Id="rId761" Type="http://schemas.openxmlformats.org/officeDocument/2006/relationships/hyperlink" Target="https://www.gakkou.net/kou/view/index_303306.html" TargetMode="External"/><Relationship Id="rId762" Type="http://schemas.openxmlformats.org/officeDocument/2006/relationships/hyperlink" Target="https://www.gakkou.net/kou/view/index_303412.html" TargetMode="External"/><Relationship Id="rId763" Type="http://schemas.openxmlformats.org/officeDocument/2006/relationships/hyperlink" Target="https://www.gakkou.net/kou/view/index_303411.html" TargetMode="External"/><Relationship Id="rId764" Type="http://schemas.openxmlformats.org/officeDocument/2006/relationships/hyperlink" Target="https://www.gakkou.net/kou/view/index_303317.html" TargetMode="External"/><Relationship Id="rId765" Type="http://schemas.openxmlformats.org/officeDocument/2006/relationships/hyperlink" Target="https://www.gakkou.net/kou/view/index_303402.html" TargetMode="External"/><Relationship Id="rId766" Type="http://schemas.openxmlformats.org/officeDocument/2006/relationships/hyperlink" Target="https://www.gakkou.net/kou/view/index_303728.html" TargetMode="External"/><Relationship Id="rId767" Type="http://schemas.openxmlformats.org/officeDocument/2006/relationships/hyperlink" Target="https://www.gakkou.net/kou/view/index_303597.html" TargetMode="External"/><Relationship Id="rId768" Type="http://schemas.openxmlformats.org/officeDocument/2006/relationships/hyperlink" Target="https://www.gakkou.net/kou/view/index_303594.html" TargetMode="External"/><Relationship Id="rId769" Type="http://schemas.openxmlformats.org/officeDocument/2006/relationships/hyperlink" Target="https://www.gakkou.net/kou/view/index_303511.html" TargetMode="External"/><Relationship Id="rId770" Type="http://schemas.openxmlformats.org/officeDocument/2006/relationships/hyperlink" Target="https://www.gakkou.net/kou/view/index_303595.html" TargetMode="External"/><Relationship Id="rId771" Type="http://schemas.openxmlformats.org/officeDocument/2006/relationships/hyperlink" Target="https://www.gakkou.net/kou/view/index_303619.html" TargetMode="External"/><Relationship Id="rId772" Type="http://schemas.openxmlformats.org/officeDocument/2006/relationships/hyperlink" Target="https://www.gakkou.net/kou/view/index_303747.html" TargetMode="External"/><Relationship Id="rId773" Type="http://schemas.openxmlformats.org/officeDocument/2006/relationships/hyperlink" Target="https://www.gakkou.net/kou/view/index_303536.html" TargetMode="External"/><Relationship Id="rId774" Type="http://schemas.openxmlformats.org/officeDocument/2006/relationships/hyperlink" Target="https://www.gakkou.net/kou/view/index_303680.html" TargetMode="External"/><Relationship Id="rId775" Type="http://schemas.openxmlformats.org/officeDocument/2006/relationships/hyperlink" Target="https://www.gakkou.net/kou/view/index_303606.html" TargetMode="External"/><Relationship Id="rId776" Type="http://schemas.openxmlformats.org/officeDocument/2006/relationships/hyperlink" Target="https://www.gakkou.net/kou/view/index_303525.html" TargetMode="External"/><Relationship Id="rId777" Type="http://schemas.openxmlformats.org/officeDocument/2006/relationships/hyperlink" Target="https://www.gakkou.net/kou/view/index_303593.html" TargetMode="External"/><Relationship Id="rId778" Type="http://schemas.openxmlformats.org/officeDocument/2006/relationships/hyperlink" Target="https://www.gakkou.net/kou/view/index_303614.html" TargetMode="External"/><Relationship Id="rId779" Type="http://schemas.openxmlformats.org/officeDocument/2006/relationships/hyperlink" Target="https://www.gakkou.net/kou/view/index_303581.html" TargetMode="External"/><Relationship Id="rId780" Type="http://schemas.openxmlformats.org/officeDocument/2006/relationships/hyperlink" Target="https://www.gakkou.net/kou/view/index_303550.html" TargetMode="External"/><Relationship Id="rId781" Type="http://schemas.openxmlformats.org/officeDocument/2006/relationships/hyperlink" Target="https://www.gakkou.net/kou/view/index_303476.html" TargetMode="External"/><Relationship Id="rId782" Type="http://schemas.openxmlformats.org/officeDocument/2006/relationships/hyperlink" Target="https://www.gakkou.net/kou/view/index_303587.html" TargetMode="External"/><Relationship Id="rId783" Type="http://schemas.openxmlformats.org/officeDocument/2006/relationships/hyperlink" Target="https://www.gakkou.net/kou/view/index_303726.html" TargetMode="External"/><Relationship Id="rId784" Type="http://schemas.openxmlformats.org/officeDocument/2006/relationships/hyperlink" Target="https://www.gakkou.net/kou/view/index_303602.html" TargetMode="External"/><Relationship Id="rId785" Type="http://schemas.openxmlformats.org/officeDocument/2006/relationships/hyperlink" Target="https://www.gakkou.net/kou/view/index_303712.html" TargetMode="External"/><Relationship Id="rId786" Type="http://schemas.openxmlformats.org/officeDocument/2006/relationships/hyperlink" Target="https://www.gakkou.net/kou/view/index_303677.html" TargetMode="External"/><Relationship Id="rId787" Type="http://schemas.openxmlformats.org/officeDocument/2006/relationships/hyperlink" Target="https://www.gakkou.net/kou/view/index_303635.html" TargetMode="External"/><Relationship Id="rId788" Type="http://schemas.openxmlformats.org/officeDocument/2006/relationships/hyperlink" Target="https://www.gakkou.net/kou/view/index_303739.html" TargetMode="External"/><Relationship Id="rId789" Type="http://schemas.openxmlformats.org/officeDocument/2006/relationships/hyperlink" Target="https://www.gakkou.net/kou/view/index_303706.html" TargetMode="External"/><Relationship Id="rId790" Type="http://schemas.openxmlformats.org/officeDocument/2006/relationships/hyperlink" Target="https://www.gakkou.net/kou/view/index_303722.html" TargetMode="External"/><Relationship Id="rId791" Type="http://schemas.openxmlformats.org/officeDocument/2006/relationships/hyperlink" Target="https://www.gakkou.net/kou/view/index_303685.html" TargetMode="External"/><Relationship Id="rId792" Type="http://schemas.openxmlformats.org/officeDocument/2006/relationships/hyperlink" Target="https://www.gakkou.net/kou/view/index_303572.html" TargetMode="External"/><Relationship Id="rId793" Type="http://schemas.openxmlformats.org/officeDocument/2006/relationships/hyperlink" Target="https://www.gakkou.net/kou/view/index_303610.html" TargetMode="External"/><Relationship Id="rId794" Type="http://schemas.openxmlformats.org/officeDocument/2006/relationships/hyperlink" Target="https://www.gakkou.net/kou/view/index_303623.html" TargetMode="External"/><Relationship Id="rId795" Type="http://schemas.openxmlformats.org/officeDocument/2006/relationships/hyperlink" Target="https://www.gakkou.net/kou/view/index_303702.html" TargetMode="External"/><Relationship Id="rId796" Type="http://schemas.openxmlformats.org/officeDocument/2006/relationships/hyperlink" Target="https://www.gakkou.net/kou/view/index_303490.html" TargetMode="External"/><Relationship Id="rId797" Type="http://schemas.openxmlformats.org/officeDocument/2006/relationships/hyperlink" Target="https://www.gakkou.net/kou/view/index_303621.html" TargetMode="External"/><Relationship Id="rId798" Type="http://schemas.openxmlformats.org/officeDocument/2006/relationships/hyperlink" Target="https://www.gakkou.net/kou/view/index_303578.html" TargetMode="External"/><Relationship Id="rId799" Type="http://schemas.openxmlformats.org/officeDocument/2006/relationships/hyperlink" Target="https://www.gakkou.net/kou/view/index_303605.html" TargetMode="External"/><Relationship Id="rId800" Type="http://schemas.openxmlformats.org/officeDocument/2006/relationships/hyperlink" Target="https://www.gakkou.net/kou/view/index_303628.html" TargetMode="External"/><Relationship Id="rId801" Type="http://schemas.openxmlformats.org/officeDocument/2006/relationships/hyperlink" Target="https://www.gakkou.net/kou/view/index_303502.html" TargetMode="External"/><Relationship Id="rId802" Type="http://schemas.openxmlformats.org/officeDocument/2006/relationships/hyperlink" Target="https://www.gakkou.net/kou/view/index_303629.html" TargetMode="External"/><Relationship Id="rId803" Type="http://schemas.openxmlformats.org/officeDocument/2006/relationships/hyperlink" Target="https://www.gakkou.net/kou/view/index_303480.html" TargetMode="External"/><Relationship Id="rId804" Type="http://schemas.openxmlformats.org/officeDocument/2006/relationships/hyperlink" Target="https://www.gakkou.net/kou/view/index_303558.html" TargetMode="External"/><Relationship Id="rId805" Type="http://schemas.openxmlformats.org/officeDocument/2006/relationships/hyperlink" Target="https://www.gakkou.net/kou/view/index_303613.html" TargetMode="External"/><Relationship Id="rId806" Type="http://schemas.openxmlformats.org/officeDocument/2006/relationships/hyperlink" Target="https://www.gakkou.net/kou/view/index_303616.html" TargetMode="External"/><Relationship Id="rId807" Type="http://schemas.openxmlformats.org/officeDocument/2006/relationships/hyperlink" Target="https://www.gakkou.net/kou/view/index_303598.html" TargetMode="External"/><Relationship Id="rId808" Type="http://schemas.openxmlformats.org/officeDocument/2006/relationships/hyperlink" Target="https://www.gakkou.net/kou/view/index_303566.html" TargetMode="External"/><Relationship Id="rId809" Type="http://schemas.openxmlformats.org/officeDocument/2006/relationships/hyperlink" Target="https://www.gakkou.net/kou/view/index_303609.html" TargetMode="External"/><Relationship Id="rId810" Type="http://schemas.openxmlformats.org/officeDocument/2006/relationships/hyperlink" Target="https://www.gakkou.net/kou/view/index_303586.html" TargetMode="External"/><Relationship Id="rId811" Type="http://schemas.openxmlformats.org/officeDocument/2006/relationships/hyperlink" Target="https://www.gakkou.net/kou/view/index_303612.html" TargetMode="External"/><Relationship Id="rId812" Type="http://schemas.openxmlformats.org/officeDocument/2006/relationships/hyperlink" Target="https://www.gakkou.net/kou/view/index_303577.html" TargetMode="External"/><Relationship Id="rId813" Type="http://schemas.openxmlformats.org/officeDocument/2006/relationships/hyperlink" Target="https://www.gakkou.net/kou/view/index_306756.html" TargetMode="External"/><Relationship Id="rId814" Type="http://schemas.openxmlformats.org/officeDocument/2006/relationships/hyperlink" Target="https://www.gakkou.net/kou/view/index_303611.html" TargetMode="External"/><Relationship Id="rId815" Type="http://schemas.openxmlformats.org/officeDocument/2006/relationships/hyperlink" Target="https://www.gakkou.net/kou/view/index_303640.html" TargetMode="External"/><Relationship Id="rId816" Type="http://schemas.openxmlformats.org/officeDocument/2006/relationships/hyperlink" Target="https://www.gakkou.net/kou/view/index_303513.html" TargetMode="External"/><Relationship Id="rId817" Type="http://schemas.openxmlformats.org/officeDocument/2006/relationships/hyperlink" Target="https://www.gakkou.net/kou/view/index_303519.html" TargetMode="External"/><Relationship Id="rId818" Type="http://schemas.openxmlformats.org/officeDocument/2006/relationships/hyperlink" Target="https://www.gakkou.net/kou/view/index_303478.html" TargetMode="External"/><Relationship Id="rId819" Type="http://schemas.openxmlformats.org/officeDocument/2006/relationships/hyperlink" Target="https://www.gakkou.net/kou/view/index_303695.html" TargetMode="External"/><Relationship Id="rId820" Type="http://schemas.openxmlformats.org/officeDocument/2006/relationships/hyperlink" Target="https://www.gakkou.net/kou/view/index_303556.html" TargetMode="External"/><Relationship Id="rId821" Type="http://schemas.openxmlformats.org/officeDocument/2006/relationships/hyperlink" Target="https://www.gakkou.net/kou/view/index_303817.html" TargetMode="External"/><Relationship Id="rId822" Type="http://schemas.openxmlformats.org/officeDocument/2006/relationships/hyperlink" Target="https://www.gakkou.net/kou/view/index_303798.html" TargetMode="External"/><Relationship Id="rId823" Type="http://schemas.openxmlformats.org/officeDocument/2006/relationships/hyperlink" Target="https://www.gakkou.net/kou/view/index_303775.html" TargetMode="External"/><Relationship Id="rId824" Type="http://schemas.openxmlformats.org/officeDocument/2006/relationships/hyperlink" Target="https://www.gakkou.net/kou/view/index_303805.html" TargetMode="External"/><Relationship Id="rId825" Type="http://schemas.openxmlformats.org/officeDocument/2006/relationships/hyperlink" Target="https://www.gakkou.net/kou/view/index_306465.html" TargetMode="External"/><Relationship Id="rId826" Type="http://schemas.openxmlformats.org/officeDocument/2006/relationships/hyperlink" Target="https://www.gakkou.net/kou/view/index_306358.html" TargetMode="External"/><Relationship Id="rId827" Type="http://schemas.openxmlformats.org/officeDocument/2006/relationships/hyperlink" Target="https://www.gakkou.net/kou/view/index_303752.html" TargetMode="External"/><Relationship Id="rId828" Type="http://schemas.openxmlformats.org/officeDocument/2006/relationships/hyperlink" Target="https://www.gakkou.net/kou/view/index_306543.html" TargetMode="External"/><Relationship Id="rId829" Type="http://schemas.openxmlformats.org/officeDocument/2006/relationships/hyperlink" Target="https://www.gakkou.net/kou/view/index_303800.html" TargetMode="External"/><Relationship Id="rId830" Type="http://schemas.openxmlformats.org/officeDocument/2006/relationships/hyperlink" Target="https://www.gakkou.net/kou/view/index_303816.html" TargetMode="External"/><Relationship Id="rId831" Type="http://schemas.openxmlformats.org/officeDocument/2006/relationships/hyperlink" Target="https://www.gakkou.net/kou/view/index_303781.html" TargetMode="External"/><Relationship Id="rId832" Type="http://schemas.openxmlformats.org/officeDocument/2006/relationships/hyperlink" Target="https://www.gakkou.net/kou/view/index_303789.html" TargetMode="External"/><Relationship Id="rId833" Type="http://schemas.openxmlformats.org/officeDocument/2006/relationships/hyperlink" Target="https://www.gakkou.net/kou/view/index_303786.html" TargetMode="External"/><Relationship Id="rId834" Type="http://schemas.openxmlformats.org/officeDocument/2006/relationships/hyperlink" Target="https://www.gakkou.net/kou/view/index_303767.html" TargetMode="External"/><Relationship Id="rId835" Type="http://schemas.openxmlformats.org/officeDocument/2006/relationships/hyperlink" Target="https://www.gakkou.net/kou/view/index_306361.html" TargetMode="External"/><Relationship Id="rId836" Type="http://schemas.openxmlformats.org/officeDocument/2006/relationships/hyperlink" Target="https://www.gakkou.net/kou/view/index_303793.html" TargetMode="External"/><Relationship Id="rId837" Type="http://schemas.openxmlformats.org/officeDocument/2006/relationships/hyperlink" Target="https://www.gakkou.net/kou/view/index_303772.html" TargetMode="External"/><Relationship Id="rId838" Type="http://schemas.openxmlformats.org/officeDocument/2006/relationships/hyperlink" Target="https://www.gakkou.net/kou/view/index_306544.html" TargetMode="External"/><Relationship Id="rId839" Type="http://schemas.openxmlformats.org/officeDocument/2006/relationships/hyperlink" Target="https://www.gakkou.net/kou/view/index_303884.html" TargetMode="External"/><Relationship Id="rId840" Type="http://schemas.openxmlformats.org/officeDocument/2006/relationships/hyperlink" Target="https://www.gakkou.net/kou/view/index_306629.html" TargetMode="External"/><Relationship Id="rId841" Type="http://schemas.openxmlformats.org/officeDocument/2006/relationships/hyperlink" Target="https://www.gakkou.net/kou/view/index_303878.html" TargetMode="External"/><Relationship Id="rId842" Type="http://schemas.openxmlformats.org/officeDocument/2006/relationships/hyperlink" Target="https://www.gakkou.net/kou/view/index_303868.html" TargetMode="External"/><Relationship Id="rId843" Type="http://schemas.openxmlformats.org/officeDocument/2006/relationships/hyperlink" Target="https://www.gakkou.net/kou/view/index_303887.html" TargetMode="External"/><Relationship Id="rId844" Type="http://schemas.openxmlformats.org/officeDocument/2006/relationships/hyperlink" Target="https://www.gakkou.net/kou/view/index_303894.html" TargetMode="External"/><Relationship Id="rId845" Type="http://schemas.openxmlformats.org/officeDocument/2006/relationships/hyperlink" Target="https://www.gakkou.net/kou/view/index_306364.html" TargetMode="External"/><Relationship Id="rId846" Type="http://schemas.openxmlformats.org/officeDocument/2006/relationships/hyperlink" Target="https://www.gakkou.net/kou/view/index_303844.html" TargetMode="External"/><Relationship Id="rId847" Type="http://schemas.openxmlformats.org/officeDocument/2006/relationships/hyperlink" Target="https://www.gakkou.net/kou/view/index_303846.html" TargetMode="External"/><Relationship Id="rId848" Type="http://schemas.openxmlformats.org/officeDocument/2006/relationships/hyperlink" Target="https://www.gakkou.net/kou/view/index_306448.html" TargetMode="External"/><Relationship Id="rId849" Type="http://schemas.openxmlformats.org/officeDocument/2006/relationships/hyperlink" Target="https://www.gakkou.net/kou/view/index_306571.html" TargetMode="External"/><Relationship Id="rId850" Type="http://schemas.openxmlformats.org/officeDocument/2006/relationships/hyperlink" Target="https://www.gakkou.net/kou/view/index_303946.html" TargetMode="External"/><Relationship Id="rId851" Type="http://schemas.openxmlformats.org/officeDocument/2006/relationships/hyperlink" Target="https://www.gakkou.net/kou/view/index_303936.html" TargetMode="External"/><Relationship Id="rId852" Type="http://schemas.openxmlformats.org/officeDocument/2006/relationships/hyperlink" Target="https://www.gakkou.net/kou/view/index_303933.html" TargetMode="External"/><Relationship Id="rId853" Type="http://schemas.openxmlformats.org/officeDocument/2006/relationships/hyperlink" Target="https://www.gakkou.net/kou/view/index_303974.html" TargetMode="External"/><Relationship Id="rId854" Type="http://schemas.openxmlformats.org/officeDocument/2006/relationships/hyperlink" Target="https://www.gakkou.net/kou/view/index_303988.html" TargetMode="External"/><Relationship Id="rId855" Type="http://schemas.openxmlformats.org/officeDocument/2006/relationships/hyperlink" Target="https://www.gakkou.net/kou/view/index_304012.html" TargetMode="External"/><Relationship Id="rId856" Type="http://schemas.openxmlformats.org/officeDocument/2006/relationships/hyperlink" Target="https://www.gakkou.net/kou/view/index_306430.html" TargetMode="External"/><Relationship Id="rId857" Type="http://schemas.openxmlformats.org/officeDocument/2006/relationships/hyperlink" Target="https://www.gakkou.net/kou/view/index_306780.html" TargetMode="External"/><Relationship Id="rId858" Type="http://schemas.openxmlformats.org/officeDocument/2006/relationships/hyperlink" Target="https://www.gakkou.net/kou/view/index_303975.html" TargetMode="External"/><Relationship Id="rId859" Type="http://schemas.openxmlformats.org/officeDocument/2006/relationships/hyperlink" Target="https://www.gakkou.net/kou/view/index_303987.html" TargetMode="External"/><Relationship Id="rId860" Type="http://schemas.openxmlformats.org/officeDocument/2006/relationships/hyperlink" Target="https://www.gakkou.net/kou/view/index_306476.html" TargetMode="External"/><Relationship Id="rId861" Type="http://schemas.openxmlformats.org/officeDocument/2006/relationships/hyperlink" Target="https://www.gakkou.net/kou/view/index_303919.html" TargetMode="External"/><Relationship Id="rId862" Type="http://schemas.openxmlformats.org/officeDocument/2006/relationships/hyperlink" Target="https://www.gakkou.net/kou/view/index_303958.html" TargetMode="External"/><Relationship Id="rId863" Type="http://schemas.openxmlformats.org/officeDocument/2006/relationships/hyperlink" Target="https://www.gakkou.net/kou/view/index_303934.html" TargetMode="External"/><Relationship Id="rId864" Type="http://schemas.openxmlformats.org/officeDocument/2006/relationships/hyperlink" Target="https://www.gakkou.net/kou/view/index_303941.html" TargetMode="External"/><Relationship Id="rId865" Type="http://schemas.openxmlformats.org/officeDocument/2006/relationships/hyperlink" Target="https://www.gakkou.net/kou/view/index_303999.html" TargetMode="External"/><Relationship Id="rId866" Type="http://schemas.openxmlformats.org/officeDocument/2006/relationships/hyperlink" Target="https://www.gakkou.net/kou/view/index_303952.html" TargetMode="External"/><Relationship Id="rId867" Type="http://schemas.openxmlformats.org/officeDocument/2006/relationships/hyperlink" Target="https://www.gakkou.net/kou/view/index_303966.html" TargetMode="External"/><Relationship Id="rId868" Type="http://schemas.openxmlformats.org/officeDocument/2006/relationships/hyperlink" Target="https://www.gakkou.net/kou/view/index_303978.html" TargetMode="External"/><Relationship Id="rId869" Type="http://schemas.openxmlformats.org/officeDocument/2006/relationships/hyperlink" Target="https://www.gakkou.net/kou/view/index_303968.html" TargetMode="External"/><Relationship Id="rId870" Type="http://schemas.openxmlformats.org/officeDocument/2006/relationships/hyperlink" Target="https://www.gakkou.net/kou/view/index_303981.html" TargetMode="External"/><Relationship Id="rId871" Type="http://schemas.openxmlformats.org/officeDocument/2006/relationships/hyperlink" Target="https://www.gakkou.net/kou/view/index_303942.html" TargetMode="External"/><Relationship Id="rId872" Type="http://schemas.openxmlformats.org/officeDocument/2006/relationships/hyperlink" Target="https://www.gakkou.net/kou/view/index_303907.html" TargetMode="External"/><Relationship Id="rId873" Type="http://schemas.openxmlformats.org/officeDocument/2006/relationships/hyperlink" Target="https://www.gakkou.net/kou/view/index_303953.html" TargetMode="External"/><Relationship Id="rId874" Type="http://schemas.openxmlformats.org/officeDocument/2006/relationships/hyperlink" Target="https://www.gakkou.net/kou/view/index_303932.html" TargetMode="External"/><Relationship Id="rId875" Type="http://schemas.openxmlformats.org/officeDocument/2006/relationships/hyperlink" Target="https://www.gakkou.net/kou/view/index_303918.html" TargetMode="External"/><Relationship Id="rId876" Type="http://schemas.openxmlformats.org/officeDocument/2006/relationships/hyperlink" Target="https://www.gakkou.net/kou/view/index_303937.html" TargetMode="External"/><Relationship Id="rId877" Type="http://schemas.openxmlformats.org/officeDocument/2006/relationships/hyperlink" Target="https://www.gakkou.net/kou/view/index_303950.html" TargetMode="External"/><Relationship Id="rId878" Type="http://schemas.openxmlformats.org/officeDocument/2006/relationships/hyperlink" Target="https://www.gakkou.net/kou/view/index_304008.html" TargetMode="External"/><Relationship Id="rId879" Type="http://schemas.openxmlformats.org/officeDocument/2006/relationships/hyperlink" Target="https://www.gakkou.net/kou/view/index_303977.html" TargetMode="External"/><Relationship Id="rId880" Type="http://schemas.openxmlformats.org/officeDocument/2006/relationships/hyperlink" Target="https://www.gakkou.net/kou/view/index_303944.html" TargetMode="External"/><Relationship Id="rId881" Type="http://schemas.openxmlformats.org/officeDocument/2006/relationships/hyperlink" Target="https://www.gakkou.net/kou/view/index_303994.html" TargetMode="External"/><Relationship Id="rId882" Type="http://schemas.openxmlformats.org/officeDocument/2006/relationships/hyperlink" Target="https://www.gakkou.net/kou/view/index_303993.html" TargetMode="External"/><Relationship Id="rId883" Type="http://schemas.openxmlformats.org/officeDocument/2006/relationships/hyperlink" Target="https://www.gakkou.net/kou/view/index_303917.html" TargetMode="External"/><Relationship Id="rId884" Type="http://schemas.openxmlformats.org/officeDocument/2006/relationships/hyperlink" Target="https://www.gakkou.net/kou/view/index_303923.html" TargetMode="External"/><Relationship Id="rId885" Type="http://schemas.openxmlformats.org/officeDocument/2006/relationships/hyperlink" Target="https://www.gakkou.net/kou/view/index_303943.html" TargetMode="External"/><Relationship Id="rId886" Type="http://schemas.openxmlformats.org/officeDocument/2006/relationships/hyperlink" Target="https://www.gakkou.net/kou/view/index_303905.html" TargetMode="External"/><Relationship Id="rId887" Type="http://schemas.openxmlformats.org/officeDocument/2006/relationships/hyperlink" Target="https://www.gakkou.net/kou/view/index_303931.html" TargetMode="External"/><Relationship Id="rId888" Type="http://schemas.openxmlformats.org/officeDocument/2006/relationships/hyperlink" Target="https://www.gakkou.net/kou/view/index_303957.html" TargetMode="External"/><Relationship Id="rId889" Type="http://schemas.openxmlformats.org/officeDocument/2006/relationships/hyperlink" Target="https://www.gakkou.net/kou/view/index_303967.html" TargetMode="External"/><Relationship Id="rId890" Type="http://schemas.openxmlformats.org/officeDocument/2006/relationships/hyperlink" Target="https://www.gakkou.net/kou/view/index_303904.html" TargetMode="External"/><Relationship Id="rId891" Type="http://schemas.openxmlformats.org/officeDocument/2006/relationships/hyperlink" Target="https://www.gakkou.net/kou/view/index_304145.html" TargetMode="External"/><Relationship Id="rId892" Type="http://schemas.openxmlformats.org/officeDocument/2006/relationships/hyperlink" Target="https://www.gakkou.net/kou/view/index_304241.html" TargetMode="External"/><Relationship Id="rId893" Type="http://schemas.openxmlformats.org/officeDocument/2006/relationships/hyperlink" Target="https://www.gakkou.net/kou/view/index_304083.html" TargetMode="External"/><Relationship Id="rId894" Type="http://schemas.openxmlformats.org/officeDocument/2006/relationships/hyperlink" Target="https://www.gakkou.net/kou/view/index_304068.html" TargetMode="External"/><Relationship Id="rId895" Type="http://schemas.openxmlformats.org/officeDocument/2006/relationships/hyperlink" Target="https://www.gakkou.net/kou/view/index_304271.html" TargetMode="External"/><Relationship Id="rId896" Type="http://schemas.openxmlformats.org/officeDocument/2006/relationships/hyperlink" Target="https://www.gakkou.net/kou/view/index_304027.html" TargetMode="External"/><Relationship Id="rId897" Type="http://schemas.openxmlformats.org/officeDocument/2006/relationships/hyperlink" Target="https://www.gakkou.net/kou/view/index_306779.html" TargetMode="External"/><Relationship Id="rId898" Type="http://schemas.openxmlformats.org/officeDocument/2006/relationships/hyperlink" Target="https://www.gakkou.net/kou/view/index_304057.html" TargetMode="External"/><Relationship Id="rId899" Type="http://schemas.openxmlformats.org/officeDocument/2006/relationships/hyperlink" Target="https://www.gakkou.net/kou/view/index_304170.html" TargetMode="External"/><Relationship Id="rId900" Type="http://schemas.openxmlformats.org/officeDocument/2006/relationships/hyperlink" Target="https://www.gakkou.net/kou/view/index_304079.html" TargetMode="External"/><Relationship Id="rId901" Type="http://schemas.openxmlformats.org/officeDocument/2006/relationships/hyperlink" Target="https://www.gakkou.net/kou/view/index_304158.html" TargetMode="External"/><Relationship Id="rId902" Type="http://schemas.openxmlformats.org/officeDocument/2006/relationships/hyperlink" Target="https://www.gakkou.net/kou/view/index_304123.html" TargetMode="External"/><Relationship Id="rId903" Type="http://schemas.openxmlformats.org/officeDocument/2006/relationships/hyperlink" Target="https://www.gakkou.net/kou/view/index_304281.html" TargetMode="External"/><Relationship Id="rId904" Type="http://schemas.openxmlformats.org/officeDocument/2006/relationships/hyperlink" Target="https://www.gakkou.net/kou/view/index_304167.html" TargetMode="External"/><Relationship Id="rId905" Type="http://schemas.openxmlformats.org/officeDocument/2006/relationships/hyperlink" Target="https://www.gakkou.net/kou/view/index_304032.html" TargetMode="External"/><Relationship Id="rId906" Type="http://schemas.openxmlformats.org/officeDocument/2006/relationships/hyperlink" Target="https://www.gakkou.net/kou/view/index_304193.html" TargetMode="External"/><Relationship Id="rId907" Type="http://schemas.openxmlformats.org/officeDocument/2006/relationships/hyperlink" Target="https://www.gakkou.net/kou/view/index_304121.html" TargetMode="External"/><Relationship Id="rId908" Type="http://schemas.openxmlformats.org/officeDocument/2006/relationships/hyperlink" Target="https://www.gakkou.net/kou/view/index_304044.html" TargetMode="External"/><Relationship Id="rId909" Type="http://schemas.openxmlformats.org/officeDocument/2006/relationships/hyperlink" Target="https://www.gakkou.net/kou/view/index_304230.html" TargetMode="External"/><Relationship Id="rId910" Type="http://schemas.openxmlformats.org/officeDocument/2006/relationships/hyperlink" Target="https://www.gakkou.net/kou/view/index_304344.html" TargetMode="External"/><Relationship Id="rId911" Type="http://schemas.openxmlformats.org/officeDocument/2006/relationships/hyperlink" Target="https://www.gakkou.net/kou/view/index_304045.html" TargetMode="External"/><Relationship Id="rId912" Type="http://schemas.openxmlformats.org/officeDocument/2006/relationships/hyperlink" Target="https://www.gakkou.net/kou/view/index_304052.html" TargetMode="External"/><Relationship Id="rId913" Type="http://schemas.openxmlformats.org/officeDocument/2006/relationships/hyperlink" Target="https://www.gakkou.net/kou/view/index_304033.html" TargetMode="External"/><Relationship Id="rId914" Type="http://schemas.openxmlformats.org/officeDocument/2006/relationships/hyperlink" Target="https://www.gakkou.net/kou/view/index_304073.html" TargetMode="External"/><Relationship Id="rId915" Type="http://schemas.openxmlformats.org/officeDocument/2006/relationships/hyperlink" Target="https://www.gakkou.net/kou/view/index_304182.html" TargetMode="External"/><Relationship Id="rId916" Type="http://schemas.openxmlformats.org/officeDocument/2006/relationships/hyperlink" Target="https://www.gakkou.net/kou/view/index_304303.html" TargetMode="External"/><Relationship Id="rId917" Type="http://schemas.openxmlformats.org/officeDocument/2006/relationships/hyperlink" Target="https://www.gakkou.net/kou/view/index_304196.html" TargetMode="External"/><Relationship Id="rId918" Type="http://schemas.openxmlformats.org/officeDocument/2006/relationships/hyperlink" Target="https://www.gakkou.net/kou/view/index_304220.html" TargetMode="External"/><Relationship Id="rId919" Type="http://schemas.openxmlformats.org/officeDocument/2006/relationships/hyperlink" Target="https://www.gakkou.net/kou/view/index_304074.html" TargetMode="External"/><Relationship Id="rId920" Type="http://schemas.openxmlformats.org/officeDocument/2006/relationships/hyperlink" Target="https://www.gakkou.net/kou/view/index_304266.html" TargetMode="External"/><Relationship Id="rId921" Type="http://schemas.openxmlformats.org/officeDocument/2006/relationships/hyperlink" Target="https://www.gakkou.net/kou/view/index_304092.html" TargetMode="External"/><Relationship Id="rId922" Type="http://schemas.openxmlformats.org/officeDocument/2006/relationships/hyperlink" Target="https://www.gakkou.net/kou/view/index_304046.html" TargetMode="External"/><Relationship Id="rId923" Type="http://schemas.openxmlformats.org/officeDocument/2006/relationships/hyperlink" Target="https://www.gakkou.net/kou/view/index_304290.html" TargetMode="External"/><Relationship Id="rId924" Type="http://schemas.openxmlformats.org/officeDocument/2006/relationships/hyperlink" Target="https://www.gakkou.net/kou/view/index_304177.html" TargetMode="External"/><Relationship Id="rId925" Type="http://schemas.openxmlformats.org/officeDocument/2006/relationships/hyperlink" Target="https://www.gakkou.net/kou/view/index_304227.html" TargetMode="External"/><Relationship Id="rId926" Type="http://schemas.openxmlformats.org/officeDocument/2006/relationships/hyperlink" Target="https://www.gakkou.net/kou/view/index_306745.html" TargetMode="External"/><Relationship Id="rId927" Type="http://schemas.openxmlformats.org/officeDocument/2006/relationships/hyperlink" Target="https://www.gakkou.net/kou/view/index_304159.html" TargetMode="External"/><Relationship Id="rId928" Type="http://schemas.openxmlformats.org/officeDocument/2006/relationships/hyperlink" Target="https://www.gakkou.net/kou/view/index_304031.html" TargetMode="External"/><Relationship Id="rId929" Type="http://schemas.openxmlformats.org/officeDocument/2006/relationships/hyperlink" Target="https://www.gakkou.net/kou/view/index_304263.html" TargetMode="External"/><Relationship Id="rId930" Type="http://schemas.openxmlformats.org/officeDocument/2006/relationships/hyperlink" Target="https://www.gakkou.net/kou/view/index_304147.html" TargetMode="External"/><Relationship Id="rId931" Type="http://schemas.openxmlformats.org/officeDocument/2006/relationships/hyperlink" Target="https://www.gakkou.net/kou/view/index_304325.html" TargetMode="External"/><Relationship Id="rId932" Type="http://schemas.openxmlformats.org/officeDocument/2006/relationships/hyperlink" Target="https://www.gakkou.net/kou/view/index_304237.html" TargetMode="External"/><Relationship Id="rId933" Type="http://schemas.openxmlformats.org/officeDocument/2006/relationships/hyperlink" Target="https://www.gakkou.net/kou/view/index_304025.html" TargetMode="External"/><Relationship Id="rId934" Type="http://schemas.openxmlformats.org/officeDocument/2006/relationships/hyperlink" Target="https://www.gakkou.net/kou/view/index_304165.html" TargetMode="External"/><Relationship Id="rId935" Type="http://schemas.openxmlformats.org/officeDocument/2006/relationships/hyperlink" Target="https://www.gakkou.net/kou/view/index_304127.html" TargetMode="External"/><Relationship Id="rId936" Type="http://schemas.openxmlformats.org/officeDocument/2006/relationships/hyperlink" Target="https://www.gakkou.net/kou/view/index_304308.html" TargetMode="External"/><Relationship Id="rId937" Type="http://schemas.openxmlformats.org/officeDocument/2006/relationships/hyperlink" Target="https://www.gakkou.net/kou/view/index_304070.html" TargetMode="External"/><Relationship Id="rId938" Type="http://schemas.openxmlformats.org/officeDocument/2006/relationships/hyperlink" Target="https://www.gakkou.net/kou/view/index_304114.html" TargetMode="External"/><Relationship Id="rId939" Type="http://schemas.openxmlformats.org/officeDocument/2006/relationships/hyperlink" Target="https://www.gakkou.net/kou/view/index_306368.html" TargetMode="External"/><Relationship Id="rId940" Type="http://schemas.openxmlformats.org/officeDocument/2006/relationships/hyperlink" Target="https://www.gakkou.net/kou/view/index_304202.html" TargetMode="External"/><Relationship Id="rId941" Type="http://schemas.openxmlformats.org/officeDocument/2006/relationships/hyperlink" Target="https://www.gakkou.net/kou/view/index_304181.html" TargetMode="External"/><Relationship Id="rId942" Type="http://schemas.openxmlformats.org/officeDocument/2006/relationships/hyperlink" Target="https://www.gakkou.net/kou/view/index_304075.html" TargetMode="External"/><Relationship Id="rId943" Type="http://schemas.openxmlformats.org/officeDocument/2006/relationships/hyperlink" Target="https://www.gakkou.net/kou/view/index_304253.html" TargetMode="External"/><Relationship Id="rId944" Type="http://schemas.openxmlformats.org/officeDocument/2006/relationships/hyperlink" Target="https://www.gakkou.net/kou/view/index_306774.html" TargetMode="External"/><Relationship Id="rId945" Type="http://schemas.openxmlformats.org/officeDocument/2006/relationships/hyperlink" Target="https://www.gakkou.net/kou/view/index_304219.html" TargetMode="External"/><Relationship Id="rId946" Type="http://schemas.openxmlformats.org/officeDocument/2006/relationships/hyperlink" Target="https://www.gakkou.net/kou/view/index_304071.html" TargetMode="External"/><Relationship Id="rId947" Type="http://schemas.openxmlformats.org/officeDocument/2006/relationships/hyperlink" Target="https://www.gakkou.net/kou/view/index_306440.html" TargetMode="External"/><Relationship Id="rId948" Type="http://schemas.openxmlformats.org/officeDocument/2006/relationships/hyperlink" Target="https://www.gakkou.net/kou/view/index_304236.html" TargetMode="External"/><Relationship Id="rId949" Type="http://schemas.openxmlformats.org/officeDocument/2006/relationships/hyperlink" Target="https://www.gakkou.net/kou/view/index_304094.html" TargetMode="External"/><Relationship Id="rId950" Type="http://schemas.openxmlformats.org/officeDocument/2006/relationships/hyperlink" Target="https://www.gakkou.net/kou/view/index_304112.html" TargetMode="External"/><Relationship Id="rId951" Type="http://schemas.openxmlformats.org/officeDocument/2006/relationships/hyperlink" Target="https://www.gakkou.net/kou/view/index_304042.html" TargetMode="External"/><Relationship Id="rId952" Type="http://schemas.openxmlformats.org/officeDocument/2006/relationships/hyperlink" Target="https://www.gakkou.net/kou/view/index_304218.html" TargetMode="External"/><Relationship Id="rId953" Type="http://schemas.openxmlformats.org/officeDocument/2006/relationships/hyperlink" Target="https://www.gakkou.net/kou/view/index_304054.html" TargetMode="External"/><Relationship Id="rId954" Type="http://schemas.openxmlformats.org/officeDocument/2006/relationships/hyperlink" Target="https://www.gakkou.net/kou/view/index_304343.html" TargetMode="External"/><Relationship Id="rId955" Type="http://schemas.openxmlformats.org/officeDocument/2006/relationships/hyperlink" Target="https://www.gakkou.net/kou/view/index_304283.html" TargetMode="External"/><Relationship Id="rId956" Type="http://schemas.openxmlformats.org/officeDocument/2006/relationships/hyperlink" Target="https://www.gakkou.net/kou/view/index_304166.html" TargetMode="External"/><Relationship Id="rId957" Type="http://schemas.openxmlformats.org/officeDocument/2006/relationships/hyperlink" Target="https://www.gakkou.net/kou/view/index_304066.html" TargetMode="External"/><Relationship Id="rId958" Type="http://schemas.openxmlformats.org/officeDocument/2006/relationships/hyperlink" Target="https://www.gakkou.net/kou/view/index_304313.html" TargetMode="External"/><Relationship Id="rId959" Type="http://schemas.openxmlformats.org/officeDocument/2006/relationships/hyperlink" Target="https://www.gakkou.net/kou/view/index_304128.html" TargetMode="External"/><Relationship Id="rId960" Type="http://schemas.openxmlformats.org/officeDocument/2006/relationships/hyperlink" Target="https://www.gakkou.net/kou/view/index_304153.html" TargetMode="External"/><Relationship Id="rId961" Type="http://schemas.openxmlformats.org/officeDocument/2006/relationships/hyperlink" Target="https://www.gakkou.net/kou/view/index_304060.html" TargetMode="External"/><Relationship Id="rId962" Type="http://schemas.openxmlformats.org/officeDocument/2006/relationships/hyperlink" Target="https://www.gakkou.net/kou/view/index_304222.html" TargetMode="External"/><Relationship Id="rId963" Type="http://schemas.openxmlformats.org/officeDocument/2006/relationships/hyperlink" Target="https://www.gakkou.net/kou/view/index_304185.html" TargetMode="External"/><Relationship Id="rId964" Type="http://schemas.openxmlformats.org/officeDocument/2006/relationships/hyperlink" Target="https://www.gakkou.net/kou/view/index_304142.html" TargetMode="External"/><Relationship Id="rId965" Type="http://schemas.openxmlformats.org/officeDocument/2006/relationships/hyperlink" Target="https://www.gakkou.net/kou/view/index_304297.html" TargetMode="External"/><Relationship Id="rId966" Type="http://schemas.openxmlformats.org/officeDocument/2006/relationships/hyperlink" Target="https://www.gakkou.net/kou/view/index_304129.html" TargetMode="External"/><Relationship Id="rId967" Type="http://schemas.openxmlformats.org/officeDocument/2006/relationships/hyperlink" Target="https://www.gakkou.net/kou/view/index_306443.html" TargetMode="External"/><Relationship Id="rId968" Type="http://schemas.openxmlformats.org/officeDocument/2006/relationships/hyperlink" Target="https://www.gakkou.net/kou/view/index_304209.html" TargetMode="External"/><Relationship Id="rId969" Type="http://schemas.openxmlformats.org/officeDocument/2006/relationships/hyperlink" Target="https://www.gakkou.net/kou/view/index_304203.html" TargetMode="External"/><Relationship Id="rId970" Type="http://schemas.openxmlformats.org/officeDocument/2006/relationships/hyperlink" Target="https://www.gakkou.net/kou/view/index_306369.html" TargetMode="External"/><Relationship Id="rId971" Type="http://schemas.openxmlformats.org/officeDocument/2006/relationships/hyperlink" Target="https://www.gakkou.net/kou/view/index_304126.html" TargetMode="External"/><Relationship Id="rId972" Type="http://schemas.openxmlformats.org/officeDocument/2006/relationships/hyperlink" Target="https://www.gakkou.net/kou/view/index_304311.html" TargetMode="External"/><Relationship Id="rId973" Type="http://schemas.openxmlformats.org/officeDocument/2006/relationships/hyperlink" Target="https://www.gakkou.net/kou/view/index_304277.html" TargetMode="External"/><Relationship Id="rId974" Type="http://schemas.openxmlformats.org/officeDocument/2006/relationships/hyperlink" Target="https://www.gakkou.net/kou/view/index_304251.html" TargetMode="External"/><Relationship Id="rId975" Type="http://schemas.openxmlformats.org/officeDocument/2006/relationships/hyperlink" Target="https://www.gakkou.net/kou/view/index_304136.html" TargetMode="External"/><Relationship Id="rId976" Type="http://schemas.openxmlformats.org/officeDocument/2006/relationships/hyperlink" Target="https://www.gakkou.net/kou/view/index_304261.html" TargetMode="External"/><Relationship Id="rId977" Type="http://schemas.openxmlformats.org/officeDocument/2006/relationships/hyperlink" Target="https://www.gakkou.net/kou/view/index_304231.html" TargetMode="External"/><Relationship Id="rId978" Type="http://schemas.openxmlformats.org/officeDocument/2006/relationships/hyperlink" Target="https://www.gakkou.net/kou/view/index_304093.html" TargetMode="External"/><Relationship Id="rId979" Type="http://schemas.openxmlformats.org/officeDocument/2006/relationships/hyperlink" Target="https://www.gakkou.net/kou/view/index_304272.html" TargetMode="External"/><Relationship Id="rId980" Type="http://schemas.openxmlformats.org/officeDocument/2006/relationships/hyperlink" Target="https://www.gakkou.net/kou/view/index_304082.html" TargetMode="External"/><Relationship Id="rId981" Type="http://schemas.openxmlformats.org/officeDocument/2006/relationships/hyperlink" Target="https://www.gakkou.net/kou/view/index_304143.html" TargetMode="External"/><Relationship Id="rId982" Type="http://schemas.openxmlformats.org/officeDocument/2006/relationships/hyperlink" Target="https://www.gakkou.net/kou/view/index_304138.html" TargetMode="External"/><Relationship Id="rId983" Type="http://schemas.openxmlformats.org/officeDocument/2006/relationships/hyperlink" Target="https://www.gakkou.net/kou/view/index_304086.html" TargetMode="External"/><Relationship Id="rId984" Type="http://schemas.openxmlformats.org/officeDocument/2006/relationships/hyperlink" Target="https://www.gakkou.net/kou/view/index_304065.html" TargetMode="External"/><Relationship Id="rId985" Type="http://schemas.openxmlformats.org/officeDocument/2006/relationships/hyperlink" Target="https://www.gakkou.net/kou/view/index_304089.html" TargetMode="External"/><Relationship Id="rId986" Type="http://schemas.openxmlformats.org/officeDocument/2006/relationships/hyperlink" Target="https://www.gakkou.net/kou/view/index_306371.html" TargetMode="External"/><Relationship Id="rId987" Type="http://schemas.openxmlformats.org/officeDocument/2006/relationships/hyperlink" Target="https://www.gakkou.net/kou/view/index_304339.html" TargetMode="External"/><Relationship Id="rId988" Type="http://schemas.openxmlformats.org/officeDocument/2006/relationships/hyperlink" Target="https://www.gakkou.net/kou/view/index_304139.html" TargetMode="External"/><Relationship Id="rId989" Type="http://schemas.openxmlformats.org/officeDocument/2006/relationships/hyperlink" Target="https://www.gakkou.net/kou/view/index_306441.html" TargetMode="External"/><Relationship Id="rId990" Type="http://schemas.openxmlformats.org/officeDocument/2006/relationships/hyperlink" Target="https://www.gakkou.net/kou/view/index_304176.html" TargetMode="External"/><Relationship Id="rId991" Type="http://schemas.openxmlformats.org/officeDocument/2006/relationships/hyperlink" Target="https://www.gakkou.net/kou/view/index_306617.html" TargetMode="External"/><Relationship Id="rId992" Type="http://schemas.openxmlformats.org/officeDocument/2006/relationships/hyperlink" Target="https://www.gakkou.net/kou/view/index_304392.html" TargetMode="External"/><Relationship Id="rId993" Type="http://schemas.openxmlformats.org/officeDocument/2006/relationships/hyperlink" Target="https://www.gakkou.net/kou/view/index_304420.html" TargetMode="External"/><Relationship Id="rId994" Type="http://schemas.openxmlformats.org/officeDocument/2006/relationships/hyperlink" Target="https://www.gakkou.net/kou/view/index_304378.html" TargetMode="External"/><Relationship Id="rId995" Type="http://schemas.openxmlformats.org/officeDocument/2006/relationships/hyperlink" Target="https://www.gakkou.net/kou/view/index_304582.html" TargetMode="External"/><Relationship Id="rId996" Type="http://schemas.openxmlformats.org/officeDocument/2006/relationships/hyperlink" Target="https://www.gakkou.net/kou/view/index_304579.html" TargetMode="External"/><Relationship Id="rId997" Type="http://schemas.openxmlformats.org/officeDocument/2006/relationships/hyperlink" Target="https://www.gakkou.net/kou/view/index_304450.html" TargetMode="External"/><Relationship Id="rId998" Type="http://schemas.openxmlformats.org/officeDocument/2006/relationships/hyperlink" Target="https://www.gakkou.net/kou/view/index_304484.html" TargetMode="External"/><Relationship Id="rId999" Type="http://schemas.openxmlformats.org/officeDocument/2006/relationships/hyperlink" Target="https://www.gakkou.net/kou/view/index_304385.html" TargetMode="External"/><Relationship Id="rId1000" Type="http://schemas.openxmlformats.org/officeDocument/2006/relationships/hyperlink" Target="https://www.gakkou.net/kou/view/index_304507.html" TargetMode="External"/><Relationship Id="rId1001" Type="http://schemas.openxmlformats.org/officeDocument/2006/relationships/hyperlink" Target="https://www.gakkou.net/kou/view/index_304453.html" TargetMode="External"/><Relationship Id="rId1002" Type="http://schemas.openxmlformats.org/officeDocument/2006/relationships/hyperlink" Target="https://www.gakkou.net/kou/view/index_304424.html" TargetMode="External"/><Relationship Id="rId1003" Type="http://schemas.openxmlformats.org/officeDocument/2006/relationships/hyperlink" Target="https://www.gakkou.net/kou/view/index_304411.html" TargetMode="External"/><Relationship Id="rId1004" Type="http://schemas.openxmlformats.org/officeDocument/2006/relationships/hyperlink" Target="https://www.gakkou.net/kou/view/index_304410.html" TargetMode="External"/><Relationship Id="rId1005" Type="http://schemas.openxmlformats.org/officeDocument/2006/relationships/hyperlink" Target="https://www.gakkou.net/kou/view/index_304363.html" TargetMode="External"/><Relationship Id="rId1006" Type="http://schemas.openxmlformats.org/officeDocument/2006/relationships/hyperlink" Target="https://www.gakkou.net/kou/view/index_304352.html" TargetMode="External"/><Relationship Id="rId1007" Type="http://schemas.openxmlformats.org/officeDocument/2006/relationships/hyperlink" Target="https://www.gakkou.net/kou/view/index_304383.html" TargetMode="External"/><Relationship Id="rId1008" Type="http://schemas.openxmlformats.org/officeDocument/2006/relationships/hyperlink" Target="https://www.gakkou.net/kou/view/index_304391.html" TargetMode="External"/><Relationship Id="rId1009" Type="http://schemas.openxmlformats.org/officeDocument/2006/relationships/hyperlink" Target="https://www.gakkou.net/kou/view/index_304448.html" TargetMode="External"/><Relationship Id="rId1010" Type="http://schemas.openxmlformats.org/officeDocument/2006/relationships/hyperlink" Target="https://www.gakkou.net/kou/view/index_304384.html" TargetMode="External"/><Relationship Id="rId1011" Type="http://schemas.openxmlformats.org/officeDocument/2006/relationships/hyperlink" Target="https://www.gakkou.net/kou/view/index_304351.html" TargetMode="External"/><Relationship Id="rId1012" Type="http://schemas.openxmlformats.org/officeDocument/2006/relationships/hyperlink" Target="https://www.gakkou.net/kou/view/index_304375.html" TargetMode="External"/><Relationship Id="rId1013" Type="http://schemas.openxmlformats.org/officeDocument/2006/relationships/hyperlink" Target="https://www.gakkou.net/kou/view/index_304369.html" TargetMode="External"/><Relationship Id="rId1014" Type="http://schemas.openxmlformats.org/officeDocument/2006/relationships/hyperlink" Target="https://www.gakkou.net/kou/view/index_304347.html" TargetMode="External"/><Relationship Id="rId1015" Type="http://schemas.openxmlformats.org/officeDocument/2006/relationships/hyperlink" Target="https://www.gakkou.net/kou/view/index_304349.html" TargetMode="External"/><Relationship Id="rId1016" Type="http://schemas.openxmlformats.org/officeDocument/2006/relationships/hyperlink" Target="https://www.gakkou.net/kou/view/index_304445.html" TargetMode="External"/><Relationship Id="rId1017" Type="http://schemas.openxmlformats.org/officeDocument/2006/relationships/hyperlink" Target="https://www.gakkou.net/kou/view/index_304467.html" TargetMode="External"/><Relationship Id="rId1018" Type="http://schemas.openxmlformats.org/officeDocument/2006/relationships/hyperlink" Target="https://www.gakkou.net/kou/view/index_304368.html" TargetMode="External"/><Relationship Id="rId1019" Type="http://schemas.openxmlformats.org/officeDocument/2006/relationships/hyperlink" Target="https://www.gakkou.net/kou/view/index_304490.html" TargetMode="External"/><Relationship Id="rId1020" Type="http://schemas.openxmlformats.org/officeDocument/2006/relationships/hyperlink" Target="https://www.gakkou.net/kou/view/index_304487.html" TargetMode="External"/><Relationship Id="rId1021" Type="http://schemas.openxmlformats.org/officeDocument/2006/relationships/hyperlink" Target="https://www.gakkou.net/kou/view/index_304443.html" TargetMode="External"/><Relationship Id="rId1022" Type="http://schemas.openxmlformats.org/officeDocument/2006/relationships/hyperlink" Target="https://www.gakkou.net/kou/view/index_304409.html" TargetMode="External"/><Relationship Id="rId1023" Type="http://schemas.openxmlformats.org/officeDocument/2006/relationships/hyperlink" Target="https://www.gakkou.net/kou/view/index_304346.html" TargetMode="External"/><Relationship Id="rId1024" Type="http://schemas.openxmlformats.org/officeDocument/2006/relationships/hyperlink" Target="https://www.gakkou.net/kou/view/index_304406.html" TargetMode="External"/><Relationship Id="rId1025" Type="http://schemas.openxmlformats.org/officeDocument/2006/relationships/hyperlink" Target="https://www.gakkou.net/kou/view/index_304508.html" TargetMode="External"/><Relationship Id="rId1026" Type="http://schemas.openxmlformats.org/officeDocument/2006/relationships/hyperlink" Target="https://www.gakkou.net/kou/view/index_304380.html" TargetMode="External"/><Relationship Id="rId1027" Type="http://schemas.openxmlformats.org/officeDocument/2006/relationships/hyperlink" Target="https://www.gakkou.net/kou/view/index_306785.html" TargetMode="External"/><Relationship Id="rId1028" Type="http://schemas.openxmlformats.org/officeDocument/2006/relationships/hyperlink" Target="https://www.gakkou.net/kou/view/index_304396.html" TargetMode="External"/><Relationship Id="rId1029" Type="http://schemas.openxmlformats.org/officeDocument/2006/relationships/hyperlink" Target="https://www.gakkou.net/kou/view/index_304435.html" TargetMode="External"/><Relationship Id="rId1030" Type="http://schemas.openxmlformats.org/officeDocument/2006/relationships/hyperlink" Target="https://www.gakkou.net/kou/view/index_304379.html" TargetMode="External"/><Relationship Id="rId1031" Type="http://schemas.openxmlformats.org/officeDocument/2006/relationships/hyperlink" Target="https://www.gakkou.net/kou/view/index_304360.html" TargetMode="External"/><Relationship Id="rId1032" Type="http://schemas.openxmlformats.org/officeDocument/2006/relationships/hyperlink" Target="https://www.gakkou.net/kou/view/index_306594.html" TargetMode="External"/><Relationship Id="rId1033" Type="http://schemas.openxmlformats.org/officeDocument/2006/relationships/hyperlink" Target="https://www.gakkou.net/kou/view/index_304523.html" TargetMode="External"/><Relationship Id="rId1034" Type="http://schemas.openxmlformats.org/officeDocument/2006/relationships/hyperlink" Target="https://www.gakkou.net/kou/view/index_304418.html" TargetMode="External"/><Relationship Id="rId1035" Type="http://schemas.openxmlformats.org/officeDocument/2006/relationships/hyperlink" Target="https://www.gakkou.net/kou/view/index_304446.html" TargetMode="External"/><Relationship Id="rId1036" Type="http://schemas.openxmlformats.org/officeDocument/2006/relationships/hyperlink" Target="https://www.gakkou.net/kou/view/index_304564.html" TargetMode="External"/><Relationship Id="rId1037" Type="http://schemas.openxmlformats.org/officeDocument/2006/relationships/hyperlink" Target="https://www.gakkou.net/kou/view/index_304576.html" TargetMode="External"/><Relationship Id="rId1038" Type="http://schemas.openxmlformats.org/officeDocument/2006/relationships/hyperlink" Target="https://www.gakkou.net/kou/view/index_304468.html" TargetMode="External"/><Relationship Id="rId1039" Type="http://schemas.openxmlformats.org/officeDocument/2006/relationships/hyperlink" Target="https://www.gakkou.net/kou/view/index_304515.html" TargetMode="External"/><Relationship Id="rId1040" Type="http://schemas.openxmlformats.org/officeDocument/2006/relationships/hyperlink" Target="https://www.gakkou.net/kou/view/index_304382.html" TargetMode="External"/><Relationship Id="rId1041" Type="http://schemas.openxmlformats.org/officeDocument/2006/relationships/hyperlink" Target="https://www.gakkou.net/kou/view/index_304452.html" TargetMode="External"/><Relationship Id="rId1042" Type="http://schemas.openxmlformats.org/officeDocument/2006/relationships/hyperlink" Target="https://www.gakkou.net/kou/view/index_304455.html" TargetMode="External"/><Relationship Id="rId1043" Type="http://schemas.openxmlformats.org/officeDocument/2006/relationships/hyperlink" Target="https://www.gakkou.net/kou/view/index_304439.html" TargetMode="External"/><Relationship Id="rId1044" Type="http://schemas.openxmlformats.org/officeDocument/2006/relationships/hyperlink" Target="https://www.gakkou.net/kou/view/index_304405.html" TargetMode="External"/><Relationship Id="rId1045" Type="http://schemas.openxmlformats.org/officeDocument/2006/relationships/hyperlink" Target="https://www.gakkou.net/kou/view/index_306725.html" TargetMode="External"/><Relationship Id="rId1046" Type="http://schemas.openxmlformats.org/officeDocument/2006/relationships/hyperlink" Target="https://www.gakkou.net/kou/view/index_304606.html" TargetMode="External"/><Relationship Id="rId1047" Type="http://schemas.openxmlformats.org/officeDocument/2006/relationships/hyperlink" Target="https://www.gakkou.net/kou/view/index_304627.html" TargetMode="External"/><Relationship Id="rId1048" Type="http://schemas.openxmlformats.org/officeDocument/2006/relationships/hyperlink" Target="https://www.gakkou.net/kou/view/index_304645.html" TargetMode="External"/><Relationship Id="rId1049" Type="http://schemas.openxmlformats.org/officeDocument/2006/relationships/hyperlink" Target="https://www.gakkou.net/kou/view/index_306487.html" TargetMode="External"/><Relationship Id="rId1050" Type="http://schemas.openxmlformats.org/officeDocument/2006/relationships/hyperlink" Target="https://www.gakkou.net/kou/view/index_304602.html" TargetMode="External"/><Relationship Id="rId1051" Type="http://schemas.openxmlformats.org/officeDocument/2006/relationships/hyperlink" Target="https://www.gakkou.net/kou/view/index_304613.html" TargetMode="External"/><Relationship Id="rId1052" Type="http://schemas.openxmlformats.org/officeDocument/2006/relationships/hyperlink" Target="https://www.gakkou.net/kou/view/index_304615.html" TargetMode="External"/><Relationship Id="rId1053" Type="http://schemas.openxmlformats.org/officeDocument/2006/relationships/hyperlink" Target="https://www.gakkou.net/kou/view/index_304607.html" TargetMode="External"/><Relationship Id="rId1054" Type="http://schemas.openxmlformats.org/officeDocument/2006/relationships/hyperlink" Target="https://www.gakkou.net/kou/view/index_304598.html" TargetMode="External"/><Relationship Id="rId1055" Type="http://schemas.openxmlformats.org/officeDocument/2006/relationships/hyperlink" Target="https://www.gakkou.net/kou/view/index_304656.html" TargetMode="External"/><Relationship Id="rId1056" Type="http://schemas.openxmlformats.org/officeDocument/2006/relationships/hyperlink" Target="https://www.gakkou.net/kou/view/index_306692.html" TargetMode="External"/><Relationship Id="rId1057" Type="http://schemas.openxmlformats.org/officeDocument/2006/relationships/hyperlink" Target="https://www.gakkou.net/kou/view/index_304599.html" TargetMode="External"/><Relationship Id="rId1058" Type="http://schemas.openxmlformats.org/officeDocument/2006/relationships/hyperlink" Target="https://www.gakkou.net/kou/view/index_304611.html" TargetMode="External"/><Relationship Id="rId1059" Type="http://schemas.openxmlformats.org/officeDocument/2006/relationships/hyperlink" Target="https://www.gakkou.net/kou/view/index_304636.html" TargetMode="External"/><Relationship Id="rId1060" Type="http://schemas.openxmlformats.org/officeDocument/2006/relationships/hyperlink" Target="https://www.gakkou.net/kou/view/index_304640.html" TargetMode="External"/><Relationship Id="rId1061" Type="http://schemas.openxmlformats.org/officeDocument/2006/relationships/hyperlink" Target="https://www.gakkou.net/kou/view/index_304675.html" TargetMode="External"/><Relationship Id="rId1062" Type="http://schemas.openxmlformats.org/officeDocument/2006/relationships/hyperlink" Target="https://www.gakkou.net/kou/view/index_304703.html" TargetMode="External"/><Relationship Id="rId1063" Type="http://schemas.openxmlformats.org/officeDocument/2006/relationships/hyperlink" Target="https://www.gakkou.net/kou/view/index_304674.html" TargetMode="External"/><Relationship Id="rId1064" Type="http://schemas.openxmlformats.org/officeDocument/2006/relationships/hyperlink" Target="https://www.gakkou.net/kou/view/index_306498.html" TargetMode="External"/><Relationship Id="rId1065" Type="http://schemas.openxmlformats.org/officeDocument/2006/relationships/hyperlink" Target="https://www.gakkou.net/kou/view/index_304707.html" TargetMode="External"/><Relationship Id="rId1066" Type="http://schemas.openxmlformats.org/officeDocument/2006/relationships/hyperlink" Target="https://www.gakkou.net/kou/view/index_304663.html" TargetMode="External"/><Relationship Id="rId1067" Type="http://schemas.openxmlformats.org/officeDocument/2006/relationships/hyperlink" Target="https://www.gakkou.net/kou/view/index_304704.html" TargetMode="External"/><Relationship Id="rId1068" Type="http://schemas.openxmlformats.org/officeDocument/2006/relationships/hyperlink" Target="https://www.gakkou.net/kou/view/index_304669.html" TargetMode="External"/><Relationship Id="rId1069" Type="http://schemas.openxmlformats.org/officeDocument/2006/relationships/hyperlink" Target="https://www.gakkou.net/kou/view/index_304712.html" TargetMode="External"/><Relationship Id="rId1070" Type="http://schemas.openxmlformats.org/officeDocument/2006/relationships/hyperlink" Target="https://www.gakkou.net/kou/view/index_304738.html" TargetMode="External"/><Relationship Id="rId1071" Type="http://schemas.openxmlformats.org/officeDocument/2006/relationships/hyperlink" Target="https://www.gakkou.net/kou/view/index_306762.html" TargetMode="External"/><Relationship Id="rId1072" Type="http://schemas.openxmlformats.org/officeDocument/2006/relationships/hyperlink" Target="https://www.gakkou.net/kou/view/index_304727.html" TargetMode="External"/><Relationship Id="rId1073" Type="http://schemas.openxmlformats.org/officeDocument/2006/relationships/hyperlink" Target="https://www.gakkou.net/kou/view/index_304731.html" TargetMode="External"/><Relationship Id="rId1074" Type="http://schemas.openxmlformats.org/officeDocument/2006/relationships/hyperlink" Target="https://www.gakkou.net/kou/view/index_306551.html" TargetMode="External"/><Relationship Id="rId1075" Type="http://schemas.openxmlformats.org/officeDocument/2006/relationships/hyperlink" Target="https://www.gakkou.net/kou/view/index_304753.html" TargetMode="External"/><Relationship Id="rId1076" Type="http://schemas.openxmlformats.org/officeDocument/2006/relationships/hyperlink" Target="https://www.gakkou.net/kou/view/index_304764.html" TargetMode="External"/><Relationship Id="rId1077" Type="http://schemas.openxmlformats.org/officeDocument/2006/relationships/hyperlink" Target="https://www.gakkou.net/kou/view/index_304754.html" TargetMode="External"/><Relationship Id="rId1078" Type="http://schemas.openxmlformats.org/officeDocument/2006/relationships/hyperlink" Target="https://www.gakkou.net/kou/view/index_304793.html" TargetMode="External"/><Relationship Id="rId1079" Type="http://schemas.openxmlformats.org/officeDocument/2006/relationships/hyperlink" Target="https://www.gakkou.net/kou/view/index_304795.html" TargetMode="External"/><Relationship Id="rId1080" Type="http://schemas.openxmlformats.org/officeDocument/2006/relationships/hyperlink" Target="https://www.gakkou.net/kou/view/index_304798.html" TargetMode="External"/><Relationship Id="rId1081" Type="http://schemas.openxmlformats.org/officeDocument/2006/relationships/hyperlink" Target="https://www.gakkou.net/kou/view/index_304776.html" TargetMode="External"/><Relationship Id="rId1082" Type="http://schemas.openxmlformats.org/officeDocument/2006/relationships/hyperlink" Target="https://www.gakkou.net/kou/view/index_304799.html" TargetMode="External"/><Relationship Id="rId1083" Type="http://schemas.openxmlformats.org/officeDocument/2006/relationships/hyperlink" Target="https://www.gakkou.net/kou/view/index_304775.html" TargetMode="External"/><Relationship Id="rId1084" Type="http://schemas.openxmlformats.org/officeDocument/2006/relationships/hyperlink" Target="https://www.gakkou.net/kou/view/index_304811.html" TargetMode="External"/><Relationship Id="rId1085" Type="http://schemas.openxmlformats.org/officeDocument/2006/relationships/hyperlink" Target="https://www.gakkou.net/kou/view/index_304774.html" TargetMode="External"/><Relationship Id="rId1086" Type="http://schemas.openxmlformats.org/officeDocument/2006/relationships/hyperlink" Target="https://www.gakkou.net/kou/view/index_304810.html" TargetMode="External"/><Relationship Id="rId1087" Type="http://schemas.openxmlformats.org/officeDocument/2006/relationships/hyperlink" Target="https://www.gakkou.net/kou/view/index_304777.html" TargetMode="External"/><Relationship Id="rId1088" Type="http://schemas.openxmlformats.org/officeDocument/2006/relationships/hyperlink" Target="https://www.gakkou.net/kou/view/index_304853.html" TargetMode="External"/><Relationship Id="rId1089" Type="http://schemas.openxmlformats.org/officeDocument/2006/relationships/hyperlink" Target="https://www.gakkou.net/kou/view/index_304927.html" TargetMode="External"/><Relationship Id="rId1090" Type="http://schemas.openxmlformats.org/officeDocument/2006/relationships/hyperlink" Target="https://www.gakkou.net/kou/view/index_304868.html" TargetMode="External"/><Relationship Id="rId1091" Type="http://schemas.openxmlformats.org/officeDocument/2006/relationships/hyperlink" Target="https://www.gakkou.net/kou/view/index_304865.html" TargetMode="External"/><Relationship Id="rId1092" Type="http://schemas.openxmlformats.org/officeDocument/2006/relationships/hyperlink" Target="https://www.gakkou.net/kou/view/index_304838.html" TargetMode="External"/><Relationship Id="rId1093" Type="http://schemas.openxmlformats.org/officeDocument/2006/relationships/hyperlink" Target="https://www.gakkou.net/kou/view/index_304930.html" TargetMode="External"/><Relationship Id="rId1094" Type="http://schemas.openxmlformats.org/officeDocument/2006/relationships/hyperlink" Target="https://www.gakkou.net/kou/view/index_304831.html" TargetMode="External"/><Relationship Id="rId1095" Type="http://schemas.openxmlformats.org/officeDocument/2006/relationships/hyperlink" Target="https://www.gakkou.net/kou/view/index_304871.html" TargetMode="External"/><Relationship Id="rId1096" Type="http://schemas.openxmlformats.org/officeDocument/2006/relationships/hyperlink" Target="https://www.gakkou.net/kou/view/index_304823.html" TargetMode="External"/><Relationship Id="rId1097" Type="http://schemas.openxmlformats.org/officeDocument/2006/relationships/hyperlink" Target="https://www.gakkou.net/kou/view/index_304909.html" TargetMode="External"/><Relationship Id="rId1098" Type="http://schemas.openxmlformats.org/officeDocument/2006/relationships/hyperlink" Target="https://www.gakkou.net/kou/view/index_304880.html" TargetMode="External"/><Relationship Id="rId1099" Type="http://schemas.openxmlformats.org/officeDocument/2006/relationships/hyperlink" Target="https://www.gakkou.net/kou/view/index_304829.html" TargetMode="External"/><Relationship Id="rId1100" Type="http://schemas.openxmlformats.org/officeDocument/2006/relationships/hyperlink" Target="https://www.gakkou.net/kou/view/index_304875.html" TargetMode="External"/><Relationship Id="rId1101" Type="http://schemas.openxmlformats.org/officeDocument/2006/relationships/hyperlink" Target="https://www.gakkou.net/kou/view/index_304883.html" TargetMode="External"/><Relationship Id="rId1102" Type="http://schemas.openxmlformats.org/officeDocument/2006/relationships/hyperlink" Target="https://www.gakkou.net/kou/view/index_304881.html" TargetMode="External"/><Relationship Id="rId1103" Type="http://schemas.openxmlformats.org/officeDocument/2006/relationships/hyperlink" Target="https://www.gakkou.net/kou/view/index_304912.html" TargetMode="External"/><Relationship Id="rId1104" Type="http://schemas.openxmlformats.org/officeDocument/2006/relationships/hyperlink" Target="https://www.gakkou.net/kou/view/index_304928.html" TargetMode="External"/><Relationship Id="rId1105" Type="http://schemas.openxmlformats.org/officeDocument/2006/relationships/hyperlink" Target="https://www.gakkou.net/kou/view/index_304849.html" TargetMode="External"/><Relationship Id="rId1106" Type="http://schemas.openxmlformats.org/officeDocument/2006/relationships/hyperlink" Target="https://www.gakkou.net/kou/view/index_304832.html" TargetMode="External"/><Relationship Id="rId1107" Type="http://schemas.openxmlformats.org/officeDocument/2006/relationships/hyperlink" Target="https://www.gakkou.net/kou/view/index_304837.html" TargetMode="External"/><Relationship Id="rId1108" Type="http://schemas.openxmlformats.org/officeDocument/2006/relationships/hyperlink" Target="https://www.gakkou.net/kou/view/index_304827.html" TargetMode="External"/><Relationship Id="rId1109" Type="http://schemas.openxmlformats.org/officeDocument/2006/relationships/hyperlink" Target="https://www.gakkou.net/kou/view/index_304917.html" TargetMode="External"/><Relationship Id="rId1110" Type="http://schemas.openxmlformats.org/officeDocument/2006/relationships/hyperlink" Target="https://www.gakkou.net/kou/view/index_304830.html" TargetMode="External"/><Relationship Id="rId1111" Type="http://schemas.openxmlformats.org/officeDocument/2006/relationships/hyperlink" Target="https://www.gakkou.net/kou/view/index_305020.html" TargetMode="External"/><Relationship Id="rId1112" Type="http://schemas.openxmlformats.org/officeDocument/2006/relationships/hyperlink" Target="https://www.gakkou.net/kou/view/index_304938.html" TargetMode="External"/><Relationship Id="rId1113" Type="http://schemas.openxmlformats.org/officeDocument/2006/relationships/hyperlink" Target="https://www.gakkou.net/kou/view/index_304959.html" TargetMode="External"/><Relationship Id="rId1114" Type="http://schemas.openxmlformats.org/officeDocument/2006/relationships/hyperlink" Target="https://www.gakkou.net/kou/view/index_304963.html" TargetMode="External"/><Relationship Id="rId1115" Type="http://schemas.openxmlformats.org/officeDocument/2006/relationships/hyperlink" Target="https://www.gakkou.net/kou/view/index_305103.html" TargetMode="External"/><Relationship Id="rId1116" Type="http://schemas.openxmlformats.org/officeDocument/2006/relationships/hyperlink" Target="https://www.gakkou.net/kou/view/index_304947.html" TargetMode="External"/><Relationship Id="rId1117" Type="http://schemas.openxmlformats.org/officeDocument/2006/relationships/hyperlink" Target="https://www.gakkou.net/kou/view/index_304958.html" TargetMode="External"/><Relationship Id="rId1118" Type="http://schemas.openxmlformats.org/officeDocument/2006/relationships/hyperlink" Target="https://www.gakkou.net/kou/view/index_306447.html" TargetMode="External"/><Relationship Id="rId1119" Type="http://schemas.openxmlformats.org/officeDocument/2006/relationships/hyperlink" Target="https://www.gakkou.net/kou/view/index_305034.html" TargetMode="External"/><Relationship Id="rId1120" Type="http://schemas.openxmlformats.org/officeDocument/2006/relationships/hyperlink" Target="https://www.gakkou.net/kou/view/index_305074.html" TargetMode="External"/><Relationship Id="rId1121" Type="http://schemas.openxmlformats.org/officeDocument/2006/relationships/hyperlink" Target="https://www.gakkou.net/kou/view/index_305049.html" TargetMode="External"/><Relationship Id="rId1122" Type="http://schemas.openxmlformats.org/officeDocument/2006/relationships/hyperlink" Target="https://www.gakkou.net/kou/view/index_304937.html" TargetMode="External"/><Relationship Id="rId1123" Type="http://schemas.openxmlformats.org/officeDocument/2006/relationships/hyperlink" Target="https://www.gakkou.net/kou/view/index_305071.html" TargetMode="External"/><Relationship Id="rId1124" Type="http://schemas.openxmlformats.org/officeDocument/2006/relationships/hyperlink" Target="https://www.gakkou.net/kou/view/index_305016.html" TargetMode="External"/><Relationship Id="rId1125" Type="http://schemas.openxmlformats.org/officeDocument/2006/relationships/hyperlink" Target="https://www.gakkou.net/kou/view/index_305059.html" TargetMode="External"/><Relationship Id="rId1126" Type="http://schemas.openxmlformats.org/officeDocument/2006/relationships/hyperlink" Target="https://www.gakkou.net/kou/view/index_304974.html" TargetMode="External"/><Relationship Id="rId1127" Type="http://schemas.openxmlformats.org/officeDocument/2006/relationships/hyperlink" Target="https://www.gakkou.net/kou/view/index_305046.html" TargetMode="External"/><Relationship Id="rId1128" Type="http://schemas.openxmlformats.org/officeDocument/2006/relationships/hyperlink" Target="https://www.gakkou.net/kou/view/index_304979.html" TargetMode="External"/><Relationship Id="rId1129" Type="http://schemas.openxmlformats.org/officeDocument/2006/relationships/hyperlink" Target="https://www.gakkou.net/kou/view/index_306435.html" TargetMode="External"/><Relationship Id="rId1130" Type="http://schemas.openxmlformats.org/officeDocument/2006/relationships/hyperlink" Target="https://www.gakkou.net/kou/view/index_306471.html" TargetMode="External"/><Relationship Id="rId1131" Type="http://schemas.openxmlformats.org/officeDocument/2006/relationships/hyperlink" Target="https://www.gakkou.net/kou/view/index_305050.html" TargetMode="External"/><Relationship Id="rId1132" Type="http://schemas.openxmlformats.org/officeDocument/2006/relationships/hyperlink" Target="https://www.gakkou.net/kou/view/index_305062.html" TargetMode="External"/><Relationship Id="rId1133" Type="http://schemas.openxmlformats.org/officeDocument/2006/relationships/hyperlink" Target="https://www.gakkou.net/kou/view/index_305055.html" TargetMode="External"/><Relationship Id="rId1134" Type="http://schemas.openxmlformats.org/officeDocument/2006/relationships/hyperlink" Target="https://www.gakkou.net/kou/view/index_305054.html" TargetMode="External"/><Relationship Id="rId1135" Type="http://schemas.openxmlformats.org/officeDocument/2006/relationships/hyperlink" Target="https://www.gakkou.net/kou/view/index_305064.html" TargetMode="External"/><Relationship Id="rId1136" Type="http://schemas.openxmlformats.org/officeDocument/2006/relationships/hyperlink" Target="https://www.gakkou.net/kou/view/index_305044.html" TargetMode="External"/><Relationship Id="rId1137" Type="http://schemas.openxmlformats.org/officeDocument/2006/relationships/hyperlink" Target="https://www.gakkou.net/kou/view/index_304998.html" TargetMode="External"/><Relationship Id="rId1138" Type="http://schemas.openxmlformats.org/officeDocument/2006/relationships/hyperlink" Target="https://www.gakkou.net/kou/view/index_305053.html" TargetMode="External"/><Relationship Id="rId1139" Type="http://schemas.openxmlformats.org/officeDocument/2006/relationships/hyperlink" Target="https://www.gakkou.net/kou/view/index_305037.html" TargetMode="External"/><Relationship Id="rId1140" Type="http://schemas.openxmlformats.org/officeDocument/2006/relationships/hyperlink" Target="https://www.gakkou.net/kou/view/index_305031.html" TargetMode="External"/><Relationship Id="rId1141" Type="http://schemas.openxmlformats.org/officeDocument/2006/relationships/hyperlink" Target="https://www.gakkou.net/kou/view/index_305041.html" TargetMode="External"/><Relationship Id="rId1142" Type="http://schemas.openxmlformats.org/officeDocument/2006/relationships/hyperlink" Target="https://www.gakkou.net/kou/view/index_305012.html" TargetMode="External"/><Relationship Id="rId1143" Type="http://schemas.openxmlformats.org/officeDocument/2006/relationships/hyperlink" Target="https://www.gakkou.net/kou/view/index_305043.html" TargetMode="External"/><Relationship Id="rId1144" Type="http://schemas.openxmlformats.org/officeDocument/2006/relationships/hyperlink" Target="https://www.gakkou.net/kou/view/index_305039.html" TargetMode="External"/><Relationship Id="rId1145" Type="http://schemas.openxmlformats.org/officeDocument/2006/relationships/hyperlink" Target="https://www.gakkou.net/kou/view/index_305026.html" TargetMode="External"/><Relationship Id="rId1146" Type="http://schemas.openxmlformats.org/officeDocument/2006/relationships/hyperlink" Target="https://www.gakkou.net/kou/view/index_304960.html" TargetMode="External"/><Relationship Id="rId1147" Type="http://schemas.openxmlformats.org/officeDocument/2006/relationships/hyperlink" Target="https://www.gakkou.net/kou/view/index_305010.html" TargetMode="External"/><Relationship Id="rId1148" Type="http://schemas.openxmlformats.org/officeDocument/2006/relationships/hyperlink" Target="https://www.gakkou.net/kou/view/index_305196.html" TargetMode="External"/><Relationship Id="rId1149" Type="http://schemas.openxmlformats.org/officeDocument/2006/relationships/hyperlink" Target="https://www.gakkou.net/kou/view/index_305180.html" TargetMode="External"/><Relationship Id="rId1150" Type="http://schemas.openxmlformats.org/officeDocument/2006/relationships/hyperlink" Target="https://www.gakkou.net/kou/view/index_305175.html" TargetMode="External"/><Relationship Id="rId1151" Type="http://schemas.openxmlformats.org/officeDocument/2006/relationships/hyperlink" Target="https://www.gakkou.net/kou/view/index_305182.html" TargetMode="External"/><Relationship Id="rId1152" Type="http://schemas.openxmlformats.org/officeDocument/2006/relationships/hyperlink" Target="https://www.gakkou.net/kou/view/index_305162.html" TargetMode="External"/><Relationship Id="rId1153" Type="http://schemas.openxmlformats.org/officeDocument/2006/relationships/hyperlink" Target="https://www.gakkou.net/kou/view/index_305152.html" TargetMode="External"/><Relationship Id="rId1154" Type="http://schemas.openxmlformats.org/officeDocument/2006/relationships/hyperlink" Target="https://www.gakkou.net/kou/view/index_305148.html" TargetMode="External"/><Relationship Id="rId1155" Type="http://schemas.openxmlformats.org/officeDocument/2006/relationships/hyperlink" Target="https://www.gakkou.net/kou/view/index_306695.html" TargetMode="External"/><Relationship Id="rId1156" Type="http://schemas.openxmlformats.org/officeDocument/2006/relationships/hyperlink" Target="https://www.gakkou.net/kou/view/index_305127.html" TargetMode="External"/><Relationship Id="rId1157" Type="http://schemas.openxmlformats.org/officeDocument/2006/relationships/hyperlink" Target="https://www.gakkou.net/kou/view/index_305199.html" TargetMode="External"/><Relationship Id="rId1158" Type="http://schemas.openxmlformats.org/officeDocument/2006/relationships/hyperlink" Target="https://www.gakkou.net/kou/view/index_305143.html" TargetMode="External"/><Relationship Id="rId1159" Type="http://schemas.openxmlformats.org/officeDocument/2006/relationships/hyperlink" Target="https://www.gakkou.net/kou/view/index_305106.html" TargetMode="External"/><Relationship Id="rId1160" Type="http://schemas.openxmlformats.org/officeDocument/2006/relationships/hyperlink" Target="https://www.gakkou.net/kou/view/index_305165.html" TargetMode="External"/><Relationship Id="rId1161" Type="http://schemas.openxmlformats.org/officeDocument/2006/relationships/hyperlink" Target="https://www.gakkou.net/kou/view/index_305204.html" TargetMode="External"/><Relationship Id="rId1162" Type="http://schemas.openxmlformats.org/officeDocument/2006/relationships/hyperlink" Target="https://www.gakkou.net/kou/view/index_305170.html" TargetMode="External"/><Relationship Id="rId1163" Type="http://schemas.openxmlformats.org/officeDocument/2006/relationships/hyperlink" Target="https://www.gakkou.net/kou/view/index_305190.html" TargetMode="External"/><Relationship Id="rId1164" Type="http://schemas.openxmlformats.org/officeDocument/2006/relationships/hyperlink" Target="https://www.gakkou.net/kou/view/index_305150.html" TargetMode="External"/><Relationship Id="rId1165" Type="http://schemas.openxmlformats.org/officeDocument/2006/relationships/hyperlink" Target="https://www.gakkou.net/kou/view/index_305151.html" TargetMode="External"/><Relationship Id="rId1166" Type="http://schemas.openxmlformats.org/officeDocument/2006/relationships/hyperlink" Target="https://www.gakkou.net/kou/view/index_305115.html" TargetMode="External"/><Relationship Id="rId1167" Type="http://schemas.openxmlformats.org/officeDocument/2006/relationships/hyperlink" Target="https://www.gakkou.net/kou/view/index_305173.html" TargetMode="External"/><Relationship Id="rId1168" Type="http://schemas.openxmlformats.org/officeDocument/2006/relationships/hyperlink" Target="https://www.gakkou.net/kou/view/index_306500.html" TargetMode="External"/><Relationship Id="rId1169" Type="http://schemas.openxmlformats.org/officeDocument/2006/relationships/hyperlink" Target="https://www.gakkou.net/kou/view/index_305216.html" TargetMode="External"/><Relationship Id="rId1170" Type="http://schemas.openxmlformats.org/officeDocument/2006/relationships/hyperlink" Target="https://www.gakkou.net/kou/view/index_305226.html" TargetMode="External"/><Relationship Id="rId1171" Type="http://schemas.openxmlformats.org/officeDocument/2006/relationships/hyperlink" Target="https://www.gakkou.net/kou/view/index_305222.html" TargetMode="External"/><Relationship Id="rId1172" Type="http://schemas.openxmlformats.org/officeDocument/2006/relationships/hyperlink" Target="https://www.gakkou.net/kou/view/index_305270.html" TargetMode="External"/><Relationship Id="rId1173" Type="http://schemas.openxmlformats.org/officeDocument/2006/relationships/hyperlink" Target="https://www.gakkou.net/kou/view/index_305290.html" TargetMode="External"/><Relationship Id="rId1174" Type="http://schemas.openxmlformats.org/officeDocument/2006/relationships/hyperlink" Target="https://www.gakkou.net/kou/view/index_305303.html" TargetMode="External"/><Relationship Id="rId1175" Type="http://schemas.openxmlformats.org/officeDocument/2006/relationships/hyperlink" Target="https://www.gakkou.net/kou/view/index_305305.html" TargetMode="External"/><Relationship Id="rId1176" Type="http://schemas.openxmlformats.org/officeDocument/2006/relationships/hyperlink" Target="https://www.gakkou.net/kou/view/index_305314.html" TargetMode="External"/><Relationship Id="rId1177" Type="http://schemas.openxmlformats.org/officeDocument/2006/relationships/hyperlink" Target="https://www.gakkou.net/kou/view/index_305295.html" TargetMode="External"/><Relationship Id="rId1178" Type="http://schemas.openxmlformats.org/officeDocument/2006/relationships/hyperlink" Target="https://www.gakkou.net/kou/view/index_305317.html" TargetMode="External"/><Relationship Id="rId1179" Type="http://schemas.openxmlformats.org/officeDocument/2006/relationships/hyperlink" Target="https://www.gakkou.net/kou/view/index_305313.html" TargetMode="External"/><Relationship Id="rId1180" Type="http://schemas.openxmlformats.org/officeDocument/2006/relationships/hyperlink" Target="https://www.gakkou.net/kou/view/index_305277.html" TargetMode="External"/><Relationship Id="rId1181" Type="http://schemas.openxmlformats.org/officeDocument/2006/relationships/hyperlink" Target="https://www.gakkou.net/kou/view/index_305327.html" TargetMode="External"/><Relationship Id="rId1182" Type="http://schemas.openxmlformats.org/officeDocument/2006/relationships/hyperlink" Target="https://www.gakkou.net/kou/view/index_305360.html" TargetMode="External"/><Relationship Id="rId1183" Type="http://schemas.openxmlformats.org/officeDocument/2006/relationships/hyperlink" Target="https://www.gakkou.net/kou/view/index_305377.html" TargetMode="External"/><Relationship Id="rId1184" Type="http://schemas.openxmlformats.org/officeDocument/2006/relationships/hyperlink" Target="https://www.gakkou.net/kou/view/index_306788.html" TargetMode="External"/><Relationship Id="rId1185" Type="http://schemas.openxmlformats.org/officeDocument/2006/relationships/hyperlink" Target="https://www.gakkou.net/kou/view/index_305374.html" TargetMode="External"/><Relationship Id="rId1186" Type="http://schemas.openxmlformats.org/officeDocument/2006/relationships/hyperlink" Target="https://www.gakkou.net/kou/view/index_305334.html" TargetMode="External"/><Relationship Id="rId1187" Type="http://schemas.openxmlformats.org/officeDocument/2006/relationships/hyperlink" Target="https://www.gakkou.net/kou/view/index_305337.html" TargetMode="External"/><Relationship Id="rId1188" Type="http://schemas.openxmlformats.org/officeDocument/2006/relationships/hyperlink" Target="https://www.gakkou.net/kou/view/index_305389.html" TargetMode="External"/><Relationship Id="rId1189" Type="http://schemas.openxmlformats.org/officeDocument/2006/relationships/hyperlink" Target="https://www.gakkou.net/kou/view/index_305361.html" TargetMode="External"/><Relationship Id="rId1190" Type="http://schemas.openxmlformats.org/officeDocument/2006/relationships/hyperlink" Target="https://www.gakkou.net/kou/view/index_306570.html" TargetMode="External"/><Relationship Id="rId1191" Type="http://schemas.openxmlformats.org/officeDocument/2006/relationships/hyperlink" Target="https://www.gakkou.net/kou/view/index_305346.html" TargetMode="External"/><Relationship Id="rId1192" Type="http://schemas.openxmlformats.org/officeDocument/2006/relationships/hyperlink" Target="https://www.gakkou.net/kou/view/index_305333.html" TargetMode="External"/><Relationship Id="rId1193" Type="http://schemas.openxmlformats.org/officeDocument/2006/relationships/hyperlink" Target="https://www.gakkou.net/kou/view/index_305359.html" TargetMode="External"/><Relationship Id="rId1194" Type="http://schemas.openxmlformats.org/officeDocument/2006/relationships/hyperlink" Target="https://www.gakkou.net/kou/view/index_306581.html" TargetMode="External"/><Relationship Id="rId1195" Type="http://schemas.openxmlformats.org/officeDocument/2006/relationships/hyperlink" Target="https://www.gakkou.net/kou/view/index_306659.html" TargetMode="External"/><Relationship Id="rId1196" Type="http://schemas.openxmlformats.org/officeDocument/2006/relationships/hyperlink" Target="https://www.gakkou.net/kou/view/index_305436.html" TargetMode="External"/><Relationship Id="rId1197" Type="http://schemas.openxmlformats.org/officeDocument/2006/relationships/hyperlink" Target="https://www.gakkou.net/kou/view/index_305428.html" TargetMode="External"/><Relationship Id="rId1198" Type="http://schemas.openxmlformats.org/officeDocument/2006/relationships/hyperlink" Target="https://www.gakkou.net/kou/view/index_305449.html" TargetMode="External"/><Relationship Id="rId1199" Type="http://schemas.openxmlformats.org/officeDocument/2006/relationships/hyperlink" Target="https://www.gakkou.net/kou/view/index_305463.html" TargetMode="External"/><Relationship Id="rId1200" Type="http://schemas.openxmlformats.org/officeDocument/2006/relationships/hyperlink" Target="https://www.gakkou.net/kou/view/index_306389.html" TargetMode="External"/><Relationship Id="rId1201" Type="http://schemas.openxmlformats.org/officeDocument/2006/relationships/hyperlink" Target="https://www.gakkou.net/kou/view/index_305432.html" TargetMode="External"/><Relationship Id="rId1202" Type="http://schemas.openxmlformats.org/officeDocument/2006/relationships/hyperlink" Target="https://www.gakkou.net/kou/view/index_305433.html" TargetMode="External"/><Relationship Id="rId1203" Type="http://schemas.openxmlformats.org/officeDocument/2006/relationships/hyperlink" Target="https://www.gakkou.net/kou/view/index_305423.html" TargetMode="External"/><Relationship Id="rId1204" Type="http://schemas.openxmlformats.org/officeDocument/2006/relationships/hyperlink" Target="https://www.gakkou.net/kou/view/index_305474.html" TargetMode="External"/><Relationship Id="rId1205" Type="http://schemas.openxmlformats.org/officeDocument/2006/relationships/hyperlink" Target="https://www.gakkou.net/kou/view/index_305631.html" TargetMode="External"/><Relationship Id="rId1206" Type="http://schemas.openxmlformats.org/officeDocument/2006/relationships/hyperlink" Target="https://www.gakkou.net/kou/view/index_305697.html" TargetMode="External"/><Relationship Id="rId1207" Type="http://schemas.openxmlformats.org/officeDocument/2006/relationships/hyperlink" Target="https://www.gakkou.net/kou/view/index_305601.html" TargetMode="External"/><Relationship Id="rId1208" Type="http://schemas.openxmlformats.org/officeDocument/2006/relationships/hyperlink" Target="https://www.gakkou.net/kou/view/index_305534.html" TargetMode="External"/><Relationship Id="rId1209" Type="http://schemas.openxmlformats.org/officeDocument/2006/relationships/hyperlink" Target="https://www.gakkou.net/kou/view/index_305547.html" TargetMode="External"/><Relationship Id="rId1210" Type="http://schemas.openxmlformats.org/officeDocument/2006/relationships/hyperlink" Target="https://www.gakkou.net/kou/view/index_305525.html" TargetMode="External"/><Relationship Id="rId1211" Type="http://schemas.openxmlformats.org/officeDocument/2006/relationships/hyperlink" Target="https://www.gakkou.net/kou/view/index_305583.html" TargetMode="External"/><Relationship Id="rId1212" Type="http://schemas.openxmlformats.org/officeDocument/2006/relationships/hyperlink" Target="https://www.gakkou.net/kou/view/index_305608.html" TargetMode="External"/><Relationship Id="rId1213" Type="http://schemas.openxmlformats.org/officeDocument/2006/relationships/hyperlink" Target="https://www.gakkou.net/kou/view/index_305625.html" TargetMode="External"/><Relationship Id="rId1214" Type="http://schemas.openxmlformats.org/officeDocument/2006/relationships/hyperlink" Target="https://www.gakkou.net/kou/view/index_306563.html" TargetMode="External"/><Relationship Id="rId1215" Type="http://schemas.openxmlformats.org/officeDocument/2006/relationships/hyperlink" Target="https://www.gakkou.net/kou/view/index_305664.html" TargetMode="External"/><Relationship Id="rId1216" Type="http://schemas.openxmlformats.org/officeDocument/2006/relationships/hyperlink" Target="https://www.gakkou.net/kou/view/index_305707.html" TargetMode="External"/><Relationship Id="rId1217" Type="http://schemas.openxmlformats.org/officeDocument/2006/relationships/hyperlink" Target="https://www.gakkou.net/kou/view/index_305709.html" TargetMode="External"/><Relationship Id="rId1218" Type="http://schemas.openxmlformats.org/officeDocument/2006/relationships/hyperlink" Target="https://www.gakkou.net/kou/view/index_305496.html" TargetMode="External"/><Relationship Id="rId1219" Type="http://schemas.openxmlformats.org/officeDocument/2006/relationships/hyperlink" Target="https://www.gakkou.net/kou/view/index_305517.html" TargetMode="External"/><Relationship Id="rId1220" Type="http://schemas.openxmlformats.org/officeDocument/2006/relationships/hyperlink" Target="https://www.gakkou.net/kou/view/index_305544.html" TargetMode="External"/><Relationship Id="rId1221" Type="http://schemas.openxmlformats.org/officeDocument/2006/relationships/hyperlink" Target="https://www.gakkou.net/kou/view/index_305512.html" TargetMode="External"/><Relationship Id="rId1222" Type="http://schemas.openxmlformats.org/officeDocument/2006/relationships/hyperlink" Target="https://www.gakkou.net/kou/view/index_305595.html" TargetMode="External"/><Relationship Id="rId1223" Type="http://schemas.openxmlformats.org/officeDocument/2006/relationships/hyperlink" Target="https://www.gakkou.net/kou/view/index_305537.html" TargetMode="External"/><Relationship Id="rId1224" Type="http://schemas.openxmlformats.org/officeDocument/2006/relationships/hyperlink" Target="https://www.gakkou.net/kou/view/index_305551.html" TargetMode="External"/><Relationship Id="rId1225" Type="http://schemas.openxmlformats.org/officeDocument/2006/relationships/hyperlink" Target="https://www.gakkou.net/kou/view/index_305575.html" TargetMode="External"/><Relationship Id="rId1226" Type="http://schemas.openxmlformats.org/officeDocument/2006/relationships/hyperlink" Target="https://www.gakkou.net/kou/view/index_305695.html" TargetMode="External"/><Relationship Id="rId1227" Type="http://schemas.openxmlformats.org/officeDocument/2006/relationships/hyperlink" Target="https://www.gakkou.net/kou/view/index_305588.html" TargetMode="External"/><Relationship Id="rId1228" Type="http://schemas.openxmlformats.org/officeDocument/2006/relationships/hyperlink" Target="https://www.gakkou.net/kou/view/index_305514.html" TargetMode="External"/><Relationship Id="rId1229" Type="http://schemas.openxmlformats.org/officeDocument/2006/relationships/hyperlink" Target="https://www.gakkou.net/kou/view/index_305529.html" TargetMode="External"/><Relationship Id="rId1230" Type="http://schemas.openxmlformats.org/officeDocument/2006/relationships/hyperlink" Target="https://www.gakkou.net/kou/view/index_305598.html" TargetMode="External"/><Relationship Id="rId1231" Type="http://schemas.openxmlformats.org/officeDocument/2006/relationships/hyperlink" Target="https://www.gakkou.net/kou/view/index_305555.html" TargetMode="External"/><Relationship Id="rId1232" Type="http://schemas.openxmlformats.org/officeDocument/2006/relationships/hyperlink" Target="https://www.gakkou.net/kou/view/index_305549.html" TargetMode="External"/><Relationship Id="rId1233" Type="http://schemas.openxmlformats.org/officeDocument/2006/relationships/hyperlink" Target="https://www.gakkou.net/kou/view/index_305610.html" TargetMode="External"/><Relationship Id="rId1234" Type="http://schemas.openxmlformats.org/officeDocument/2006/relationships/hyperlink" Target="https://www.gakkou.net/kou/view/index_305609.html" TargetMode="External"/><Relationship Id="rId1235" Type="http://schemas.openxmlformats.org/officeDocument/2006/relationships/hyperlink" Target="https://www.gakkou.net/kou/view/index_305572.html" TargetMode="External"/><Relationship Id="rId1236" Type="http://schemas.openxmlformats.org/officeDocument/2006/relationships/hyperlink" Target="https://www.gakkou.net/kou/view/index_305518.html" TargetMode="External"/><Relationship Id="rId1237" Type="http://schemas.openxmlformats.org/officeDocument/2006/relationships/hyperlink" Target="https://www.gakkou.net/kou/view/index_305592.html" TargetMode="External"/><Relationship Id="rId1238" Type="http://schemas.openxmlformats.org/officeDocument/2006/relationships/hyperlink" Target="https://www.gakkou.net/kou/view/index_305619.html" TargetMode="External"/><Relationship Id="rId1239" Type="http://schemas.openxmlformats.org/officeDocument/2006/relationships/hyperlink" Target="https://www.gakkou.net/kou/view/index_305683.html" TargetMode="External"/><Relationship Id="rId1240" Type="http://schemas.openxmlformats.org/officeDocument/2006/relationships/hyperlink" Target="https://www.gakkou.net/kou/view/index_305584.html" TargetMode="External"/><Relationship Id="rId1241" Type="http://schemas.openxmlformats.org/officeDocument/2006/relationships/hyperlink" Target="https://www.gakkou.net/kou/view/index_305579.html" TargetMode="External"/><Relationship Id="rId1242" Type="http://schemas.openxmlformats.org/officeDocument/2006/relationships/hyperlink" Target="https://www.gakkou.net/kou/view/index_305513.html" TargetMode="External"/><Relationship Id="rId1243" Type="http://schemas.openxmlformats.org/officeDocument/2006/relationships/hyperlink" Target="https://www.gakkou.net/kou/view/index_305574.html" TargetMode="External"/><Relationship Id="rId1244" Type="http://schemas.openxmlformats.org/officeDocument/2006/relationships/hyperlink" Target="https://www.gakkou.net/kou/view/index_305559.html" TargetMode="External"/><Relationship Id="rId1245" Type="http://schemas.openxmlformats.org/officeDocument/2006/relationships/hyperlink" Target="https://www.gakkou.net/kou/view/index_305675.html" TargetMode="External"/><Relationship Id="rId1246" Type="http://schemas.openxmlformats.org/officeDocument/2006/relationships/hyperlink" Target="https://www.gakkou.net/kou/view/index_305556.html" TargetMode="External"/><Relationship Id="rId1247" Type="http://schemas.openxmlformats.org/officeDocument/2006/relationships/hyperlink" Target="https://www.gakkou.net/kou/view/index_305607.html" TargetMode="External"/><Relationship Id="rId1248" Type="http://schemas.openxmlformats.org/officeDocument/2006/relationships/hyperlink" Target="https://www.gakkou.net/kou/view/index_305594.html" TargetMode="External"/><Relationship Id="rId1249" Type="http://schemas.openxmlformats.org/officeDocument/2006/relationships/hyperlink" Target="https://www.gakkou.net/kou/view/index_305558.html" TargetMode="External"/><Relationship Id="rId1250" Type="http://schemas.openxmlformats.org/officeDocument/2006/relationships/hyperlink" Target="https://www.gakkou.net/kou/view/index_305597.html" TargetMode="External"/><Relationship Id="rId1251" Type="http://schemas.openxmlformats.org/officeDocument/2006/relationships/hyperlink" Target="https://www.gakkou.net/kou/view/index_305552.html" TargetMode="External"/><Relationship Id="rId1252" Type="http://schemas.openxmlformats.org/officeDocument/2006/relationships/hyperlink" Target="https://www.gakkou.net/kou/view/index_305553.html" TargetMode="External"/><Relationship Id="rId1253" Type="http://schemas.openxmlformats.org/officeDocument/2006/relationships/hyperlink" Target="https://www.gakkou.net/kou/view/index_305550.html" TargetMode="External"/><Relationship Id="rId1254" Type="http://schemas.openxmlformats.org/officeDocument/2006/relationships/hyperlink" Target="https://www.gakkou.net/kou/view/index_305617.html" TargetMode="External"/><Relationship Id="rId1255" Type="http://schemas.openxmlformats.org/officeDocument/2006/relationships/hyperlink" Target="https://www.gakkou.net/kou/view/index_305654.html" TargetMode="External"/><Relationship Id="rId1256" Type="http://schemas.openxmlformats.org/officeDocument/2006/relationships/hyperlink" Target="https://www.gakkou.net/kou/view/index_305495.html" TargetMode="External"/><Relationship Id="rId1257" Type="http://schemas.openxmlformats.org/officeDocument/2006/relationships/hyperlink" Target="https://www.gakkou.net/kou/view/index_305504.html" TargetMode="External"/><Relationship Id="rId1258" Type="http://schemas.openxmlformats.org/officeDocument/2006/relationships/hyperlink" Target="https://www.gakkou.net/kou/view/index_305694.html" TargetMode="External"/><Relationship Id="rId1259" Type="http://schemas.openxmlformats.org/officeDocument/2006/relationships/hyperlink" Target="https://www.gakkou.net/kou/view/index_305519.html" TargetMode="External"/><Relationship Id="rId1260" Type="http://schemas.openxmlformats.org/officeDocument/2006/relationships/hyperlink" Target="https://www.gakkou.net/kou/view/index_306717.html" TargetMode="External"/><Relationship Id="rId1261" Type="http://schemas.openxmlformats.org/officeDocument/2006/relationships/hyperlink" Target="https://www.gakkou.net/kou/view/index_305677.html" TargetMode="External"/><Relationship Id="rId1262" Type="http://schemas.openxmlformats.org/officeDocument/2006/relationships/hyperlink" Target="https://www.gakkou.net/kou/view/index_305638.html" TargetMode="External"/><Relationship Id="rId1263" Type="http://schemas.openxmlformats.org/officeDocument/2006/relationships/hyperlink" Target="https://www.gakkou.net/kou/view/index_305684.html" TargetMode="External"/><Relationship Id="rId1264" Type="http://schemas.openxmlformats.org/officeDocument/2006/relationships/hyperlink" Target="https://www.gakkou.net/kou/view/index_305667.html" TargetMode="External"/><Relationship Id="rId1265" Type="http://schemas.openxmlformats.org/officeDocument/2006/relationships/hyperlink" Target="https://www.gakkou.net/kou/view/index_305752.html" TargetMode="External"/><Relationship Id="rId1266" Type="http://schemas.openxmlformats.org/officeDocument/2006/relationships/hyperlink" Target="https://www.gakkou.net/kou/view/index_305759.html" TargetMode="External"/><Relationship Id="rId1267" Type="http://schemas.openxmlformats.org/officeDocument/2006/relationships/hyperlink" Target="https://www.gakkou.net/kou/view/index_305723.html" TargetMode="External"/><Relationship Id="rId1268" Type="http://schemas.openxmlformats.org/officeDocument/2006/relationships/hyperlink" Target="https://www.gakkou.net/kou/view/index_305719.html" TargetMode="External"/><Relationship Id="rId1269" Type="http://schemas.openxmlformats.org/officeDocument/2006/relationships/hyperlink" Target="https://www.gakkou.net/kou/view/index_305718.html" TargetMode="External"/><Relationship Id="rId1270" Type="http://schemas.openxmlformats.org/officeDocument/2006/relationships/hyperlink" Target="https://www.gakkou.net/kou/view/index_305734.html" TargetMode="External"/><Relationship Id="rId1271" Type="http://schemas.openxmlformats.org/officeDocument/2006/relationships/hyperlink" Target="https://www.gakkou.net/kou/view/index_305761.html" TargetMode="External"/><Relationship Id="rId1272" Type="http://schemas.openxmlformats.org/officeDocument/2006/relationships/hyperlink" Target="https://www.gakkou.net/kou/view/index_305721.html" TargetMode="External"/><Relationship Id="rId1273" Type="http://schemas.openxmlformats.org/officeDocument/2006/relationships/hyperlink" Target="https://www.gakkou.net/kou/view/index_306744.html" TargetMode="External"/><Relationship Id="rId1274" Type="http://schemas.openxmlformats.org/officeDocument/2006/relationships/hyperlink" Target="https://www.gakkou.net/kou/view/index_305784.html" TargetMode="External"/><Relationship Id="rId1275" Type="http://schemas.openxmlformats.org/officeDocument/2006/relationships/hyperlink" Target="https://www.gakkou.net/kou/view/index_305798.html" TargetMode="External"/><Relationship Id="rId1276" Type="http://schemas.openxmlformats.org/officeDocument/2006/relationships/hyperlink" Target="https://www.gakkou.net/kou/view/index_305837.html" TargetMode="External"/><Relationship Id="rId1277" Type="http://schemas.openxmlformats.org/officeDocument/2006/relationships/hyperlink" Target="https://www.gakkou.net/kou/view/index_305777.html" TargetMode="External"/><Relationship Id="rId1278" Type="http://schemas.openxmlformats.org/officeDocument/2006/relationships/hyperlink" Target="https://www.gakkou.net/kou/view/index_305827.html" TargetMode="External"/><Relationship Id="rId1279" Type="http://schemas.openxmlformats.org/officeDocument/2006/relationships/hyperlink" Target="https://www.gakkou.net/kou/view/index_305832.html" TargetMode="External"/><Relationship Id="rId1280" Type="http://schemas.openxmlformats.org/officeDocument/2006/relationships/hyperlink" Target="https://www.gakkou.net/kou/view/index_305849.html" TargetMode="External"/><Relationship Id="rId1281" Type="http://schemas.openxmlformats.org/officeDocument/2006/relationships/hyperlink" Target="https://www.gakkou.net/kou/view/index_305836.html" TargetMode="External"/><Relationship Id="rId1282" Type="http://schemas.openxmlformats.org/officeDocument/2006/relationships/hyperlink" Target="https://www.gakkou.net/kou/view/index_305825.html" TargetMode="External"/><Relationship Id="rId1283" Type="http://schemas.openxmlformats.org/officeDocument/2006/relationships/hyperlink" Target="https://www.gakkou.net/kou/view/index_305802.html" TargetMode="External"/><Relationship Id="rId1284" Type="http://schemas.openxmlformats.org/officeDocument/2006/relationships/hyperlink" Target="https://www.gakkou.net/kou/view/index_305793.html" TargetMode="External"/><Relationship Id="rId1285" Type="http://schemas.openxmlformats.org/officeDocument/2006/relationships/hyperlink" Target="https://www.gakkou.net/kou/view/index_306693.html" TargetMode="External"/><Relationship Id="rId1286" Type="http://schemas.openxmlformats.org/officeDocument/2006/relationships/hyperlink" Target="https://www.gakkou.net/kou/view/index_305776.html" TargetMode="External"/><Relationship Id="rId1287" Type="http://schemas.openxmlformats.org/officeDocument/2006/relationships/hyperlink" Target="https://www.gakkou.net/kou/view/index_305833.html" TargetMode="External"/><Relationship Id="rId1288" Type="http://schemas.openxmlformats.org/officeDocument/2006/relationships/hyperlink" Target="https://www.gakkou.net/kou/view/index_305816.html" TargetMode="External"/><Relationship Id="rId1289" Type="http://schemas.openxmlformats.org/officeDocument/2006/relationships/hyperlink" Target="https://www.gakkou.net/kou/view/index_305817.html" TargetMode="External"/><Relationship Id="rId1290" Type="http://schemas.openxmlformats.org/officeDocument/2006/relationships/hyperlink" Target="https://www.gakkou.net/kou/view/index_305778.html" TargetMode="External"/><Relationship Id="rId1291" Type="http://schemas.openxmlformats.org/officeDocument/2006/relationships/hyperlink" Target="https://www.gakkou.net/kou/view/index_305781.html" TargetMode="External"/><Relationship Id="rId1292" Type="http://schemas.openxmlformats.org/officeDocument/2006/relationships/hyperlink" Target="https://www.gakkou.net/kou/view/index_305783.html" TargetMode="External"/><Relationship Id="rId1293" Type="http://schemas.openxmlformats.org/officeDocument/2006/relationships/hyperlink" Target="https://www.gakkou.net/kou/view/index_305788.html" TargetMode="External"/><Relationship Id="rId1294" Type="http://schemas.openxmlformats.org/officeDocument/2006/relationships/hyperlink" Target="https://www.gakkou.net/kou/view/index_305801.html" TargetMode="External"/><Relationship Id="rId1295" Type="http://schemas.openxmlformats.org/officeDocument/2006/relationships/hyperlink" Target="https://www.gakkou.net/kou/view/index_305815.html" TargetMode="External"/><Relationship Id="rId1296" Type="http://schemas.openxmlformats.org/officeDocument/2006/relationships/hyperlink" Target="https://www.gakkou.net/kou/view/index_305924.html" TargetMode="External"/><Relationship Id="rId1297" Type="http://schemas.openxmlformats.org/officeDocument/2006/relationships/hyperlink" Target="https://www.gakkou.net/kou/view/index_305906.html" TargetMode="External"/><Relationship Id="rId1298" Type="http://schemas.openxmlformats.org/officeDocument/2006/relationships/hyperlink" Target="https://www.gakkou.net/kou/view/index_305885.html" TargetMode="External"/><Relationship Id="rId1299" Type="http://schemas.openxmlformats.org/officeDocument/2006/relationships/hyperlink" Target="https://www.gakkou.net/kou/view/index_305905.html" TargetMode="External"/><Relationship Id="rId1300" Type="http://schemas.openxmlformats.org/officeDocument/2006/relationships/hyperlink" Target="https://www.gakkou.net/kou/view/index_305908.html" TargetMode="External"/><Relationship Id="rId1301" Type="http://schemas.openxmlformats.org/officeDocument/2006/relationships/hyperlink" Target="https://www.gakkou.net/kou/view/index_305901.html" TargetMode="External"/><Relationship Id="rId1302" Type="http://schemas.openxmlformats.org/officeDocument/2006/relationships/hyperlink" Target="https://www.gakkou.net/kou/view/index_305873.html" TargetMode="External"/><Relationship Id="rId1303" Type="http://schemas.openxmlformats.org/officeDocument/2006/relationships/hyperlink" Target="https://www.gakkou.net/kou/view/index_306546.html" TargetMode="External"/><Relationship Id="rId1304" Type="http://schemas.openxmlformats.org/officeDocument/2006/relationships/hyperlink" Target="https://www.gakkou.net/kou/view/index_305871.html" TargetMode="External"/><Relationship Id="rId1305" Type="http://schemas.openxmlformats.org/officeDocument/2006/relationships/hyperlink" Target="https://www.gakkou.net/kou/view/index_305897.html" TargetMode="External"/><Relationship Id="rId1306" Type="http://schemas.openxmlformats.org/officeDocument/2006/relationships/hyperlink" Target="https://www.gakkou.net/kou/view/index_305907.html" TargetMode="External"/><Relationship Id="rId1307" Type="http://schemas.openxmlformats.org/officeDocument/2006/relationships/hyperlink" Target="https://www.gakkou.net/kou/view/index_305936.html" TargetMode="External"/><Relationship Id="rId1308" Type="http://schemas.openxmlformats.org/officeDocument/2006/relationships/hyperlink" Target="https://www.gakkou.net/kou/view/index_305913.html" TargetMode="External"/><Relationship Id="rId1309" Type="http://schemas.openxmlformats.org/officeDocument/2006/relationships/hyperlink" Target="https://www.gakkou.net/kou/view/index_305912.html" TargetMode="External"/><Relationship Id="rId1310" Type="http://schemas.openxmlformats.org/officeDocument/2006/relationships/hyperlink" Target="https://www.gakkou.net/kou/view/index_305881.html" TargetMode="External"/><Relationship Id="rId1311" Type="http://schemas.openxmlformats.org/officeDocument/2006/relationships/hyperlink" Target="https://www.gakkou.net/kou/view/index_305949.html" TargetMode="External"/><Relationship Id="rId1312" Type="http://schemas.openxmlformats.org/officeDocument/2006/relationships/hyperlink" Target="https://www.gakkou.net/kou/view/index_305926.html" TargetMode="External"/><Relationship Id="rId1313" Type="http://schemas.openxmlformats.org/officeDocument/2006/relationships/hyperlink" Target="https://www.gakkou.net/kou/view/index_305911.html" TargetMode="External"/><Relationship Id="rId1314" Type="http://schemas.openxmlformats.org/officeDocument/2006/relationships/hyperlink" Target="https://www.gakkou.net/kou/view/index_305910.html" TargetMode="External"/><Relationship Id="rId1315" Type="http://schemas.openxmlformats.org/officeDocument/2006/relationships/hyperlink" Target="https://www.gakkou.net/kou/view/index_306657.html" TargetMode="External"/><Relationship Id="rId1316" Type="http://schemas.openxmlformats.org/officeDocument/2006/relationships/hyperlink" Target="https://www.gakkou.net/kou/view/index_305872.html" TargetMode="External"/><Relationship Id="rId1317" Type="http://schemas.openxmlformats.org/officeDocument/2006/relationships/hyperlink" Target="https://www.gakkou.net/kou/view/index_305933.html" TargetMode="External"/><Relationship Id="rId1318" Type="http://schemas.openxmlformats.org/officeDocument/2006/relationships/hyperlink" Target="https://www.gakkou.net/kou/view/index_306494.html" TargetMode="External"/><Relationship Id="rId1319" Type="http://schemas.openxmlformats.org/officeDocument/2006/relationships/hyperlink" Target="https://www.gakkou.net/kou/view/index_305875.html" TargetMode="External"/><Relationship Id="rId1320" Type="http://schemas.openxmlformats.org/officeDocument/2006/relationships/hyperlink" Target="https://www.gakkou.net/kou/view/index_306033.html" TargetMode="External"/><Relationship Id="rId1321" Type="http://schemas.openxmlformats.org/officeDocument/2006/relationships/hyperlink" Target="https://www.gakkou.net/kou/view/index_305980.html" TargetMode="External"/><Relationship Id="rId1322" Type="http://schemas.openxmlformats.org/officeDocument/2006/relationships/hyperlink" Target="https://www.gakkou.net/kou/view/index_305968.html" TargetMode="External"/><Relationship Id="rId1323" Type="http://schemas.openxmlformats.org/officeDocument/2006/relationships/hyperlink" Target="https://www.gakkou.net/kou/view/index_305977.html" TargetMode="External"/><Relationship Id="rId1324" Type="http://schemas.openxmlformats.org/officeDocument/2006/relationships/hyperlink" Target="https://www.gakkou.net/kou/view/index_305964.html" TargetMode="External"/><Relationship Id="rId1325" Type="http://schemas.openxmlformats.org/officeDocument/2006/relationships/hyperlink" Target="https://www.gakkou.net/kou/view/index_306028.html" TargetMode="External"/><Relationship Id="rId1326" Type="http://schemas.openxmlformats.org/officeDocument/2006/relationships/hyperlink" Target="https://www.gakkou.net/kou/view/index_306027.html" TargetMode="External"/><Relationship Id="rId1327" Type="http://schemas.openxmlformats.org/officeDocument/2006/relationships/hyperlink" Target="https://www.gakkou.net/kou/view/index_306021.html" TargetMode="External"/><Relationship Id="rId1328" Type="http://schemas.openxmlformats.org/officeDocument/2006/relationships/hyperlink" Target="https://www.gakkou.net/kou/view/index_305993.html" TargetMode="External"/><Relationship Id="rId1329" Type="http://schemas.openxmlformats.org/officeDocument/2006/relationships/hyperlink" Target="https://www.gakkou.net/kou/view/index_305976.html" TargetMode="External"/><Relationship Id="rId1330" Type="http://schemas.openxmlformats.org/officeDocument/2006/relationships/hyperlink" Target="https://www.gakkou.net/kou/view/index_306007.html" TargetMode="External"/><Relationship Id="rId1331" Type="http://schemas.openxmlformats.org/officeDocument/2006/relationships/hyperlink" Target="https://www.gakkou.net/kou/view/index_306005.html" TargetMode="External"/><Relationship Id="rId1332" Type="http://schemas.openxmlformats.org/officeDocument/2006/relationships/hyperlink" Target="https://www.gakkou.net/kou/view/index_305996.html" TargetMode="External"/><Relationship Id="rId1333" Type="http://schemas.openxmlformats.org/officeDocument/2006/relationships/hyperlink" Target="https://www.gakkou.net/kou/view/index_305974.html" TargetMode="External"/><Relationship Id="rId1334" Type="http://schemas.openxmlformats.org/officeDocument/2006/relationships/hyperlink" Target="https://www.gakkou.net/kou/view/index_306107.html" TargetMode="External"/><Relationship Id="rId1335" Type="http://schemas.openxmlformats.org/officeDocument/2006/relationships/hyperlink" Target="https://www.gakkou.net/kou/view/index_306114.html" TargetMode="External"/><Relationship Id="rId1336" Type="http://schemas.openxmlformats.org/officeDocument/2006/relationships/hyperlink" Target="https://www.gakkou.net/kou/view/index_306078.html" TargetMode="External"/><Relationship Id="rId1337" Type="http://schemas.openxmlformats.org/officeDocument/2006/relationships/hyperlink" Target="https://www.gakkou.net/kou/view/index_306100.html" TargetMode="External"/><Relationship Id="rId1338" Type="http://schemas.openxmlformats.org/officeDocument/2006/relationships/hyperlink" Target="https://www.gakkou.net/kou/view/index_306105.html" TargetMode="External"/><Relationship Id="rId1339" Type="http://schemas.openxmlformats.org/officeDocument/2006/relationships/hyperlink" Target="https://www.gakkou.net/kou/view/index_306112.html" TargetMode="External"/><Relationship Id="rId1340" Type="http://schemas.openxmlformats.org/officeDocument/2006/relationships/hyperlink" Target="https://www.gakkou.net/kou/view/index_306056.html" TargetMode="External"/><Relationship Id="rId1341" Type="http://schemas.openxmlformats.org/officeDocument/2006/relationships/hyperlink" Target="https://www.gakkou.net/kou/view/index_306072.html" TargetMode="External"/><Relationship Id="rId1342" Type="http://schemas.openxmlformats.org/officeDocument/2006/relationships/hyperlink" Target="https://www.gakkou.net/kou/view/index_306060.html" TargetMode="External"/><Relationship Id="rId1343" Type="http://schemas.openxmlformats.org/officeDocument/2006/relationships/hyperlink" Target="https://www.gakkou.net/kou/view/index_306063.html" TargetMode="External"/><Relationship Id="rId1344" Type="http://schemas.openxmlformats.org/officeDocument/2006/relationships/hyperlink" Target="https://www.gakkou.net/kou/view/index_306095.html" TargetMode="External"/><Relationship Id="rId1345" Type="http://schemas.openxmlformats.org/officeDocument/2006/relationships/hyperlink" Target="https://www.gakkou.net/kou/view/index_306092.html" TargetMode="External"/><Relationship Id="rId1346" Type="http://schemas.openxmlformats.org/officeDocument/2006/relationships/hyperlink" Target="https://www.gakkou.net/kou/view/index_306059.html" TargetMode="External"/><Relationship Id="rId1347" Type="http://schemas.openxmlformats.org/officeDocument/2006/relationships/hyperlink" Target="https://www.gakkou.net/kou/view/index_306061.html" TargetMode="External"/><Relationship Id="rId1348" Type="http://schemas.openxmlformats.org/officeDocument/2006/relationships/hyperlink" Target="https://www.gakkou.net/kou/view/index_306054.html" TargetMode="External"/><Relationship Id="rId1349" Type="http://schemas.openxmlformats.org/officeDocument/2006/relationships/hyperlink" Target="https://www.gakkou.net/kou/view/index_306122.html" TargetMode="External"/><Relationship Id="rId1350" Type="http://schemas.openxmlformats.org/officeDocument/2006/relationships/hyperlink" Target="https://www.gakkou.net/kou/view/index_306198.html" TargetMode="External"/><Relationship Id="rId1351" Type="http://schemas.openxmlformats.org/officeDocument/2006/relationships/hyperlink" Target="https://www.gakkou.net/kou/view/index_306182.html" TargetMode="External"/><Relationship Id="rId1352" Type="http://schemas.openxmlformats.org/officeDocument/2006/relationships/hyperlink" Target="https://www.gakkou.net/kou/view/index_306208.html" TargetMode="External"/><Relationship Id="rId1353" Type="http://schemas.openxmlformats.org/officeDocument/2006/relationships/hyperlink" Target="https://www.gakkou.net/kou/view/index_306126.html" TargetMode="External"/><Relationship Id="rId1354" Type="http://schemas.openxmlformats.org/officeDocument/2006/relationships/hyperlink" Target="https://www.gakkou.net/kou/view/index_306431.html" TargetMode="External"/><Relationship Id="rId1355" Type="http://schemas.openxmlformats.org/officeDocument/2006/relationships/hyperlink" Target="https://www.gakkou.net/kou/view/index_306123.html" TargetMode="External"/><Relationship Id="rId1356" Type="http://schemas.openxmlformats.org/officeDocument/2006/relationships/hyperlink" Target="https://www.gakkou.net/kou/view/index_306131.html" TargetMode="External"/><Relationship Id="rId1357" Type="http://schemas.openxmlformats.org/officeDocument/2006/relationships/hyperlink" Target="https://www.gakkou.net/kou/view/index_306209.html" TargetMode="External"/><Relationship Id="rId1358" Type="http://schemas.openxmlformats.org/officeDocument/2006/relationships/hyperlink" Target="https://www.gakkou.net/kou/view/index_306124.html" TargetMode="External"/><Relationship Id="rId1359" Type="http://schemas.openxmlformats.org/officeDocument/2006/relationships/hyperlink" Target="https://www.gakkou.net/kou/view/index_306213.html" TargetMode="External"/><Relationship Id="rId1360" Type="http://schemas.openxmlformats.org/officeDocument/2006/relationships/hyperlink" Target="https://www.gakkou.net/kou/view/index_306158.html" TargetMode="External"/><Relationship Id="rId1361" Type="http://schemas.openxmlformats.org/officeDocument/2006/relationships/hyperlink" Target="https://www.gakkou.net/kou/view/index_306184.html" TargetMode="External"/><Relationship Id="rId1362" Type="http://schemas.openxmlformats.org/officeDocument/2006/relationships/hyperlink" Target="https://www.gakkou.net/kou/view/index_306130.html" TargetMode="External"/><Relationship Id="rId1363" Type="http://schemas.openxmlformats.org/officeDocument/2006/relationships/hyperlink" Target="https://www.gakkou.net/kou/view/index_306226.html" TargetMode="External"/><Relationship Id="rId1364" Type="http://schemas.openxmlformats.org/officeDocument/2006/relationships/hyperlink" Target="https://www.gakkou.net/kou/view/index_306127.html" TargetMode="External"/><Relationship Id="rId1365" Type="http://schemas.openxmlformats.org/officeDocument/2006/relationships/hyperlink" Target="https://www.gakkou.net/kou/view/index_306149.html" TargetMode="External"/><Relationship Id="rId1366" Type="http://schemas.openxmlformats.org/officeDocument/2006/relationships/hyperlink" Target="https://www.gakkou.net/kou/view/index_306190.html" TargetMode="External"/><Relationship Id="rId1367" Type="http://schemas.openxmlformats.org/officeDocument/2006/relationships/hyperlink" Target="https://www.gakkou.net/kou/view/index_306492.html" TargetMode="External"/><Relationship Id="rId1368" Type="http://schemas.openxmlformats.org/officeDocument/2006/relationships/hyperlink" Target="https://www.gakkou.net/kou/view/index_306132.html" TargetMode="External"/><Relationship Id="rId1369" Type="http://schemas.openxmlformats.org/officeDocument/2006/relationships/hyperlink" Target="https://www.gakkou.net/kou/view/index_306220.html" TargetMode="External"/><Relationship Id="rId1370" Type="http://schemas.openxmlformats.org/officeDocument/2006/relationships/hyperlink" Target="https://www.gakkou.net/kou/view/index_306173.html" TargetMode="External"/><Relationship Id="rId1371" Type="http://schemas.openxmlformats.org/officeDocument/2006/relationships/hyperlink" Target="https://www.gakkou.net/kou/view/index_306790.html" TargetMode="External"/><Relationship Id="rId1372" Type="http://schemas.openxmlformats.org/officeDocument/2006/relationships/hyperlink" Target="https://www.gakkou.net/kou/view/index_306767.html" TargetMode="External"/><Relationship Id="rId1373" Type="http://schemas.openxmlformats.org/officeDocument/2006/relationships/hyperlink" Target="https://www.gakkou.net/kou/view/index_306475.html" TargetMode="External"/><Relationship Id="rId1374" Type="http://schemas.openxmlformats.org/officeDocument/2006/relationships/hyperlink" Target="https://www.gakkou.net/kou/view/index_306267.html" TargetMode="External"/><Relationship Id="rId1375" Type="http://schemas.openxmlformats.org/officeDocument/2006/relationships/hyperlink" Target="https://www.gakkou.net/kou/view/index_306262.html" TargetMode="External"/><Relationship Id="rId1376" Type="http://schemas.openxmlformats.org/officeDocument/2006/relationships/hyperlink" Target="https://www.gakkou.net/kou/view/index_306251.html" TargetMode="External"/><Relationship Id="rId1377" Type="http://schemas.openxmlformats.org/officeDocument/2006/relationships/hyperlink" Target="https://www.gakkou.net/kou/view/index_306786.html" TargetMode="External"/><Relationship Id="rId1378" Type="http://schemas.openxmlformats.org/officeDocument/2006/relationships/hyperlink" Target="https://www.gakkou.net/kou/view/index_3064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382"/>
  <sheetViews>
    <sheetView tabSelected="1" workbookViewId="0">
      <pane xSplit="5" ySplit="4" topLeftCell="F5" activePane="bottomRight" state="frozen"/>
      <selection pane="topRight" activeCell="F1" sqref="F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0.7109375" customWidth="1"/>
    <col min="3" max="3" width="18.7109375" customWidth="1"/>
    <col min="4" max="4" width="38.7109375" customWidth="1"/>
    <col min="5" max="5" width="15.7109375" customWidth="1"/>
    <col min="6" max="6" width="9.7109375" customWidth="1"/>
    <col min="7" max="7" width="16.7109375" customWidth="1"/>
    <col min="8" max="9" width="12.7109375" customWidth="1"/>
    <col min="10" max="10" width="16.7109375" customWidth="1"/>
    <col min="11" max="11" width="12.7109375" customWidth="1"/>
    <col min="12" max="12" width="30.7109375" customWidth="1"/>
    <col min="13" max="13" width="46.7109375" customWidth="1"/>
    <col min="14" max="14" width="40.7109375" customWidth="1"/>
    <col min="15" max="15" width="12.7109375" customWidth="1"/>
  </cols>
  <sheetData>
    <row r="1" spans="1:15">
      <c r="A1" s="1" t="s">
        <v>0</v>
      </c>
    </row>
    <row r="2" spans="1:15">
      <c r="A2" s="2" t="s">
        <v>1</v>
      </c>
    </row>
    <row r="4" spans="1:1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spans="1:15">
      <c r="A5" s="4">
        <v>1</v>
      </c>
      <c r="B5" s="5" t="s">
        <v>17</v>
      </c>
      <c r="C5" s="5" t="s">
        <v>18</v>
      </c>
      <c r="D5" s="5" t="s">
        <v>19</v>
      </c>
      <c r="E5" s="6" t="s">
        <v>20</v>
      </c>
      <c r="F5" s="7" t="s">
        <v>21</v>
      </c>
      <c r="G5" s="5" t="s">
        <v>22</v>
      </c>
      <c r="H5" s="8"/>
      <c r="I5" s="9"/>
      <c r="J5" s="9" t="s">
        <v>23</v>
      </c>
      <c r="K5" s="8"/>
      <c r="L5" s="9"/>
      <c r="M5" s="10" t="s">
        <v>24</v>
      </c>
      <c r="N5" s="11" t="s">
        <v>25</v>
      </c>
      <c r="O5" s="12" t="s">
        <v>26</v>
      </c>
    </row>
    <row r="6" spans="1:15">
      <c r="A6" s="4">
        <v>2</v>
      </c>
      <c r="B6" s="5" t="s">
        <v>17</v>
      </c>
      <c r="C6" s="5" t="s">
        <v>18</v>
      </c>
      <c r="D6" s="5" t="s">
        <v>27</v>
      </c>
      <c r="E6" s="6" t="s">
        <v>28</v>
      </c>
      <c r="F6" s="7" t="s">
        <v>21</v>
      </c>
      <c r="G6" s="5" t="s">
        <v>29</v>
      </c>
      <c r="H6" s="8"/>
      <c r="I6" s="9"/>
      <c r="J6" s="9" t="s">
        <v>23</v>
      </c>
      <c r="K6" s="8"/>
      <c r="L6" s="9"/>
      <c r="M6" s="10" t="s">
        <v>30</v>
      </c>
      <c r="N6" s="11" t="s">
        <v>31</v>
      </c>
      <c r="O6" s="12" t="s">
        <v>26</v>
      </c>
    </row>
    <row r="7" spans="1:15">
      <c r="A7" s="4">
        <v>3</v>
      </c>
      <c r="B7" s="5" t="s">
        <v>17</v>
      </c>
      <c r="C7" s="5" t="s">
        <v>18</v>
      </c>
      <c r="D7" s="5" t="s">
        <v>32</v>
      </c>
      <c r="E7" s="6" t="s">
        <v>33</v>
      </c>
      <c r="F7" s="13" t="s">
        <v>34</v>
      </c>
      <c r="G7" s="5" t="s">
        <v>22</v>
      </c>
      <c r="H7" s="8"/>
      <c r="I7" s="9"/>
      <c r="J7" s="9" t="s">
        <v>23</v>
      </c>
      <c r="K7" s="8"/>
      <c r="L7" s="9"/>
      <c r="M7" s="10" t="s">
        <v>35</v>
      </c>
      <c r="N7" s="11" t="s">
        <v>36</v>
      </c>
      <c r="O7" s="12" t="s">
        <v>26</v>
      </c>
    </row>
    <row r="8" spans="1:15">
      <c r="A8" s="4">
        <v>4</v>
      </c>
      <c r="B8" s="5" t="s">
        <v>17</v>
      </c>
      <c r="C8" s="5" t="s">
        <v>18</v>
      </c>
      <c r="D8" s="5" t="s">
        <v>37</v>
      </c>
      <c r="E8" s="6" t="s">
        <v>38</v>
      </c>
      <c r="F8" s="7" t="s">
        <v>21</v>
      </c>
      <c r="G8" s="5" t="s">
        <v>39</v>
      </c>
      <c r="H8" s="8"/>
      <c r="I8" s="9"/>
      <c r="J8" s="9" t="s">
        <v>23</v>
      </c>
      <c r="K8" s="8"/>
      <c r="L8" s="9"/>
      <c r="M8" s="10" t="s">
        <v>40</v>
      </c>
      <c r="N8" s="11" t="s">
        <v>41</v>
      </c>
      <c r="O8" s="12" t="s">
        <v>26</v>
      </c>
    </row>
    <row r="9" spans="1:15">
      <c r="A9" s="4">
        <v>5</v>
      </c>
      <c r="B9" s="5" t="s">
        <v>17</v>
      </c>
      <c r="C9" s="5" t="s">
        <v>18</v>
      </c>
      <c r="D9" s="5" t="s">
        <v>42</v>
      </c>
      <c r="E9" s="6" t="s">
        <v>43</v>
      </c>
      <c r="F9" s="7" t="s">
        <v>21</v>
      </c>
      <c r="G9" s="5" t="s">
        <v>22</v>
      </c>
      <c r="H9" s="8"/>
      <c r="I9" s="9"/>
      <c r="J9" s="9" t="s">
        <v>23</v>
      </c>
      <c r="K9" s="8"/>
      <c r="L9" s="9"/>
      <c r="M9" s="10" t="s">
        <v>44</v>
      </c>
      <c r="N9" s="11" t="s">
        <v>45</v>
      </c>
      <c r="O9" s="12" t="s">
        <v>26</v>
      </c>
    </row>
    <row r="10" spans="1:15">
      <c r="A10" s="4">
        <v>6</v>
      </c>
      <c r="B10" s="5" t="s">
        <v>17</v>
      </c>
      <c r="C10" s="5" t="s">
        <v>46</v>
      </c>
      <c r="D10" s="5" t="s">
        <v>47</v>
      </c>
      <c r="E10" s="6" t="s">
        <v>48</v>
      </c>
      <c r="F10" s="7" t="s">
        <v>21</v>
      </c>
      <c r="G10" s="5" t="s">
        <v>29</v>
      </c>
      <c r="H10" s="8"/>
      <c r="I10" s="9"/>
      <c r="J10" s="9" t="s">
        <v>23</v>
      </c>
      <c r="K10" s="8"/>
      <c r="L10" s="9"/>
      <c r="M10" s="10" t="s">
        <v>49</v>
      </c>
      <c r="N10" s="11" t="s">
        <v>50</v>
      </c>
      <c r="O10" s="12" t="s">
        <v>26</v>
      </c>
    </row>
    <row r="11" spans="1:15">
      <c r="A11" s="4">
        <v>7</v>
      </c>
      <c r="B11" s="5" t="s">
        <v>17</v>
      </c>
      <c r="C11" s="5" t="s">
        <v>51</v>
      </c>
      <c r="D11" s="5" t="s">
        <v>52</v>
      </c>
      <c r="E11" s="6" t="s">
        <v>53</v>
      </c>
      <c r="F11" s="13" t="s">
        <v>34</v>
      </c>
      <c r="G11" s="5" t="s">
        <v>22</v>
      </c>
      <c r="H11" s="8"/>
      <c r="I11" s="9"/>
      <c r="J11" s="9" t="s">
        <v>23</v>
      </c>
      <c r="K11" s="8"/>
      <c r="L11" s="9"/>
      <c r="M11" s="10" t="s">
        <v>54</v>
      </c>
      <c r="N11" s="11" t="s">
        <v>55</v>
      </c>
      <c r="O11" s="12" t="s">
        <v>26</v>
      </c>
    </row>
    <row r="12" spans="1:15">
      <c r="A12" s="4">
        <v>8</v>
      </c>
      <c r="B12" s="5" t="s">
        <v>17</v>
      </c>
      <c r="C12" s="5" t="s">
        <v>56</v>
      </c>
      <c r="D12" s="5" t="s">
        <v>57</v>
      </c>
      <c r="E12" s="6" t="s">
        <v>58</v>
      </c>
      <c r="F12" s="7" t="s">
        <v>21</v>
      </c>
      <c r="G12" s="5" t="s">
        <v>22</v>
      </c>
      <c r="H12" s="8"/>
      <c r="I12" s="9"/>
      <c r="J12" s="9" t="s">
        <v>23</v>
      </c>
      <c r="K12" s="8"/>
      <c r="L12" s="9"/>
      <c r="M12" s="10" t="s">
        <v>59</v>
      </c>
      <c r="N12" s="11" t="s">
        <v>60</v>
      </c>
      <c r="O12" s="12" t="s">
        <v>26</v>
      </c>
    </row>
    <row r="13" spans="1:15">
      <c r="A13" s="4">
        <v>9</v>
      </c>
      <c r="B13" s="5" t="s">
        <v>17</v>
      </c>
      <c r="C13" s="5" t="s">
        <v>56</v>
      </c>
      <c r="D13" s="5" t="s">
        <v>61</v>
      </c>
      <c r="E13" s="6" t="s">
        <v>62</v>
      </c>
      <c r="F13" s="7" t="s">
        <v>21</v>
      </c>
      <c r="G13" s="5" t="s">
        <v>22</v>
      </c>
      <c r="H13" s="8"/>
      <c r="I13" s="9"/>
      <c r="J13" s="9" t="s">
        <v>23</v>
      </c>
      <c r="K13" s="8"/>
      <c r="L13" s="9"/>
      <c r="M13" s="10" t="s">
        <v>63</v>
      </c>
      <c r="N13" s="11" t="s">
        <v>64</v>
      </c>
      <c r="O13" s="12" t="s">
        <v>26</v>
      </c>
    </row>
    <row r="14" spans="1:15">
      <c r="A14" s="4">
        <v>10</v>
      </c>
      <c r="B14" s="5" t="s">
        <v>17</v>
      </c>
      <c r="C14" s="5" t="s">
        <v>65</v>
      </c>
      <c r="D14" s="5" t="s">
        <v>66</v>
      </c>
      <c r="E14" s="6" t="s">
        <v>67</v>
      </c>
      <c r="F14" s="13" t="s">
        <v>34</v>
      </c>
      <c r="G14" s="5" t="s">
        <v>22</v>
      </c>
      <c r="H14" s="8"/>
      <c r="I14" s="9"/>
      <c r="J14" s="9" t="s">
        <v>23</v>
      </c>
      <c r="K14" s="8"/>
      <c r="L14" s="9"/>
      <c r="M14" s="10" t="s">
        <v>68</v>
      </c>
      <c r="N14" s="11" t="s">
        <v>69</v>
      </c>
      <c r="O14" s="12" t="s">
        <v>26</v>
      </c>
    </row>
    <row r="15" spans="1:15">
      <c r="A15" s="4">
        <v>11</v>
      </c>
      <c r="B15" s="5" t="s">
        <v>17</v>
      </c>
      <c r="C15" s="5" t="s">
        <v>65</v>
      </c>
      <c r="D15" s="5" t="s">
        <v>70</v>
      </c>
      <c r="E15" s="6" t="s">
        <v>71</v>
      </c>
      <c r="F15" s="7" t="s">
        <v>21</v>
      </c>
      <c r="G15" s="5" t="s">
        <v>22</v>
      </c>
      <c r="H15" s="8"/>
      <c r="I15" s="9"/>
      <c r="J15" s="9" t="s">
        <v>23</v>
      </c>
      <c r="K15" s="8"/>
      <c r="L15" s="9"/>
      <c r="M15" s="10" t="s">
        <v>72</v>
      </c>
      <c r="N15" s="11" t="s">
        <v>73</v>
      </c>
      <c r="O15" s="12" t="s">
        <v>26</v>
      </c>
    </row>
    <row r="16" spans="1:15">
      <c r="A16" s="4">
        <v>12</v>
      </c>
      <c r="B16" s="5" t="s">
        <v>17</v>
      </c>
      <c r="C16" s="5" t="s">
        <v>74</v>
      </c>
      <c r="D16" s="5" t="s">
        <v>75</v>
      </c>
      <c r="E16" s="6" t="s">
        <v>76</v>
      </c>
      <c r="F16" s="13" t="s">
        <v>34</v>
      </c>
      <c r="G16" s="5" t="s">
        <v>22</v>
      </c>
      <c r="H16" s="8"/>
      <c r="I16" s="9"/>
      <c r="J16" s="9" t="s">
        <v>23</v>
      </c>
      <c r="K16" s="8"/>
      <c r="L16" s="9"/>
      <c r="M16" s="10" t="s">
        <v>77</v>
      </c>
      <c r="N16" s="11" t="s">
        <v>78</v>
      </c>
      <c r="O16" s="12" t="s">
        <v>26</v>
      </c>
    </row>
    <row r="17" spans="1:15">
      <c r="A17" s="4">
        <v>13</v>
      </c>
      <c r="B17" s="5" t="s">
        <v>17</v>
      </c>
      <c r="C17" s="5" t="s">
        <v>79</v>
      </c>
      <c r="D17" s="5" t="s">
        <v>80</v>
      </c>
      <c r="E17" s="6" t="s">
        <v>81</v>
      </c>
      <c r="F17" s="7" t="s">
        <v>21</v>
      </c>
      <c r="G17" s="5" t="s">
        <v>22</v>
      </c>
      <c r="H17" s="8"/>
      <c r="I17" s="9"/>
      <c r="J17" s="9" t="s">
        <v>23</v>
      </c>
      <c r="K17" s="8"/>
      <c r="L17" s="9"/>
      <c r="M17" s="10" t="s">
        <v>82</v>
      </c>
      <c r="N17" s="11" t="s">
        <v>83</v>
      </c>
      <c r="O17" s="12" t="s">
        <v>26</v>
      </c>
    </row>
    <row r="18" spans="1:15">
      <c r="A18" s="4">
        <v>14</v>
      </c>
      <c r="B18" s="5" t="s">
        <v>17</v>
      </c>
      <c r="C18" s="5" t="s">
        <v>84</v>
      </c>
      <c r="D18" s="5" t="s">
        <v>85</v>
      </c>
      <c r="E18" s="6" t="s">
        <v>86</v>
      </c>
      <c r="F18" s="13" t="s">
        <v>34</v>
      </c>
      <c r="G18" s="5" t="s">
        <v>22</v>
      </c>
      <c r="H18" s="8"/>
      <c r="I18" s="9"/>
      <c r="J18" s="9" t="s">
        <v>23</v>
      </c>
      <c r="K18" s="8"/>
      <c r="L18" s="9"/>
      <c r="M18" s="10" t="s">
        <v>87</v>
      </c>
      <c r="N18" s="11" t="s">
        <v>88</v>
      </c>
      <c r="O18" s="12" t="s">
        <v>26</v>
      </c>
    </row>
    <row r="19" spans="1:15">
      <c r="A19" s="4">
        <v>15</v>
      </c>
      <c r="B19" s="5" t="s">
        <v>17</v>
      </c>
      <c r="C19" s="5" t="s">
        <v>89</v>
      </c>
      <c r="D19" s="5" t="s">
        <v>90</v>
      </c>
      <c r="E19" s="6" t="s">
        <v>91</v>
      </c>
      <c r="F19" s="13" t="s">
        <v>34</v>
      </c>
      <c r="G19" s="5" t="s">
        <v>22</v>
      </c>
      <c r="H19" s="8"/>
      <c r="I19" s="9"/>
      <c r="J19" s="9" t="s">
        <v>23</v>
      </c>
      <c r="K19" s="8"/>
      <c r="L19" s="9"/>
      <c r="M19" s="10" t="s">
        <v>77</v>
      </c>
      <c r="N19" s="11" t="s">
        <v>92</v>
      </c>
      <c r="O19" s="12" t="s">
        <v>26</v>
      </c>
    </row>
    <row r="20" spans="1:15">
      <c r="A20" s="4">
        <v>16</v>
      </c>
      <c r="B20" s="5" t="s">
        <v>17</v>
      </c>
      <c r="C20" s="5" t="s">
        <v>93</v>
      </c>
      <c r="D20" s="5" t="s">
        <v>94</v>
      </c>
      <c r="E20" s="6" t="s">
        <v>95</v>
      </c>
      <c r="F20" s="7" t="s">
        <v>21</v>
      </c>
      <c r="G20" s="5" t="s">
        <v>29</v>
      </c>
      <c r="H20" s="8"/>
      <c r="I20" s="9"/>
      <c r="J20" s="9" t="s">
        <v>23</v>
      </c>
      <c r="K20" s="8"/>
      <c r="L20" s="9"/>
      <c r="M20" s="10" t="s">
        <v>96</v>
      </c>
      <c r="N20" s="11" t="s">
        <v>97</v>
      </c>
      <c r="O20" s="12" t="s">
        <v>26</v>
      </c>
    </row>
    <row r="21" spans="1:15">
      <c r="A21" s="4">
        <v>17</v>
      </c>
      <c r="B21" s="5" t="s">
        <v>17</v>
      </c>
      <c r="C21" s="5" t="s">
        <v>93</v>
      </c>
      <c r="D21" s="5" t="s">
        <v>98</v>
      </c>
      <c r="E21" s="6" t="s">
        <v>99</v>
      </c>
      <c r="F21" s="7" t="s">
        <v>21</v>
      </c>
      <c r="G21" s="5" t="s">
        <v>22</v>
      </c>
      <c r="H21" s="8"/>
      <c r="I21" s="9"/>
      <c r="J21" s="9" t="s">
        <v>23</v>
      </c>
      <c r="K21" s="8"/>
      <c r="L21" s="9"/>
      <c r="M21" s="10" t="s">
        <v>100</v>
      </c>
      <c r="N21" s="11" t="s">
        <v>101</v>
      </c>
      <c r="O21" s="12" t="s">
        <v>26</v>
      </c>
    </row>
    <row r="22" spans="1:15">
      <c r="A22" s="4">
        <v>18</v>
      </c>
      <c r="B22" s="5" t="s">
        <v>17</v>
      </c>
      <c r="C22" s="5" t="s">
        <v>102</v>
      </c>
      <c r="D22" s="5" t="s">
        <v>103</v>
      </c>
      <c r="E22" s="6" t="s">
        <v>104</v>
      </c>
      <c r="F22" s="7" t="s">
        <v>21</v>
      </c>
      <c r="G22" s="5" t="s">
        <v>22</v>
      </c>
      <c r="H22" s="8"/>
      <c r="I22" s="9"/>
      <c r="J22" s="9" t="s">
        <v>23</v>
      </c>
      <c r="K22" s="8"/>
      <c r="L22" s="9"/>
      <c r="M22" s="10" t="s">
        <v>105</v>
      </c>
      <c r="N22" s="11" t="s">
        <v>106</v>
      </c>
      <c r="O22" s="12" t="s">
        <v>26</v>
      </c>
    </row>
    <row r="23" spans="1:15">
      <c r="A23" s="4">
        <v>19</v>
      </c>
      <c r="B23" s="5" t="s">
        <v>17</v>
      </c>
      <c r="C23" s="5" t="s">
        <v>107</v>
      </c>
      <c r="D23" s="5" t="s">
        <v>108</v>
      </c>
      <c r="E23" s="14" t="s">
        <v>109</v>
      </c>
      <c r="F23" s="15" t="s">
        <v>110</v>
      </c>
      <c r="G23" s="5" t="s">
        <v>22</v>
      </c>
      <c r="H23" s="8"/>
      <c r="I23" s="9"/>
      <c r="J23" s="9" t="s">
        <v>23</v>
      </c>
      <c r="K23" s="8"/>
      <c r="L23" s="9"/>
      <c r="M23" s="10" t="s">
        <v>111</v>
      </c>
      <c r="N23" s="11" t="s">
        <v>112</v>
      </c>
      <c r="O23" s="12" t="s">
        <v>26</v>
      </c>
    </row>
    <row r="24" spans="1:15">
      <c r="A24" s="4">
        <v>20</v>
      </c>
      <c r="B24" s="5" t="s">
        <v>17</v>
      </c>
      <c r="C24" s="5" t="s">
        <v>113</v>
      </c>
      <c r="D24" s="5" t="s">
        <v>114</v>
      </c>
      <c r="E24" s="6" t="s">
        <v>115</v>
      </c>
      <c r="F24" s="13" t="s">
        <v>34</v>
      </c>
      <c r="G24" s="5" t="s">
        <v>29</v>
      </c>
      <c r="H24" s="8"/>
      <c r="I24" s="9"/>
      <c r="J24" s="9" t="s">
        <v>23</v>
      </c>
      <c r="K24" s="8"/>
      <c r="L24" s="9"/>
      <c r="M24" s="10" t="s">
        <v>77</v>
      </c>
      <c r="N24" s="11" t="s">
        <v>116</v>
      </c>
      <c r="O24" s="12" t="s">
        <v>26</v>
      </c>
    </row>
    <row r="25" spans="1:15">
      <c r="A25" s="4">
        <v>21</v>
      </c>
      <c r="B25" s="5" t="s">
        <v>17</v>
      </c>
      <c r="C25" s="5" t="s">
        <v>117</v>
      </c>
      <c r="D25" s="5" t="s">
        <v>118</v>
      </c>
      <c r="E25" s="6" t="s">
        <v>119</v>
      </c>
      <c r="F25" s="7" t="s">
        <v>21</v>
      </c>
      <c r="G25" s="5" t="s">
        <v>22</v>
      </c>
      <c r="H25" s="8"/>
      <c r="I25" s="9"/>
      <c r="J25" s="9" t="s">
        <v>23</v>
      </c>
      <c r="K25" s="8"/>
      <c r="L25" s="9"/>
      <c r="M25" s="10" t="s">
        <v>120</v>
      </c>
      <c r="N25" s="11" t="s">
        <v>121</v>
      </c>
      <c r="O25" s="12" t="s">
        <v>26</v>
      </c>
    </row>
    <row r="26" spans="1:15">
      <c r="A26" s="4">
        <v>22</v>
      </c>
      <c r="B26" s="5" t="s">
        <v>17</v>
      </c>
      <c r="C26" s="5" t="s">
        <v>51</v>
      </c>
      <c r="D26" s="5" t="s">
        <v>122</v>
      </c>
      <c r="E26" s="6" t="s">
        <v>123</v>
      </c>
      <c r="F26" s="7" t="s">
        <v>21</v>
      </c>
      <c r="G26" s="5" t="s">
        <v>22</v>
      </c>
      <c r="H26" s="8"/>
      <c r="I26" s="9"/>
      <c r="J26" s="9" t="s">
        <v>23</v>
      </c>
      <c r="K26" s="8"/>
      <c r="L26" s="9"/>
      <c r="M26" s="10" t="s">
        <v>124</v>
      </c>
      <c r="N26" s="11" t="s">
        <v>125</v>
      </c>
      <c r="O26" s="12" t="s">
        <v>26</v>
      </c>
    </row>
    <row r="27" spans="1:15">
      <c r="A27" s="4">
        <v>23</v>
      </c>
      <c r="B27" s="5" t="s">
        <v>17</v>
      </c>
      <c r="C27" s="5" t="s">
        <v>126</v>
      </c>
      <c r="D27" s="5" t="s">
        <v>127</v>
      </c>
      <c r="E27" s="6" t="s">
        <v>128</v>
      </c>
      <c r="F27" s="7" t="s">
        <v>21</v>
      </c>
      <c r="G27" s="5" t="s">
        <v>22</v>
      </c>
      <c r="H27" s="8"/>
      <c r="I27" s="9"/>
      <c r="J27" s="9" t="s">
        <v>23</v>
      </c>
      <c r="K27" s="8"/>
      <c r="L27" s="9"/>
      <c r="M27" s="10" t="s">
        <v>129</v>
      </c>
      <c r="N27" s="11" t="s">
        <v>130</v>
      </c>
      <c r="O27" s="12" t="s">
        <v>26</v>
      </c>
    </row>
    <row r="28" spans="1:15">
      <c r="A28" s="4">
        <v>24</v>
      </c>
      <c r="B28" s="5" t="s">
        <v>17</v>
      </c>
      <c r="C28" s="5" t="s">
        <v>93</v>
      </c>
      <c r="D28" s="5" t="s">
        <v>131</v>
      </c>
      <c r="E28" s="6" t="s">
        <v>132</v>
      </c>
      <c r="F28" s="7" t="s">
        <v>21</v>
      </c>
      <c r="G28" s="5" t="s">
        <v>22</v>
      </c>
      <c r="H28" s="8"/>
      <c r="I28" s="9"/>
      <c r="J28" s="9" t="s">
        <v>23</v>
      </c>
      <c r="K28" s="8"/>
      <c r="L28" s="9"/>
      <c r="M28" s="10" t="s">
        <v>133</v>
      </c>
      <c r="N28" s="11" t="s">
        <v>134</v>
      </c>
      <c r="O28" s="12" t="s">
        <v>26</v>
      </c>
    </row>
    <row r="29" spans="1:15">
      <c r="A29" s="4">
        <v>25</v>
      </c>
      <c r="B29" s="5" t="s">
        <v>17</v>
      </c>
      <c r="C29" s="5" t="s">
        <v>135</v>
      </c>
      <c r="D29" s="5" t="s">
        <v>136</v>
      </c>
      <c r="E29" s="6" t="s">
        <v>137</v>
      </c>
      <c r="F29" s="7" t="s">
        <v>21</v>
      </c>
      <c r="G29" s="5" t="s">
        <v>22</v>
      </c>
      <c r="H29" s="8"/>
      <c r="I29" s="9"/>
      <c r="J29" s="9" t="s">
        <v>23</v>
      </c>
      <c r="K29" s="8"/>
      <c r="L29" s="9"/>
      <c r="M29" s="10" t="s">
        <v>138</v>
      </c>
      <c r="N29" s="11" t="s">
        <v>139</v>
      </c>
      <c r="O29" s="12" t="s">
        <v>26</v>
      </c>
    </row>
    <row r="30" spans="1:15">
      <c r="A30" s="4">
        <v>26</v>
      </c>
      <c r="B30" s="5" t="s">
        <v>17</v>
      </c>
      <c r="C30" s="5" t="s">
        <v>113</v>
      </c>
      <c r="D30" s="5" t="s">
        <v>140</v>
      </c>
      <c r="E30" s="6" t="s">
        <v>141</v>
      </c>
      <c r="F30" s="13" t="s">
        <v>34</v>
      </c>
      <c r="G30" s="5" t="s">
        <v>22</v>
      </c>
      <c r="H30" s="8"/>
      <c r="I30" s="9"/>
      <c r="J30" s="9" t="s">
        <v>23</v>
      </c>
      <c r="K30" s="8"/>
      <c r="L30" s="9"/>
      <c r="M30" s="10" t="s">
        <v>142</v>
      </c>
      <c r="N30" s="11" t="s">
        <v>143</v>
      </c>
      <c r="O30" s="12" t="s">
        <v>26</v>
      </c>
    </row>
    <row r="31" spans="1:15">
      <c r="A31" s="4">
        <v>27</v>
      </c>
      <c r="B31" s="5" t="s">
        <v>17</v>
      </c>
      <c r="C31" s="5" t="s">
        <v>144</v>
      </c>
      <c r="D31" s="5" t="s">
        <v>145</v>
      </c>
      <c r="E31" s="6" t="s">
        <v>146</v>
      </c>
      <c r="F31" s="7" t="s">
        <v>21</v>
      </c>
      <c r="G31" s="5" t="s">
        <v>22</v>
      </c>
      <c r="H31" s="8"/>
      <c r="I31" s="9"/>
      <c r="J31" s="9" t="s">
        <v>23</v>
      </c>
      <c r="K31" s="8"/>
      <c r="L31" s="9"/>
      <c r="M31" s="10" t="s">
        <v>147</v>
      </c>
      <c r="N31" s="11" t="s">
        <v>148</v>
      </c>
      <c r="O31" s="12" t="s">
        <v>26</v>
      </c>
    </row>
    <row r="32" spans="1:15">
      <c r="A32" s="4">
        <v>28</v>
      </c>
      <c r="B32" s="5" t="s">
        <v>17</v>
      </c>
      <c r="C32" s="5" t="s">
        <v>149</v>
      </c>
      <c r="D32" s="5" t="s">
        <v>150</v>
      </c>
      <c r="E32" s="6" t="s">
        <v>151</v>
      </c>
      <c r="F32" s="7" t="s">
        <v>21</v>
      </c>
      <c r="G32" s="5" t="s">
        <v>22</v>
      </c>
      <c r="H32" s="8"/>
      <c r="I32" s="9"/>
      <c r="J32" s="9" t="s">
        <v>23</v>
      </c>
      <c r="K32" s="8"/>
      <c r="L32" s="9"/>
      <c r="M32" s="10" t="s">
        <v>152</v>
      </c>
      <c r="N32" s="11" t="s">
        <v>153</v>
      </c>
      <c r="O32" s="12" t="s">
        <v>26</v>
      </c>
    </row>
    <row r="33" spans="1:15">
      <c r="A33" s="4">
        <v>29</v>
      </c>
      <c r="B33" s="5" t="s">
        <v>17</v>
      </c>
      <c r="C33" s="5" t="s">
        <v>46</v>
      </c>
      <c r="D33" s="5" t="s">
        <v>154</v>
      </c>
      <c r="E33" s="6" t="s">
        <v>155</v>
      </c>
      <c r="F33" s="13" t="s">
        <v>34</v>
      </c>
      <c r="G33" s="5" t="s">
        <v>156</v>
      </c>
      <c r="H33" s="8"/>
      <c r="I33" s="9"/>
      <c r="J33" s="9" t="s">
        <v>23</v>
      </c>
      <c r="K33" s="8"/>
      <c r="L33" s="9"/>
      <c r="M33" s="10" t="s">
        <v>77</v>
      </c>
      <c r="N33" s="11" t="s">
        <v>157</v>
      </c>
      <c r="O33" s="12" t="s">
        <v>26</v>
      </c>
    </row>
    <row r="34" spans="1:15">
      <c r="A34" s="4">
        <v>30</v>
      </c>
      <c r="B34" s="5" t="s">
        <v>17</v>
      </c>
      <c r="C34" s="5" t="s">
        <v>102</v>
      </c>
      <c r="D34" s="5" t="s">
        <v>158</v>
      </c>
      <c r="E34" s="6" t="s">
        <v>159</v>
      </c>
      <c r="F34" s="7" t="s">
        <v>21</v>
      </c>
      <c r="G34" s="5" t="s">
        <v>22</v>
      </c>
      <c r="H34" s="8"/>
      <c r="I34" s="9"/>
      <c r="J34" s="9" t="s">
        <v>23</v>
      </c>
      <c r="K34" s="8"/>
      <c r="L34" s="9"/>
      <c r="M34" s="10" t="s">
        <v>160</v>
      </c>
      <c r="N34" s="11" t="s">
        <v>161</v>
      </c>
      <c r="O34" s="12" t="s">
        <v>26</v>
      </c>
    </row>
    <row r="35" spans="1:15">
      <c r="A35" s="4">
        <v>31</v>
      </c>
      <c r="B35" s="5" t="s">
        <v>17</v>
      </c>
      <c r="C35" s="5" t="s">
        <v>89</v>
      </c>
      <c r="D35" s="5" t="s">
        <v>162</v>
      </c>
      <c r="E35" s="6" t="s">
        <v>163</v>
      </c>
      <c r="F35" s="7" t="s">
        <v>21</v>
      </c>
      <c r="G35" s="5" t="s">
        <v>22</v>
      </c>
      <c r="H35" s="8"/>
      <c r="I35" s="9"/>
      <c r="J35" s="9" t="s">
        <v>23</v>
      </c>
      <c r="K35" s="8"/>
      <c r="L35" s="9"/>
      <c r="M35" s="10" t="s">
        <v>164</v>
      </c>
      <c r="N35" s="11" t="s">
        <v>165</v>
      </c>
      <c r="O35" s="12" t="s">
        <v>26</v>
      </c>
    </row>
    <row r="36" spans="1:15">
      <c r="A36" s="4">
        <v>32</v>
      </c>
      <c r="B36" s="5" t="s">
        <v>17</v>
      </c>
      <c r="C36" s="5" t="s">
        <v>166</v>
      </c>
      <c r="D36" s="5" t="s">
        <v>167</v>
      </c>
      <c r="E36" s="6" t="s">
        <v>168</v>
      </c>
      <c r="F36" s="7" t="s">
        <v>21</v>
      </c>
      <c r="G36" s="5" t="s">
        <v>156</v>
      </c>
      <c r="H36" s="8"/>
      <c r="I36" s="9"/>
      <c r="J36" s="9" t="s">
        <v>23</v>
      </c>
      <c r="K36" s="8"/>
      <c r="L36" s="9"/>
      <c r="M36" s="10" t="s">
        <v>169</v>
      </c>
      <c r="N36" s="11" t="s">
        <v>170</v>
      </c>
      <c r="O36" s="12" t="s">
        <v>26</v>
      </c>
    </row>
    <row r="37" spans="1:15">
      <c r="A37" s="4">
        <v>33</v>
      </c>
      <c r="B37" s="5" t="s">
        <v>17</v>
      </c>
      <c r="C37" s="5" t="s">
        <v>46</v>
      </c>
      <c r="D37" s="5" t="s">
        <v>171</v>
      </c>
      <c r="E37" s="6" t="s">
        <v>172</v>
      </c>
      <c r="F37" s="13" t="s">
        <v>34</v>
      </c>
      <c r="G37" s="5" t="s">
        <v>22</v>
      </c>
      <c r="H37" s="8"/>
      <c r="I37" s="9"/>
      <c r="J37" s="9" t="s">
        <v>23</v>
      </c>
      <c r="K37" s="8"/>
      <c r="L37" s="9"/>
      <c r="M37" s="10" t="s">
        <v>77</v>
      </c>
      <c r="N37" s="11" t="s">
        <v>173</v>
      </c>
      <c r="O37" s="12" t="s">
        <v>26</v>
      </c>
    </row>
    <row r="38" spans="1:15">
      <c r="A38" s="4">
        <v>34</v>
      </c>
      <c r="B38" s="5" t="s">
        <v>17</v>
      </c>
      <c r="C38" s="5" t="s">
        <v>46</v>
      </c>
      <c r="D38" s="5" t="s">
        <v>174</v>
      </c>
      <c r="E38" s="6" t="s">
        <v>175</v>
      </c>
      <c r="F38" s="13" t="s">
        <v>34</v>
      </c>
      <c r="G38" s="5" t="s">
        <v>29</v>
      </c>
      <c r="H38" s="8"/>
      <c r="I38" s="9"/>
      <c r="J38" s="9" t="s">
        <v>23</v>
      </c>
      <c r="K38" s="8"/>
      <c r="L38" s="9"/>
      <c r="M38" s="10" t="s">
        <v>176</v>
      </c>
      <c r="N38" s="11" t="s">
        <v>177</v>
      </c>
      <c r="O38" s="12" t="s">
        <v>26</v>
      </c>
    </row>
    <row r="39" spans="1:15">
      <c r="A39" s="4">
        <v>35</v>
      </c>
      <c r="B39" s="5" t="s">
        <v>17</v>
      </c>
      <c r="C39" s="5" t="s">
        <v>46</v>
      </c>
      <c r="D39" s="5" t="s">
        <v>178</v>
      </c>
      <c r="E39" s="6" t="s">
        <v>179</v>
      </c>
      <c r="F39" s="7" t="s">
        <v>21</v>
      </c>
      <c r="G39" s="5" t="s">
        <v>22</v>
      </c>
      <c r="H39" s="8"/>
      <c r="I39" s="9"/>
      <c r="J39" s="9" t="s">
        <v>23</v>
      </c>
      <c r="K39" s="8"/>
      <c r="L39" s="9"/>
      <c r="M39" s="10" t="s">
        <v>180</v>
      </c>
      <c r="N39" s="11" t="s">
        <v>181</v>
      </c>
      <c r="O39" s="12" t="s">
        <v>26</v>
      </c>
    </row>
    <row r="40" spans="1:15">
      <c r="A40" s="4">
        <v>36</v>
      </c>
      <c r="B40" s="5" t="s">
        <v>17</v>
      </c>
      <c r="C40" s="5" t="s">
        <v>46</v>
      </c>
      <c r="D40" s="5" t="s">
        <v>182</v>
      </c>
      <c r="E40" s="6" t="s">
        <v>183</v>
      </c>
      <c r="F40" s="7" t="s">
        <v>21</v>
      </c>
      <c r="G40" s="5" t="s">
        <v>29</v>
      </c>
      <c r="H40" s="8"/>
      <c r="I40" s="9"/>
      <c r="J40" s="9" t="s">
        <v>23</v>
      </c>
      <c r="K40" s="8"/>
      <c r="L40" s="9"/>
      <c r="M40" s="10" t="s">
        <v>184</v>
      </c>
      <c r="N40" s="11" t="s">
        <v>185</v>
      </c>
      <c r="O40" s="12" t="s">
        <v>26</v>
      </c>
    </row>
    <row r="41" spans="1:15">
      <c r="A41" s="4">
        <v>37</v>
      </c>
      <c r="B41" s="5" t="s">
        <v>17</v>
      </c>
      <c r="C41" s="5" t="s">
        <v>46</v>
      </c>
      <c r="D41" s="5" t="s">
        <v>186</v>
      </c>
      <c r="E41" s="6" t="s">
        <v>187</v>
      </c>
      <c r="F41" s="7" t="s">
        <v>21</v>
      </c>
      <c r="G41" s="5" t="s">
        <v>22</v>
      </c>
      <c r="H41" s="8"/>
      <c r="I41" s="9"/>
      <c r="J41" s="9" t="s">
        <v>23</v>
      </c>
      <c r="K41" s="8"/>
      <c r="L41" s="9"/>
      <c r="M41" s="10" t="s">
        <v>188</v>
      </c>
      <c r="N41" s="11" t="s">
        <v>189</v>
      </c>
      <c r="O41" s="12" t="s">
        <v>26</v>
      </c>
    </row>
    <row r="42" spans="1:15">
      <c r="A42" s="4">
        <v>38</v>
      </c>
      <c r="B42" s="5" t="s">
        <v>17</v>
      </c>
      <c r="C42" s="5" t="s">
        <v>46</v>
      </c>
      <c r="D42" s="5" t="s">
        <v>190</v>
      </c>
      <c r="E42" s="6" t="s">
        <v>191</v>
      </c>
      <c r="F42" s="7" t="s">
        <v>21</v>
      </c>
      <c r="G42" s="5" t="s">
        <v>22</v>
      </c>
      <c r="H42" s="8"/>
      <c r="I42" s="9"/>
      <c r="J42" s="9" t="s">
        <v>23</v>
      </c>
      <c r="K42" s="8"/>
      <c r="L42" s="9"/>
      <c r="M42" s="10" t="s">
        <v>192</v>
      </c>
      <c r="N42" s="11" t="s">
        <v>193</v>
      </c>
      <c r="O42" s="12" t="s">
        <v>26</v>
      </c>
    </row>
    <row r="43" spans="1:15">
      <c r="A43" s="4">
        <v>39</v>
      </c>
      <c r="B43" s="5" t="s">
        <v>17</v>
      </c>
      <c r="C43" s="5" t="s">
        <v>117</v>
      </c>
      <c r="D43" s="5" t="s">
        <v>194</v>
      </c>
      <c r="E43" s="6" t="s">
        <v>195</v>
      </c>
      <c r="F43" s="7" t="s">
        <v>21</v>
      </c>
      <c r="G43" s="5" t="s">
        <v>22</v>
      </c>
      <c r="H43" s="8"/>
      <c r="I43" s="9"/>
      <c r="J43" s="9" t="s">
        <v>23</v>
      </c>
      <c r="K43" s="8"/>
      <c r="L43" s="9"/>
      <c r="M43" s="10" t="s">
        <v>196</v>
      </c>
      <c r="N43" s="11" t="s">
        <v>197</v>
      </c>
      <c r="O43" s="12" t="s">
        <v>26</v>
      </c>
    </row>
    <row r="44" spans="1:15">
      <c r="A44" s="4">
        <v>40</v>
      </c>
      <c r="B44" s="5" t="s">
        <v>17</v>
      </c>
      <c r="C44" s="5" t="s">
        <v>198</v>
      </c>
      <c r="D44" s="5" t="s">
        <v>199</v>
      </c>
      <c r="E44" s="6" t="s">
        <v>200</v>
      </c>
      <c r="F44" s="7" t="s">
        <v>21</v>
      </c>
      <c r="G44" s="5" t="s">
        <v>22</v>
      </c>
      <c r="H44" s="8"/>
      <c r="I44" s="9"/>
      <c r="J44" s="9" t="s">
        <v>23</v>
      </c>
      <c r="K44" s="8"/>
      <c r="L44" s="9"/>
      <c r="M44" s="10" t="s">
        <v>201</v>
      </c>
      <c r="N44" s="11" t="s">
        <v>202</v>
      </c>
      <c r="O44" s="12" t="s">
        <v>26</v>
      </c>
    </row>
    <row r="45" spans="1:15">
      <c r="A45" s="4">
        <v>41</v>
      </c>
      <c r="B45" s="5" t="s">
        <v>17</v>
      </c>
      <c r="C45" s="5" t="s">
        <v>56</v>
      </c>
      <c r="D45" s="5" t="s">
        <v>203</v>
      </c>
      <c r="E45" s="6" t="s">
        <v>204</v>
      </c>
      <c r="F45" s="7" t="s">
        <v>21</v>
      </c>
      <c r="G45" s="5" t="s">
        <v>22</v>
      </c>
      <c r="H45" s="8"/>
      <c r="I45" s="9"/>
      <c r="J45" s="9" t="s">
        <v>23</v>
      </c>
      <c r="K45" s="8"/>
      <c r="L45" s="9"/>
      <c r="M45" s="10" t="s">
        <v>205</v>
      </c>
      <c r="N45" s="11" t="s">
        <v>206</v>
      </c>
      <c r="O45" s="12" t="s">
        <v>26</v>
      </c>
    </row>
    <row r="46" spans="1:15">
      <c r="A46" s="4">
        <v>42</v>
      </c>
      <c r="B46" s="5" t="s">
        <v>17</v>
      </c>
      <c r="C46" s="5" t="s">
        <v>113</v>
      </c>
      <c r="D46" s="5" t="s">
        <v>207</v>
      </c>
      <c r="E46" s="6" t="s">
        <v>208</v>
      </c>
      <c r="F46" s="7" t="s">
        <v>21</v>
      </c>
      <c r="G46" s="5" t="s">
        <v>29</v>
      </c>
      <c r="H46" s="8"/>
      <c r="I46" s="9"/>
      <c r="J46" s="9" t="s">
        <v>23</v>
      </c>
      <c r="K46" s="8"/>
      <c r="L46" s="9"/>
      <c r="M46" s="10" t="s">
        <v>209</v>
      </c>
      <c r="N46" s="11" t="s">
        <v>210</v>
      </c>
      <c r="O46" s="12" t="s">
        <v>26</v>
      </c>
    </row>
    <row r="47" spans="1:15">
      <c r="A47" s="4">
        <v>43</v>
      </c>
      <c r="B47" s="5" t="s">
        <v>17</v>
      </c>
      <c r="C47" s="5" t="s">
        <v>211</v>
      </c>
      <c r="D47" s="5" t="s">
        <v>212</v>
      </c>
      <c r="E47" s="6" t="s">
        <v>213</v>
      </c>
      <c r="F47" s="7" t="s">
        <v>21</v>
      </c>
      <c r="G47" s="5" t="s">
        <v>22</v>
      </c>
      <c r="H47" s="8"/>
      <c r="I47" s="9"/>
      <c r="J47" s="9" t="s">
        <v>23</v>
      </c>
      <c r="K47" s="8"/>
      <c r="L47" s="9"/>
      <c r="M47" s="10" t="s">
        <v>184</v>
      </c>
      <c r="N47" s="11" t="s">
        <v>214</v>
      </c>
      <c r="O47" s="12" t="s">
        <v>26</v>
      </c>
    </row>
    <row r="48" spans="1:15">
      <c r="A48" s="4">
        <v>44</v>
      </c>
      <c r="B48" s="5" t="s">
        <v>17</v>
      </c>
      <c r="C48" s="5" t="s">
        <v>215</v>
      </c>
      <c r="D48" s="5" t="s">
        <v>216</v>
      </c>
      <c r="E48" s="6" t="s">
        <v>217</v>
      </c>
      <c r="F48" s="13" t="s">
        <v>34</v>
      </c>
      <c r="G48" s="5" t="s">
        <v>22</v>
      </c>
      <c r="H48" s="8"/>
      <c r="I48" s="9"/>
      <c r="J48" s="9" t="s">
        <v>23</v>
      </c>
      <c r="K48" s="8"/>
      <c r="L48" s="9"/>
      <c r="M48" s="10" t="s">
        <v>218</v>
      </c>
      <c r="N48" s="11" t="s">
        <v>219</v>
      </c>
      <c r="O48" s="12" t="s">
        <v>26</v>
      </c>
    </row>
    <row r="49" spans="1:15">
      <c r="A49" s="4">
        <v>45</v>
      </c>
      <c r="B49" s="5" t="s">
        <v>17</v>
      </c>
      <c r="C49" s="5" t="s">
        <v>220</v>
      </c>
      <c r="D49" s="5" t="s">
        <v>221</v>
      </c>
      <c r="E49" s="6" t="s">
        <v>222</v>
      </c>
      <c r="F49" s="7" t="s">
        <v>21</v>
      </c>
      <c r="G49" s="5" t="s">
        <v>22</v>
      </c>
      <c r="H49" s="8"/>
      <c r="I49" s="9"/>
      <c r="J49" s="9" t="s">
        <v>23</v>
      </c>
      <c r="K49" s="8"/>
      <c r="L49" s="9"/>
      <c r="M49" s="10" t="s">
        <v>192</v>
      </c>
      <c r="N49" s="11" t="s">
        <v>223</v>
      </c>
      <c r="O49" s="12" t="s">
        <v>26</v>
      </c>
    </row>
    <row r="50" spans="1:15">
      <c r="A50" s="4">
        <v>46</v>
      </c>
      <c r="B50" s="5" t="s">
        <v>17</v>
      </c>
      <c r="C50" s="5" t="s">
        <v>51</v>
      </c>
      <c r="D50" s="5" t="s">
        <v>224</v>
      </c>
      <c r="E50" s="6" t="s">
        <v>225</v>
      </c>
      <c r="F50" s="7" t="s">
        <v>21</v>
      </c>
      <c r="G50" s="5" t="s">
        <v>22</v>
      </c>
      <c r="H50" s="8"/>
      <c r="I50" s="9"/>
      <c r="J50" s="9" t="s">
        <v>23</v>
      </c>
      <c r="K50" s="8"/>
      <c r="L50" s="9"/>
      <c r="M50" s="10" t="s">
        <v>226</v>
      </c>
      <c r="N50" s="11" t="s">
        <v>227</v>
      </c>
      <c r="O50" s="12" t="s">
        <v>26</v>
      </c>
    </row>
    <row r="51" spans="1:15">
      <c r="A51" s="4">
        <v>47</v>
      </c>
      <c r="B51" s="5" t="s">
        <v>17</v>
      </c>
      <c r="C51" s="5" t="s">
        <v>51</v>
      </c>
      <c r="D51" s="5" t="s">
        <v>228</v>
      </c>
      <c r="E51" s="6" t="s">
        <v>225</v>
      </c>
      <c r="F51" s="13" t="s">
        <v>34</v>
      </c>
      <c r="G51" s="5" t="s">
        <v>22</v>
      </c>
      <c r="H51" s="8"/>
      <c r="I51" s="9"/>
      <c r="J51" s="9" t="s">
        <v>23</v>
      </c>
      <c r="K51" s="8"/>
      <c r="L51" s="9"/>
      <c r="M51" s="10" t="s">
        <v>229</v>
      </c>
      <c r="N51" s="11" t="s">
        <v>230</v>
      </c>
      <c r="O51" s="12" t="s">
        <v>26</v>
      </c>
    </row>
    <row r="52" spans="1:15">
      <c r="A52" s="4">
        <v>48</v>
      </c>
      <c r="B52" s="5" t="s">
        <v>17</v>
      </c>
      <c r="C52" s="5" t="s">
        <v>74</v>
      </c>
      <c r="D52" s="5" t="s">
        <v>231</v>
      </c>
      <c r="E52" s="6" t="s">
        <v>232</v>
      </c>
      <c r="F52" s="13" t="s">
        <v>34</v>
      </c>
      <c r="G52" s="5" t="s">
        <v>22</v>
      </c>
      <c r="H52" s="8"/>
      <c r="I52" s="9"/>
      <c r="J52" s="9" t="s">
        <v>23</v>
      </c>
      <c r="K52" s="8"/>
      <c r="L52" s="9"/>
      <c r="M52" s="10" t="s">
        <v>233</v>
      </c>
      <c r="N52" s="11" t="s">
        <v>234</v>
      </c>
      <c r="O52" s="12" t="s">
        <v>26</v>
      </c>
    </row>
    <row r="53" spans="1:15">
      <c r="A53" s="4">
        <v>49</v>
      </c>
      <c r="B53" s="5" t="s">
        <v>17</v>
      </c>
      <c r="C53" s="5" t="s">
        <v>235</v>
      </c>
      <c r="D53" s="5" t="s">
        <v>236</v>
      </c>
      <c r="E53" s="6" t="s">
        <v>237</v>
      </c>
      <c r="F53" s="7" t="s">
        <v>21</v>
      </c>
      <c r="G53" s="5" t="s">
        <v>29</v>
      </c>
      <c r="H53" s="8"/>
      <c r="I53" s="9"/>
      <c r="J53" s="9" t="s">
        <v>23</v>
      </c>
      <c r="K53" s="8"/>
      <c r="L53" s="9"/>
      <c r="M53" s="10" t="s">
        <v>238</v>
      </c>
      <c r="N53" s="11" t="s">
        <v>239</v>
      </c>
      <c r="O53" s="12" t="s">
        <v>26</v>
      </c>
    </row>
    <row r="54" spans="1:15">
      <c r="A54" s="4">
        <v>50</v>
      </c>
      <c r="B54" s="5" t="s">
        <v>17</v>
      </c>
      <c r="C54" s="5" t="s">
        <v>240</v>
      </c>
      <c r="D54" s="5" t="s">
        <v>241</v>
      </c>
      <c r="E54" s="6" t="s">
        <v>242</v>
      </c>
      <c r="F54" s="13" t="s">
        <v>34</v>
      </c>
      <c r="G54" s="5" t="s">
        <v>22</v>
      </c>
      <c r="H54" s="8"/>
      <c r="I54" s="9"/>
      <c r="J54" s="9" t="s">
        <v>23</v>
      </c>
      <c r="K54" s="8"/>
      <c r="L54" s="9"/>
      <c r="M54" s="10" t="s">
        <v>243</v>
      </c>
      <c r="N54" s="11" t="s">
        <v>244</v>
      </c>
      <c r="O54" s="12" t="s">
        <v>26</v>
      </c>
    </row>
    <row r="55" spans="1:15">
      <c r="A55" s="4">
        <v>51</v>
      </c>
      <c r="B55" s="5" t="s">
        <v>17</v>
      </c>
      <c r="C55" s="5" t="s">
        <v>245</v>
      </c>
      <c r="D55" s="5" t="s">
        <v>246</v>
      </c>
      <c r="E55" s="6" t="s">
        <v>247</v>
      </c>
      <c r="F55" s="13" t="s">
        <v>34</v>
      </c>
      <c r="G55" s="5" t="s">
        <v>22</v>
      </c>
      <c r="H55" s="8"/>
      <c r="I55" s="9"/>
      <c r="J55" s="9" t="s">
        <v>23</v>
      </c>
      <c r="K55" s="8"/>
      <c r="L55" s="9"/>
      <c r="M55" s="10" t="s">
        <v>248</v>
      </c>
      <c r="N55" s="11" t="s">
        <v>249</v>
      </c>
      <c r="O55" s="12" t="s">
        <v>26</v>
      </c>
    </row>
    <row r="56" spans="1:15">
      <c r="A56" s="4">
        <v>52</v>
      </c>
      <c r="B56" s="5" t="s">
        <v>17</v>
      </c>
      <c r="C56" s="5" t="s">
        <v>250</v>
      </c>
      <c r="D56" s="5" t="s">
        <v>251</v>
      </c>
      <c r="E56" s="6" t="s">
        <v>252</v>
      </c>
      <c r="F56" s="7" t="s">
        <v>21</v>
      </c>
      <c r="G56" s="5" t="s">
        <v>29</v>
      </c>
      <c r="H56" s="8"/>
      <c r="I56" s="9"/>
      <c r="J56" s="9" t="s">
        <v>23</v>
      </c>
      <c r="K56" s="8"/>
      <c r="L56" s="9"/>
      <c r="M56" s="10" t="s">
        <v>253</v>
      </c>
      <c r="N56" s="11" t="s">
        <v>254</v>
      </c>
      <c r="O56" s="12" t="s">
        <v>26</v>
      </c>
    </row>
    <row r="57" spans="1:15">
      <c r="A57" s="4">
        <v>53</v>
      </c>
      <c r="B57" s="5" t="s">
        <v>17</v>
      </c>
      <c r="C57" s="5" t="s">
        <v>255</v>
      </c>
      <c r="D57" s="5" t="s">
        <v>256</v>
      </c>
      <c r="E57" s="6" t="s">
        <v>257</v>
      </c>
      <c r="F57" s="13" t="s">
        <v>34</v>
      </c>
      <c r="G57" s="5" t="s">
        <v>29</v>
      </c>
      <c r="H57" s="8"/>
      <c r="I57" s="9"/>
      <c r="J57" s="9" t="s">
        <v>23</v>
      </c>
      <c r="K57" s="8"/>
      <c r="L57" s="9"/>
      <c r="M57" s="10" t="s">
        <v>258</v>
      </c>
      <c r="N57" s="11" t="s">
        <v>259</v>
      </c>
      <c r="O57" s="12" t="s">
        <v>26</v>
      </c>
    </row>
    <row r="58" spans="1:15">
      <c r="A58" s="4">
        <v>54</v>
      </c>
      <c r="B58" s="5" t="s">
        <v>17</v>
      </c>
      <c r="C58" s="5" t="s">
        <v>255</v>
      </c>
      <c r="D58" s="5" t="s">
        <v>260</v>
      </c>
      <c r="E58" s="6" t="s">
        <v>261</v>
      </c>
      <c r="F58" s="7" t="s">
        <v>21</v>
      </c>
      <c r="G58" s="5" t="s">
        <v>22</v>
      </c>
      <c r="H58" s="8"/>
      <c r="I58" s="9"/>
      <c r="J58" s="9" t="s">
        <v>23</v>
      </c>
      <c r="K58" s="8"/>
      <c r="L58" s="9"/>
      <c r="M58" s="10" t="s">
        <v>262</v>
      </c>
      <c r="N58" s="11" t="s">
        <v>263</v>
      </c>
      <c r="O58" s="12" t="s">
        <v>26</v>
      </c>
    </row>
    <row r="59" spans="1:15">
      <c r="A59" s="4">
        <v>55</v>
      </c>
      <c r="B59" s="5" t="s">
        <v>17</v>
      </c>
      <c r="C59" s="5" t="s">
        <v>264</v>
      </c>
      <c r="D59" s="5" t="s">
        <v>265</v>
      </c>
      <c r="E59" s="6" t="s">
        <v>266</v>
      </c>
      <c r="F59" s="13" t="s">
        <v>34</v>
      </c>
      <c r="G59" s="5" t="s">
        <v>22</v>
      </c>
      <c r="H59" s="8"/>
      <c r="I59" s="9"/>
      <c r="J59" s="9" t="s">
        <v>23</v>
      </c>
      <c r="K59" s="8"/>
      <c r="L59" s="9"/>
      <c r="M59" s="10" t="s">
        <v>233</v>
      </c>
      <c r="N59" s="11" t="s">
        <v>267</v>
      </c>
      <c r="O59" s="12" t="s">
        <v>26</v>
      </c>
    </row>
    <row r="60" spans="1:15">
      <c r="A60" s="4">
        <v>56</v>
      </c>
      <c r="B60" s="5" t="s">
        <v>268</v>
      </c>
      <c r="C60" s="5" t="s">
        <v>269</v>
      </c>
      <c r="D60" s="5" t="s">
        <v>270</v>
      </c>
      <c r="E60" s="6" t="s">
        <v>271</v>
      </c>
      <c r="F60" s="7" t="s">
        <v>21</v>
      </c>
      <c r="G60" s="5" t="s">
        <v>29</v>
      </c>
      <c r="H60" s="8"/>
      <c r="I60" s="9"/>
      <c r="J60" s="9" t="s">
        <v>23</v>
      </c>
      <c r="K60" s="8"/>
      <c r="L60" s="9"/>
      <c r="M60" s="10" t="s">
        <v>272</v>
      </c>
      <c r="N60" s="11" t="s">
        <v>273</v>
      </c>
      <c r="O60" s="12" t="s">
        <v>26</v>
      </c>
    </row>
    <row r="61" spans="1:15">
      <c r="A61" s="4">
        <v>57</v>
      </c>
      <c r="B61" s="5" t="s">
        <v>268</v>
      </c>
      <c r="C61" s="5" t="s">
        <v>269</v>
      </c>
      <c r="D61" s="5" t="s">
        <v>274</v>
      </c>
      <c r="E61" s="6" t="s">
        <v>275</v>
      </c>
      <c r="F61" s="7" t="s">
        <v>21</v>
      </c>
      <c r="G61" s="5" t="s">
        <v>29</v>
      </c>
      <c r="H61" s="8"/>
      <c r="I61" s="9"/>
      <c r="J61" s="9" t="s">
        <v>23</v>
      </c>
      <c r="K61" s="8"/>
      <c r="L61" s="9"/>
      <c r="M61" s="10" t="s">
        <v>276</v>
      </c>
      <c r="N61" s="11" t="s">
        <v>277</v>
      </c>
      <c r="O61" s="12" t="s">
        <v>26</v>
      </c>
    </row>
    <row r="62" spans="1:15">
      <c r="A62" s="4">
        <v>58</v>
      </c>
      <c r="B62" s="5" t="s">
        <v>268</v>
      </c>
      <c r="C62" s="5" t="s">
        <v>278</v>
      </c>
      <c r="D62" s="5" t="s">
        <v>279</v>
      </c>
      <c r="E62" s="6" t="s">
        <v>280</v>
      </c>
      <c r="F62" s="13" t="s">
        <v>34</v>
      </c>
      <c r="G62" s="5" t="s">
        <v>22</v>
      </c>
      <c r="H62" s="8"/>
      <c r="I62" s="9"/>
      <c r="J62" s="9" t="s">
        <v>23</v>
      </c>
      <c r="K62" s="8"/>
      <c r="L62" s="9"/>
      <c r="M62" s="10" t="s">
        <v>281</v>
      </c>
      <c r="N62" s="11" t="s">
        <v>282</v>
      </c>
      <c r="O62" s="12" t="s">
        <v>26</v>
      </c>
    </row>
    <row r="63" spans="1:15">
      <c r="A63" s="4">
        <v>59</v>
      </c>
      <c r="B63" s="5" t="s">
        <v>268</v>
      </c>
      <c r="C63" s="5" t="s">
        <v>283</v>
      </c>
      <c r="D63" s="5" t="s">
        <v>284</v>
      </c>
      <c r="E63" s="6" t="s">
        <v>285</v>
      </c>
      <c r="F63" s="7" t="s">
        <v>21</v>
      </c>
      <c r="G63" s="5" t="s">
        <v>22</v>
      </c>
      <c r="H63" s="8"/>
      <c r="I63" s="9"/>
      <c r="J63" s="9" t="s">
        <v>23</v>
      </c>
      <c r="K63" s="8"/>
      <c r="L63" s="9"/>
      <c r="M63" s="10" t="s">
        <v>286</v>
      </c>
      <c r="N63" s="11" t="s">
        <v>287</v>
      </c>
      <c r="O63" s="12" t="s">
        <v>26</v>
      </c>
    </row>
    <row r="64" spans="1:15">
      <c r="A64" s="4">
        <v>60</v>
      </c>
      <c r="B64" s="5" t="s">
        <v>268</v>
      </c>
      <c r="C64" s="5" t="s">
        <v>288</v>
      </c>
      <c r="D64" s="5" t="s">
        <v>289</v>
      </c>
      <c r="E64" s="6" t="s">
        <v>290</v>
      </c>
      <c r="F64" s="7" t="s">
        <v>21</v>
      </c>
      <c r="G64" s="5" t="s">
        <v>29</v>
      </c>
      <c r="H64" s="8"/>
      <c r="I64" s="9"/>
      <c r="J64" s="9" t="s">
        <v>23</v>
      </c>
      <c r="K64" s="8"/>
      <c r="L64" s="9"/>
      <c r="M64" s="10" t="s">
        <v>291</v>
      </c>
      <c r="N64" s="11" t="s">
        <v>292</v>
      </c>
      <c r="O64" s="12" t="s">
        <v>26</v>
      </c>
    </row>
    <row r="65" spans="1:15">
      <c r="A65" s="4">
        <v>61</v>
      </c>
      <c r="B65" s="5" t="s">
        <v>268</v>
      </c>
      <c r="C65" s="5" t="s">
        <v>293</v>
      </c>
      <c r="D65" s="5" t="s">
        <v>294</v>
      </c>
      <c r="E65" s="6" t="s">
        <v>295</v>
      </c>
      <c r="F65" s="7" t="s">
        <v>21</v>
      </c>
      <c r="G65" s="5" t="s">
        <v>29</v>
      </c>
      <c r="H65" s="8"/>
      <c r="I65" s="9"/>
      <c r="J65" s="9" t="s">
        <v>23</v>
      </c>
      <c r="K65" s="8"/>
      <c r="L65" s="9"/>
      <c r="M65" s="10" t="s">
        <v>296</v>
      </c>
      <c r="N65" s="11" t="s">
        <v>297</v>
      </c>
      <c r="O65" s="12" t="s">
        <v>26</v>
      </c>
    </row>
    <row r="66" spans="1:15">
      <c r="A66" s="4">
        <v>62</v>
      </c>
      <c r="B66" s="5" t="s">
        <v>268</v>
      </c>
      <c r="C66" s="5" t="s">
        <v>298</v>
      </c>
      <c r="D66" s="5" t="s">
        <v>299</v>
      </c>
      <c r="E66" s="6" t="s">
        <v>300</v>
      </c>
      <c r="F66" s="7" t="s">
        <v>21</v>
      </c>
      <c r="G66" s="5" t="s">
        <v>22</v>
      </c>
      <c r="H66" s="8"/>
      <c r="I66" s="9"/>
      <c r="J66" s="9" t="s">
        <v>23</v>
      </c>
      <c r="K66" s="8"/>
      <c r="L66" s="9"/>
      <c r="M66" s="10" t="s">
        <v>301</v>
      </c>
      <c r="N66" s="11" t="s">
        <v>302</v>
      </c>
      <c r="O66" s="12" t="s">
        <v>26</v>
      </c>
    </row>
    <row r="67" spans="1:15">
      <c r="A67" s="4">
        <v>63</v>
      </c>
      <c r="B67" s="5" t="s">
        <v>268</v>
      </c>
      <c r="C67" s="5" t="s">
        <v>278</v>
      </c>
      <c r="D67" s="5" t="s">
        <v>303</v>
      </c>
      <c r="E67" s="6" t="s">
        <v>304</v>
      </c>
      <c r="F67" s="7" t="s">
        <v>21</v>
      </c>
      <c r="G67" s="5" t="s">
        <v>156</v>
      </c>
      <c r="H67" s="8"/>
      <c r="I67" s="9"/>
      <c r="J67" s="9" t="s">
        <v>23</v>
      </c>
      <c r="K67" s="8"/>
      <c r="L67" s="9"/>
      <c r="M67" s="10" t="s">
        <v>305</v>
      </c>
      <c r="N67" s="11" t="s">
        <v>306</v>
      </c>
      <c r="O67" s="12" t="s">
        <v>26</v>
      </c>
    </row>
    <row r="68" spans="1:15">
      <c r="A68" s="4">
        <v>64</v>
      </c>
      <c r="B68" s="5" t="s">
        <v>268</v>
      </c>
      <c r="C68" s="5" t="s">
        <v>269</v>
      </c>
      <c r="D68" s="5" t="s">
        <v>307</v>
      </c>
      <c r="E68" s="6" t="s">
        <v>308</v>
      </c>
      <c r="F68" s="7" t="s">
        <v>21</v>
      </c>
      <c r="G68" s="5" t="s">
        <v>29</v>
      </c>
      <c r="H68" s="8"/>
      <c r="I68" s="9"/>
      <c r="J68" s="9" t="s">
        <v>23</v>
      </c>
      <c r="K68" s="8"/>
      <c r="L68" s="9"/>
      <c r="M68" s="10" t="s">
        <v>309</v>
      </c>
      <c r="N68" s="11" t="s">
        <v>310</v>
      </c>
      <c r="O68" s="12" t="s">
        <v>26</v>
      </c>
    </row>
    <row r="69" spans="1:15">
      <c r="A69" s="4">
        <v>65</v>
      </c>
      <c r="B69" s="5" t="s">
        <v>268</v>
      </c>
      <c r="C69" s="5" t="s">
        <v>288</v>
      </c>
      <c r="D69" s="5" t="s">
        <v>311</v>
      </c>
      <c r="E69" s="6" t="s">
        <v>312</v>
      </c>
      <c r="F69" s="7" t="s">
        <v>21</v>
      </c>
      <c r="G69" s="5" t="s">
        <v>22</v>
      </c>
      <c r="H69" s="8"/>
      <c r="I69" s="9"/>
      <c r="J69" s="9" t="s">
        <v>23</v>
      </c>
      <c r="K69" s="8"/>
      <c r="L69" s="9"/>
      <c r="M69" s="10" t="s">
        <v>313</v>
      </c>
      <c r="N69" s="11" t="s">
        <v>314</v>
      </c>
      <c r="O69" s="12" t="s">
        <v>26</v>
      </c>
    </row>
    <row r="70" spans="1:15">
      <c r="A70" s="4">
        <v>66</v>
      </c>
      <c r="B70" s="5" t="s">
        <v>268</v>
      </c>
      <c r="C70" s="5" t="s">
        <v>278</v>
      </c>
      <c r="D70" s="5" t="s">
        <v>315</v>
      </c>
      <c r="E70" s="6" t="s">
        <v>316</v>
      </c>
      <c r="F70" s="7" t="s">
        <v>21</v>
      </c>
      <c r="G70" s="5" t="s">
        <v>29</v>
      </c>
      <c r="H70" s="8"/>
      <c r="I70" s="9"/>
      <c r="J70" s="9" t="s">
        <v>23</v>
      </c>
      <c r="K70" s="8"/>
      <c r="L70" s="9"/>
      <c r="M70" s="10" t="s">
        <v>317</v>
      </c>
      <c r="N70" s="11" t="s">
        <v>318</v>
      </c>
      <c r="O70" s="12" t="s">
        <v>26</v>
      </c>
    </row>
    <row r="71" spans="1:15">
      <c r="A71" s="4">
        <v>67</v>
      </c>
      <c r="B71" s="5" t="s">
        <v>268</v>
      </c>
      <c r="C71" s="5" t="s">
        <v>319</v>
      </c>
      <c r="D71" s="5" t="s">
        <v>320</v>
      </c>
      <c r="E71" s="6" t="s">
        <v>321</v>
      </c>
      <c r="F71" s="13" t="s">
        <v>34</v>
      </c>
      <c r="G71" s="5" t="s">
        <v>39</v>
      </c>
      <c r="H71" s="8"/>
      <c r="I71" s="9"/>
      <c r="J71" s="9" t="s">
        <v>23</v>
      </c>
      <c r="K71" s="8"/>
      <c r="L71" s="9"/>
      <c r="M71" s="10" t="s">
        <v>322</v>
      </c>
      <c r="N71" s="11" t="s">
        <v>323</v>
      </c>
      <c r="O71" s="12" t="s">
        <v>26</v>
      </c>
    </row>
    <row r="72" spans="1:15">
      <c r="A72" s="4">
        <v>68</v>
      </c>
      <c r="B72" s="5" t="s">
        <v>268</v>
      </c>
      <c r="C72" s="5" t="s">
        <v>278</v>
      </c>
      <c r="D72" s="5" t="s">
        <v>324</v>
      </c>
      <c r="E72" s="6" t="s">
        <v>325</v>
      </c>
      <c r="F72" s="7" t="s">
        <v>21</v>
      </c>
      <c r="G72" s="5" t="s">
        <v>29</v>
      </c>
      <c r="H72" s="8"/>
      <c r="I72" s="9"/>
      <c r="J72" s="9" t="s">
        <v>23</v>
      </c>
      <c r="K72" s="8"/>
      <c r="L72" s="9"/>
      <c r="M72" s="10" t="s">
        <v>326</v>
      </c>
      <c r="N72" s="11" t="s">
        <v>327</v>
      </c>
      <c r="O72" s="12" t="s">
        <v>26</v>
      </c>
    </row>
    <row r="73" spans="1:15">
      <c r="A73" s="4">
        <v>69</v>
      </c>
      <c r="B73" s="5" t="s">
        <v>268</v>
      </c>
      <c r="C73" s="5" t="s">
        <v>278</v>
      </c>
      <c r="D73" s="5" t="s">
        <v>328</v>
      </c>
      <c r="E73" s="6" t="s">
        <v>329</v>
      </c>
      <c r="F73" s="7" t="s">
        <v>21</v>
      </c>
      <c r="G73" s="5" t="s">
        <v>22</v>
      </c>
      <c r="H73" s="8"/>
      <c r="I73" s="9"/>
      <c r="J73" s="9" t="s">
        <v>23</v>
      </c>
      <c r="K73" s="8"/>
      <c r="L73" s="9"/>
      <c r="M73" s="10" t="s">
        <v>330</v>
      </c>
      <c r="N73" s="11" t="s">
        <v>331</v>
      </c>
      <c r="O73" s="12" t="s">
        <v>26</v>
      </c>
    </row>
    <row r="74" spans="1:15">
      <c r="A74" s="4">
        <v>70</v>
      </c>
      <c r="B74" s="5" t="s">
        <v>268</v>
      </c>
      <c r="C74" s="5" t="s">
        <v>278</v>
      </c>
      <c r="D74" s="5" t="s">
        <v>332</v>
      </c>
      <c r="E74" s="6" t="s">
        <v>333</v>
      </c>
      <c r="F74" s="7" t="s">
        <v>21</v>
      </c>
      <c r="G74" s="5" t="s">
        <v>29</v>
      </c>
      <c r="H74" s="8"/>
      <c r="I74" s="9"/>
      <c r="J74" s="9" t="s">
        <v>23</v>
      </c>
      <c r="K74" s="8"/>
      <c r="L74" s="9"/>
      <c r="M74" s="10" t="s">
        <v>334</v>
      </c>
      <c r="N74" s="11" t="s">
        <v>335</v>
      </c>
      <c r="O74" s="12" t="s">
        <v>26</v>
      </c>
    </row>
    <row r="75" spans="1:15">
      <c r="A75" s="4">
        <v>71</v>
      </c>
      <c r="B75" s="5" t="s">
        <v>268</v>
      </c>
      <c r="C75" s="5" t="s">
        <v>288</v>
      </c>
      <c r="D75" s="5" t="s">
        <v>336</v>
      </c>
      <c r="E75" s="6" t="s">
        <v>337</v>
      </c>
      <c r="F75" s="7" t="s">
        <v>21</v>
      </c>
      <c r="G75" s="5" t="s">
        <v>22</v>
      </c>
      <c r="H75" s="8"/>
      <c r="I75" s="9"/>
      <c r="J75" s="9" t="s">
        <v>23</v>
      </c>
      <c r="K75" s="8"/>
      <c r="L75" s="9"/>
      <c r="M75" s="10" t="s">
        <v>338</v>
      </c>
      <c r="N75" s="11" t="s">
        <v>339</v>
      </c>
      <c r="O75" s="12" t="s">
        <v>26</v>
      </c>
    </row>
    <row r="76" spans="1:15">
      <c r="A76" s="4">
        <v>72</v>
      </c>
      <c r="B76" s="5" t="s">
        <v>268</v>
      </c>
      <c r="C76" s="5" t="s">
        <v>288</v>
      </c>
      <c r="D76" s="5" t="s">
        <v>340</v>
      </c>
      <c r="E76" s="6" t="s">
        <v>341</v>
      </c>
      <c r="F76" s="7" t="s">
        <v>21</v>
      </c>
      <c r="G76" s="5" t="s">
        <v>29</v>
      </c>
      <c r="H76" s="8"/>
      <c r="I76" s="9"/>
      <c r="J76" s="9" t="s">
        <v>23</v>
      </c>
      <c r="K76" s="8"/>
      <c r="L76" s="9"/>
      <c r="M76" s="10" t="s">
        <v>342</v>
      </c>
      <c r="N76" s="11" t="s">
        <v>343</v>
      </c>
      <c r="O76" s="12" t="s">
        <v>26</v>
      </c>
    </row>
    <row r="77" spans="1:15">
      <c r="A77" s="4">
        <v>73</v>
      </c>
      <c r="B77" s="5" t="s">
        <v>344</v>
      </c>
      <c r="C77" s="5" t="s">
        <v>345</v>
      </c>
      <c r="D77" s="5" t="s">
        <v>346</v>
      </c>
      <c r="E77" s="6" t="s">
        <v>347</v>
      </c>
      <c r="F77" s="7" t="s">
        <v>21</v>
      </c>
      <c r="G77" s="5" t="s">
        <v>22</v>
      </c>
      <c r="H77" s="8"/>
      <c r="I77" s="9"/>
      <c r="J77" s="9" t="s">
        <v>23</v>
      </c>
      <c r="K77" s="8"/>
      <c r="L77" s="9"/>
      <c r="M77" s="10" t="s">
        <v>348</v>
      </c>
      <c r="N77" s="11" t="s">
        <v>349</v>
      </c>
      <c r="O77" s="12" t="s">
        <v>26</v>
      </c>
    </row>
    <row r="78" spans="1:15">
      <c r="A78" s="4">
        <v>74</v>
      </c>
      <c r="B78" s="5" t="s">
        <v>344</v>
      </c>
      <c r="C78" s="5" t="s">
        <v>345</v>
      </c>
      <c r="D78" s="5" t="s">
        <v>350</v>
      </c>
      <c r="E78" s="6" t="s">
        <v>351</v>
      </c>
      <c r="F78" s="7" t="s">
        <v>21</v>
      </c>
      <c r="G78" s="5" t="s">
        <v>22</v>
      </c>
      <c r="H78" s="8"/>
      <c r="I78" s="9"/>
      <c r="J78" s="9" t="s">
        <v>23</v>
      </c>
      <c r="K78" s="8"/>
      <c r="L78" s="9"/>
      <c r="M78" s="10" t="s">
        <v>352</v>
      </c>
      <c r="N78" s="11" t="s">
        <v>353</v>
      </c>
      <c r="O78" s="12" t="s">
        <v>26</v>
      </c>
    </row>
    <row r="79" spans="1:15">
      <c r="A79" s="4">
        <v>75</v>
      </c>
      <c r="B79" s="5" t="s">
        <v>344</v>
      </c>
      <c r="C79" s="5" t="s">
        <v>354</v>
      </c>
      <c r="D79" s="5" t="s">
        <v>355</v>
      </c>
      <c r="E79" s="6" t="s">
        <v>356</v>
      </c>
      <c r="F79" s="7" t="s">
        <v>21</v>
      </c>
      <c r="G79" s="5" t="s">
        <v>22</v>
      </c>
      <c r="H79" s="8"/>
      <c r="I79" s="9"/>
      <c r="J79" s="9" t="s">
        <v>23</v>
      </c>
      <c r="K79" s="8"/>
      <c r="L79" s="9"/>
      <c r="M79" s="10" t="s">
        <v>357</v>
      </c>
      <c r="N79" s="11" t="s">
        <v>358</v>
      </c>
      <c r="O79" s="12" t="s">
        <v>26</v>
      </c>
    </row>
    <row r="80" spans="1:15">
      <c r="A80" s="4">
        <v>76</v>
      </c>
      <c r="B80" s="5" t="s">
        <v>344</v>
      </c>
      <c r="C80" s="5" t="s">
        <v>354</v>
      </c>
      <c r="D80" s="5" t="s">
        <v>359</v>
      </c>
      <c r="E80" s="6" t="s">
        <v>360</v>
      </c>
      <c r="F80" s="7" t="s">
        <v>21</v>
      </c>
      <c r="G80" s="5" t="s">
        <v>29</v>
      </c>
      <c r="H80" s="8"/>
      <c r="I80" s="9"/>
      <c r="J80" s="9" t="s">
        <v>23</v>
      </c>
      <c r="K80" s="8"/>
      <c r="L80" s="9"/>
      <c r="M80" s="10" t="s">
        <v>361</v>
      </c>
      <c r="N80" s="11" t="s">
        <v>362</v>
      </c>
      <c r="O80" s="12" t="s">
        <v>26</v>
      </c>
    </row>
    <row r="81" spans="1:15">
      <c r="A81" s="4">
        <v>77</v>
      </c>
      <c r="B81" s="5" t="s">
        <v>344</v>
      </c>
      <c r="C81" s="5" t="s">
        <v>354</v>
      </c>
      <c r="D81" s="5" t="s">
        <v>363</v>
      </c>
      <c r="E81" s="6" t="s">
        <v>364</v>
      </c>
      <c r="F81" s="7" t="s">
        <v>21</v>
      </c>
      <c r="G81" s="5" t="s">
        <v>22</v>
      </c>
      <c r="H81" s="8"/>
      <c r="I81" s="9"/>
      <c r="J81" s="9" t="s">
        <v>23</v>
      </c>
      <c r="K81" s="8"/>
      <c r="L81" s="9"/>
      <c r="M81" s="10" t="s">
        <v>365</v>
      </c>
      <c r="N81" s="11" t="s">
        <v>366</v>
      </c>
      <c r="O81" s="12" t="s">
        <v>26</v>
      </c>
    </row>
    <row r="82" spans="1:15">
      <c r="A82" s="4">
        <v>78</v>
      </c>
      <c r="B82" s="5" t="s">
        <v>344</v>
      </c>
      <c r="C82" s="5" t="s">
        <v>367</v>
      </c>
      <c r="D82" s="5" t="s">
        <v>368</v>
      </c>
      <c r="E82" s="6" t="s">
        <v>369</v>
      </c>
      <c r="F82" s="7" t="s">
        <v>21</v>
      </c>
      <c r="G82" s="5" t="s">
        <v>29</v>
      </c>
      <c r="H82" s="8"/>
      <c r="I82" s="9"/>
      <c r="J82" s="9" t="s">
        <v>23</v>
      </c>
      <c r="K82" s="8"/>
      <c r="L82" s="9"/>
      <c r="M82" s="10" t="s">
        <v>370</v>
      </c>
      <c r="N82" s="11" t="s">
        <v>371</v>
      </c>
      <c r="O82" s="12" t="s">
        <v>26</v>
      </c>
    </row>
    <row r="83" spans="1:15">
      <c r="A83" s="4">
        <v>79</v>
      </c>
      <c r="B83" s="5" t="s">
        <v>344</v>
      </c>
      <c r="C83" s="5" t="s">
        <v>372</v>
      </c>
      <c r="D83" s="5" t="s">
        <v>373</v>
      </c>
      <c r="E83" s="6" t="s">
        <v>374</v>
      </c>
      <c r="F83" s="7" t="s">
        <v>21</v>
      </c>
      <c r="G83" s="5" t="s">
        <v>22</v>
      </c>
      <c r="H83" s="8"/>
      <c r="I83" s="9"/>
      <c r="J83" s="9" t="s">
        <v>23</v>
      </c>
      <c r="K83" s="8"/>
      <c r="L83" s="9"/>
      <c r="M83" s="10" t="s">
        <v>375</v>
      </c>
      <c r="N83" s="11" t="s">
        <v>376</v>
      </c>
      <c r="O83" s="12" t="s">
        <v>26</v>
      </c>
    </row>
    <row r="84" spans="1:15">
      <c r="A84" s="4">
        <v>80</v>
      </c>
      <c r="B84" s="5" t="s">
        <v>344</v>
      </c>
      <c r="C84" s="5" t="s">
        <v>377</v>
      </c>
      <c r="D84" s="5" t="s">
        <v>378</v>
      </c>
      <c r="E84" s="6" t="s">
        <v>379</v>
      </c>
      <c r="F84" s="7" t="s">
        <v>21</v>
      </c>
      <c r="G84" s="5" t="s">
        <v>29</v>
      </c>
      <c r="H84" s="8"/>
      <c r="I84" s="9"/>
      <c r="J84" s="9" t="s">
        <v>23</v>
      </c>
      <c r="K84" s="8"/>
      <c r="L84" s="9"/>
      <c r="M84" s="10" t="s">
        <v>380</v>
      </c>
      <c r="N84" s="11" t="s">
        <v>381</v>
      </c>
      <c r="O84" s="12" t="s">
        <v>26</v>
      </c>
    </row>
    <row r="85" spans="1:15">
      <c r="A85" s="4">
        <v>81</v>
      </c>
      <c r="B85" s="5" t="s">
        <v>344</v>
      </c>
      <c r="C85" s="5" t="s">
        <v>354</v>
      </c>
      <c r="D85" s="5" t="s">
        <v>382</v>
      </c>
      <c r="E85" s="6" t="s">
        <v>383</v>
      </c>
      <c r="F85" s="7" t="s">
        <v>21</v>
      </c>
      <c r="G85" s="5" t="s">
        <v>22</v>
      </c>
      <c r="H85" s="8"/>
      <c r="I85" s="9"/>
      <c r="J85" s="9" t="s">
        <v>23</v>
      </c>
      <c r="K85" s="8"/>
      <c r="L85" s="9"/>
      <c r="M85" s="10" t="s">
        <v>384</v>
      </c>
      <c r="N85" s="11" t="s">
        <v>385</v>
      </c>
      <c r="O85" s="12" t="s">
        <v>26</v>
      </c>
    </row>
    <row r="86" spans="1:15">
      <c r="A86" s="4">
        <v>82</v>
      </c>
      <c r="B86" s="5" t="s">
        <v>344</v>
      </c>
      <c r="C86" s="5" t="s">
        <v>354</v>
      </c>
      <c r="D86" s="5" t="s">
        <v>386</v>
      </c>
      <c r="E86" s="6" t="s">
        <v>387</v>
      </c>
      <c r="F86" s="13" t="s">
        <v>34</v>
      </c>
      <c r="G86" s="5" t="s">
        <v>39</v>
      </c>
      <c r="H86" s="8"/>
      <c r="I86" s="9"/>
      <c r="J86" s="9" t="s">
        <v>23</v>
      </c>
      <c r="K86" s="8"/>
      <c r="L86" s="9"/>
      <c r="M86" s="10" t="s">
        <v>388</v>
      </c>
      <c r="N86" s="11" t="s">
        <v>389</v>
      </c>
      <c r="O86" s="12" t="s">
        <v>26</v>
      </c>
    </row>
    <row r="87" spans="1:15">
      <c r="A87" s="4">
        <v>83</v>
      </c>
      <c r="B87" s="5" t="s">
        <v>344</v>
      </c>
      <c r="C87" s="5" t="s">
        <v>354</v>
      </c>
      <c r="D87" s="5" t="s">
        <v>390</v>
      </c>
      <c r="E87" s="6" t="s">
        <v>391</v>
      </c>
      <c r="F87" s="7" t="s">
        <v>21</v>
      </c>
      <c r="G87" s="5" t="s">
        <v>29</v>
      </c>
      <c r="H87" s="8"/>
      <c r="I87" s="9"/>
      <c r="J87" s="9" t="s">
        <v>23</v>
      </c>
      <c r="K87" s="8"/>
      <c r="L87" s="9"/>
      <c r="M87" s="10" t="s">
        <v>361</v>
      </c>
      <c r="N87" s="11" t="s">
        <v>392</v>
      </c>
      <c r="O87" s="12" t="s">
        <v>26</v>
      </c>
    </row>
    <row r="88" spans="1:15">
      <c r="A88" s="4">
        <v>84</v>
      </c>
      <c r="B88" s="5" t="s">
        <v>344</v>
      </c>
      <c r="C88" s="5" t="s">
        <v>354</v>
      </c>
      <c r="D88" s="5" t="s">
        <v>393</v>
      </c>
      <c r="E88" s="6" t="s">
        <v>394</v>
      </c>
      <c r="F88" s="13" t="s">
        <v>34</v>
      </c>
      <c r="G88" s="5" t="s">
        <v>22</v>
      </c>
      <c r="H88" s="8"/>
      <c r="I88" s="9"/>
      <c r="J88" s="9" t="s">
        <v>23</v>
      </c>
      <c r="K88" s="8"/>
      <c r="L88" s="9"/>
      <c r="M88" s="10" t="s">
        <v>395</v>
      </c>
      <c r="N88" s="11" t="s">
        <v>396</v>
      </c>
      <c r="O88" s="12" t="s">
        <v>26</v>
      </c>
    </row>
    <row r="89" spans="1:15">
      <c r="A89" s="4">
        <v>85</v>
      </c>
      <c r="B89" s="5" t="s">
        <v>344</v>
      </c>
      <c r="C89" s="5" t="s">
        <v>354</v>
      </c>
      <c r="D89" s="5" t="s">
        <v>397</v>
      </c>
      <c r="E89" s="6" t="s">
        <v>398</v>
      </c>
      <c r="F89" s="7" t="s">
        <v>21</v>
      </c>
      <c r="G89" s="5" t="s">
        <v>22</v>
      </c>
      <c r="H89" s="8"/>
      <c r="I89" s="9"/>
      <c r="J89" s="9" t="s">
        <v>23</v>
      </c>
      <c r="K89" s="8"/>
      <c r="L89" s="9"/>
      <c r="M89" s="10" t="s">
        <v>399</v>
      </c>
      <c r="N89" s="11" t="s">
        <v>400</v>
      </c>
      <c r="O89" s="12" t="s">
        <v>26</v>
      </c>
    </row>
    <row r="90" spans="1:15">
      <c r="A90" s="4">
        <v>86</v>
      </c>
      <c r="B90" s="5" t="s">
        <v>401</v>
      </c>
      <c r="C90" s="5" t="s">
        <v>402</v>
      </c>
      <c r="D90" s="5" t="s">
        <v>403</v>
      </c>
      <c r="E90" s="6" t="s">
        <v>404</v>
      </c>
      <c r="F90" s="7" t="s">
        <v>21</v>
      </c>
      <c r="G90" s="5" t="s">
        <v>22</v>
      </c>
      <c r="H90" s="8"/>
      <c r="I90" s="9"/>
      <c r="J90" s="9" t="s">
        <v>23</v>
      </c>
      <c r="K90" s="8"/>
      <c r="L90" s="9"/>
      <c r="M90" s="10" t="s">
        <v>361</v>
      </c>
      <c r="N90" s="11" t="s">
        <v>405</v>
      </c>
      <c r="O90" s="12" t="s">
        <v>26</v>
      </c>
    </row>
    <row r="91" spans="1:15">
      <c r="A91" s="4">
        <v>87</v>
      </c>
      <c r="B91" s="5" t="s">
        <v>401</v>
      </c>
      <c r="C91" s="5" t="s">
        <v>406</v>
      </c>
      <c r="D91" s="5" t="s">
        <v>407</v>
      </c>
      <c r="E91" s="6" t="s">
        <v>408</v>
      </c>
      <c r="F91" s="7" t="s">
        <v>21</v>
      </c>
      <c r="G91" s="5" t="s">
        <v>22</v>
      </c>
      <c r="H91" s="8"/>
      <c r="I91" s="9"/>
      <c r="J91" s="9" t="s">
        <v>23</v>
      </c>
      <c r="K91" s="8"/>
      <c r="L91" s="9"/>
      <c r="M91" s="10" t="s">
        <v>409</v>
      </c>
      <c r="N91" s="11" t="s">
        <v>410</v>
      </c>
      <c r="O91" s="12" t="s">
        <v>26</v>
      </c>
    </row>
    <row r="92" spans="1:15">
      <c r="A92" s="4">
        <v>88</v>
      </c>
      <c r="B92" s="5" t="s">
        <v>401</v>
      </c>
      <c r="C92" s="5" t="s">
        <v>411</v>
      </c>
      <c r="D92" s="5" t="s">
        <v>412</v>
      </c>
      <c r="E92" s="6" t="s">
        <v>413</v>
      </c>
      <c r="F92" s="7" t="s">
        <v>21</v>
      </c>
      <c r="G92" s="5" t="s">
        <v>22</v>
      </c>
      <c r="H92" s="8"/>
      <c r="I92" s="9"/>
      <c r="J92" s="9" t="s">
        <v>23</v>
      </c>
      <c r="K92" s="8"/>
      <c r="L92" s="9"/>
      <c r="M92" s="10" t="s">
        <v>414</v>
      </c>
      <c r="N92" s="11" t="s">
        <v>415</v>
      </c>
      <c r="O92" s="12" t="s">
        <v>26</v>
      </c>
    </row>
    <row r="93" spans="1:15">
      <c r="A93" s="4">
        <v>89</v>
      </c>
      <c r="B93" s="5" t="s">
        <v>401</v>
      </c>
      <c r="C93" s="5" t="s">
        <v>406</v>
      </c>
      <c r="D93" s="5" t="s">
        <v>416</v>
      </c>
      <c r="E93" s="6" t="s">
        <v>417</v>
      </c>
      <c r="F93" s="13" t="s">
        <v>34</v>
      </c>
      <c r="G93" s="5" t="s">
        <v>22</v>
      </c>
      <c r="H93" s="8"/>
      <c r="I93" s="9"/>
      <c r="J93" s="9" t="s">
        <v>23</v>
      </c>
      <c r="K93" s="8"/>
      <c r="L93" s="9"/>
      <c r="M93" s="10" t="s">
        <v>418</v>
      </c>
      <c r="N93" s="11" t="s">
        <v>419</v>
      </c>
      <c r="O93" s="12" t="s">
        <v>26</v>
      </c>
    </row>
    <row r="94" spans="1:15">
      <c r="A94" s="4">
        <v>90</v>
      </c>
      <c r="B94" s="5" t="s">
        <v>401</v>
      </c>
      <c r="C94" s="5" t="s">
        <v>411</v>
      </c>
      <c r="D94" s="5" t="s">
        <v>420</v>
      </c>
      <c r="E94" s="6" t="s">
        <v>421</v>
      </c>
      <c r="F94" s="7" t="s">
        <v>21</v>
      </c>
      <c r="G94" s="5" t="s">
        <v>22</v>
      </c>
      <c r="H94" s="8"/>
      <c r="I94" s="9"/>
      <c r="J94" s="9" t="s">
        <v>23</v>
      </c>
      <c r="K94" s="8"/>
      <c r="L94" s="9"/>
      <c r="M94" s="10" t="s">
        <v>422</v>
      </c>
      <c r="N94" s="11" t="s">
        <v>423</v>
      </c>
      <c r="O94" s="12" t="s">
        <v>26</v>
      </c>
    </row>
    <row r="95" spans="1:15">
      <c r="A95" s="4">
        <v>91</v>
      </c>
      <c r="B95" s="5" t="s">
        <v>401</v>
      </c>
      <c r="C95" s="5" t="s">
        <v>424</v>
      </c>
      <c r="D95" s="5" t="s">
        <v>425</v>
      </c>
      <c r="E95" s="6" t="s">
        <v>426</v>
      </c>
      <c r="F95" s="7" t="s">
        <v>21</v>
      </c>
      <c r="G95" s="5" t="s">
        <v>22</v>
      </c>
      <c r="H95" s="8"/>
      <c r="I95" s="9"/>
      <c r="J95" s="9" t="s">
        <v>23</v>
      </c>
      <c r="K95" s="8"/>
      <c r="L95" s="9"/>
      <c r="M95" s="10" t="s">
        <v>427</v>
      </c>
      <c r="N95" s="11" t="s">
        <v>428</v>
      </c>
      <c r="O95" s="12" t="s">
        <v>26</v>
      </c>
    </row>
    <row r="96" spans="1:15">
      <c r="A96" s="4">
        <v>92</v>
      </c>
      <c r="B96" s="5" t="s">
        <v>401</v>
      </c>
      <c r="C96" s="5" t="s">
        <v>429</v>
      </c>
      <c r="D96" s="5" t="s">
        <v>430</v>
      </c>
      <c r="E96" s="6" t="s">
        <v>431</v>
      </c>
      <c r="F96" s="7" t="s">
        <v>21</v>
      </c>
      <c r="G96" s="5" t="s">
        <v>22</v>
      </c>
      <c r="H96" s="8"/>
      <c r="I96" s="9"/>
      <c r="J96" s="9" t="s">
        <v>23</v>
      </c>
      <c r="K96" s="8"/>
      <c r="L96" s="9"/>
      <c r="M96" s="10" t="s">
        <v>432</v>
      </c>
      <c r="N96" s="11" t="s">
        <v>433</v>
      </c>
      <c r="O96" s="12" t="s">
        <v>26</v>
      </c>
    </row>
    <row r="97" spans="1:15">
      <c r="A97" s="4">
        <v>93</v>
      </c>
      <c r="B97" s="5" t="s">
        <v>401</v>
      </c>
      <c r="C97" s="5" t="s">
        <v>434</v>
      </c>
      <c r="D97" s="5" t="s">
        <v>435</v>
      </c>
      <c r="E97" s="6" t="s">
        <v>436</v>
      </c>
      <c r="F97" s="7" t="s">
        <v>21</v>
      </c>
      <c r="G97" s="5" t="s">
        <v>29</v>
      </c>
      <c r="H97" s="8"/>
      <c r="I97" s="9"/>
      <c r="J97" s="9" t="s">
        <v>23</v>
      </c>
      <c r="K97" s="8"/>
      <c r="L97" s="9"/>
      <c r="M97" s="10" t="s">
        <v>437</v>
      </c>
      <c r="N97" s="11" t="s">
        <v>438</v>
      </c>
      <c r="O97" s="12" t="s">
        <v>26</v>
      </c>
    </row>
    <row r="98" spans="1:15">
      <c r="A98" s="4">
        <v>94</v>
      </c>
      <c r="B98" s="5" t="s">
        <v>401</v>
      </c>
      <c r="C98" s="5" t="s">
        <v>406</v>
      </c>
      <c r="D98" s="5" t="s">
        <v>439</v>
      </c>
      <c r="E98" s="6" t="s">
        <v>440</v>
      </c>
      <c r="F98" s="7" t="s">
        <v>21</v>
      </c>
      <c r="G98" s="5" t="s">
        <v>29</v>
      </c>
      <c r="H98" s="8"/>
      <c r="I98" s="9"/>
      <c r="J98" s="9" t="s">
        <v>23</v>
      </c>
      <c r="K98" s="8"/>
      <c r="L98" s="9"/>
      <c r="M98" s="10" t="s">
        <v>441</v>
      </c>
      <c r="N98" s="11" t="s">
        <v>442</v>
      </c>
      <c r="O98" s="12" t="s">
        <v>26</v>
      </c>
    </row>
    <row r="99" spans="1:15">
      <c r="A99" s="4">
        <v>95</v>
      </c>
      <c r="B99" s="5" t="s">
        <v>401</v>
      </c>
      <c r="C99" s="5" t="s">
        <v>424</v>
      </c>
      <c r="D99" s="5" t="s">
        <v>443</v>
      </c>
      <c r="E99" s="6" t="s">
        <v>444</v>
      </c>
      <c r="F99" s="7" t="s">
        <v>21</v>
      </c>
      <c r="G99" s="5" t="s">
        <v>22</v>
      </c>
      <c r="H99" s="8"/>
      <c r="I99" s="9"/>
      <c r="J99" s="9" t="s">
        <v>23</v>
      </c>
      <c r="K99" s="8"/>
      <c r="L99" s="9"/>
      <c r="M99" s="10" t="s">
        <v>445</v>
      </c>
      <c r="N99" s="11" t="s">
        <v>446</v>
      </c>
      <c r="O99" s="12" t="s">
        <v>26</v>
      </c>
    </row>
    <row r="100" spans="1:15">
      <c r="A100" s="4">
        <v>96</v>
      </c>
      <c r="B100" s="5" t="s">
        <v>401</v>
      </c>
      <c r="C100" s="5" t="s">
        <v>429</v>
      </c>
      <c r="D100" s="5" t="s">
        <v>447</v>
      </c>
      <c r="E100" s="6" t="s">
        <v>448</v>
      </c>
      <c r="F100" s="7" t="s">
        <v>21</v>
      </c>
      <c r="G100" s="5" t="s">
        <v>22</v>
      </c>
      <c r="H100" s="8"/>
      <c r="I100" s="9"/>
      <c r="J100" s="9" t="s">
        <v>23</v>
      </c>
      <c r="K100" s="8"/>
      <c r="L100" s="9"/>
      <c r="M100" s="10" t="s">
        <v>449</v>
      </c>
      <c r="N100" s="11" t="s">
        <v>450</v>
      </c>
      <c r="O100" s="12" t="s">
        <v>26</v>
      </c>
    </row>
    <row r="101" spans="1:15">
      <c r="A101" s="4">
        <v>97</v>
      </c>
      <c r="B101" s="5" t="s">
        <v>401</v>
      </c>
      <c r="C101" s="5" t="s">
        <v>406</v>
      </c>
      <c r="D101" s="5" t="s">
        <v>451</v>
      </c>
      <c r="E101" s="6" t="s">
        <v>452</v>
      </c>
      <c r="F101" s="7" t="s">
        <v>21</v>
      </c>
      <c r="G101" s="5" t="s">
        <v>22</v>
      </c>
      <c r="H101" s="8"/>
      <c r="I101" s="9"/>
      <c r="J101" s="9" t="s">
        <v>23</v>
      </c>
      <c r="K101" s="8"/>
      <c r="L101" s="9"/>
      <c r="M101" s="10" t="s">
        <v>453</v>
      </c>
      <c r="N101" s="11" t="s">
        <v>454</v>
      </c>
      <c r="O101" s="12" t="s">
        <v>26</v>
      </c>
    </row>
    <row r="102" spans="1:15">
      <c r="A102" s="4">
        <v>98</v>
      </c>
      <c r="B102" s="5" t="s">
        <v>401</v>
      </c>
      <c r="C102" s="5" t="s">
        <v>429</v>
      </c>
      <c r="D102" s="5" t="s">
        <v>455</v>
      </c>
      <c r="E102" s="6" t="s">
        <v>456</v>
      </c>
      <c r="F102" s="7" t="s">
        <v>21</v>
      </c>
      <c r="G102" s="5" t="s">
        <v>29</v>
      </c>
      <c r="H102" s="8"/>
      <c r="I102" s="9"/>
      <c r="J102" s="9" t="s">
        <v>23</v>
      </c>
      <c r="K102" s="8"/>
      <c r="L102" s="9"/>
      <c r="M102" s="10" t="s">
        <v>457</v>
      </c>
      <c r="N102" s="11" t="s">
        <v>458</v>
      </c>
      <c r="O102" s="12" t="s">
        <v>26</v>
      </c>
    </row>
    <row r="103" spans="1:15">
      <c r="A103" s="4">
        <v>99</v>
      </c>
      <c r="B103" s="5" t="s">
        <v>401</v>
      </c>
      <c r="C103" s="5" t="s">
        <v>459</v>
      </c>
      <c r="D103" s="5" t="s">
        <v>460</v>
      </c>
      <c r="E103" s="6" t="s">
        <v>461</v>
      </c>
      <c r="F103" s="7" t="s">
        <v>21</v>
      </c>
      <c r="G103" s="5" t="s">
        <v>22</v>
      </c>
      <c r="H103" s="8"/>
      <c r="I103" s="9"/>
      <c r="J103" s="9" t="s">
        <v>23</v>
      </c>
      <c r="K103" s="8"/>
      <c r="L103" s="9"/>
      <c r="M103" s="10" t="s">
        <v>462</v>
      </c>
      <c r="N103" s="11" t="s">
        <v>463</v>
      </c>
      <c r="O103" s="12" t="s">
        <v>26</v>
      </c>
    </row>
    <row r="104" spans="1:15">
      <c r="A104" s="4">
        <v>100</v>
      </c>
      <c r="B104" s="5" t="s">
        <v>401</v>
      </c>
      <c r="C104" s="5" t="s">
        <v>406</v>
      </c>
      <c r="D104" s="5" t="s">
        <v>464</v>
      </c>
      <c r="E104" s="6" t="s">
        <v>465</v>
      </c>
      <c r="F104" s="13" t="s">
        <v>34</v>
      </c>
      <c r="G104" s="5" t="s">
        <v>29</v>
      </c>
      <c r="H104" s="8"/>
      <c r="I104" s="9"/>
      <c r="J104" s="9" t="s">
        <v>23</v>
      </c>
      <c r="K104" s="8"/>
      <c r="L104" s="9"/>
      <c r="M104" s="10" t="s">
        <v>466</v>
      </c>
      <c r="N104" s="11" t="s">
        <v>467</v>
      </c>
      <c r="O104" s="12" t="s">
        <v>26</v>
      </c>
    </row>
    <row r="105" spans="1:15">
      <c r="A105" s="4">
        <v>101</v>
      </c>
      <c r="B105" s="5" t="s">
        <v>401</v>
      </c>
      <c r="C105" s="5" t="s">
        <v>468</v>
      </c>
      <c r="D105" s="5" t="s">
        <v>469</v>
      </c>
      <c r="E105" s="6" t="s">
        <v>470</v>
      </c>
      <c r="F105" s="13" t="s">
        <v>34</v>
      </c>
      <c r="G105" s="5" t="s">
        <v>22</v>
      </c>
      <c r="H105" s="8"/>
      <c r="I105" s="9"/>
      <c r="J105" s="9" t="s">
        <v>23</v>
      </c>
      <c r="K105" s="8"/>
      <c r="L105" s="9"/>
      <c r="M105" s="10" t="s">
        <v>471</v>
      </c>
      <c r="N105" s="11" t="s">
        <v>472</v>
      </c>
      <c r="O105" s="12" t="s">
        <v>26</v>
      </c>
    </row>
    <row r="106" spans="1:15">
      <c r="A106" s="4">
        <v>102</v>
      </c>
      <c r="B106" s="5" t="s">
        <v>401</v>
      </c>
      <c r="C106" s="5" t="s">
        <v>402</v>
      </c>
      <c r="D106" s="5" t="s">
        <v>473</v>
      </c>
      <c r="E106" s="6" t="s">
        <v>474</v>
      </c>
      <c r="F106" s="13" t="s">
        <v>34</v>
      </c>
      <c r="G106" s="5" t="s">
        <v>29</v>
      </c>
      <c r="H106" s="8"/>
      <c r="I106" s="9"/>
      <c r="J106" s="9" t="s">
        <v>23</v>
      </c>
      <c r="K106" s="8"/>
      <c r="L106" s="9"/>
      <c r="M106" s="10" t="s">
        <v>475</v>
      </c>
      <c r="N106" s="11" t="s">
        <v>476</v>
      </c>
      <c r="O106" s="12" t="s">
        <v>26</v>
      </c>
    </row>
    <row r="107" spans="1:15">
      <c r="A107" s="4">
        <v>103</v>
      </c>
      <c r="B107" s="5" t="s">
        <v>401</v>
      </c>
      <c r="C107" s="5" t="s">
        <v>406</v>
      </c>
      <c r="D107" s="5" t="s">
        <v>477</v>
      </c>
      <c r="E107" s="6" t="s">
        <v>478</v>
      </c>
      <c r="F107" s="7" t="s">
        <v>21</v>
      </c>
      <c r="G107" s="5" t="s">
        <v>22</v>
      </c>
      <c r="H107" s="8"/>
      <c r="I107" s="9"/>
      <c r="J107" s="9" t="s">
        <v>23</v>
      </c>
      <c r="K107" s="8"/>
      <c r="L107" s="9"/>
      <c r="M107" s="10" t="s">
        <v>479</v>
      </c>
      <c r="N107" s="11" t="s">
        <v>480</v>
      </c>
      <c r="O107" s="12" t="s">
        <v>26</v>
      </c>
    </row>
    <row r="108" spans="1:15">
      <c r="A108" s="4">
        <v>104</v>
      </c>
      <c r="B108" s="5" t="s">
        <v>481</v>
      </c>
      <c r="C108" s="5" t="s">
        <v>482</v>
      </c>
      <c r="D108" s="5" t="s">
        <v>483</v>
      </c>
      <c r="E108" s="6" t="s">
        <v>484</v>
      </c>
      <c r="F108" s="7" t="s">
        <v>21</v>
      </c>
      <c r="G108" s="5" t="s">
        <v>485</v>
      </c>
      <c r="H108" s="8"/>
      <c r="I108" s="9"/>
      <c r="J108" s="9" t="s">
        <v>23</v>
      </c>
      <c r="K108" s="8"/>
      <c r="L108" s="9"/>
      <c r="M108" s="10" t="s">
        <v>486</v>
      </c>
      <c r="N108" s="11" t="s">
        <v>487</v>
      </c>
      <c r="O108" s="12" t="s">
        <v>26</v>
      </c>
    </row>
    <row r="109" spans="1:15">
      <c r="A109" s="4">
        <v>105</v>
      </c>
      <c r="B109" s="5" t="s">
        <v>481</v>
      </c>
      <c r="C109" s="5" t="s">
        <v>488</v>
      </c>
      <c r="D109" s="5" t="s">
        <v>489</v>
      </c>
      <c r="E109" s="6" t="s">
        <v>490</v>
      </c>
      <c r="F109" s="13" t="s">
        <v>34</v>
      </c>
      <c r="G109" s="5" t="s">
        <v>22</v>
      </c>
      <c r="H109" s="8"/>
      <c r="I109" s="9"/>
      <c r="J109" s="9" t="s">
        <v>23</v>
      </c>
      <c r="K109" s="8"/>
      <c r="L109" s="9"/>
      <c r="M109" s="10" t="s">
        <v>491</v>
      </c>
      <c r="N109" s="11" t="s">
        <v>492</v>
      </c>
      <c r="O109" s="12" t="s">
        <v>26</v>
      </c>
    </row>
    <row r="110" spans="1:15">
      <c r="A110" s="4">
        <v>106</v>
      </c>
      <c r="B110" s="5" t="s">
        <v>481</v>
      </c>
      <c r="C110" s="5" t="s">
        <v>488</v>
      </c>
      <c r="D110" s="5" t="s">
        <v>493</v>
      </c>
      <c r="E110" s="6" t="s">
        <v>494</v>
      </c>
      <c r="F110" s="7" t="s">
        <v>21</v>
      </c>
      <c r="G110" s="5" t="s">
        <v>29</v>
      </c>
      <c r="H110" s="8"/>
      <c r="I110" s="9"/>
      <c r="J110" s="9" t="s">
        <v>23</v>
      </c>
      <c r="K110" s="8"/>
      <c r="L110" s="9"/>
      <c r="M110" s="10" t="s">
        <v>495</v>
      </c>
      <c r="N110" s="11" t="s">
        <v>492</v>
      </c>
      <c r="O110" s="12" t="s">
        <v>26</v>
      </c>
    </row>
    <row r="111" spans="1:15">
      <c r="A111" s="4">
        <v>107</v>
      </c>
      <c r="B111" s="5" t="s">
        <v>481</v>
      </c>
      <c r="C111" s="5" t="s">
        <v>488</v>
      </c>
      <c r="D111" s="5" t="s">
        <v>496</v>
      </c>
      <c r="E111" s="6" t="s">
        <v>497</v>
      </c>
      <c r="F111" s="7" t="s">
        <v>21</v>
      </c>
      <c r="G111" s="5" t="s">
        <v>22</v>
      </c>
      <c r="H111" s="8"/>
      <c r="I111" s="9"/>
      <c r="J111" s="9" t="s">
        <v>23</v>
      </c>
      <c r="K111" s="8"/>
      <c r="L111" s="9"/>
      <c r="M111" s="10" t="s">
        <v>498</v>
      </c>
      <c r="N111" s="11" t="s">
        <v>499</v>
      </c>
      <c r="O111" s="12" t="s">
        <v>26</v>
      </c>
    </row>
    <row r="112" spans="1:15">
      <c r="A112" s="4">
        <v>108</v>
      </c>
      <c r="B112" s="5" t="s">
        <v>481</v>
      </c>
      <c r="C112" s="5" t="s">
        <v>488</v>
      </c>
      <c r="D112" s="5" t="s">
        <v>500</v>
      </c>
      <c r="E112" s="6" t="s">
        <v>501</v>
      </c>
      <c r="F112" s="7" t="s">
        <v>21</v>
      </c>
      <c r="G112" s="5" t="s">
        <v>22</v>
      </c>
      <c r="H112" s="8"/>
      <c r="I112" s="9"/>
      <c r="J112" s="9" t="s">
        <v>23</v>
      </c>
      <c r="K112" s="8"/>
      <c r="L112" s="9"/>
      <c r="M112" s="10" t="s">
        <v>502</v>
      </c>
      <c r="N112" s="11" t="s">
        <v>492</v>
      </c>
      <c r="O112" s="12" t="s">
        <v>26</v>
      </c>
    </row>
    <row r="113" spans="1:15">
      <c r="A113" s="4">
        <v>109</v>
      </c>
      <c r="B113" s="5" t="s">
        <v>503</v>
      </c>
      <c r="C113" s="5" t="s">
        <v>504</v>
      </c>
      <c r="D113" s="5" t="s">
        <v>505</v>
      </c>
      <c r="E113" s="6" t="s">
        <v>506</v>
      </c>
      <c r="F113" s="7" t="s">
        <v>21</v>
      </c>
      <c r="G113" s="5" t="s">
        <v>22</v>
      </c>
      <c r="H113" s="8"/>
      <c r="I113" s="9"/>
      <c r="J113" s="9" t="s">
        <v>23</v>
      </c>
      <c r="K113" s="8"/>
      <c r="L113" s="9"/>
      <c r="M113" s="10" t="s">
        <v>507</v>
      </c>
      <c r="N113" s="11" t="s">
        <v>508</v>
      </c>
      <c r="O113" s="12" t="s">
        <v>26</v>
      </c>
    </row>
    <row r="114" spans="1:15">
      <c r="A114" s="4">
        <v>110</v>
      </c>
      <c r="B114" s="5" t="s">
        <v>503</v>
      </c>
      <c r="C114" s="5" t="s">
        <v>509</v>
      </c>
      <c r="D114" s="5" t="s">
        <v>510</v>
      </c>
      <c r="E114" s="6" t="s">
        <v>511</v>
      </c>
      <c r="F114" s="7" t="s">
        <v>21</v>
      </c>
      <c r="G114" s="5" t="s">
        <v>22</v>
      </c>
      <c r="H114" s="8"/>
      <c r="I114" s="9"/>
      <c r="J114" s="9" t="s">
        <v>23</v>
      </c>
      <c r="K114" s="8"/>
      <c r="L114" s="9"/>
      <c r="M114" s="10" t="s">
        <v>512</v>
      </c>
      <c r="N114" s="11" t="s">
        <v>513</v>
      </c>
      <c r="O114" s="12" t="s">
        <v>26</v>
      </c>
    </row>
    <row r="115" spans="1:15">
      <c r="A115" s="4">
        <v>111</v>
      </c>
      <c r="B115" s="5" t="s">
        <v>503</v>
      </c>
      <c r="C115" s="5" t="s">
        <v>514</v>
      </c>
      <c r="D115" s="5" t="s">
        <v>515</v>
      </c>
      <c r="E115" s="6" t="s">
        <v>516</v>
      </c>
      <c r="F115" s="13" t="s">
        <v>34</v>
      </c>
      <c r="G115" s="5" t="s">
        <v>29</v>
      </c>
      <c r="H115" s="8"/>
      <c r="I115" s="9"/>
      <c r="J115" s="9" t="s">
        <v>23</v>
      </c>
      <c r="K115" s="8"/>
      <c r="L115" s="9"/>
      <c r="M115" s="10" t="s">
        <v>517</v>
      </c>
      <c r="N115" s="11" t="s">
        <v>518</v>
      </c>
      <c r="O115" s="12" t="s">
        <v>26</v>
      </c>
    </row>
    <row r="116" spans="1:15">
      <c r="A116" s="4">
        <v>112</v>
      </c>
      <c r="B116" s="5" t="s">
        <v>503</v>
      </c>
      <c r="C116" s="5" t="s">
        <v>519</v>
      </c>
      <c r="D116" s="5" t="s">
        <v>520</v>
      </c>
      <c r="E116" s="6" t="s">
        <v>521</v>
      </c>
      <c r="F116" s="7" t="s">
        <v>21</v>
      </c>
      <c r="G116" s="5" t="s">
        <v>22</v>
      </c>
      <c r="H116" s="8"/>
      <c r="I116" s="9"/>
      <c r="J116" s="9" t="s">
        <v>23</v>
      </c>
      <c r="K116" s="8"/>
      <c r="L116" s="9"/>
      <c r="M116" s="10" t="s">
        <v>370</v>
      </c>
      <c r="N116" s="11" t="s">
        <v>522</v>
      </c>
      <c r="O116" s="12" t="s">
        <v>26</v>
      </c>
    </row>
    <row r="117" spans="1:15">
      <c r="A117" s="4">
        <v>113</v>
      </c>
      <c r="B117" s="5" t="s">
        <v>503</v>
      </c>
      <c r="C117" s="5" t="s">
        <v>523</v>
      </c>
      <c r="D117" s="5" t="s">
        <v>524</v>
      </c>
      <c r="E117" s="6" t="s">
        <v>525</v>
      </c>
      <c r="F117" s="7" t="s">
        <v>21</v>
      </c>
      <c r="G117" s="5" t="s">
        <v>156</v>
      </c>
      <c r="H117" s="8"/>
      <c r="I117" s="9"/>
      <c r="J117" s="9" t="s">
        <v>23</v>
      </c>
      <c r="K117" s="8"/>
      <c r="L117" s="9"/>
      <c r="M117" s="10" t="s">
        <v>526</v>
      </c>
      <c r="N117" s="11" t="s">
        <v>527</v>
      </c>
      <c r="O117" s="12" t="s">
        <v>26</v>
      </c>
    </row>
    <row r="118" spans="1:15">
      <c r="A118" s="4">
        <v>114</v>
      </c>
      <c r="B118" s="5" t="s">
        <v>503</v>
      </c>
      <c r="C118" s="5" t="s">
        <v>528</v>
      </c>
      <c r="D118" s="5" t="s">
        <v>529</v>
      </c>
      <c r="E118" s="6" t="s">
        <v>530</v>
      </c>
      <c r="F118" s="7" t="s">
        <v>21</v>
      </c>
      <c r="G118" s="5" t="s">
        <v>22</v>
      </c>
      <c r="H118" s="8"/>
      <c r="I118" s="9"/>
      <c r="J118" s="9" t="s">
        <v>23</v>
      </c>
      <c r="K118" s="8"/>
      <c r="L118" s="9"/>
      <c r="M118" s="10" t="s">
        <v>531</v>
      </c>
      <c r="N118" s="11" t="s">
        <v>532</v>
      </c>
      <c r="O118" s="12" t="s">
        <v>26</v>
      </c>
    </row>
    <row r="119" spans="1:15">
      <c r="A119" s="4">
        <v>115</v>
      </c>
      <c r="B119" s="5" t="s">
        <v>503</v>
      </c>
      <c r="C119" s="5" t="s">
        <v>533</v>
      </c>
      <c r="D119" s="5" t="s">
        <v>534</v>
      </c>
      <c r="E119" s="6" t="s">
        <v>535</v>
      </c>
      <c r="F119" s="7" t="s">
        <v>21</v>
      </c>
      <c r="G119" s="5" t="s">
        <v>22</v>
      </c>
      <c r="H119" s="8"/>
      <c r="I119" s="9"/>
      <c r="J119" s="9" t="s">
        <v>23</v>
      </c>
      <c r="K119" s="8"/>
      <c r="L119" s="9"/>
      <c r="M119" s="10" t="s">
        <v>512</v>
      </c>
      <c r="N119" s="11" t="s">
        <v>536</v>
      </c>
      <c r="O119" s="12" t="s">
        <v>26</v>
      </c>
    </row>
    <row r="120" spans="1:15">
      <c r="A120" s="4">
        <v>116</v>
      </c>
      <c r="B120" s="5" t="s">
        <v>503</v>
      </c>
      <c r="C120" s="5" t="s">
        <v>533</v>
      </c>
      <c r="D120" s="5" t="s">
        <v>537</v>
      </c>
      <c r="E120" s="6" t="s">
        <v>538</v>
      </c>
      <c r="F120" s="7" t="s">
        <v>21</v>
      </c>
      <c r="G120" s="5" t="s">
        <v>22</v>
      </c>
      <c r="H120" s="8"/>
      <c r="I120" s="9"/>
      <c r="J120" s="9" t="s">
        <v>23</v>
      </c>
      <c r="K120" s="8"/>
      <c r="L120" s="9"/>
      <c r="M120" s="10" t="s">
        <v>539</v>
      </c>
      <c r="N120" s="11" t="s">
        <v>540</v>
      </c>
      <c r="O120" s="12" t="s">
        <v>26</v>
      </c>
    </row>
    <row r="121" spans="1:15">
      <c r="A121" s="4">
        <v>117</v>
      </c>
      <c r="B121" s="5" t="s">
        <v>503</v>
      </c>
      <c r="C121" s="5" t="s">
        <v>533</v>
      </c>
      <c r="D121" s="5" t="s">
        <v>541</v>
      </c>
      <c r="E121" s="6" t="s">
        <v>542</v>
      </c>
      <c r="F121" s="7" t="s">
        <v>21</v>
      </c>
      <c r="G121" s="5" t="s">
        <v>22</v>
      </c>
      <c r="H121" s="8"/>
      <c r="I121" s="9"/>
      <c r="J121" s="9" t="s">
        <v>23</v>
      </c>
      <c r="K121" s="8"/>
      <c r="L121" s="9"/>
      <c r="M121" s="10" t="s">
        <v>100</v>
      </c>
      <c r="N121" s="11" t="s">
        <v>543</v>
      </c>
      <c r="O121" s="12" t="s">
        <v>26</v>
      </c>
    </row>
    <row r="122" spans="1:15">
      <c r="A122" s="4">
        <v>118</v>
      </c>
      <c r="B122" s="5" t="s">
        <v>503</v>
      </c>
      <c r="C122" s="5" t="s">
        <v>528</v>
      </c>
      <c r="D122" s="5" t="s">
        <v>544</v>
      </c>
      <c r="E122" s="6" t="s">
        <v>545</v>
      </c>
      <c r="F122" s="7" t="s">
        <v>21</v>
      </c>
      <c r="G122" s="5" t="s">
        <v>29</v>
      </c>
      <c r="H122" s="8"/>
      <c r="I122" s="9"/>
      <c r="J122" s="9" t="s">
        <v>23</v>
      </c>
      <c r="K122" s="8"/>
      <c r="L122" s="9"/>
      <c r="M122" s="10" t="s">
        <v>546</v>
      </c>
      <c r="N122" s="11" t="s">
        <v>547</v>
      </c>
      <c r="O122" s="12" t="s">
        <v>26</v>
      </c>
    </row>
    <row r="123" spans="1:15">
      <c r="A123" s="4">
        <v>119</v>
      </c>
      <c r="B123" s="5" t="s">
        <v>503</v>
      </c>
      <c r="C123" s="5" t="s">
        <v>533</v>
      </c>
      <c r="D123" s="5" t="s">
        <v>548</v>
      </c>
      <c r="E123" s="6" t="s">
        <v>549</v>
      </c>
      <c r="F123" s="7" t="s">
        <v>21</v>
      </c>
      <c r="G123" s="5" t="s">
        <v>29</v>
      </c>
      <c r="H123" s="8"/>
      <c r="I123" s="9"/>
      <c r="J123" s="9" t="s">
        <v>23</v>
      </c>
      <c r="K123" s="8"/>
      <c r="L123" s="9"/>
      <c r="M123" s="10" t="s">
        <v>550</v>
      </c>
      <c r="N123" s="11" t="s">
        <v>551</v>
      </c>
      <c r="O123" s="12" t="s">
        <v>26</v>
      </c>
    </row>
    <row r="124" spans="1:15">
      <c r="A124" s="4">
        <v>120</v>
      </c>
      <c r="B124" s="5" t="s">
        <v>503</v>
      </c>
      <c r="C124" s="5" t="s">
        <v>533</v>
      </c>
      <c r="D124" s="5" t="s">
        <v>552</v>
      </c>
      <c r="E124" s="6" t="s">
        <v>553</v>
      </c>
      <c r="F124" s="7" t="s">
        <v>21</v>
      </c>
      <c r="G124" s="5" t="s">
        <v>29</v>
      </c>
      <c r="H124" s="8"/>
      <c r="I124" s="9"/>
      <c r="J124" s="9" t="s">
        <v>23</v>
      </c>
      <c r="K124" s="8"/>
      <c r="L124" s="9"/>
      <c r="M124" s="10" t="s">
        <v>554</v>
      </c>
      <c r="N124" s="11" t="s">
        <v>555</v>
      </c>
      <c r="O124" s="12" t="s">
        <v>26</v>
      </c>
    </row>
    <row r="125" spans="1:15">
      <c r="A125" s="4">
        <v>121</v>
      </c>
      <c r="B125" s="5" t="s">
        <v>503</v>
      </c>
      <c r="C125" s="5" t="s">
        <v>533</v>
      </c>
      <c r="D125" s="5" t="s">
        <v>556</v>
      </c>
      <c r="E125" s="6" t="s">
        <v>557</v>
      </c>
      <c r="F125" s="7" t="s">
        <v>21</v>
      </c>
      <c r="G125" s="5" t="s">
        <v>29</v>
      </c>
      <c r="H125" s="8"/>
      <c r="I125" s="9"/>
      <c r="J125" s="9" t="s">
        <v>23</v>
      </c>
      <c r="K125" s="8"/>
      <c r="L125" s="9"/>
      <c r="M125" s="10" t="s">
        <v>558</v>
      </c>
      <c r="N125" s="11" t="s">
        <v>559</v>
      </c>
      <c r="O125" s="12" t="s">
        <v>26</v>
      </c>
    </row>
    <row r="126" spans="1:15">
      <c r="A126" s="4">
        <v>122</v>
      </c>
      <c r="B126" s="5" t="s">
        <v>503</v>
      </c>
      <c r="C126" s="5" t="s">
        <v>509</v>
      </c>
      <c r="D126" s="5" t="s">
        <v>560</v>
      </c>
      <c r="E126" s="6" t="s">
        <v>561</v>
      </c>
      <c r="F126" s="13" t="s">
        <v>34</v>
      </c>
      <c r="G126" s="5" t="s">
        <v>22</v>
      </c>
      <c r="H126" s="8"/>
      <c r="I126" s="9"/>
      <c r="J126" s="9" t="s">
        <v>23</v>
      </c>
      <c r="K126" s="8"/>
      <c r="L126" s="9"/>
      <c r="M126" s="10" t="s">
        <v>562</v>
      </c>
      <c r="N126" s="11" t="s">
        <v>563</v>
      </c>
      <c r="O126" s="12" t="s">
        <v>26</v>
      </c>
    </row>
    <row r="127" spans="1:15">
      <c r="A127" s="4">
        <v>123</v>
      </c>
      <c r="B127" s="5" t="s">
        <v>503</v>
      </c>
      <c r="C127" s="5" t="s">
        <v>514</v>
      </c>
      <c r="D127" s="5" t="s">
        <v>564</v>
      </c>
      <c r="E127" s="6" t="s">
        <v>565</v>
      </c>
      <c r="F127" s="7" t="s">
        <v>21</v>
      </c>
      <c r="G127" s="5" t="s">
        <v>22</v>
      </c>
      <c r="H127" s="8"/>
      <c r="I127" s="9"/>
      <c r="J127" s="9" t="s">
        <v>23</v>
      </c>
      <c r="K127" s="8"/>
      <c r="L127" s="9"/>
      <c r="M127" s="10" t="s">
        <v>566</v>
      </c>
      <c r="N127" s="11" t="s">
        <v>567</v>
      </c>
      <c r="O127" s="12" t="s">
        <v>26</v>
      </c>
    </row>
    <row r="128" spans="1:15">
      <c r="A128" s="4">
        <v>124</v>
      </c>
      <c r="B128" s="5" t="s">
        <v>568</v>
      </c>
      <c r="C128" s="5" t="s">
        <v>569</v>
      </c>
      <c r="D128" s="5" t="s">
        <v>570</v>
      </c>
      <c r="E128" s="6" t="s">
        <v>571</v>
      </c>
      <c r="F128" s="7" t="s">
        <v>21</v>
      </c>
      <c r="G128" s="5" t="s">
        <v>29</v>
      </c>
      <c r="H128" s="8"/>
      <c r="I128" s="9"/>
      <c r="J128" s="9" t="s">
        <v>23</v>
      </c>
      <c r="K128" s="8"/>
      <c r="L128" s="9"/>
      <c r="M128" s="10" t="s">
        <v>572</v>
      </c>
      <c r="N128" s="11" t="s">
        <v>573</v>
      </c>
      <c r="O128" s="12" t="s">
        <v>26</v>
      </c>
    </row>
    <row r="129" spans="1:15">
      <c r="A129" s="4">
        <v>125</v>
      </c>
      <c r="B129" s="5" t="s">
        <v>568</v>
      </c>
      <c r="C129" s="5" t="s">
        <v>569</v>
      </c>
      <c r="D129" s="5" t="s">
        <v>574</v>
      </c>
      <c r="E129" s="6" t="s">
        <v>575</v>
      </c>
      <c r="F129" s="7" t="s">
        <v>21</v>
      </c>
      <c r="G129" s="5" t="s">
        <v>22</v>
      </c>
      <c r="H129" s="8"/>
      <c r="I129" s="9"/>
      <c r="J129" s="9" t="s">
        <v>23</v>
      </c>
      <c r="K129" s="8"/>
      <c r="L129" s="9"/>
      <c r="M129" s="10" t="s">
        <v>576</v>
      </c>
      <c r="N129" s="11" t="s">
        <v>577</v>
      </c>
      <c r="O129" s="12" t="s">
        <v>26</v>
      </c>
    </row>
    <row r="130" spans="1:15">
      <c r="A130" s="4">
        <v>126</v>
      </c>
      <c r="B130" s="5" t="s">
        <v>568</v>
      </c>
      <c r="C130" s="5" t="s">
        <v>578</v>
      </c>
      <c r="D130" s="5" t="s">
        <v>579</v>
      </c>
      <c r="E130" s="6" t="s">
        <v>580</v>
      </c>
      <c r="F130" s="7" t="s">
        <v>21</v>
      </c>
      <c r="G130" s="5" t="s">
        <v>22</v>
      </c>
      <c r="H130" s="8"/>
      <c r="I130" s="9"/>
      <c r="J130" s="9" t="s">
        <v>23</v>
      </c>
      <c r="K130" s="8"/>
      <c r="L130" s="9"/>
      <c r="M130" s="10" t="s">
        <v>581</v>
      </c>
      <c r="N130" s="11" t="s">
        <v>582</v>
      </c>
      <c r="O130" s="12" t="s">
        <v>26</v>
      </c>
    </row>
    <row r="131" spans="1:15">
      <c r="A131" s="4">
        <v>127</v>
      </c>
      <c r="B131" s="5" t="s">
        <v>568</v>
      </c>
      <c r="C131" s="5" t="s">
        <v>583</v>
      </c>
      <c r="D131" s="5" t="s">
        <v>584</v>
      </c>
      <c r="E131" s="6" t="s">
        <v>585</v>
      </c>
      <c r="F131" s="7" t="s">
        <v>21</v>
      </c>
      <c r="G131" s="5" t="s">
        <v>22</v>
      </c>
      <c r="H131" s="8"/>
      <c r="I131" s="9"/>
      <c r="J131" s="9" t="s">
        <v>23</v>
      </c>
      <c r="K131" s="8"/>
      <c r="L131" s="9"/>
      <c r="M131" s="10" t="s">
        <v>586</v>
      </c>
      <c r="N131" s="11" t="s">
        <v>587</v>
      </c>
      <c r="O131" s="12" t="s">
        <v>26</v>
      </c>
    </row>
    <row r="132" spans="1:15">
      <c r="A132" s="4">
        <v>128</v>
      </c>
      <c r="B132" s="5" t="s">
        <v>568</v>
      </c>
      <c r="C132" s="5" t="s">
        <v>583</v>
      </c>
      <c r="D132" s="5" t="s">
        <v>588</v>
      </c>
      <c r="E132" s="6" t="s">
        <v>589</v>
      </c>
      <c r="F132" s="7" t="s">
        <v>21</v>
      </c>
      <c r="G132" s="5" t="s">
        <v>22</v>
      </c>
      <c r="H132" s="8"/>
      <c r="I132" s="9"/>
      <c r="J132" s="9" t="s">
        <v>23</v>
      </c>
      <c r="K132" s="8"/>
      <c r="L132" s="9"/>
      <c r="M132" s="10" t="s">
        <v>590</v>
      </c>
      <c r="N132" s="11" t="s">
        <v>591</v>
      </c>
      <c r="O132" s="12" t="s">
        <v>26</v>
      </c>
    </row>
    <row r="133" spans="1:15">
      <c r="A133" s="4">
        <v>129</v>
      </c>
      <c r="B133" s="5" t="s">
        <v>568</v>
      </c>
      <c r="C133" s="5" t="s">
        <v>583</v>
      </c>
      <c r="D133" s="5" t="s">
        <v>592</v>
      </c>
      <c r="E133" s="6" t="s">
        <v>593</v>
      </c>
      <c r="F133" s="7" t="s">
        <v>21</v>
      </c>
      <c r="G133" s="5" t="s">
        <v>22</v>
      </c>
      <c r="H133" s="8"/>
      <c r="I133" s="9"/>
      <c r="J133" s="9" t="s">
        <v>23</v>
      </c>
      <c r="K133" s="8"/>
      <c r="L133" s="9"/>
      <c r="M133" s="10" t="s">
        <v>586</v>
      </c>
      <c r="N133" s="11" t="s">
        <v>594</v>
      </c>
      <c r="O133" s="12" t="s">
        <v>26</v>
      </c>
    </row>
    <row r="134" spans="1:15">
      <c r="A134" s="4">
        <v>130</v>
      </c>
      <c r="B134" s="5" t="s">
        <v>568</v>
      </c>
      <c r="C134" s="5" t="s">
        <v>595</v>
      </c>
      <c r="D134" s="5" t="s">
        <v>596</v>
      </c>
      <c r="E134" s="6" t="s">
        <v>597</v>
      </c>
      <c r="F134" s="13" t="s">
        <v>34</v>
      </c>
      <c r="G134" s="5" t="s">
        <v>29</v>
      </c>
      <c r="H134" s="8"/>
      <c r="I134" s="9"/>
      <c r="J134" s="9" t="s">
        <v>23</v>
      </c>
      <c r="K134" s="8"/>
      <c r="L134" s="9"/>
      <c r="M134" s="10" t="s">
        <v>598</v>
      </c>
      <c r="N134" s="11" t="s">
        <v>599</v>
      </c>
      <c r="O134" s="12" t="s">
        <v>26</v>
      </c>
    </row>
    <row r="135" spans="1:15">
      <c r="A135" s="4">
        <v>131</v>
      </c>
      <c r="B135" s="5" t="s">
        <v>568</v>
      </c>
      <c r="C135" s="5" t="s">
        <v>600</v>
      </c>
      <c r="D135" s="5" t="s">
        <v>601</v>
      </c>
      <c r="E135" s="6" t="s">
        <v>602</v>
      </c>
      <c r="F135" s="7" t="s">
        <v>21</v>
      </c>
      <c r="G135" s="5" t="s">
        <v>29</v>
      </c>
      <c r="H135" s="8"/>
      <c r="I135" s="9"/>
      <c r="J135" s="9" t="s">
        <v>23</v>
      </c>
      <c r="K135" s="8"/>
      <c r="L135" s="9"/>
      <c r="M135" s="10" t="s">
        <v>586</v>
      </c>
      <c r="N135" s="11" t="s">
        <v>603</v>
      </c>
      <c r="O135" s="12" t="s">
        <v>26</v>
      </c>
    </row>
    <row r="136" spans="1:15">
      <c r="A136" s="4">
        <v>132</v>
      </c>
      <c r="B136" s="5" t="s">
        <v>568</v>
      </c>
      <c r="C136" s="5" t="s">
        <v>600</v>
      </c>
      <c r="D136" s="5" t="s">
        <v>604</v>
      </c>
      <c r="E136" s="6" t="s">
        <v>605</v>
      </c>
      <c r="F136" s="7" t="s">
        <v>21</v>
      </c>
      <c r="G136" s="5" t="s">
        <v>22</v>
      </c>
      <c r="H136" s="8"/>
      <c r="I136" s="9"/>
      <c r="J136" s="9" t="s">
        <v>23</v>
      </c>
      <c r="K136" s="8"/>
      <c r="L136" s="9"/>
      <c r="M136" s="10" t="s">
        <v>586</v>
      </c>
      <c r="N136" s="11" t="s">
        <v>606</v>
      </c>
      <c r="O136" s="12" t="s">
        <v>26</v>
      </c>
    </row>
    <row r="137" spans="1:15">
      <c r="A137" s="4">
        <v>133</v>
      </c>
      <c r="B137" s="5" t="s">
        <v>568</v>
      </c>
      <c r="C137" s="5" t="s">
        <v>595</v>
      </c>
      <c r="D137" s="5" t="s">
        <v>607</v>
      </c>
      <c r="E137" s="6" t="s">
        <v>608</v>
      </c>
      <c r="F137" s="7" t="s">
        <v>21</v>
      </c>
      <c r="G137" s="5" t="s">
        <v>29</v>
      </c>
      <c r="H137" s="8"/>
      <c r="I137" s="9"/>
      <c r="J137" s="9" t="s">
        <v>23</v>
      </c>
      <c r="K137" s="8"/>
      <c r="L137" s="9"/>
      <c r="M137" s="10" t="s">
        <v>609</v>
      </c>
      <c r="N137" s="11" t="s">
        <v>610</v>
      </c>
      <c r="O137" s="12" t="s">
        <v>26</v>
      </c>
    </row>
    <row r="138" spans="1:15">
      <c r="A138" s="4">
        <v>134</v>
      </c>
      <c r="B138" s="5" t="s">
        <v>568</v>
      </c>
      <c r="C138" s="5" t="s">
        <v>569</v>
      </c>
      <c r="D138" s="5" t="s">
        <v>611</v>
      </c>
      <c r="E138" s="6" t="s">
        <v>612</v>
      </c>
      <c r="F138" s="7" t="s">
        <v>21</v>
      </c>
      <c r="G138" s="5" t="s">
        <v>156</v>
      </c>
      <c r="H138" s="8"/>
      <c r="I138" s="9"/>
      <c r="J138" s="9" t="s">
        <v>23</v>
      </c>
      <c r="K138" s="8"/>
      <c r="L138" s="9"/>
      <c r="M138" s="10" t="s">
        <v>586</v>
      </c>
      <c r="N138" s="11" t="s">
        <v>613</v>
      </c>
      <c r="O138" s="12" t="s">
        <v>26</v>
      </c>
    </row>
    <row r="139" spans="1:15">
      <c r="A139" s="4">
        <v>135</v>
      </c>
      <c r="B139" s="5" t="s">
        <v>568</v>
      </c>
      <c r="C139" s="5" t="s">
        <v>614</v>
      </c>
      <c r="D139" s="5" t="s">
        <v>615</v>
      </c>
      <c r="E139" s="6" t="s">
        <v>616</v>
      </c>
      <c r="F139" s="7" t="s">
        <v>21</v>
      </c>
      <c r="G139" s="5" t="s">
        <v>29</v>
      </c>
      <c r="H139" s="8"/>
      <c r="I139" s="9"/>
      <c r="J139" s="9" t="s">
        <v>23</v>
      </c>
      <c r="K139" s="8"/>
      <c r="L139" s="9"/>
      <c r="M139" s="10" t="s">
        <v>617</v>
      </c>
      <c r="N139" s="11" t="s">
        <v>618</v>
      </c>
      <c r="O139" s="12" t="s">
        <v>26</v>
      </c>
    </row>
    <row r="140" spans="1:15">
      <c r="A140" s="4">
        <v>136</v>
      </c>
      <c r="B140" s="5" t="s">
        <v>568</v>
      </c>
      <c r="C140" s="5" t="s">
        <v>595</v>
      </c>
      <c r="D140" s="5" t="s">
        <v>619</v>
      </c>
      <c r="E140" s="6" t="s">
        <v>620</v>
      </c>
      <c r="F140" s="7" t="s">
        <v>21</v>
      </c>
      <c r="G140" s="5" t="s">
        <v>29</v>
      </c>
      <c r="H140" s="8"/>
      <c r="I140" s="9"/>
      <c r="J140" s="9" t="s">
        <v>23</v>
      </c>
      <c r="K140" s="8"/>
      <c r="L140" s="9"/>
      <c r="M140" s="10" t="s">
        <v>437</v>
      </c>
      <c r="N140" s="11" t="s">
        <v>621</v>
      </c>
      <c r="O140" s="12" t="s">
        <v>26</v>
      </c>
    </row>
    <row r="141" spans="1:15">
      <c r="A141" s="4">
        <v>137</v>
      </c>
      <c r="B141" s="5" t="s">
        <v>568</v>
      </c>
      <c r="C141" s="5" t="s">
        <v>595</v>
      </c>
      <c r="D141" s="5" t="s">
        <v>622</v>
      </c>
      <c r="E141" s="6" t="s">
        <v>623</v>
      </c>
      <c r="F141" s="13" t="s">
        <v>34</v>
      </c>
      <c r="G141" s="5" t="s">
        <v>22</v>
      </c>
      <c r="H141" s="8"/>
      <c r="I141" s="9"/>
      <c r="J141" s="9" t="s">
        <v>23</v>
      </c>
      <c r="K141" s="8"/>
      <c r="L141" s="9"/>
      <c r="M141" s="10" t="s">
        <v>624</v>
      </c>
      <c r="N141" s="11" t="s">
        <v>625</v>
      </c>
      <c r="O141" s="12" t="s">
        <v>26</v>
      </c>
    </row>
    <row r="142" spans="1:15">
      <c r="A142" s="4">
        <v>138</v>
      </c>
      <c r="B142" s="5" t="s">
        <v>568</v>
      </c>
      <c r="C142" s="5" t="s">
        <v>583</v>
      </c>
      <c r="D142" s="5" t="s">
        <v>626</v>
      </c>
      <c r="E142" s="6" t="s">
        <v>627</v>
      </c>
      <c r="F142" s="7" t="s">
        <v>21</v>
      </c>
      <c r="G142" s="5" t="s">
        <v>29</v>
      </c>
      <c r="H142" s="8"/>
      <c r="I142" s="9"/>
      <c r="J142" s="9" t="s">
        <v>23</v>
      </c>
      <c r="K142" s="8"/>
      <c r="L142" s="9"/>
      <c r="M142" s="10" t="s">
        <v>628</v>
      </c>
      <c r="N142" s="11" t="s">
        <v>629</v>
      </c>
      <c r="O142" s="12" t="s">
        <v>26</v>
      </c>
    </row>
    <row r="143" spans="1:15">
      <c r="A143" s="4">
        <v>139</v>
      </c>
      <c r="B143" s="5" t="s">
        <v>568</v>
      </c>
      <c r="C143" s="5" t="s">
        <v>600</v>
      </c>
      <c r="D143" s="5" t="s">
        <v>630</v>
      </c>
      <c r="E143" s="6" t="s">
        <v>631</v>
      </c>
      <c r="F143" s="7" t="s">
        <v>21</v>
      </c>
      <c r="G143" s="5" t="s">
        <v>22</v>
      </c>
      <c r="H143" s="8"/>
      <c r="I143" s="9"/>
      <c r="J143" s="9" t="s">
        <v>23</v>
      </c>
      <c r="K143" s="8"/>
      <c r="L143" s="9"/>
      <c r="M143" s="10" t="s">
        <v>632</v>
      </c>
      <c r="N143" s="11" t="s">
        <v>633</v>
      </c>
      <c r="O143" s="12" t="s">
        <v>26</v>
      </c>
    </row>
    <row r="144" spans="1:15">
      <c r="A144" s="4">
        <v>140</v>
      </c>
      <c r="B144" s="5" t="s">
        <v>568</v>
      </c>
      <c r="C144" s="5" t="s">
        <v>600</v>
      </c>
      <c r="D144" s="5" t="s">
        <v>634</v>
      </c>
      <c r="E144" s="6" t="s">
        <v>635</v>
      </c>
      <c r="F144" s="7" t="s">
        <v>21</v>
      </c>
      <c r="G144" s="5" t="s">
        <v>29</v>
      </c>
      <c r="H144" s="8"/>
      <c r="I144" s="9"/>
      <c r="J144" s="9" t="s">
        <v>23</v>
      </c>
      <c r="K144" s="8"/>
      <c r="L144" s="9"/>
      <c r="M144" s="10" t="s">
        <v>361</v>
      </c>
      <c r="N144" s="11" t="s">
        <v>636</v>
      </c>
      <c r="O144" s="12" t="s">
        <v>26</v>
      </c>
    </row>
    <row r="145" spans="1:15">
      <c r="A145" s="4">
        <v>141</v>
      </c>
      <c r="B145" s="5" t="s">
        <v>637</v>
      </c>
      <c r="C145" s="5" t="s">
        <v>638</v>
      </c>
      <c r="D145" s="5" t="s">
        <v>639</v>
      </c>
      <c r="E145" s="6" t="s">
        <v>640</v>
      </c>
      <c r="F145" s="7" t="s">
        <v>21</v>
      </c>
      <c r="G145" s="5" t="s">
        <v>22</v>
      </c>
      <c r="H145" s="8"/>
      <c r="I145" s="9"/>
      <c r="J145" s="9" t="s">
        <v>23</v>
      </c>
      <c r="K145" s="8"/>
      <c r="L145" s="9"/>
      <c r="M145" s="10" t="s">
        <v>641</v>
      </c>
      <c r="N145" s="11" t="s">
        <v>642</v>
      </c>
      <c r="O145" s="12" t="s">
        <v>26</v>
      </c>
    </row>
    <row r="146" spans="1:15">
      <c r="A146" s="4">
        <v>142</v>
      </c>
      <c r="B146" s="5" t="s">
        <v>637</v>
      </c>
      <c r="C146" s="5" t="s">
        <v>643</v>
      </c>
      <c r="D146" s="5" t="s">
        <v>644</v>
      </c>
      <c r="E146" s="6" t="s">
        <v>645</v>
      </c>
      <c r="F146" s="7" t="s">
        <v>21</v>
      </c>
      <c r="G146" s="5" t="s">
        <v>22</v>
      </c>
      <c r="H146" s="8"/>
      <c r="I146" s="9"/>
      <c r="J146" s="9" t="s">
        <v>23</v>
      </c>
      <c r="K146" s="8"/>
      <c r="L146" s="9"/>
      <c r="M146" s="10" t="s">
        <v>646</v>
      </c>
      <c r="N146" s="11" t="s">
        <v>647</v>
      </c>
      <c r="O146" s="12" t="s">
        <v>26</v>
      </c>
    </row>
    <row r="147" spans="1:15">
      <c r="A147" s="4">
        <v>143</v>
      </c>
      <c r="B147" s="5" t="s">
        <v>637</v>
      </c>
      <c r="C147" s="5" t="s">
        <v>648</v>
      </c>
      <c r="D147" s="5" t="s">
        <v>649</v>
      </c>
      <c r="E147" s="6" t="s">
        <v>650</v>
      </c>
      <c r="F147" s="7" t="s">
        <v>21</v>
      </c>
      <c r="G147" s="5" t="s">
        <v>22</v>
      </c>
      <c r="H147" s="8"/>
      <c r="I147" s="9"/>
      <c r="J147" s="9" t="s">
        <v>23</v>
      </c>
      <c r="K147" s="8"/>
      <c r="L147" s="9"/>
      <c r="M147" s="10" t="s">
        <v>651</v>
      </c>
      <c r="N147" s="11" t="s">
        <v>652</v>
      </c>
      <c r="O147" s="12" t="s">
        <v>26</v>
      </c>
    </row>
    <row r="148" spans="1:15">
      <c r="A148" s="4">
        <v>144</v>
      </c>
      <c r="B148" s="5" t="s">
        <v>637</v>
      </c>
      <c r="C148" s="5" t="s">
        <v>653</v>
      </c>
      <c r="D148" s="5" t="s">
        <v>654</v>
      </c>
      <c r="E148" s="6" t="s">
        <v>655</v>
      </c>
      <c r="F148" s="7" t="s">
        <v>21</v>
      </c>
      <c r="G148" s="5" t="s">
        <v>22</v>
      </c>
      <c r="H148" s="8"/>
      <c r="I148" s="9"/>
      <c r="J148" s="9" t="s">
        <v>23</v>
      </c>
      <c r="K148" s="8"/>
      <c r="L148" s="9"/>
      <c r="M148" s="10" t="s">
        <v>656</v>
      </c>
      <c r="N148" s="11" t="s">
        <v>657</v>
      </c>
      <c r="O148" s="12" t="s">
        <v>26</v>
      </c>
    </row>
    <row r="149" spans="1:15">
      <c r="A149" s="4">
        <v>145</v>
      </c>
      <c r="B149" s="5" t="s">
        <v>637</v>
      </c>
      <c r="C149" s="5" t="s">
        <v>658</v>
      </c>
      <c r="D149" s="5" t="s">
        <v>659</v>
      </c>
      <c r="E149" s="6" t="s">
        <v>660</v>
      </c>
      <c r="F149" s="13" t="s">
        <v>34</v>
      </c>
      <c r="G149" s="5" t="s">
        <v>22</v>
      </c>
      <c r="H149" s="8"/>
      <c r="I149" s="9"/>
      <c r="J149" s="9" t="s">
        <v>23</v>
      </c>
      <c r="K149" s="8"/>
      <c r="L149" s="9"/>
      <c r="M149" s="10" t="s">
        <v>661</v>
      </c>
      <c r="N149" s="11" t="s">
        <v>662</v>
      </c>
      <c r="O149" s="12" t="s">
        <v>26</v>
      </c>
    </row>
    <row r="150" spans="1:15">
      <c r="A150" s="4">
        <v>146</v>
      </c>
      <c r="B150" s="5" t="s">
        <v>637</v>
      </c>
      <c r="C150" s="5" t="s">
        <v>663</v>
      </c>
      <c r="D150" s="5" t="s">
        <v>664</v>
      </c>
      <c r="E150" s="6" t="s">
        <v>665</v>
      </c>
      <c r="F150" s="7" t="s">
        <v>21</v>
      </c>
      <c r="G150" s="5" t="s">
        <v>22</v>
      </c>
      <c r="H150" s="8"/>
      <c r="I150" s="9"/>
      <c r="J150" s="9" t="s">
        <v>23</v>
      </c>
      <c r="K150" s="8"/>
      <c r="L150" s="9"/>
      <c r="M150" s="10" t="s">
        <v>666</v>
      </c>
      <c r="N150" s="11" t="s">
        <v>667</v>
      </c>
      <c r="O150" s="12" t="s">
        <v>26</v>
      </c>
    </row>
    <row r="151" spans="1:15">
      <c r="A151" s="4">
        <v>147</v>
      </c>
      <c r="B151" s="5" t="s">
        <v>637</v>
      </c>
      <c r="C151" s="5" t="s">
        <v>668</v>
      </c>
      <c r="D151" s="5" t="s">
        <v>669</v>
      </c>
      <c r="E151" s="6" t="s">
        <v>670</v>
      </c>
      <c r="F151" s="7" t="s">
        <v>21</v>
      </c>
      <c r="G151" s="5" t="s">
        <v>22</v>
      </c>
      <c r="H151" s="8"/>
      <c r="I151" s="9"/>
      <c r="J151" s="9" t="s">
        <v>23</v>
      </c>
      <c r="K151" s="8"/>
      <c r="L151" s="9"/>
      <c r="M151" s="10" t="s">
        <v>671</v>
      </c>
      <c r="N151" s="11" t="s">
        <v>672</v>
      </c>
      <c r="O151" s="12" t="s">
        <v>26</v>
      </c>
    </row>
    <row r="152" spans="1:15">
      <c r="A152" s="4">
        <v>148</v>
      </c>
      <c r="B152" s="5" t="s">
        <v>637</v>
      </c>
      <c r="C152" s="5" t="s">
        <v>673</v>
      </c>
      <c r="D152" s="5" t="s">
        <v>674</v>
      </c>
      <c r="E152" s="6" t="s">
        <v>675</v>
      </c>
      <c r="F152" s="7" t="s">
        <v>21</v>
      </c>
      <c r="G152" s="5" t="s">
        <v>22</v>
      </c>
      <c r="H152" s="8"/>
      <c r="I152" s="9"/>
      <c r="J152" s="9" t="s">
        <v>23</v>
      </c>
      <c r="K152" s="8"/>
      <c r="L152" s="9"/>
      <c r="M152" s="10" t="s">
        <v>676</v>
      </c>
      <c r="N152" s="11" t="s">
        <v>677</v>
      </c>
      <c r="O152" s="12" t="s">
        <v>26</v>
      </c>
    </row>
    <row r="153" spans="1:15">
      <c r="A153" s="4">
        <v>149</v>
      </c>
      <c r="B153" s="5" t="s">
        <v>637</v>
      </c>
      <c r="C153" s="5" t="s">
        <v>678</v>
      </c>
      <c r="D153" s="5" t="s">
        <v>679</v>
      </c>
      <c r="E153" s="6" t="s">
        <v>680</v>
      </c>
      <c r="F153" s="7" t="s">
        <v>21</v>
      </c>
      <c r="G153" s="5" t="s">
        <v>22</v>
      </c>
      <c r="H153" s="8"/>
      <c r="I153" s="9"/>
      <c r="J153" s="9" t="s">
        <v>23</v>
      </c>
      <c r="K153" s="8"/>
      <c r="L153" s="9"/>
      <c r="M153" s="10" t="s">
        <v>681</v>
      </c>
      <c r="N153" s="11" t="s">
        <v>682</v>
      </c>
      <c r="O153" s="12" t="s">
        <v>26</v>
      </c>
    </row>
    <row r="154" spans="1:15">
      <c r="A154" s="4">
        <v>150</v>
      </c>
      <c r="B154" s="5" t="s">
        <v>637</v>
      </c>
      <c r="C154" s="5" t="s">
        <v>643</v>
      </c>
      <c r="D154" s="5" t="s">
        <v>683</v>
      </c>
      <c r="E154" s="6" t="s">
        <v>684</v>
      </c>
      <c r="F154" s="7" t="s">
        <v>21</v>
      </c>
      <c r="G154" s="5" t="s">
        <v>22</v>
      </c>
      <c r="H154" s="8"/>
      <c r="I154" s="9"/>
      <c r="J154" s="9" t="s">
        <v>23</v>
      </c>
      <c r="K154" s="8"/>
      <c r="L154" s="9"/>
      <c r="M154" s="10" t="s">
        <v>685</v>
      </c>
      <c r="N154" s="11" t="s">
        <v>686</v>
      </c>
      <c r="O154" s="12" t="s">
        <v>26</v>
      </c>
    </row>
    <row r="155" spans="1:15">
      <c r="A155" s="4">
        <v>151</v>
      </c>
      <c r="B155" s="5" t="s">
        <v>637</v>
      </c>
      <c r="C155" s="5" t="s">
        <v>687</v>
      </c>
      <c r="D155" s="5" t="s">
        <v>688</v>
      </c>
      <c r="E155" s="6" t="s">
        <v>689</v>
      </c>
      <c r="F155" s="7" t="s">
        <v>21</v>
      </c>
      <c r="G155" s="5" t="s">
        <v>22</v>
      </c>
      <c r="H155" s="8"/>
      <c r="I155" s="9"/>
      <c r="J155" s="9" t="s">
        <v>23</v>
      </c>
      <c r="K155" s="8"/>
      <c r="L155" s="9"/>
      <c r="M155" s="10" t="s">
        <v>690</v>
      </c>
      <c r="N155" s="11" t="s">
        <v>691</v>
      </c>
      <c r="O155" s="12" t="s">
        <v>26</v>
      </c>
    </row>
    <row r="156" spans="1:15">
      <c r="A156" s="4">
        <v>152</v>
      </c>
      <c r="B156" s="5" t="s">
        <v>637</v>
      </c>
      <c r="C156" s="5" t="s">
        <v>648</v>
      </c>
      <c r="D156" s="5" t="s">
        <v>692</v>
      </c>
      <c r="E156" s="6" t="s">
        <v>693</v>
      </c>
      <c r="F156" s="7" t="s">
        <v>21</v>
      </c>
      <c r="G156" s="5" t="s">
        <v>22</v>
      </c>
      <c r="H156" s="8"/>
      <c r="I156" s="9"/>
      <c r="J156" s="9" t="s">
        <v>23</v>
      </c>
      <c r="K156" s="8"/>
      <c r="L156" s="9"/>
      <c r="M156" s="10" t="s">
        <v>694</v>
      </c>
      <c r="N156" s="11" t="s">
        <v>695</v>
      </c>
      <c r="O156" s="12" t="s">
        <v>26</v>
      </c>
    </row>
    <row r="157" spans="1:15">
      <c r="A157" s="4">
        <v>153</v>
      </c>
      <c r="B157" s="5" t="s">
        <v>637</v>
      </c>
      <c r="C157" s="5" t="s">
        <v>668</v>
      </c>
      <c r="D157" s="5" t="s">
        <v>696</v>
      </c>
      <c r="E157" s="6" t="s">
        <v>697</v>
      </c>
      <c r="F157" s="7" t="s">
        <v>21</v>
      </c>
      <c r="G157" s="5" t="s">
        <v>22</v>
      </c>
      <c r="H157" s="8"/>
      <c r="I157" s="9"/>
      <c r="J157" s="9" t="s">
        <v>23</v>
      </c>
      <c r="K157" s="8"/>
      <c r="L157" s="9"/>
      <c r="M157" s="10" t="s">
        <v>698</v>
      </c>
      <c r="N157" s="11" t="s">
        <v>699</v>
      </c>
      <c r="O157" s="12" t="s">
        <v>26</v>
      </c>
    </row>
    <row r="158" spans="1:15">
      <c r="A158" s="4">
        <v>154</v>
      </c>
      <c r="B158" s="5" t="s">
        <v>637</v>
      </c>
      <c r="C158" s="5" t="s">
        <v>663</v>
      </c>
      <c r="D158" s="5" t="s">
        <v>700</v>
      </c>
      <c r="E158" s="6" t="s">
        <v>701</v>
      </c>
      <c r="F158" s="7" t="s">
        <v>21</v>
      </c>
      <c r="G158" s="5" t="s">
        <v>29</v>
      </c>
      <c r="H158" s="8"/>
      <c r="I158" s="9"/>
      <c r="J158" s="9" t="s">
        <v>23</v>
      </c>
      <c r="K158" s="8"/>
      <c r="L158" s="9"/>
      <c r="M158" s="10" t="s">
        <v>702</v>
      </c>
      <c r="N158" s="11" t="s">
        <v>703</v>
      </c>
      <c r="O158" s="12" t="s">
        <v>26</v>
      </c>
    </row>
    <row r="159" spans="1:15">
      <c r="A159" s="4">
        <v>155</v>
      </c>
      <c r="B159" s="5" t="s">
        <v>637</v>
      </c>
      <c r="C159" s="5" t="s">
        <v>648</v>
      </c>
      <c r="D159" s="5" t="s">
        <v>704</v>
      </c>
      <c r="E159" s="6" t="s">
        <v>705</v>
      </c>
      <c r="F159" s="7" t="s">
        <v>21</v>
      </c>
      <c r="G159" s="5" t="s">
        <v>29</v>
      </c>
      <c r="H159" s="8"/>
      <c r="I159" s="9"/>
      <c r="J159" s="9" t="s">
        <v>23</v>
      </c>
      <c r="K159" s="8"/>
      <c r="L159" s="9"/>
      <c r="M159" s="10" t="s">
        <v>706</v>
      </c>
      <c r="N159" s="11" t="s">
        <v>707</v>
      </c>
      <c r="O159" s="12" t="s">
        <v>26</v>
      </c>
    </row>
    <row r="160" spans="1:15">
      <c r="A160" s="4">
        <v>156</v>
      </c>
      <c r="B160" s="5" t="s">
        <v>637</v>
      </c>
      <c r="C160" s="5" t="s">
        <v>708</v>
      </c>
      <c r="D160" s="5" t="s">
        <v>709</v>
      </c>
      <c r="E160" s="6" t="s">
        <v>710</v>
      </c>
      <c r="F160" s="7" t="s">
        <v>21</v>
      </c>
      <c r="G160" s="5" t="s">
        <v>39</v>
      </c>
      <c r="H160" s="8"/>
      <c r="I160" s="9"/>
      <c r="J160" s="9" t="s">
        <v>23</v>
      </c>
      <c r="K160" s="8"/>
      <c r="L160" s="9"/>
      <c r="M160" s="10" t="s">
        <v>711</v>
      </c>
      <c r="N160" s="11" t="s">
        <v>712</v>
      </c>
      <c r="O160" s="12" t="s">
        <v>26</v>
      </c>
    </row>
    <row r="161" spans="1:15">
      <c r="A161" s="4">
        <v>157</v>
      </c>
      <c r="B161" s="5" t="s">
        <v>637</v>
      </c>
      <c r="C161" s="5" t="s">
        <v>713</v>
      </c>
      <c r="D161" s="5" t="s">
        <v>714</v>
      </c>
      <c r="E161" s="6" t="s">
        <v>715</v>
      </c>
      <c r="F161" s="7" t="s">
        <v>21</v>
      </c>
      <c r="G161" s="5" t="s">
        <v>22</v>
      </c>
      <c r="H161" s="8"/>
      <c r="I161" s="9"/>
      <c r="J161" s="9" t="s">
        <v>23</v>
      </c>
      <c r="K161" s="8"/>
      <c r="L161" s="9"/>
      <c r="M161" s="10" t="s">
        <v>716</v>
      </c>
      <c r="N161" s="11" t="s">
        <v>717</v>
      </c>
      <c r="O161" s="12" t="s">
        <v>26</v>
      </c>
    </row>
    <row r="162" spans="1:15">
      <c r="A162" s="4">
        <v>158</v>
      </c>
      <c r="B162" s="5" t="s">
        <v>637</v>
      </c>
      <c r="C162" s="5" t="s">
        <v>687</v>
      </c>
      <c r="D162" s="5" t="s">
        <v>718</v>
      </c>
      <c r="E162" s="6" t="s">
        <v>719</v>
      </c>
      <c r="F162" s="7" t="s">
        <v>21</v>
      </c>
      <c r="G162" s="5" t="s">
        <v>22</v>
      </c>
      <c r="H162" s="8"/>
      <c r="I162" s="9"/>
      <c r="J162" s="9" t="s">
        <v>23</v>
      </c>
      <c r="K162" s="8"/>
      <c r="L162" s="9"/>
      <c r="M162" s="10" t="s">
        <v>720</v>
      </c>
      <c r="N162" s="11" t="s">
        <v>721</v>
      </c>
      <c r="O162" s="12" t="s">
        <v>26</v>
      </c>
    </row>
    <row r="163" spans="1:15">
      <c r="A163" s="4">
        <v>159</v>
      </c>
      <c r="B163" s="5" t="s">
        <v>637</v>
      </c>
      <c r="C163" s="5" t="s">
        <v>722</v>
      </c>
      <c r="D163" s="5" t="s">
        <v>723</v>
      </c>
      <c r="E163" s="6" t="s">
        <v>724</v>
      </c>
      <c r="F163" s="7" t="s">
        <v>21</v>
      </c>
      <c r="G163" s="5" t="s">
        <v>22</v>
      </c>
      <c r="H163" s="8"/>
      <c r="I163" s="9"/>
      <c r="J163" s="9" t="s">
        <v>23</v>
      </c>
      <c r="K163" s="8"/>
      <c r="L163" s="9"/>
      <c r="M163" s="10" t="s">
        <v>361</v>
      </c>
      <c r="N163" s="11" t="s">
        <v>725</v>
      </c>
      <c r="O163" s="12" t="s">
        <v>26</v>
      </c>
    </row>
    <row r="164" spans="1:15">
      <c r="A164" s="4">
        <v>160</v>
      </c>
      <c r="B164" s="5" t="s">
        <v>637</v>
      </c>
      <c r="C164" s="5" t="s">
        <v>658</v>
      </c>
      <c r="D164" s="5" t="s">
        <v>726</v>
      </c>
      <c r="E164" s="6" t="s">
        <v>727</v>
      </c>
      <c r="F164" s="7" t="s">
        <v>21</v>
      </c>
      <c r="G164" s="5" t="s">
        <v>22</v>
      </c>
      <c r="H164" s="8"/>
      <c r="I164" s="9"/>
      <c r="J164" s="9" t="s">
        <v>23</v>
      </c>
      <c r="K164" s="8"/>
      <c r="L164" s="9"/>
      <c r="M164" s="10" t="s">
        <v>361</v>
      </c>
      <c r="N164" s="11" t="s">
        <v>728</v>
      </c>
      <c r="O164" s="12" t="s">
        <v>26</v>
      </c>
    </row>
    <row r="165" spans="1:15">
      <c r="A165" s="4">
        <v>161</v>
      </c>
      <c r="B165" s="5" t="s">
        <v>637</v>
      </c>
      <c r="C165" s="5" t="s">
        <v>687</v>
      </c>
      <c r="D165" s="5" t="s">
        <v>729</v>
      </c>
      <c r="E165" s="6" t="s">
        <v>730</v>
      </c>
      <c r="F165" s="7" t="s">
        <v>21</v>
      </c>
      <c r="G165" s="5" t="s">
        <v>22</v>
      </c>
      <c r="H165" s="8"/>
      <c r="I165" s="9"/>
      <c r="J165" s="9" t="s">
        <v>23</v>
      </c>
      <c r="K165" s="8"/>
      <c r="L165" s="9"/>
      <c r="M165" s="10" t="s">
        <v>731</v>
      </c>
      <c r="N165" s="11" t="s">
        <v>732</v>
      </c>
      <c r="O165" s="12" t="s">
        <v>26</v>
      </c>
    </row>
    <row r="166" spans="1:15">
      <c r="A166" s="4">
        <v>162</v>
      </c>
      <c r="B166" s="5" t="s">
        <v>637</v>
      </c>
      <c r="C166" s="5" t="s">
        <v>713</v>
      </c>
      <c r="D166" s="5" t="s">
        <v>733</v>
      </c>
      <c r="E166" s="6" t="s">
        <v>734</v>
      </c>
      <c r="F166" s="7" t="s">
        <v>21</v>
      </c>
      <c r="G166" s="5" t="s">
        <v>22</v>
      </c>
      <c r="H166" s="8"/>
      <c r="I166" s="9"/>
      <c r="J166" s="9" t="s">
        <v>23</v>
      </c>
      <c r="K166" s="8"/>
      <c r="L166" s="9"/>
      <c r="M166" s="10" t="s">
        <v>735</v>
      </c>
      <c r="N166" s="11" t="s">
        <v>736</v>
      </c>
      <c r="O166" s="12" t="s">
        <v>26</v>
      </c>
    </row>
    <row r="167" spans="1:15">
      <c r="A167" s="4">
        <v>163</v>
      </c>
      <c r="B167" s="5" t="s">
        <v>637</v>
      </c>
      <c r="C167" s="5" t="s">
        <v>648</v>
      </c>
      <c r="D167" s="5" t="s">
        <v>737</v>
      </c>
      <c r="E167" s="6" t="s">
        <v>738</v>
      </c>
      <c r="F167" s="7" t="s">
        <v>21</v>
      </c>
      <c r="G167" s="5" t="s">
        <v>22</v>
      </c>
      <c r="H167" s="8"/>
      <c r="I167" s="9"/>
      <c r="J167" s="9" t="s">
        <v>23</v>
      </c>
      <c r="K167" s="8"/>
      <c r="L167" s="9"/>
      <c r="M167" s="10" t="s">
        <v>739</v>
      </c>
      <c r="N167" s="11" t="s">
        <v>740</v>
      </c>
      <c r="O167" s="12" t="s">
        <v>26</v>
      </c>
    </row>
    <row r="168" spans="1:15">
      <c r="A168" s="4">
        <v>164</v>
      </c>
      <c r="B168" s="5" t="s">
        <v>637</v>
      </c>
      <c r="C168" s="5" t="s">
        <v>648</v>
      </c>
      <c r="D168" s="5" t="s">
        <v>741</v>
      </c>
      <c r="E168" s="6" t="s">
        <v>742</v>
      </c>
      <c r="F168" s="7" t="s">
        <v>21</v>
      </c>
      <c r="G168" s="5" t="s">
        <v>22</v>
      </c>
      <c r="H168" s="8"/>
      <c r="I168" s="9"/>
      <c r="J168" s="9" t="s">
        <v>23</v>
      </c>
      <c r="K168" s="8"/>
      <c r="L168" s="9"/>
      <c r="M168" s="10" t="s">
        <v>743</v>
      </c>
      <c r="N168" s="11" t="s">
        <v>744</v>
      </c>
      <c r="O168" s="12" t="s">
        <v>26</v>
      </c>
    </row>
    <row r="169" spans="1:15">
      <c r="A169" s="4">
        <v>165</v>
      </c>
      <c r="B169" s="5" t="s">
        <v>637</v>
      </c>
      <c r="C169" s="5" t="s">
        <v>648</v>
      </c>
      <c r="D169" s="5" t="s">
        <v>745</v>
      </c>
      <c r="E169" s="6" t="s">
        <v>746</v>
      </c>
      <c r="F169" s="7" t="s">
        <v>21</v>
      </c>
      <c r="G169" s="5" t="s">
        <v>29</v>
      </c>
      <c r="H169" s="8"/>
      <c r="I169" s="9"/>
      <c r="J169" s="9" t="s">
        <v>23</v>
      </c>
      <c r="K169" s="8"/>
      <c r="L169" s="9"/>
      <c r="M169" s="10" t="s">
        <v>747</v>
      </c>
      <c r="N169" s="11" t="s">
        <v>748</v>
      </c>
      <c r="O169" s="12" t="s">
        <v>26</v>
      </c>
    </row>
    <row r="170" spans="1:15">
      <c r="A170" s="4">
        <v>166</v>
      </c>
      <c r="B170" s="5" t="s">
        <v>637</v>
      </c>
      <c r="C170" s="5" t="s">
        <v>648</v>
      </c>
      <c r="D170" s="5" t="s">
        <v>749</v>
      </c>
      <c r="E170" s="6" t="s">
        <v>750</v>
      </c>
      <c r="F170" s="7" t="s">
        <v>21</v>
      </c>
      <c r="G170" s="5" t="s">
        <v>29</v>
      </c>
      <c r="H170" s="8"/>
      <c r="I170" s="9"/>
      <c r="J170" s="9" t="s">
        <v>23</v>
      </c>
      <c r="K170" s="8"/>
      <c r="L170" s="9"/>
      <c r="M170" s="10" t="s">
        <v>751</v>
      </c>
      <c r="N170" s="11" t="s">
        <v>752</v>
      </c>
      <c r="O170" s="12" t="s">
        <v>26</v>
      </c>
    </row>
    <row r="171" spans="1:15">
      <c r="A171" s="4">
        <v>167</v>
      </c>
      <c r="B171" s="5" t="s">
        <v>637</v>
      </c>
      <c r="C171" s="5" t="s">
        <v>648</v>
      </c>
      <c r="D171" s="5" t="s">
        <v>753</v>
      </c>
      <c r="E171" s="6" t="s">
        <v>754</v>
      </c>
      <c r="F171" s="7" t="s">
        <v>21</v>
      </c>
      <c r="G171" s="5" t="s">
        <v>22</v>
      </c>
      <c r="H171" s="8"/>
      <c r="I171" s="9"/>
      <c r="J171" s="9" t="s">
        <v>23</v>
      </c>
      <c r="K171" s="8"/>
      <c r="L171" s="9"/>
      <c r="M171" s="10" t="s">
        <v>755</v>
      </c>
      <c r="N171" s="11" t="s">
        <v>756</v>
      </c>
      <c r="O171" s="12" t="s">
        <v>26</v>
      </c>
    </row>
    <row r="172" spans="1:15">
      <c r="A172" s="4">
        <v>168</v>
      </c>
      <c r="B172" s="5" t="s">
        <v>637</v>
      </c>
      <c r="C172" s="5" t="s">
        <v>658</v>
      </c>
      <c r="D172" s="5" t="s">
        <v>757</v>
      </c>
      <c r="E172" s="6" t="s">
        <v>758</v>
      </c>
      <c r="F172" s="7" t="s">
        <v>21</v>
      </c>
      <c r="G172" s="5" t="s">
        <v>22</v>
      </c>
      <c r="H172" s="8"/>
      <c r="I172" s="9"/>
      <c r="J172" s="9" t="s">
        <v>23</v>
      </c>
      <c r="K172" s="8"/>
      <c r="L172" s="9"/>
      <c r="M172" s="10" t="s">
        <v>180</v>
      </c>
      <c r="N172" s="11" t="s">
        <v>759</v>
      </c>
      <c r="O172" s="12" t="s">
        <v>26</v>
      </c>
    </row>
    <row r="173" spans="1:15">
      <c r="A173" s="4">
        <v>169</v>
      </c>
      <c r="B173" s="5" t="s">
        <v>637</v>
      </c>
      <c r="C173" s="5" t="s">
        <v>643</v>
      </c>
      <c r="D173" s="5" t="s">
        <v>760</v>
      </c>
      <c r="E173" s="6" t="s">
        <v>761</v>
      </c>
      <c r="F173" s="13" t="s">
        <v>34</v>
      </c>
      <c r="G173" s="5" t="s">
        <v>22</v>
      </c>
      <c r="H173" s="8"/>
      <c r="I173" s="9"/>
      <c r="J173" s="9" t="s">
        <v>23</v>
      </c>
      <c r="K173" s="8"/>
      <c r="L173" s="9"/>
      <c r="M173" s="10" t="s">
        <v>762</v>
      </c>
      <c r="N173" s="11" t="s">
        <v>763</v>
      </c>
      <c r="O173" s="12" t="s">
        <v>26</v>
      </c>
    </row>
    <row r="174" spans="1:15">
      <c r="A174" s="4">
        <v>170</v>
      </c>
      <c r="B174" s="5" t="s">
        <v>637</v>
      </c>
      <c r="C174" s="5" t="s">
        <v>764</v>
      </c>
      <c r="D174" s="5" t="s">
        <v>765</v>
      </c>
      <c r="E174" s="6" t="s">
        <v>766</v>
      </c>
      <c r="F174" s="7" t="s">
        <v>21</v>
      </c>
      <c r="G174" s="5" t="s">
        <v>22</v>
      </c>
      <c r="H174" s="8"/>
      <c r="I174" s="9"/>
      <c r="J174" s="9" t="s">
        <v>23</v>
      </c>
      <c r="K174" s="8"/>
      <c r="L174" s="9"/>
      <c r="M174" s="10" t="s">
        <v>767</v>
      </c>
      <c r="N174" s="11" t="s">
        <v>768</v>
      </c>
      <c r="O174" s="12" t="s">
        <v>26</v>
      </c>
    </row>
    <row r="175" spans="1:15">
      <c r="A175" s="4">
        <v>171</v>
      </c>
      <c r="B175" s="5" t="s">
        <v>769</v>
      </c>
      <c r="C175" s="5" t="s">
        <v>770</v>
      </c>
      <c r="D175" s="5" t="s">
        <v>771</v>
      </c>
      <c r="E175" s="6" t="s">
        <v>772</v>
      </c>
      <c r="F175" s="7" t="s">
        <v>21</v>
      </c>
      <c r="G175" s="5" t="s">
        <v>22</v>
      </c>
      <c r="H175" s="8"/>
      <c r="I175" s="9"/>
      <c r="J175" s="9" t="s">
        <v>23</v>
      </c>
      <c r="K175" s="8"/>
      <c r="L175" s="9"/>
      <c r="M175" s="10" t="s">
        <v>773</v>
      </c>
      <c r="N175" s="11" t="s">
        <v>774</v>
      </c>
      <c r="O175" s="12" t="s">
        <v>26</v>
      </c>
    </row>
    <row r="176" spans="1:15">
      <c r="A176" s="4">
        <v>172</v>
      </c>
      <c r="B176" s="5" t="s">
        <v>769</v>
      </c>
      <c r="C176" s="5" t="s">
        <v>770</v>
      </c>
      <c r="D176" s="5" t="s">
        <v>775</v>
      </c>
      <c r="E176" s="6" t="s">
        <v>776</v>
      </c>
      <c r="F176" s="7" t="s">
        <v>21</v>
      </c>
      <c r="G176" s="5" t="s">
        <v>29</v>
      </c>
      <c r="H176" s="8"/>
      <c r="I176" s="9"/>
      <c r="J176" s="9" t="s">
        <v>23</v>
      </c>
      <c r="K176" s="8"/>
      <c r="L176" s="9"/>
      <c r="M176" s="10" t="s">
        <v>777</v>
      </c>
      <c r="N176" s="11" t="s">
        <v>778</v>
      </c>
      <c r="O176" s="12" t="s">
        <v>26</v>
      </c>
    </row>
    <row r="177" spans="1:15">
      <c r="A177" s="4">
        <v>173</v>
      </c>
      <c r="B177" s="5" t="s">
        <v>769</v>
      </c>
      <c r="C177" s="5" t="s">
        <v>779</v>
      </c>
      <c r="D177" s="5" t="s">
        <v>780</v>
      </c>
      <c r="E177" s="6" t="s">
        <v>781</v>
      </c>
      <c r="F177" s="7" t="s">
        <v>21</v>
      </c>
      <c r="G177" s="5" t="s">
        <v>29</v>
      </c>
      <c r="H177" s="8"/>
      <c r="I177" s="9"/>
      <c r="J177" s="9" t="s">
        <v>23</v>
      </c>
      <c r="K177" s="8"/>
      <c r="L177" s="9"/>
      <c r="M177" s="10" t="s">
        <v>782</v>
      </c>
      <c r="N177" s="11" t="s">
        <v>783</v>
      </c>
      <c r="O177" s="12" t="s">
        <v>26</v>
      </c>
    </row>
    <row r="178" spans="1:15">
      <c r="A178" s="4">
        <v>174</v>
      </c>
      <c r="B178" s="5" t="s">
        <v>769</v>
      </c>
      <c r="C178" s="5" t="s">
        <v>779</v>
      </c>
      <c r="D178" s="5" t="s">
        <v>784</v>
      </c>
      <c r="E178" s="6" t="s">
        <v>785</v>
      </c>
      <c r="F178" s="7" t="s">
        <v>21</v>
      </c>
      <c r="G178" s="5" t="s">
        <v>29</v>
      </c>
      <c r="H178" s="8"/>
      <c r="I178" s="9"/>
      <c r="J178" s="9" t="s">
        <v>23</v>
      </c>
      <c r="K178" s="8"/>
      <c r="L178" s="9"/>
      <c r="M178" s="10" t="s">
        <v>486</v>
      </c>
      <c r="N178" s="11" t="s">
        <v>786</v>
      </c>
      <c r="O178" s="12" t="s">
        <v>26</v>
      </c>
    </row>
    <row r="179" spans="1:15">
      <c r="A179" s="4">
        <v>175</v>
      </c>
      <c r="B179" s="5" t="s">
        <v>769</v>
      </c>
      <c r="C179" s="5" t="s">
        <v>787</v>
      </c>
      <c r="D179" s="5" t="s">
        <v>788</v>
      </c>
      <c r="E179" s="6" t="s">
        <v>789</v>
      </c>
      <c r="F179" s="7" t="s">
        <v>21</v>
      </c>
      <c r="G179" s="5" t="s">
        <v>22</v>
      </c>
      <c r="H179" s="8"/>
      <c r="I179" s="9"/>
      <c r="J179" s="9" t="s">
        <v>23</v>
      </c>
      <c r="K179" s="8"/>
      <c r="L179" s="9"/>
      <c r="M179" s="10" t="s">
        <v>790</v>
      </c>
      <c r="N179" s="11" t="s">
        <v>791</v>
      </c>
      <c r="O179" s="12" t="s">
        <v>26</v>
      </c>
    </row>
    <row r="180" spans="1:15">
      <c r="A180" s="4">
        <v>176</v>
      </c>
      <c r="B180" s="5" t="s">
        <v>769</v>
      </c>
      <c r="C180" s="5" t="s">
        <v>792</v>
      </c>
      <c r="D180" s="5" t="s">
        <v>793</v>
      </c>
      <c r="E180" s="6" t="s">
        <v>794</v>
      </c>
      <c r="F180" s="7" t="s">
        <v>21</v>
      </c>
      <c r="G180" s="5" t="s">
        <v>22</v>
      </c>
      <c r="H180" s="8"/>
      <c r="I180" s="9"/>
      <c r="J180" s="9" t="s">
        <v>23</v>
      </c>
      <c r="K180" s="8"/>
      <c r="L180" s="9"/>
      <c r="M180" s="10" t="s">
        <v>795</v>
      </c>
      <c r="N180" s="11" t="s">
        <v>796</v>
      </c>
      <c r="O180" s="12" t="s">
        <v>26</v>
      </c>
    </row>
    <row r="181" spans="1:15">
      <c r="A181" s="4">
        <v>177</v>
      </c>
      <c r="B181" s="5" t="s">
        <v>769</v>
      </c>
      <c r="C181" s="5" t="s">
        <v>779</v>
      </c>
      <c r="D181" s="5" t="s">
        <v>797</v>
      </c>
      <c r="E181" s="6" t="s">
        <v>798</v>
      </c>
      <c r="F181" s="7" t="s">
        <v>21</v>
      </c>
      <c r="G181" s="5" t="s">
        <v>22</v>
      </c>
      <c r="H181" s="8"/>
      <c r="I181" s="9"/>
      <c r="J181" s="9" t="s">
        <v>23</v>
      </c>
      <c r="K181" s="8"/>
      <c r="L181" s="9"/>
      <c r="M181" s="10" t="s">
        <v>799</v>
      </c>
      <c r="N181" s="11" t="s">
        <v>800</v>
      </c>
      <c r="O181" s="12" t="s">
        <v>26</v>
      </c>
    </row>
    <row r="182" spans="1:15">
      <c r="A182" s="4">
        <v>178</v>
      </c>
      <c r="B182" s="5" t="s">
        <v>769</v>
      </c>
      <c r="C182" s="5" t="s">
        <v>801</v>
      </c>
      <c r="D182" s="5" t="s">
        <v>802</v>
      </c>
      <c r="E182" s="6" t="s">
        <v>803</v>
      </c>
      <c r="F182" s="7" t="s">
        <v>21</v>
      </c>
      <c r="G182" s="5" t="s">
        <v>29</v>
      </c>
      <c r="H182" s="8"/>
      <c r="I182" s="9"/>
      <c r="J182" s="9" t="s">
        <v>23</v>
      </c>
      <c r="K182" s="8"/>
      <c r="L182" s="9"/>
      <c r="M182" s="10" t="s">
        <v>804</v>
      </c>
      <c r="N182" s="11" t="s">
        <v>805</v>
      </c>
      <c r="O182" s="12" t="s">
        <v>26</v>
      </c>
    </row>
    <row r="183" spans="1:15">
      <c r="A183" s="4">
        <v>179</v>
      </c>
      <c r="B183" s="5" t="s">
        <v>769</v>
      </c>
      <c r="C183" s="5" t="s">
        <v>801</v>
      </c>
      <c r="D183" s="5" t="s">
        <v>806</v>
      </c>
      <c r="E183" s="6" t="s">
        <v>807</v>
      </c>
      <c r="F183" s="7" t="s">
        <v>21</v>
      </c>
      <c r="G183" s="5" t="s">
        <v>22</v>
      </c>
      <c r="H183" s="8"/>
      <c r="I183" s="9"/>
      <c r="J183" s="9" t="s">
        <v>23</v>
      </c>
      <c r="K183" s="8"/>
      <c r="L183" s="9"/>
      <c r="M183" s="10" t="s">
        <v>808</v>
      </c>
      <c r="N183" s="11" t="s">
        <v>809</v>
      </c>
      <c r="O183" s="12" t="s">
        <v>26</v>
      </c>
    </row>
    <row r="184" spans="1:15">
      <c r="A184" s="4">
        <v>180</v>
      </c>
      <c r="B184" s="5" t="s">
        <v>769</v>
      </c>
      <c r="C184" s="5" t="s">
        <v>801</v>
      </c>
      <c r="D184" s="5" t="s">
        <v>810</v>
      </c>
      <c r="E184" s="6" t="s">
        <v>811</v>
      </c>
      <c r="F184" s="7" t="s">
        <v>21</v>
      </c>
      <c r="G184" s="5" t="s">
        <v>29</v>
      </c>
      <c r="H184" s="8"/>
      <c r="I184" s="9"/>
      <c r="J184" s="9" t="s">
        <v>23</v>
      </c>
      <c r="K184" s="8"/>
      <c r="L184" s="9"/>
      <c r="M184" s="10" t="s">
        <v>812</v>
      </c>
      <c r="N184" s="11" t="s">
        <v>813</v>
      </c>
      <c r="O184" s="12" t="s">
        <v>26</v>
      </c>
    </row>
    <row r="185" spans="1:15">
      <c r="A185" s="4">
        <v>181</v>
      </c>
      <c r="B185" s="5" t="s">
        <v>769</v>
      </c>
      <c r="C185" s="5" t="s">
        <v>770</v>
      </c>
      <c r="D185" s="5" t="s">
        <v>814</v>
      </c>
      <c r="E185" s="6" t="s">
        <v>815</v>
      </c>
      <c r="F185" s="7" t="s">
        <v>21</v>
      </c>
      <c r="G185" s="5" t="s">
        <v>22</v>
      </c>
      <c r="H185" s="8"/>
      <c r="I185" s="9"/>
      <c r="J185" s="9" t="s">
        <v>23</v>
      </c>
      <c r="K185" s="8"/>
      <c r="L185" s="9"/>
      <c r="M185" s="10" t="s">
        <v>816</v>
      </c>
      <c r="N185" s="11" t="s">
        <v>817</v>
      </c>
      <c r="O185" s="12" t="s">
        <v>26</v>
      </c>
    </row>
    <row r="186" spans="1:15">
      <c r="A186" s="4">
        <v>182</v>
      </c>
      <c r="B186" s="5" t="s">
        <v>769</v>
      </c>
      <c r="C186" s="5" t="s">
        <v>818</v>
      </c>
      <c r="D186" s="5" t="s">
        <v>819</v>
      </c>
      <c r="E186" s="6" t="s">
        <v>820</v>
      </c>
      <c r="F186" s="7" t="s">
        <v>21</v>
      </c>
      <c r="G186" s="5" t="s">
        <v>22</v>
      </c>
      <c r="H186" s="8"/>
      <c r="I186" s="9"/>
      <c r="J186" s="9" t="s">
        <v>23</v>
      </c>
      <c r="K186" s="8"/>
      <c r="L186" s="9"/>
      <c r="M186" s="10" t="s">
        <v>821</v>
      </c>
      <c r="N186" s="11" t="s">
        <v>822</v>
      </c>
      <c r="O186" s="12" t="s">
        <v>26</v>
      </c>
    </row>
    <row r="187" spans="1:15">
      <c r="A187" s="4">
        <v>183</v>
      </c>
      <c r="B187" s="5" t="s">
        <v>769</v>
      </c>
      <c r="C187" s="5" t="s">
        <v>779</v>
      </c>
      <c r="D187" s="5" t="s">
        <v>823</v>
      </c>
      <c r="E187" s="6" t="s">
        <v>824</v>
      </c>
      <c r="F187" s="7" t="s">
        <v>21</v>
      </c>
      <c r="G187" s="5" t="s">
        <v>29</v>
      </c>
      <c r="H187" s="8"/>
      <c r="I187" s="9"/>
      <c r="J187" s="9" t="s">
        <v>23</v>
      </c>
      <c r="K187" s="8"/>
      <c r="L187" s="9"/>
      <c r="M187" s="10" t="s">
        <v>825</v>
      </c>
      <c r="N187" s="11" t="s">
        <v>826</v>
      </c>
      <c r="O187" s="12" t="s">
        <v>26</v>
      </c>
    </row>
    <row r="188" spans="1:15">
      <c r="A188" s="4">
        <v>184</v>
      </c>
      <c r="B188" s="5" t="s">
        <v>769</v>
      </c>
      <c r="C188" s="5" t="s">
        <v>779</v>
      </c>
      <c r="D188" s="5" t="s">
        <v>827</v>
      </c>
      <c r="E188" s="6" t="s">
        <v>828</v>
      </c>
      <c r="F188" s="13" t="s">
        <v>34</v>
      </c>
      <c r="G188" s="5" t="s">
        <v>22</v>
      </c>
      <c r="H188" s="8"/>
      <c r="I188" s="9"/>
      <c r="J188" s="9" t="s">
        <v>23</v>
      </c>
      <c r="K188" s="8"/>
      <c r="L188" s="9"/>
      <c r="M188" s="10" t="s">
        <v>829</v>
      </c>
      <c r="N188" s="11" t="s">
        <v>830</v>
      </c>
      <c r="O188" s="12" t="s">
        <v>26</v>
      </c>
    </row>
    <row r="189" spans="1:15">
      <c r="A189" s="4">
        <v>185</v>
      </c>
      <c r="B189" s="5" t="s">
        <v>769</v>
      </c>
      <c r="C189" s="5" t="s">
        <v>831</v>
      </c>
      <c r="D189" s="5" t="s">
        <v>832</v>
      </c>
      <c r="E189" s="6" t="s">
        <v>833</v>
      </c>
      <c r="F189" s="7" t="s">
        <v>21</v>
      </c>
      <c r="G189" s="5" t="s">
        <v>29</v>
      </c>
      <c r="H189" s="8"/>
      <c r="I189" s="9"/>
      <c r="J189" s="9" t="s">
        <v>23</v>
      </c>
      <c r="K189" s="8"/>
      <c r="L189" s="9"/>
      <c r="M189" s="10" t="s">
        <v>507</v>
      </c>
      <c r="N189" s="11" t="s">
        <v>834</v>
      </c>
      <c r="O189" s="12" t="s">
        <v>26</v>
      </c>
    </row>
    <row r="190" spans="1:15">
      <c r="A190" s="4">
        <v>186</v>
      </c>
      <c r="B190" s="5" t="s">
        <v>835</v>
      </c>
      <c r="C190" s="5" t="s">
        <v>836</v>
      </c>
      <c r="D190" s="5" t="s">
        <v>837</v>
      </c>
      <c r="E190" s="6" t="s">
        <v>838</v>
      </c>
      <c r="F190" s="13" t="s">
        <v>34</v>
      </c>
      <c r="G190" s="5" t="s">
        <v>22</v>
      </c>
      <c r="H190" s="8"/>
      <c r="I190" s="9"/>
      <c r="J190" s="9" t="s">
        <v>23</v>
      </c>
      <c r="K190" s="8"/>
      <c r="L190" s="9"/>
      <c r="M190" s="10" t="s">
        <v>839</v>
      </c>
      <c r="N190" s="11" t="s">
        <v>840</v>
      </c>
      <c r="O190" s="12" t="s">
        <v>26</v>
      </c>
    </row>
    <row r="191" spans="1:15">
      <c r="A191" s="4">
        <v>187</v>
      </c>
      <c r="B191" s="5" t="s">
        <v>835</v>
      </c>
      <c r="C191" s="5" t="s">
        <v>841</v>
      </c>
      <c r="D191" s="5" t="s">
        <v>842</v>
      </c>
      <c r="E191" s="6" t="s">
        <v>843</v>
      </c>
      <c r="F191" s="7" t="s">
        <v>21</v>
      </c>
      <c r="G191" s="5" t="s">
        <v>22</v>
      </c>
      <c r="H191" s="8"/>
      <c r="I191" s="9"/>
      <c r="J191" s="9" t="s">
        <v>23</v>
      </c>
      <c r="K191" s="8"/>
      <c r="L191" s="9"/>
      <c r="M191" s="10" t="s">
        <v>844</v>
      </c>
      <c r="N191" s="11" t="s">
        <v>845</v>
      </c>
      <c r="O191" s="12" t="s">
        <v>26</v>
      </c>
    </row>
    <row r="192" spans="1:15">
      <c r="A192" s="4">
        <v>188</v>
      </c>
      <c r="B192" s="5" t="s">
        <v>835</v>
      </c>
      <c r="C192" s="5" t="s">
        <v>846</v>
      </c>
      <c r="D192" s="5" t="s">
        <v>847</v>
      </c>
      <c r="E192" s="6" t="s">
        <v>848</v>
      </c>
      <c r="F192" s="7" t="s">
        <v>21</v>
      </c>
      <c r="G192" s="5" t="s">
        <v>29</v>
      </c>
      <c r="H192" s="8"/>
      <c r="I192" s="9"/>
      <c r="J192" s="9" t="s">
        <v>23</v>
      </c>
      <c r="K192" s="8"/>
      <c r="L192" s="9"/>
      <c r="M192" s="10" t="s">
        <v>849</v>
      </c>
      <c r="N192" s="11" t="s">
        <v>850</v>
      </c>
      <c r="O192" s="12" t="s">
        <v>26</v>
      </c>
    </row>
    <row r="193" spans="1:15">
      <c r="A193" s="4">
        <v>189</v>
      </c>
      <c r="B193" s="5" t="s">
        <v>835</v>
      </c>
      <c r="C193" s="5" t="s">
        <v>836</v>
      </c>
      <c r="D193" s="5" t="s">
        <v>851</v>
      </c>
      <c r="E193" s="6" t="s">
        <v>852</v>
      </c>
      <c r="F193" s="7" t="s">
        <v>21</v>
      </c>
      <c r="G193" s="5" t="s">
        <v>29</v>
      </c>
      <c r="H193" s="8"/>
      <c r="I193" s="9"/>
      <c r="J193" s="9" t="s">
        <v>23</v>
      </c>
      <c r="K193" s="8"/>
      <c r="L193" s="9"/>
      <c r="M193" s="10" t="s">
        <v>853</v>
      </c>
      <c r="N193" s="11" t="s">
        <v>854</v>
      </c>
      <c r="O193" s="12" t="s">
        <v>26</v>
      </c>
    </row>
    <row r="194" spans="1:15">
      <c r="A194" s="4">
        <v>190</v>
      </c>
      <c r="B194" s="5" t="s">
        <v>835</v>
      </c>
      <c r="C194" s="5" t="s">
        <v>855</v>
      </c>
      <c r="D194" s="5" t="s">
        <v>856</v>
      </c>
      <c r="E194" s="6" t="s">
        <v>857</v>
      </c>
      <c r="F194" s="7" t="s">
        <v>21</v>
      </c>
      <c r="G194" s="5" t="s">
        <v>22</v>
      </c>
      <c r="H194" s="8"/>
      <c r="I194" s="9"/>
      <c r="J194" s="9" t="s">
        <v>23</v>
      </c>
      <c r="K194" s="8"/>
      <c r="L194" s="9"/>
      <c r="M194" s="10" t="s">
        <v>858</v>
      </c>
      <c r="N194" s="11" t="s">
        <v>859</v>
      </c>
      <c r="O194" s="12" t="s">
        <v>26</v>
      </c>
    </row>
    <row r="195" spans="1:15">
      <c r="A195" s="4">
        <v>191</v>
      </c>
      <c r="B195" s="5" t="s">
        <v>835</v>
      </c>
      <c r="C195" s="5" t="s">
        <v>836</v>
      </c>
      <c r="D195" s="5" t="s">
        <v>860</v>
      </c>
      <c r="E195" s="6" t="s">
        <v>861</v>
      </c>
      <c r="F195" s="7" t="s">
        <v>21</v>
      </c>
      <c r="G195" s="5" t="s">
        <v>22</v>
      </c>
      <c r="H195" s="8"/>
      <c r="I195" s="9"/>
      <c r="J195" s="9" t="s">
        <v>23</v>
      </c>
      <c r="K195" s="8"/>
      <c r="L195" s="9"/>
      <c r="M195" s="10" t="s">
        <v>862</v>
      </c>
      <c r="N195" s="11" t="s">
        <v>863</v>
      </c>
      <c r="O195" s="12" t="s">
        <v>26</v>
      </c>
    </row>
    <row r="196" spans="1:15">
      <c r="A196" s="4">
        <v>192</v>
      </c>
      <c r="B196" s="5" t="s">
        <v>835</v>
      </c>
      <c r="C196" s="5" t="s">
        <v>864</v>
      </c>
      <c r="D196" s="5" t="s">
        <v>865</v>
      </c>
      <c r="E196" s="6" t="s">
        <v>866</v>
      </c>
      <c r="F196" s="7" t="s">
        <v>21</v>
      </c>
      <c r="G196" s="5" t="s">
        <v>22</v>
      </c>
      <c r="H196" s="8"/>
      <c r="I196" s="9"/>
      <c r="J196" s="9" t="s">
        <v>23</v>
      </c>
      <c r="K196" s="8"/>
      <c r="L196" s="9"/>
      <c r="M196" s="10" t="s">
        <v>370</v>
      </c>
      <c r="N196" s="11" t="s">
        <v>867</v>
      </c>
      <c r="O196" s="12" t="s">
        <v>26</v>
      </c>
    </row>
    <row r="197" spans="1:15">
      <c r="A197" s="4">
        <v>193</v>
      </c>
      <c r="B197" s="5" t="s">
        <v>835</v>
      </c>
      <c r="C197" s="5" t="s">
        <v>864</v>
      </c>
      <c r="D197" s="5" t="s">
        <v>868</v>
      </c>
      <c r="E197" s="6" t="s">
        <v>869</v>
      </c>
      <c r="F197" s="7" t="s">
        <v>21</v>
      </c>
      <c r="G197" s="5" t="s">
        <v>29</v>
      </c>
      <c r="H197" s="8"/>
      <c r="I197" s="9"/>
      <c r="J197" s="9" t="s">
        <v>23</v>
      </c>
      <c r="K197" s="8"/>
      <c r="L197" s="9"/>
      <c r="M197" s="10" t="s">
        <v>870</v>
      </c>
      <c r="N197" s="11" t="s">
        <v>871</v>
      </c>
      <c r="O197" s="12" t="s">
        <v>26</v>
      </c>
    </row>
    <row r="198" spans="1:15">
      <c r="A198" s="4">
        <v>194</v>
      </c>
      <c r="B198" s="5" t="s">
        <v>835</v>
      </c>
      <c r="C198" s="5" t="s">
        <v>864</v>
      </c>
      <c r="D198" s="5" t="s">
        <v>872</v>
      </c>
      <c r="E198" s="6" t="s">
        <v>873</v>
      </c>
      <c r="F198" s="7" t="s">
        <v>21</v>
      </c>
      <c r="G198" s="5" t="s">
        <v>22</v>
      </c>
      <c r="H198" s="8"/>
      <c r="I198" s="9"/>
      <c r="J198" s="9" t="s">
        <v>23</v>
      </c>
      <c r="K198" s="8"/>
      <c r="L198" s="9"/>
      <c r="M198" s="10" t="s">
        <v>874</v>
      </c>
      <c r="N198" s="11" t="s">
        <v>875</v>
      </c>
      <c r="O198" s="12" t="s">
        <v>26</v>
      </c>
    </row>
    <row r="199" spans="1:15">
      <c r="A199" s="4">
        <v>195</v>
      </c>
      <c r="B199" s="5" t="s">
        <v>835</v>
      </c>
      <c r="C199" s="5" t="s">
        <v>876</v>
      </c>
      <c r="D199" s="5" t="s">
        <v>877</v>
      </c>
      <c r="E199" s="6" t="s">
        <v>878</v>
      </c>
      <c r="F199" s="7" t="s">
        <v>21</v>
      </c>
      <c r="G199" s="5" t="s">
        <v>22</v>
      </c>
      <c r="H199" s="8"/>
      <c r="I199" s="9"/>
      <c r="J199" s="9" t="s">
        <v>23</v>
      </c>
      <c r="K199" s="8"/>
      <c r="L199" s="9"/>
      <c r="M199" s="10" t="s">
        <v>879</v>
      </c>
      <c r="N199" s="11" t="s">
        <v>880</v>
      </c>
      <c r="O199" s="12" t="s">
        <v>26</v>
      </c>
    </row>
    <row r="200" spans="1:15">
      <c r="A200" s="4">
        <v>196</v>
      </c>
      <c r="B200" s="5" t="s">
        <v>835</v>
      </c>
      <c r="C200" s="5" t="s">
        <v>881</v>
      </c>
      <c r="D200" s="5" t="s">
        <v>882</v>
      </c>
      <c r="E200" s="6" t="s">
        <v>883</v>
      </c>
      <c r="F200" s="7" t="s">
        <v>21</v>
      </c>
      <c r="G200" s="5" t="s">
        <v>22</v>
      </c>
      <c r="H200" s="8"/>
      <c r="I200" s="9"/>
      <c r="J200" s="9" t="s">
        <v>23</v>
      </c>
      <c r="K200" s="8"/>
      <c r="L200" s="9"/>
      <c r="M200" s="10" t="s">
        <v>884</v>
      </c>
      <c r="N200" s="11" t="s">
        <v>885</v>
      </c>
      <c r="O200" s="12" t="s">
        <v>26</v>
      </c>
    </row>
    <row r="201" spans="1:15">
      <c r="A201" s="4">
        <v>197</v>
      </c>
      <c r="B201" s="5" t="s">
        <v>835</v>
      </c>
      <c r="C201" s="5" t="s">
        <v>846</v>
      </c>
      <c r="D201" s="5" t="s">
        <v>886</v>
      </c>
      <c r="E201" s="6" t="s">
        <v>887</v>
      </c>
      <c r="F201" s="7" t="s">
        <v>21</v>
      </c>
      <c r="G201" s="5" t="s">
        <v>29</v>
      </c>
      <c r="H201" s="8"/>
      <c r="I201" s="9"/>
      <c r="J201" s="9" t="s">
        <v>23</v>
      </c>
      <c r="K201" s="8"/>
      <c r="L201" s="9"/>
      <c r="M201" s="10" t="s">
        <v>884</v>
      </c>
      <c r="N201" s="11" t="s">
        <v>888</v>
      </c>
      <c r="O201" s="12" t="s">
        <v>26</v>
      </c>
    </row>
    <row r="202" spans="1:15">
      <c r="A202" s="4">
        <v>198</v>
      </c>
      <c r="B202" s="5" t="s">
        <v>835</v>
      </c>
      <c r="C202" s="5" t="s">
        <v>864</v>
      </c>
      <c r="D202" s="5" t="s">
        <v>889</v>
      </c>
      <c r="E202" s="6" t="s">
        <v>890</v>
      </c>
      <c r="F202" s="7" t="s">
        <v>21</v>
      </c>
      <c r="G202" s="5" t="s">
        <v>22</v>
      </c>
      <c r="H202" s="8"/>
      <c r="I202" s="9"/>
      <c r="J202" s="9" t="s">
        <v>23</v>
      </c>
      <c r="K202" s="8"/>
      <c r="L202" s="9"/>
      <c r="M202" s="10" t="s">
        <v>370</v>
      </c>
      <c r="N202" s="11" t="s">
        <v>891</v>
      </c>
      <c r="O202" s="12" t="s">
        <v>26</v>
      </c>
    </row>
    <row r="203" spans="1:15">
      <c r="A203" s="4">
        <v>199</v>
      </c>
      <c r="B203" s="5" t="s">
        <v>892</v>
      </c>
      <c r="C203" s="5" t="s">
        <v>893</v>
      </c>
      <c r="D203" s="5" t="s">
        <v>894</v>
      </c>
      <c r="E203" s="6" t="s">
        <v>895</v>
      </c>
      <c r="F203" s="7" t="s">
        <v>21</v>
      </c>
      <c r="G203" s="5" t="s">
        <v>22</v>
      </c>
      <c r="H203" s="8"/>
      <c r="I203" s="9"/>
      <c r="J203" s="9" t="s">
        <v>23</v>
      </c>
      <c r="K203" s="8"/>
      <c r="L203" s="9"/>
      <c r="M203" s="10" t="s">
        <v>896</v>
      </c>
      <c r="N203" s="11" t="s">
        <v>897</v>
      </c>
      <c r="O203" s="12" t="s">
        <v>26</v>
      </c>
    </row>
    <row r="204" spans="1:15">
      <c r="A204" s="4">
        <v>200</v>
      </c>
      <c r="B204" s="5" t="s">
        <v>892</v>
      </c>
      <c r="C204" s="5" t="s">
        <v>898</v>
      </c>
      <c r="D204" s="5" t="s">
        <v>899</v>
      </c>
      <c r="E204" s="6" t="s">
        <v>900</v>
      </c>
      <c r="F204" s="7" t="s">
        <v>21</v>
      </c>
      <c r="G204" s="5" t="s">
        <v>22</v>
      </c>
      <c r="H204" s="8"/>
      <c r="I204" s="9"/>
      <c r="J204" s="9" t="s">
        <v>23</v>
      </c>
      <c r="K204" s="8"/>
      <c r="L204" s="9"/>
      <c r="M204" s="10" t="s">
        <v>296</v>
      </c>
      <c r="N204" s="11" t="s">
        <v>901</v>
      </c>
      <c r="O204" s="12" t="s">
        <v>26</v>
      </c>
    </row>
    <row r="205" spans="1:15">
      <c r="A205" s="4">
        <v>201</v>
      </c>
      <c r="B205" s="5" t="s">
        <v>892</v>
      </c>
      <c r="C205" s="5" t="s">
        <v>893</v>
      </c>
      <c r="D205" s="5" t="s">
        <v>902</v>
      </c>
      <c r="E205" s="6" t="s">
        <v>903</v>
      </c>
      <c r="F205" s="13" t="s">
        <v>34</v>
      </c>
      <c r="G205" s="5" t="s">
        <v>22</v>
      </c>
      <c r="H205" s="8"/>
      <c r="I205" s="9"/>
      <c r="J205" s="9" t="s">
        <v>23</v>
      </c>
      <c r="K205" s="8"/>
      <c r="L205" s="9"/>
      <c r="M205" s="10" t="s">
        <v>904</v>
      </c>
      <c r="N205" s="11" t="s">
        <v>905</v>
      </c>
      <c r="O205" s="12" t="s">
        <v>26</v>
      </c>
    </row>
    <row r="206" spans="1:15">
      <c r="A206" s="4">
        <v>202</v>
      </c>
      <c r="B206" s="5" t="s">
        <v>892</v>
      </c>
      <c r="C206" s="5" t="s">
        <v>893</v>
      </c>
      <c r="D206" s="5" t="s">
        <v>906</v>
      </c>
      <c r="E206" s="6" t="s">
        <v>907</v>
      </c>
      <c r="F206" s="7" t="s">
        <v>21</v>
      </c>
      <c r="G206" s="5" t="s">
        <v>22</v>
      </c>
      <c r="H206" s="8"/>
      <c r="I206" s="9"/>
      <c r="J206" s="9" t="s">
        <v>23</v>
      </c>
      <c r="K206" s="8"/>
      <c r="L206" s="9"/>
      <c r="M206" s="10" t="s">
        <v>908</v>
      </c>
      <c r="N206" s="11" t="s">
        <v>909</v>
      </c>
      <c r="O206" s="12" t="s">
        <v>26</v>
      </c>
    </row>
    <row r="207" spans="1:15">
      <c r="A207" s="4">
        <v>203</v>
      </c>
      <c r="B207" s="5" t="s">
        <v>892</v>
      </c>
      <c r="C207" s="5" t="s">
        <v>910</v>
      </c>
      <c r="D207" s="5" t="s">
        <v>911</v>
      </c>
      <c r="E207" s="6" t="s">
        <v>912</v>
      </c>
      <c r="F207" s="7" t="s">
        <v>21</v>
      </c>
      <c r="G207" s="5" t="s">
        <v>29</v>
      </c>
      <c r="H207" s="8"/>
      <c r="I207" s="9"/>
      <c r="J207" s="9" t="s">
        <v>23</v>
      </c>
      <c r="K207" s="8"/>
      <c r="L207" s="9"/>
      <c r="M207" s="10" t="s">
        <v>913</v>
      </c>
      <c r="N207" s="11" t="s">
        <v>914</v>
      </c>
      <c r="O207" s="12" t="s">
        <v>26</v>
      </c>
    </row>
    <row r="208" spans="1:15">
      <c r="A208" s="4">
        <v>204</v>
      </c>
      <c r="B208" s="5" t="s">
        <v>892</v>
      </c>
      <c r="C208" s="5" t="s">
        <v>915</v>
      </c>
      <c r="D208" s="5" t="s">
        <v>916</v>
      </c>
      <c r="E208" s="6" t="s">
        <v>917</v>
      </c>
      <c r="F208" s="7" t="s">
        <v>21</v>
      </c>
      <c r="G208" s="5" t="s">
        <v>22</v>
      </c>
      <c r="H208" s="8"/>
      <c r="I208" s="9"/>
      <c r="J208" s="9" t="s">
        <v>23</v>
      </c>
      <c r="K208" s="8"/>
      <c r="L208" s="9"/>
      <c r="M208" s="10" t="s">
        <v>296</v>
      </c>
      <c r="N208" s="11" t="s">
        <v>918</v>
      </c>
      <c r="O208" s="12" t="s">
        <v>26</v>
      </c>
    </row>
    <row r="209" spans="1:15">
      <c r="A209" s="4">
        <v>205</v>
      </c>
      <c r="B209" s="5" t="s">
        <v>892</v>
      </c>
      <c r="C209" s="5" t="s">
        <v>919</v>
      </c>
      <c r="D209" s="5" t="s">
        <v>920</v>
      </c>
      <c r="E209" s="6" t="s">
        <v>921</v>
      </c>
      <c r="F209" s="7" t="s">
        <v>21</v>
      </c>
      <c r="G209" s="5" t="s">
        <v>22</v>
      </c>
      <c r="H209" s="8"/>
      <c r="I209" s="9"/>
      <c r="J209" s="9" t="s">
        <v>23</v>
      </c>
      <c r="K209" s="8"/>
      <c r="L209" s="9"/>
      <c r="M209" s="10" t="s">
        <v>296</v>
      </c>
      <c r="N209" s="11" t="s">
        <v>922</v>
      </c>
      <c r="O209" s="12" t="s">
        <v>26</v>
      </c>
    </row>
    <row r="210" spans="1:15">
      <c r="A210" s="4">
        <v>206</v>
      </c>
      <c r="B210" s="5" t="s">
        <v>892</v>
      </c>
      <c r="C210" s="5" t="s">
        <v>923</v>
      </c>
      <c r="D210" s="5" t="s">
        <v>924</v>
      </c>
      <c r="E210" s="6" t="s">
        <v>925</v>
      </c>
      <c r="F210" s="13" t="s">
        <v>34</v>
      </c>
      <c r="G210" s="5" t="s">
        <v>29</v>
      </c>
      <c r="H210" s="8"/>
      <c r="I210" s="9"/>
      <c r="J210" s="9" t="s">
        <v>23</v>
      </c>
      <c r="K210" s="8"/>
      <c r="L210" s="9"/>
      <c r="M210" s="10" t="s">
        <v>926</v>
      </c>
      <c r="N210" s="11" t="s">
        <v>927</v>
      </c>
      <c r="O210" s="12" t="s">
        <v>26</v>
      </c>
    </row>
    <row r="211" spans="1:15">
      <c r="A211" s="4">
        <v>207</v>
      </c>
      <c r="B211" s="5" t="s">
        <v>892</v>
      </c>
      <c r="C211" s="5" t="s">
        <v>928</v>
      </c>
      <c r="D211" s="5" t="s">
        <v>929</v>
      </c>
      <c r="E211" s="6" t="s">
        <v>930</v>
      </c>
      <c r="F211" s="13" t="s">
        <v>34</v>
      </c>
      <c r="G211" s="5" t="s">
        <v>22</v>
      </c>
      <c r="H211" s="8"/>
      <c r="I211" s="9"/>
      <c r="J211" s="9" t="s">
        <v>23</v>
      </c>
      <c r="K211" s="8"/>
      <c r="L211" s="9"/>
      <c r="M211" s="10" t="s">
        <v>233</v>
      </c>
      <c r="N211" s="11" t="s">
        <v>931</v>
      </c>
      <c r="O211" s="12" t="s">
        <v>26</v>
      </c>
    </row>
    <row r="212" spans="1:15">
      <c r="A212" s="4">
        <v>208</v>
      </c>
      <c r="B212" s="5" t="s">
        <v>892</v>
      </c>
      <c r="C212" s="5" t="s">
        <v>932</v>
      </c>
      <c r="D212" s="5" t="s">
        <v>933</v>
      </c>
      <c r="E212" s="6" t="s">
        <v>934</v>
      </c>
      <c r="F212" s="7" t="s">
        <v>21</v>
      </c>
      <c r="G212" s="5" t="s">
        <v>22</v>
      </c>
      <c r="H212" s="8"/>
      <c r="I212" s="9"/>
      <c r="J212" s="9" t="s">
        <v>23</v>
      </c>
      <c r="K212" s="8"/>
      <c r="L212" s="9"/>
      <c r="M212" s="10" t="s">
        <v>935</v>
      </c>
      <c r="N212" s="11" t="s">
        <v>936</v>
      </c>
      <c r="O212" s="12" t="s">
        <v>26</v>
      </c>
    </row>
    <row r="213" spans="1:15">
      <c r="A213" s="4">
        <v>209</v>
      </c>
      <c r="B213" s="5" t="s">
        <v>892</v>
      </c>
      <c r="C213" s="5" t="s">
        <v>937</v>
      </c>
      <c r="D213" s="5" t="s">
        <v>938</v>
      </c>
      <c r="E213" s="6" t="s">
        <v>939</v>
      </c>
      <c r="F213" s="13" t="s">
        <v>34</v>
      </c>
      <c r="G213" s="5" t="s">
        <v>22</v>
      </c>
      <c r="H213" s="8"/>
      <c r="I213" s="9"/>
      <c r="J213" s="9" t="s">
        <v>23</v>
      </c>
      <c r="K213" s="8"/>
      <c r="L213" s="9"/>
      <c r="M213" s="10" t="s">
        <v>940</v>
      </c>
      <c r="N213" s="11" t="s">
        <v>941</v>
      </c>
      <c r="O213" s="12" t="s">
        <v>26</v>
      </c>
    </row>
    <row r="214" spans="1:15">
      <c r="A214" s="4">
        <v>210</v>
      </c>
      <c r="B214" s="5" t="s">
        <v>892</v>
      </c>
      <c r="C214" s="5" t="s">
        <v>942</v>
      </c>
      <c r="D214" s="5" t="s">
        <v>943</v>
      </c>
      <c r="E214" s="6" t="s">
        <v>944</v>
      </c>
      <c r="F214" s="13" t="s">
        <v>34</v>
      </c>
      <c r="G214" s="5" t="s">
        <v>22</v>
      </c>
      <c r="H214" s="8"/>
      <c r="I214" s="9"/>
      <c r="J214" s="9" t="s">
        <v>23</v>
      </c>
      <c r="K214" s="8"/>
      <c r="L214" s="9"/>
      <c r="M214" s="10" t="s">
        <v>945</v>
      </c>
      <c r="N214" s="11" t="s">
        <v>946</v>
      </c>
      <c r="O214" s="12" t="s">
        <v>26</v>
      </c>
    </row>
    <row r="215" spans="1:15">
      <c r="A215" s="4">
        <v>211</v>
      </c>
      <c r="B215" s="5" t="s">
        <v>892</v>
      </c>
      <c r="C215" s="5" t="s">
        <v>947</v>
      </c>
      <c r="D215" s="5" t="s">
        <v>948</v>
      </c>
      <c r="E215" s="6" t="s">
        <v>949</v>
      </c>
      <c r="F215" s="7" t="s">
        <v>21</v>
      </c>
      <c r="G215" s="5" t="s">
        <v>22</v>
      </c>
      <c r="H215" s="8"/>
      <c r="I215" s="9"/>
      <c r="J215" s="9" t="s">
        <v>23</v>
      </c>
      <c r="K215" s="8"/>
      <c r="L215" s="9"/>
      <c r="M215" s="10" t="s">
        <v>913</v>
      </c>
      <c r="N215" s="11" t="s">
        <v>950</v>
      </c>
      <c r="O215" s="12" t="s">
        <v>26</v>
      </c>
    </row>
    <row r="216" spans="1:15">
      <c r="A216" s="4">
        <v>212</v>
      </c>
      <c r="B216" s="5" t="s">
        <v>892</v>
      </c>
      <c r="C216" s="5" t="s">
        <v>951</v>
      </c>
      <c r="D216" s="5" t="s">
        <v>952</v>
      </c>
      <c r="E216" s="6" t="s">
        <v>953</v>
      </c>
      <c r="F216" s="13" t="s">
        <v>34</v>
      </c>
      <c r="G216" s="5" t="s">
        <v>22</v>
      </c>
      <c r="H216" s="8"/>
      <c r="I216" s="9"/>
      <c r="J216" s="9" t="s">
        <v>23</v>
      </c>
      <c r="K216" s="8"/>
      <c r="L216" s="9"/>
      <c r="M216" s="10" t="s">
        <v>954</v>
      </c>
      <c r="N216" s="11" t="s">
        <v>955</v>
      </c>
      <c r="O216" s="12" t="s">
        <v>26</v>
      </c>
    </row>
    <row r="217" spans="1:15">
      <c r="A217" s="4">
        <v>213</v>
      </c>
      <c r="B217" s="5" t="s">
        <v>892</v>
      </c>
      <c r="C217" s="5" t="s">
        <v>951</v>
      </c>
      <c r="D217" s="5" t="s">
        <v>956</v>
      </c>
      <c r="E217" s="6" t="s">
        <v>957</v>
      </c>
      <c r="F217" s="7" t="s">
        <v>21</v>
      </c>
      <c r="G217" s="5" t="s">
        <v>22</v>
      </c>
      <c r="H217" s="8"/>
      <c r="I217" s="9"/>
      <c r="J217" s="9" t="s">
        <v>23</v>
      </c>
      <c r="K217" s="8"/>
      <c r="L217" s="9"/>
      <c r="M217" s="10" t="s">
        <v>296</v>
      </c>
      <c r="N217" s="11" t="s">
        <v>958</v>
      </c>
      <c r="O217" s="12" t="s">
        <v>26</v>
      </c>
    </row>
    <row r="218" spans="1:15">
      <c r="A218" s="4">
        <v>214</v>
      </c>
      <c r="B218" s="5" t="s">
        <v>892</v>
      </c>
      <c r="C218" s="5" t="s">
        <v>959</v>
      </c>
      <c r="D218" s="5" t="s">
        <v>960</v>
      </c>
      <c r="E218" s="6" t="s">
        <v>961</v>
      </c>
      <c r="F218" s="7" t="s">
        <v>21</v>
      </c>
      <c r="G218" s="5" t="s">
        <v>22</v>
      </c>
      <c r="H218" s="8"/>
      <c r="I218" s="9"/>
      <c r="J218" s="9" t="s">
        <v>23</v>
      </c>
      <c r="K218" s="8"/>
      <c r="L218" s="9"/>
      <c r="M218" s="10" t="s">
        <v>100</v>
      </c>
      <c r="N218" s="11" t="s">
        <v>962</v>
      </c>
      <c r="O218" s="12" t="s">
        <v>26</v>
      </c>
    </row>
    <row r="219" spans="1:15">
      <c r="A219" s="4">
        <v>215</v>
      </c>
      <c r="B219" s="5" t="s">
        <v>892</v>
      </c>
      <c r="C219" s="5" t="s">
        <v>963</v>
      </c>
      <c r="D219" s="5" t="s">
        <v>964</v>
      </c>
      <c r="E219" s="6" t="s">
        <v>965</v>
      </c>
      <c r="F219" s="7" t="s">
        <v>21</v>
      </c>
      <c r="G219" s="5" t="s">
        <v>485</v>
      </c>
      <c r="H219" s="8"/>
      <c r="I219" s="9"/>
      <c r="J219" s="9" t="s">
        <v>23</v>
      </c>
      <c r="K219" s="8"/>
      <c r="L219" s="9"/>
      <c r="M219" s="10" t="s">
        <v>966</v>
      </c>
      <c r="N219" s="11" t="s">
        <v>967</v>
      </c>
      <c r="O219" s="12" t="s">
        <v>26</v>
      </c>
    </row>
    <row r="220" spans="1:15">
      <c r="A220" s="4">
        <v>216</v>
      </c>
      <c r="B220" s="5" t="s">
        <v>892</v>
      </c>
      <c r="C220" s="5" t="s">
        <v>968</v>
      </c>
      <c r="D220" s="5" t="s">
        <v>969</v>
      </c>
      <c r="E220" s="6" t="s">
        <v>970</v>
      </c>
      <c r="F220" s="7" t="s">
        <v>21</v>
      </c>
      <c r="G220" s="5" t="s">
        <v>29</v>
      </c>
      <c r="H220" s="8"/>
      <c r="I220" s="9"/>
      <c r="J220" s="9" t="s">
        <v>23</v>
      </c>
      <c r="K220" s="8"/>
      <c r="L220" s="9"/>
      <c r="M220" s="10" t="s">
        <v>971</v>
      </c>
      <c r="N220" s="11" t="s">
        <v>972</v>
      </c>
      <c r="O220" s="12" t="s">
        <v>26</v>
      </c>
    </row>
    <row r="221" spans="1:15">
      <c r="A221" s="4">
        <v>217</v>
      </c>
      <c r="B221" s="5" t="s">
        <v>892</v>
      </c>
      <c r="C221" s="5" t="s">
        <v>973</v>
      </c>
      <c r="D221" s="5" t="s">
        <v>974</v>
      </c>
      <c r="E221" s="6" t="s">
        <v>975</v>
      </c>
      <c r="F221" s="13" t="s">
        <v>34</v>
      </c>
      <c r="G221" s="5" t="s">
        <v>22</v>
      </c>
      <c r="H221" s="8"/>
      <c r="I221" s="9"/>
      <c r="J221" s="9" t="s">
        <v>23</v>
      </c>
      <c r="K221" s="8"/>
      <c r="L221" s="9"/>
      <c r="M221" s="10" t="s">
        <v>904</v>
      </c>
      <c r="N221" s="11" t="s">
        <v>976</v>
      </c>
      <c r="O221" s="12" t="s">
        <v>26</v>
      </c>
    </row>
    <row r="222" spans="1:15">
      <c r="A222" s="4">
        <v>218</v>
      </c>
      <c r="B222" s="5" t="s">
        <v>892</v>
      </c>
      <c r="C222" s="5" t="s">
        <v>963</v>
      </c>
      <c r="D222" s="5" t="s">
        <v>977</v>
      </c>
      <c r="E222" s="6" t="s">
        <v>978</v>
      </c>
      <c r="F222" s="7" t="s">
        <v>21</v>
      </c>
      <c r="G222" s="5" t="s">
        <v>22</v>
      </c>
      <c r="H222" s="8"/>
      <c r="I222" s="9"/>
      <c r="J222" s="9" t="s">
        <v>23</v>
      </c>
      <c r="K222" s="8"/>
      <c r="L222" s="9"/>
      <c r="M222" s="10" t="s">
        <v>979</v>
      </c>
      <c r="N222" s="11" t="s">
        <v>980</v>
      </c>
      <c r="O222" s="12" t="s">
        <v>26</v>
      </c>
    </row>
    <row r="223" spans="1:15">
      <c r="A223" s="4">
        <v>219</v>
      </c>
      <c r="B223" s="5" t="s">
        <v>892</v>
      </c>
      <c r="C223" s="5" t="s">
        <v>981</v>
      </c>
      <c r="D223" s="5" t="s">
        <v>982</v>
      </c>
      <c r="E223" s="6" t="s">
        <v>983</v>
      </c>
      <c r="F223" s="7" t="s">
        <v>21</v>
      </c>
      <c r="G223" s="5" t="s">
        <v>22</v>
      </c>
      <c r="H223" s="8"/>
      <c r="I223" s="9"/>
      <c r="J223" s="9" t="s">
        <v>23</v>
      </c>
      <c r="K223" s="8"/>
      <c r="L223" s="9"/>
      <c r="M223" s="10" t="s">
        <v>984</v>
      </c>
      <c r="N223" s="11" t="s">
        <v>985</v>
      </c>
      <c r="O223" s="12" t="s">
        <v>26</v>
      </c>
    </row>
    <row r="224" spans="1:15">
      <c r="A224" s="4">
        <v>220</v>
      </c>
      <c r="B224" s="5" t="s">
        <v>892</v>
      </c>
      <c r="C224" s="5" t="s">
        <v>986</v>
      </c>
      <c r="D224" s="5" t="s">
        <v>987</v>
      </c>
      <c r="E224" s="6" t="s">
        <v>988</v>
      </c>
      <c r="F224" s="7" t="s">
        <v>21</v>
      </c>
      <c r="G224" s="5" t="s">
        <v>22</v>
      </c>
      <c r="H224" s="8"/>
      <c r="I224" s="9"/>
      <c r="J224" s="9" t="s">
        <v>23</v>
      </c>
      <c r="K224" s="8"/>
      <c r="L224" s="9"/>
      <c r="M224" s="10" t="s">
        <v>989</v>
      </c>
      <c r="N224" s="11" t="s">
        <v>990</v>
      </c>
      <c r="O224" s="12" t="s">
        <v>26</v>
      </c>
    </row>
    <row r="225" spans="1:15">
      <c r="A225" s="4">
        <v>221</v>
      </c>
      <c r="B225" s="5" t="s">
        <v>892</v>
      </c>
      <c r="C225" s="5" t="s">
        <v>991</v>
      </c>
      <c r="D225" s="5" t="s">
        <v>992</v>
      </c>
      <c r="E225" s="14" t="s">
        <v>109</v>
      </c>
      <c r="F225" s="15" t="s">
        <v>110</v>
      </c>
      <c r="G225" s="5" t="s">
        <v>22</v>
      </c>
      <c r="H225" s="8"/>
      <c r="I225" s="9"/>
      <c r="J225" s="9" t="s">
        <v>23</v>
      </c>
      <c r="K225" s="8"/>
      <c r="L225" s="9"/>
      <c r="M225" s="10" t="s">
        <v>993</v>
      </c>
      <c r="N225" s="11" t="s">
        <v>994</v>
      </c>
      <c r="O225" s="12" t="s">
        <v>26</v>
      </c>
    </row>
    <row r="226" spans="1:15">
      <c r="A226" s="4">
        <v>222</v>
      </c>
      <c r="B226" s="5" t="s">
        <v>892</v>
      </c>
      <c r="C226" s="5" t="s">
        <v>995</v>
      </c>
      <c r="D226" s="5" t="s">
        <v>996</v>
      </c>
      <c r="E226" s="6" t="s">
        <v>997</v>
      </c>
      <c r="F226" s="7" t="s">
        <v>21</v>
      </c>
      <c r="G226" s="5" t="s">
        <v>22</v>
      </c>
      <c r="H226" s="8"/>
      <c r="I226" s="9"/>
      <c r="J226" s="9" t="s">
        <v>23</v>
      </c>
      <c r="K226" s="8"/>
      <c r="L226" s="9"/>
      <c r="M226" s="10" t="s">
        <v>998</v>
      </c>
      <c r="N226" s="11" t="s">
        <v>999</v>
      </c>
      <c r="O226" s="12" t="s">
        <v>26</v>
      </c>
    </row>
    <row r="227" spans="1:15">
      <c r="A227" s="4">
        <v>223</v>
      </c>
      <c r="B227" s="5" t="s">
        <v>892</v>
      </c>
      <c r="C227" s="5" t="s">
        <v>951</v>
      </c>
      <c r="D227" s="5" t="s">
        <v>1000</v>
      </c>
      <c r="E227" s="6" t="s">
        <v>1001</v>
      </c>
      <c r="F227" s="13" t="s">
        <v>34</v>
      </c>
      <c r="G227" s="5" t="s">
        <v>22</v>
      </c>
      <c r="H227" s="8"/>
      <c r="I227" s="9"/>
      <c r="J227" s="9" t="s">
        <v>23</v>
      </c>
      <c r="K227" s="8"/>
      <c r="L227" s="9"/>
      <c r="M227" s="10" t="s">
        <v>904</v>
      </c>
      <c r="N227" s="11" t="s">
        <v>1002</v>
      </c>
      <c r="O227" s="12" t="s">
        <v>26</v>
      </c>
    </row>
    <row r="228" spans="1:15">
      <c r="A228" s="4">
        <v>224</v>
      </c>
      <c r="B228" s="5" t="s">
        <v>892</v>
      </c>
      <c r="C228" s="5" t="s">
        <v>1003</v>
      </c>
      <c r="D228" s="5" t="s">
        <v>1004</v>
      </c>
      <c r="E228" s="6" t="s">
        <v>1005</v>
      </c>
      <c r="F228" s="7" t="s">
        <v>21</v>
      </c>
      <c r="G228" s="5" t="s">
        <v>22</v>
      </c>
      <c r="H228" s="8"/>
      <c r="I228" s="9"/>
      <c r="J228" s="9" t="s">
        <v>23</v>
      </c>
      <c r="K228" s="8"/>
      <c r="L228" s="9"/>
      <c r="M228" s="10" t="s">
        <v>913</v>
      </c>
      <c r="N228" s="11" t="s">
        <v>1006</v>
      </c>
      <c r="O228" s="12" t="s">
        <v>26</v>
      </c>
    </row>
    <row r="229" spans="1:15">
      <c r="A229" s="4">
        <v>225</v>
      </c>
      <c r="B229" s="5" t="s">
        <v>892</v>
      </c>
      <c r="C229" s="5" t="s">
        <v>951</v>
      </c>
      <c r="D229" s="5" t="s">
        <v>1007</v>
      </c>
      <c r="E229" s="6" t="s">
        <v>1008</v>
      </c>
      <c r="F229" s="7" t="s">
        <v>21</v>
      </c>
      <c r="G229" s="5" t="s">
        <v>22</v>
      </c>
      <c r="H229" s="8"/>
      <c r="I229" s="9"/>
      <c r="J229" s="9" t="s">
        <v>23</v>
      </c>
      <c r="K229" s="8"/>
      <c r="L229" s="9"/>
      <c r="M229" s="10" t="s">
        <v>966</v>
      </c>
      <c r="N229" s="11" t="s">
        <v>1009</v>
      </c>
      <c r="O229" s="12" t="s">
        <v>26</v>
      </c>
    </row>
    <row r="230" spans="1:15">
      <c r="A230" s="4">
        <v>226</v>
      </c>
      <c r="B230" s="5" t="s">
        <v>892</v>
      </c>
      <c r="C230" s="5" t="s">
        <v>1010</v>
      </c>
      <c r="D230" s="5" t="s">
        <v>1011</v>
      </c>
      <c r="E230" s="6" t="s">
        <v>1012</v>
      </c>
      <c r="F230" s="13" t="s">
        <v>34</v>
      </c>
      <c r="G230" s="5" t="s">
        <v>22</v>
      </c>
      <c r="H230" s="8"/>
      <c r="I230" s="9"/>
      <c r="J230" s="9" t="s">
        <v>23</v>
      </c>
      <c r="K230" s="8"/>
      <c r="L230" s="9"/>
      <c r="M230" s="10" t="s">
        <v>233</v>
      </c>
      <c r="N230" s="11" t="s">
        <v>1013</v>
      </c>
      <c r="O230" s="12" t="s">
        <v>26</v>
      </c>
    </row>
    <row r="231" spans="1:15">
      <c r="A231" s="4">
        <v>227</v>
      </c>
      <c r="B231" s="5" t="s">
        <v>892</v>
      </c>
      <c r="C231" s="5" t="s">
        <v>991</v>
      </c>
      <c r="D231" s="5" t="s">
        <v>1014</v>
      </c>
      <c r="E231" s="6" t="s">
        <v>1015</v>
      </c>
      <c r="F231" s="7" t="s">
        <v>21</v>
      </c>
      <c r="G231" s="5" t="s">
        <v>22</v>
      </c>
      <c r="H231" s="8"/>
      <c r="I231" s="9"/>
      <c r="J231" s="9" t="s">
        <v>23</v>
      </c>
      <c r="K231" s="8"/>
      <c r="L231" s="9"/>
      <c r="M231" s="10" t="s">
        <v>1016</v>
      </c>
      <c r="N231" s="11" t="s">
        <v>1017</v>
      </c>
      <c r="O231" s="12" t="s">
        <v>26</v>
      </c>
    </row>
    <row r="232" spans="1:15">
      <c r="A232" s="4">
        <v>228</v>
      </c>
      <c r="B232" s="5" t="s">
        <v>892</v>
      </c>
      <c r="C232" s="5" t="s">
        <v>923</v>
      </c>
      <c r="D232" s="5" t="s">
        <v>1018</v>
      </c>
      <c r="E232" s="6" t="s">
        <v>1019</v>
      </c>
      <c r="F232" s="7" t="s">
        <v>21</v>
      </c>
      <c r="G232" s="5" t="s">
        <v>22</v>
      </c>
      <c r="H232" s="8"/>
      <c r="I232" s="9"/>
      <c r="J232" s="9" t="s">
        <v>23</v>
      </c>
      <c r="K232" s="8"/>
      <c r="L232" s="9"/>
      <c r="M232" s="10" t="s">
        <v>913</v>
      </c>
      <c r="N232" s="11" t="s">
        <v>1020</v>
      </c>
      <c r="O232" s="12" t="s">
        <v>26</v>
      </c>
    </row>
    <row r="233" spans="1:15">
      <c r="A233" s="4">
        <v>229</v>
      </c>
      <c r="B233" s="5" t="s">
        <v>892</v>
      </c>
      <c r="C233" s="5" t="s">
        <v>951</v>
      </c>
      <c r="D233" s="5" t="s">
        <v>1021</v>
      </c>
      <c r="E233" s="6" t="s">
        <v>1022</v>
      </c>
      <c r="F233" s="13" t="s">
        <v>34</v>
      </c>
      <c r="G233" s="5" t="s">
        <v>22</v>
      </c>
      <c r="H233" s="8"/>
      <c r="I233" s="9"/>
      <c r="J233" s="9" t="s">
        <v>23</v>
      </c>
      <c r="K233" s="8"/>
      <c r="L233" s="9"/>
      <c r="M233" s="10" t="s">
        <v>1023</v>
      </c>
      <c r="N233" s="11" t="s">
        <v>1024</v>
      </c>
      <c r="O233" s="12" t="s">
        <v>26</v>
      </c>
    </row>
    <row r="234" spans="1:15">
      <c r="A234" s="4">
        <v>230</v>
      </c>
      <c r="B234" s="5" t="s">
        <v>892</v>
      </c>
      <c r="C234" s="5" t="s">
        <v>898</v>
      </c>
      <c r="D234" s="5" t="s">
        <v>1025</v>
      </c>
      <c r="E234" s="6" t="s">
        <v>1026</v>
      </c>
      <c r="F234" s="7" t="s">
        <v>21</v>
      </c>
      <c r="G234" s="5" t="s">
        <v>29</v>
      </c>
      <c r="H234" s="8"/>
      <c r="I234" s="9"/>
      <c r="J234" s="9" t="s">
        <v>23</v>
      </c>
      <c r="K234" s="8"/>
      <c r="L234" s="9"/>
      <c r="M234" s="10" t="s">
        <v>1027</v>
      </c>
      <c r="N234" s="11" t="s">
        <v>1028</v>
      </c>
      <c r="O234" s="12" t="s">
        <v>26</v>
      </c>
    </row>
    <row r="235" spans="1:15">
      <c r="A235" s="4">
        <v>231</v>
      </c>
      <c r="B235" s="5" t="s">
        <v>892</v>
      </c>
      <c r="C235" s="5" t="s">
        <v>1029</v>
      </c>
      <c r="D235" s="5" t="s">
        <v>1030</v>
      </c>
      <c r="E235" s="6" t="s">
        <v>1031</v>
      </c>
      <c r="F235" s="7" t="s">
        <v>21</v>
      </c>
      <c r="G235" s="5" t="s">
        <v>22</v>
      </c>
      <c r="H235" s="8"/>
      <c r="I235" s="9"/>
      <c r="J235" s="9" t="s">
        <v>23</v>
      </c>
      <c r="K235" s="8"/>
      <c r="L235" s="9"/>
      <c r="M235" s="10" t="s">
        <v>1032</v>
      </c>
      <c r="N235" s="11" t="s">
        <v>1033</v>
      </c>
      <c r="O235" s="12" t="s">
        <v>26</v>
      </c>
    </row>
    <row r="236" spans="1:15">
      <c r="A236" s="4">
        <v>232</v>
      </c>
      <c r="B236" s="5" t="s">
        <v>892</v>
      </c>
      <c r="C236" s="5" t="s">
        <v>923</v>
      </c>
      <c r="D236" s="5" t="s">
        <v>1034</v>
      </c>
      <c r="E236" s="6" t="s">
        <v>1035</v>
      </c>
      <c r="F236" s="7" t="s">
        <v>21</v>
      </c>
      <c r="G236" s="5" t="s">
        <v>22</v>
      </c>
      <c r="H236" s="8"/>
      <c r="I236" s="9"/>
      <c r="J236" s="9" t="s">
        <v>23</v>
      </c>
      <c r="K236" s="8"/>
      <c r="L236" s="9"/>
      <c r="M236" s="10" t="s">
        <v>913</v>
      </c>
      <c r="N236" s="11" t="s">
        <v>1036</v>
      </c>
      <c r="O236" s="12" t="s">
        <v>26</v>
      </c>
    </row>
    <row r="237" spans="1:15">
      <c r="A237" s="4">
        <v>233</v>
      </c>
      <c r="B237" s="5" t="s">
        <v>892</v>
      </c>
      <c r="C237" s="5" t="s">
        <v>1037</v>
      </c>
      <c r="D237" s="5" t="s">
        <v>1038</v>
      </c>
      <c r="E237" s="6" t="s">
        <v>1039</v>
      </c>
      <c r="F237" s="13" t="s">
        <v>34</v>
      </c>
      <c r="G237" s="5" t="s">
        <v>29</v>
      </c>
      <c r="H237" s="8"/>
      <c r="I237" s="9"/>
      <c r="J237" s="9" t="s">
        <v>23</v>
      </c>
      <c r="K237" s="8"/>
      <c r="L237" s="9"/>
      <c r="M237" s="10" t="s">
        <v>954</v>
      </c>
      <c r="N237" s="11" t="s">
        <v>1040</v>
      </c>
      <c r="O237" s="12" t="s">
        <v>26</v>
      </c>
    </row>
    <row r="238" spans="1:15">
      <c r="A238" s="4">
        <v>234</v>
      </c>
      <c r="B238" s="5" t="s">
        <v>892</v>
      </c>
      <c r="C238" s="5" t="s">
        <v>1010</v>
      </c>
      <c r="D238" s="5" t="s">
        <v>1041</v>
      </c>
      <c r="E238" s="14" t="s">
        <v>109</v>
      </c>
      <c r="F238" s="15" t="s">
        <v>110</v>
      </c>
      <c r="G238" s="5" t="s">
        <v>39</v>
      </c>
      <c r="H238" s="8"/>
      <c r="I238" s="9"/>
      <c r="J238" s="9" t="s">
        <v>23</v>
      </c>
      <c r="K238" s="8"/>
      <c r="L238" s="9"/>
      <c r="M238" s="10" t="s">
        <v>1042</v>
      </c>
      <c r="N238" s="11" t="s">
        <v>1043</v>
      </c>
      <c r="O238" s="12" t="s">
        <v>26</v>
      </c>
    </row>
    <row r="239" spans="1:15">
      <c r="A239" s="4">
        <v>235</v>
      </c>
      <c r="B239" s="5" t="s">
        <v>892</v>
      </c>
      <c r="C239" s="5" t="s">
        <v>1010</v>
      </c>
      <c r="D239" s="5" t="s">
        <v>1044</v>
      </c>
      <c r="E239" s="6" t="s">
        <v>1045</v>
      </c>
      <c r="F239" s="13" t="s">
        <v>34</v>
      </c>
      <c r="G239" s="5" t="s">
        <v>22</v>
      </c>
      <c r="H239" s="8"/>
      <c r="I239" s="9"/>
      <c r="J239" s="9" t="s">
        <v>23</v>
      </c>
      <c r="K239" s="8"/>
      <c r="L239" s="9"/>
      <c r="M239" s="10" t="s">
        <v>904</v>
      </c>
      <c r="N239" s="11" t="s">
        <v>1046</v>
      </c>
      <c r="O239" s="12" t="s">
        <v>26</v>
      </c>
    </row>
    <row r="240" spans="1:15">
      <c r="A240" s="4">
        <v>236</v>
      </c>
      <c r="B240" s="5" t="s">
        <v>892</v>
      </c>
      <c r="C240" s="5" t="s">
        <v>1047</v>
      </c>
      <c r="D240" s="5" t="s">
        <v>1048</v>
      </c>
      <c r="E240" s="6" t="s">
        <v>1049</v>
      </c>
      <c r="F240" s="13" t="s">
        <v>34</v>
      </c>
      <c r="G240" s="5" t="s">
        <v>22</v>
      </c>
      <c r="H240" s="8"/>
      <c r="I240" s="9"/>
      <c r="J240" s="9" t="s">
        <v>23</v>
      </c>
      <c r="K240" s="8"/>
      <c r="L240" s="9"/>
      <c r="M240" s="10" t="s">
        <v>904</v>
      </c>
      <c r="N240" s="11" t="s">
        <v>1050</v>
      </c>
      <c r="O240" s="12" t="s">
        <v>26</v>
      </c>
    </row>
    <row r="241" spans="1:15">
      <c r="A241" s="4">
        <v>237</v>
      </c>
      <c r="B241" s="5" t="s">
        <v>892</v>
      </c>
      <c r="C241" s="5" t="s">
        <v>951</v>
      </c>
      <c r="D241" s="5" t="s">
        <v>1051</v>
      </c>
      <c r="E241" s="6" t="s">
        <v>1052</v>
      </c>
      <c r="F241" s="13" t="s">
        <v>34</v>
      </c>
      <c r="G241" s="5" t="s">
        <v>156</v>
      </c>
      <c r="H241" s="8"/>
      <c r="I241" s="9"/>
      <c r="J241" s="9" t="s">
        <v>23</v>
      </c>
      <c r="K241" s="8"/>
      <c r="L241" s="9"/>
      <c r="M241" s="10" t="s">
        <v>233</v>
      </c>
      <c r="N241" s="11" t="s">
        <v>1053</v>
      </c>
      <c r="O241" s="12" t="s">
        <v>26</v>
      </c>
    </row>
    <row r="242" spans="1:15">
      <c r="A242" s="4">
        <v>238</v>
      </c>
      <c r="B242" s="5" t="s">
        <v>892</v>
      </c>
      <c r="C242" s="5" t="s">
        <v>919</v>
      </c>
      <c r="D242" s="5" t="s">
        <v>1054</v>
      </c>
      <c r="E242" s="6" t="s">
        <v>1055</v>
      </c>
      <c r="F242" s="13" t="s">
        <v>34</v>
      </c>
      <c r="G242" s="5" t="s">
        <v>22</v>
      </c>
      <c r="H242" s="8"/>
      <c r="I242" s="9"/>
      <c r="J242" s="9" t="s">
        <v>23</v>
      </c>
      <c r="K242" s="8"/>
      <c r="L242" s="9"/>
      <c r="M242" s="10" t="s">
        <v>904</v>
      </c>
      <c r="N242" s="11" t="s">
        <v>1056</v>
      </c>
      <c r="O242" s="12" t="s">
        <v>26</v>
      </c>
    </row>
    <row r="243" spans="1:15">
      <c r="A243" s="4">
        <v>239</v>
      </c>
      <c r="B243" s="5" t="s">
        <v>892</v>
      </c>
      <c r="C243" s="5" t="s">
        <v>942</v>
      </c>
      <c r="D243" s="5" t="s">
        <v>1057</v>
      </c>
      <c r="E243" s="6" t="s">
        <v>1058</v>
      </c>
      <c r="F243" s="13" t="s">
        <v>34</v>
      </c>
      <c r="G243" s="5" t="s">
        <v>29</v>
      </c>
      <c r="H243" s="8"/>
      <c r="I243" s="9"/>
      <c r="J243" s="9" t="s">
        <v>23</v>
      </c>
      <c r="K243" s="8"/>
      <c r="L243" s="9"/>
      <c r="M243" s="10" t="s">
        <v>233</v>
      </c>
      <c r="N243" s="11" t="s">
        <v>1059</v>
      </c>
      <c r="O243" s="12" t="s">
        <v>26</v>
      </c>
    </row>
    <row r="244" spans="1:15">
      <c r="A244" s="4">
        <v>240</v>
      </c>
      <c r="B244" s="5" t="s">
        <v>892</v>
      </c>
      <c r="C244" s="5" t="s">
        <v>986</v>
      </c>
      <c r="D244" s="5" t="s">
        <v>1060</v>
      </c>
      <c r="E244" s="6" t="s">
        <v>1061</v>
      </c>
      <c r="F244" s="7" t="s">
        <v>21</v>
      </c>
      <c r="G244" s="5" t="s">
        <v>22</v>
      </c>
      <c r="H244" s="8"/>
      <c r="I244" s="9"/>
      <c r="J244" s="9" t="s">
        <v>23</v>
      </c>
      <c r="K244" s="8"/>
      <c r="L244" s="9"/>
      <c r="M244" s="10" t="s">
        <v>1062</v>
      </c>
      <c r="N244" s="11" t="s">
        <v>1063</v>
      </c>
      <c r="O244" s="12" t="s">
        <v>26</v>
      </c>
    </row>
    <row r="245" spans="1:15">
      <c r="A245" s="4">
        <v>241</v>
      </c>
      <c r="B245" s="5" t="s">
        <v>892</v>
      </c>
      <c r="C245" s="5" t="s">
        <v>1064</v>
      </c>
      <c r="D245" s="5" t="s">
        <v>1065</v>
      </c>
      <c r="E245" s="6" t="s">
        <v>1066</v>
      </c>
      <c r="F245" s="7" t="s">
        <v>21</v>
      </c>
      <c r="G245" s="5" t="s">
        <v>22</v>
      </c>
      <c r="H245" s="8"/>
      <c r="I245" s="9"/>
      <c r="J245" s="9" t="s">
        <v>23</v>
      </c>
      <c r="K245" s="8"/>
      <c r="L245" s="9"/>
      <c r="M245" s="10" t="s">
        <v>1067</v>
      </c>
      <c r="N245" s="11" t="s">
        <v>1068</v>
      </c>
      <c r="O245" s="12" t="s">
        <v>26</v>
      </c>
    </row>
    <row r="246" spans="1:15">
      <c r="A246" s="4">
        <v>242</v>
      </c>
      <c r="B246" s="5" t="s">
        <v>892</v>
      </c>
      <c r="C246" s="5" t="s">
        <v>951</v>
      </c>
      <c r="D246" s="5" t="s">
        <v>1069</v>
      </c>
      <c r="E246" s="6" t="s">
        <v>1070</v>
      </c>
      <c r="F246" s="13" t="s">
        <v>34</v>
      </c>
      <c r="G246" s="5" t="s">
        <v>22</v>
      </c>
      <c r="H246" s="8"/>
      <c r="I246" s="9"/>
      <c r="J246" s="9" t="s">
        <v>23</v>
      </c>
      <c r="K246" s="8"/>
      <c r="L246" s="9"/>
      <c r="M246" s="10" t="s">
        <v>1071</v>
      </c>
      <c r="N246" s="11" t="s">
        <v>1072</v>
      </c>
      <c r="O246" s="12" t="s">
        <v>26</v>
      </c>
    </row>
    <row r="247" spans="1:15">
      <c r="A247" s="4">
        <v>243</v>
      </c>
      <c r="B247" s="5" t="s">
        <v>892</v>
      </c>
      <c r="C247" s="5" t="s">
        <v>959</v>
      </c>
      <c r="D247" s="5" t="s">
        <v>1073</v>
      </c>
      <c r="E247" s="6" t="s">
        <v>1074</v>
      </c>
      <c r="F247" s="13" t="s">
        <v>34</v>
      </c>
      <c r="G247" s="5" t="s">
        <v>22</v>
      </c>
      <c r="H247" s="8"/>
      <c r="I247" s="9"/>
      <c r="J247" s="9" t="s">
        <v>23</v>
      </c>
      <c r="K247" s="8"/>
      <c r="L247" s="9"/>
      <c r="M247" s="10" t="s">
        <v>233</v>
      </c>
      <c r="N247" s="11" t="s">
        <v>1075</v>
      </c>
      <c r="O247" s="12" t="s">
        <v>26</v>
      </c>
    </row>
    <row r="248" spans="1:15">
      <c r="A248" s="4">
        <v>244</v>
      </c>
      <c r="B248" s="5" t="s">
        <v>892</v>
      </c>
      <c r="C248" s="5" t="s">
        <v>1076</v>
      </c>
      <c r="D248" s="5" t="s">
        <v>1077</v>
      </c>
      <c r="E248" s="6" t="s">
        <v>1078</v>
      </c>
      <c r="F248" s="7" t="s">
        <v>21</v>
      </c>
      <c r="G248" s="5" t="s">
        <v>22</v>
      </c>
      <c r="H248" s="8"/>
      <c r="I248" s="9"/>
      <c r="J248" s="9" t="s">
        <v>23</v>
      </c>
      <c r="K248" s="8"/>
      <c r="L248" s="9"/>
      <c r="M248" s="10" t="s">
        <v>1079</v>
      </c>
      <c r="N248" s="11" t="s">
        <v>1080</v>
      </c>
      <c r="O248" s="12" t="s">
        <v>26</v>
      </c>
    </row>
    <row r="249" spans="1:15">
      <c r="A249" s="4">
        <v>245</v>
      </c>
      <c r="B249" s="5" t="s">
        <v>892</v>
      </c>
      <c r="C249" s="5" t="s">
        <v>1076</v>
      </c>
      <c r="D249" s="5" t="s">
        <v>1081</v>
      </c>
      <c r="E249" s="6" t="s">
        <v>1082</v>
      </c>
      <c r="F249" s="7" t="s">
        <v>21</v>
      </c>
      <c r="G249" s="5" t="s">
        <v>22</v>
      </c>
      <c r="H249" s="8"/>
      <c r="I249" s="9"/>
      <c r="J249" s="9" t="s">
        <v>23</v>
      </c>
      <c r="K249" s="8"/>
      <c r="L249" s="9"/>
      <c r="M249" s="10" t="s">
        <v>1083</v>
      </c>
      <c r="N249" s="11" t="s">
        <v>1084</v>
      </c>
      <c r="O249" s="12" t="s">
        <v>26</v>
      </c>
    </row>
    <row r="250" spans="1:15">
      <c r="A250" s="4">
        <v>246</v>
      </c>
      <c r="B250" s="5" t="s">
        <v>892</v>
      </c>
      <c r="C250" s="5" t="s">
        <v>947</v>
      </c>
      <c r="D250" s="5" t="s">
        <v>1085</v>
      </c>
      <c r="E250" s="14" t="s">
        <v>109</v>
      </c>
      <c r="F250" s="15" t="s">
        <v>110</v>
      </c>
      <c r="G250" s="5" t="s">
        <v>22</v>
      </c>
      <c r="H250" s="8"/>
      <c r="I250" s="9"/>
      <c r="J250" s="9" t="s">
        <v>23</v>
      </c>
      <c r="K250" s="8"/>
      <c r="L250" s="9"/>
      <c r="M250" s="10" t="s">
        <v>1086</v>
      </c>
      <c r="N250" s="11" t="s">
        <v>1087</v>
      </c>
      <c r="O250" s="12" t="s">
        <v>26</v>
      </c>
    </row>
    <row r="251" spans="1:15">
      <c r="A251" s="4">
        <v>247</v>
      </c>
      <c r="B251" s="5" t="s">
        <v>892</v>
      </c>
      <c r="C251" s="5" t="s">
        <v>1037</v>
      </c>
      <c r="D251" s="5" t="s">
        <v>1088</v>
      </c>
      <c r="E251" s="6" t="s">
        <v>1089</v>
      </c>
      <c r="F251" s="13" t="s">
        <v>34</v>
      </c>
      <c r="G251" s="5" t="s">
        <v>22</v>
      </c>
      <c r="H251" s="8"/>
      <c r="I251" s="9"/>
      <c r="J251" s="9" t="s">
        <v>23</v>
      </c>
      <c r="K251" s="8"/>
      <c r="L251" s="9"/>
      <c r="M251" s="10" t="s">
        <v>233</v>
      </c>
      <c r="N251" s="11" t="s">
        <v>1090</v>
      </c>
      <c r="O251" s="12" t="s">
        <v>26</v>
      </c>
    </row>
    <row r="252" spans="1:15">
      <c r="A252" s="4">
        <v>248</v>
      </c>
      <c r="B252" s="5" t="s">
        <v>892</v>
      </c>
      <c r="C252" s="5" t="s">
        <v>986</v>
      </c>
      <c r="D252" s="5" t="s">
        <v>1091</v>
      </c>
      <c r="E252" s="6" t="s">
        <v>1092</v>
      </c>
      <c r="F252" s="13" t="s">
        <v>34</v>
      </c>
      <c r="G252" s="5" t="s">
        <v>156</v>
      </c>
      <c r="H252" s="8"/>
      <c r="I252" s="9"/>
      <c r="J252" s="9" t="s">
        <v>23</v>
      </c>
      <c r="K252" s="8"/>
      <c r="L252" s="9"/>
      <c r="M252" s="10" t="s">
        <v>1093</v>
      </c>
      <c r="N252" s="11" t="s">
        <v>1094</v>
      </c>
      <c r="O252" s="12" t="s">
        <v>26</v>
      </c>
    </row>
    <row r="253" spans="1:15">
      <c r="A253" s="4">
        <v>249</v>
      </c>
      <c r="B253" s="5" t="s">
        <v>892</v>
      </c>
      <c r="C253" s="5" t="s">
        <v>919</v>
      </c>
      <c r="D253" s="5" t="s">
        <v>1095</v>
      </c>
      <c r="E253" s="6" t="s">
        <v>1096</v>
      </c>
      <c r="F253" s="13" t="s">
        <v>34</v>
      </c>
      <c r="G253" s="5" t="s">
        <v>22</v>
      </c>
      <c r="H253" s="8"/>
      <c r="I253" s="9"/>
      <c r="J253" s="9" t="s">
        <v>23</v>
      </c>
      <c r="K253" s="8"/>
      <c r="L253" s="9"/>
      <c r="M253" s="10" t="s">
        <v>1097</v>
      </c>
      <c r="N253" s="11" t="s">
        <v>1098</v>
      </c>
      <c r="O253" s="12" t="s">
        <v>26</v>
      </c>
    </row>
    <row r="254" spans="1:15">
      <c r="A254" s="4">
        <v>250</v>
      </c>
      <c r="B254" s="5" t="s">
        <v>892</v>
      </c>
      <c r="C254" s="5" t="s">
        <v>951</v>
      </c>
      <c r="D254" s="5" t="s">
        <v>1099</v>
      </c>
      <c r="E254" s="6" t="s">
        <v>1100</v>
      </c>
      <c r="F254" s="13" t="s">
        <v>34</v>
      </c>
      <c r="G254" s="5" t="s">
        <v>22</v>
      </c>
      <c r="H254" s="8"/>
      <c r="I254" s="9"/>
      <c r="J254" s="9" t="s">
        <v>23</v>
      </c>
      <c r="K254" s="8"/>
      <c r="L254" s="9"/>
      <c r="M254" s="10" t="s">
        <v>1101</v>
      </c>
      <c r="N254" s="11" t="s">
        <v>1102</v>
      </c>
      <c r="O254" s="12" t="s">
        <v>26</v>
      </c>
    </row>
    <row r="255" spans="1:15">
      <c r="A255" s="4">
        <v>251</v>
      </c>
      <c r="B255" s="5" t="s">
        <v>892</v>
      </c>
      <c r="C255" s="5" t="s">
        <v>1103</v>
      </c>
      <c r="D255" s="5" t="s">
        <v>1104</v>
      </c>
      <c r="E255" s="6" t="s">
        <v>1105</v>
      </c>
      <c r="F255" s="7" t="s">
        <v>21</v>
      </c>
      <c r="G255" s="5" t="s">
        <v>22</v>
      </c>
      <c r="H255" s="8"/>
      <c r="I255" s="9"/>
      <c r="J255" s="9" t="s">
        <v>23</v>
      </c>
      <c r="K255" s="8"/>
      <c r="L255" s="9"/>
      <c r="M255" s="10" t="s">
        <v>1106</v>
      </c>
      <c r="N255" s="11" t="s">
        <v>1107</v>
      </c>
      <c r="O255" s="12" t="s">
        <v>26</v>
      </c>
    </row>
    <row r="256" spans="1:15">
      <c r="A256" s="4">
        <v>252</v>
      </c>
      <c r="B256" s="5" t="s">
        <v>892</v>
      </c>
      <c r="C256" s="5" t="s">
        <v>1029</v>
      </c>
      <c r="D256" s="5" t="s">
        <v>1108</v>
      </c>
      <c r="E256" s="6" t="s">
        <v>1109</v>
      </c>
      <c r="F256" s="7" t="s">
        <v>21</v>
      </c>
      <c r="G256" s="5" t="s">
        <v>22</v>
      </c>
      <c r="H256" s="8"/>
      <c r="I256" s="9"/>
      <c r="J256" s="9" t="s">
        <v>23</v>
      </c>
      <c r="K256" s="8"/>
      <c r="L256" s="9"/>
      <c r="M256" s="10" t="s">
        <v>913</v>
      </c>
      <c r="N256" s="11" t="s">
        <v>1110</v>
      </c>
      <c r="O256" s="12" t="s">
        <v>26</v>
      </c>
    </row>
    <row r="257" spans="1:15">
      <c r="A257" s="4">
        <v>253</v>
      </c>
      <c r="B257" s="5" t="s">
        <v>892</v>
      </c>
      <c r="C257" s="5" t="s">
        <v>1076</v>
      </c>
      <c r="D257" s="5" t="s">
        <v>1111</v>
      </c>
      <c r="E257" s="6" t="s">
        <v>1112</v>
      </c>
      <c r="F257" s="7" t="s">
        <v>21</v>
      </c>
      <c r="G257" s="5" t="s">
        <v>22</v>
      </c>
      <c r="H257" s="8"/>
      <c r="I257" s="9"/>
      <c r="J257" s="9" t="s">
        <v>23</v>
      </c>
      <c r="K257" s="8"/>
      <c r="L257" s="9"/>
      <c r="M257" s="10" t="s">
        <v>361</v>
      </c>
      <c r="N257" s="11" t="s">
        <v>1113</v>
      </c>
      <c r="O257" s="12" t="s">
        <v>26</v>
      </c>
    </row>
    <row r="258" spans="1:15">
      <c r="A258" s="4">
        <v>254</v>
      </c>
      <c r="B258" s="5" t="s">
        <v>1114</v>
      </c>
      <c r="C258" s="5" t="s">
        <v>1115</v>
      </c>
      <c r="D258" s="5" t="s">
        <v>1116</v>
      </c>
      <c r="E258" s="6" t="s">
        <v>1117</v>
      </c>
      <c r="F258" s="13" t="s">
        <v>34</v>
      </c>
      <c r="G258" s="5" t="s">
        <v>22</v>
      </c>
      <c r="H258" s="8"/>
      <c r="I258" s="9"/>
      <c r="J258" s="9" t="s">
        <v>23</v>
      </c>
      <c r="K258" s="8"/>
      <c r="L258" s="9"/>
      <c r="M258" s="10" t="s">
        <v>1118</v>
      </c>
      <c r="N258" s="11" t="s">
        <v>1119</v>
      </c>
      <c r="O258" s="12" t="s">
        <v>26</v>
      </c>
    </row>
    <row r="259" spans="1:15">
      <c r="A259" s="4">
        <v>255</v>
      </c>
      <c r="B259" s="5" t="s">
        <v>1114</v>
      </c>
      <c r="C259" s="5" t="s">
        <v>1120</v>
      </c>
      <c r="D259" s="5" t="s">
        <v>1121</v>
      </c>
      <c r="E259" s="6" t="s">
        <v>1122</v>
      </c>
      <c r="F259" s="7" t="s">
        <v>21</v>
      </c>
      <c r="G259" s="5" t="s">
        <v>22</v>
      </c>
      <c r="H259" s="8"/>
      <c r="I259" s="9"/>
      <c r="J259" s="9" t="s">
        <v>23</v>
      </c>
      <c r="K259" s="8"/>
      <c r="L259" s="9"/>
      <c r="M259" s="10" t="s">
        <v>253</v>
      </c>
      <c r="N259" s="11" t="s">
        <v>1123</v>
      </c>
      <c r="O259" s="12" t="s">
        <v>26</v>
      </c>
    </row>
    <row r="260" spans="1:15">
      <c r="A260" s="4">
        <v>256</v>
      </c>
      <c r="B260" s="5" t="s">
        <v>1114</v>
      </c>
      <c r="C260" s="5" t="s">
        <v>1124</v>
      </c>
      <c r="D260" s="5" t="s">
        <v>1125</v>
      </c>
      <c r="E260" s="14" t="s">
        <v>109</v>
      </c>
      <c r="F260" s="15" t="s">
        <v>110</v>
      </c>
      <c r="G260" s="5" t="s">
        <v>22</v>
      </c>
      <c r="H260" s="8"/>
      <c r="I260" s="9"/>
      <c r="J260" s="9" t="s">
        <v>23</v>
      </c>
      <c r="K260" s="8"/>
      <c r="L260" s="9"/>
      <c r="M260" s="10" t="s">
        <v>1126</v>
      </c>
      <c r="N260" s="11" t="s">
        <v>1127</v>
      </c>
      <c r="O260" s="12" t="s">
        <v>26</v>
      </c>
    </row>
    <row r="261" spans="1:15">
      <c r="A261" s="4">
        <v>257</v>
      </c>
      <c r="B261" s="5" t="s">
        <v>1114</v>
      </c>
      <c r="C261" s="5" t="s">
        <v>1128</v>
      </c>
      <c r="D261" s="5" t="s">
        <v>1129</v>
      </c>
      <c r="E261" s="6" t="s">
        <v>1130</v>
      </c>
      <c r="F261" s="7" t="s">
        <v>21</v>
      </c>
      <c r="G261" s="5" t="s">
        <v>22</v>
      </c>
      <c r="H261" s="8"/>
      <c r="I261" s="9"/>
      <c r="J261" s="9" t="s">
        <v>23</v>
      </c>
      <c r="K261" s="8"/>
      <c r="L261" s="9"/>
      <c r="M261" s="10" t="s">
        <v>1131</v>
      </c>
      <c r="N261" s="11" t="s">
        <v>1132</v>
      </c>
      <c r="O261" s="12" t="s">
        <v>26</v>
      </c>
    </row>
    <row r="262" spans="1:15">
      <c r="A262" s="4">
        <v>258</v>
      </c>
      <c r="B262" s="5" t="s">
        <v>1114</v>
      </c>
      <c r="C262" s="5" t="s">
        <v>1115</v>
      </c>
      <c r="D262" s="5" t="s">
        <v>1133</v>
      </c>
      <c r="E262" s="6" t="s">
        <v>1134</v>
      </c>
      <c r="F262" s="7" t="s">
        <v>21</v>
      </c>
      <c r="G262" s="5" t="s">
        <v>22</v>
      </c>
      <c r="H262" s="8"/>
      <c r="I262" s="9"/>
      <c r="J262" s="9" t="s">
        <v>23</v>
      </c>
      <c r="K262" s="8"/>
      <c r="L262" s="9"/>
      <c r="M262" s="10" t="s">
        <v>1135</v>
      </c>
      <c r="N262" s="11" t="s">
        <v>1136</v>
      </c>
      <c r="O262" s="12" t="s">
        <v>26</v>
      </c>
    </row>
    <row r="263" spans="1:15">
      <c r="A263" s="4">
        <v>259</v>
      </c>
      <c r="B263" s="5" t="s">
        <v>1114</v>
      </c>
      <c r="C263" s="5" t="s">
        <v>1137</v>
      </c>
      <c r="D263" s="5" t="s">
        <v>1138</v>
      </c>
      <c r="E263" s="6" t="s">
        <v>1139</v>
      </c>
      <c r="F263" s="13" t="s">
        <v>34</v>
      </c>
      <c r="G263" s="5" t="s">
        <v>22</v>
      </c>
      <c r="H263" s="8"/>
      <c r="I263" s="9"/>
      <c r="J263" s="9" t="s">
        <v>23</v>
      </c>
      <c r="K263" s="8"/>
      <c r="L263" s="9"/>
      <c r="M263" s="10" t="s">
        <v>233</v>
      </c>
      <c r="N263" s="11" t="s">
        <v>1140</v>
      </c>
      <c r="O263" s="12" t="s">
        <v>26</v>
      </c>
    </row>
    <row r="264" spans="1:15">
      <c r="A264" s="4">
        <v>260</v>
      </c>
      <c r="B264" s="5" t="s">
        <v>1114</v>
      </c>
      <c r="C264" s="5" t="s">
        <v>1141</v>
      </c>
      <c r="D264" s="5" t="s">
        <v>1142</v>
      </c>
      <c r="E264" s="6" t="s">
        <v>1143</v>
      </c>
      <c r="F264" s="7" t="s">
        <v>21</v>
      </c>
      <c r="G264" s="5" t="s">
        <v>29</v>
      </c>
      <c r="H264" s="8"/>
      <c r="I264" s="9"/>
      <c r="J264" s="9" t="s">
        <v>23</v>
      </c>
      <c r="K264" s="8"/>
      <c r="L264" s="9"/>
      <c r="M264" s="10" t="s">
        <v>296</v>
      </c>
      <c r="N264" s="11" t="s">
        <v>1144</v>
      </c>
      <c r="O264" s="12" t="s">
        <v>26</v>
      </c>
    </row>
    <row r="265" spans="1:15">
      <c r="A265" s="4">
        <v>261</v>
      </c>
      <c r="B265" s="5" t="s">
        <v>1114</v>
      </c>
      <c r="C265" s="5" t="s">
        <v>1145</v>
      </c>
      <c r="D265" s="5" t="s">
        <v>1146</v>
      </c>
      <c r="E265" s="6" t="s">
        <v>1147</v>
      </c>
      <c r="F265" s="7" t="s">
        <v>21</v>
      </c>
      <c r="G265" s="5" t="s">
        <v>22</v>
      </c>
      <c r="H265" s="8"/>
      <c r="I265" s="9"/>
      <c r="J265" s="9" t="s">
        <v>23</v>
      </c>
      <c r="K265" s="8"/>
      <c r="L265" s="9"/>
      <c r="M265" s="10" t="s">
        <v>1016</v>
      </c>
      <c r="N265" s="11" t="s">
        <v>1148</v>
      </c>
      <c r="O265" s="12" t="s">
        <v>26</v>
      </c>
    </row>
    <row r="266" spans="1:15">
      <c r="A266" s="4">
        <v>262</v>
      </c>
      <c r="B266" s="5" t="s">
        <v>1114</v>
      </c>
      <c r="C266" s="5" t="s">
        <v>1149</v>
      </c>
      <c r="D266" s="5" t="s">
        <v>1150</v>
      </c>
      <c r="E266" s="6" t="s">
        <v>1151</v>
      </c>
      <c r="F266" s="7" t="s">
        <v>21</v>
      </c>
      <c r="G266" s="5" t="s">
        <v>22</v>
      </c>
      <c r="H266" s="8"/>
      <c r="I266" s="9"/>
      <c r="J266" s="9" t="s">
        <v>23</v>
      </c>
      <c r="K266" s="8"/>
      <c r="L266" s="9"/>
      <c r="M266" s="10" t="s">
        <v>1152</v>
      </c>
      <c r="N266" s="11" t="s">
        <v>1153</v>
      </c>
      <c r="O266" s="12" t="s">
        <v>26</v>
      </c>
    </row>
    <row r="267" spans="1:15">
      <c r="A267" s="4">
        <v>263</v>
      </c>
      <c r="B267" s="5" t="s">
        <v>1114</v>
      </c>
      <c r="C267" s="5" t="s">
        <v>1154</v>
      </c>
      <c r="D267" s="5" t="s">
        <v>1155</v>
      </c>
      <c r="E267" s="6" t="s">
        <v>1156</v>
      </c>
      <c r="F267" s="13" t="s">
        <v>34</v>
      </c>
      <c r="G267" s="5" t="s">
        <v>22</v>
      </c>
      <c r="H267" s="8"/>
      <c r="I267" s="9"/>
      <c r="J267" s="9" t="s">
        <v>23</v>
      </c>
      <c r="K267" s="8"/>
      <c r="L267" s="9"/>
      <c r="M267" s="10" t="s">
        <v>233</v>
      </c>
      <c r="N267" s="11" t="s">
        <v>1157</v>
      </c>
      <c r="O267" s="12" t="s">
        <v>26</v>
      </c>
    </row>
    <row r="268" spans="1:15">
      <c r="A268" s="4">
        <v>264</v>
      </c>
      <c r="B268" s="5" t="s">
        <v>1114</v>
      </c>
      <c r="C268" s="5" t="s">
        <v>1154</v>
      </c>
      <c r="D268" s="5" t="s">
        <v>1158</v>
      </c>
      <c r="E268" s="6" t="s">
        <v>1159</v>
      </c>
      <c r="F268" s="7" t="s">
        <v>21</v>
      </c>
      <c r="G268" s="5" t="s">
        <v>22</v>
      </c>
      <c r="H268" s="8"/>
      <c r="I268" s="9"/>
      <c r="J268" s="9" t="s">
        <v>23</v>
      </c>
      <c r="K268" s="8"/>
      <c r="L268" s="9"/>
      <c r="M268" s="10" t="s">
        <v>1160</v>
      </c>
      <c r="N268" s="11" t="s">
        <v>1161</v>
      </c>
      <c r="O268" s="12" t="s">
        <v>26</v>
      </c>
    </row>
    <row r="269" spans="1:15">
      <c r="A269" s="4">
        <v>265</v>
      </c>
      <c r="B269" s="5" t="s">
        <v>1114</v>
      </c>
      <c r="C269" s="5" t="s">
        <v>1162</v>
      </c>
      <c r="D269" s="5" t="s">
        <v>1163</v>
      </c>
      <c r="E269" s="6" t="s">
        <v>1164</v>
      </c>
      <c r="F269" s="7" t="s">
        <v>21</v>
      </c>
      <c r="G269" s="5" t="s">
        <v>22</v>
      </c>
      <c r="H269" s="8"/>
      <c r="I269" s="9"/>
      <c r="J269" s="9" t="s">
        <v>23</v>
      </c>
      <c r="K269" s="8"/>
      <c r="L269" s="9"/>
      <c r="M269" s="10" t="s">
        <v>1165</v>
      </c>
      <c r="N269" s="11" t="s">
        <v>1166</v>
      </c>
      <c r="O269" s="12" t="s">
        <v>26</v>
      </c>
    </row>
    <row r="270" spans="1:15">
      <c r="A270" s="4">
        <v>266</v>
      </c>
      <c r="B270" s="5" t="s">
        <v>1114</v>
      </c>
      <c r="C270" s="5" t="s">
        <v>1167</v>
      </c>
      <c r="D270" s="5" t="s">
        <v>1168</v>
      </c>
      <c r="E270" s="6" t="s">
        <v>1169</v>
      </c>
      <c r="F270" s="7" t="s">
        <v>21</v>
      </c>
      <c r="G270" s="5" t="s">
        <v>22</v>
      </c>
      <c r="H270" s="8"/>
      <c r="I270" s="9"/>
      <c r="J270" s="9" t="s">
        <v>23</v>
      </c>
      <c r="K270" s="8"/>
      <c r="L270" s="9"/>
      <c r="M270" s="10" t="s">
        <v>1170</v>
      </c>
      <c r="N270" s="11" t="s">
        <v>1171</v>
      </c>
      <c r="O270" s="12" t="s">
        <v>26</v>
      </c>
    </row>
    <row r="271" spans="1:15">
      <c r="A271" s="4">
        <v>267</v>
      </c>
      <c r="B271" s="5" t="s">
        <v>1114</v>
      </c>
      <c r="C271" s="5" t="s">
        <v>1172</v>
      </c>
      <c r="D271" s="5" t="s">
        <v>1173</v>
      </c>
      <c r="E271" s="6" t="s">
        <v>1174</v>
      </c>
      <c r="F271" s="13" t="s">
        <v>34</v>
      </c>
      <c r="G271" s="5" t="s">
        <v>29</v>
      </c>
      <c r="H271" s="8"/>
      <c r="I271" s="9"/>
      <c r="J271" s="9" t="s">
        <v>23</v>
      </c>
      <c r="K271" s="8"/>
      <c r="L271" s="9"/>
      <c r="M271" s="10" t="s">
        <v>1175</v>
      </c>
      <c r="N271" s="11" t="s">
        <v>1176</v>
      </c>
      <c r="O271" s="12" t="s">
        <v>26</v>
      </c>
    </row>
    <row r="272" spans="1:15">
      <c r="A272" s="4">
        <v>268</v>
      </c>
      <c r="B272" s="5" t="s">
        <v>1114</v>
      </c>
      <c r="C272" s="5" t="s">
        <v>1115</v>
      </c>
      <c r="D272" s="5" t="s">
        <v>1177</v>
      </c>
      <c r="E272" s="6" t="s">
        <v>1178</v>
      </c>
      <c r="F272" s="13" t="s">
        <v>34</v>
      </c>
      <c r="G272" s="5" t="s">
        <v>29</v>
      </c>
      <c r="H272" s="8"/>
      <c r="I272" s="9"/>
      <c r="J272" s="9" t="s">
        <v>23</v>
      </c>
      <c r="K272" s="8"/>
      <c r="L272" s="9"/>
      <c r="M272" s="10" t="s">
        <v>1179</v>
      </c>
      <c r="N272" s="11" t="s">
        <v>1180</v>
      </c>
      <c r="O272" s="12" t="s">
        <v>26</v>
      </c>
    </row>
    <row r="273" spans="1:15">
      <c r="A273" s="4">
        <v>269</v>
      </c>
      <c r="B273" s="5" t="s">
        <v>1114</v>
      </c>
      <c r="C273" s="5" t="s">
        <v>1154</v>
      </c>
      <c r="D273" s="5" t="s">
        <v>1181</v>
      </c>
      <c r="E273" s="6" t="s">
        <v>1182</v>
      </c>
      <c r="F273" s="7" t="s">
        <v>21</v>
      </c>
      <c r="G273" s="5" t="s">
        <v>22</v>
      </c>
      <c r="H273" s="8"/>
      <c r="I273" s="9"/>
      <c r="J273" s="9" t="s">
        <v>23</v>
      </c>
      <c r="K273" s="8"/>
      <c r="L273" s="9"/>
      <c r="M273" s="10" t="s">
        <v>998</v>
      </c>
      <c r="N273" s="11" t="s">
        <v>1183</v>
      </c>
      <c r="O273" s="12" t="s">
        <v>26</v>
      </c>
    </row>
    <row r="274" spans="1:15">
      <c r="A274" s="4">
        <v>270</v>
      </c>
      <c r="B274" s="5" t="s">
        <v>1114</v>
      </c>
      <c r="C274" s="5" t="s">
        <v>1184</v>
      </c>
      <c r="D274" s="5" t="s">
        <v>1185</v>
      </c>
      <c r="E274" s="6" t="s">
        <v>1186</v>
      </c>
      <c r="F274" s="7" t="s">
        <v>21</v>
      </c>
      <c r="G274" s="5" t="s">
        <v>22</v>
      </c>
      <c r="H274" s="8"/>
      <c r="I274" s="9"/>
      <c r="J274" s="9" t="s">
        <v>23</v>
      </c>
      <c r="K274" s="8"/>
      <c r="L274" s="9"/>
      <c r="M274" s="10" t="s">
        <v>935</v>
      </c>
      <c r="N274" s="11" t="s">
        <v>1187</v>
      </c>
      <c r="O274" s="12" t="s">
        <v>26</v>
      </c>
    </row>
    <row r="275" spans="1:15">
      <c r="A275" s="4">
        <v>271</v>
      </c>
      <c r="B275" s="5" t="s">
        <v>1114</v>
      </c>
      <c r="C275" s="5" t="s">
        <v>1188</v>
      </c>
      <c r="D275" s="5" t="s">
        <v>1189</v>
      </c>
      <c r="E275" s="6" t="s">
        <v>1190</v>
      </c>
      <c r="F275" s="7" t="s">
        <v>21</v>
      </c>
      <c r="G275" s="5" t="s">
        <v>22</v>
      </c>
      <c r="H275" s="8"/>
      <c r="I275" s="9"/>
      <c r="J275" s="9" t="s">
        <v>23</v>
      </c>
      <c r="K275" s="8"/>
      <c r="L275" s="9"/>
      <c r="M275" s="10" t="s">
        <v>935</v>
      </c>
      <c r="N275" s="11" t="s">
        <v>1191</v>
      </c>
      <c r="O275" s="12" t="s">
        <v>26</v>
      </c>
    </row>
    <row r="276" spans="1:15">
      <c r="A276" s="4">
        <v>272</v>
      </c>
      <c r="B276" s="5" t="s">
        <v>1114</v>
      </c>
      <c r="C276" s="5" t="s">
        <v>1192</v>
      </c>
      <c r="D276" s="5" t="s">
        <v>1193</v>
      </c>
      <c r="E276" s="6" t="s">
        <v>1194</v>
      </c>
      <c r="F276" s="7" t="s">
        <v>21</v>
      </c>
      <c r="G276" s="5" t="s">
        <v>22</v>
      </c>
      <c r="H276" s="8"/>
      <c r="I276" s="9"/>
      <c r="J276" s="9" t="s">
        <v>23</v>
      </c>
      <c r="K276" s="8"/>
      <c r="L276" s="9"/>
      <c r="M276" s="10" t="s">
        <v>1016</v>
      </c>
      <c r="N276" s="11" t="s">
        <v>1195</v>
      </c>
      <c r="O276" s="12" t="s">
        <v>26</v>
      </c>
    </row>
    <row r="277" spans="1:15">
      <c r="A277" s="4">
        <v>273</v>
      </c>
      <c r="B277" s="5" t="s">
        <v>1114</v>
      </c>
      <c r="C277" s="5" t="s">
        <v>1196</v>
      </c>
      <c r="D277" s="5" t="s">
        <v>1197</v>
      </c>
      <c r="E277" s="6" t="s">
        <v>1198</v>
      </c>
      <c r="F277" s="7" t="s">
        <v>21</v>
      </c>
      <c r="G277" s="5" t="s">
        <v>156</v>
      </c>
      <c r="H277" s="8"/>
      <c r="I277" s="9"/>
      <c r="J277" s="9" t="s">
        <v>23</v>
      </c>
      <c r="K277" s="8"/>
      <c r="L277" s="9"/>
      <c r="M277" s="10" t="s">
        <v>913</v>
      </c>
      <c r="N277" s="11" t="s">
        <v>1199</v>
      </c>
      <c r="O277" s="12" t="s">
        <v>26</v>
      </c>
    </row>
    <row r="278" spans="1:15">
      <c r="A278" s="4">
        <v>274</v>
      </c>
      <c r="B278" s="5" t="s">
        <v>1114</v>
      </c>
      <c r="C278" s="5" t="s">
        <v>1115</v>
      </c>
      <c r="D278" s="5" t="s">
        <v>1200</v>
      </c>
      <c r="E278" s="6" t="s">
        <v>1201</v>
      </c>
      <c r="F278" s="7" t="s">
        <v>21</v>
      </c>
      <c r="G278" s="5" t="s">
        <v>22</v>
      </c>
      <c r="H278" s="8"/>
      <c r="I278" s="9"/>
      <c r="J278" s="9" t="s">
        <v>23</v>
      </c>
      <c r="K278" s="8"/>
      <c r="L278" s="9"/>
      <c r="M278" s="10" t="s">
        <v>1202</v>
      </c>
      <c r="N278" s="11" t="s">
        <v>1203</v>
      </c>
      <c r="O278" s="12" t="s">
        <v>26</v>
      </c>
    </row>
    <row r="279" spans="1:15">
      <c r="A279" s="4">
        <v>275</v>
      </c>
      <c r="B279" s="5" t="s">
        <v>1114</v>
      </c>
      <c r="C279" s="5" t="s">
        <v>1188</v>
      </c>
      <c r="D279" s="5" t="s">
        <v>1204</v>
      </c>
      <c r="E279" s="6" t="s">
        <v>1205</v>
      </c>
      <c r="F279" s="7" t="s">
        <v>21</v>
      </c>
      <c r="G279" s="5" t="s">
        <v>22</v>
      </c>
      <c r="H279" s="8"/>
      <c r="I279" s="9"/>
      <c r="J279" s="9" t="s">
        <v>23</v>
      </c>
      <c r="K279" s="8"/>
      <c r="L279" s="9"/>
      <c r="M279" s="10" t="s">
        <v>192</v>
      </c>
      <c r="N279" s="11" t="s">
        <v>1206</v>
      </c>
      <c r="O279" s="12" t="s">
        <v>26</v>
      </c>
    </row>
    <row r="280" spans="1:15">
      <c r="A280" s="4">
        <v>276</v>
      </c>
      <c r="B280" s="5" t="s">
        <v>1114</v>
      </c>
      <c r="C280" s="5" t="s">
        <v>1124</v>
      </c>
      <c r="D280" s="5" t="s">
        <v>1207</v>
      </c>
      <c r="E280" s="6" t="s">
        <v>1208</v>
      </c>
      <c r="F280" s="7" t="s">
        <v>21</v>
      </c>
      <c r="G280" s="5" t="s">
        <v>22</v>
      </c>
      <c r="H280" s="8"/>
      <c r="I280" s="9"/>
      <c r="J280" s="9" t="s">
        <v>23</v>
      </c>
      <c r="K280" s="8"/>
      <c r="L280" s="9"/>
      <c r="M280" s="10" t="s">
        <v>913</v>
      </c>
      <c r="N280" s="11" t="s">
        <v>1209</v>
      </c>
      <c r="O280" s="12" t="s">
        <v>26</v>
      </c>
    </row>
    <row r="281" spans="1:15">
      <c r="A281" s="4">
        <v>277</v>
      </c>
      <c r="B281" s="5" t="s">
        <v>1114</v>
      </c>
      <c r="C281" s="5" t="s">
        <v>1172</v>
      </c>
      <c r="D281" s="5" t="s">
        <v>1210</v>
      </c>
      <c r="E281" s="6" t="s">
        <v>1211</v>
      </c>
      <c r="F281" s="13" t="s">
        <v>34</v>
      </c>
      <c r="G281" s="5" t="s">
        <v>22</v>
      </c>
      <c r="H281" s="8"/>
      <c r="I281" s="9"/>
      <c r="J281" s="9" t="s">
        <v>23</v>
      </c>
      <c r="K281" s="8"/>
      <c r="L281" s="9"/>
      <c r="M281" s="10" t="s">
        <v>1212</v>
      </c>
      <c r="N281" s="11" t="s">
        <v>1213</v>
      </c>
      <c r="O281" s="12" t="s">
        <v>26</v>
      </c>
    </row>
    <row r="282" spans="1:15">
      <c r="A282" s="4">
        <v>278</v>
      </c>
      <c r="B282" s="5" t="s">
        <v>1114</v>
      </c>
      <c r="C282" s="5" t="s">
        <v>1154</v>
      </c>
      <c r="D282" s="5" t="s">
        <v>1214</v>
      </c>
      <c r="E282" s="6" t="s">
        <v>1215</v>
      </c>
      <c r="F282" s="13" t="s">
        <v>34</v>
      </c>
      <c r="G282" s="5" t="s">
        <v>22</v>
      </c>
      <c r="H282" s="8"/>
      <c r="I282" s="9"/>
      <c r="J282" s="9" t="s">
        <v>23</v>
      </c>
      <c r="K282" s="8"/>
      <c r="L282" s="9"/>
      <c r="M282" s="10" t="s">
        <v>233</v>
      </c>
      <c r="N282" s="11" t="s">
        <v>1216</v>
      </c>
      <c r="O282" s="12" t="s">
        <v>26</v>
      </c>
    </row>
    <row r="283" spans="1:15">
      <c r="A283" s="4">
        <v>279</v>
      </c>
      <c r="B283" s="5" t="s">
        <v>1114</v>
      </c>
      <c r="C283" s="5" t="s">
        <v>1192</v>
      </c>
      <c r="D283" s="5" t="s">
        <v>1217</v>
      </c>
      <c r="E283" s="6" t="s">
        <v>1218</v>
      </c>
      <c r="F283" s="7" t="s">
        <v>21</v>
      </c>
      <c r="G283" s="5" t="s">
        <v>29</v>
      </c>
      <c r="H283" s="8"/>
      <c r="I283" s="9"/>
      <c r="J283" s="9" t="s">
        <v>23</v>
      </c>
      <c r="K283" s="8"/>
      <c r="L283" s="9"/>
      <c r="M283" s="10" t="s">
        <v>1016</v>
      </c>
      <c r="N283" s="11" t="s">
        <v>1219</v>
      </c>
      <c r="O283" s="12" t="s">
        <v>26</v>
      </c>
    </row>
    <row r="284" spans="1:15">
      <c r="A284" s="4">
        <v>280</v>
      </c>
      <c r="B284" s="5" t="s">
        <v>1114</v>
      </c>
      <c r="C284" s="5" t="s">
        <v>1220</v>
      </c>
      <c r="D284" s="5" t="s">
        <v>1221</v>
      </c>
      <c r="E284" s="6" t="s">
        <v>1222</v>
      </c>
      <c r="F284" s="7" t="s">
        <v>21</v>
      </c>
      <c r="G284" s="5" t="s">
        <v>22</v>
      </c>
      <c r="H284" s="8"/>
      <c r="I284" s="9"/>
      <c r="J284" s="9" t="s">
        <v>23</v>
      </c>
      <c r="K284" s="8"/>
      <c r="L284" s="9"/>
      <c r="M284" s="10" t="s">
        <v>1223</v>
      </c>
      <c r="N284" s="11" t="s">
        <v>1224</v>
      </c>
      <c r="O284" s="12" t="s">
        <v>26</v>
      </c>
    </row>
    <row r="285" spans="1:15">
      <c r="A285" s="4">
        <v>281</v>
      </c>
      <c r="B285" s="5" t="s">
        <v>1114</v>
      </c>
      <c r="C285" s="5" t="s">
        <v>1120</v>
      </c>
      <c r="D285" s="5" t="s">
        <v>1225</v>
      </c>
      <c r="E285" s="6" t="s">
        <v>1226</v>
      </c>
      <c r="F285" s="7" t="s">
        <v>21</v>
      </c>
      <c r="G285" s="5" t="s">
        <v>22</v>
      </c>
      <c r="H285" s="8"/>
      <c r="I285" s="9"/>
      <c r="J285" s="9" t="s">
        <v>23</v>
      </c>
      <c r="K285" s="8"/>
      <c r="L285" s="9"/>
      <c r="M285" s="10" t="s">
        <v>1227</v>
      </c>
      <c r="N285" s="11" t="s">
        <v>1228</v>
      </c>
      <c r="O285" s="12" t="s">
        <v>26</v>
      </c>
    </row>
    <row r="286" spans="1:15">
      <c r="A286" s="4">
        <v>282</v>
      </c>
      <c r="B286" s="5" t="s">
        <v>1114</v>
      </c>
      <c r="C286" s="5" t="s">
        <v>1162</v>
      </c>
      <c r="D286" s="5" t="s">
        <v>1229</v>
      </c>
      <c r="E286" s="6" t="s">
        <v>1230</v>
      </c>
      <c r="F286" s="7" t="s">
        <v>21</v>
      </c>
      <c r="G286" s="5" t="s">
        <v>29</v>
      </c>
      <c r="H286" s="8"/>
      <c r="I286" s="9"/>
      <c r="J286" s="9" t="s">
        <v>23</v>
      </c>
      <c r="K286" s="8"/>
      <c r="L286" s="9"/>
      <c r="M286" s="10" t="s">
        <v>1231</v>
      </c>
      <c r="N286" s="11" t="s">
        <v>1228</v>
      </c>
      <c r="O286" s="12" t="s">
        <v>26</v>
      </c>
    </row>
    <row r="287" spans="1:15">
      <c r="A287" s="4">
        <v>283</v>
      </c>
      <c r="B287" s="5" t="s">
        <v>1114</v>
      </c>
      <c r="C287" s="5" t="s">
        <v>1232</v>
      </c>
      <c r="D287" s="5" t="s">
        <v>1233</v>
      </c>
      <c r="E287" s="6" t="s">
        <v>1234</v>
      </c>
      <c r="F287" s="13" t="s">
        <v>34</v>
      </c>
      <c r="G287" s="5" t="s">
        <v>22</v>
      </c>
      <c r="H287" s="8"/>
      <c r="I287" s="9"/>
      <c r="J287" s="9" t="s">
        <v>23</v>
      </c>
      <c r="K287" s="8"/>
      <c r="L287" s="9"/>
      <c r="M287" s="10" t="s">
        <v>1235</v>
      </c>
      <c r="N287" s="11" t="s">
        <v>1236</v>
      </c>
      <c r="O287" s="12" t="s">
        <v>26</v>
      </c>
    </row>
    <row r="288" spans="1:15">
      <c r="A288" s="4">
        <v>284</v>
      </c>
      <c r="B288" s="5" t="s">
        <v>1114</v>
      </c>
      <c r="C288" s="5" t="s">
        <v>1115</v>
      </c>
      <c r="D288" s="5" t="s">
        <v>1237</v>
      </c>
      <c r="E288" s="6" t="s">
        <v>1238</v>
      </c>
      <c r="F288" s="7" t="s">
        <v>21</v>
      </c>
      <c r="G288" s="5" t="s">
        <v>29</v>
      </c>
      <c r="H288" s="8"/>
      <c r="I288" s="9"/>
      <c r="J288" s="9" t="s">
        <v>23</v>
      </c>
      <c r="K288" s="8"/>
      <c r="L288" s="9"/>
      <c r="M288" s="10" t="s">
        <v>296</v>
      </c>
      <c r="N288" s="11" t="s">
        <v>1239</v>
      </c>
      <c r="O288" s="12" t="s">
        <v>26</v>
      </c>
    </row>
    <row r="289" spans="1:15">
      <c r="A289" s="4">
        <v>285</v>
      </c>
      <c r="B289" s="5" t="s">
        <v>1114</v>
      </c>
      <c r="C289" s="5" t="s">
        <v>1141</v>
      </c>
      <c r="D289" s="5" t="s">
        <v>1240</v>
      </c>
      <c r="E289" s="6" t="s">
        <v>1241</v>
      </c>
      <c r="F289" s="13" t="s">
        <v>34</v>
      </c>
      <c r="G289" s="5" t="s">
        <v>22</v>
      </c>
      <c r="H289" s="8"/>
      <c r="I289" s="9"/>
      <c r="J289" s="9" t="s">
        <v>23</v>
      </c>
      <c r="K289" s="8"/>
      <c r="L289" s="9"/>
      <c r="M289" s="10" t="s">
        <v>233</v>
      </c>
      <c r="N289" s="11" t="s">
        <v>1242</v>
      </c>
      <c r="O289" s="12" t="s">
        <v>26</v>
      </c>
    </row>
    <row r="290" spans="1:15">
      <c r="A290" s="4">
        <v>286</v>
      </c>
      <c r="B290" s="5" t="s">
        <v>1114</v>
      </c>
      <c r="C290" s="5" t="s">
        <v>1243</v>
      </c>
      <c r="D290" s="5" t="s">
        <v>1244</v>
      </c>
      <c r="E290" s="6" t="s">
        <v>1245</v>
      </c>
      <c r="F290" s="13" t="s">
        <v>34</v>
      </c>
      <c r="G290" s="5" t="s">
        <v>22</v>
      </c>
      <c r="H290" s="8"/>
      <c r="I290" s="9"/>
      <c r="J290" s="9" t="s">
        <v>23</v>
      </c>
      <c r="K290" s="8"/>
      <c r="L290" s="9"/>
      <c r="M290" s="10" t="s">
        <v>904</v>
      </c>
      <c r="N290" s="11" t="s">
        <v>1246</v>
      </c>
      <c r="O290" s="12" t="s">
        <v>26</v>
      </c>
    </row>
    <row r="291" spans="1:15">
      <c r="A291" s="4">
        <v>287</v>
      </c>
      <c r="B291" s="5" t="s">
        <v>1114</v>
      </c>
      <c r="C291" s="5" t="s">
        <v>1247</v>
      </c>
      <c r="D291" s="5" t="s">
        <v>1248</v>
      </c>
      <c r="E291" s="6" t="s">
        <v>1249</v>
      </c>
      <c r="F291" s="13" t="s">
        <v>34</v>
      </c>
      <c r="G291" s="5" t="s">
        <v>22</v>
      </c>
      <c r="H291" s="8"/>
      <c r="I291" s="9"/>
      <c r="J291" s="9" t="s">
        <v>23</v>
      </c>
      <c r="K291" s="8"/>
      <c r="L291" s="9"/>
      <c r="M291" s="10" t="s">
        <v>233</v>
      </c>
      <c r="N291" s="11" t="s">
        <v>1250</v>
      </c>
      <c r="O291" s="12" t="s">
        <v>26</v>
      </c>
    </row>
    <row r="292" spans="1:15">
      <c r="A292" s="4">
        <v>288</v>
      </c>
      <c r="B292" s="5" t="s">
        <v>1114</v>
      </c>
      <c r="C292" s="5" t="s">
        <v>1141</v>
      </c>
      <c r="D292" s="5" t="s">
        <v>1251</v>
      </c>
      <c r="E292" s="6" t="s">
        <v>1252</v>
      </c>
      <c r="F292" s="7" t="s">
        <v>21</v>
      </c>
      <c r="G292" s="5" t="s">
        <v>22</v>
      </c>
      <c r="H292" s="8"/>
      <c r="I292" s="9"/>
      <c r="J292" s="9" t="s">
        <v>23</v>
      </c>
      <c r="K292" s="8"/>
      <c r="L292" s="9"/>
      <c r="M292" s="10" t="s">
        <v>1253</v>
      </c>
      <c r="N292" s="11" t="s">
        <v>1254</v>
      </c>
      <c r="O292" s="12" t="s">
        <v>26</v>
      </c>
    </row>
    <row r="293" spans="1:15">
      <c r="A293" s="4">
        <v>289</v>
      </c>
      <c r="B293" s="5" t="s">
        <v>1114</v>
      </c>
      <c r="C293" s="5" t="s">
        <v>1255</v>
      </c>
      <c r="D293" s="5" t="s">
        <v>1256</v>
      </c>
      <c r="E293" s="6" t="s">
        <v>1257</v>
      </c>
      <c r="F293" s="7" t="s">
        <v>21</v>
      </c>
      <c r="G293" s="5" t="s">
        <v>29</v>
      </c>
      <c r="H293" s="8"/>
      <c r="I293" s="9"/>
      <c r="J293" s="9" t="s">
        <v>23</v>
      </c>
      <c r="K293" s="8"/>
      <c r="L293" s="9"/>
      <c r="M293" s="10" t="s">
        <v>296</v>
      </c>
      <c r="N293" s="11" t="s">
        <v>1258</v>
      </c>
      <c r="O293" s="12" t="s">
        <v>26</v>
      </c>
    </row>
    <row r="294" spans="1:15">
      <c r="A294" s="4">
        <v>290</v>
      </c>
      <c r="B294" s="5" t="s">
        <v>1114</v>
      </c>
      <c r="C294" s="5" t="s">
        <v>1128</v>
      </c>
      <c r="D294" s="5" t="s">
        <v>1259</v>
      </c>
      <c r="E294" s="6" t="s">
        <v>1260</v>
      </c>
      <c r="F294" s="7" t="s">
        <v>21</v>
      </c>
      <c r="G294" s="5" t="s">
        <v>22</v>
      </c>
      <c r="H294" s="8"/>
      <c r="I294" s="9"/>
      <c r="J294" s="9" t="s">
        <v>23</v>
      </c>
      <c r="K294" s="8"/>
      <c r="L294" s="9"/>
      <c r="M294" s="10" t="s">
        <v>1223</v>
      </c>
      <c r="N294" s="11" t="s">
        <v>1261</v>
      </c>
      <c r="O294" s="12" t="s">
        <v>26</v>
      </c>
    </row>
    <row r="295" spans="1:15">
      <c r="A295" s="4">
        <v>291</v>
      </c>
      <c r="B295" s="5" t="s">
        <v>1114</v>
      </c>
      <c r="C295" s="5" t="s">
        <v>1137</v>
      </c>
      <c r="D295" s="5" t="s">
        <v>1262</v>
      </c>
      <c r="E295" s="6" t="s">
        <v>1263</v>
      </c>
      <c r="F295" s="13" t="s">
        <v>34</v>
      </c>
      <c r="G295" s="5" t="s">
        <v>22</v>
      </c>
      <c r="H295" s="8"/>
      <c r="I295" s="9"/>
      <c r="J295" s="9" t="s">
        <v>23</v>
      </c>
      <c r="K295" s="8"/>
      <c r="L295" s="9"/>
      <c r="M295" s="10" t="s">
        <v>233</v>
      </c>
      <c r="N295" s="11" t="s">
        <v>1264</v>
      </c>
      <c r="O295" s="12" t="s">
        <v>26</v>
      </c>
    </row>
    <row r="296" spans="1:15">
      <c r="A296" s="4">
        <v>292</v>
      </c>
      <c r="B296" s="5" t="s">
        <v>1114</v>
      </c>
      <c r="C296" s="5" t="s">
        <v>1265</v>
      </c>
      <c r="D296" s="5" t="s">
        <v>1266</v>
      </c>
      <c r="E296" s="6" t="s">
        <v>1267</v>
      </c>
      <c r="F296" s="7" t="s">
        <v>21</v>
      </c>
      <c r="G296" s="5" t="s">
        <v>22</v>
      </c>
      <c r="H296" s="8"/>
      <c r="I296" s="9"/>
      <c r="J296" s="9" t="s">
        <v>23</v>
      </c>
      <c r="K296" s="8"/>
      <c r="L296" s="9"/>
      <c r="M296" s="10" t="s">
        <v>1268</v>
      </c>
      <c r="N296" s="11" t="s">
        <v>1269</v>
      </c>
      <c r="O296" s="12" t="s">
        <v>26</v>
      </c>
    </row>
    <row r="297" spans="1:15">
      <c r="A297" s="4">
        <v>293</v>
      </c>
      <c r="B297" s="5" t="s">
        <v>1114</v>
      </c>
      <c r="C297" s="5" t="s">
        <v>1265</v>
      </c>
      <c r="D297" s="5" t="s">
        <v>1270</v>
      </c>
      <c r="E297" s="6" t="s">
        <v>1271</v>
      </c>
      <c r="F297" s="7" t="s">
        <v>21</v>
      </c>
      <c r="G297" s="5" t="s">
        <v>22</v>
      </c>
      <c r="H297" s="8"/>
      <c r="I297" s="9"/>
      <c r="J297" s="9" t="s">
        <v>23</v>
      </c>
      <c r="K297" s="8"/>
      <c r="L297" s="9"/>
      <c r="M297" s="10" t="s">
        <v>1016</v>
      </c>
      <c r="N297" s="11" t="s">
        <v>1272</v>
      </c>
      <c r="O297" s="12" t="s">
        <v>26</v>
      </c>
    </row>
    <row r="298" spans="1:15">
      <c r="A298" s="4">
        <v>294</v>
      </c>
      <c r="B298" s="5" t="s">
        <v>1114</v>
      </c>
      <c r="C298" s="5" t="s">
        <v>1273</v>
      </c>
      <c r="D298" s="5" t="s">
        <v>1274</v>
      </c>
      <c r="E298" s="6" t="s">
        <v>1275</v>
      </c>
      <c r="F298" s="13" t="s">
        <v>34</v>
      </c>
      <c r="G298" s="5" t="s">
        <v>22</v>
      </c>
      <c r="H298" s="8"/>
      <c r="I298" s="9"/>
      <c r="J298" s="9" t="s">
        <v>23</v>
      </c>
      <c r="K298" s="8"/>
      <c r="L298" s="9"/>
      <c r="M298" s="10" t="s">
        <v>1276</v>
      </c>
      <c r="N298" s="11" t="s">
        <v>1277</v>
      </c>
      <c r="O298" s="12" t="s">
        <v>26</v>
      </c>
    </row>
    <row r="299" spans="1:15">
      <c r="A299" s="4">
        <v>295</v>
      </c>
      <c r="B299" s="5" t="s">
        <v>1114</v>
      </c>
      <c r="C299" s="5" t="s">
        <v>1243</v>
      </c>
      <c r="D299" s="5" t="s">
        <v>1278</v>
      </c>
      <c r="E299" s="6" t="s">
        <v>1279</v>
      </c>
      <c r="F299" s="13" t="s">
        <v>34</v>
      </c>
      <c r="G299" s="5" t="s">
        <v>29</v>
      </c>
      <c r="H299" s="8"/>
      <c r="I299" s="9"/>
      <c r="J299" s="9" t="s">
        <v>23</v>
      </c>
      <c r="K299" s="8"/>
      <c r="L299" s="9"/>
      <c r="M299" s="10" t="s">
        <v>1280</v>
      </c>
      <c r="N299" s="11" t="s">
        <v>1281</v>
      </c>
      <c r="O299" s="12" t="s">
        <v>26</v>
      </c>
    </row>
    <row r="300" spans="1:15">
      <c r="A300" s="4">
        <v>296</v>
      </c>
      <c r="B300" s="5" t="s">
        <v>1114</v>
      </c>
      <c r="C300" s="5" t="s">
        <v>1282</v>
      </c>
      <c r="D300" s="5" t="s">
        <v>1283</v>
      </c>
      <c r="E300" s="6" t="s">
        <v>1284</v>
      </c>
      <c r="F300" s="13" t="s">
        <v>34</v>
      </c>
      <c r="G300" s="5" t="s">
        <v>22</v>
      </c>
      <c r="H300" s="8"/>
      <c r="I300" s="9"/>
      <c r="J300" s="9" t="s">
        <v>23</v>
      </c>
      <c r="K300" s="8"/>
      <c r="L300" s="9"/>
      <c r="M300" s="10" t="s">
        <v>1285</v>
      </c>
      <c r="N300" s="11" t="s">
        <v>1286</v>
      </c>
      <c r="O300" s="12" t="s">
        <v>26</v>
      </c>
    </row>
    <row r="301" spans="1:15">
      <c r="A301" s="4">
        <v>297</v>
      </c>
      <c r="B301" s="5" t="s">
        <v>1114</v>
      </c>
      <c r="C301" s="5" t="s">
        <v>1243</v>
      </c>
      <c r="D301" s="5" t="s">
        <v>1287</v>
      </c>
      <c r="E301" s="6" t="s">
        <v>1288</v>
      </c>
      <c r="F301" s="13" t="s">
        <v>34</v>
      </c>
      <c r="G301" s="5" t="s">
        <v>22</v>
      </c>
      <c r="H301" s="8"/>
      <c r="I301" s="9"/>
      <c r="J301" s="9" t="s">
        <v>23</v>
      </c>
      <c r="K301" s="8"/>
      <c r="L301" s="9"/>
      <c r="M301" s="10" t="s">
        <v>233</v>
      </c>
      <c r="N301" s="11" t="s">
        <v>1289</v>
      </c>
      <c r="O301" s="12" t="s">
        <v>26</v>
      </c>
    </row>
    <row r="302" spans="1:15">
      <c r="A302" s="4">
        <v>298</v>
      </c>
      <c r="B302" s="5" t="s">
        <v>1114</v>
      </c>
      <c r="C302" s="5" t="s">
        <v>1243</v>
      </c>
      <c r="D302" s="5" t="s">
        <v>1290</v>
      </c>
      <c r="E302" s="6" t="s">
        <v>1291</v>
      </c>
      <c r="F302" s="13" t="s">
        <v>34</v>
      </c>
      <c r="G302" s="5" t="s">
        <v>22</v>
      </c>
      <c r="H302" s="8"/>
      <c r="I302" s="9"/>
      <c r="J302" s="9" t="s">
        <v>23</v>
      </c>
      <c r="K302" s="8"/>
      <c r="L302" s="9"/>
      <c r="M302" s="10" t="s">
        <v>954</v>
      </c>
      <c r="N302" s="11" t="s">
        <v>1292</v>
      </c>
      <c r="O302" s="12" t="s">
        <v>26</v>
      </c>
    </row>
    <row r="303" spans="1:15">
      <c r="A303" s="4">
        <v>299</v>
      </c>
      <c r="B303" s="5" t="s">
        <v>1114</v>
      </c>
      <c r="C303" s="5" t="s">
        <v>1293</v>
      </c>
      <c r="D303" s="5" t="s">
        <v>1294</v>
      </c>
      <c r="E303" s="6" t="s">
        <v>1295</v>
      </c>
      <c r="F303" s="7" t="s">
        <v>21</v>
      </c>
      <c r="G303" s="5" t="s">
        <v>22</v>
      </c>
      <c r="H303" s="8"/>
      <c r="I303" s="9"/>
      <c r="J303" s="9" t="s">
        <v>23</v>
      </c>
      <c r="K303" s="8"/>
      <c r="L303" s="9"/>
      <c r="M303" s="10" t="s">
        <v>1296</v>
      </c>
      <c r="N303" s="11" t="s">
        <v>1297</v>
      </c>
      <c r="O303" s="12" t="s">
        <v>26</v>
      </c>
    </row>
    <row r="304" spans="1:15">
      <c r="A304" s="4">
        <v>300</v>
      </c>
      <c r="B304" s="5" t="s">
        <v>1114</v>
      </c>
      <c r="C304" s="5" t="s">
        <v>1184</v>
      </c>
      <c r="D304" s="5" t="s">
        <v>1298</v>
      </c>
      <c r="E304" s="6" t="s">
        <v>1299</v>
      </c>
      <c r="F304" s="13" t="s">
        <v>34</v>
      </c>
      <c r="G304" s="5" t="s">
        <v>22</v>
      </c>
      <c r="H304" s="8"/>
      <c r="I304" s="9"/>
      <c r="J304" s="9" t="s">
        <v>23</v>
      </c>
      <c r="K304" s="8"/>
      <c r="L304" s="9"/>
      <c r="M304" s="10" t="s">
        <v>1300</v>
      </c>
      <c r="N304" s="11" t="s">
        <v>1301</v>
      </c>
      <c r="O304" s="12" t="s">
        <v>26</v>
      </c>
    </row>
    <row r="305" spans="1:15">
      <c r="A305" s="4">
        <v>301</v>
      </c>
      <c r="B305" s="5" t="s">
        <v>1114</v>
      </c>
      <c r="C305" s="5" t="s">
        <v>1184</v>
      </c>
      <c r="D305" s="5" t="s">
        <v>1302</v>
      </c>
      <c r="E305" s="6" t="s">
        <v>1303</v>
      </c>
      <c r="F305" s="13" t="s">
        <v>34</v>
      </c>
      <c r="G305" s="5" t="s">
        <v>22</v>
      </c>
      <c r="H305" s="8"/>
      <c r="I305" s="9"/>
      <c r="J305" s="9" t="s">
        <v>23</v>
      </c>
      <c r="K305" s="8"/>
      <c r="L305" s="9"/>
      <c r="M305" s="10" t="s">
        <v>233</v>
      </c>
      <c r="N305" s="11" t="s">
        <v>1304</v>
      </c>
      <c r="O305" s="12" t="s">
        <v>26</v>
      </c>
    </row>
    <row r="306" spans="1:15">
      <c r="A306" s="4">
        <v>302</v>
      </c>
      <c r="B306" s="5" t="s">
        <v>1114</v>
      </c>
      <c r="C306" s="5" t="s">
        <v>1243</v>
      </c>
      <c r="D306" s="5" t="s">
        <v>1305</v>
      </c>
      <c r="E306" s="6" t="s">
        <v>1306</v>
      </c>
      <c r="F306" s="7" t="s">
        <v>21</v>
      </c>
      <c r="G306" s="5" t="s">
        <v>22</v>
      </c>
      <c r="H306" s="8"/>
      <c r="I306" s="9"/>
      <c r="J306" s="9" t="s">
        <v>23</v>
      </c>
      <c r="K306" s="8"/>
      <c r="L306" s="9"/>
      <c r="M306" s="10" t="s">
        <v>100</v>
      </c>
      <c r="N306" s="11" t="s">
        <v>1307</v>
      </c>
      <c r="O306" s="12" t="s">
        <v>26</v>
      </c>
    </row>
    <row r="307" spans="1:15">
      <c r="A307" s="4">
        <v>303</v>
      </c>
      <c r="B307" s="5" t="s">
        <v>1114</v>
      </c>
      <c r="C307" s="5" t="s">
        <v>1115</v>
      </c>
      <c r="D307" s="5" t="s">
        <v>1308</v>
      </c>
      <c r="E307" s="6" t="s">
        <v>1309</v>
      </c>
      <c r="F307" s="7" t="s">
        <v>21</v>
      </c>
      <c r="G307" s="5" t="s">
        <v>22</v>
      </c>
      <c r="H307" s="8"/>
      <c r="I307" s="9"/>
      <c r="J307" s="9" t="s">
        <v>23</v>
      </c>
      <c r="K307" s="8"/>
      <c r="L307" s="9"/>
      <c r="M307" s="10" t="s">
        <v>1016</v>
      </c>
      <c r="N307" s="11" t="s">
        <v>1310</v>
      </c>
      <c r="O307" s="12" t="s">
        <v>26</v>
      </c>
    </row>
    <row r="308" spans="1:15">
      <c r="A308" s="4">
        <v>304</v>
      </c>
      <c r="B308" s="5" t="s">
        <v>1114</v>
      </c>
      <c r="C308" s="5" t="s">
        <v>1141</v>
      </c>
      <c r="D308" s="5" t="s">
        <v>1311</v>
      </c>
      <c r="E308" s="14" t="s">
        <v>109</v>
      </c>
      <c r="F308" s="15" t="s">
        <v>110</v>
      </c>
      <c r="G308" s="5" t="s">
        <v>22</v>
      </c>
      <c r="H308" s="8"/>
      <c r="I308" s="9"/>
      <c r="J308" s="9" t="s">
        <v>23</v>
      </c>
      <c r="K308" s="8"/>
      <c r="L308" s="9"/>
      <c r="M308" s="10" t="s">
        <v>1312</v>
      </c>
      <c r="N308" s="11" t="s">
        <v>1313</v>
      </c>
      <c r="O308" s="12" t="s">
        <v>26</v>
      </c>
    </row>
    <row r="309" spans="1:15">
      <c r="A309" s="4">
        <v>305</v>
      </c>
      <c r="B309" s="5" t="s">
        <v>1114</v>
      </c>
      <c r="C309" s="5" t="s">
        <v>1314</v>
      </c>
      <c r="D309" s="5" t="s">
        <v>1315</v>
      </c>
      <c r="E309" s="6" t="s">
        <v>1316</v>
      </c>
      <c r="F309" s="13" t="s">
        <v>34</v>
      </c>
      <c r="G309" s="5" t="s">
        <v>29</v>
      </c>
      <c r="H309" s="8"/>
      <c r="I309" s="9"/>
      <c r="J309" s="9" t="s">
        <v>23</v>
      </c>
      <c r="K309" s="8"/>
      <c r="L309" s="9"/>
      <c r="M309" s="10" t="s">
        <v>233</v>
      </c>
      <c r="N309" s="11" t="s">
        <v>1317</v>
      </c>
      <c r="O309" s="12" t="s">
        <v>26</v>
      </c>
    </row>
    <row r="310" spans="1:15">
      <c r="A310" s="4">
        <v>306</v>
      </c>
      <c r="B310" s="5" t="s">
        <v>1114</v>
      </c>
      <c r="C310" s="5" t="s">
        <v>1192</v>
      </c>
      <c r="D310" s="5" t="s">
        <v>1318</v>
      </c>
      <c r="E310" s="6" t="s">
        <v>1319</v>
      </c>
      <c r="F310" s="7" t="s">
        <v>21</v>
      </c>
      <c r="G310" s="5" t="s">
        <v>22</v>
      </c>
      <c r="H310" s="8"/>
      <c r="I310" s="9"/>
      <c r="J310" s="9" t="s">
        <v>23</v>
      </c>
      <c r="K310" s="8"/>
      <c r="L310" s="9"/>
      <c r="M310" s="10" t="s">
        <v>1320</v>
      </c>
      <c r="N310" s="11" t="s">
        <v>1321</v>
      </c>
      <c r="O310" s="12" t="s">
        <v>26</v>
      </c>
    </row>
    <row r="311" spans="1:15">
      <c r="A311" s="4">
        <v>307</v>
      </c>
      <c r="B311" s="5" t="s">
        <v>1114</v>
      </c>
      <c r="C311" s="5" t="s">
        <v>1322</v>
      </c>
      <c r="D311" s="5" t="s">
        <v>1323</v>
      </c>
      <c r="E311" s="6" t="s">
        <v>1324</v>
      </c>
      <c r="F311" s="13" t="s">
        <v>34</v>
      </c>
      <c r="G311" s="5" t="s">
        <v>22</v>
      </c>
      <c r="H311" s="8"/>
      <c r="I311" s="9"/>
      <c r="J311" s="9" t="s">
        <v>23</v>
      </c>
      <c r="K311" s="8"/>
      <c r="L311" s="9"/>
      <c r="M311" s="10" t="s">
        <v>233</v>
      </c>
      <c r="N311" s="11" t="s">
        <v>1325</v>
      </c>
      <c r="O311" s="12" t="s">
        <v>26</v>
      </c>
    </row>
    <row r="312" spans="1:15">
      <c r="A312" s="4">
        <v>308</v>
      </c>
      <c r="B312" s="5" t="s">
        <v>1114</v>
      </c>
      <c r="C312" s="5" t="s">
        <v>1184</v>
      </c>
      <c r="D312" s="5" t="s">
        <v>1326</v>
      </c>
      <c r="E312" s="6" t="s">
        <v>1327</v>
      </c>
      <c r="F312" s="7" t="s">
        <v>21</v>
      </c>
      <c r="G312" s="5" t="s">
        <v>22</v>
      </c>
      <c r="H312" s="8"/>
      <c r="I312" s="9"/>
      <c r="J312" s="9" t="s">
        <v>23</v>
      </c>
      <c r="K312" s="8"/>
      <c r="L312" s="9"/>
      <c r="M312" s="10" t="s">
        <v>1016</v>
      </c>
      <c r="N312" s="11" t="s">
        <v>1328</v>
      </c>
      <c r="O312" s="12" t="s">
        <v>26</v>
      </c>
    </row>
    <row r="313" spans="1:15">
      <c r="A313" s="4">
        <v>309</v>
      </c>
      <c r="B313" s="5" t="s">
        <v>1114</v>
      </c>
      <c r="C313" s="5" t="s">
        <v>1184</v>
      </c>
      <c r="D313" s="5" t="s">
        <v>1329</v>
      </c>
      <c r="E313" s="6" t="s">
        <v>1330</v>
      </c>
      <c r="F313" s="7" t="s">
        <v>21</v>
      </c>
      <c r="G313" s="5" t="s">
        <v>22</v>
      </c>
      <c r="H313" s="8"/>
      <c r="I313" s="9"/>
      <c r="J313" s="9" t="s">
        <v>23</v>
      </c>
      <c r="K313" s="8"/>
      <c r="L313" s="9"/>
      <c r="M313" s="10" t="s">
        <v>913</v>
      </c>
      <c r="N313" s="11" t="s">
        <v>1331</v>
      </c>
      <c r="O313" s="12" t="s">
        <v>26</v>
      </c>
    </row>
    <row r="314" spans="1:15">
      <c r="A314" s="4">
        <v>310</v>
      </c>
      <c r="B314" s="5" t="s">
        <v>1114</v>
      </c>
      <c r="C314" s="5" t="s">
        <v>1332</v>
      </c>
      <c r="D314" s="5" t="s">
        <v>1333</v>
      </c>
      <c r="E314" s="6" t="s">
        <v>1334</v>
      </c>
      <c r="F314" s="7" t="s">
        <v>21</v>
      </c>
      <c r="G314" s="5" t="s">
        <v>22</v>
      </c>
      <c r="H314" s="8"/>
      <c r="I314" s="9"/>
      <c r="J314" s="9" t="s">
        <v>23</v>
      </c>
      <c r="K314" s="8"/>
      <c r="L314" s="9"/>
      <c r="M314" s="10" t="s">
        <v>1335</v>
      </c>
      <c r="N314" s="11" t="s">
        <v>1336</v>
      </c>
      <c r="O314" s="12" t="s">
        <v>26</v>
      </c>
    </row>
    <row r="315" spans="1:15">
      <c r="A315" s="4">
        <v>311</v>
      </c>
      <c r="B315" s="5" t="s">
        <v>1114</v>
      </c>
      <c r="C315" s="5" t="s">
        <v>1115</v>
      </c>
      <c r="D315" s="5" t="s">
        <v>1337</v>
      </c>
      <c r="E315" s="6" t="s">
        <v>1338</v>
      </c>
      <c r="F315" s="7" t="s">
        <v>21</v>
      </c>
      <c r="G315" s="5" t="s">
        <v>22</v>
      </c>
      <c r="H315" s="8"/>
      <c r="I315" s="9"/>
      <c r="J315" s="9" t="s">
        <v>23</v>
      </c>
      <c r="K315" s="8"/>
      <c r="L315" s="9"/>
      <c r="M315" s="10" t="s">
        <v>1016</v>
      </c>
      <c r="N315" s="11" t="s">
        <v>1339</v>
      </c>
      <c r="O315" s="12" t="s">
        <v>26</v>
      </c>
    </row>
    <row r="316" spans="1:15">
      <c r="A316" s="4">
        <v>312</v>
      </c>
      <c r="B316" s="5" t="s">
        <v>1340</v>
      </c>
      <c r="C316" s="5" t="s">
        <v>1341</v>
      </c>
      <c r="D316" s="5" t="s">
        <v>1342</v>
      </c>
      <c r="E316" s="6" t="s">
        <v>1343</v>
      </c>
      <c r="F316" s="7" t="s">
        <v>21</v>
      </c>
      <c r="G316" s="5" t="s">
        <v>29</v>
      </c>
      <c r="H316" s="8"/>
      <c r="I316" s="9"/>
      <c r="J316" s="9" t="s">
        <v>23</v>
      </c>
      <c r="K316" s="8"/>
      <c r="L316" s="9"/>
      <c r="M316" s="10" t="s">
        <v>1344</v>
      </c>
      <c r="N316" s="11" t="s">
        <v>1345</v>
      </c>
      <c r="O316" s="12" t="s">
        <v>26</v>
      </c>
    </row>
    <row r="317" spans="1:15">
      <c r="A317" s="4">
        <v>313</v>
      </c>
      <c r="B317" s="5" t="s">
        <v>1340</v>
      </c>
      <c r="C317" s="5" t="s">
        <v>1346</v>
      </c>
      <c r="D317" s="5" t="s">
        <v>1347</v>
      </c>
      <c r="E317" s="6" t="s">
        <v>1348</v>
      </c>
      <c r="F317" s="13" t="s">
        <v>34</v>
      </c>
      <c r="G317" s="5" t="s">
        <v>22</v>
      </c>
      <c r="H317" s="8"/>
      <c r="I317" s="9"/>
      <c r="J317" s="9" t="s">
        <v>23</v>
      </c>
      <c r="K317" s="8"/>
      <c r="L317" s="9"/>
      <c r="M317" s="10" t="s">
        <v>1349</v>
      </c>
      <c r="N317" s="11" t="s">
        <v>1350</v>
      </c>
      <c r="O317" s="12" t="s">
        <v>26</v>
      </c>
    </row>
    <row r="318" spans="1:15">
      <c r="A318" s="4">
        <v>314</v>
      </c>
      <c r="B318" s="5" t="s">
        <v>1340</v>
      </c>
      <c r="C318" s="5" t="s">
        <v>1351</v>
      </c>
      <c r="D318" s="5" t="s">
        <v>1352</v>
      </c>
      <c r="E318" s="6" t="s">
        <v>1353</v>
      </c>
      <c r="F318" s="7" t="s">
        <v>21</v>
      </c>
      <c r="G318" s="5" t="s">
        <v>22</v>
      </c>
      <c r="H318" s="8"/>
      <c r="I318" s="9"/>
      <c r="J318" s="9" t="s">
        <v>23</v>
      </c>
      <c r="K318" s="8"/>
      <c r="L318" s="9"/>
      <c r="M318" s="10" t="s">
        <v>913</v>
      </c>
      <c r="N318" s="11" t="s">
        <v>1354</v>
      </c>
      <c r="O318" s="12" t="s">
        <v>26</v>
      </c>
    </row>
    <row r="319" spans="1:15">
      <c r="A319" s="4">
        <v>315</v>
      </c>
      <c r="B319" s="5" t="s">
        <v>1340</v>
      </c>
      <c r="C319" s="5" t="s">
        <v>1355</v>
      </c>
      <c r="D319" s="5" t="s">
        <v>1356</v>
      </c>
      <c r="E319" s="6" t="s">
        <v>1357</v>
      </c>
      <c r="F319" s="7" t="s">
        <v>21</v>
      </c>
      <c r="G319" s="5" t="s">
        <v>22</v>
      </c>
      <c r="H319" s="8"/>
      <c r="I319" s="9"/>
      <c r="J319" s="9" t="s">
        <v>23</v>
      </c>
      <c r="K319" s="8"/>
      <c r="L319" s="9"/>
      <c r="M319" s="10" t="s">
        <v>1344</v>
      </c>
      <c r="N319" s="11" t="s">
        <v>1350</v>
      </c>
      <c r="O319" s="12" t="s">
        <v>26</v>
      </c>
    </row>
    <row r="320" spans="1:15">
      <c r="A320" s="4">
        <v>316</v>
      </c>
      <c r="B320" s="5" t="s">
        <v>1340</v>
      </c>
      <c r="C320" s="5" t="s">
        <v>1358</v>
      </c>
      <c r="D320" s="5" t="s">
        <v>1359</v>
      </c>
      <c r="E320" s="6" t="s">
        <v>1360</v>
      </c>
      <c r="F320" s="7" t="s">
        <v>21</v>
      </c>
      <c r="G320" s="5" t="s">
        <v>22</v>
      </c>
      <c r="H320" s="8"/>
      <c r="I320" s="9"/>
      <c r="J320" s="9" t="s">
        <v>23</v>
      </c>
      <c r="K320" s="8"/>
      <c r="L320" s="9"/>
      <c r="M320" s="10" t="s">
        <v>1361</v>
      </c>
      <c r="N320" s="11" t="s">
        <v>1362</v>
      </c>
      <c r="O320" s="12" t="s">
        <v>26</v>
      </c>
    </row>
    <row r="321" spans="1:15">
      <c r="A321" s="4">
        <v>317</v>
      </c>
      <c r="B321" s="5" t="s">
        <v>1340</v>
      </c>
      <c r="C321" s="5" t="s">
        <v>1363</v>
      </c>
      <c r="D321" s="5" t="s">
        <v>1364</v>
      </c>
      <c r="E321" s="6" t="s">
        <v>1365</v>
      </c>
      <c r="F321" s="7" t="s">
        <v>21</v>
      </c>
      <c r="G321" s="5" t="s">
        <v>156</v>
      </c>
      <c r="H321" s="8"/>
      <c r="I321" s="9"/>
      <c r="J321" s="9" t="s">
        <v>23</v>
      </c>
      <c r="K321" s="8"/>
      <c r="L321" s="9"/>
      <c r="M321" s="10" t="s">
        <v>1366</v>
      </c>
      <c r="N321" s="11" t="s">
        <v>1367</v>
      </c>
      <c r="O321" s="12" t="s">
        <v>26</v>
      </c>
    </row>
    <row r="322" spans="1:15">
      <c r="A322" s="4">
        <v>318</v>
      </c>
      <c r="B322" s="5" t="s">
        <v>1340</v>
      </c>
      <c r="C322" s="5" t="s">
        <v>1358</v>
      </c>
      <c r="D322" s="5" t="s">
        <v>1368</v>
      </c>
      <c r="E322" s="6" t="s">
        <v>1369</v>
      </c>
      <c r="F322" s="7" t="s">
        <v>21</v>
      </c>
      <c r="G322" s="5" t="s">
        <v>156</v>
      </c>
      <c r="H322" s="8"/>
      <c r="I322" s="9"/>
      <c r="J322" s="9" t="s">
        <v>23</v>
      </c>
      <c r="K322" s="8"/>
      <c r="L322" s="9"/>
      <c r="M322" s="10" t="s">
        <v>1370</v>
      </c>
      <c r="N322" s="11" t="s">
        <v>1371</v>
      </c>
      <c r="O322" s="12" t="s">
        <v>26</v>
      </c>
    </row>
    <row r="323" spans="1:15">
      <c r="A323" s="4">
        <v>319</v>
      </c>
      <c r="B323" s="5" t="s">
        <v>1340</v>
      </c>
      <c r="C323" s="5" t="s">
        <v>1358</v>
      </c>
      <c r="D323" s="5" t="s">
        <v>1372</v>
      </c>
      <c r="E323" s="6" t="s">
        <v>1369</v>
      </c>
      <c r="F323" s="7" t="s">
        <v>21</v>
      </c>
      <c r="G323" s="5" t="s">
        <v>22</v>
      </c>
      <c r="H323" s="8"/>
      <c r="I323" s="9"/>
      <c r="J323" s="9" t="s">
        <v>23</v>
      </c>
      <c r="K323" s="8"/>
      <c r="L323" s="9"/>
      <c r="M323" s="10" t="s">
        <v>1373</v>
      </c>
      <c r="N323" s="11" t="s">
        <v>1374</v>
      </c>
      <c r="O323" s="12" t="s">
        <v>26</v>
      </c>
    </row>
    <row r="324" spans="1:15">
      <c r="A324" s="4">
        <v>320</v>
      </c>
      <c r="B324" s="5" t="s">
        <v>1340</v>
      </c>
      <c r="C324" s="5" t="s">
        <v>1375</v>
      </c>
      <c r="D324" s="5" t="s">
        <v>1376</v>
      </c>
      <c r="E324" s="6" t="s">
        <v>1377</v>
      </c>
      <c r="F324" s="7" t="s">
        <v>21</v>
      </c>
      <c r="G324" s="5" t="s">
        <v>29</v>
      </c>
      <c r="H324" s="8"/>
      <c r="I324" s="9"/>
      <c r="J324" s="9" t="s">
        <v>23</v>
      </c>
      <c r="K324" s="8"/>
      <c r="L324" s="9"/>
      <c r="M324" s="10" t="s">
        <v>1378</v>
      </c>
      <c r="N324" s="11" t="s">
        <v>1379</v>
      </c>
      <c r="O324" s="12" t="s">
        <v>26</v>
      </c>
    </row>
    <row r="325" spans="1:15">
      <c r="A325" s="4">
        <v>321</v>
      </c>
      <c r="B325" s="5" t="s">
        <v>1340</v>
      </c>
      <c r="C325" s="5" t="s">
        <v>1375</v>
      </c>
      <c r="D325" s="5" t="s">
        <v>1380</v>
      </c>
      <c r="E325" s="6" t="s">
        <v>1381</v>
      </c>
      <c r="F325" s="7" t="s">
        <v>21</v>
      </c>
      <c r="G325" s="5" t="s">
        <v>29</v>
      </c>
      <c r="H325" s="8"/>
      <c r="I325" s="9"/>
      <c r="J325" s="9" t="s">
        <v>23</v>
      </c>
      <c r="K325" s="8"/>
      <c r="L325" s="9"/>
      <c r="M325" s="10" t="s">
        <v>913</v>
      </c>
      <c r="N325" s="11" t="s">
        <v>1382</v>
      </c>
      <c r="O325" s="12" t="s">
        <v>26</v>
      </c>
    </row>
    <row r="326" spans="1:15">
      <c r="A326" s="4">
        <v>322</v>
      </c>
      <c r="B326" s="5" t="s">
        <v>1340</v>
      </c>
      <c r="C326" s="5" t="s">
        <v>1383</v>
      </c>
      <c r="D326" s="5" t="s">
        <v>1384</v>
      </c>
      <c r="E326" s="6" t="s">
        <v>1385</v>
      </c>
      <c r="F326" s="7" t="s">
        <v>21</v>
      </c>
      <c r="G326" s="5" t="s">
        <v>22</v>
      </c>
      <c r="H326" s="8"/>
      <c r="I326" s="9"/>
      <c r="J326" s="9" t="s">
        <v>23</v>
      </c>
      <c r="K326" s="8"/>
      <c r="L326" s="9"/>
      <c r="M326" s="10" t="s">
        <v>913</v>
      </c>
      <c r="N326" s="11" t="s">
        <v>1386</v>
      </c>
      <c r="O326" s="12" t="s">
        <v>26</v>
      </c>
    </row>
    <row r="327" spans="1:15">
      <c r="A327" s="4">
        <v>323</v>
      </c>
      <c r="B327" s="5" t="s">
        <v>1340</v>
      </c>
      <c r="C327" s="5" t="s">
        <v>1387</v>
      </c>
      <c r="D327" s="5" t="s">
        <v>1388</v>
      </c>
      <c r="E327" s="6" t="s">
        <v>1389</v>
      </c>
      <c r="F327" s="7" t="s">
        <v>21</v>
      </c>
      <c r="G327" s="5" t="s">
        <v>22</v>
      </c>
      <c r="H327" s="8"/>
      <c r="I327" s="9"/>
      <c r="J327" s="9" t="s">
        <v>23</v>
      </c>
      <c r="K327" s="8"/>
      <c r="L327" s="9"/>
      <c r="M327" s="10" t="s">
        <v>1390</v>
      </c>
      <c r="N327" s="11" t="s">
        <v>1391</v>
      </c>
      <c r="O327" s="12" t="s">
        <v>26</v>
      </c>
    </row>
    <row r="328" spans="1:15">
      <c r="A328" s="4">
        <v>324</v>
      </c>
      <c r="B328" s="5" t="s">
        <v>1340</v>
      </c>
      <c r="C328" s="5" t="s">
        <v>1341</v>
      </c>
      <c r="D328" s="5" t="s">
        <v>1392</v>
      </c>
      <c r="E328" s="6" t="s">
        <v>1393</v>
      </c>
      <c r="F328" s="7" t="s">
        <v>21</v>
      </c>
      <c r="G328" s="5" t="s">
        <v>29</v>
      </c>
      <c r="H328" s="8"/>
      <c r="I328" s="9"/>
      <c r="J328" s="9" t="s">
        <v>23</v>
      </c>
      <c r="K328" s="8"/>
      <c r="L328" s="9"/>
      <c r="M328" s="10" t="s">
        <v>1394</v>
      </c>
      <c r="N328" s="11" t="s">
        <v>1395</v>
      </c>
      <c r="O328" s="12" t="s">
        <v>26</v>
      </c>
    </row>
    <row r="329" spans="1:15">
      <c r="A329" s="4">
        <v>325</v>
      </c>
      <c r="B329" s="5" t="s">
        <v>1340</v>
      </c>
      <c r="C329" s="5" t="s">
        <v>1396</v>
      </c>
      <c r="D329" s="5" t="s">
        <v>1397</v>
      </c>
      <c r="E329" s="6" t="s">
        <v>1398</v>
      </c>
      <c r="F329" s="13" t="s">
        <v>34</v>
      </c>
      <c r="G329" s="5" t="s">
        <v>22</v>
      </c>
      <c r="H329" s="8"/>
      <c r="I329" s="9"/>
      <c r="J329" s="9" t="s">
        <v>23</v>
      </c>
      <c r="K329" s="8"/>
      <c r="L329" s="9"/>
      <c r="M329" s="10" t="s">
        <v>1399</v>
      </c>
      <c r="N329" s="11" t="s">
        <v>1400</v>
      </c>
      <c r="O329" s="12" t="s">
        <v>26</v>
      </c>
    </row>
    <row r="330" spans="1:15">
      <c r="A330" s="4">
        <v>326</v>
      </c>
      <c r="B330" s="5" t="s">
        <v>1340</v>
      </c>
      <c r="C330" s="5" t="s">
        <v>1358</v>
      </c>
      <c r="D330" s="5" t="s">
        <v>1401</v>
      </c>
      <c r="E330" s="6" t="s">
        <v>1402</v>
      </c>
      <c r="F330" s="7" t="s">
        <v>21</v>
      </c>
      <c r="G330" s="5" t="s">
        <v>22</v>
      </c>
      <c r="H330" s="8"/>
      <c r="I330" s="9"/>
      <c r="J330" s="9" t="s">
        <v>23</v>
      </c>
      <c r="K330" s="8"/>
      <c r="L330" s="9"/>
      <c r="M330" s="10" t="s">
        <v>1366</v>
      </c>
      <c r="N330" s="11" t="s">
        <v>1403</v>
      </c>
      <c r="O330" s="12" t="s">
        <v>26</v>
      </c>
    </row>
    <row r="331" spans="1:15">
      <c r="A331" s="4">
        <v>327</v>
      </c>
      <c r="B331" s="5" t="s">
        <v>1340</v>
      </c>
      <c r="C331" s="5" t="s">
        <v>1404</v>
      </c>
      <c r="D331" s="5" t="s">
        <v>1405</v>
      </c>
      <c r="E331" s="6" t="s">
        <v>1406</v>
      </c>
      <c r="F331" s="13" t="s">
        <v>34</v>
      </c>
      <c r="G331" s="5" t="s">
        <v>22</v>
      </c>
      <c r="H331" s="8"/>
      <c r="I331" s="9"/>
      <c r="J331" s="9" t="s">
        <v>23</v>
      </c>
      <c r="K331" s="8"/>
      <c r="L331" s="9"/>
      <c r="M331" s="10" t="s">
        <v>1407</v>
      </c>
      <c r="N331" s="11" t="s">
        <v>1408</v>
      </c>
      <c r="O331" s="12" t="s">
        <v>26</v>
      </c>
    </row>
    <row r="332" spans="1:15">
      <c r="A332" s="4">
        <v>328</v>
      </c>
      <c r="B332" s="5" t="s">
        <v>1340</v>
      </c>
      <c r="C332" s="5" t="s">
        <v>1409</v>
      </c>
      <c r="D332" s="5" t="s">
        <v>1410</v>
      </c>
      <c r="E332" s="6" t="s">
        <v>1411</v>
      </c>
      <c r="F332" s="13" t="s">
        <v>34</v>
      </c>
      <c r="G332" s="5" t="s">
        <v>22</v>
      </c>
      <c r="H332" s="8"/>
      <c r="I332" s="9"/>
      <c r="J332" s="9" t="s">
        <v>23</v>
      </c>
      <c r="K332" s="8"/>
      <c r="L332" s="9"/>
      <c r="M332" s="10" t="s">
        <v>1412</v>
      </c>
      <c r="N332" s="11" t="s">
        <v>1350</v>
      </c>
      <c r="O332" s="12" t="s">
        <v>26</v>
      </c>
    </row>
    <row r="333" spans="1:15">
      <c r="A333" s="4">
        <v>329</v>
      </c>
      <c r="B333" s="5" t="s">
        <v>1340</v>
      </c>
      <c r="C333" s="5" t="s">
        <v>1413</v>
      </c>
      <c r="D333" s="5" t="s">
        <v>1414</v>
      </c>
      <c r="E333" s="6" t="s">
        <v>1415</v>
      </c>
      <c r="F333" s="7" t="s">
        <v>21</v>
      </c>
      <c r="G333" s="5" t="s">
        <v>22</v>
      </c>
      <c r="H333" s="8"/>
      <c r="I333" s="9"/>
      <c r="J333" s="9" t="s">
        <v>23</v>
      </c>
      <c r="K333" s="8"/>
      <c r="L333" s="9"/>
      <c r="M333" s="10" t="s">
        <v>913</v>
      </c>
      <c r="N333" s="11" t="s">
        <v>1416</v>
      </c>
      <c r="O333" s="12" t="s">
        <v>26</v>
      </c>
    </row>
    <row r="334" spans="1:15">
      <c r="A334" s="4">
        <v>330</v>
      </c>
      <c r="B334" s="5" t="s">
        <v>1340</v>
      </c>
      <c r="C334" s="5" t="s">
        <v>1417</v>
      </c>
      <c r="D334" s="5" t="s">
        <v>1418</v>
      </c>
      <c r="E334" s="6" t="s">
        <v>1419</v>
      </c>
      <c r="F334" s="7" t="s">
        <v>21</v>
      </c>
      <c r="G334" s="5" t="s">
        <v>22</v>
      </c>
      <c r="H334" s="8"/>
      <c r="I334" s="9"/>
      <c r="J334" s="9" t="s">
        <v>23</v>
      </c>
      <c r="K334" s="8"/>
      <c r="L334" s="9"/>
      <c r="M334" s="10" t="s">
        <v>1366</v>
      </c>
      <c r="N334" s="11" t="s">
        <v>1420</v>
      </c>
      <c r="O334" s="12" t="s">
        <v>26</v>
      </c>
    </row>
    <row r="335" spans="1:15">
      <c r="A335" s="4">
        <v>331</v>
      </c>
      <c r="B335" s="5" t="s">
        <v>1340</v>
      </c>
      <c r="C335" s="5" t="s">
        <v>1421</v>
      </c>
      <c r="D335" s="5" t="s">
        <v>1422</v>
      </c>
      <c r="E335" s="6" t="s">
        <v>1423</v>
      </c>
      <c r="F335" s="7" t="s">
        <v>21</v>
      </c>
      <c r="G335" s="5" t="s">
        <v>22</v>
      </c>
      <c r="H335" s="8"/>
      <c r="I335" s="9"/>
      <c r="J335" s="9" t="s">
        <v>23</v>
      </c>
      <c r="K335" s="8"/>
      <c r="L335" s="9"/>
      <c r="M335" s="10" t="s">
        <v>913</v>
      </c>
      <c r="N335" s="11" t="s">
        <v>1424</v>
      </c>
      <c r="O335" s="12" t="s">
        <v>26</v>
      </c>
    </row>
    <row r="336" spans="1:15">
      <c r="A336" s="4">
        <v>332</v>
      </c>
      <c r="B336" s="5" t="s">
        <v>1340</v>
      </c>
      <c r="C336" s="5" t="s">
        <v>1413</v>
      </c>
      <c r="D336" s="5" t="s">
        <v>1425</v>
      </c>
      <c r="E336" s="6" t="s">
        <v>1426</v>
      </c>
      <c r="F336" s="7" t="s">
        <v>21</v>
      </c>
      <c r="G336" s="5" t="s">
        <v>22</v>
      </c>
      <c r="H336" s="8"/>
      <c r="I336" s="9"/>
      <c r="J336" s="9" t="s">
        <v>23</v>
      </c>
      <c r="K336" s="8"/>
      <c r="L336" s="9"/>
      <c r="M336" s="10" t="s">
        <v>1427</v>
      </c>
      <c r="N336" s="11" t="s">
        <v>1428</v>
      </c>
      <c r="O336" s="12" t="s">
        <v>26</v>
      </c>
    </row>
    <row r="337" spans="1:15">
      <c r="A337" s="4">
        <v>333</v>
      </c>
      <c r="B337" s="5" t="s">
        <v>1340</v>
      </c>
      <c r="C337" s="5" t="s">
        <v>1429</v>
      </c>
      <c r="D337" s="5" t="s">
        <v>1430</v>
      </c>
      <c r="E337" s="6" t="s">
        <v>1431</v>
      </c>
      <c r="F337" s="13" t="s">
        <v>34</v>
      </c>
      <c r="G337" s="5" t="s">
        <v>29</v>
      </c>
      <c r="H337" s="8"/>
      <c r="I337" s="9"/>
      <c r="J337" s="9" t="s">
        <v>23</v>
      </c>
      <c r="K337" s="8"/>
      <c r="L337" s="9"/>
      <c r="M337" s="10" t="s">
        <v>233</v>
      </c>
      <c r="N337" s="11" t="s">
        <v>1432</v>
      </c>
      <c r="O337" s="12" t="s">
        <v>26</v>
      </c>
    </row>
    <row r="338" spans="1:15">
      <c r="A338" s="4">
        <v>334</v>
      </c>
      <c r="B338" s="5" t="s">
        <v>1340</v>
      </c>
      <c r="C338" s="5" t="s">
        <v>1433</v>
      </c>
      <c r="D338" s="5" t="s">
        <v>1434</v>
      </c>
      <c r="E338" s="6" t="s">
        <v>1435</v>
      </c>
      <c r="F338" s="7" t="s">
        <v>21</v>
      </c>
      <c r="G338" s="5" t="s">
        <v>22</v>
      </c>
      <c r="H338" s="8"/>
      <c r="I338" s="9"/>
      <c r="J338" s="9" t="s">
        <v>23</v>
      </c>
      <c r="K338" s="8"/>
      <c r="L338" s="9"/>
      <c r="M338" s="10" t="s">
        <v>913</v>
      </c>
      <c r="N338" s="11" t="s">
        <v>1436</v>
      </c>
      <c r="O338" s="12" t="s">
        <v>26</v>
      </c>
    </row>
    <row r="339" spans="1:15">
      <c r="A339" s="4">
        <v>335</v>
      </c>
      <c r="B339" s="5" t="s">
        <v>1340</v>
      </c>
      <c r="C339" s="5" t="s">
        <v>1437</v>
      </c>
      <c r="D339" s="5" t="s">
        <v>1438</v>
      </c>
      <c r="E339" s="6" t="s">
        <v>1439</v>
      </c>
      <c r="F339" s="13" t="s">
        <v>34</v>
      </c>
      <c r="G339" s="5" t="s">
        <v>22</v>
      </c>
      <c r="H339" s="8"/>
      <c r="I339" s="9"/>
      <c r="J339" s="9" t="s">
        <v>23</v>
      </c>
      <c r="K339" s="8"/>
      <c r="L339" s="9"/>
      <c r="M339" s="10" t="s">
        <v>1440</v>
      </c>
      <c r="N339" s="11" t="s">
        <v>1441</v>
      </c>
      <c r="O339" s="12" t="s">
        <v>26</v>
      </c>
    </row>
    <row r="340" spans="1:15">
      <c r="A340" s="4">
        <v>336</v>
      </c>
      <c r="B340" s="5" t="s">
        <v>1340</v>
      </c>
      <c r="C340" s="5" t="s">
        <v>1442</v>
      </c>
      <c r="D340" s="5" t="s">
        <v>1443</v>
      </c>
      <c r="E340" s="6" t="s">
        <v>1444</v>
      </c>
      <c r="F340" s="7" t="s">
        <v>21</v>
      </c>
      <c r="G340" s="5" t="s">
        <v>22</v>
      </c>
      <c r="H340" s="8"/>
      <c r="I340" s="9"/>
      <c r="J340" s="9" t="s">
        <v>23</v>
      </c>
      <c r="K340" s="8"/>
      <c r="L340" s="9"/>
      <c r="M340" s="10" t="s">
        <v>1285</v>
      </c>
      <c r="N340" s="11" t="s">
        <v>1445</v>
      </c>
      <c r="O340" s="12" t="s">
        <v>26</v>
      </c>
    </row>
    <row r="341" spans="1:15">
      <c r="A341" s="4">
        <v>337</v>
      </c>
      <c r="B341" s="5" t="s">
        <v>1340</v>
      </c>
      <c r="C341" s="5" t="s">
        <v>1446</v>
      </c>
      <c r="D341" s="5" t="s">
        <v>1447</v>
      </c>
      <c r="E341" s="6" t="s">
        <v>1448</v>
      </c>
      <c r="F341" s="13" t="s">
        <v>34</v>
      </c>
      <c r="G341" s="5" t="s">
        <v>22</v>
      </c>
      <c r="H341" s="8"/>
      <c r="I341" s="9"/>
      <c r="J341" s="9" t="s">
        <v>23</v>
      </c>
      <c r="K341" s="8"/>
      <c r="L341" s="9"/>
      <c r="M341" s="10" t="s">
        <v>1449</v>
      </c>
      <c r="N341" s="11" t="s">
        <v>1450</v>
      </c>
      <c r="O341" s="12" t="s">
        <v>26</v>
      </c>
    </row>
    <row r="342" spans="1:15">
      <c r="A342" s="4">
        <v>338</v>
      </c>
      <c r="B342" s="5" t="s">
        <v>1340</v>
      </c>
      <c r="C342" s="5" t="s">
        <v>1409</v>
      </c>
      <c r="D342" s="5" t="s">
        <v>1451</v>
      </c>
      <c r="E342" s="6" t="s">
        <v>1452</v>
      </c>
      <c r="F342" s="7" t="s">
        <v>21</v>
      </c>
      <c r="G342" s="5" t="s">
        <v>22</v>
      </c>
      <c r="H342" s="8"/>
      <c r="I342" s="9"/>
      <c r="J342" s="9" t="s">
        <v>23</v>
      </c>
      <c r="K342" s="8"/>
      <c r="L342" s="9"/>
      <c r="M342" s="10" t="s">
        <v>1453</v>
      </c>
      <c r="N342" s="11" t="s">
        <v>1454</v>
      </c>
      <c r="O342" s="12" t="s">
        <v>26</v>
      </c>
    </row>
    <row r="343" spans="1:15">
      <c r="A343" s="4">
        <v>339</v>
      </c>
      <c r="B343" s="5" t="s">
        <v>1340</v>
      </c>
      <c r="C343" s="5" t="s">
        <v>1455</v>
      </c>
      <c r="D343" s="5" t="s">
        <v>1456</v>
      </c>
      <c r="E343" s="6" t="s">
        <v>1457</v>
      </c>
      <c r="F343" s="7" t="s">
        <v>21</v>
      </c>
      <c r="G343" s="5" t="s">
        <v>22</v>
      </c>
      <c r="H343" s="8"/>
      <c r="I343" s="9"/>
      <c r="J343" s="9" t="s">
        <v>23</v>
      </c>
      <c r="K343" s="8"/>
      <c r="L343" s="9"/>
      <c r="M343" s="10" t="s">
        <v>1458</v>
      </c>
      <c r="N343" s="11" t="s">
        <v>1459</v>
      </c>
      <c r="O343" s="12" t="s">
        <v>26</v>
      </c>
    </row>
    <row r="344" spans="1:15">
      <c r="A344" s="4">
        <v>340</v>
      </c>
      <c r="B344" s="5" t="s">
        <v>1340</v>
      </c>
      <c r="C344" s="5" t="s">
        <v>1413</v>
      </c>
      <c r="D344" s="5" t="s">
        <v>1460</v>
      </c>
      <c r="E344" s="6" t="s">
        <v>1461</v>
      </c>
      <c r="F344" s="7" t="s">
        <v>21</v>
      </c>
      <c r="G344" s="5" t="s">
        <v>22</v>
      </c>
      <c r="H344" s="8"/>
      <c r="I344" s="9"/>
      <c r="J344" s="9" t="s">
        <v>23</v>
      </c>
      <c r="K344" s="8"/>
      <c r="L344" s="9"/>
      <c r="M344" s="10" t="s">
        <v>1462</v>
      </c>
      <c r="N344" s="11" t="s">
        <v>1463</v>
      </c>
      <c r="O344" s="12" t="s">
        <v>26</v>
      </c>
    </row>
    <row r="345" spans="1:15">
      <c r="A345" s="4">
        <v>341</v>
      </c>
      <c r="B345" s="5" t="s">
        <v>1340</v>
      </c>
      <c r="C345" s="5" t="s">
        <v>1346</v>
      </c>
      <c r="D345" s="5" t="s">
        <v>1464</v>
      </c>
      <c r="E345" s="6" t="s">
        <v>1465</v>
      </c>
      <c r="F345" s="7" t="s">
        <v>21</v>
      </c>
      <c r="G345" s="5" t="s">
        <v>29</v>
      </c>
      <c r="H345" s="8"/>
      <c r="I345" s="9"/>
      <c r="J345" s="9" t="s">
        <v>23</v>
      </c>
      <c r="K345" s="8"/>
      <c r="L345" s="9"/>
      <c r="M345" s="10" t="s">
        <v>1466</v>
      </c>
      <c r="N345" s="11" t="s">
        <v>1467</v>
      </c>
      <c r="O345" s="12" t="s">
        <v>26</v>
      </c>
    </row>
    <row r="346" spans="1:15">
      <c r="A346" s="4">
        <v>342</v>
      </c>
      <c r="B346" s="5" t="s">
        <v>1340</v>
      </c>
      <c r="C346" s="5" t="s">
        <v>1341</v>
      </c>
      <c r="D346" s="5" t="s">
        <v>1468</v>
      </c>
      <c r="E346" s="6" t="s">
        <v>1469</v>
      </c>
      <c r="F346" s="7" t="s">
        <v>21</v>
      </c>
      <c r="G346" s="5" t="s">
        <v>22</v>
      </c>
      <c r="H346" s="8"/>
      <c r="I346" s="9"/>
      <c r="J346" s="9" t="s">
        <v>23</v>
      </c>
      <c r="K346" s="8"/>
      <c r="L346" s="9"/>
      <c r="M346" s="10" t="s">
        <v>1470</v>
      </c>
      <c r="N346" s="11" t="s">
        <v>1471</v>
      </c>
      <c r="O346" s="12" t="s">
        <v>26</v>
      </c>
    </row>
    <row r="347" spans="1:15">
      <c r="A347" s="4">
        <v>343</v>
      </c>
      <c r="B347" s="5" t="s">
        <v>1340</v>
      </c>
      <c r="C347" s="5" t="s">
        <v>1455</v>
      </c>
      <c r="D347" s="5" t="s">
        <v>1472</v>
      </c>
      <c r="E347" s="6" t="s">
        <v>1473</v>
      </c>
      <c r="F347" s="7" t="s">
        <v>21</v>
      </c>
      <c r="G347" s="5" t="s">
        <v>22</v>
      </c>
      <c r="H347" s="8"/>
      <c r="I347" s="9"/>
      <c r="J347" s="9" t="s">
        <v>23</v>
      </c>
      <c r="K347" s="8"/>
      <c r="L347" s="9"/>
      <c r="M347" s="10" t="s">
        <v>1474</v>
      </c>
      <c r="N347" s="11" t="s">
        <v>1475</v>
      </c>
      <c r="O347" s="12" t="s">
        <v>26</v>
      </c>
    </row>
    <row r="348" spans="1:15">
      <c r="A348" s="4">
        <v>344</v>
      </c>
      <c r="B348" s="5" t="s">
        <v>1340</v>
      </c>
      <c r="C348" s="5" t="s">
        <v>1433</v>
      </c>
      <c r="D348" s="5" t="s">
        <v>1476</v>
      </c>
      <c r="E348" s="6" t="s">
        <v>1477</v>
      </c>
      <c r="F348" s="13" t="s">
        <v>34</v>
      </c>
      <c r="G348" s="5" t="s">
        <v>22</v>
      </c>
      <c r="H348" s="8"/>
      <c r="I348" s="9"/>
      <c r="J348" s="9" t="s">
        <v>23</v>
      </c>
      <c r="K348" s="8"/>
      <c r="L348" s="9"/>
      <c r="M348" s="10" t="s">
        <v>1478</v>
      </c>
      <c r="N348" s="11" t="s">
        <v>1479</v>
      </c>
      <c r="O348" s="12" t="s">
        <v>26</v>
      </c>
    </row>
    <row r="349" spans="1:15">
      <c r="A349" s="4">
        <v>345</v>
      </c>
      <c r="B349" s="5" t="s">
        <v>1340</v>
      </c>
      <c r="C349" s="5" t="s">
        <v>1363</v>
      </c>
      <c r="D349" s="5" t="s">
        <v>1480</v>
      </c>
      <c r="E349" s="6" t="s">
        <v>1481</v>
      </c>
      <c r="F349" s="7" t="s">
        <v>21</v>
      </c>
      <c r="G349" s="5" t="s">
        <v>22</v>
      </c>
      <c r="H349" s="8"/>
      <c r="I349" s="9"/>
      <c r="J349" s="9" t="s">
        <v>23</v>
      </c>
      <c r="K349" s="8"/>
      <c r="L349" s="9"/>
      <c r="M349" s="10" t="s">
        <v>1482</v>
      </c>
      <c r="N349" s="11" t="s">
        <v>1483</v>
      </c>
      <c r="O349" s="12" t="s">
        <v>26</v>
      </c>
    </row>
    <row r="350" spans="1:15">
      <c r="A350" s="4">
        <v>346</v>
      </c>
      <c r="B350" s="5" t="s">
        <v>1340</v>
      </c>
      <c r="C350" s="5" t="s">
        <v>1437</v>
      </c>
      <c r="D350" s="5" t="s">
        <v>1484</v>
      </c>
      <c r="E350" s="6" t="s">
        <v>1485</v>
      </c>
      <c r="F350" s="13" t="s">
        <v>34</v>
      </c>
      <c r="G350" s="5" t="s">
        <v>22</v>
      </c>
      <c r="H350" s="8"/>
      <c r="I350" s="9"/>
      <c r="J350" s="9" t="s">
        <v>23</v>
      </c>
      <c r="K350" s="8"/>
      <c r="L350" s="9"/>
      <c r="M350" s="10" t="s">
        <v>1486</v>
      </c>
      <c r="N350" s="11" t="s">
        <v>1487</v>
      </c>
      <c r="O350" s="12" t="s">
        <v>26</v>
      </c>
    </row>
    <row r="351" spans="1:15">
      <c r="A351" s="4">
        <v>347</v>
      </c>
      <c r="B351" s="5" t="s">
        <v>1340</v>
      </c>
      <c r="C351" s="5" t="s">
        <v>1488</v>
      </c>
      <c r="D351" s="5" t="s">
        <v>1489</v>
      </c>
      <c r="E351" s="6" t="s">
        <v>1490</v>
      </c>
      <c r="F351" s="13" t="s">
        <v>34</v>
      </c>
      <c r="G351" s="5" t="s">
        <v>22</v>
      </c>
      <c r="H351" s="8"/>
      <c r="I351" s="9"/>
      <c r="J351" s="9" t="s">
        <v>23</v>
      </c>
      <c r="K351" s="8"/>
      <c r="L351" s="9"/>
      <c r="M351" s="10" t="s">
        <v>1491</v>
      </c>
      <c r="N351" s="11" t="s">
        <v>1492</v>
      </c>
      <c r="O351" s="12" t="s">
        <v>26</v>
      </c>
    </row>
    <row r="352" spans="1:15">
      <c r="A352" s="4">
        <v>348</v>
      </c>
      <c r="B352" s="5" t="s">
        <v>1340</v>
      </c>
      <c r="C352" s="5" t="s">
        <v>1488</v>
      </c>
      <c r="D352" s="5" t="s">
        <v>1493</v>
      </c>
      <c r="E352" s="6" t="s">
        <v>1494</v>
      </c>
      <c r="F352" s="13" t="s">
        <v>34</v>
      </c>
      <c r="G352" s="5" t="s">
        <v>22</v>
      </c>
      <c r="H352" s="8"/>
      <c r="I352" s="9"/>
      <c r="J352" s="9" t="s">
        <v>23</v>
      </c>
      <c r="K352" s="8"/>
      <c r="L352" s="9"/>
      <c r="M352" s="10" t="s">
        <v>233</v>
      </c>
      <c r="N352" s="11" t="s">
        <v>1495</v>
      </c>
      <c r="O352" s="12" t="s">
        <v>26</v>
      </c>
    </row>
    <row r="353" spans="1:15">
      <c r="A353" s="4">
        <v>349</v>
      </c>
      <c r="B353" s="5" t="s">
        <v>1340</v>
      </c>
      <c r="C353" s="5" t="s">
        <v>1496</v>
      </c>
      <c r="D353" s="5" t="s">
        <v>1497</v>
      </c>
      <c r="E353" s="6" t="s">
        <v>1498</v>
      </c>
      <c r="F353" s="7" t="s">
        <v>21</v>
      </c>
      <c r="G353" s="5" t="s">
        <v>22</v>
      </c>
      <c r="H353" s="8"/>
      <c r="I353" s="9"/>
      <c r="J353" s="9" t="s">
        <v>23</v>
      </c>
      <c r="K353" s="8"/>
      <c r="L353" s="9"/>
      <c r="M353" s="10" t="s">
        <v>296</v>
      </c>
      <c r="N353" s="11" t="s">
        <v>1499</v>
      </c>
      <c r="O353" s="12" t="s">
        <v>26</v>
      </c>
    </row>
    <row r="354" spans="1:15">
      <c r="A354" s="4">
        <v>350</v>
      </c>
      <c r="B354" s="5" t="s">
        <v>1340</v>
      </c>
      <c r="C354" s="5" t="s">
        <v>1413</v>
      </c>
      <c r="D354" s="5" t="s">
        <v>1500</v>
      </c>
      <c r="E354" s="6" t="s">
        <v>1501</v>
      </c>
      <c r="F354" s="7" t="s">
        <v>21</v>
      </c>
      <c r="G354" s="5" t="s">
        <v>22</v>
      </c>
      <c r="H354" s="8"/>
      <c r="I354" s="9"/>
      <c r="J354" s="9" t="s">
        <v>23</v>
      </c>
      <c r="K354" s="8"/>
      <c r="L354" s="9"/>
      <c r="M354" s="10" t="s">
        <v>1366</v>
      </c>
      <c r="N354" s="11" t="s">
        <v>1502</v>
      </c>
      <c r="O354" s="12" t="s">
        <v>26</v>
      </c>
    </row>
    <row r="355" spans="1:15">
      <c r="A355" s="4">
        <v>351</v>
      </c>
      <c r="B355" s="5" t="s">
        <v>1340</v>
      </c>
      <c r="C355" s="5" t="s">
        <v>1383</v>
      </c>
      <c r="D355" s="5" t="s">
        <v>1503</v>
      </c>
      <c r="E355" s="6" t="s">
        <v>1504</v>
      </c>
      <c r="F355" s="13" t="s">
        <v>34</v>
      </c>
      <c r="G355" s="5" t="s">
        <v>22</v>
      </c>
      <c r="H355" s="8"/>
      <c r="I355" s="9"/>
      <c r="J355" s="9" t="s">
        <v>23</v>
      </c>
      <c r="K355" s="8"/>
      <c r="L355" s="9"/>
      <c r="M355" s="10" t="s">
        <v>1505</v>
      </c>
      <c r="N355" s="11" t="s">
        <v>1506</v>
      </c>
      <c r="O355" s="12" t="s">
        <v>26</v>
      </c>
    </row>
    <row r="356" spans="1:15">
      <c r="A356" s="4">
        <v>352</v>
      </c>
      <c r="B356" s="5" t="s">
        <v>1340</v>
      </c>
      <c r="C356" s="5" t="s">
        <v>1413</v>
      </c>
      <c r="D356" s="5" t="s">
        <v>1507</v>
      </c>
      <c r="E356" s="6" t="s">
        <v>1508</v>
      </c>
      <c r="F356" s="13" t="s">
        <v>34</v>
      </c>
      <c r="G356" s="5" t="s">
        <v>22</v>
      </c>
      <c r="H356" s="8"/>
      <c r="I356" s="9"/>
      <c r="J356" s="9" t="s">
        <v>23</v>
      </c>
      <c r="K356" s="8"/>
      <c r="L356" s="9"/>
      <c r="M356" s="10" t="s">
        <v>1509</v>
      </c>
      <c r="N356" s="11" t="s">
        <v>1510</v>
      </c>
      <c r="O356" s="12" t="s">
        <v>26</v>
      </c>
    </row>
    <row r="357" spans="1:15">
      <c r="A357" s="4">
        <v>353</v>
      </c>
      <c r="B357" s="5" t="s">
        <v>1340</v>
      </c>
      <c r="C357" s="5" t="s">
        <v>1511</v>
      </c>
      <c r="D357" s="5" t="s">
        <v>1512</v>
      </c>
      <c r="E357" s="6" t="s">
        <v>1513</v>
      </c>
      <c r="F357" s="7" t="s">
        <v>21</v>
      </c>
      <c r="G357" s="5" t="s">
        <v>22</v>
      </c>
      <c r="H357" s="8"/>
      <c r="I357" s="9"/>
      <c r="J357" s="9" t="s">
        <v>23</v>
      </c>
      <c r="K357" s="8"/>
      <c r="L357" s="9"/>
      <c r="M357" s="10" t="s">
        <v>1514</v>
      </c>
      <c r="N357" s="11" t="s">
        <v>1515</v>
      </c>
      <c r="O357" s="12" t="s">
        <v>26</v>
      </c>
    </row>
    <row r="358" spans="1:15">
      <c r="A358" s="4">
        <v>354</v>
      </c>
      <c r="B358" s="5" t="s">
        <v>1340</v>
      </c>
      <c r="C358" s="5" t="s">
        <v>1413</v>
      </c>
      <c r="D358" s="5" t="s">
        <v>1516</v>
      </c>
      <c r="E358" s="6" t="s">
        <v>1517</v>
      </c>
      <c r="F358" s="7" t="s">
        <v>21</v>
      </c>
      <c r="G358" s="5" t="s">
        <v>22</v>
      </c>
      <c r="H358" s="8"/>
      <c r="I358" s="9"/>
      <c r="J358" s="9" t="s">
        <v>23</v>
      </c>
      <c r="K358" s="8"/>
      <c r="L358" s="9"/>
      <c r="M358" s="10" t="s">
        <v>1518</v>
      </c>
      <c r="N358" s="11" t="s">
        <v>1519</v>
      </c>
      <c r="O358" s="12" t="s">
        <v>26</v>
      </c>
    </row>
    <row r="359" spans="1:15">
      <c r="A359" s="4">
        <v>355</v>
      </c>
      <c r="B359" s="5" t="s">
        <v>1340</v>
      </c>
      <c r="C359" s="5" t="s">
        <v>1396</v>
      </c>
      <c r="D359" s="5" t="s">
        <v>1520</v>
      </c>
      <c r="E359" s="6" t="s">
        <v>1521</v>
      </c>
      <c r="F359" s="7" t="s">
        <v>21</v>
      </c>
      <c r="G359" s="5" t="s">
        <v>29</v>
      </c>
      <c r="H359" s="8"/>
      <c r="I359" s="9"/>
      <c r="J359" s="9" t="s">
        <v>23</v>
      </c>
      <c r="K359" s="8"/>
      <c r="L359" s="9"/>
      <c r="M359" s="10" t="s">
        <v>1462</v>
      </c>
      <c r="N359" s="11" t="s">
        <v>1522</v>
      </c>
      <c r="O359" s="12" t="s">
        <v>26</v>
      </c>
    </row>
    <row r="360" spans="1:15">
      <c r="A360" s="4">
        <v>356</v>
      </c>
      <c r="B360" s="5" t="s">
        <v>1340</v>
      </c>
      <c r="C360" s="5" t="s">
        <v>1409</v>
      </c>
      <c r="D360" s="5" t="s">
        <v>1523</v>
      </c>
      <c r="E360" s="6" t="s">
        <v>1524</v>
      </c>
      <c r="F360" s="7" t="s">
        <v>21</v>
      </c>
      <c r="G360" s="5" t="s">
        <v>22</v>
      </c>
      <c r="H360" s="8"/>
      <c r="I360" s="9"/>
      <c r="J360" s="9" t="s">
        <v>23</v>
      </c>
      <c r="K360" s="8"/>
      <c r="L360" s="9"/>
      <c r="M360" s="10" t="s">
        <v>1462</v>
      </c>
      <c r="N360" s="11" t="s">
        <v>1525</v>
      </c>
      <c r="O360" s="12" t="s">
        <v>26</v>
      </c>
    </row>
    <row r="361" spans="1:15">
      <c r="A361" s="4">
        <v>357</v>
      </c>
      <c r="B361" s="5" t="s">
        <v>1340</v>
      </c>
      <c r="C361" s="5" t="s">
        <v>1351</v>
      </c>
      <c r="D361" s="5" t="s">
        <v>1526</v>
      </c>
      <c r="E361" s="6" t="s">
        <v>1527</v>
      </c>
      <c r="F361" s="7" t="s">
        <v>21</v>
      </c>
      <c r="G361" s="5" t="s">
        <v>22</v>
      </c>
      <c r="H361" s="8"/>
      <c r="I361" s="9"/>
      <c r="J361" s="9" t="s">
        <v>23</v>
      </c>
      <c r="K361" s="8"/>
      <c r="L361" s="9"/>
      <c r="M361" s="10" t="s">
        <v>1528</v>
      </c>
      <c r="N361" s="11" t="s">
        <v>1529</v>
      </c>
      <c r="O361" s="12" t="s">
        <v>26</v>
      </c>
    </row>
    <row r="362" spans="1:15">
      <c r="A362" s="4">
        <v>358</v>
      </c>
      <c r="B362" s="5" t="s">
        <v>1340</v>
      </c>
      <c r="C362" s="5" t="s">
        <v>1358</v>
      </c>
      <c r="D362" s="5" t="s">
        <v>1530</v>
      </c>
      <c r="E362" s="6" t="s">
        <v>1531</v>
      </c>
      <c r="F362" s="7" t="s">
        <v>21</v>
      </c>
      <c r="G362" s="5" t="s">
        <v>22</v>
      </c>
      <c r="H362" s="8"/>
      <c r="I362" s="9"/>
      <c r="J362" s="9" t="s">
        <v>23</v>
      </c>
      <c r="K362" s="8"/>
      <c r="L362" s="9"/>
      <c r="M362" s="10" t="s">
        <v>1532</v>
      </c>
      <c r="N362" s="11" t="s">
        <v>1533</v>
      </c>
      <c r="O362" s="12" t="s">
        <v>26</v>
      </c>
    </row>
    <row r="363" spans="1:15">
      <c r="A363" s="4">
        <v>359</v>
      </c>
      <c r="B363" s="5" t="s">
        <v>1340</v>
      </c>
      <c r="C363" s="5" t="s">
        <v>1358</v>
      </c>
      <c r="D363" s="5" t="s">
        <v>1534</v>
      </c>
      <c r="E363" s="6" t="s">
        <v>1535</v>
      </c>
      <c r="F363" s="7" t="s">
        <v>21</v>
      </c>
      <c r="G363" s="5" t="s">
        <v>156</v>
      </c>
      <c r="H363" s="8"/>
      <c r="I363" s="9"/>
      <c r="J363" s="9" t="s">
        <v>23</v>
      </c>
      <c r="K363" s="8"/>
      <c r="L363" s="9"/>
      <c r="M363" s="10" t="s">
        <v>1536</v>
      </c>
      <c r="N363" s="11" t="s">
        <v>1537</v>
      </c>
      <c r="O363" s="12" t="s">
        <v>26</v>
      </c>
    </row>
    <row r="364" spans="1:15">
      <c r="A364" s="4">
        <v>360</v>
      </c>
      <c r="B364" s="5" t="s">
        <v>1340</v>
      </c>
      <c r="C364" s="5" t="s">
        <v>1358</v>
      </c>
      <c r="D364" s="5" t="s">
        <v>1538</v>
      </c>
      <c r="E364" s="6" t="s">
        <v>1539</v>
      </c>
      <c r="F364" s="7" t="s">
        <v>21</v>
      </c>
      <c r="G364" s="5" t="s">
        <v>22</v>
      </c>
      <c r="H364" s="8"/>
      <c r="I364" s="9"/>
      <c r="J364" s="9" t="s">
        <v>23</v>
      </c>
      <c r="K364" s="8"/>
      <c r="L364" s="9"/>
      <c r="M364" s="10" t="s">
        <v>1540</v>
      </c>
      <c r="N364" s="11" t="s">
        <v>1541</v>
      </c>
      <c r="O364" s="12" t="s">
        <v>26</v>
      </c>
    </row>
    <row r="365" spans="1:15">
      <c r="A365" s="4">
        <v>361</v>
      </c>
      <c r="B365" s="5" t="s">
        <v>1340</v>
      </c>
      <c r="C365" s="5" t="s">
        <v>1409</v>
      </c>
      <c r="D365" s="5" t="s">
        <v>1542</v>
      </c>
      <c r="E365" s="6" t="s">
        <v>1543</v>
      </c>
      <c r="F365" s="7" t="s">
        <v>21</v>
      </c>
      <c r="G365" s="5" t="s">
        <v>22</v>
      </c>
      <c r="H365" s="8"/>
      <c r="I365" s="9"/>
      <c r="J365" s="9" t="s">
        <v>23</v>
      </c>
      <c r="K365" s="8"/>
      <c r="L365" s="9"/>
      <c r="M365" s="10" t="s">
        <v>1361</v>
      </c>
      <c r="N365" s="11" t="s">
        <v>1544</v>
      </c>
      <c r="O365" s="12" t="s">
        <v>26</v>
      </c>
    </row>
    <row r="366" spans="1:15">
      <c r="A366" s="4">
        <v>362</v>
      </c>
      <c r="B366" s="5" t="s">
        <v>1340</v>
      </c>
      <c r="C366" s="5" t="s">
        <v>1545</v>
      </c>
      <c r="D366" s="5" t="s">
        <v>1546</v>
      </c>
      <c r="E366" s="6" t="s">
        <v>1547</v>
      </c>
      <c r="F366" s="13" t="s">
        <v>34</v>
      </c>
      <c r="G366" s="5" t="s">
        <v>22</v>
      </c>
      <c r="H366" s="8"/>
      <c r="I366" s="9"/>
      <c r="J366" s="9" t="s">
        <v>23</v>
      </c>
      <c r="K366" s="8"/>
      <c r="L366" s="9"/>
      <c r="M366" s="10" t="s">
        <v>1548</v>
      </c>
      <c r="N366" s="11" t="s">
        <v>1549</v>
      </c>
      <c r="O366" s="12" t="s">
        <v>26</v>
      </c>
    </row>
    <row r="367" spans="1:15">
      <c r="A367" s="4">
        <v>363</v>
      </c>
      <c r="B367" s="5" t="s">
        <v>1340</v>
      </c>
      <c r="C367" s="5" t="s">
        <v>1358</v>
      </c>
      <c r="D367" s="5" t="s">
        <v>1550</v>
      </c>
      <c r="E367" s="6" t="s">
        <v>1551</v>
      </c>
      <c r="F367" s="7" t="s">
        <v>21</v>
      </c>
      <c r="G367" s="5" t="s">
        <v>22</v>
      </c>
      <c r="H367" s="8"/>
      <c r="I367" s="9"/>
      <c r="J367" s="9" t="s">
        <v>23</v>
      </c>
      <c r="K367" s="8"/>
      <c r="L367" s="9"/>
      <c r="M367" s="10" t="s">
        <v>1552</v>
      </c>
      <c r="N367" s="11" t="s">
        <v>1553</v>
      </c>
      <c r="O367" s="12" t="s">
        <v>26</v>
      </c>
    </row>
    <row r="368" spans="1:15">
      <c r="A368" s="4">
        <v>364</v>
      </c>
      <c r="B368" s="5" t="s">
        <v>1340</v>
      </c>
      <c r="C368" s="5" t="s">
        <v>1554</v>
      </c>
      <c r="D368" s="5" t="s">
        <v>1555</v>
      </c>
      <c r="E368" s="6" t="s">
        <v>1556</v>
      </c>
      <c r="F368" s="7" t="s">
        <v>21</v>
      </c>
      <c r="G368" s="5" t="s">
        <v>22</v>
      </c>
      <c r="H368" s="8"/>
      <c r="I368" s="9"/>
      <c r="J368" s="9" t="s">
        <v>23</v>
      </c>
      <c r="K368" s="8"/>
      <c r="L368" s="9"/>
      <c r="M368" s="10" t="s">
        <v>1557</v>
      </c>
      <c r="N368" s="11" t="s">
        <v>1558</v>
      </c>
      <c r="O368" s="12" t="s">
        <v>26</v>
      </c>
    </row>
    <row r="369" spans="1:15">
      <c r="A369" s="4">
        <v>365</v>
      </c>
      <c r="B369" s="5" t="s">
        <v>1340</v>
      </c>
      <c r="C369" s="5" t="s">
        <v>1559</v>
      </c>
      <c r="D369" s="5" t="s">
        <v>1560</v>
      </c>
      <c r="E369" s="6" t="s">
        <v>1561</v>
      </c>
      <c r="F369" s="7" t="s">
        <v>21</v>
      </c>
      <c r="G369" s="5" t="s">
        <v>22</v>
      </c>
      <c r="H369" s="8"/>
      <c r="I369" s="9"/>
      <c r="J369" s="9" t="s">
        <v>23</v>
      </c>
      <c r="K369" s="8"/>
      <c r="L369" s="9"/>
      <c r="M369" s="10" t="s">
        <v>913</v>
      </c>
      <c r="N369" s="11" t="s">
        <v>1562</v>
      </c>
      <c r="O369" s="12" t="s">
        <v>26</v>
      </c>
    </row>
    <row r="370" spans="1:15">
      <c r="A370" s="4">
        <v>366</v>
      </c>
      <c r="B370" s="5" t="s">
        <v>1340</v>
      </c>
      <c r="C370" s="5" t="s">
        <v>1383</v>
      </c>
      <c r="D370" s="5" t="s">
        <v>1563</v>
      </c>
      <c r="E370" s="6" t="s">
        <v>1564</v>
      </c>
      <c r="F370" s="7" t="s">
        <v>21</v>
      </c>
      <c r="G370" s="5" t="s">
        <v>22</v>
      </c>
      <c r="H370" s="8"/>
      <c r="I370" s="9"/>
      <c r="J370" s="9" t="s">
        <v>23</v>
      </c>
      <c r="K370" s="8"/>
      <c r="L370" s="9"/>
      <c r="M370" s="10" t="s">
        <v>1565</v>
      </c>
      <c r="N370" s="11" t="s">
        <v>1566</v>
      </c>
      <c r="O370" s="12" t="s">
        <v>26</v>
      </c>
    </row>
    <row r="371" spans="1:15">
      <c r="A371" s="4">
        <v>367</v>
      </c>
      <c r="B371" s="5" t="s">
        <v>1340</v>
      </c>
      <c r="C371" s="5" t="s">
        <v>1567</v>
      </c>
      <c r="D371" s="5" t="s">
        <v>1568</v>
      </c>
      <c r="E371" s="6" t="s">
        <v>1569</v>
      </c>
      <c r="F371" s="7" t="s">
        <v>21</v>
      </c>
      <c r="G371" s="5" t="s">
        <v>22</v>
      </c>
      <c r="H371" s="8"/>
      <c r="I371" s="9"/>
      <c r="J371" s="9" t="s">
        <v>23</v>
      </c>
      <c r="K371" s="8"/>
      <c r="L371" s="9"/>
      <c r="M371" s="10" t="s">
        <v>913</v>
      </c>
      <c r="N371" s="11" t="s">
        <v>1570</v>
      </c>
      <c r="O371" s="12" t="s">
        <v>26</v>
      </c>
    </row>
    <row r="372" spans="1:15">
      <c r="A372" s="4">
        <v>368</v>
      </c>
      <c r="B372" s="5" t="s">
        <v>1340</v>
      </c>
      <c r="C372" s="5" t="s">
        <v>1413</v>
      </c>
      <c r="D372" s="5" t="s">
        <v>1571</v>
      </c>
      <c r="E372" s="6" t="s">
        <v>1572</v>
      </c>
      <c r="F372" s="13" t="s">
        <v>34</v>
      </c>
      <c r="G372" s="5" t="s">
        <v>22</v>
      </c>
      <c r="H372" s="8"/>
      <c r="I372" s="9"/>
      <c r="J372" s="9" t="s">
        <v>23</v>
      </c>
      <c r="K372" s="8"/>
      <c r="L372" s="9"/>
      <c r="M372" s="10" t="s">
        <v>1548</v>
      </c>
      <c r="N372" s="11" t="s">
        <v>1573</v>
      </c>
      <c r="O372" s="12" t="s">
        <v>26</v>
      </c>
    </row>
    <row r="373" spans="1:15">
      <c r="A373" s="4">
        <v>369</v>
      </c>
      <c r="B373" s="5" t="s">
        <v>1340</v>
      </c>
      <c r="C373" s="5" t="s">
        <v>1554</v>
      </c>
      <c r="D373" s="5" t="s">
        <v>1574</v>
      </c>
      <c r="E373" s="6" t="s">
        <v>1575</v>
      </c>
      <c r="F373" s="7" t="s">
        <v>21</v>
      </c>
      <c r="G373" s="5" t="s">
        <v>22</v>
      </c>
      <c r="H373" s="8"/>
      <c r="I373" s="9"/>
      <c r="J373" s="9" t="s">
        <v>23</v>
      </c>
      <c r="K373" s="8"/>
      <c r="L373" s="9"/>
      <c r="M373" s="10" t="s">
        <v>1576</v>
      </c>
      <c r="N373" s="11" t="s">
        <v>1577</v>
      </c>
      <c r="O373" s="12" t="s">
        <v>26</v>
      </c>
    </row>
    <row r="374" spans="1:15">
      <c r="A374" s="4">
        <v>370</v>
      </c>
      <c r="B374" s="5" t="s">
        <v>1340</v>
      </c>
      <c r="C374" s="5" t="s">
        <v>1409</v>
      </c>
      <c r="D374" s="5" t="s">
        <v>1578</v>
      </c>
      <c r="E374" s="6" t="s">
        <v>1579</v>
      </c>
      <c r="F374" s="7" t="s">
        <v>21</v>
      </c>
      <c r="G374" s="5" t="s">
        <v>22</v>
      </c>
      <c r="H374" s="8"/>
      <c r="I374" s="9"/>
      <c r="J374" s="9" t="s">
        <v>23</v>
      </c>
      <c r="K374" s="8"/>
      <c r="L374" s="9"/>
      <c r="M374" s="10" t="s">
        <v>913</v>
      </c>
      <c r="N374" s="11" t="s">
        <v>1580</v>
      </c>
      <c r="O374" s="12" t="s">
        <v>26</v>
      </c>
    </row>
    <row r="375" spans="1:15">
      <c r="A375" s="4">
        <v>371</v>
      </c>
      <c r="B375" s="5" t="s">
        <v>1340</v>
      </c>
      <c r="C375" s="5" t="s">
        <v>1567</v>
      </c>
      <c r="D375" s="5" t="s">
        <v>1581</v>
      </c>
      <c r="E375" s="6" t="s">
        <v>1582</v>
      </c>
      <c r="F375" s="7" t="s">
        <v>21</v>
      </c>
      <c r="G375" s="5" t="s">
        <v>22</v>
      </c>
      <c r="H375" s="8"/>
      <c r="I375" s="9"/>
      <c r="J375" s="9" t="s">
        <v>23</v>
      </c>
      <c r="K375" s="8"/>
      <c r="L375" s="9"/>
      <c r="M375" s="10" t="s">
        <v>913</v>
      </c>
      <c r="N375" s="11" t="s">
        <v>1583</v>
      </c>
      <c r="O375" s="12" t="s">
        <v>26</v>
      </c>
    </row>
    <row r="376" spans="1:15">
      <c r="A376" s="4">
        <v>372</v>
      </c>
      <c r="B376" s="5" t="s">
        <v>1340</v>
      </c>
      <c r="C376" s="5" t="s">
        <v>1346</v>
      </c>
      <c r="D376" s="5" t="s">
        <v>1584</v>
      </c>
      <c r="E376" s="6" t="s">
        <v>1585</v>
      </c>
      <c r="F376" s="13" t="s">
        <v>34</v>
      </c>
      <c r="G376" s="5" t="s">
        <v>22</v>
      </c>
      <c r="H376" s="8"/>
      <c r="I376" s="9"/>
      <c r="J376" s="9" t="s">
        <v>23</v>
      </c>
      <c r="K376" s="8"/>
      <c r="L376" s="9"/>
      <c r="M376" s="10" t="s">
        <v>233</v>
      </c>
      <c r="N376" s="11" t="s">
        <v>1586</v>
      </c>
      <c r="O376" s="12" t="s">
        <v>26</v>
      </c>
    </row>
    <row r="377" spans="1:15">
      <c r="A377" s="4">
        <v>373</v>
      </c>
      <c r="B377" s="5" t="s">
        <v>1340</v>
      </c>
      <c r="C377" s="5" t="s">
        <v>1554</v>
      </c>
      <c r="D377" s="5" t="s">
        <v>1587</v>
      </c>
      <c r="E377" s="6" t="s">
        <v>1588</v>
      </c>
      <c r="F377" s="7" t="s">
        <v>21</v>
      </c>
      <c r="G377" s="5" t="s">
        <v>22</v>
      </c>
      <c r="H377" s="8"/>
      <c r="I377" s="9"/>
      <c r="J377" s="9" t="s">
        <v>23</v>
      </c>
      <c r="K377" s="8"/>
      <c r="L377" s="9"/>
      <c r="M377" s="10" t="s">
        <v>1296</v>
      </c>
      <c r="N377" s="11" t="s">
        <v>1589</v>
      </c>
      <c r="O377" s="12" t="s">
        <v>26</v>
      </c>
    </row>
    <row r="378" spans="1:15">
      <c r="A378" s="4">
        <v>374</v>
      </c>
      <c r="B378" s="5" t="s">
        <v>1340</v>
      </c>
      <c r="C378" s="5" t="s">
        <v>1590</v>
      </c>
      <c r="D378" s="5" t="s">
        <v>1591</v>
      </c>
      <c r="E378" s="6" t="s">
        <v>1592</v>
      </c>
      <c r="F378" s="7" t="s">
        <v>21</v>
      </c>
      <c r="G378" s="5" t="s">
        <v>22</v>
      </c>
      <c r="H378" s="8"/>
      <c r="I378" s="9"/>
      <c r="J378" s="9" t="s">
        <v>23</v>
      </c>
      <c r="K378" s="8"/>
      <c r="L378" s="9"/>
      <c r="M378" s="10" t="s">
        <v>1593</v>
      </c>
      <c r="N378" s="11" t="s">
        <v>1594</v>
      </c>
      <c r="O378" s="12" t="s">
        <v>26</v>
      </c>
    </row>
    <row r="379" spans="1:15">
      <c r="A379" s="4">
        <v>375</v>
      </c>
      <c r="B379" s="5" t="s">
        <v>1340</v>
      </c>
      <c r="C379" s="5" t="s">
        <v>1409</v>
      </c>
      <c r="D379" s="5" t="s">
        <v>1595</v>
      </c>
      <c r="E379" s="6" t="s">
        <v>1596</v>
      </c>
      <c r="F379" s="7" t="s">
        <v>21</v>
      </c>
      <c r="G379" s="5" t="s">
        <v>22</v>
      </c>
      <c r="H379" s="8"/>
      <c r="I379" s="9"/>
      <c r="J379" s="9" t="s">
        <v>23</v>
      </c>
      <c r="K379" s="8"/>
      <c r="L379" s="9"/>
      <c r="M379" s="10" t="s">
        <v>1597</v>
      </c>
      <c r="N379" s="11" t="s">
        <v>1598</v>
      </c>
      <c r="O379" s="12" t="s">
        <v>26</v>
      </c>
    </row>
    <row r="380" spans="1:15">
      <c r="A380" s="4">
        <v>376</v>
      </c>
      <c r="B380" s="5" t="s">
        <v>1340</v>
      </c>
      <c r="C380" s="5" t="s">
        <v>1358</v>
      </c>
      <c r="D380" s="5" t="s">
        <v>1599</v>
      </c>
      <c r="E380" s="6" t="s">
        <v>1600</v>
      </c>
      <c r="F380" s="7" t="s">
        <v>21</v>
      </c>
      <c r="G380" s="5" t="s">
        <v>22</v>
      </c>
      <c r="H380" s="8"/>
      <c r="I380" s="9"/>
      <c r="J380" s="9" t="s">
        <v>23</v>
      </c>
      <c r="K380" s="8"/>
      <c r="L380" s="9"/>
      <c r="M380" s="10" t="s">
        <v>1601</v>
      </c>
      <c r="N380" s="11" t="s">
        <v>1602</v>
      </c>
      <c r="O380" s="12" t="s">
        <v>26</v>
      </c>
    </row>
    <row r="381" spans="1:15">
      <c r="A381" s="4">
        <v>377</v>
      </c>
      <c r="B381" s="5" t="s">
        <v>1340</v>
      </c>
      <c r="C381" s="5" t="s">
        <v>1603</v>
      </c>
      <c r="D381" s="5" t="s">
        <v>1604</v>
      </c>
      <c r="E381" s="6" t="s">
        <v>1605</v>
      </c>
      <c r="F381" s="7" t="s">
        <v>21</v>
      </c>
      <c r="G381" s="5" t="s">
        <v>22</v>
      </c>
      <c r="H381" s="8"/>
      <c r="I381" s="9"/>
      <c r="J381" s="9" t="s">
        <v>23</v>
      </c>
      <c r="K381" s="8"/>
      <c r="L381" s="9"/>
      <c r="M381" s="10" t="s">
        <v>1466</v>
      </c>
      <c r="N381" s="11" t="s">
        <v>1606</v>
      </c>
      <c r="O381" s="12" t="s">
        <v>26</v>
      </c>
    </row>
    <row r="382" spans="1:15">
      <c r="A382" s="4">
        <v>378</v>
      </c>
      <c r="B382" s="5" t="s">
        <v>1340</v>
      </c>
      <c r="C382" s="5" t="s">
        <v>1409</v>
      </c>
      <c r="D382" s="5" t="s">
        <v>1607</v>
      </c>
      <c r="E382" s="6" t="s">
        <v>1608</v>
      </c>
      <c r="F382" s="13" t="s">
        <v>34</v>
      </c>
      <c r="G382" s="5" t="s">
        <v>22</v>
      </c>
      <c r="H382" s="8"/>
      <c r="I382" s="9"/>
      <c r="J382" s="9" t="s">
        <v>23</v>
      </c>
      <c r="K382" s="8"/>
      <c r="L382" s="9"/>
      <c r="M382" s="10" t="s">
        <v>1609</v>
      </c>
      <c r="N382" s="11" t="s">
        <v>1610</v>
      </c>
      <c r="O382" s="12" t="s">
        <v>26</v>
      </c>
    </row>
    <row r="383" spans="1:15">
      <c r="A383" s="4">
        <v>379</v>
      </c>
      <c r="B383" s="5" t="s">
        <v>1340</v>
      </c>
      <c r="C383" s="5" t="s">
        <v>1409</v>
      </c>
      <c r="D383" s="5" t="s">
        <v>1611</v>
      </c>
      <c r="E383" s="6" t="s">
        <v>1612</v>
      </c>
      <c r="F383" s="13" t="s">
        <v>34</v>
      </c>
      <c r="G383" s="5" t="s">
        <v>29</v>
      </c>
      <c r="H383" s="8"/>
      <c r="I383" s="9"/>
      <c r="J383" s="9" t="s">
        <v>23</v>
      </c>
      <c r="K383" s="8"/>
      <c r="L383" s="9"/>
      <c r="M383" s="10" t="s">
        <v>233</v>
      </c>
      <c r="N383" s="11" t="s">
        <v>1613</v>
      </c>
      <c r="O383" s="12" t="s">
        <v>26</v>
      </c>
    </row>
    <row r="384" spans="1:15">
      <c r="A384" s="4">
        <v>380</v>
      </c>
      <c r="B384" s="5" t="s">
        <v>1340</v>
      </c>
      <c r="C384" s="5" t="s">
        <v>1409</v>
      </c>
      <c r="D384" s="5" t="s">
        <v>1614</v>
      </c>
      <c r="E384" s="6" t="s">
        <v>1615</v>
      </c>
      <c r="F384" s="13" t="s">
        <v>34</v>
      </c>
      <c r="G384" s="5" t="s">
        <v>22</v>
      </c>
      <c r="H384" s="8"/>
      <c r="I384" s="9"/>
      <c r="J384" s="9" t="s">
        <v>23</v>
      </c>
      <c r="K384" s="8"/>
      <c r="L384" s="9"/>
      <c r="M384" s="10" t="s">
        <v>904</v>
      </c>
      <c r="N384" s="11" t="s">
        <v>1616</v>
      </c>
      <c r="O384" s="12" t="s">
        <v>26</v>
      </c>
    </row>
    <row r="385" spans="1:15">
      <c r="A385" s="4">
        <v>381</v>
      </c>
      <c r="B385" s="5" t="s">
        <v>1340</v>
      </c>
      <c r="C385" s="5" t="s">
        <v>1363</v>
      </c>
      <c r="D385" s="5" t="s">
        <v>1617</v>
      </c>
      <c r="E385" s="6" t="s">
        <v>1618</v>
      </c>
      <c r="F385" s="7" t="s">
        <v>21</v>
      </c>
      <c r="G385" s="5" t="s">
        <v>22</v>
      </c>
      <c r="H385" s="8"/>
      <c r="I385" s="9"/>
      <c r="J385" s="9" t="s">
        <v>23</v>
      </c>
      <c r="K385" s="8"/>
      <c r="L385" s="9"/>
      <c r="M385" s="10" t="s">
        <v>1016</v>
      </c>
      <c r="N385" s="11" t="s">
        <v>1619</v>
      </c>
      <c r="O385" s="12" t="s">
        <v>26</v>
      </c>
    </row>
    <row r="386" spans="1:15">
      <c r="A386" s="4">
        <v>382</v>
      </c>
      <c r="B386" s="5" t="s">
        <v>1340</v>
      </c>
      <c r="C386" s="5" t="s">
        <v>1363</v>
      </c>
      <c r="D386" s="5" t="s">
        <v>1620</v>
      </c>
      <c r="E386" s="6" t="s">
        <v>1621</v>
      </c>
      <c r="F386" s="7" t="s">
        <v>21</v>
      </c>
      <c r="G386" s="5" t="s">
        <v>22</v>
      </c>
      <c r="H386" s="8"/>
      <c r="I386" s="9"/>
      <c r="J386" s="9" t="s">
        <v>23</v>
      </c>
      <c r="K386" s="8"/>
      <c r="L386" s="9"/>
      <c r="M386" s="10" t="s">
        <v>1622</v>
      </c>
      <c r="N386" s="11" t="s">
        <v>1623</v>
      </c>
      <c r="O386" s="12" t="s">
        <v>26</v>
      </c>
    </row>
    <row r="387" spans="1:15">
      <c r="A387" s="4">
        <v>383</v>
      </c>
      <c r="B387" s="5" t="s">
        <v>1340</v>
      </c>
      <c r="C387" s="5" t="s">
        <v>1409</v>
      </c>
      <c r="D387" s="5" t="s">
        <v>1624</v>
      </c>
      <c r="E387" s="6" t="s">
        <v>1625</v>
      </c>
      <c r="F387" s="7" t="s">
        <v>21</v>
      </c>
      <c r="G387" s="5" t="s">
        <v>22</v>
      </c>
      <c r="H387" s="8"/>
      <c r="I387" s="9"/>
      <c r="J387" s="9" t="s">
        <v>23</v>
      </c>
      <c r="K387" s="8"/>
      <c r="L387" s="9"/>
      <c r="M387" s="10" t="s">
        <v>1626</v>
      </c>
      <c r="N387" s="11" t="s">
        <v>1627</v>
      </c>
      <c r="O387" s="12" t="s">
        <v>26</v>
      </c>
    </row>
    <row r="388" spans="1:15">
      <c r="A388" s="4">
        <v>384</v>
      </c>
      <c r="B388" s="5" t="s">
        <v>1340</v>
      </c>
      <c r="C388" s="5" t="s">
        <v>1567</v>
      </c>
      <c r="D388" s="5" t="s">
        <v>1628</v>
      </c>
      <c r="E388" s="6" t="s">
        <v>1629</v>
      </c>
      <c r="F388" s="7" t="s">
        <v>21</v>
      </c>
      <c r="G388" s="5" t="s">
        <v>22</v>
      </c>
      <c r="H388" s="8"/>
      <c r="I388" s="9"/>
      <c r="J388" s="9" t="s">
        <v>23</v>
      </c>
      <c r="K388" s="8"/>
      <c r="L388" s="9"/>
      <c r="M388" s="10" t="s">
        <v>1630</v>
      </c>
      <c r="N388" s="11" t="s">
        <v>1631</v>
      </c>
      <c r="O388" s="12" t="s">
        <v>26</v>
      </c>
    </row>
    <row r="389" spans="1:15">
      <c r="A389" s="4">
        <v>385</v>
      </c>
      <c r="B389" s="5" t="s">
        <v>1340</v>
      </c>
      <c r="C389" s="5" t="s">
        <v>1567</v>
      </c>
      <c r="D389" s="5" t="s">
        <v>1632</v>
      </c>
      <c r="E389" s="6" t="s">
        <v>1633</v>
      </c>
      <c r="F389" s="13" t="s">
        <v>34</v>
      </c>
      <c r="G389" s="5" t="s">
        <v>29</v>
      </c>
      <c r="H389" s="8"/>
      <c r="I389" s="9"/>
      <c r="J389" s="9" t="s">
        <v>23</v>
      </c>
      <c r="K389" s="8"/>
      <c r="L389" s="9"/>
      <c r="M389" s="10" t="s">
        <v>233</v>
      </c>
      <c r="N389" s="11" t="s">
        <v>1634</v>
      </c>
      <c r="O389" s="12" t="s">
        <v>26</v>
      </c>
    </row>
    <row r="390" spans="1:15">
      <c r="A390" s="4">
        <v>386</v>
      </c>
      <c r="B390" s="5" t="s">
        <v>1340</v>
      </c>
      <c r="C390" s="5" t="s">
        <v>1567</v>
      </c>
      <c r="D390" s="5" t="s">
        <v>1635</v>
      </c>
      <c r="E390" s="6" t="s">
        <v>1636</v>
      </c>
      <c r="F390" s="13" t="s">
        <v>34</v>
      </c>
      <c r="G390" s="5" t="s">
        <v>22</v>
      </c>
      <c r="H390" s="8"/>
      <c r="I390" s="9"/>
      <c r="J390" s="9" t="s">
        <v>23</v>
      </c>
      <c r="K390" s="8"/>
      <c r="L390" s="9"/>
      <c r="M390" s="10" t="s">
        <v>233</v>
      </c>
      <c r="N390" s="11" t="s">
        <v>1637</v>
      </c>
      <c r="O390" s="12" t="s">
        <v>26</v>
      </c>
    </row>
    <row r="391" spans="1:15">
      <c r="A391" s="4">
        <v>387</v>
      </c>
      <c r="B391" s="5" t="s">
        <v>1340</v>
      </c>
      <c r="C391" s="5" t="s">
        <v>1567</v>
      </c>
      <c r="D391" s="5" t="s">
        <v>1638</v>
      </c>
      <c r="E391" s="6" t="s">
        <v>1639</v>
      </c>
      <c r="F391" s="7" t="s">
        <v>21</v>
      </c>
      <c r="G391" s="5" t="s">
        <v>22</v>
      </c>
      <c r="H391" s="8"/>
      <c r="I391" s="9"/>
      <c r="J391" s="9" t="s">
        <v>23</v>
      </c>
      <c r="K391" s="8"/>
      <c r="L391" s="9"/>
      <c r="M391" s="10" t="s">
        <v>1016</v>
      </c>
      <c r="N391" s="11" t="s">
        <v>1640</v>
      </c>
      <c r="O391" s="12" t="s">
        <v>26</v>
      </c>
    </row>
    <row r="392" spans="1:15">
      <c r="A392" s="4">
        <v>388</v>
      </c>
      <c r="B392" s="5" t="s">
        <v>1340</v>
      </c>
      <c r="C392" s="5" t="s">
        <v>1446</v>
      </c>
      <c r="D392" s="5" t="s">
        <v>1641</v>
      </c>
      <c r="E392" s="6" t="s">
        <v>1642</v>
      </c>
      <c r="F392" s="13" t="s">
        <v>34</v>
      </c>
      <c r="G392" s="5" t="s">
        <v>22</v>
      </c>
      <c r="H392" s="8"/>
      <c r="I392" s="9"/>
      <c r="J392" s="9" t="s">
        <v>23</v>
      </c>
      <c r="K392" s="8"/>
      <c r="L392" s="9"/>
      <c r="M392" s="10" t="s">
        <v>1643</v>
      </c>
      <c r="N392" s="11" t="s">
        <v>1644</v>
      </c>
      <c r="O392" s="12" t="s">
        <v>26</v>
      </c>
    </row>
    <row r="393" spans="1:15">
      <c r="A393" s="4">
        <v>389</v>
      </c>
      <c r="B393" s="5" t="s">
        <v>1340</v>
      </c>
      <c r="C393" s="5" t="s">
        <v>1351</v>
      </c>
      <c r="D393" s="5" t="s">
        <v>1645</v>
      </c>
      <c r="E393" s="6" t="s">
        <v>1646</v>
      </c>
      <c r="F393" s="7" t="s">
        <v>21</v>
      </c>
      <c r="G393" s="5" t="s">
        <v>22</v>
      </c>
      <c r="H393" s="8"/>
      <c r="I393" s="9"/>
      <c r="J393" s="9" t="s">
        <v>23</v>
      </c>
      <c r="K393" s="8"/>
      <c r="L393" s="9"/>
      <c r="M393" s="10" t="s">
        <v>1016</v>
      </c>
      <c r="N393" s="11" t="s">
        <v>1647</v>
      </c>
      <c r="O393" s="12" t="s">
        <v>26</v>
      </c>
    </row>
    <row r="394" spans="1:15">
      <c r="A394" s="4">
        <v>390</v>
      </c>
      <c r="B394" s="5" t="s">
        <v>1340</v>
      </c>
      <c r="C394" s="5" t="s">
        <v>1351</v>
      </c>
      <c r="D394" s="5" t="s">
        <v>1648</v>
      </c>
      <c r="E394" s="6" t="s">
        <v>1649</v>
      </c>
      <c r="F394" s="7" t="s">
        <v>21</v>
      </c>
      <c r="G394" s="5" t="s">
        <v>22</v>
      </c>
      <c r="H394" s="8"/>
      <c r="I394" s="9"/>
      <c r="J394" s="9" t="s">
        <v>23</v>
      </c>
      <c r="K394" s="8"/>
      <c r="L394" s="9"/>
      <c r="M394" s="10" t="s">
        <v>1650</v>
      </c>
      <c r="N394" s="11" t="s">
        <v>1651</v>
      </c>
      <c r="O394" s="12" t="s">
        <v>26</v>
      </c>
    </row>
    <row r="395" spans="1:15">
      <c r="A395" s="4">
        <v>391</v>
      </c>
      <c r="B395" s="5" t="s">
        <v>1340</v>
      </c>
      <c r="C395" s="5" t="s">
        <v>1346</v>
      </c>
      <c r="D395" s="5" t="s">
        <v>1652</v>
      </c>
      <c r="E395" s="6" t="s">
        <v>1653</v>
      </c>
      <c r="F395" s="7" t="s">
        <v>21</v>
      </c>
      <c r="G395" s="5" t="s">
        <v>22</v>
      </c>
      <c r="H395" s="8"/>
      <c r="I395" s="9"/>
      <c r="J395" s="9" t="s">
        <v>23</v>
      </c>
      <c r="K395" s="8"/>
      <c r="L395" s="9"/>
      <c r="M395" s="10" t="s">
        <v>192</v>
      </c>
      <c r="N395" s="11" t="s">
        <v>1654</v>
      </c>
      <c r="O395" s="12" t="s">
        <v>26</v>
      </c>
    </row>
    <row r="396" spans="1:15">
      <c r="A396" s="4">
        <v>392</v>
      </c>
      <c r="B396" s="5" t="s">
        <v>1340</v>
      </c>
      <c r="C396" s="5" t="s">
        <v>1409</v>
      </c>
      <c r="D396" s="5" t="s">
        <v>1655</v>
      </c>
      <c r="E396" s="6" t="s">
        <v>1656</v>
      </c>
      <c r="F396" s="7" t="s">
        <v>21</v>
      </c>
      <c r="G396" s="5" t="s">
        <v>22</v>
      </c>
      <c r="H396" s="8"/>
      <c r="I396" s="9"/>
      <c r="J396" s="9" t="s">
        <v>23</v>
      </c>
      <c r="K396" s="8"/>
      <c r="L396" s="9"/>
      <c r="M396" s="10" t="s">
        <v>1657</v>
      </c>
      <c r="N396" s="11" t="s">
        <v>1658</v>
      </c>
      <c r="O396" s="12" t="s">
        <v>26</v>
      </c>
    </row>
    <row r="397" spans="1:15">
      <c r="A397" s="4">
        <v>393</v>
      </c>
      <c r="B397" s="5" t="s">
        <v>1340</v>
      </c>
      <c r="C397" s="5" t="s">
        <v>1496</v>
      </c>
      <c r="D397" s="5" t="s">
        <v>1659</v>
      </c>
      <c r="E397" s="6" t="s">
        <v>1660</v>
      </c>
      <c r="F397" s="7" t="s">
        <v>21</v>
      </c>
      <c r="G397" s="5" t="s">
        <v>22</v>
      </c>
      <c r="H397" s="8"/>
      <c r="I397" s="9"/>
      <c r="J397" s="9" t="s">
        <v>23</v>
      </c>
      <c r="K397" s="8"/>
      <c r="L397" s="9"/>
      <c r="M397" s="10" t="s">
        <v>913</v>
      </c>
      <c r="N397" s="11" t="s">
        <v>1661</v>
      </c>
      <c r="O397" s="12" t="s">
        <v>26</v>
      </c>
    </row>
    <row r="398" spans="1:15">
      <c r="A398" s="4">
        <v>394</v>
      </c>
      <c r="B398" s="5" t="s">
        <v>1340</v>
      </c>
      <c r="C398" s="5" t="s">
        <v>1662</v>
      </c>
      <c r="D398" s="5" t="s">
        <v>1663</v>
      </c>
      <c r="E398" s="6" t="s">
        <v>1664</v>
      </c>
      <c r="F398" s="13" t="s">
        <v>34</v>
      </c>
      <c r="G398" s="5" t="s">
        <v>22</v>
      </c>
      <c r="H398" s="8"/>
      <c r="I398" s="9"/>
      <c r="J398" s="9" t="s">
        <v>23</v>
      </c>
      <c r="K398" s="8"/>
      <c r="L398" s="9"/>
      <c r="M398" s="10" t="s">
        <v>1548</v>
      </c>
      <c r="N398" s="11" t="s">
        <v>1665</v>
      </c>
      <c r="O398" s="12" t="s">
        <v>26</v>
      </c>
    </row>
    <row r="399" spans="1:15">
      <c r="A399" s="4">
        <v>395</v>
      </c>
      <c r="B399" s="5" t="s">
        <v>1340</v>
      </c>
      <c r="C399" s="5" t="s">
        <v>1455</v>
      </c>
      <c r="D399" s="5" t="s">
        <v>1666</v>
      </c>
      <c r="E399" s="6" t="s">
        <v>1667</v>
      </c>
      <c r="F399" s="13" t="s">
        <v>34</v>
      </c>
      <c r="G399" s="5" t="s">
        <v>22</v>
      </c>
      <c r="H399" s="8"/>
      <c r="I399" s="9"/>
      <c r="J399" s="9" t="s">
        <v>23</v>
      </c>
      <c r="K399" s="8"/>
      <c r="L399" s="9"/>
      <c r="M399" s="10" t="s">
        <v>1548</v>
      </c>
      <c r="N399" s="11" t="s">
        <v>1668</v>
      </c>
      <c r="O399" s="12" t="s">
        <v>26</v>
      </c>
    </row>
    <row r="400" spans="1:15">
      <c r="A400" s="4">
        <v>396</v>
      </c>
      <c r="B400" s="5" t="s">
        <v>1340</v>
      </c>
      <c r="C400" s="5" t="s">
        <v>1409</v>
      </c>
      <c r="D400" s="5" t="s">
        <v>1669</v>
      </c>
      <c r="E400" s="6" t="s">
        <v>1670</v>
      </c>
      <c r="F400" s="7" t="s">
        <v>21</v>
      </c>
      <c r="G400" s="5" t="s">
        <v>22</v>
      </c>
      <c r="H400" s="8"/>
      <c r="I400" s="9"/>
      <c r="J400" s="9" t="s">
        <v>23</v>
      </c>
      <c r="K400" s="8"/>
      <c r="L400" s="9"/>
      <c r="M400" s="10" t="s">
        <v>913</v>
      </c>
      <c r="N400" s="11" t="s">
        <v>1671</v>
      </c>
      <c r="O400" s="12" t="s">
        <v>26</v>
      </c>
    </row>
    <row r="401" spans="1:15">
      <c r="A401" s="4">
        <v>397</v>
      </c>
      <c r="B401" s="5" t="s">
        <v>1340</v>
      </c>
      <c r="C401" s="5" t="s">
        <v>1351</v>
      </c>
      <c r="D401" s="5" t="s">
        <v>1672</v>
      </c>
      <c r="E401" s="6" t="s">
        <v>1673</v>
      </c>
      <c r="F401" s="13" t="s">
        <v>34</v>
      </c>
      <c r="G401" s="5" t="s">
        <v>22</v>
      </c>
      <c r="H401" s="8"/>
      <c r="I401" s="9"/>
      <c r="J401" s="9" t="s">
        <v>23</v>
      </c>
      <c r="K401" s="8"/>
      <c r="L401" s="9"/>
      <c r="M401" s="10" t="s">
        <v>904</v>
      </c>
      <c r="N401" s="11" t="s">
        <v>1674</v>
      </c>
      <c r="O401" s="12" t="s">
        <v>26</v>
      </c>
    </row>
    <row r="402" spans="1:15">
      <c r="A402" s="4">
        <v>398</v>
      </c>
      <c r="B402" s="5" t="s">
        <v>1340</v>
      </c>
      <c r="C402" s="5" t="s">
        <v>1488</v>
      </c>
      <c r="D402" s="5" t="s">
        <v>1675</v>
      </c>
      <c r="E402" s="6" t="s">
        <v>1676</v>
      </c>
      <c r="F402" s="7" t="s">
        <v>21</v>
      </c>
      <c r="G402" s="5" t="s">
        <v>22</v>
      </c>
      <c r="H402" s="8"/>
      <c r="I402" s="9"/>
      <c r="J402" s="9" t="s">
        <v>23</v>
      </c>
      <c r="K402" s="8"/>
      <c r="L402" s="9"/>
      <c r="M402" s="10" t="s">
        <v>913</v>
      </c>
      <c r="N402" s="11" t="s">
        <v>1677</v>
      </c>
      <c r="O402" s="12" t="s">
        <v>26</v>
      </c>
    </row>
    <row r="403" spans="1:15">
      <c r="A403" s="4">
        <v>399</v>
      </c>
      <c r="B403" s="5" t="s">
        <v>1340</v>
      </c>
      <c r="C403" s="5" t="s">
        <v>1409</v>
      </c>
      <c r="D403" s="5" t="s">
        <v>1678</v>
      </c>
      <c r="E403" s="6" t="s">
        <v>1679</v>
      </c>
      <c r="F403" s="7" t="s">
        <v>21</v>
      </c>
      <c r="G403" s="5" t="s">
        <v>22</v>
      </c>
      <c r="H403" s="8"/>
      <c r="I403" s="9"/>
      <c r="J403" s="9" t="s">
        <v>23</v>
      </c>
      <c r="K403" s="8"/>
      <c r="L403" s="9"/>
      <c r="M403" s="10" t="s">
        <v>1518</v>
      </c>
      <c r="N403" s="11" t="s">
        <v>1680</v>
      </c>
      <c r="O403" s="12" t="s">
        <v>26</v>
      </c>
    </row>
    <row r="404" spans="1:15">
      <c r="A404" s="4">
        <v>400</v>
      </c>
      <c r="B404" s="5" t="s">
        <v>1340</v>
      </c>
      <c r="C404" s="5" t="s">
        <v>1681</v>
      </c>
      <c r="D404" s="5" t="s">
        <v>1682</v>
      </c>
      <c r="E404" s="6" t="s">
        <v>1683</v>
      </c>
      <c r="F404" s="7" t="s">
        <v>21</v>
      </c>
      <c r="G404" s="5" t="s">
        <v>29</v>
      </c>
      <c r="H404" s="8"/>
      <c r="I404" s="9"/>
      <c r="J404" s="9" t="s">
        <v>23</v>
      </c>
      <c r="K404" s="8"/>
      <c r="L404" s="9"/>
      <c r="M404" s="10" t="s">
        <v>1684</v>
      </c>
      <c r="N404" s="11" t="s">
        <v>1685</v>
      </c>
      <c r="O404" s="12" t="s">
        <v>26</v>
      </c>
    </row>
    <row r="405" spans="1:15">
      <c r="A405" s="4">
        <v>401</v>
      </c>
      <c r="B405" s="5" t="s">
        <v>1340</v>
      </c>
      <c r="C405" s="5" t="s">
        <v>1358</v>
      </c>
      <c r="D405" s="5" t="s">
        <v>1686</v>
      </c>
      <c r="E405" s="6" t="s">
        <v>1687</v>
      </c>
      <c r="F405" s="7" t="s">
        <v>21</v>
      </c>
      <c r="G405" s="5" t="s">
        <v>22</v>
      </c>
      <c r="H405" s="8"/>
      <c r="I405" s="9"/>
      <c r="J405" s="9" t="s">
        <v>23</v>
      </c>
      <c r="K405" s="8"/>
      <c r="L405" s="9"/>
      <c r="M405" s="10" t="s">
        <v>1688</v>
      </c>
      <c r="N405" s="11" t="s">
        <v>1689</v>
      </c>
      <c r="O405" s="12" t="s">
        <v>26</v>
      </c>
    </row>
    <row r="406" spans="1:15">
      <c r="A406" s="4">
        <v>402</v>
      </c>
      <c r="B406" s="5" t="s">
        <v>1340</v>
      </c>
      <c r="C406" s="5" t="s">
        <v>1455</v>
      </c>
      <c r="D406" s="5" t="s">
        <v>1690</v>
      </c>
      <c r="E406" s="6" t="s">
        <v>1691</v>
      </c>
      <c r="F406" s="13" t="s">
        <v>34</v>
      </c>
      <c r="G406" s="5" t="s">
        <v>156</v>
      </c>
      <c r="H406" s="8"/>
      <c r="I406" s="9"/>
      <c r="J406" s="9" t="s">
        <v>23</v>
      </c>
      <c r="K406" s="8"/>
      <c r="L406" s="9"/>
      <c r="M406" s="10" t="s">
        <v>1692</v>
      </c>
      <c r="N406" s="11" t="s">
        <v>1350</v>
      </c>
      <c r="O406" s="12" t="s">
        <v>26</v>
      </c>
    </row>
    <row r="407" spans="1:15">
      <c r="A407" s="4">
        <v>403</v>
      </c>
      <c r="B407" s="5" t="s">
        <v>1340</v>
      </c>
      <c r="C407" s="5" t="s">
        <v>1363</v>
      </c>
      <c r="D407" s="5" t="s">
        <v>1693</v>
      </c>
      <c r="E407" s="6" t="s">
        <v>1694</v>
      </c>
      <c r="F407" s="13" t="s">
        <v>34</v>
      </c>
      <c r="G407" s="5" t="s">
        <v>22</v>
      </c>
      <c r="H407" s="8"/>
      <c r="I407" s="9"/>
      <c r="J407" s="9" t="s">
        <v>23</v>
      </c>
      <c r="K407" s="8"/>
      <c r="L407" s="9"/>
      <c r="M407" s="10" t="s">
        <v>1285</v>
      </c>
      <c r="N407" s="11" t="s">
        <v>1695</v>
      </c>
      <c r="O407" s="12" t="s">
        <v>26</v>
      </c>
    </row>
    <row r="408" spans="1:15">
      <c r="A408" s="4">
        <v>404</v>
      </c>
      <c r="B408" s="5" t="s">
        <v>1340</v>
      </c>
      <c r="C408" s="5" t="s">
        <v>1511</v>
      </c>
      <c r="D408" s="5" t="s">
        <v>1696</v>
      </c>
      <c r="E408" s="6" t="s">
        <v>1697</v>
      </c>
      <c r="F408" s="13" t="s">
        <v>34</v>
      </c>
      <c r="G408" s="5" t="s">
        <v>22</v>
      </c>
      <c r="H408" s="8"/>
      <c r="I408" s="9"/>
      <c r="J408" s="9" t="s">
        <v>23</v>
      </c>
      <c r="K408" s="8"/>
      <c r="L408" s="9"/>
      <c r="M408" s="10" t="s">
        <v>1698</v>
      </c>
      <c r="N408" s="11" t="s">
        <v>1699</v>
      </c>
      <c r="O408" s="12" t="s">
        <v>26</v>
      </c>
    </row>
    <row r="409" spans="1:15">
      <c r="A409" s="4">
        <v>405</v>
      </c>
      <c r="B409" s="5" t="s">
        <v>1340</v>
      </c>
      <c r="C409" s="5" t="s">
        <v>1413</v>
      </c>
      <c r="D409" s="5" t="s">
        <v>1700</v>
      </c>
      <c r="E409" s="6" t="s">
        <v>1701</v>
      </c>
      <c r="F409" s="7" t="s">
        <v>21</v>
      </c>
      <c r="G409" s="5" t="s">
        <v>22</v>
      </c>
      <c r="H409" s="8"/>
      <c r="I409" s="9"/>
      <c r="J409" s="9" t="s">
        <v>23</v>
      </c>
      <c r="K409" s="8"/>
      <c r="L409" s="9"/>
      <c r="M409" s="10" t="s">
        <v>1702</v>
      </c>
      <c r="N409" s="11" t="s">
        <v>1703</v>
      </c>
      <c r="O409" s="12" t="s">
        <v>26</v>
      </c>
    </row>
    <row r="410" spans="1:15">
      <c r="A410" s="4">
        <v>406</v>
      </c>
      <c r="B410" s="5" t="s">
        <v>1340</v>
      </c>
      <c r="C410" s="5" t="s">
        <v>1421</v>
      </c>
      <c r="D410" s="5" t="s">
        <v>1704</v>
      </c>
      <c r="E410" s="6" t="s">
        <v>1705</v>
      </c>
      <c r="F410" s="13" t="s">
        <v>34</v>
      </c>
      <c r="G410" s="5" t="s">
        <v>22</v>
      </c>
      <c r="H410" s="8"/>
      <c r="I410" s="9"/>
      <c r="J410" s="9" t="s">
        <v>23</v>
      </c>
      <c r="K410" s="8"/>
      <c r="L410" s="9"/>
      <c r="M410" s="10" t="s">
        <v>1706</v>
      </c>
      <c r="N410" s="11" t="s">
        <v>1707</v>
      </c>
      <c r="O410" s="12" t="s">
        <v>26</v>
      </c>
    </row>
    <row r="411" spans="1:15">
      <c r="A411" s="4">
        <v>407</v>
      </c>
      <c r="B411" s="5" t="s">
        <v>1340</v>
      </c>
      <c r="C411" s="5" t="s">
        <v>1346</v>
      </c>
      <c r="D411" s="5" t="s">
        <v>1708</v>
      </c>
      <c r="E411" s="6" t="s">
        <v>1709</v>
      </c>
      <c r="F411" s="7" t="s">
        <v>21</v>
      </c>
      <c r="G411" s="5" t="s">
        <v>22</v>
      </c>
      <c r="H411" s="8"/>
      <c r="I411" s="9"/>
      <c r="J411" s="9" t="s">
        <v>23</v>
      </c>
      <c r="K411" s="8"/>
      <c r="L411" s="9"/>
      <c r="M411" s="10" t="s">
        <v>913</v>
      </c>
      <c r="N411" s="11" t="s">
        <v>1710</v>
      </c>
      <c r="O411" s="12" t="s">
        <v>26</v>
      </c>
    </row>
    <row r="412" spans="1:15">
      <c r="A412" s="4">
        <v>408</v>
      </c>
      <c r="B412" s="5" t="s">
        <v>1340</v>
      </c>
      <c r="C412" s="5" t="s">
        <v>1455</v>
      </c>
      <c r="D412" s="5" t="s">
        <v>1711</v>
      </c>
      <c r="E412" s="6" t="s">
        <v>1712</v>
      </c>
      <c r="F412" s="7" t="s">
        <v>21</v>
      </c>
      <c r="G412" s="5" t="s">
        <v>22</v>
      </c>
      <c r="H412" s="8"/>
      <c r="I412" s="9"/>
      <c r="J412" s="9" t="s">
        <v>23</v>
      </c>
      <c r="K412" s="8"/>
      <c r="L412" s="9"/>
      <c r="M412" s="10" t="s">
        <v>913</v>
      </c>
      <c r="N412" s="11" t="s">
        <v>1713</v>
      </c>
      <c r="O412" s="12" t="s">
        <v>26</v>
      </c>
    </row>
    <row r="413" spans="1:15">
      <c r="A413" s="4">
        <v>409</v>
      </c>
      <c r="B413" s="5" t="s">
        <v>1340</v>
      </c>
      <c r="C413" s="5" t="s">
        <v>1355</v>
      </c>
      <c r="D413" s="5" t="s">
        <v>1714</v>
      </c>
      <c r="E413" s="6" t="s">
        <v>1715</v>
      </c>
      <c r="F413" s="7" t="s">
        <v>21</v>
      </c>
      <c r="G413" s="5" t="s">
        <v>22</v>
      </c>
      <c r="H413" s="8"/>
      <c r="I413" s="9"/>
      <c r="J413" s="9" t="s">
        <v>23</v>
      </c>
      <c r="K413" s="8"/>
      <c r="L413" s="9"/>
      <c r="M413" s="10" t="s">
        <v>296</v>
      </c>
      <c r="N413" s="11" t="s">
        <v>1716</v>
      </c>
      <c r="O413" s="12" t="s">
        <v>26</v>
      </c>
    </row>
    <row r="414" spans="1:15">
      <c r="A414" s="4">
        <v>410</v>
      </c>
      <c r="B414" s="5" t="s">
        <v>1340</v>
      </c>
      <c r="C414" s="5" t="s">
        <v>1717</v>
      </c>
      <c r="D414" s="5" t="s">
        <v>1718</v>
      </c>
      <c r="E414" s="14" t="s">
        <v>109</v>
      </c>
      <c r="F414" s="15" t="s">
        <v>110</v>
      </c>
      <c r="G414" s="5" t="s">
        <v>22</v>
      </c>
      <c r="H414" s="8"/>
      <c r="I414" s="9"/>
      <c r="J414" s="9" t="s">
        <v>23</v>
      </c>
      <c r="K414" s="8"/>
      <c r="L414" s="9"/>
      <c r="M414" s="10" t="s">
        <v>1719</v>
      </c>
      <c r="N414" s="11" t="s">
        <v>1720</v>
      </c>
      <c r="O414" s="12" t="s">
        <v>26</v>
      </c>
    </row>
    <row r="415" spans="1:15">
      <c r="A415" s="4">
        <v>411</v>
      </c>
      <c r="B415" s="5" t="s">
        <v>1340</v>
      </c>
      <c r="C415" s="5" t="s">
        <v>1721</v>
      </c>
      <c r="D415" s="5" t="s">
        <v>1722</v>
      </c>
      <c r="E415" s="6" t="s">
        <v>1723</v>
      </c>
      <c r="F415" s="13" t="s">
        <v>34</v>
      </c>
      <c r="G415" s="5" t="s">
        <v>22</v>
      </c>
      <c r="H415" s="8"/>
      <c r="I415" s="9"/>
      <c r="J415" s="9" t="s">
        <v>23</v>
      </c>
      <c r="K415" s="8"/>
      <c r="L415" s="9"/>
      <c r="M415" s="10" t="s">
        <v>1724</v>
      </c>
      <c r="N415" s="11" t="s">
        <v>1725</v>
      </c>
      <c r="O415" s="12" t="s">
        <v>26</v>
      </c>
    </row>
    <row r="416" spans="1:15">
      <c r="A416" s="4">
        <v>412</v>
      </c>
      <c r="B416" s="5" t="s">
        <v>1340</v>
      </c>
      <c r="C416" s="5" t="s">
        <v>1455</v>
      </c>
      <c r="D416" s="5" t="s">
        <v>1726</v>
      </c>
      <c r="E416" s="6" t="s">
        <v>1727</v>
      </c>
      <c r="F416" s="7" t="s">
        <v>21</v>
      </c>
      <c r="G416" s="5" t="s">
        <v>22</v>
      </c>
      <c r="H416" s="8"/>
      <c r="I416" s="9"/>
      <c r="J416" s="9" t="s">
        <v>23</v>
      </c>
      <c r="K416" s="8"/>
      <c r="L416" s="9"/>
      <c r="M416" s="10" t="s">
        <v>913</v>
      </c>
      <c r="N416" s="11" t="s">
        <v>1728</v>
      </c>
      <c r="O416" s="12" t="s">
        <v>26</v>
      </c>
    </row>
    <row r="417" spans="1:15">
      <c r="A417" s="4">
        <v>413</v>
      </c>
      <c r="B417" s="5" t="s">
        <v>1340</v>
      </c>
      <c r="C417" s="5" t="s">
        <v>1662</v>
      </c>
      <c r="D417" s="5" t="s">
        <v>1729</v>
      </c>
      <c r="E417" s="6" t="s">
        <v>1730</v>
      </c>
      <c r="F417" s="7" t="s">
        <v>21</v>
      </c>
      <c r="G417" s="5" t="s">
        <v>22</v>
      </c>
      <c r="H417" s="8"/>
      <c r="I417" s="9"/>
      <c r="J417" s="9" t="s">
        <v>23</v>
      </c>
      <c r="K417" s="8"/>
      <c r="L417" s="9"/>
      <c r="M417" s="10" t="s">
        <v>1731</v>
      </c>
      <c r="N417" s="11" t="s">
        <v>1732</v>
      </c>
      <c r="O417" s="12" t="s">
        <v>26</v>
      </c>
    </row>
    <row r="418" spans="1:15">
      <c r="A418" s="4">
        <v>414</v>
      </c>
      <c r="B418" s="5" t="s">
        <v>1340</v>
      </c>
      <c r="C418" s="5" t="s">
        <v>1413</v>
      </c>
      <c r="D418" s="5" t="s">
        <v>1733</v>
      </c>
      <c r="E418" s="6" t="s">
        <v>1734</v>
      </c>
      <c r="F418" s="7" t="s">
        <v>21</v>
      </c>
      <c r="G418" s="5" t="s">
        <v>22</v>
      </c>
      <c r="H418" s="8"/>
      <c r="I418" s="9"/>
      <c r="J418" s="9" t="s">
        <v>23</v>
      </c>
      <c r="K418" s="8"/>
      <c r="L418" s="9"/>
      <c r="M418" s="10" t="s">
        <v>1735</v>
      </c>
      <c r="N418" s="11" t="s">
        <v>1736</v>
      </c>
      <c r="O418" s="12" t="s">
        <v>26</v>
      </c>
    </row>
    <row r="419" spans="1:15">
      <c r="A419" s="4">
        <v>415</v>
      </c>
      <c r="B419" s="5" t="s">
        <v>1340</v>
      </c>
      <c r="C419" s="5" t="s">
        <v>1554</v>
      </c>
      <c r="D419" s="5" t="s">
        <v>1737</v>
      </c>
      <c r="E419" s="6" t="s">
        <v>1738</v>
      </c>
      <c r="F419" s="7" t="s">
        <v>21</v>
      </c>
      <c r="G419" s="5" t="s">
        <v>22</v>
      </c>
      <c r="H419" s="8"/>
      <c r="I419" s="9"/>
      <c r="J419" s="9" t="s">
        <v>23</v>
      </c>
      <c r="K419" s="8"/>
      <c r="L419" s="9"/>
      <c r="M419" s="10" t="s">
        <v>913</v>
      </c>
      <c r="N419" s="11" t="s">
        <v>1739</v>
      </c>
      <c r="O419" s="12" t="s">
        <v>26</v>
      </c>
    </row>
    <row r="420" spans="1:15">
      <c r="A420" s="4">
        <v>416</v>
      </c>
      <c r="B420" s="5" t="s">
        <v>1340</v>
      </c>
      <c r="C420" s="5" t="s">
        <v>1455</v>
      </c>
      <c r="D420" s="5" t="s">
        <v>1740</v>
      </c>
      <c r="E420" s="6" t="s">
        <v>1741</v>
      </c>
      <c r="F420" s="7" t="s">
        <v>21</v>
      </c>
      <c r="G420" s="5" t="s">
        <v>22</v>
      </c>
      <c r="H420" s="8"/>
      <c r="I420" s="9"/>
      <c r="J420" s="9" t="s">
        <v>23</v>
      </c>
      <c r="K420" s="8"/>
      <c r="L420" s="9"/>
      <c r="M420" s="10" t="s">
        <v>192</v>
      </c>
      <c r="N420" s="11" t="s">
        <v>1742</v>
      </c>
      <c r="O420" s="12" t="s">
        <v>26</v>
      </c>
    </row>
    <row r="421" spans="1:15">
      <c r="A421" s="4">
        <v>417</v>
      </c>
      <c r="B421" s="5" t="s">
        <v>1340</v>
      </c>
      <c r="C421" s="5" t="s">
        <v>1554</v>
      </c>
      <c r="D421" s="5" t="s">
        <v>1743</v>
      </c>
      <c r="E421" s="6" t="s">
        <v>1744</v>
      </c>
      <c r="F421" s="7" t="s">
        <v>21</v>
      </c>
      <c r="G421" s="5" t="s">
        <v>22</v>
      </c>
      <c r="H421" s="8"/>
      <c r="I421" s="9"/>
      <c r="J421" s="9" t="s">
        <v>23</v>
      </c>
      <c r="K421" s="8"/>
      <c r="L421" s="9"/>
      <c r="M421" s="10" t="s">
        <v>1745</v>
      </c>
      <c r="N421" s="11" t="s">
        <v>1746</v>
      </c>
      <c r="O421" s="12" t="s">
        <v>26</v>
      </c>
    </row>
    <row r="422" spans="1:15">
      <c r="A422" s="4">
        <v>418</v>
      </c>
      <c r="B422" s="5" t="s">
        <v>1340</v>
      </c>
      <c r="C422" s="5" t="s">
        <v>1363</v>
      </c>
      <c r="D422" s="5" t="s">
        <v>1747</v>
      </c>
      <c r="E422" s="6" t="s">
        <v>1748</v>
      </c>
      <c r="F422" s="7" t="s">
        <v>21</v>
      </c>
      <c r="G422" s="5" t="s">
        <v>22</v>
      </c>
      <c r="H422" s="8"/>
      <c r="I422" s="9"/>
      <c r="J422" s="9" t="s">
        <v>23</v>
      </c>
      <c r="K422" s="8"/>
      <c r="L422" s="9"/>
      <c r="M422" s="10" t="s">
        <v>1749</v>
      </c>
      <c r="N422" s="11" t="s">
        <v>1750</v>
      </c>
      <c r="O422" s="12" t="s">
        <v>26</v>
      </c>
    </row>
    <row r="423" spans="1:15">
      <c r="A423" s="4">
        <v>419</v>
      </c>
      <c r="B423" s="5" t="s">
        <v>1340</v>
      </c>
      <c r="C423" s="5" t="s">
        <v>1363</v>
      </c>
      <c r="D423" s="5" t="s">
        <v>1751</v>
      </c>
      <c r="E423" s="6" t="s">
        <v>1752</v>
      </c>
      <c r="F423" s="7" t="s">
        <v>21</v>
      </c>
      <c r="G423" s="5" t="s">
        <v>22</v>
      </c>
      <c r="H423" s="8"/>
      <c r="I423" s="9"/>
      <c r="J423" s="9" t="s">
        <v>23</v>
      </c>
      <c r="K423" s="8"/>
      <c r="L423" s="9"/>
      <c r="M423" s="10" t="s">
        <v>192</v>
      </c>
      <c r="N423" s="11" t="s">
        <v>1753</v>
      </c>
      <c r="O423" s="12" t="s">
        <v>26</v>
      </c>
    </row>
    <row r="424" spans="1:15">
      <c r="A424" s="4">
        <v>420</v>
      </c>
      <c r="B424" s="5" t="s">
        <v>1340</v>
      </c>
      <c r="C424" s="5" t="s">
        <v>1488</v>
      </c>
      <c r="D424" s="5" t="s">
        <v>1754</v>
      </c>
      <c r="E424" s="6" t="s">
        <v>1755</v>
      </c>
      <c r="F424" s="7" t="s">
        <v>21</v>
      </c>
      <c r="G424" s="5" t="s">
        <v>22</v>
      </c>
      <c r="H424" s="8"/>
      <c r="I424" s="9"/>
      <c r="J424" s="9" t="s">
        <v>23</v>
      </c>
      <c r="K424" s="8"/>
      <c r="L424" s="9"/>
      <c r="M424" s="10" t="s">
        <v>913</v>
      </c>
      <c r="N424" s="11" t="s">
        <v>1756</v>
      </c>
      <c r="O424" s="12" t="s">
        <v>26</v>
      </c>
    </row>
    <row r="425" spans="1:15">
      <c r="A425" s="4">
        <v>421</v>
      </c>
      <c r="B425" s="5" t="s">
        <v>1340</v>
      </c>
      <c r="C425" s="5" t="s">
        <v>1351</v>
      </c>
      <c r="D425" s="5" t="s">
        <v>1757</v>
      </c>
      <c r="E425" s="6" t="s">
        <v>1758</v>
      </c>
      <c r="F425" s="7" t="s">
        <v>21</v>
      </c>
      <c r="G425" s="5" t="s">
        <v>22</v>
      </c>
      <c r="H425" s="8"/>
      <c r="I425" s="9"/>
      <c r="J425" s="9" t="s">
        <v>23</v>
      </c>
      <c r="K425" s="8"/>
      <c r="L425" s="9"/>
      <c r="M425" s="10" t="s">
        <v>1759</v>
      </c>
      <c r="N425" s="11" t="s">
        <v>1760</v>
      </c>
      <c r="O425" s="12" t="s">
        <v>26</v>
      </c>
    </row>
    <row r="426" spans="1:15">
      <c r="A426" s="4">
        <v>422</v>
      </c>
      <c r="B426" s="5" t="s">
        <v>1340</v>
      </c>
      <c r="C426" s="5" t="s">
        <v>1409</v>
      </c>
      <c r="D426" s="5" t="s">
        <v>1761</v>
      </c>
      <c r="E426" s="6" t="s">
        <v>1762</v>
      </c>
      <c r="F426" s="13" t="s">
        <v>34</v>
      </c>
      <c r="G426" s="5" t="s">
        <v>22</v>
      </c>
      <c r="H426" s="8"/>
      <c r="I426" s="9"/>
      <c r="J426" s="9" t="s">
        <v>23</v>
      </c>
      <c r="K426" s="8"/>
      <c r="L426" s="9"/>
      <c r="M426" s="10" t="s">
        <v>1763</v>
      </c>
      <c r="N426" s="11" t="s">
        <v>1764</v>
      </c>
      <c r="O426" s="12" t="s">
        <v>26</v>
      </c>
    </row>
    <row r="427" spans="1:15">
      <c r="A427" s="4">
        <v>423</v>
      </c>
      <c r="B427" s="5" t="s">
        <v>1340</v>
      </c>
      <c r="C427" s="5" t="s">
        <v>1433</v>
      </c>
      <c r="D427" s="5" t="s">
        <v>1765</v>
      </c>
      <c r="E427" s="6" t="s">
        <v>1766</v>
      </c>
      <c r="F427" s="7" t="s">
        <v>21</v>
      </c>
      <c r="G427" s="5" t="s">
        <v>22</v>
      </c>
      <c r="H427" s="8"/>
      <c r="I427" s="9"/>
      <c r="J427" s="9" t="s">
        <v>23</v>
      </c>
      <c r="K427" s="8"/>
      <c r="L427" s="9"/>
      <c r="M427" s="10" t="s">
        <v>1767</v>
      </c>
      <c r="N427" s="11" t="s">
        <v>1768</v>
      </c>
      <c r="O427" s="12" t="s">
        <v>26</v>
      </c>
    </row>
    <row r="428" spans="1:15">
      <c r="A428" s="4">
        <v>424</v>
      </c>
      <c r="B428" s="5" t="s">
        <v>1340</v>
      </c>
      <c r="C428" s="5" t="s">
        <v>1433</v>
      </c>
      <c r="D428" s="5" t="s">
        <v>1769</v>
      </c>
      <c r="E428" s="6" t="s">
        <v>1770</v>
      </c>
      <c r="F428" s="7" t="s">
        <v>21</v>
      </c>
      <c r="G428" s="5" t="s">
        <v>22</v>
      </c>
      <c r="H428" s="8"/>
      <c r="I428" s="9"/>
      <c r="J428" s="9" t="s">
        <v>23</v>
      </c>
      <c r="K428" s="8"/>
      <c r="L428" s="9"/>
      <c r="M428" s="10" t="s">
        <v>1366</v>
      </c>
      <c r="N428" s="11" t="s">
        <v>1771</v>
      </c>
      <c r="O428" s="12" t="s">
        <v>26</v>
      </c>
    </row>
    <row r="429" spans="1:15">
      <c r="A429" s="4">
        <v>425</v>
      </c>
      <c r="B429" s="5" t="s">
        <v>1340</v>
      </c>
      <c r="C429" s="5" t="s">
        <v>1413</v>
      </c>
      <c r="D429" s="5" t="s">
        <v>1772</v>
      </c>
      <c r="E429" s="6" t="s">
        <v>1773</v>
      </c>
      <c r="F429" s="7" t="s">
        <v>21</v>
      </c>
      <c r="G429" s="5" t="s">
        <v>22</v>
      </c>
      <c r="H429" s="8"/>
      <c r="I429" s="9"/>
      <c r="J429" s="9" t="s">
        <v>23</v>
      </c>
      <c r="K429" s="8"/>
      <c r="L429" s="9"/>
      <c r="M429" s="10" t="s">
        <v>1774</v>
      </c>
      <c r="N429" s="11" t="s">
        <v>1775</v>
      </c>
      <c r="O429" s="12" t="s">
        <v>26</v>
      </c>
    </row>
    <row r="430" spans="1:15">
      <c r="A430" s="4">
        <v>426</v>
      </c>
      <c r="B430" s="5" t="s">
        <v>1340</v>
      </c>
      <c r="C430" s="5" t="s">
        <v>1351</v>
      </c>
      <c r="D430" s="5" t="s">
        <v>1776</v>
      </c>
      <c r="E430" s="6" t="s">
        <v>1777</v>
      </c>
      <c r="F430" s="7" t="s">
        <v>21</v>
      </c>
      <c r="G430" s="5" t="s">
        <v>22</v>
      </c>
      <c r="H430" s="8"/>
      <c r="I430" s="9"/>
      <c r="J430" s="9" t="s">
        <v>23</v>
      </c>
      <c r="K430" s="8"/>
      <c r="L430" s="9"/>
      <c r="M430" s="10" t="s">
        <v>1778</v>
      </c>
      <c r="N430" s="11" t="s">
        <v>1779</v>
      </c>
      <c r="O430" s="12" t="s">
        <v>26</v>
      </c>
    </row>
    <row r="431" spans="1:15">
      <c r="A431" s="4">
        <v>427</v>
      </c>
      <c r="B431" s="5" t="s">
        <v>1340</v>
      </c>
      <c r="C431" s="5" t="s">
        <v>1409</v>
      </c>
      <c r="D431" s="5" t="s">
        <v>1780</v>
      </c>
      <c r="E431" s="6" t="s">
        <v>1781</v>
      </c>
      <c r="F431" s="7" t="s">
        <v>21</v>
      </c>
      <c r="G431" s="5" t="s">
        <v>22</v>
      </c>
      <c r="H431" s="8"/>
      <c r="I431" s="9"/>
      <c r="J431" s="9" t="s">
        <v>23</v>
      </c>
      <c r="K431" s="8"/>
      <c r="L431" s="9"/>
      <c r="M431" s="10" t="s">
        <v>1782</v>
      </c>
      <c r="N431" s="11" t="s">
        <v>1783</v>
      </c>
      <c r="O431" s="12" t="s">
        <v>26</v>
      </c>
    </row>
    <row r="432" spans="1:15">
      <c r="A432" s="4">
        <v>428</v>
      </c>
      <c r="B432" s="5" t="s">
        <v>1340</v>
      </c>
      <c r="C432" s="5" t="s">
        <v>1383</v>
      </c>
      <c r="D432" s="5" t="s">
        <v>1784</v>
      </c>
      <c r="E432" s="6" t="s">
        <v>1785</v>
      </c>
      <c r="F432" s="7" t="s">
        <v>21</v>
      </c>
      <c r="G432" s="5" t="s">
        <v>22</v>
      </c>
      <c r="H432" s="8"/>
      <c r="I432" s="9"/>
      <c r="J432" s="9" t="s">
        <v>23</v>
      </c>
      <c r="K432" s="8"/>
      <c r="L432" s="9"/>
      <c r="M432" s="10" t="s">
        <v>1786</v>
      </c>
      <c r="N432" s="11" t="s">
        <v>1787</v>
      </c>
      <c r="O432" s="12" t="s">
        <v>26</v>
      </c>
    </row>
    <row r="433" spans="1:15">
      <c r="A433" s="4">
        <v>429</v>
      </c>
      <c r="B433" s="5" t="s">
        <v>1340</v>
      </c>
      <c r="C433" s="5" t="s">
        <v>1363</v>
      </c>
      <c r="D433" s="5" t="s">
        <v>1788</v>
      </c>
      <c r="E433" s="6" t="s">
        <v>1789</v>
      </c>
      <c r="F433" s="7" t="s">
        <v>21</v>
      </c>
      <c r="G433" s="5" t="s">
        <v>22</v>
      </c>
      <c r="H433" s="8"/>
      <c r="I433" s="9"/>
      <c r="J433" s="9" t="s">
        <v>23</v>
      </c>
      <c r="K433" s="8"/>
      <c r="L433" s="9"/>
      <c r="M433" s="10" t="s">
        <v>1790</v>
      </c>
      <c r="N433" s="11" t="s">
        <v>1791</v>
      </c>
      <c r="O433" s="12" t="s">
        <v>26</v>
      </c>
    </row>
    <row r="434" spans="1:15">
      <c r="A434" s="4">
        <v>430</v>
      </c>
      <c r="B434" s="5" t="s">
        <v>1340</v>
      </c>
      <c r="C434" s="5" t="s">
        <v>1567</v>
      </c>
      <c r="D434" s="5" t="s">
        <v>1792</v>
      </c>
      <c r="E434" s="6" t="s">
        <v>1793</v>
      </c>
      <c r="F434" s="7" t="s">
        <v>21</v>
      </c>
      <c r="G434" s="5" t="s">
        <v>22</v>
      </c>
      <c r="H434" s="8"/>
      <c r="I434" s="9"/>
      <c r="J434" s="9" t="s">
        <v>23</v>
      </c>
      <c r="K434" s="8"/>
      <c r="L434" s="9"/>
      <c r="M434" s="10" t="s">
        <v>913</v>
      </c>
      <c r="N434" s="11" t="s">
        <v>1794</v>
      </c>
      <c r="O434" s="12" t="s">
        <v>26</v>
      </c>
    </row>
    <row r="435" spans="1:15">
      <c r="A435" s="4">
        <v>431</v>
      </c>
      <c r="B435" s="5" t="s">
        <v>1340</v>
      </c>
      <c r="C435" s="5" t="s">
        <v>1409</v>
      </c>
      <c r="D435" s="5" t="s">
        <v>1795</v>
      </c>
      <c r="E435" s="6" t="s">
        <v>1796</v>
      </c>
      <c r="F435" s="7" t="s">
        <v>21</v>
      </c>
      <c r="G435" s="5" t="s">
        <v>22</v>
      </c>
      <c r="H435" s="8"/>
      <c r="I435" s="9"/>
      <c r="J435" s="9" t="s">
        <v>23</v>
      </c>
      <c r="K435" s="8"/>
      <c r="L435" s="9"/>
      <c r="M435" s="10" t="s">
        <v>913</v>
      </c>
      <c r="N435" s="11" t="s">
        <v>1797</v>
      </c>
      <c r="O435" s="12" t="s">
        <v>26</v>
      </c>
    </row>
    <row r="436" spans="1:15">
      <c r="A436" s="4">
        <v>432</v>
      </c>
      <c r="B436" s="5" t="s">
        <v>1340</v>
      </c>
      <c r="C436" s="5" t="s">
        <v>1554</v>
      </c>
      <c r="D436" s="5" t="s">
        <v>1798</v>
      </c>
      <c r="E436" s="6" t="s">
        <v>1799</v>
      </c>
      <c r="F436" s="13" t="s">
        <v>34</v>
      </c>
      <c r="G436" s="5" t="s">
        <v>22</v>
      </c>
      <c r="H436" s="8"/>
      <c r="I436" s="9"/>
      <c r="J436" s="9" t="s">
        <v>23</v>
      </c>
      <c r="K436" s="8"/>
      <c r="L436" s="9"/>
      <c r="M436" s="10" t="s">
        <v>1505</v>
      </c>
      <c r="N436" s="11" t="s">
        <v>1800</v>
      </c>
      <c r="O436" s="12" t="s">
        <v>26</v>
      </c>
    </row>
    <row r="437" spans="1:15">
      <c r="A437" s="4">
        <v>433</v>
      </c>
      <c r="B437" s="5" t="s">
        <v>1340</v>
      </c>
      <c r="C437" s="5" t="s">
        <v>1511</v>
      </c>
      <c r="D437" s="5" t="s">
        <v>1801</v>
      </c>
      <c r="E437" s="6" t="s">
        <v>1802</v>
      </c>
      <c r="F437" s="7" t="s">
        <v>21</v>
      </c>
      <c r="G437" s="5" t="s">
        <v>22</v>
      </c>
      <c r="H437" s="8"/>
      <c r="I437" s="9"/>
      <c r="J437" s="9" t="s">
        <v>23</v>
      </c>
      <c r="K437" s="8"/>
      <c r="L437" s="9"/>
      <c r="M437" s="10" t="s">
        <v>1803</v>
      </c>
      <c r="N437" s="11" t="s">
        <v>1804</v>
      </c>
      <c r="O437" s="12" t="s">
        <v>26</v>
      </c>
    </row>
    <row r="438" spans="1:15">
      <c r="A438" s="4">
        <v>434</v>
      </c>
      <c r="B438" s="5" t="s">
        <v>1340</v>
      </c>
      <c r="C438" s="5" t="s">
        <v>1805</v>
      </c>
      <c r="D438" s="5" t="s">
        <v>1806</v>
      </c>
      <c r="E438" s="6" t="s">
        <v>1807</v>
      </c>
      <c r="F438" s="13" t="s">
        <v>34</v>
      </c>
      <c r="G438" s="5" t="s">
        <v>22</v>
      </c>
      <c r="H438" s="8"/>
      <c r="I438" s="9"/>
      <c r="J438" s="9" t="s">
        <v>23</v>
      </c>
      <c r="K438" s="8"/>
      <c r="L438" s="9"/>
      <c r="M438" s="10" t="s">
        <v>233</v>
      </c>
      <c r="N438" s="11" t="s">
        <v>1808</v>
      </c>
      <c r="O438" s="12" t="s">
        <v>26</v>
      </c>
    </row>
    <row r="439" spans="1:15">
      <c r="A439" s="4">
        <v>435</v>
      </c>
      <c r="B439" s="5" t="s">
        <v>1340</v>
      </c>
      <c r="C439" s="5" t="s">
        <v>1351</v>
      </c>
      <c r="D439" s="5" t="s">
        <v>1809</v>
      </c>
      <c r="E439" s="6" t="s">
        <v>1810</v>
      </c>
      <c r="F439" s="7" t="s">
        <v>21</v>
      </c>
      <c r="G439" s="5" t="s">
        <v>22</v>
      </c>
      <c r="H439" s="8"/>
      <c r="I439" s="9"/>
      <c r="J439" s="9" t="s">
        <v>23</v>
      </c>
      <c r="K439" s="8"/>
      <c r="L439" s="9"/>
      <c r="M439" s="10" t="s">
        <v>1735</v>
      </c>
      <c r="N439" s="11" t="s">
        <v>1811</v>
      </c>
      <c r="O439" s="12" t="s">
        <v>26</v>
      </c>
    </row>
    <row r="440" spans="1:15">
      <c r="A440" s="4">
        <v>436</v>
      </c>
      <c r="B440" s="5" t="s">
        <v>1340</v>
      </c>
      <c r="C440" s="5" t="s">
        <v>1363</v>
      </c>
      <c r="D440" s="5" t="s">
        <v>1812</v>
      </c>
      <c r="E440" s="6" t="s">
        <v>1813</v>
      </c>
      <c r="F440" s="13" t="s">
        <v>34</v>
      </c>
      <c r="G440" s="5" t="s">
        <v>22</v>
      </c>
      <c r="H440" s="8"/>
      <c r="I440" s="9"/>
      <c r="J440" s="9" t="s">
        <v>23</v>
      </c>
      <c r="K440" s="8"/>
      <c r="L440" s="9"/>
      <c r="M440" s="10" t="s">
        <v>233</v>
      </c>
      <c r="N440" s="11" t="s">
        <v>1814</v>
      </c>
      <c r="O440" s="12" t="s">
        <v>26</v>
      </c>
    </row>
    <row r="441" spans="1:15">
      <c r="A441" s="4">
        <v>437</v>
      </c>
      <c r="B441" s="5" t="s">
        <v>1340</v>
      </c>
      <c r="C441" s="5" t="s">
        <v>1815</v>
      </c>
      <c r="D441" s="5" t="s">
        <v>1816</v>
      </c>
      <c r="E441" s="6" t="s">
        <v>1817</v>
      </c>
      <c r="F441" s="13" t="s">
        <v>34</v>
      </c>
      <c r="G441" s="5" t="s">
        <v>22</v>
      </c>
      <c r="H441" s="8"/>
      <c r="I441" s="9"/>
      <c r="J441" s="9" t="s">
        <v>23</v>
      </c>
      <c r="K441" s="8"/>
      <c r="L441" s="9"/>
      <c r="M441" s="10" t="s">
        <v>233</v>
      </c>
      <c r="N441" s="11" t="s">
        <v>1818</v>
      </c>
      <c r="O441" s="12" t="s">
        <v>26</v>
      </c>
    </row>
    <row r="442" spans="1:15">
      <c r="A442" s="4">
        <v>438</v>
      </c>
      <c r="B442" s="5" t="s">
        <v>1340</v>
      </c>
      <c r="C442" s="5" t="s">
        <v>1681</v>
      </c>
      <c r="D442" s="5" t="s">
        <v>1819</v>
      </c>
      <c r="E442" s="6" t="s">
        <v>1820</v>
      </c>
      <c r="F442" s="7" t="s">
        <v>21</v>
      </c>
      <c r="G442" s="5" t="s">
        <v>22</v>
      </c>
      <c r="H442" s="8"/>
      <c r="I442" s="9"/>
      <c r="J442" s="9" t="s">
        <v>23</v>
      </c>
      <c r="K442" s="8"/>
      <c r="L442" s="9"/>
      <c r="M442" s="10" t="s">
        <v>1821</v>
      </c>
      <c r="N442" s="11" t="s">
        <v>1822</v>
      </c>
      <c r="O442" s="12" t="s">
        <v>26</v>
      </c>
    </row>
    <row r="443" spans="1:15">
      <c r="A443" s="4">
        <v>439</v>
      </c>
      <c r="B443" s="5" t="s">
        <v>1340</v>
      </c>
      <c r="C443" s="5" t="s">
        <v>1404</v>
      </c>
      <c r="D443" s="5" t="s">
        <v>1823</v>
      </c>
      <c r="E443" s="6" t="s">
        <v>1824</v>
      </c>
      <c r="F443" s="7" t="s">
        <v>21</v>
      </c>
      <c r="G443" s="5" t="s">
        <v>22</v>
      </c>
      <c r="H443" s="8"/>
      <c r="I443" s="9"/>
      <c r="J443" s="9" t="s">
        <v>23</v>
      </c>
      <c r="K443" s="8"/>
      <c r="L443" s="9"/>
      <c r="M443" s="10" t="s">
        <v>1825</v>
      </c>
      <c r="N443" s="11" t="s">
        <v>1826</v>
      </c>
      <c r="O443" s="12" t="s">
        <v>26</v>
      </c>
    </row>
    <row r="444" spans="1:15">
      <c r="A444" s="4">
        <v>440</v>
      </c>
      <c r="B444" s="5" t="s">
        <v>1340</v>
      </c>
      <c r="C444" s="5" t="s">
        <v>1409</v>
      </c>
      <c r="D444" s="5" t="s">
        <v>1827</v>
      </c>
      <c r="E444" s="6" t="s">
        <v>1828</v>
      </c>
      <c r="F444" s="7" t="s">
        <v>21</v>
      </c>
      <c r="G444" s="5" t="s">
        <v>22</v>
      </c>
      <c r="H444" s="8"/>
      <c r="I444" s="9"/>
      <c r="J444" s="9" t="s">
        <v>23</v>
      </c>
      <c r="K444" s="8"/>
      <c r="L444" s="9"/>
      <c r="M444" s="10" t="s">
        <v>192</v>
      </c>
      <c r="N444" s="11" t="s">
        <v>1829</v>
      </c>
      <c r="O444" s="12" t="s">
        <v>26</v>
      </c>
    </row>
    <row r="445" spans="1:15">
      <c r="A445" s="4">
        <v>441</v>
      </c>
      <c r="B445" s="5" t="s">
        <v>1340</v>
      </c>
      <c r="C445" s="5" t="s">
        <v>1417</v>
      </c>
      <c r="D445" s="5" t="s">
        <v>1830</v>
      </c>
      <c r="E445" s="6" t="s">
        <v>1831</v>
      </c>
      <c r="F445" s="13" t="s">
        <v>34</v>
      </c>
      <c r="G445" s="5" t="s">
        <v>22</v>
      </c>
      <c r="H445" s="8"/>
      <c r="I445" s="9"/>
      <c r="J445" s="9" t="s">
        <v>23</v>
      </c>
      <c r="K445" s="8"/>
      <c r="L445" s="9"/>
      <c r="M445" s="10" t="s">
        <v>1548</v>
      </c>
      <c r="N445" s="11" t="s">
        <v>1832</v>
      </c>
      <c r="O445" s="12" t="s">
        <v>26</v>
      </c>
    </row>
    <row r="446" spans="1:15">
      <c r="A446" s="4">
        <v>442</v>
      </c>
      <c r="B446" s="5" t="s">
        <v>1340</v>
      </c>
      <c r="C446" s="5" t="s">
        <v>1717</v>
      </c>
      <c r="D446" s="5" t="s">
        <v>1833</v>
      </c>
      <c r="E446" s="6" t="s">
        <v>1834</v>
      </c>
      <c r="F446" s="7" t="s">
        <v>21</v>
      </c>
      <c r="G446" s="5" t="s">
        <v>22</v>
      </c>
      <c r="H446" s="8"/>
      <c r="I446" s="9"/>
      <c r="J446" s="9" t="s">
        <v>23</v>
      </c>
      <c r="K446" s="8"/>
      <c r="L446" s="9"/>
      <c r="M446" s="10" t="s">
        <v>913</v>
      </c>
      <c r="N446" s="11" t="s">
        <v>1835</v>
      </c>
      <c r="O446" s="12" t="s">
        <v>26</v>
      </c>
    </row>
    <row r="447" spans="1:15">
      <c r="A447" s="4">
        <v>443</v>
      </c>
      <c r="B447" s="5" t="s">
        <v>1340</v>
      </c>
      <c r="C447" s="5" t="s">
        <v>1433</v>
      </c>
      <c r="D447" s="5" t="s">
        <v>1836</v>
      </c>
      <c r="E447" s="6" t="s">
        <v>1837</v>
      </c>
      <c r="F447" s="13" t="s">
        <v>34</v>
      </c>
      <c r="G447" s="5" t="s">
        <v>22</v>
      </c>
      <c r="H447" s="8"/>
      <c r="I447" s="9"/>
      <c r="J447" s="9" t="s">
        <v>23</v>
      </c>
      <c r="K447" s="8"/>
      <c r="L447" s="9"/>
      <c r="M447" s="10" t="s">
        <v>1838</v>
      </c>
      <c r="N447" s="11" t="s">
        <v>1839</v>
      </c>
      <c r="O447" s="12" t="s">
        <v>26</v>
      </c>
    </row>
    <row r="448" spans="1:15">
      <c r="A448" s="4">
        <v>444</v>
      </c>
      <c r="B448" s="5" t="s">
        <v>1340</v>
      </c>
      <c r="C448" s="5" t="s">
        <v>1409</v>
      </c>
      <c r="D448" s="5" t="s">
        <v>1840</v>
      </c>
      <c r="E448" s="6" t="s">
        <v>1841</v>
      </c>
      <c r="F448" s="7" t="s">
        <v>21</v>
      </c>
      <c r="G448" s="5" t="s">
        <v>22</v>
      </c>
      <c r="H448" s="8"/>
      <c r="I448" s="9"/>
      <c r="J448" s="9" t="s">
        <v>23</v>
      </c>
      <c r="K448" s="8"/>
      <c r="L448" s="9"/>
      <c r="M448" s="10" t="s">
        <v>253</v>
      </c>
      <c r="N448" s="11" t="s">
        <v>1842</v>
      </c>
      <c r="O448" s="12" t="s">
        <v>26</v>
      </c>
    </row>
    <row r="449" spans="1:15">
      <c r="A449" s="4">
        <v>445</v>
      </c>
      <c r="B449" s="5" t="s">
        <v>1340</v>
      </c>
      <c r="C449" s="5" t="s">
        <v>1662</v>
      </c>
      <c r="D449" s="5" t="s">
        <v>1843</v>
      </c>
      <c r="E449" s="6" t="s">
        <v>1844</v>
      </c>
      <c r="F449" s="13" t="s">
        <v>34</v>
      </c>
      <c r="G449" s="5" t="s">
        <v>22</v>
      </c>
      <c r="H449" s="8"/>
      <c r="I449" s="9"/>
      <c r="J449" s="9" t="s">
        <v>23</v>
      </c>
      <c r="K449" s="8"/>
      <c r="L449" s="9"/>
      <c r="M449" s="10" t="s">
        <v>233</v>
      </c>
      <c r="N449" s="11" t="s">
        <v>1845</v>
      </c>
      <c r="O449" s="12" t="s">
        <v>26</v>
      </c>
    </row>
    <row r="450" spans="1:15">
      <c r="A450" s="4">
        <v>446</v>
      </c>
      <c r="B450" s="5" t="s">
        <v>1340</v>
      </c>
      <c r="C450" s="5" t="s">
        <v>1446</v>
      </c>
      <c r="D450" s="5" t="s">
        <v>1846</v>
      </c>
      <c r="E450" s="6" t="s">
        <v>1847</v>
      </c>
      <c r="F450" s="7" t="s">
        <v>21</v>
      </c>
      <c r="G450" s="5" t="s">
        <v>29</v>
      </c>
      <c r="H450" s="8"/>
      <c r="I450" s="9"/>
      <c r="J450" s="9" t="s">
        <v>23</v>
      </c>
      <c r="K450" s="8"/>
      <c r="L450" s="9"/>
      <c r="M450" s="10" t="s">
        <v>1848</v>
      </c>
      <c r="N450" s="11" t="s">
        <v>1849</v>
      </c>
      <c r="O450" s="12" t="s">
        <v>26</v>
      </c>
    </row>
    <row r="451" spans="1:15">
      <c r="A451" s="4">
        <v>447</v>
      </c>
      <c r="B451" s="5" t="s">
        <v>1340</v>
      </c>
      <c r="C451" s="5" t="s">
        <v>1358</v>
      </c>
      <c r="D451" s="5" t="s">
        <v>1850</v>
      </c>
      <c r="E451" s="6" t="s">
        <v>1851</v>
      </c>
      <c r="F451" s="7" t="s">
        <v>21</v>
      </c>
      <c r="G451" s="5" t="s">
        <v>22</v>
      </c>
      <c r="H451" s="8"/>
      <c r="I451" s="9"/>
      <c r="J451" s="9" t="s">
        <v>23</v>
      </c>
      <c r="K451" s="8"/>
      <c r="L451" s="9"/>
      <c r="M451" s="10" t="s">
        <v>1852</v>
      </c>
      <c r="N451" s="11" t="s">
        <v>1853</v>
      </c>
      <c r="O451" s="12" t="s">
        <v>26</v>
      </c>
    </row>
    <row r="452" spans="1:15">
      <c r="A452" s="4">
        <v>448</v>
      </c>
      <c r="B452" s="5" t="s">
        <v>1340</v>
      </c>
      <c r="C452" s="5" t="s">
        <v>1554</v>
      </c>
      <c r="D452" s="5" t="s">
        <v>1854</v>
      </c>
      <c r="E452" s="6" t="s">
        <v>1855</v>
      </c>
      <c r="F452" s="13" t="s">
        <v>34</v>
      </c>
      <c r="G452" s="5" t="s">
        <v>22</v>
      </c>
      <c r="H452" s="8"/>
      <c r="I452" s="9"/>
      <c r="J452" s="9" t="s">
        <v>23</v>
      </c>
      <c r="K452" s="8"/>
      <c r="L452" s="9"/>
      <c r="M452" s="10" t="s">
        <v>233</v>
      </c>
      <c r="N452" s="11" t="s">
        <v>1856</v>
      </c>
      <c r="O452" s="12" t="s">
        <v>26</v>
      </c>
    </row>
    <row r="453" spans="1:15">
      <c r="A453" s="4">
        <v>449</v>
      </c>
      <c r="B453" s="5" t="s">
        <v>1340</v>
      </c>
      <c r="C453" s="5" t="s">
        <v>1590</v>
      </c>
      <c r="D453" s="5" t="s">
        <v>1857</v>
      </c>
      <c r="E453" s="6" t="s">
        <v>1858</v>
      </c>
      <c r="F453" s="7" t="s">
        <v>21</v>
      </c>
      <c r="G453" s="5" t="s">
        <v>22</v>
      </c>
      <c r="H453" s="8"/>
      <c r="I453" s="9"/>
      <c r="J453" s="9" t="s">
        <v>23</v>
      </c>
      <c r="K453" s="8"/>
      <c r="L453" s="9"/>
      <c r="M453" s="10" t="s">
        <v>1859</v>
      </c>
      <c r="N453" s="11" t="s">
        <v>1860</v>
      </c>
      <c r="O453" s="12" t="s">
        <v>26</v>
      </c>
    </row>
    <row r="454" spans="1:15">
      <c r="A454" s="4">
        <v>450</v>
      </c>
      <c r="B454" s="5" t="s">
        <v>1340</v>
      </c>
      <c r="C454" s="5" t="s">
        <v>1413</v>
      </c>
      <c r="D454" s="5" t="s">
        <v>1861</v>
      </c>
      <c r="E454" s="6" t="s">
        <v>1862</v>
      </c>
      <c r="F454" s="7" t="s">
        <v>21</v>
      </c>
      <c r="G454" s="5" t="s">
        <v>22</v>
      </c>
      <c r="H454" s="8"/>
      <c r="I454" s="9"/>
      <c r="J454" s="9" t="s">
        <v>23</v>
      </c>
      <c r="K454" s="8"/>
      <c r="L454" s="9"/>
      <c r="M454" s="10" t="s">
        <v>1863</v>
      </c>
      <c r="N454" s="11" t="s">
        <v>1864</v>
      </c>
      <c r="O454" s="12" t="s">
        <v>26</v>
      </c>
    </row>
    <row r="455" spans="1:15">
      <c r="A455" s="4">
        <v>451</v>
      </c>
      <c r="B455" s="5" t="s">
        <v>1340</v>
      </c>
      <c r="C455" s="5" t="s">
        <v>1662</v>
      </c>
      <c r="D455" s="5" t="s">
        <v>1865</v>
      </c>
      <c r="E455" s="6" t="s">
        <v>1866</v>
      </c>
      <c r="F455" s="7" t="s">
        <v>21</v>
      </c>
      <c r="G455" s="5" t="s">
        <v>22</v>
      </c>
      <c r="H455" s="8"/>
      <c r="I455" s="9"/>
      <c r="J455" s="9" t="s">
        <v>23</v>
      </c>
      <c r="K455" s="8"/>
      <c r="L455" s="9"/>
      <c r="M455" s="10" t="s">
        <v>1867</v>
      </c>
      <c r="N455" s="11" t="s">
        <v>1868</v>
      </c>
      <c r="O455" s="12" t="s">
        <v>26</v>
      </c>
    </row>
    <row r="456" spans="1:15">
      <c r="A456" s="4">
        <v>452</v>
      </c>
      <c r="B456" s="5" t="s">
        <v>1340</v>
      </c>
      <c r="C456" s="5" t="s">
        <v>1383</v>
      </c>
      <c r="D456" s="5" t="s">
        <v>1869</v>
      </c>
      <c r="E456" s="6" t="s">
        <v>1870</v>
      </c>
      <c r="F456" s="13" t="s">
        <v>34</v>
      </c>
      <c r="G456" s="5" t="s">
        <v>22</v>
      </c>
      <c r="H456" s="8"/>
      <c r="I456" s="9"/>
      <c r="J456" s="9" t="s">
        <v>23</v>
      </c>
      <c r="K456" s="8"/>
      <c r="L456" s="9"/>
      <c r="M456" s="10" t="s">
        <v>1871</v>
      </c>
      <c r="N456" s="11" t="s">
        <v>1872</v>
      </c>
      <c r="O456" s="12" t="s">
        <v>26</v>
      </c>
    </row>
    <row r="457" spans="1:15">
      <c r="A457" s="4">
        <v>453</v>
      </c>
      <c r="B457" s="5" t="s">
        <v>1340</v>
      </c>
      <c r="C457" s="5" t="s">
        <v>1383</v>
      </c>
      <c r="D457" s="5" t="s">
        <v>1873</v>
      </c>
      <c r="E457" s="6" t="s">
        <v>1874</v>
      </c>
      <c r="F457" s="7" t="s">
        <v>21</v>
      </c>
      <c r="G457" s="5" t="s">
        <v>22</v>
      </c>
      <c r="H457" s="8"/>
      <c r="I457" s="9"/>
      <c r="J457" s="9" t="s">
        <v>23</v>
      </c>
      <c r="K457" s="8"/>
      <c r="L457" s="9"/>
      <c r="M457" s="10" t="s">
        <v>1875</v>
      </c>
      <c r="N457" s="11" t="s">
        <v>1876</v>
      </c>
      <c r="O457" s="12" t="s">
        <v>26</v>
      </c>
    </row>
    <row r="458" spans="1:15">
      <c r="A458" s="4">
        <v>454</v>
      </c>
      <c r="B458" s="5" t="s">
        <v>1340</v>
      </c>
      <c r="C458" s="5" t="s">
        <v>1358</v>
      </c>
      <c r="D458" s="5" t="s">
        <v>1877</v>
      </c>
      <c r="E458" s="6" t="s">
        <v>1878</v>
      </c>
      <c r="F458" s="7" t="s">
        <v>21</v>
      </c>
      <c r="G458" s="5" t="s">
        <v>22</v>
      </c>
      <c r="H458" s="8"/>
      <c r="I458" s="9"/>
      <c r="J458" s="9" t="s">
        <v>23</v>
      </c>
      <c r="K458" s="8"/>
      <c r="L458" s="9"/>
      <c r="M458" s="10" t="s">
        <v>192</v>
      </c>
      <c r="N458" s="11" t="s">
        <v>1879</v>
      </c>
      <c r="O458" s="12" t="s">
        <v>26</v>
      </c>
    </row>
    <row r="459" spans="1:15">
      <c r="A459" s="4">
        <v>455</v>
      </c>
      <c r="B459" s="5" t="s">
        <v>1340</v>
      </c>
      <c r="C459" s="5" t="s">
        <v>1409</v>
      </c>
      <c r="D459" s="5" t="s">
        <v>1880</v>
      </c>
      <c r="E459" s="6" t="s">
        <v>1881</v>
      </c>
      <c r="F459" s="7" t="s">
        <v>21</v>
      </c>
      <c r="G459" s="5" t="s">
        <v>22</v>
      </c>
      <c r="H459" s="8"/>
      <c r="I459" s="9"/>
      <c r="J459" s="9" t="s">
        <v>23</v>
      </c>
      <c r="K459" s="8"/>
      <c r="L459" s="9"/>
      <c r="M459" s="10" t="s">
        <v>192</v>
      </c>
      <c r="N459" s="11" t="s">
        <v>1882</v>
      </c>
      <c r="O459" s="12" t="s">
        <v>26</v>
      </c>
    </row>
    <row r="460" spans="1:15">
      <c r="A460" s="4">
        <v>456</v>
      </c>
      <c r="B460" s="5" t="s">
        <v>1340</v>
      </c>
      <c r="C460" s="5" t="s">
        <v>1409</v>
      </c>
      <c r="D460" s="5" t="s">
        <v>1883</v>
      </c>
      <c r="E460" s="6" t="s">
        <v>1884</v>
      </c>
      <c r="F460" s="7" t="s">
        <v>21</v>
      </c>
      <c r="G460" s="5" t="s">
        <v>22</v>
      </c>
      <c r="H460" s="8"/>
      <c r="I460" s="9"/>
      <c r="J460" s="9" t="s">
        <v>23</v>
      </c>
      <c r="K460" s="8"/>
      <c r="L460" s="9"/>
      <c r="M460" s="10" t="s">
        <v>1885</v>
      </c>
      <c r="N460" s="11" t="s">
        <v>1886</v>
      </c>
      <c r="O460" s="12" t="s">
        <v>26</v>
      </c>
    </row>
    <row r="461" spans="1:15">
      <c r="A461" s="4">
        <v>457</v>
      </c>
      <c r="B461" s="5" t="s">
        <v>1340</v>
      </c>
      <c r="C461" s="5" t="s">
        <v>1421</v>
      </c>
      <c r="D461" s="5" t="s">
        <v>1887</v>
      </c>
      <c r="E461" s="6" t="s">
        <v>1888</v>
      </c>
      <c r="F461" s="13" t="s">
        <v>34</v>
      </c>
      <c r="G461" s="5" t="s">
        <v>22</v>
      </c>
      <c r="H461" s="8"/>
      <c r="I461" s="9"/>
      <c r="J461" s="9" t="s">
        <v>23</v>
      </c>
      <c r="K461" s="8"/>
      <c r="L461" s="9"/>
      <c r="M461" s="10" t="s">
        <v>233</v>
      </c>
      <c r="N461" s="11" t="s">
        <v>1889</v>
      </c>
      <c r="O461" s="12" t="s">
        <v>26</v>
      </c>
    </row>
    <row r="462" spans="1:15">
      <c r="A462" s="4">
        <v>458</v>
      </c>
      <c r="B462" s="5" t="s">
        <v>1340</v>
      </c>
      <c r="C462" s="5" t="s">
        <v>1890</v>
      </c>
      <c r="D462" s="5" t="s">
        <v>1891</v>
      </c>
      <c r="E462" s="6" t="s">
        <v>1892</v>
      </c>
      <c r="F462" s="13" t="s">
        <v>34</v>
      </c>
      <c r="G462" s="5" t="s">
        <v>22</v>
      </c>
      <c r="H462" s="8"/>
      <c r="I462" s="9"/>
      <c r="J462" s="9" t="s">
        <v>23</v>
      </c>
      <c r="K462" s="8"/>
      <c r="L462" s="9"/>
      <c r="M462" s="10" t="s">
        <v>1893</v>
      </c>
      <c r="N462" s="11" t="s">
        <v>1894</v>
      </c>
      <c r="O462" s="12" t="s">
        <v>26</v>
      </c>
    </row>
    <row r="463" spans="1:15">
      <c r="A463" s="4">
        <v>459</v>
      </c>
      <c r="B463" s="5" t="s">
        <v>1340</v>
      </c>
      <c r="C463" s="5" t="s">
        <v>1351</v>
      </c>
      <c r="D463" s="5" t="s">
        <v>1895</v>
      </c>
      <c r="E463" s="6" t="s">
        <v>1896</v>
      </c>
      <c r="F463" s="7" t="s">
        <v>21</v>
      </c>
      <c r="G463" s="5" t="s">
        <v>22</v>
      </c>
      <c r="H463" s="8"/>
      <c r="I463" s="9"/>
      <c r="J463" s="9" t="s">
        <v>23</v>
      </c>
      <c r="K463" s="8"/>
      <c r="L463" s="9"/>
      <c r="M463" s="10" t="s">
        <v>507</v>
      </c>
      <c r="N463" s="11" t="s">
        <v>1897</v>
      </c>
      <c r="O463" s="12" t="s">
        <v>26</v>
      </c>
    </row>
    <row r="464" spans="1:15">
      <c r="A464" s="4">
        <v>460</v>
      </c>
      <c r="B464" s="5" t="s">
        <v>1340</v>
      </c>
      <c r="C464" s="5" t="s">
        <v>1346</v>
      </c>
      <c r="D464" s="5" t="s">
        <v>1898</v>
      </c>
      <c r="E464" s="6" t="s">
        <v>1899</v>
      </c>
      <c r="F464" s="7" t="s">
        <v>21</v>
      </c>
      <c r="G464" s="5" t="s">
        <v>22</v>
      </c>
      <c r="H464" s="8"/>
      <c r="I464" s="9"/>
      <c r="J464" s="9" t="s">
        <v>23</v>
      </c>
      <c r="K464" s="8"/>
      <c r="L464" s="9"/>
      <c r="M464" s="10" t="s">
        <v>1900</v>
      </c>
      <c r="N464" s="11" t="s">
        <v>1400</v>
      </c>
      <c r="O464" s="12" t="s">
        <v>26</v>
      </c>
    </row>
    <row r="465" spans="1:15">
      <c r="A465" s="4">
        <v>461</v>
      </c>
      <c r="B465" s="5" t="s">
        <v>1340</v>
      </c>
      <c r="C465" s="5" t="s">
        <v>1358</v>
      </c>
      <c r="D465" s="5" t="s">
        <v>1901</v>
      </c>
      <c r="E465" s="6" t="s">
        <v>1902</v>
      </c>
      <c r="F465" s="7" t="s">
        <v>21</v>
      </c>
      <c r="G465" s="5" t="s">
        <v>156</v>
      </c>
      <c r="H465" s="8"/>
      <c r="I465" s="9"/>
      <c r="J465" s="9" t="s">
        <v>23</v>
      </c>
      <c r="K465" s="8"/>
      <c r="L465" s="9"/>
      <c r="M465" s="10" t="s">
        <v>1903</v>
      </c>
      <c r="N465" s="11" t="s">
        <v>1904</v>
      </c>
      <c r="O465" s="12" t="s">
        <v>26</v>
      </c>
    </row>
    <row r="466" spans="1:15">
      <c r="A466" s="4">
        <v>462</v>
      </c>
      <c r="B466" s="5" t="s">
        <v>1340</v>
      </c>
      <c r="C466" s="5" t="s">
        <v>1413</v>
      </c>
      <c r="D466" s="5" t="s">
        <v>1905</v>
      </c>
      <c r="E466" s="6" t="s">
        <v>1906</v>
      </c>
      <c r="F466" s="13" t="s">
        <v>34</v>
      </c>
      <c r="G466" s="5" t="s">
        <v>22</v>
      </c>
      <c r="H466" s="8"/>
      <c r="I466" s="9"/>
      <c r="J466" s="9" t="s">
        <v>23</v>
      </c>
      <c r="K466" s="8"/>
      <c r="L466" s="9"/>
      <c r="M466" s="10" t="s">
        <v>1907</v>
      </c>
      <c r="N466" s="11" t="s">
        <v>1908</v>
      </c>
      <c r="O466" s="12" t="s">
        <v>26</v>
      </c>
    </row>
    <row r="467" spans="1:15">
      <c r="A467" s="4">
        <v>463</v>
      </c>
      <c r="B467" s="5" t="s">
        <v>1340</v>
      </c>
      <c r="C467" s="5" t="s">
        <v>1662</v>
      </c>
      <c r="D467" s="5" t="s">
        <v>1909</v>
      </c>
      <c r="E467" s="6" t="s">
        <v>1910</v>
      </c>
      <c r="F467" s="13" t="s">
        <v>34</v>
      </c>
      <c r="G467" s="5" t="s">
        <v>22</v>
      </c>
      <c r="H467" s="8"/>
      <c r="I467" s="9"/>
      <c r="J467" s="9" t="s">
        <v>23</v>
      </c>
      <c r="K467" s="8"/>
      <c r="L467" s="9"/>
      <c r="M467" s="10" t="s">
        <v>1911</v>
      </c>
      <c r="N467" s="11" t="s">
        <v>1912</v>
      </c>
      <c r="O467" s="12" t="s">
        <v>26</v>
      </c>
    </row>
    <row r="468" spans="1:15">
      <c r="A468" s="4">
        <v>464</v>
      </c>
      <c r="B468" s="5" t="s">
        <v>1340</v>
      </c>
      <c r="C468" s="5" t="s">
        <v>1429</v>
      </c>
      <c r="D468" s="5" t="s">
        <v>1913</v>
      </c>
      <c r="E468" s="6" t="s">
        <v>1914</v>
      </c>
      <c r="F468" s="7" t="s">
        <v>21</v>
      </c>
      <c r="G468" s="5" t="s">
        <v>22</v>
      </c>
      <c r="H468" s="8"/>
      <c r="I468" s="9"/>
      <c r="J468" s="9" t="s">
        <v>23</v>
      </c>
      <c r="K468" s="8"/>
      <c r="L468" s="9"/>
      <c r="M468" s="10" t="s">
        <v>507</v>
      </c>
      <c r="N468" s="11" t="s">
        <v>1915</v>
      </c>
      <c r="O468" s="12" t="s">
        <v>26</v>
      </c>
    </row>
    <row r="469" spans="1:15">
      <c r="A469" s="4">
        <v>465</v>
      </c>
      <c r="B469" s="5" t="s">
        <v>1340</v>
      </c>
      <c r="C469" s="5" t="s">
        <v>1429</v>
      </c>
      <c r="D469" s="5" t="s">
        <v>1916</v>
      </c>
      <c r="E469" s="6" t="s">
        <v>1917</v>
      </c>
      <c r="F469" s="13" t="s">
        <v>34</v>
      </c>
      <c r="G469" s="5" t="s">
        <v>29</v>
      </c>
      <c r="H469" s="8"/>
      <c r="I469" s="9"/>
      <c r="J469" s="9" t="s">
        <v>23</v>
      </c>
      <c r="K469" s="8"/>
      <c r="L469" s="9"/>
      <c r="M469" s="10" t="s">
        <v>233</v>
      </c>
      <c r="N469" s="11" t="s">
        <v>1918</v>
      </c>
      <c r="O469" s="12" t="s">
        <v>26</v>
      </c>
    </row>
    <row r="470" spans="1:15">
      <c r="A470" s="4">
        <v>466</v>
      </c>
      <c r="B470" s="5" t="s">
        <v>1340</v>
      </c>
      <c r="C470" s="5" t="s">
        <v>1383</v>
      </c>
      <c r="D470" s="5" t="s">
        <v>1919</v>
      </c>
      <c r="E470" s="6" t="s">
        <v>1920</v>
      </c>
      <c r="F470" s="7" t="s">
        <v>21</v>
      </c>
      <c r="G470" s="5" t="s">
        <v>22</v>
      </c>
      <c r="H470" s="8"/>
      <c r="I470" s="9"/>
      <c r="J470" s="9" t="s">
        <v>23</v>
      </c>
      <c r="K470" s="8"/>
      <c r="L470" s="9"/>
      <c r="M470" s="10" t="s">
        <v>192</v>
      </c>
      <c r="N470" s="11" t="s">
        <v>1921</v>
      </c>
      <c r="O470" s="12" t="s">
        <v>26</v>
      </c>
    </row>
    <row r="471" spans="1:15">
      <c r="A471" s="4">
        <v>467</v>
      </c>
      <c r="B471" s="5" t="s">
        <v>1340</v>
      </c>
      <c r="C471" s="5" t="s">
        <v>1346</v>
      </c>
      <c r="D471" s="5" t="s">
        <v>1922</v>
      </c>
      <c r="E471" s="6" t="s">
        <v>1923</v>
      </c>
      <c r="F471" s="13" t="s">
        <v>34</v>
      </c>
      <c r="G471" s="5" t="s">
        <v>22</v>
      </c>
      <c r="H471" s="8"/>
      <c r="I471" s="9"/>
      <c r="J471" s="9" t="s">
        <v>23</v>
      </c>
      <c r="K471" s="8"/>
      <c r="L471" s="9"/>
      <c r="M471" s="10" t="s">
        <v>904</v>
      </c>
      <c r="N471" s="11" t="s">
        <v>1924</v>
      </c>
      <c r="O471" s="12" t="s">
        <v>26</v>
      </c>
    </row>
    <row r="472" spans="1:15">
      <c r="A472" s="4">
        <v>468</v>
      </c>
      <c r="B472" s="5" t="s">
        <v>1340</v>
      </c>
      <c r="C472" s="5" t="s">
        <v>1363</v>
      </c>
      <c r="D472" s="5" t="s">
        <v>1925</v>
      </c>
      <c r="E472" s="6" t="s">
        <v>1926</v>
      </c>
      <c r="F472" s="7" t="s">
        <v>21</v>
      </c>
      <c r="G472" s="5" t="s">
        <v>22</v>
      </c>
      <c r="H472" s="8"/>
      <c r="I472" s="9"/>
      <c r="J472" s="9" t="s">
        <v>23</v>
      </c>
      <c r="K472" s="8"/>
      <c r="L472" s="9"/>
      <c r="M472" s="10" t="s">
        <v>1927</v>
      </c>
      <c r="N472" s="11" t="s">
        <v>1928</v>
      </c>
      <c r="O472" s="12" t="s">
        <v>26</v>
      </c>
    </row>
    <row r="473" spans="1:15">
      <c r="A473" s="4">
        <v>469</v>
      </c>
      <c r="B473" s="5" t="s">
        <v>1340</v>
      </c>
      <c r="C473" s="5" t="s">
        <v>1590</v>
      </c>
      <c r="D473" s="5" t="s">
        <v>1929</v>
      </c>
      <c r="E473" s="6" t="s">
        <v>1930</v>
      </c>
      <c r="F473" s="7" t="s">
        <v>21</v>
      </c>
      <c r="G473" s="5" t="s">
        <v>22</v>
      </c>
      <c r="H473" s="8"/>
      <c r="I473" s="9"/>
      <c r="J473" s="9" t="s">
        <v>23</v>
      </c>
      <c r="K473" s="8"/>
      <c r="L473" s="9"/>
      <c r="M473" s="10" t="s">
        <v>1931</v>
      </c>
      <c r="N473" s="11" t="s">
        <v>1932</v>
      </c>
      <c r="O473" s="12" t="s">
        <v>26</v>
      </c>
    </row>
    <row r="474" spans="1:15">
      <c r="A474" s="4">
        <v>470</v>
      </c>
      <c r="B474" s="5" t="s">
        <v>1340</v>
      </c>
      <c r="C474" s="5" t="s">
        <v>1409</v>
      </c>
      <c r="D474" s="5" t="s">
        <v>1933</v>
      </c>
      <c r="E474" s="6" t="s">
        <v>1934</v>
      </c>
      <c r="F474" s="13" t="s">
        <v>34</v>
      </c>
      <c r="G474" s="5" t="s">
        <v>22</v>
      </c>
      <c r="H474" s="8"/>
      <c r="I474" s="9"/>
      <c r="J474" s="9" t="s">
        <v>23</v>
      </c>
      <c r="K474" s="8"/>
      <c r="L474" s="9"/>
      <c r="M474" s="10" t="s">
        <v>1505</v>
      </c>
      <c r="N474" s="11" t="s">
        <v>1935</v>
      </c>
      <c r="O474" s="12" t="s">
        <v>26</v>
      </c>
    </row>
    <row r="475" spans="1:15">
      <c r="A475" s="4">
        <v>471</v>
      </c>
      <c r="B475" s="5" t="s">
        <v>1340</v>
      </c>
      <c r="C475" s="5" t="s">
        <v>1409</v>
      </c>
      <c r="D475" s="5" t="s">
        <v>1936</v>
      </c>
      <c r="E475" s="6" t="s">
        <v>1937</v>
      </c>
      <c r="F475" s="13" t="s">
        <v>34</v>
      </c>
      <c r="G475" s="5" t="s">
        <v>22</v>
      </c>
      <c r="H475" s="8"/>
      <c r="I475" s="9"/>
      <c r="J475" s="9" t="s">
        <v>23</v>
      </c>
      <c r="K475" s="8"/>
      <c r="L475" s="9"/>
      <c r="M475" s="10" t="s">
        <v>1938</v>
      </c>
      <c r="N475" s="11" t="s">
        <v>1939</v>
      </c>
      <c r="O475" s="12" t="s">
        <v>26</v>
      </c>
    </row>
    <row r="476" spans="1:15">
      <c r="A476" s="4">
        <v>472</v>
      </c>
      <c r="B476" s="5" t="s">
        <v>1340</v>
      </c>
      <c r="C476" s="5" t="s">
        <v>1409</v>
      </c>
      <c r="D476" s="5" t="s">
        <v>1940</v>
      </c>
      <c r="E476" s="6" t="s">
        <v>1941</v>
      </c>
      <c r="F476" s="7" t="s">
        <v>21</v>
      </c>
      <c r="G476" s="5" t="s">
        <v>22</v>
      </c>
      <c r="H476" s="8"/>
      <c r="I476" s="9"/>
      <c r="J476" s="9" t="s">
        <v>23</v>
      </c>
      <c r="K476" s="8"/>
      <c r="L476" s="9"/>
      <c r="M476" s="10" t="s">
        <v>1942</v>
      </c>
      <c r="N476" s="11" t="s">
        <v>1943</v>
      </c>
      <c r="O476" s="12" t="s">
        <v>26</v>
      </c>
    </row>
    <row r="477" spans="1:15">
      <c r="A477" s="4">
        <v>473</v>
      </c>
      <c r="B477" s="5" t="s">
        <v>1340</v>
      </c>
      <c r="C477" s="5" t="s">
        <v>1944</v>
      </c>
      <c r="D477" s="5" t="s">
        <v>1945</v>
      </c>
      <c r="E477" s="6" t="s">
        <v>1946</v>
      </c>
      <c r="F477" s="7" t="s">
        <v>21</v>
      </c>
      <c r="G477" s="5" t="s">
        <v>22</v>
      </c>
      <c r="H477" s="8"/>
      <c r="I477" s="9"/>
      <c r="J477" s="9" t="s">
        <v>23</v>
      </c>
      <c r="K477" s="8"/>
      <c r="L477" s="9"/>
      <c r="M477" s="10" t="s">
        <v>1947</v>
      </c>
      <c r="N477" s="11" t="s">
        <v>1948</v>
      </c>
      <c r="O477" s="12" t="s">
        <v>26</v>
      </c>
    </row>
    <row r="478" spans="1:15">
      <c r="A478" s="4">
        <v>474</v>
      </c>
      <c r="B478" s="5" t="s">
        <v>1340</v>
      </c>
      <c r="C478" s="5" t="s">
        <v>1554</v>
      </c>
      <c r="D478" s="5" t="s">
        <v>1949</v>
      </c>
      <c r="E478" s="6" t="s">
        <v>1950</v>
      </c>
      <c r="F478" s="7" t="s">
        <v>21</v>
      </c>
      <c r="G478" s="5" t="s">
        <v>22</v>
      </c>
      <c r="H478" s="8"/>
      <c r="I478" s="9"/>
      <c r="J478" s="9" t="s">
        <v>23</v>
      </c>
      <c r="K478" s="8"/>
      <c r="L478" s="9"/>
      <c r="M478" s="10" t="s">
        <v>998</v>
      </c>
      <c r="N478" s="11" t="s">
        <v>1951</v>
      </c>
      <c r="O478" s="12" t="s">
        <v>26</v>
      </c>
    </row>
    <row r="479" spans="1:15">
      <c r="A479" s="4">
        <v>475</v>
      </c>
      <c r="B479" s="5" t="s">
        <v>1340</v>
      </c>
      <c r="C479" s="5" t="s">
        <v>1952</v>
      </c>
      <c r="D479" s="5" t="s">
        <v>1953</v>
      </c>
      <c r="E479" s="6" t="s">
        <v>1954</v>
      </c>
      <c r="F479" s="7" t="s">
        <v>21</v>
      </c>
      <c r="G479" s="5" t="s">
        <v>22</v>
      </c>
      <c r="H479" s="8"/>
      <c r="I479" s="9"/>
      <c r="J479" s="9" t="s">
        <v>23</v>
      </c>
      <c r="K479" s="8"/>
      <c r="L479" s="9"/>
      <c r="M479" s="10" t="s">
        <v>1955</v>
      </c>
      <c r="N479" s="11" t="s">
        <v>1956</v>
      </c>
      <c r="O479" s="12" t="s">
        <v>26</v>
      </c>
    </row>
    <row r="480" spans="1:15">
      <c r="A480" s="4">
        <v>476</v>
      </c>
      <c r="B480" s="5" t="s">
        <v>1340</v>
      </c>
      <c r="C480" s="5" t="s">
        <v>1396</v>
      </c>
      <c r="D480" s="5" t="s">
        <v>1957</v>
      </c>
      <c r="E480" s="6" t="s">
        <v>1958</v>
      </c>
      <c r="F480" s="7" t="s">
        <v>21</v>
      </c>
      <c r="G480" s="5" t="s">
        <v>22</v>
      </c>
      <c r="H480" s="8"/>
      <c r="I480" s="9"/>
      <c r="J480" s="9" t="s">
        <v>23</v>
      </c>
      <c r="K480" s="8"/>
      <c r="L480" s="9"/>
      <c r="M480" s="10" t="s">
        <v>1959</v>
      </c>
      <c r="N480" s="11" t="s">
        <v>1960</v>
      </c>
      <c r="O480" s="12" t="s">
        <v>26</v>
      </c>
    </row>
    <row r="481" spans="1:15">
      <c r="A481" s="4">
        <v>477</v>
      </c>
      <c r="B481" s="5" t="s">
        <v>1340</v>
      </c>
      <c r="C481" s="5" t="s">
        <v>1559</v>
      </c>
      <c r="D481" s="5" t="s">
        <v>1961</v>
      </c>
      <c r="E481" s="6" t="s">
        <v>1962</v>
      </c>
      <c r="F481" s="7" t="s">
        <v>21</v>
      </c>
      <c r="G481" s="5" t="s">
        <v>29</v>
      </c>
      <c r="H481" s="8"/>
      <c r="I481" s="9"/>
      <c r="J481" s="9" t="s">
        <v>23</v>
      </c>
      <c r="K481" s="8"/>
      <c r="L481" s="9"/>
      <c r="M481" s="10" t="s">
        <v>1963</v>
      </c>
      <c r="N481" s="11" t="s">
        <v>1964</v>
      </c>
      <c r="O481" s="12" t="s">
        <v>26</v>
      </c>
    </row>
    <row r="482" spans="1:15">
      <c r="A482" s="4">
        <v>478</v>
      </c>
      <c r="B482" s="5" t="s">
        <v>1340</v>
      </c>
      <c r="C482" s="5" t="s">
        <v>1351</v>
      </c>
      <c r="D482" s="5" t="s">
        <v>1965</v>
      </c>
      <c r="E482" s="6" t="s">
        <v>1966</v>
      </c>
      <c r="F482" s="7" t="s">
        <v>21</v>
      </c>
      <c r="G482" s="5" t="s">
        <v>22</v>
      </c>
      <c r="H482" s="8"/>
      <c r="I482" s="9"/>
      <c r="J482" s="9" t="s">
        <v>23</v>
      </c>
      <c r="K482" s="8"/>
      <c r="L482" s="9"/>
      <c r="M482" s="10" t="s">
        <v>1735</v>
      </c>
      <c r="N482" s="11" t="s">
        <v>1967</v>
      </c>
      <c r="O482" s="12" t="s">
        <v>26</v>
      </c>
    </row>
    <row r="483" spans="1:15">
      <c r="A483" s="4">
        <v>479</v>
      </c>
      <c r="B483" s="5" t="s">
        <v>1340</v>
      </c>
      <c r="C483" s="5" t="s">
        <v>1413</v>
      </c>
      <c r="D483" s="5" t="s">
        <v>1968</v>
      </c>
      <c r="E483" s="6" t="s">
        <v>1969</v>
      </c>
      <c r="F483" s="7" t="s">
        <v>21</v>
      </c>
      <c r="G483" s="5" t="s">
        <v>22</v>
      </c>
      <c r="H483" s="8"/>
      <c r="I483" s="9"/>
      <c r="J483" s="9" t="s">
        <v>23</v>
      </c>
      <c r="K483" s="8"/>
      <c r="L483" s="9"/>
      <c r="M483" s="10" t="s">
        <v>1223</v>
      </c>
      <c r="N483" s="11" t="s">
        <v>1970</v>
      </c>
      <c r="O483" s="12" t="s">
        <v>26</v>
      </c>
    </row>
    <row r="484" spans="1:15">
      <c r="A484" s="4">
        <v>480</v>
      </c>
      <c r="B484" s="5" t="s">
        <v>1340</v>
      </c>
      <c r="C484" s="5" t="s">
        <v>1358</v>
      </c>
      <c r="D484" s="5" t="s">
        <v>1971</v>
      </c>
      <c r="E484" s="6" t="s">
        <v>1972</v>
      </c>
      <c r="F484" s="7" t="s">
        <v>21</v>
      </c>
      <c r="G484" s="5" t="s">
        <v>22</v>
      </c>
      <c r="H484" s="8"/>
      <c r="I484" s="9"/>
      <c r="J484" s="9" t="s">
        <v>23</v>
      </c>
      <c r="K484" s="8"/>
      <c r="L484" s="9"/>
      <c r="M484" s="10" t="s">
        <v>1973</v>
      </c>
      <c r="N484" s="11" t="s">
        <v>1974</v>
      </c>
      <c r="O484" s="12" t="s">
        <v>26</v>
      </c>
    </row>
    <row r="485" spans="1:15">
      <c r="A485" s="4">
        <v>481</v>
      </c>
      <c r="B485" s="5" t="s">
        <v>1340</v>
      </c>
      <c r="C485" s="5" t="s">
        <v>1358</v>
      </c>
      <c r="D485" s="5" t="s">
        <v>1975</v>
      </c>
      <c r="E485" s="6" t="s">
        <v>1976</v>
      </c>
      <c r="F485" s="7" t="s">
        <v>21</v>
      </c>
      <c r="G485" s="5" t="s">
        <v>22</v>
      </c>
      <c r="H485" s="8"/>
      <c r="I485" s="9"/>
      <c r="J485" s="9" t="s">
        <v>23</v>
      </c>
      <c r="K485" s="8"/>
      <c r="L485" s="9"/>
      <c r="M485" s="10" t="s">
        <v>913</v>
      </c>
      <c r="N485" s="11" t="s">
        <v>1977</v>
      </c>
      <c r="O485" s="12" t="s">
        <v>26</v>
      </c>
    </row>
    <row r="486" spans="1:15">
      <c r="A486" s="4">
        <v>482</v>
      </c>
      <c r="B486" s="5" t="s">
        <v>1340</v>
      </c>
      <c r="C486" s="5" t="s">
        <v>1717</v>
      </c>
      <c r="D486" s="5" t="s">
        <v>1978</v>
      </c>
      <c r="E486" s="6" t="s">
        <v>1979</v>
      </c>
      <c r="F486" s="7" t="s">
        <v>21</v>
      </c>
      <c r="G486" s="5" t="s">
        <v>22</v>
      </c>
      <c r="H486" s="8"/>
      <c r="I486" s="9"/>
      <c r="J486" s="9" t="s">
        <v>23</v>
      </c>
      <c r="K486" s="8"/>
      <c r="L486" s="9"/>
      <c r="M486" s="10" t="s">
        <v>1955</v>
      </c>
      <c r="N486" s="11" t="s">
        <v>1980</v>
      </c>
      <c r="O486" s="12" t="s">
        <v>26</v>
      </c>
    </row>
    <row r="487" spans="1:15">
      <c r="A487" s="4">
        <v>483</v>
      </c>
      <c r="B487" s="5" t="s">
        <v>1340</v>
      </c>
      <c r="C487" s="5" t="s">
        <v>1455</v>
      </c>
      <c r="D487" s="5" t="s">
        <v>1981</v>
      </c>
      <c r="E487" s="6" t="s">
        <v>1982</v>
      </c>
      <c r="F487" s="13" t="s">
        <v>34</v>
      </c>
      <c r="G487" s="5" t="s">
        <v>22</v>
      </c>
      <c r="H487" s="8"/>
      <c r="I487" s="9"/>
      <c r="J487" s="9" t="s">
        <v>23</v>
      </c>
      <c r="K487" s="8"/>
      <c r="L487" s="9"/>
      <c r="M487" s="10" t="s">
        <v>1548</v>
      </c>
      <c r="N487" s="11" t="s">
        <v>1983</v>
      </c>
      <c r="O487" s="12" t="s">
        <v>26</v>
      </c>
    </row>
    <row r="488" spans="1:15">
      <c r="A488" s="4">
        <v>484</v>
      </c>
      <c r="B488" s="5" t="s">
        <v>1340</v>
      </c>
      <c r="C488" s="5" t="s">
        <v>1455</v>
      </c>
      <c r="D488" s="5" t="s">
        <v>1984</v>
      </c>
      <c r="E488" s="6" t="s">
        <v>1691</v>
      </c>
      <c r="F488" s="7" t="s">
        <v>21</v>
      </c>
      <c r="G488" s="5" t="s">
        <v>22</v>
      </c>
      <c r="H488" s="8"/>
      <c r="I488" s="9"/>
      <c r="J488" s="9" t="s">
        <v>23</v>
      </c>
      <c r="K488" s="8"/>
      <c r="L488" s="9"/>
      <c r="M488" s="10" t="s">
        <v>1985</v>
      </c>
      <c r="N488" s="11" t="s">
        <v>1986</v>
      </c>
      <c r="O488" s="12" t="s">
        <v>26</v>
      </c>
    </row>
    <row r="489" spans="1:15">
      <c r="A489" s="4">
        <v>485</v>
      </c>
      <c r="B489" s="5" t="s">
        <v>1340</v>
      </c>
      <c r="C489" s="5" t="s">
        <v>1358</v>
      </c>
      <c r="D489" s="5" t="s">
        <v>1987</v>
      </c>
      <c r="E489" s="6" t="s">
        <v>1988</v>
      </c>
      <c r="F489" s="7" t="s">
        <v>21</v>
      </c>
      <c r="G489" s="5" t="s">
        <v>22</v>
      </c>
      <c r="H489" s="8"/>
      <c r="I489" s="9"/>
      <c r="J489" s="9" t="s">
        <v>23</v>
      </c>
      <c r="K489" s="8"/>
      <c r="L489" s="9"/>
      <c r="M489" s="10" t="s">
        <v>1955</v>
      </c>
      <c r="N489" s="11" t="s">
        <v>1989</v>
      </c>
      <c r="O489" s="12" t="s">
        <v>26</v>
      </c>
    </row>
    <row r="490" spans="1:15">
      <c r="A490" s="4">
        <v>486</v>
      </c>
      <c r="B490" s="5" t="s">
        <v>1340</v>
      </c>
      <c r="C490" s="5" t="s">
        <v>1559</v>
      </c>
      <c r="D490" s="5" t="s">
        <v>1990</v>
      </c>
      <c r="E490" s="6" t="s">
        <v>1991</v>
      </c>
      <c r="F490" s="7" t="s">
        <v>21</v>
      </c>
      <c r="G490" s="5" t="s">
        <v>22</v>
      </c>
      <c r="H490" s="8"/>
      <c r="I490" s="9"/>
      <c r="J490" s="9" t="s">
        <v>23</v>
      </c>
      <c r="K490" s="8"/>
      <c r="L490" s="9"/>
      <c r="M490" s="10" t="s">
        <v>913</v>
      </c>
      <c r="N490" s="11" t="s">
        <v>1992</v>
      </c>
      <c r="O490" s="12" t="s">
        <v>26</v>
      </c>
    </row>
    <row r="491" spans="1:15">
      <c r="A491" s="4">
        <v>487</v>
      </c>
      <c r="B491" s="5" t="s">
        <v>1340</v>
      </c>
      <c r="C491" s="5" t="s">
        <v>1446</v>
      </c>
      <c r="D491" s="5" t="s">
        <v>1993</v>
      </c>
      <c r="E491" s="6" t="s">
        <v>1994</v>
      </c>
      <c r="F491" s="7" t="s">
        <v>21</v>
      </c>
      <c r="G491" s="5" t="s">
        <v>29</v>
      </c>
      <c r="H491" s="8"/>
      <c r="I491" s="9"/>
      <c r="J491" s="9" t="s">
        <v>23</v>
      </c>
      <c r="K491" s="8"/>
      <c r="L491" s="9"/>
      <c r="M491" s="10" t="s">
        <v>913</v>
      </c>
      <c r="N491" s="11" t="s">
        <v>1995</v>
      </c>
      <c r="O491" s="12" t="s">
        <v>26</v>
      </c>
    </row>
    <row r="492" spans="1:15">
      <c r="A492" s="4">
        <v>488</v>
      </c>
      <c r="B492" s="5" t="s">
        <v>1340</v>
      </c>
      <c r="C492" s="5" t="s">
        <v>1413</v>
      </c>
      <c r="D492" s="5" t="s">
        <v>1996</v>
      </c>
      <c r="E492" s="6" t="s">
        <v>1997</v>
      </c>
      <c r="F492" s="13" t="s">
        <v>34</v>
      </c>
      <c r="G492" s="5" t="s">
        <v>22</v>
      </c>
      <c r="H492" s="8"/>
      <c r="I492" s="9"/>
      <c r="J492" s="9" t="s">
        <v>23</v>
      </c>
      <c r="K492" s="8"/>
      <c r="L492" s="9"/>
      <c r="M492" s="10" t="s">
        <v>1998</v>
      </c>
      <c r="N492" s="11" t="s">
        <v>1999</v>
      </c>
      <c r="O492" s="12" t="s">
        <v>26</v>
      </c>
    </row>
    <row r="493" spans="1:15">
      <c r="A493" s="4">
        <v>489</v>
      </c>
      <c r="B493" s="5" t="s">
        <v>1340</v>
      </c>
      <c r="C493" s="5" t="s">
        <v>1421</v>
      </c>
      <c r="D493" s="5" t="s">
        <v>2000</v>
      </c>
      <c r="E493" s="6" t="s">
        <v>2001</v>
      </c>
      <c r="F493" s="13" t="s">
        <v>34</v>
      </c>
      <c r="G493" s="5" t="s">
        <v>22</v>
      </c>
      <c r="H493" s="8"/>
      <c r="I493" s="9"/>
      <c r="J493" s="9" t="s">
        <v>23</v>
      </c>
      <c r="K493" s="8"/>
      <c r="L493" s="9"/>
      <c r="M493" s="10" t="s">
        <v>1548</v>
      </c>
      <c r="N493" s="11" t="s">
        <v>2002</v>
      </c>
      <c r="O493" s="12" t="s">
        <v>26</v>
      </c>
    </row>
    <row r="494" spans="1:15">
      <c r="A494" s="4">
        <v>490</v>
      </c>
      <c r="B494" s="5" t="s">
        <v>1340</v>
      </c>
      <c r="C494" s="5" t="s">
        <v>1717</v>
      </c>
      <c r="D494" s="5" t="s">
        <v>2003</v>
      </c>
      <c r="E494" s="6" t="s">
        <v>2004</v>
      </c>
      <c r="F494" s="13" t="s">
        <v>34</v>
      </c>
      <c r="G494" s="5" t="s">
        <v>22</v>
      </c>
      <c r="H494" s="8"/>
      <c r="I494" s="9"/>
      <c r="J494" s="9" t="s">
        <v>23</v>
      </c>
      <c r="K494" s="8"/>
      <c r="L494" s="9"/>
      <c r="M494" s="10" t="s">
        <v>1548</v>
      </c>
      <c r="N494" s="11" t="s">
        <v>2005</v>
      </c>
      <c r="O494" s="12" t="s">
        <v>26</v>
      </c>
    </row>
    <row r="495" spans="1:15">
      <c r="A495" s="4">
        <v>491</v>
      </c>
      <c r="B495" s="5" t="s">
        <v>1340</v>
      </c>
      <c r="C495" s="5" t="s">
        <v>1409</v>
      </c>
      <c r="D495" s="5" t="s">
        <v>2006</v>
      </c>
      <c r="E495" s="6" t="s">
        <v>2007</v>
      </c>
      <c r="F495" s="13" t="s">
        <v>34</v>
      </c>
      <c r="G495" s="5" t="s">
        <v>22</v>
      </c>
      <c r="H495" s="8"/>
      <c r="I495" s="9"/>
      <c r="J495" s="9" t="s">
        <v>23</v>
      </c>
      <c r="K495" s="8"/>
      <c r="L495" s="9"/>
      <c r="M495" s="10" t="s">
        <v>233</v>
      </c>
      <c r="N495" s="11" t="s">
        <v>2008</v>
      </c>
      <c r="O495" s="12" t="s">
        <v>26</v>
      </c>
    </row>
    <row r="496" spans="1:15">
      <c r="A496" s="4">
        <v>492</v>
      </c>
      <c r="B496" s="5" t="s">
        <v>1340</v>
      </c>
      <c r="C496" s="5" t="s">
        <v>1429</v>
      </c>
      <c r="D496" s="5" t="s">
        <v>2009</v>
      </c>
      <c r="E496" s="6" t="s">
        <v>2010</v>
      </c>
      <c r="F496" s="7" t="s">
        <v>21</v>
      </c>
      <c r="G496" s="5" t="s">
        <v>22</v>
      </c>
      <c r="H496" s="8"/>
      <c r="I496" s="9"/>
      <c r="J496" s="9" t="s">
        <v>23</v>
      </c>
      <c r="K496" s="8"/>
      <c r="L496" s="9"/>
      <c r="M496" s="10" t="s">
        <v>1016</v>
      </c>
      <c r="N496" s="11" t="s">
        <v>2011</v>
      </c>
      <c r="O496" s="12" t="s">
        <v>26</v>
      </c>
    </row>
    <row r="497" spans="1:15">
      <c r="A497" s="4">
        <v>493</v>
      </c>
      <c r="B497" s="5" t="s">
        <v>1340</v>
      </c>
      <c r="C497" s="5" t="s">
        <v>2012</v>
      </c>
      <c r="D497" s="5" t="s">
        <v>2013</v>
      </c>
      <c r="E497" s="6" t="s">
        <v>2014</v>
      </c>
      <c r="F497" s="7" t="s">
        <v>21</v>
      </c>
      <c r="G497" s="5" t="s">
        <v>22</v>
      </c>
      <c r="H497" s="8"/>
      <c r="I497" s="9"/>
      <c r="J497" s="9" t="s">
        <v>23</v>
      </c>
      <c r="K497" s="8"/>
      <c r="L497" s="9"/>
      <c r="M497" s="10" t="s">
        <v>913</v>
      </c>
      <c r="N497" s="11" t="s">
        <v>2015</v>
      </c>
      <c r="O497" s="12" t="s">
        <v>26</v>
      </c>
    </row>
    <row r="498" spans="1:15">
      <c r="A498" s="4">
        <v>494</v>
      </c>
      <c r="B498" s="5" t="s">
        <v>1340</v>
      </c>
      <c r="C498" s="5" t="s">
        <v>1409</v>
      </c>
      <c r="D498" s="5" t="s">
        <v>2016</v>
      </c>
      <c r="E498" s="6" t="s">
        <v>2017</v>
      </c>
      <c r="F498" s="13" t="s">
        <v>34</v>
      </c>
      <c r="G498" s="5" t="s">
        <v>22</v>
      </c>
      <c r="H498" s="8"/>
      <c r="I498" s="9"/>
      <c r="J498" s="9" t="s">
        <v>23</v>
      </c>
      <c r="K498" s="8"/>
      <c r="L498" s="9"/>
      <c r="M498" s="10" t="s">
        <v>233</v>
      </c>
      <c r="N498" s="11" t="s">
        <v>2018</v>
      </c>
      <c r="O498" s="12" t="s">
        <v>26</v>
      </c>
    </row>
    <row r="499" spans="1:15">
      <c r="A499" s="4">
        <v>495</v>
      </c>
      <c r="B499" s="5" t="s">
        <v>1340</v>
      </c>
      <c r="C499" s="5" t="s">
        <v>2019</v>
      </c>
      <c r="D499" s="5" t="s">
        <v>2020</v>
      </c>
      <c r="E499" s="6" t="s">
        <v>2021</v>
      </c>
      <c r="F499" s="13" t="s">
        <v>34</v>
      </c>
      <c r="G499" s="5" t="s">
        <v>22</v>
      </c>
      <c r="H499" s="8"/>
      <c r="I499" s="9"/>
      <c r="J499" s="9" t="s">
        <v>23</v>
      </c>
      <c r="K499" s="8"/>
      <c r="L499" s="9"/>
      <c r="M499" s="10" t="s">
        <v>1548</v>
      </c>
      <c r="N499" s="11" t="s">
        <v>2022</v>
      </c>
      <c r="O499" s="12" t="s">
        <v>26</v>
      </c>
    </row>
    <row r="500" spans="1:15">
      <c r="A500" s="4">
        <v>496</v>
      </c>
      <c r="B500" s="5" t="s">
        <v>1340</v>
      </c>
      <c r="C500" s="5" t="s">
        <v>1404</v>
      </c>
      <c r="D500" s="5" t="s">
        <v>2023</v>
      </c>
      <c r="E500" s="6" t="s">
        <v>2024</v>
      </c>
      <c r="F500" s="13" t="s">
        <v>34</v>
      </c>
      <c r="G500" s="5" t="s">
        <v>22</v>
      </c>
      <c r="H500" s="8"/>
      <c r="I500" s="9"/>
      <c r="J500" s="9" t="s">
        <v>23</v>
      </c>
      <c r="K500" s="8"/>
      <c r="L500" s="9"/>
      <c r="M500" s="10" t="s">
        <v>2025</v>
      </c>
      <c r="N500" s="11" t="s">
        <v>2026</v>
      </c>
      <c r="O500" s="12" t="s">
        <v>26</v>
      </c>
    </row>
    <row r="501" spans="1:15">
      <c r="A501" s="4">
        <v>497</v>
      </c>
      <c r="B501" s="5" t="s">
        <v>1340</v>
      </c>
      <c r="C501" s="5" t="s">
        <v>1554</v>
      </c>
      <c r="D501" s="5" t="s">
        <v>2027</v>
      </c>
      <c r="E501" s="6" t="s">
        <v>2028</v>
      </c>
      <c r="F501" s="7" t="s">
        <v>21</v>
      </c>
      <c r="G501" s="5" t="s">
        <v>22</v>
      </c>
      <c r="H501" s="8"/>
      <c r="I501" s="9"/>
      <c r="J501" s="9" t="s">
        <v>23</v>
      </c>
      <c r="K501" s="8"/>
      <c r="L501" s="9"/>
      <c r="M501" s="10" t="s">
        <v>1320</v>
      </c>
      <c r="N501" s="11" t="s">
        <v>2029</v>
      </c>
      <c r="O501" s="12" t="s">
        <v>26</v>
      </c>
    </row>
    <row r="502" spans="1:15">
      <c r="A502" s="4">
        <v>498</v>
      </c>
      <c r="B502" s="5" t="s">
        <v>1340</v>
      </c>
      <c r="C502" s="5" t="s">
        <v>1554</v>
      </c>
      <c r="D502" s="5" t="s">
        <v>2030</v>
      </c>
      <c r="E502" s="6" t="s">
        <v>2031</v>
      </c>
      <c r="F502" s="13" t="s">
        <v>34</v>
      </c>
      <c r="G502" s="5" t="s">
        <v>22</v>
      </c>
      <c r="H502" s="8"/>
      <c r="I502" s="9"/>
      <c r="J502" s="9" t="s">
        <v>23</v>
      </c>
      <c r="K502" s="8"/>
      <c r="L502" s="9"/>
      <c r="M502" s="10" t="s">
        <v>233</v>
      </c>
      <c r="N502" s="11" t="s">
        <v>2032</v>
      </c>
      <c r="O502" s="12" t="s">
        <v>26</v>
      </c>
    </row>
    <row r="503" spans="1:15">
      <c r="A503" s="4">
        <v>499</v>
      </c>
      <c r="B503" s="5" t="s">
        <v>1340</v>
      </c>
      <c r="C503" s="5" t="s">
        <v>1358</v>
      </c>
      <c r="D503" s="5" t="s">
        <v>2033</v>
      </c>
      <c r="E503" s="6" t="s">
        <v>2034</v>
      </c>
      <c r="F503" s="7" t="s">
        <v>21</v>
      </c>
      <c r="G503" s="5" t="s">
        <v>22</v>
      </c>
      <c r="H503" s="8"/>
      <c r="I503" s="9"/>
      <c r="J503" s="9" t="s">
        <v>23</v>
      </c>
      <c r="K503" s="8"/>
      <c r="L503" s="9"/>
      <c r="M503" s="10" t="s">
        <v>1027</v>
      </c>
      <c r="N503" s="11" t="s">
        <v>2035</v>
      </c>
      <c r="O503" s="12" t="s">
        <v>26</v>
      </c>
    </row>
    <row r="504" spans="1:15">
      <c r="A504" s="4">
        <v>500</v>
      </c>
      <c r="B504" s="5" t="s">
        <v>1340</v>
      </c>
      <c r="C504" s="5" t="s">
        <v>1662</v>
      </c>
      <c r="D504" s="5" t="s">
        <v>2036</v>
      </c>
      <c r="E504" s="6" t="s">
        <v>2037</v>
      </c>
      <c r="F504" s="7" t="s">
        <v>21</v>
      </c>
      <c r="G504" s="5" t="s">
        <v>29</v>
      </c>
      <c r="H504" s="8"/>
      <c r="I504" s="9"/>
      <c r="J504" s="9" t="s">
        <v>23</v>
      </c>
      <c r="K504" s="8"/>
      <c r="L504" s="9"/>
      <c r="M504" s="10" t="s">
        <v>1296</v>
      </c>
      <c r="N504" s="11" t="s">
        <v>2038</v>
      </c>
      <c r="O504" s="12" t="s">
        <v>26</v>
      </c>
    </row>
    <row r="505" spans="1:15">
      <c r="A505" s="4">
        <v>501</v>
      </c>
      <c r="B505" s="5" t="s">
        <v>1340</v>
      </c>
      <c r="C505" s="5" t="s">
        <v>1383</v>
      </c>
      <c r="D505" s="5" t="s">
        <v>2039</v>
      </c>
      <c r="E505" s="6" t="s">
        <v>2040</v>
      </c>
      <c r="F505" s="13" t="s">
        <v>34</v>
      </c>
      <c r="G505" s="5" t="s">
        <v>22</v>
      </c>
      <c r="H505" s="8"/>
      <c r="I505" s="9"/>
      <c r="J505" s="9" t="s">
        <v>23</v>
      </c>
      <c r="K505" s="8"/>
      <c r="L505" s="9"/>
      <c r="M505" s="10" t="s">
        <v>1548</v>
      </c>
      <c r="N505" s="11" t="s">
        <v>2041</v>
      </c>
      <c r="O505" s="12" t="s">
        <v>26</v>
      </c>
    </row>
    <row r="506" spans="1:15">
      <c r="A506" s="4">
        <v>502</v>
      </c>
      <c r="B506" s="5" t="s">
        <v>1340</v>
      </c>
      <c r="C506" s="5" t="s">
        <v>1383</v>
      </c>
      <c r="D506" s="5" t="s">
        <v>2042</v>
      </c>
      <c r="E506" s="6" t="s">
        <v>2043</v>
      </c>
      <c r="F506" s="13" t="s">
        <v>34</v>
      </c>
      <c r="G506" s="5" t="s">
        <v>22</v>
      </c>
      <c r="H506" s="8"/>
      <c r="I506" s="9"/>
      <c r="J506" s="9" t="s">
        <v>23</v>
      </c>
      <c r="K506" s="8"/>
      <c r="L506" s="9"/>
      <c r="M506" s="10" t="s">
        <v>1548</v>
      </c>
      <c r="N506" s="11" t="s">
        <v>2044</v>
      </c>
      <c r="O506" s="12" t="s">
        <v>26</v>
      </c>
    </row>
    <row r="507" spans="1:15">
      <c r="A507" s="4">
        <v>503</v>
      </c>
      <c r="B507" s="5" t="s">
        <v>1340</v>
      </c>
      <c r="C507" s="5" t="s">
        <v>1429</v>
      </c>
      <c r="D507" s="5" t="s">
        <v>2045</v>
      </c>
      <c r="E507" s="6" t="s">
        <v>2046</v>
      </c>
      <c r="F507" s="7" t="s">
        <v>21</v>
      </c>
      <c r="G507" s="5" t="s">
        <v>22</v>
      </c>
      <c r="H507" s="8"/>
      <c r="I507" s="9"/>
      <c r="J507" s="9" t="s">
        <v>23</v>
      </c>
      <c r="K507" s="8"/>
      <c r="L507" s="9"/>
      <c r="M507" s="10" t="s">
        <v>2047</v>
      </c>
      <c r="N507" s="11" t="s">
        <v>2048</v>
      </c>
      <c r="O507" s="12" t="s">
        <v>26</v>
      </c>
    </row>
    <row r="508" spans="1:15">
      <c r="A508" s="4">
        <v>504</v>
      </c>
      <c r="B508" s="5" t="s">
        <v>1340</v>
      </c>
      <c r="C508" s="5" t="s">
        <v>1358</v>
      </c>
      <c r="D508" s="5" t="s">
        <v>2049</v>
      </c>
      <c r="E508" s="6" t="s">
        <v>2050</v>
      </c>
      <c r="F508" s="7" t="s">
        <v>21</v>
      </c>
      <c r="G508" s="5" t="s">
        <v>22</v>
      </c>
      <c r="H508" s="8"/>
      <c r="I508" s="9"/>
      <c r="J508" s="9" t="s">
        <v>23</v>
      </c>
      <c r="K508" s="8"/>
      <c r="L508" s="9"/>
      <c r="M508" s="10" t="s">
        <v>2051</v>
      </c>
      <c r="N508" s="11" t="s">
        <v>2052</v>
      </c>
      <c r="O508" s="12" t="s">
        <v>26</v>
      </c>
    </row>
    <row r="509" spans="1:15">
      <c r="A509" s="4">
        <v>505</v>
      </c>
      <c r="B509" s="5" t="s">
        <v>1340</v>
      </c>
      <c r="C509" s="5" t="s">
        <v>1351</v>
      </c>
      <c r="D509" s="5" t="s">
        <v>2053</v>
      </c>
      <c r="E509" s="6" t="s">
        <v>2054</v>
      </c>
      <c r="F509" s="7" t="s">
        <v>21</v>
      </c>
      <c r="G509" s="5" t="s">
        <v>22</v>
      </c>
      <c r="H509" s="8"/>
      <c r="I509" s="9"/>
      <c r="J509" s="9" t="s">
        <v>23</v>
      </c>
      <c r="K509" s="8"/>
      <c r="L509" s="9"/>
      <c r="M509" s="10" t="s">
        <v>2055</v>
      </c>
      <c r="N509" s="11" t="s">
        <v>2056</v>
      </c>
      <c r="O509" s="12" t="s">
        <v>26</v>
      </c>
    </row>
    <row r="510" spans="1:15">
      <c r="A510" s="4">
        <v>506</v>
      </c>
      <c r="B510" s="5" t="s">
        <v>1340</v>
      </c>
      <c r="C510" s="5" t="s">
        <v>1404</v>
      </c>
      <c r="D510" s="5" t="s">
        <v>2057</v>
      </c>
      <c r="E510" s="6" t="s">
        <v>2058</v>
      </c>
      <c r="F510" s="13" t="s">
        <v>34</v>
      </c>
      <c r="G510" s="5" t="s">
        <v>22</v>
      </c>
      <c r="H510" s="8"/>
      <c r="I510" s="9"/>
      <c r="J510" s="9" t="s">
        <v>23</v>
      </c>
      <c r="K510" s="8"/>
      <c r="L510" s="9"/>
      <c r="M510" s="10" t="s">
        <v>2059</v>
      </c>
      <c r="N510" s="11" t="s">
        <v>2060</v>
      </c>
      <c r="O510" s="12" t="s">
        <v>26</v>
      </c>
    </row>
    <row r="511" spans="1:15">
      <c r="A511" s="4">
        <v>507</v>
      </c>
      <c r="B511" s="5" t="s">
        <v>1340</v>
      </c>
      <c r="C511" s="5" t="s">
        <v>1346</v>
      </c>
      <c r="D511" s="5" t="s">
        <v>2061</v>
      </c>
      <c r="E511" s="6" t="s">
        <v>2062</v>
      </c>
      <c r="F511" s="7" t="s">
        <v>21</v>
      </c>
      <c r="G511" s="5" t="s">
        <v>22</v>
      </c>
      <c r="H511" s="8"/>
      <c r="I511" s="9"/>
      <c r="J511" s="9" t="s">
        <v>23</v>
      </c>
      <c r="K511" s="8"/>
      <c r="L511" s="9"/>
      <c r="M511" s="10" t="s">
        <v>2063</v>
      </c>
      <c r="N511" s="11" t="s">
        <v>2064</v>
      </c>
      <c r="O511" s="12" t="s">
        <v>26</v>
      </c>
    </row>
    <row r="512" spans="1:15">
      <c r="A512" s="4">
        <v>508</v>
      </c>
      <c r="B512" s="5" t="s">
        <v>1340</v>
      </c>
      <c r="C512" s="5" t="s">
        <v>1387</v>
      </c>
      <c r="D512" s="5" t="s">
        <v>2065</v>
      </c>
      <c r="E512" s="6" t="s">
        <v>2066</v>
      </c>
      <c r="F512" s="7" t="s">
        <v>21</v>
      </c>
      <c r="G512" s="5" t="s">
        <v>22</v>
      </c>
      <c r="H512" s="8"/>
      <c r="I512" s="9"/>
      <c r="J512" s="9" t="s">
        <v>23</v>
      </c>
      <c r="K512" s="8"/>
      <c r="L512" s="9"/>
      <c r="M512" s="10" t="s">
        <v>2067</v>
      </c>
      <c r="N512" s="11" t="s">
        <v>2068</v>
      </c>
      <c r="O512" s="12" t="s">
        <v>26</v>
      </c>
    </row>
    <row r="513" spans="1:15">
      <c r="A513" s="4">
        <v>509</v>
      </c>
      <c r="B513" s="5" t="s">
        <v>1340</v>
      </c>
      <c r="C513" s="5" t="s">
        <v>1413</v>
      </c>
      <c r="D513" s="5" t="s">
        <v>2069</v>
      </c>
      <c r="E513" s="6" t="s">
        <v>2070</v>
      </c>
      <c r="F513" s="7" t="s">
        <v>21</v>
      </c>
      <c r="G513" s="5" t="s">
        <v>22</v>
      </c>
      <c r="H513" s="8"/>
      <c r="I513" s="9"/>
      <c r="J513" s="9" t="s">
        <v>23</v>
      </c>
      <c r="K513" s="8"/>
      <c r="L513" s="9"/>
      <c r="M513" s="10" t="s">
        <v>913</v>
      </c>
      <c r="N513" s="11" t="s">
        <v>2071</v>
      </c>
      <c r="O513" s="12" t="s">
        <v>26</v>
      </c>
    </row>
    <row r="514" spans="1:15">
      <c r="A514" s="4">
        <v>510</v>
      </c>
      <c r="B514" s="5" t="s">
        <v>1340</v>
      </c>
      <c r="C514" s="5" t="s">
        <v>1351</v>
      </c>
      <c r="D514" s="5" t="s">
        <v>2072</v>
      </c>
      <c r="E514" s="6" t="s">
        <v>2073</v>
      </c>
      <c r="F514" s="7" t="s">
        <v>21</v>
      </c>
      <c r="G514" s="5" t="s">
        <v>22</v>
      </c>
      <c r="H514" s="8"/>
      <c r="I514" s="9"/>
      <c r="J514" s="9" t="s">
        <v>23</v>
      </c>
      <c r="K514" s="8"/>
      <c r="L514" s="9"/>
      <c r="M514" s="10" t="s">
        <v>913</v>
      </c>
      <c r="N514" s="11" t="s">
        <v>2074</v>
      </c>
      <c r="O514" s="12" t="s">
        <v>26</v>
      </c>
    </row>
    <row r="515" spans="1:15">
      <c r="A515" s="4">
        <v>511</v>
      </c>
      <c r="B515" s="5" t="s">
        <v>1340</v>
      </c>
      <c r="C515" s="5" t="s">
        <v>1554</v>
      </c>
      <c r="D515" s="5" t="s">
        <v>2075</v>
      </c>
      <c r="E515" s="6" t="s">
        <v>2076</v>
      </c>
      <c r="F515" s="7" t="s">
        <v>21</v>
      </c>
      <c r="G515" s="5" t="s">
        <v>22</v>
      </c>
      <c r="H515" s="8"/>
      <c r="I515" s="9"/>
      <c r="J515" s="9" t="s">
        <v>23</v>
      </c>
      <c r="K515" s="8"/>
      <c r="L515" s="9"/>
      <c r="M515" s="10" t="s">
        <v>2077</v>
      </c>
      <c r="N515" s="11" t="s">
        <v>2078</v>
      </c>
      <c r="O515" s="12" t="s">
        <v>26</v>
      </c>
    </row>
    <row r="516" spans="1:15">
      <c r="A516" s="4">
        <v>512</v>
      </c>
      <c r="B516" s="5" t="s">
        <v>1340</v>
      </c>
      <c r="C516" s="5" t="s">
        <v>1358</v>
      </c>
      <c r="D516" s="5" t="s">
        <v>2079</v>
      </c>
      <c r="E516" s="6" t="s">
        <v>2080</v>
      </c>
      <c r="F516" s="7" t="s">
        <v>21</v>
      </c>
      <c r="G516" s="5" t="s">
        <v>22</v>
      </c>
      <c r="H516" s="8"/>
      <c r="I516" s="9"/>
      <c r="J516" s="9" t="s">
        <v>23</v>
      </c>
      <c r="K516" s="8"/>
      <c r="L516" s="9"/>
      <c r="M516" s="10" t="s">
        <v>913</v>
      </c>
      <c r="N516" s="11" t="s">
        <v>2081</v>
      </c>
      <c r="O516" s="12" t="s">
        <v>26</v>
      </c>
    </row>
    <row r="517" spans="1:15">
      <c r="A517" s="4">
        <v>513</v>
      </c>
      <c r="B517" s="5" t="s">
        <v>1340</v>
      </c>
      <c r="C517" s="5" t="s">
        <v>1567</v>
      </c>
      <c r="D517" s="5" t="s">
        <v>2082</v>
      </c>
      <c r="E517" s="6" t="s">
        <v>2083</v>
      </c>
      <c r="F517" s="7" t="s">
        <v>21</v>
      </c>
      <c r="G517" s="5" t="s">
        <v>22</v>
      </c>
      <c r="H517" s="8"/>
      <c r="I517" s="9"/>
      <c r="J517" s="9" t="s">
        <v>23</v>
      </c>
      <c r="K517" s="8"/>
      <c r="L517" s="9"/>
      <c r="M517" s="10" t="s">
        <v>100</v>
      </c>
      <c r="N517" s="11" t="s">
        <v>2084</v>
      </c>
      <c r="O517" s="12" t="s">
        <v>26</v>
      </c>
    </row>
    <row r="518" spans="1:15">
      <c r="A518" s="4">
        <v>514</v>
      </c>
      <c r="B518" s="5" t="s">
        <v>1340</v>
      </c>
      <c r="C518" s="5" t="s">
        <v>1805</v>
      </c>
      <c r="D518" s="5" t="s">
        <v>2085</v>
      </c>
      <c r="E518" s="6" t="s">
        <v>2086</v>
      </c>
      <c r="F518" s="7" t="s">
        <v>21</v>
      </c>
      <c r="G518" s="5" t="s">
        <v>22</v>
      </c>
      <c r="H518" s="8"/>
      <c r="I518" s="9"/>
      <c r="J518" s="9" t="s">
        <v>23</v>
      </c>
      <c r="K518" s="8"/>
      <c r="L518" s="9"/>
      <c r="M518" s="10" t="s">
        <v>913</v>
      </c>
      <c r="N518" s="11" t="s">
        <v>2087</v>
      </c>
      <c r="O518" s="12" t="s">
        <v>26</v>
      </c>
    </row>
    <row r="519" spans="1:15">
      <c r="A519" s="4">
        <v>515</v>
      </c>
      <c r="B519" s="5" t="s">
        <v>1340</v>
      </c>
      <c r="C519" s="5" t="s">
        <v>1421</v>
      </c>
      <c r="D519" s="5" t="s">
        <v>2088</v>
      </c>
      <c r="E519" s="6" t="s">
        <v>2089</v>
      </c>
      <c r="F519" s="13" t="s">
        <v>34</v>
      </c>
      <c r="G519" s="5" t="s">
        <v>22</v>
      </c>
      <c r="H519" s="8"/>
      <c r="I519" s="9"/>
      <c r="J519" s="9" t="s">
        <v>23</v>
      </c>
      <c r="K519" s="8"/>
      <c r="L519" s="9"/>
      <c r="M519" s="10" t="s">
        <v>2090</v>
      </c>
      <c r="N519" s="11" t="s">
        <v>2091</v>
      </c>
      <c r="O519" s="12" t="s">
        <v>26</v>
      </c>
    </row>
    <row r="520" spans="1:15">
      <c r="A520" s="4">
        <v>516</v>
      </c>
      <c r="B520" s="5" t="s">
        <v>1340</v>
      </c>
      <c r="C520" s="5" t="s">
        <v>1421</v>
      </c>
      <c r="D520" s="5" t="s">
        <v>2092</v>
      </c>
      <c r="E520" s="6" t="s">
        <v>2089</v>
      </c>
      <c r="F520" s="13" t="s">
        <v>34</v>
      </c>
      <c r="G520" s="5" t="s">
        <v>22</v>
      </c>
      <c r="H520" s="8"/>
      <c r="I520" s="9"/>
      <c r="J520" s="9" t="s">
        <v>23</v>
      </c>
      <c r="K520" s="8"/>
      <c r="L520" s="9"/>
      <c r="M520" s="10" t="s">
        <v>2093</v>
      </c>
      <c r="N520" s="11" t="s">
        <v>2094</v>
      </c>
      <c r="O520" s="12" t="s">
        <v>26</v>
      </c>
    </row>
    <row r="521" spans="1:15">
      <c r="A521" s="4">
        <v>517</v>
      </c>
      <c r="B521" s="5" t="s">
        <v>1340</v>
      </c>
      <c r="C521" s="5" t="s">
        <v>1455</v>
      </c>
      <c r="D521" s="5" t="s">
        <v>2095</v>
      </c>
      <c r="E521" s="6" t="s">
        <v>2096</v>
      </c>
      <c r="F521" s="13" t="s">
        <v>34</v>
      </c>
      <c r="G521" s="5" t="s">
        <v>22</v>
      </c>
      <c r="H521" s="8"/>
      <c r="I521" s="9"/>
      <c r="J521" s="9" t="s">
        <v>23</v>
      </c>
      <c r="K521" s="8"/>
      <c r="L521" s="9"/>
      <c r="M521" s="10" t="s">
        <v>233</v>
      </c>
      <c r="N521" s="11" t="s">
        <v>2097</v>
      </c>
      <c r="O521" s="12" t="s">
        <v>26</v>
      </c>
    </row>
    <row r="522" spans="1:15">
      <c r="A522" s="4">
        <v>518</v>
      </c>
      <c r="B522" s="5" t="s">
        <v>1340</v>
      </c>
      <c r="C522" s="5" t="s">
        <v>1567</v>
      </c>
      <c r="D522" s="5" t="s">
        <v>2098</v>
      </c>
      <c r="E522" s="6" t="s">
        <v>2099</v>
      </c>
      <c r="F522" s="7" t="s">
        <v>21</v>
      </c>
      <c r="G522" s="5" t="s">
        <v>22</v>
      </c>
      <c r="H522" s="8"/>
      <c r="I522" s="9"/>
      <c r="J522" s="9" t="s">
        <v>23</v>
      </c>
      <c r="K522" s="8"/>
      <c r="L522" s="9"/>
      <c r="M522" s="10" t="s">
        <v>296</v>
      </c>
      <c r="N522" s="11" t="s">
        <v>2100</v>
      </c>
      <c r="O522" s="12" t="s">
        <v>26</v>
      </c>
    </row>
    <row r="523" spans="1:15">
      <c r="A523" s="4">
        <v>519</v>
      </c>
      <c r="B523" s="5" t="s">
        <v>1340</v>
      </c>
      <c r="C523" s="5" t="s">
        <v>1433</v>
      </c>
      <c r="D523" s="5" t="s">
        <v>2101</v>
      </c>
      <c r="E523" s="6" t="s">
        <v>2102</v>
      </c>
      <c r="F523" s="13" t="s">
        <v>34</v>
      </c>
      <c r="G523" s="5" t="s">
        <v>22</v>
      </c>
      <c r="H523" s="8"/>
      <c r="I523" s="9"/>
      <c r="J523" s="9" t="s">
        <v>23</v>
      </c>
      <c r="K523" s="8"/>
      <c r="L523" s="9"/>
      <c r="M523" s="10" t="s">
        <v>233</v>
      </c>
      <c r="N523" s="11" t="s">
        <v>2103</v>
      </c>
      <c r="O523" s="12" t="s">
        <v>26</v>
      </c>
    </row>
    <row r="524" spans="1:15">
      <c r="A524" s="4">
        <v>520</v>
      </c>
      <c r="B524" s="5" t="s">
        <v>1340</v>
      </c>
      <c r="C524" s="5" t="s">
        <v>1421</v>
      </c>
      <c r="D524" s="5" t="s">
        <v>2104</v>
      </c>
      <c r="E524" s="6" t="s">
        <v>2105</v>
      </c>
      <c r="F524" s="7" t="s">
        <v>21</v>
      </c>
      <c r="G524" s="5" t="s">
        <v>22</v>
      </c>
      <c r="H524" s="8"/>
      <c r="I524" s="9"/>
      <c r="J524" s="9" t="s">
        <v>23</v>
      </c>
      <c r="K524" s="8"/>
      <c r="L524" s="9"/>
      <c r="M524" s="10" t="s">
        <v>1848</v>
      </c>
      <c r="N524" s="11" t="s">
        <v>2106</v>
      </c>
      <c r="O524" s="12" t="s">
        <v>26</v>
      </c>
    </row>
    <row r="525" spans="1:15">
      <c r="A525" s="4">
        <v>521</v>
      </c>
      <c r="B525" s="5" t="s">
        <v>1340</v>
      </c>
      <c r="C525" s="5" t="s">
        <v>1455</v>
      </c>
      <c r="D525" s="5" t="s">
        <v>2107</v>
      </c>
      <c r="E525" s="6" t="s">
        <v>2108</v>
      </c>
      <c r="F525" s="7" t="s">
        <v>21</v>
      </c>
      <c r="G525" s="5" t="s">
        <v>22</v>
      </c>
      <c r="H525" s="8"/>
      <c r="I525" s="9"/>
      <c r="J525" s="9" t="s">
        <v>23</v>
      </c>
      <c r="K525" s="8"/>
      <c r="L525" s="9"/>
      <c r="M525" s="10" t="s">
        <v>913</v>
      </c>
      <c r="N525" s="11" t="s">
        <v>2109</v>
      </c>
      <c r="O525" s="12" t="s">
        <v>26</v>
      </c>
    </row>
    <row r="526" spans="1:15">
      <c r="A526" s="4">
        <v>522</v>
      </c>
      <c r="B526" s="5" t="s">
        <v>1340</v>
      </c>
      <c r="C526" s="5" t="s">
        <v>1409</v>
      </c>
      <c r="D526" s="5" t="s">
        <v>2110</v>
      </c>
      <c r="E526" s="6" t="s">
        <v>2111</v>
      </c>
      <c r="F526" s="13" t="s">
        <v>34</v>
      </c>
      <c r="G526" s="5" t="s">
        <v>22</v>
      </c>
      <c r="H526" s="8"/>
      <c r="I526" s="9"/>
      <c r="J526" s="9" t="s">
        <v>23</v>
      </c>
      <c r="K526" s="8"/>
      <c r="L526" s="9"/>
      <c r="M526" s="10" t="s">
        <v>2112</v>
      </c>
      <c r="N526" s="11" t="s">
        <v>2113</v>
      </c>
      <c r="O526" s="12" t="s">
        <v>26</v>
      </c>
    </row>
    <row r="527" spans="1:15">
      <c r="A527" s="4">
        <v>523</v>
      </c>
      <c r="B527" s="5" t="s">
        <v>1340</v>
      </c>
      <c r="C527" s="5" t="s">
        <v>1805</v>
      </c>
      <c r="D527" s="5" t="s">
        <v>2114</v>
      </c>
      <c r="E527" s="14" t="s">
        <v>109</v>
      </c>
      <c r="F527" s="15" t="s">
        <v>110</v>
      </c>
      <c r="G527" s="5" t="s">
        <v>22</v>
      </c>
      <c r="H527" s="8"/>
      <c r="I527" s="9"/>
      <c r="J527" s="9" t="s">
        <v>23</v>
      </c>
      <c r="K527" s="8"/>
      <c r="L527" s="9"/>
      <c r="M527" s="10" t="s">
        <v>2115</v>
      </c>
      <c r="N527" s="11" t="s">
        <v>2116</v>
      </c>
      <c r="O527" s="12" t="s">
        <v>26</v>
      </c>
    </row>
    <row r="528" spans="1:15">
      <c r="A528" s="4">
        <v>524</v>
      </c>
      <c r="B528" s="5" t="s">
        <v>1340</v>
      </c>
      <c r="C528" s="5" t="s">
        <v>1413</v>
      </c>
      <c r="D528" s="5" t="s">
        <v>2117</v>
      </c>
      <c r="E528" s="6" t="s">
        <v>2118</v>
      </c>
      <c r="F528" s="7" t="s">
        <v>21</v>
      </c>
      <c r="G528" s="5" t="s">
        <v>22</v>
      </c>
      <c r="H528" s="8"/>
      <c r="I528" s="9"/>
      <c r="J528" s="9" t="s">
        <v>23</v>
      </c>
      <c r="K528" s="8"/>
      <c r="L528" s="9"/>
      <c r="M528" s="10" t="s">
        <v>913</v>
      </c>
      <c r="N528" s="11" t="s">
        <v>2119</v>
      </c>
      <c r="O528" s="12" t="s">
        <v>26</v>
      </c>
    </row>
    <row r="529" spans="1:15">
      <c r="A529" s="4">
        <v>525</v>
      </c>
      <c r="B529" s="5" t="s">
        <v>1340</v>
      </c>
      <c r="C529" s="5" t="s">
        <v>1387</v>
      </c>
      <c r="D529" s="5" t="s">
        <v>2120</v>
      </c>
      <c r="E529" s="6" t="s">
        <v>2121</v>
      </c>
      <c r="F529" s="7" t="s">
        <v>21</v>
      </c>
      <c r="G529" s="5" t="s">
        <v>22</v>
      </c>
      <c r="H529" s="8"/>
      <c r="I529" s="9"/>
      <c r="J529" s="9" t="s">
        <v>23</v>
      </c>
      <c r="K529" s="8"/>
      <c r="L529" s="9"/>
      <c r="M529" s="10" t="s">
        <v>2122</v>
      </c>
      <c r="N529" s="11" t="s">
        <v>2123</v>
      </c>
      <c r="O529" s="12" t="s">
        <v>26</v>
      </c>
    </row>
    <row r="530" spans="1:15">
      <c r="A530" s="4">
        <v>526</v>
      </c>
      <c r="B530" s="5" t="s">
        <v>1340</v>
      </c>
      <c r="C530" s="5" t="s">
        <v>1363</v>
      </c>
      <c r="D530" s="5" t="s">
        <v>2124</v>
      </c>
      <c r="E530" s="6" t="s">
        <v>2125</v>
      </c>
      <c r="F530" s="7" t="s">
        <v>21</v>
      </c>
      <c r="G530" s="5" t="s">
        <v>22</v>
      </c>
      <c r="H530" s="8"/>
      <c r="I530" s="9"/>
      <c r="J530" s="9" t="s">
        <v>23</v>
      </c>
      <c r="K530" s="8"/>
      <c r="L530" s="9"/>
      <c r="M530" s="10" t="s">
        <v>2126</v>
      </c>
      <c r="N530" s="11" t="s">
        <v>2127</v>
      </c>
      <c r="O530" s="12" t="s">
        <v>26</v>
      </c>
    </row>
    <row r="531" spans="1:15">
      <c r="A531" s="4">
        <v>527</v>
      </c>
      <c r="B531" s="5" t="s">
        <v>1340</v>
      </c>
      <c r="C531" s="5" t="s">
        <v>1944</v>
      </c>
      <c r="D531" s="5" t="s">
        <v>2128</v>
      </c>
      <c r="E531" s="6" t="s">
        <v>2129</v>
      </c>
      <c r="F531" s="7" t="s">
        <v>21</v>
      </c>
      <c r="G531" s="5" t="s">
        <v>22</v>
      </c>
      <c r="H531" s="8"/>
      <c r="I531" s="9"/>
      <c r="J531" s="9" t="s">
        <v>23</v>
      </c>
      <c r="K531" s="8"/>
      <c r="L531" s="9"/>
      <c r="M531" s="10" t="s">
        <v>913</v>
      </c>
      <c r="N531" s="11" t="s">
        <v>2130</v>
      </c>
      <c r="O531" s="12" t="s">
        <v>26</v>
      </c>
    </row>
    <row r="532" spans="1:15">
      <c r="A532" s="4">
        <v>528</v>
      </c>
      <c r="B532" s="5" t="s">
        <v>1340</v>
      </c>
      <c r="C532" s="5" t="s">
        <v>1351</v>
      </c>
      <c r="D532" s="5" t="s">
        <v>2131</v>
      </c>
      <c r="E532" s="6" t="s">
        <v>2132</v>
      </c>
      <c r="F532" s="7" t="s">
        <v>21</v>
      </c>
      <c r="G532" s="5" t="s">
        <v>22</v>
      </c>
      <c r="H532" s="8"/>
      <c r="I532" s="9"/>
      <c r="J532" s="9" t="s">
        <v>23</v>
      </c>
      <c r="K532" s="8"/>
      <c r="L532" s="9"/>
      <c r="M532" s="10" t="s">
        <v>1848</v>
      </c>
      <c r="N532" s="11" t="s">
        <v>2133</v>
      </c>
      <c r="O532" s="12" t="s">
        <v>26</v>
      </c>
    </row>
    <row r="533" spans="1:15">
      <c r="A533" s="4">
        <v>529</v>
      </c>
      <c r="B533" s="5" t="s">
        <v>1340</v>
      </c>
      <c r="C533" s="5" t="s">
        <v>2012</v>
      </c>
      <c r="D533" s="5" t="s">
        <v>2134</v>
      </c>
      <c r="E533" s="6" t="s">
        <v>2135</v>
      </c>
      <c r="F533" s="7" t="s">
        <v>21</v>
      </c>
      <c r="G533" s="5" t="s">
        <v>22</v>
      </c>
      <c r="H533" s="8"/>
      <c r="I533" s="9"/>
      <c r="J533" s="9" t="s">
        <v>23</v>
      </c>
      <c r="K533" s="8"/>
      <c r="L533" s="9"/>
      <c r="M533" s="10" t="s">
        <v>2136</v>
      </c>
      <c r="N533" s="11" t="s">
        <v>2137</v>
      </c>
      <c r="O533" s="12" t="s">
        <v>26</v>
      </c>
    </row>
    <row r="534" spans="1:15">
      <c r="A534" s="4">
        <v>530</v>
      </c>
      <c r="B534" s="5" t="s">
        <v>1340</v>
      </c>
      <c r="C534" s="5" t="s">
        <v>1409</v>
      </c>
      <c r="D534" s="5" t="s">
        <v>2138</v>
      </c>
      <c r="E534" s="6" t="s">
        <v>2139</v>
      </c>
      <c r="F534" s="7" t="s">
        <v>21</v>
      </c>
      <c r="G534" s="5" t="s">
        <v>22</v>
      </c>
      <c r="H534" s="8"/>
      <c r="I534" s="9"/>
      <c r="J534" s="9" t="s">
        <v>23</v>
      </c>
      <c r="K534" s="8"/>
      <c r="L534" s="9"/>
      <c r="M534" s="10" t="s">
        <v>2140</v>
      </c>
      <c r="N534" s="11" t="s">
        <v>2141</v>
      </c>
      <c r="O534" s="12" t="s">
        <v>26</v>
      </c>
    </row>
    <row r="535" spans="1:15">
      <c r="A535" s="4">
        <v>531</v>
      </c>
      <c r="B535" s="5" t="s">
        <v>1340</v>
      </c>
      <c r="C535" s="5" t="s">
        <v>1421</v>
      </c>
      <c r="D535" s="5" t="s">
        <v>2142</v>
      </c>
      <c r="E535" s="6" t="s">
        <v>2143</v>
      </c>
      <c r="F535" s="7" t="s">
        <v>21</v>
      </c>
      <c r="G535" s="5" t="s">
        <v>22</v>
      </c>
      <c r="H535" s="8"/>
      <c r="I535" s="9"/>
      <c r="J535" s="9" t="s">
        <v>23</v>
      </c>
      <c r="K535" s="8"/>
      <c r="L535" s="9"/>
      <c r="M535" s="10" t="s">
        <v>913</v>
      </c>
      <c r="N535" s="11" t="s">
        <v>2144</v>
      </c>
      <c r="O535" s="12" t="s">
        <v>26</v>
      </c>
    </row>
    <row r="536" spans="1:15">
      <c r="A536" s="4">
        <v>532</v>
      </c>
      <c r="B536" s="5" t="s">
        <v>1340</v>
      </c>
      <c r="C536" s="5" t="s">
        <v>1383</v>
      </c>
      <c r="D536" s="5" t="s">
        <v>2145</v>
      </c>
      <c r="E536" s="6" t="s">
        <v>2146</v>
      </c>
      <c r="F536" s="7" t="s">
        <v>21</v>
      </c>
      <c r="G536" s="5" t="s">
        <v>22</v>
      </c>
      <c r="H536" s="8"/>
      <c r="I536" s="9"/>
      <c r="J536" s="9" t="s">
        <v>23</v>
      </c>
      <c r="K536" s="8"/>
      <c r="L536" s="9"/>
      <c r="M536" s="10" t="s">
        <v>2147</v>
      </c>
      <c r="N536" s="11" t="s">
        <v>2148</v>
      </c>
      <c r="O536" s="12" t="s">
        <v>26</v>
      </c>
    </row>
    <row r="537" spans="1:15">
      <c r="A537" s="4">
        <v>533</v>
      </c>
      <c r="B537" s="5" t="s">
        <v>1340</v>
      </c>
      <c r="C537" s="5" t="s">
        <v>1559</v>
      </c>
      <c r="D537" s="5" t="s">
        <v>2149</v>
      </c>
      <c r="E537" s="6" t="s">
        <v>2150</v>
      </c>
      <c r="F537" s="7" t="s">
        <v>21</v>
      </c>
      <c r="G537" s="5" t="s">
        <v>22</v>
      </c>
      <c r="H537" s="8"/>
      <c r="I537" s="9"/>
      <c r="J537" s="9" t="s">
        <v>23</v>
      </c>
      <c r="K537" s="8"/>
      <c r="L537" s="9"/>
      <c r="M537" s="10" t="s">
        <v>2151</v>
      </c>
      <c r="N537" s="11" t="s">
        <v>2152</v>
      </c>
      <c r="O537" s="12" t="s">
        <v>26</v>
      </c>
    </row>
    <row r="538" spans="1:15">
      <c r="A538" s="4">
        <v>534</v>
      </c>
      <c r="B538" s="5" t="s">
        <v>1340</v>
      </c>
      <c r="C538" s="5" t="s">
        <v>2153</v>
      </c>
      <c r="D538" s="5" t="s">
        <v>2154</v>
      </c>
      <c r="E538" s="6" t="s">
        <v>2155</v>
      </c>
      <c r="F538" s="7" t="s">
        <v>21</v>
      </c>
      <c r="G538" s="5" t="s">
        <v>22</v>
      </c>
      <c r="H538" s="8"/>
      <c r="I538" s="9"/>
      <c r="J538" s="9" t="s">
        <v>23</v>
      </c>
      <c r="K538" s="8"/>
      <c r="L538" s="9"/>
      <c r="M538" s="10" t="s">
        <v>2156</v>
      </c>
      <c r="N538" s="11" t="s">
        <v>2157</v>
      </c>
      <c r="O538" s="12" t="s">
        <v>26</v>
      </c>
    </row>
    <row r="539" spans="1:15">
      <c r="A539" s="4">
        <v>535</v>
      </c>
      <c r="B539" s="5" t="s">
        <v>1340</v>
      </c>
      <c r="C539" s="5" t="s">
        <v>2012</v>
      </c>
      <c r="D539" s="5" t="s">
        <v>2158</v>
      </c>
      <c r="E539" s="6" t="s">
        <v>2159</v>
      </c>
      <c r="F539" s="7" t="s">
        <v>21</v>
      </c>
      <c r="G539" s="5" t="s">
        <v>22</v>
      </c>
      <c r="H539" s="8"/>
      <c r="I539" s="9"/>
      <c r="J539" s="9" t="s">
        <v>23</v>
      </c>
      <c r="K539" s="8"/>
      <c r="L539" s="9"/>
      <c r="M539" s="10" t="s">
        <v>2160</v>
      </c>
      <c r="N539" s="11" t="s">
        <v>2161</v>
      </c>
      <c r="O539" s="12" t="s">
        <v>26</v>
      </c>
    </row>
    <row r="540" spans="1:15">
      <c r="A540" s="4">
        <v>536</v>
      </c>
      <c r="B540" s="5" t="s">
        <v>1340</v>
      </c>
      <c r="C540" s="5" t="s">
        <v>1717</v>
      </c>
      <c r="D540" s="5" t="s">
        <v>2162</v>
      </c>
      <c r="E540" s="6" t="s">
        <v>2163</v>
      </c>
      <c r="F540" s="7" t="s">
        <v>21</v>
      </c>
      <c r="G540" s="5" t="s">
        <v>22</v>
      </c>
      <c r="H540" s="8"/>
      <c r="I540" s="9"/>
      <c r="J540" s="9" t="s">
        <v>23</v>
      </c>
      <c r="K540" s="8"/>
      <c r="L540" s="9"/>
      <c r="M540" s="10" t="s">
        <v>253</v>
      </c>
      <c r="N540" s="11" t="s">
        <v>2164</v>
      </c>
      <c r="O540" s="12" t="s">
        <v>26</v>
      </c>
    </row>
    <row r="541" spans="1:15">
      <c r="A541" s="4">
        <v>537</v>
      </c>
      <c r="B541" s="5" t="s">
        <v>1340</v>
      </c>
      <c r="C541" s="5" t="s">
        <v>1717</v>
      </c>
      <c r="D541" s="5" t="s">
        <v>2165</v>
      </c>
      <c r="E541" s="6" t="s">
        <v>2166</v>
      </c>
      <c r="F541" s="7" t="s">
        <v>21</v>
      </c>
      <c r="G541" s="5" t="s">
        <v>22</v>
      </c>
      <c r="H541" s="8"/>
      <c r="I541" s="9"/>
      <c r="J541" s="9" t="s">
        <v>23</v>
      </c>
      <c r="K541" s="8"/>
      <c r="L541" s="9"/>
      <c r="M541" s="10" t="s">
        <v>2167</v>
      </c>
      <c r="N541" s="11" t="s">
        <v>2168</v>
      </c>
      <c r="O541" s="12" t="s">
        <v>26</v>
      </c>
    </row>
    <row r="542" spans="1:15">
      <c r="A542" s="4">
        <v>538</v>
      </c>
      <c r="B542" s="5" t="s">
        <v>1340</v>
      </c>
      <c r="C542" s="5" t="s">
        <v>1433</v>
      </c>
      <c r="D542" s="5" t="s">
        <v>2169</v>
      </c>
      <c r="E542" s="6" t="s">
        <v>2170</v>
      </c>
      <c r="F542" s="13" t="s">
        <v>34</v>
      </c>
      <c r="G542" s="5" t="s">
        <v>22</v>
      </c>
      <c r="H542" s="8"/>
      <c r="I542" s="9"/>
      <c r="J542" s="9" t="s">
        <v>23</v>
      </c>
      <c r="K542" s="8"/>
      <c r="L542" s="9"/>
      <c r="M542" s="10" t="s">
        <v>2171</v>
      </c>
      <c r="N542" s="11" t="s">
        <v>2172</v>
      </c>
      <c r="O542" s="12" t="s">
        <v>26</v>
      </c>
    </row>
    <row r="543" spans="1:15">
      <c r="A543" s="4">
        <v>539</v>
      </c>
      <c r="B543" s="5" t="s">
        <v>1340</v>
      </c>
      <c r="C543" s="5" t="s">
        <v>1717</v>
      </c>
      <c r="D543" s="5" t="s">
        <v>2173</v>
      </c>
      <c r="E543" s="6" t="s">
        <v>2174</v>
      </c>
      <c r="F543" s="7" t="s">
        <v>21</v>
      </c>
      <c r="G543" s="5" t="s">
        <v>22</v>
      </c>
      <c r="H543" s="8"/>
      <c r="I543" s="9"/>
      <c r="J543" s="9" t="s">
        <v>23</v>
      </c>
      <c r="K543" s="8"/>
      <c r="L543" s="9"/>
      <c r="M543" s="10" t="s">
        <v>913</v>
      </c>
      <c r="N543" s="11" t="s">
        <v>2175</v>
      </c>
      <c r="O543" s="12" t="s">
        <v>26</v>
      </c>
    </row>
    <row r="544" spans="1:15">
      <c r="A544" s="4">
        <v>540</v>
      </c>
      <c r="B544" s="5" t="s">
        <v>1340</v>
      </c>
      <c r="C544" s="5" t="s">
        <v>2019</v>
      </c>
      <c r="D544" s="5" t="s">
        <v>2176</v>
      </c>
      <c r="E544" s="6" t="s">
        <v>2177</v>
      </c>
      <c r="F544" s="7" t="s">
        <v>21</v>
      </c>
      <c r="G544" s="5" t="s">
        <v>22</v>
      </c>
      <c r="H544" s="8"/>
      <c r="I544" s="9"/>
      <c r="J544" s="9" t="s">
        <v>23</v>
      </c>
      <c r="K544" s="8"/>
      <c r="L544" s="9"/>
      <c r="M544" s="10" t="s">
        <v>100</v>
      </c>
      <c r="N544" s="11" t="s">
        <v>2178</v>
      </c>
      <c r="O544" s="12" t="s">
        <v>26</v>
      </c>
    </row>
    <row r="545" spans="1:15">
      <c r="A545" s="4">
        <v>541</v>
      </c>
      <c r="B545" s="5" t="s">
        <v>1340</v>
      </c>
      <c r="C545" s="5" t="s">
        <v>1351</v>
      </c>
      <c r="D545" s="5" t="s">
        <v>2179</v>
      </c>
      <c r="E545" s="6" t="s">
        <v>2180</v>
      </c>
      <c r="F545" s="7" t="s">
        <v>21</v>
      </c>
      <c r="G545" s="5" t="s">
        <v>22</v>
      </c>
      <c r="H545" s="8"/>
      <c r="I545" s="9"/>
      <c r="J545" s="9" t="s">
        <v>23</v>
      </c>
      <c r="K545" s="8"/>
      <c r="L545" s="9"/>
      <c r="M545" s="10" t="s">
        <v>2181</v>
      </c>
      <c r="N545" s="11" t="s">
        <v>2182</v>
      </c>
      <c r="O545" s="12" t="s">
        <v>26</v>
      </c>
    </row>
    <row r="546" spans="1:15">
      <c r="A546" s="4">
        <v>542</v>
      </c>
      <c r="B546" s="5" t="s">
        <v>1340</v>
      </c>
      <c r="C546" s="5" t="s">
        <v>1455</v>
      </c>
      <c r="D546" s="5" t="s">
        <v>2183</v>
      </c>
      <c r="E546" s="6" t="s">
        <v>2184</v>
      </c>
      <c r="F546" s="7" t="s">
        <v>21</v>
      </c>
      <c r="G546" s="5" t="s">
        <v>22</v>
      </c>
      <c r="H546" s="8"/>
      <c r="I546" s="9"/>
      <c r="J546" s="9" t="s">
        <v>23</v>
      </c>
      <c r="K546" s="8"/>
      <c r="L546" s="9"/>
      <c r="M546" s="10" t="s">
        <v>913</v>
      </c>
      <c r="N546" s="11" t="s">
        <v>2185</v>
      </c>
      <c r="O546" s="12" t="s">
        <v>26</v>
      </c>
    </row>
    <row r="547" spans="1:15">
      <c r="A547" s="4">
        <v>543</v>
      </c>
      <c r="B547" s="5" t="s">
        <v>1340</v>
      </c>
      <c r="C547" s="5" t="s">
        <v>1455</v>
      </c>
      <c r="D547" s="5" t="s">
        <v>2186</v>
      </c>
      <c r="E547" s="14" t="s">
        <v>109</v>
      </c>
      <c r="F547" s="15" t="s">
        <v>110</v>
      </c>
      <c r="G547" s="5" t="s">
        <v>22</v>
      </c>
      <c r="H547" s="8"/>
      <c r="I547" s="9"/>
      <c r="J547" s="9" t="s">
        <v>23</v>
      </c>
      <c r="K547" s="8"/>
      <c r="L547" s="9"/>
      <c r="M547" s="10" t="s">
        <v>2187</v>
      </c>
      <c r="N547" s="11" t="s">
        <v>2188</v>
      </c>
      <c r="O547" s="12" t="s">
        <v>26</v>
      </c>
    </row>
    <row r="548" spans="1:15">
      <c r="A548" s="4">
        <v>544</v>
      </c>
      <c r="B548" s="5" t="s">
        <v>1340</v>
      </c>
      <c r="C548" s="5" t="s">
        <v>1554</v>
      </c>
      <c r="D548" s="5" t="s">
        <v>2189</v>
      </c>
      <c r="E548" s="6" t="s">
        <v>2190</v>
      </c>
      <c r="F548" s="7" t="s">
        <v>21</v>
      </c>
      <c r="G548" s="5" t="s">
        <v>22</v>
      </c>
      <c r="H548" s="8"/>
      <c r="I548" s="9"/>
      <c r="J548" s="9" t="s">
        <v>23</v>
      </c>
      <c r="K548" s="8"/>
      <c r="L548" s="9"/>
      <c r="M548" s="10" t="s">
        <v>2191</v>
      </c>
      <c r="N548" s="11" t="s">
        <v>2192</v>
      </c>
      <c r="O548" s="12" t="s">
        <v>26</v>
      </c>
    </row>
    <row r="549" spans="1:15">
      <c r="A549" s="4">
        <v>545</v>
      </c>
      <c r="B549" s="5" t="s">
        <v>1340</v>
      </c>
      <c r="C549" s="5" t="s">
        <v>2019</v>
      </c>
      <c r="D549" s="5" t="s">
        <v>2193</v>
      </c>
      <c r="E549" s="6" t="s">
        <v>2194</v>
      </c>
      <c r="F549" s="13" t="s">
        <v>34</v>
      </c>
      <c r="G549" s="5" t="s">
        <v>22</v>
      </c>
      <c r="H549" s="8"/>
      <c r="I549" s="9"/>
      <c r="J549" s="9" t="s">
        <v>23</v>
      </c>
      <c r="K549" s="8"/>
      <c r="L549" s="9"/>
      <c r="M549" s="10" t="s">
        <v>2195</v>
      </c>
      <c r="N549" s="11" t="s">
        <v>1400</v>
      </c>
      <c r="O549" s="12" t="s">
        <v>26</v>
      </c>
    </row>
    <row r="550" spans="1:15">
      <c r="A550" s="4">
        <v>546</v>
      </c>
      <c r="B550" s="5" t="s">
        <v>1340</v>
      </c>
      <c r="C550" s="5" t="s">
        <v>1429</v>
      </c>
      <c r="D550" s="5" t="s">
        <v>2196</v>
      </c>
      <c r="E550" s="6" t="s">
        <v>2197</v>
      </c>
      <c r="F550" s="7" t="s">
        <v>21</v>
      </c>
      <c r="G550" s="5" t="s">
        <v>22</v>
      </c>
      <c r="H550" s="8"/>
      <c r="I550" s="9"/>
      <c r="J550" s="9" t="s">
        <v>23</v>
      </c>
      <c r="K550" s="8"/>
      <c r="L550" s="9"/>
      <c r="M550" s="10" t="s">
        <v>2198</v>
      </c>
      <c r="N550" s="11" t="s">
        <v>2199</v>
      </c>
      <c r="O550" s="12" t="s">
        <v>26</v>
      </c>
    </row>
    <row r="551" spans="1:15">
      <c r="A551" s="4">
        <v>547</v>
      </c>
      <c r="B551" s="5" t="s">
        <v>1340</v>
      </c>
      <c r="C551" s="5" t="s">
        <v>1404</v>
      </c>
      <c r="D551" s="5" t="s">
        <v>2200</v>
      </c>
      <c r="E551" s="14" t="s">
        <v>109</v>
      </c>
      <c r="F551" s="15" t="s">
        <v>110</v>
      </c>
      <c r="G551" s="5" t="s">
        <v>22</v>
      </c>
      <c r="H551" s="8"/>
      <c r="I551" s="9"/>
      <c r="J551" s="9" t="s">
        <v>23</v>
      </c>
      <c r="K551" s="8"/>
      <c r="L551" s="9"/>
      <c r="M551" s="10" t="s">
        <v>2201</v>
      </c>
      <c r="N551" s="11" t="s">
        <v>2202</v>
      </c>
      <c r="O551" s="12" t="s">
        <v>26</v>
      </c>
    </row>
    <row r="552" spans="1:15">
      <c r="A552" s="4">
        <v>548</v>
      </c>
      <c r="B552" s="5" t="s">
        <v>1340</v>
      </c>
      <c r="C552" s="5" t="s">
        <v>1433</v>
      </c>
      <c r="D552" s="5" t="s">
        <v>2203</v>
      </c>
      <c r="E552" s="6" t="s">
        <v>2204</v>
      </c>
      <c r="F552" s="7" t="s">
        <v>21</v>
      </c>
      <c r="G552" s="5" t="s">
        <v>22</v>
      </c>
      <c r="H552" s="8"/>
      <c r="I552" s="9"/>
      <c r="J552" s="9" t="s">
        <v>23</v>
      </c>
      <c r="K552" s="8"/>
      <c r="L552" s="9"/>
      <c r="M552" s="10" t="s">
        <v>913</v>
      </c>
      <c r="N552" s="11" t="s">
        <v>2205</v>
      </c>
      <c r="O552" s="12" t="s">
        <v>26</v>
      </c>
    </row>
    <row r="553" spans="1:15">
      <c r="A553" s="4">
        <v>549</v>
      </c>
      <c r="B553" s="5" t="s">
        <v>1340</v>
      </c>
      <c r="C553" s="5" t="s">
        <v>2206</v>
      </c>
      <c r="D553" s="5" t="s">
        <v>2207</v>
      </c>
      <c r="E553" s="6" t="s">
        <v>2208</v>
      </c>
      <c r="F553" s="13" t="s">
        <v>34</v>
      </c>
      <c r="G553" s="5" t="s">
        <v>22</v>
      </c>
      <c r="H553" s="8"/>
      <c r="I553" s="9"/>
      <c r="J553" s="9" t="s">
        <v>23</v>
      </c>
      <c r="K553" s="8"/>
      <c r="L553" s="9"/>
      <c r="M553" s="10" t="s">
        <v>2209</v>
      </c>
      <c r="N553" s="11" t="s">
        <v>2210</v>
      </c>
      <c r="O553" s="12" t="s">
        <v>26</v>
      </c>
    </row>
    <row r="554" spans="1:15">
      <c r="A554" s="4">
        <v>550</v>
      </c>
      <c r="B554" s="5" t="s">
        <v>1340</v>
      </c>
      <c r="C554" s="5" t="s">
        <v>1387</v>
      </c>
      <c r="D554" s="5" t="s">
        <v>2211</v>
      </c>
      <c r="E554" s="6" t="s">
        <v>2212</v>
      </c>
      <c r="F554" s="13" t="s">
        <v>34</v>
      </c>
      <c r="G554" s="5" t="s">
        <v>22</v>
      </c>
      <c r="H554" s="8"/>
      <c r="I554" s="9"/>
      <c r="J554" s="9" t="s">
        <v>23</v>
      </c>
      <c r="K554" s="8"/>
      <c r="L554" s="9"/>
      <c r="M554" s="10" t="s">
        <v>2213</v>
      </c>
      <c r="N554" s="11" t="s">
        <v>2214</v>
      </c>
      <c r="O554" s="12" t="s">
        <v>26</v>
      </c>
    </row>
    <row r="555" spans="1:15">
      <c r="A555" s="4">
        <v>551</v>
      </c>
      <c r="B555" s="5" t="s">
        <v>1340</v>
      </c>
      <c r="C555" s="5" t="s">
        <v>1413</v>
      </c>
      <c r="D555" s="5" t="s">
        <v>2215</v>
      </c>
      <c r="E555" s="6" t="s">
        <v>2216</v>
      </c>
      <c r="F555" s="7" t="s">
        <v>21</v>
      </c>
      <c r="G555" s="5" t="s">
        <v>22</v>
      </c>
      <c r="H555" s="8"/>
      <c r="I555" s="9"/>
      <c r="J555" s="9" t="s">
        <v>23</v>
      </c>
      <c r="K555" s="8"/>
      <c r="L555" s="9"/>
      <c r="M555" s="10" t="s">
        <v>913</v>
      </c>
      <c r="N555" s="11" t="s">
        <v>2217</v>
      </c>
      <c r="O555" s="12" t="s">
        <v>26</v>
      </c>
    </row>
    <row r="556" spans="1:15">
      <c r="A556" s="4">
        <v>552</v>
      </c>
      <c r="B556" s="5" t="s">
        <v>2218</v>
      </c>
      <c r="C556" s="5" t="s">
        <v>2219</v>
      </c>
      <c r="D556" s="5" t="s">
        <v>2220</v>
      </c>
      <c r="E556" s="6" t="s">
        <v>2221</v>
      </c>
      <c r="F556" s="13" t="s">
        <v>34</v>
      </c>
      <c r="G556" s="5" t="s">
        <v>22</v>
      </c>
      <c r="H556" s="8"/>
      <c r="I556" s="9"/>
      <c r="J556" s="9" t="s">
        <v>23</v>
      </c>
      <c r="K556" s="8"/>
      <c r="L556" s="9"/>
      <c r="M556" s="10" t="s">
        <v>2222</v>
      </c>
      <c r="N556" s="11" t="s">
        <v>2223</v>
      </c>
      <c r="O556" s="12" t="s">
        <v>26</v>
      </c>
    </row>
    <row r="557" spans="1:15">
      <c r="A557" s="4">
        <v>553</v>
      </c>
      <c r="B557" s="5" t="s">
        <v>2218</v>
      </c>
      <c r="C557" s="5" t="s">
        <v>2224</v>
      </c>
      <c r="D557" s="5" t="s">
        <v>2225</v>
      </c>
      <c r="E557" s="6" t="s">
        <v>2226</v>
      </c>
      <c r="F557" s="13" t="s">
        <v>34</v>
      </c>
      <c r="G557" s="5" t="s">
        <v>22</v>
      </c>
      <c r="H557" s="8"/>
      <c r="I557" s="9"/>
      <c r="J557" s="9" t="s">
        <v>23</v>
      </c>
      <c r="K557" s="8"/>
      <c r="L557" s="9"/>
      <c r="M557" s="10" t="s">
        <v>904</v>
      </c>
      <c r="N557" s="11" t="s">
        <v>2227</v>
      </c>
      <c r="O557" s="12" t="s">
        <v>26</v>
      </c>
    </row>
    <row r="558" spans="1:15">
      <c r="A558" s="4">
        <v>554</v>
      </c>
      <c r="B558" s="5" t="s">
        <v>2218</v>
      </c>
      <c r="C558" s="5" t="s">
        <v>2228</v>
      </c>
      <c r="D558" s="5" t="s">
        <v>2229</v>
      </c>
      <c r="E558" s="6" t="s">
        <v>2230</v>
      </c>
      <c r="F558" s="13" t="s">
        <v>34</v>
      </c>
      <c r="G558" s="5" t="s">
        <v>485</v>
      </c>
      <c r="H558" s="8"/>
      <c r="I558" s="9"/>
      <c r="J558" s="9" t="s">
        <v>23</v>
      </c>
      <c r="K558" s="8"/>
      <c r="L558" s="9"/>
      <c r="M558" s="10" t="s">
        <v>233</v>
      </c>
      <c r="N558" s="11" t="s">
        <v>2231</v>
      </c>
      <c r="O558" s="12" t="s">
        <v>26</v>
      </c>
    </row>
    <row r="559" spans="1:15">
      <c r="A559" s="4">
        <v>555</v>
      </c>
      <c r="B559" s="5" t="s">
        <v>2218</v>
      </c>
      <c r="C559" s="5" t="s">
        <v>2232</v>
      </c>
      <c r="D559" s="5" t="s">
        <v>2233</v>
      </c>
      <c r="E559" s="6" t="s">
        <v>2234</v>
      </c>
      <c r="F559" s="7" t="s">
        <v>21</v>
      </c>
      <c r="G559" s="5" t="s">
        <v>22</v>
      </c>
      <c r="H559" s="8"/>
      <c r="I559" s="9"/>
      <c r="J559" s="9" t="s">
        <v>23</v>
      </c>
      <c r="K559" s="8"/>
      <c r="L559" s="9"/>
      <c r="M559" s="10" t="s">
        <v>1016</v>
      </c>
      <c r="N559" s="11" t="s">
        <v>2235</v>
      </c>
      <c r="O559" s="12" t="s">
        <v>26</v>
      </c>
    </row>
    <row r="560" spans="1:15">
      <c r="A560" s="4">
        <v>556</v>
      </c>
      <c r="B560" s="5" t="s">
        <v>2218</v>
      </c>
      <c r="C560" s="5" t="s">
        <v>2236</v>
      </c>
      <c r="D560" s="5" t="s">
        <v>2237</v>
      </c>
      <c r="E560" s="6" t="s">
        <v>2238</v>
      </c>
      <c r="F560" s="13" t="s">
        <v>34</v>
      </c>
      <c r="G560" s="5" t="s">
        <v>29</v>
      </c>
      <c r="H560" s="8"/>
      <c r="I560" s="9"/>
      <c r="J560" s="9" t="s">
        <v>23</v>
      </c>
      <c r="K560" s="8"/>
      <c r="L560" s="9"/>
      <c r="M560" s="10" t="s">
        <v>954</v>
      </c>
      <c r="N560" s="11" t="s">
        <v>2239</v>
      </c>
      <c r="O560" s="12" t="s">
        <v>26</v>
      </c>
    </row>
    <row r="561" spans="1:15">
      <c r="A561" s="4">
        <v>557</v>
      </c>
      <c r="B561" s="5" t="s">
        <v>2218</v>
      </c>
      <c r="C561" s="5" t="s">
        <v>2240</v>
      </c>
      <c r="D561" s="5" t="s">
        <v>2241</v>
      </c>
      <c r="E561" s="6" t="s">
        <v>2242</v>
      </c>
      <c r="F561" s="7" t="s">
        <v>21</v>
      </c>
      <c r="G561" s="5" t="s">
        <v>22</v>
      </c>
      <c r="H561" s="8"/>
      <c r="I561" s="9"/>
      <c r="J561" s="9" t="s">
        <v>23</v>
      </c>
      <c r="K561" s="8"/>
      <c r="L561" s="9"/>
      <c r="M561" s="10" t="s">
        <v>192</v>
      </c>
      <c r="N561" s="11" t="s">
        <v>2243</v>
      </c>
      <c r="O561" s="12" t="s">
        <v>26</v>
      </c>
    </row>
    <row r="562" spans="1:15">
      <c r="A562" s="4">
        <v>558</v>
      </c>
      <c r="B562" s="5" t="s">
        <v>2218</v>
      </c>
      <c r="C562" s="5" t="s">
        <v>2244</v>
      </c>
      <c r="D562" s="5" t="s">
        <v>2245</v>
      </c>
      <c r="E562" s="6" t="s">
        <v>2246</v>
      </c>
      <c r="F562" s="7" t="s">
        <v>21</v>
      </c>
      <c r="G562" s="5" t="s">
        <v>22</v>
      </c>
      <c r="H562" s="8"/>
      <c r="I562" s="9"/>
      <c r="J562" s="9" t="s">
        <v>23</v>
      </c>
      <c r="K562" s="8"/>
      <c r="L562" s="9"/>
      <c r="M562" s="10" t="s">
        <v>913</v>
      </c>
      <c r="N562" s="11" t="s">
        <v>2247</v>
      </c>
      <c r="O562" s="12" t="s">
        <v>26</v>
      </c>
    </row>
    <row r="563" spans="1:15">
      <c r="A563" s="4">
        <v>559</v>
      </c>
      <c r="B563" s="5" t="s">
        <v>2218</v>
      </c>
      <c r="C563" s="5" t="s">
        <v>2248</v>
      </c>
      <c r="D563" s="5" t="s">
        <v>2249</v>
      </c>
      <c r="E563" s="6" t="s">
        <v>2250</v>
      </c>
      <c r="F563" s="13" t="s">
        <v>34</v>
      </c>
      <c r="G563" s="5" t="s">
        <v>22</v>
      </c>
      <c r="H563" s="8"/>
      <c r="I563" s="9"/>
      <c r="J563" s="9" t="s">
        <v>23</v>
      </c>
      <c r="K563" s="8"/>
      <c r="L563" s="9"/>
      <c r="M563" s="10" t="s">
        <v>233</v>
      </c>
      <c r="N563" s="11" t="s">
        <v>2251</v>
      </c>
      <c r="O563" s="12" t="s">
        <v>26</v>
      </c>
    </row>
    <row r="564" spans="1:15">
      <c r="A564" s="4">
        <v>560</v>
      </c>
      <c r="B564" s="5" t="s">
        <v>2218</v>
      </c>
      <c r="C564" s="5" t="s">
        <v>2252</v>
      </c>
      <c r="D564" s="5" t="s">
        <v>2253</v>
      </c>
      <c r="E564" s="6" t="s">
        <v>2254</v>
      </c>
      <c r="F564" s="7" t="s">
        <v>21</v>
      </c>
      <c r="G564" s="5" t="s">
        <v>29</v>
      </c>
      <c r="H564" s="8"/>
      <c r="I564" s="9"/>
      <c r="J564" s="9" t="s">
        <v>23</v>
      </c>
      <c r="K564" s="8"/>
      <c r="L564" s="9"/>
      <c r="M564" s="10" t="s">
        <v>913</v>
      </c>
      <c r="N564" s="11" t="s">
        <v>2255</v>
      </c>
      <c r="O564" s="12" t="s">
        <v>26</v>
      </c>
    </row>
    <row r="565" spans="1:15">
      <c r="A565" s="4">
        <v>561</v>
      </c>
      <c r="B565" s="5" t="s">
        <v>2218</v>
      </c>
      <c r="C565" s="5" t="s">
        <v>2256</v>
      </c>
      <c r="D565" s="5" t="s">
        <v>2257</v>
      </c>
      <c r="E565" s="6" t="s">
        <v>2258</v>
      </c>
      <c r="F565" s="13" t="s">
        <v>34</v>
      </c>
      <c r="G565" s="5" t="s">
        <v>22</v>
      </c>
      <c r="H565" s="8"/>
      <c r="I565" s="9"/>
      <c r="J565" s="9" t="s">
        <v>23</v>
      </c>
      <c r="K565" s="8"/>
      <c r="L565" s="9"/>
      <c r="M565" s="10" t="s">
        <v>2259</v>
      </c>
      <c r="N565" s="11" t="s">
        <v>2260</v>
      </c>
      <c r="O565" s="12" t="s">
        <v>26</v>
      </c>
    </row>
    <row r="566" spans="1:15">
      <c r="A566" s="4">
        <v>562</v>
      </c>
      <c r="B566" s="5" t="s">
        <v>2218</v>
      </c>
      <c r="C566" s="5" t="s">
        <v>2224</v>
      </c>
      <c r="D566" s="5" t="s">
        <v>2261</v>
      </c>
      <c r="E566" s="6" t="s">
        <v>2262</v>
      </c>
      <c r="F566" s="13" t="s">
        <v>34</v>
      </c>
      <c r="G566" s="5" t="s">
        <v>22</v>
      </c>
      <c r="H566" s="8"/>
      <c r="I566" s="9"/>
      <c r="J566" s="9" t="s">
        <v>23</v>
      </c>
      <c r="K566" s="8"/>
      <c r="L566" s="9"/>
      <c r="M566" s="10" t="s">
        <v>904</v>
      </c>
      <c r="N566" s="11" t="s">
        <v>2263</v>
      </c>
      <c r="O566" s="12" t="s">
        <v>26</v>
      </c>
    </row>
    <row r="567" spans="1:15">
      <c r="A567" s="4">
        <v>563</v>
      </c>
      <c r="B567" s="5" t="s">
        <v>2218</v>
      </c>
      <c r="C567" s="5" t="s">
        <v>2264</v>
      </c>
      <c r="D567" s="5" t="s">
        <v>2265</v>
      </c>
      <c r="E567" s="6" t="s">
        <v>2266</v>
      </c>
      <c r="F567" s="7" t="s">
        <v>21</v>
      </c>
      <c r="G567" s="5" t="s">
        <v>22</v>
      </c>
      <c r="H567" s="8"/>
      <c r="I567" s="9"/>
      <c r="J567" s="9" t="s">
        <v>23</v>
      </c>
      <c r="K567" s="8"/>
      <c r="L567" s="9"/>
      <c r="M567" s="10" t="s">
        <v>2267</v>
      </c>
      <c r="N567" s="11" t="s">
        <v>2268</v>
      </c>
      <c r="O567" s="12" t="s">
        <v>26</v>
      </c>
    </row>
    <row r="568" spans="1:15">
      <c r="A568" s="4">
        <v>564</v>
      </c>
      <c r="B568" s="5" t="s">
        <v>2218</v>
      </c>
      <c r="C568" s="5" t="s">
        <v>2244</v>
      </c>
      <c r="D568" s="5" t="s">
        <v>2269</v>
      </c>
      <c r="E568" s="6" t="s">
        <v>2270</v>
      </c>
      <c r="F568" s="7" t="s">
        <v>21</v>
      </c>
      <c r="G568" s="5" t="s">
        <v>22</v>
      </c>
      <c r="H568" s="8"/>
      <c r="I568" s="9"/>
      <c r="J568" s="9" t="s">
        <v>23</v>
      </c>
      <c r="K568" s="8"/>
      <c r="L568" s="9"/>
      <c r="M568" s="10" t="s">
        <v>913</v>
      </c>
      <c r="N568" s="11" t="s">
        <v>2271</v>
      </c>
      <c r="O568" s="12" t="s">
        <v>26</v>
      </c>
    </row>
    <row r="569" spans="1:15">
      <c r="A569" s="4">
        <v>565</v>
      </c>
      <c r="B569" s="5" t="s">
        <v>2218</v>
      </c>
      <c r="C569" s="5" t="s">
        <v>2244</v>
      </c>
      <c r="D569" s="5" t="s">
        <v>2272</v>
      </c>
      <c r="E569" s="6" t="s">
        <v>2273</v>
      </c>
      <c r="F569" s="7" t="s">
        <v>21</v>
      </c>
      <c r="G569" s="5" t="s">
        <v>22</v>
      </c>
      <c r="H569" s="8"/>
      <c r="I569" s="9"/>
      <c r="J569" s="9" t="s">
        <v>23</v>
      </c>
      <c r="K569" s="8"/>
      <c r="L569" s="9"/>
      <c r="M569" s="10" t="s">
        <v>2274</v>
      </c>
      <c r="N569" s="11" t="s">
        <v>2275</v>
      </c>
      <c r="O569" s="12" t="s">
        <v>26</v>
      </c>
    </row>
    <row r="570" spans="1:15">
      <c r="A570" s="4">
        <v>566</v>
      </c>
      <c r="B570" s="5" t="s">
        <v>2218</v>
      </c>
      <c r="C570" s="5" t="s">
        <v>2244</v>
      </c>
      <c r="D570" s="5" t="s">
        <v>2276</v>
      </c>
      <c r="E570" s="6" t="s">
        <v>2277</v>
      </c>
      <c r="F570" s="13" t="s">
        <v>34</v>
      </c>
      <c r="G570" s="5" t="s">
        <v>22</v>
      </c>
      <c r="H570" s="8"/>
      <c r="I570" s="9"/>
      <c r="J570" s="9" t="s">
        <v>23</v>
      </c>
      <c r="K570" s="8"/>
      <c r="L570" s="9"/>
      <c r="M570" s="10" t="s">
        <v>904</v>
      </c>
      <c r="N570" s="11" t="s">
        <v>2278</v>
      </c>
      <c r="O570" s="12" t="s">
        <v>26</v>
      </c>
    </row>
    <row r="571" spans="1:15">
      <c r="A571" s="4">
        <v>567</v>
      </c>
      <c r="B571" s="5" t="s">
        <v>2218</v>
      </c>
      <c r="C571" s="5" t="s">
        <v>2279</v>
      </c>
      <c r="D571" s="5" t="s">
        <v>2280</v>
      </c>
      <c r="E571" s="6" t="s">
        <v>2281</v>
      </c>
      <c r="F571" s="7" t="s">
        <v>21</v>
      </c>
      <c r="G571" s="5" t="s">
        <v>22</v>
      </c>
      <c r="H571" s="8"/>
      <c r="I571" s="9"/>
      <c r="J571" s="9" t="s">
        <v>23</v>
      </c>
      <c r="K571" s="8"/>
      <c r="L571" s="9"/>
      <c r="M571" s="10" t="s">
        <v>2282</v>
      </c>
      <c r="N571" s="11" t="s">
        <v>2283</v>
      </c>
      <c r="O571" s="12" t="s">
        <v>26</v>
      </c>
    </row>
    <row r="572" spans="1:15">
      <c r="A572" s="4">
        <v>568</v>
      </c>
      <c r="B572" s="5" t="s">
        <v>2218</v>
      </c>
      <c r="C572" s="5" t="s">
        <v>2219</v>
      </c>
      <c r="D572" s="5" t="s">
        <v>2284</v>
      </c>
      <c r="E572" s="6" t="s">
        <v>2285</v>
      </c>
      <c r="F572" s="13" t="s">
        <v>34</v>
      </c>
      <c r="G572" s="5" t="s">
        <v>22</v>
      </c>
      <c r="H572" s="8"/>
      <c r="I572" s="9"/>
      <c r="J572" s="9" t="s">
        <v>23</v>
      </c>
      <c r="K572" s="8"/>
      <c r="L572" s="9"/>
      <c r="M572" s="10" t="s">
        <v>2286</v>
      </c>
      <c r="N572" s="11" t="s">
        <v>2287</v>
      </c>
      <c r="O572" s="12" t="s">
        <v>26</v>
      </c>
    </row>
    <row r="573" spans="1:15">
      <c r="A573" s="4">
        <v>569</v>
      </c>
      <c r="B573" s="5" t="s">
        <v>2218</v>
      </c>
      <c r="C573" s="5" t="s">
        <v>2288</v>
      </c>
      <c r="D573" s="5" t="s">
        <v>2289</v>
      </c>
      <c r="E573" s="6" t="s">
        <v>2290</v>
      </c>
      <c r="F573" s="13" t="s">
        <v>34</v>
      </c>
      <c r="G573" s="5" t="s">
        <v>22</v>
      </c>
      <c r="H573" s="8"/>
      <c r="I573" s="9"/>
      <c r="J573" s="9" t="s">
        <v>23</v>
      </c>
      <c r="K573" s="8"/>
      <c r="L573" s="9"/>
      <c r="M573" s="10" t="s">
        <v>1548</v>
      </c>
      <c r="N573" s="11" t="s">
        <v>2291</v>
      </c>
      <c r="O573" s="12" t="s">
        <v>26</v>
      </c>
    </row>
    <row r="574" spans="1:15">
      <c r="A574" s="4">
        <v>570</v>
      </c>
      <c r="B574" s="5" t="s">
        <v>2218</v>
      </c>
      <c r="C574" s="5" t="s">
        <v>2292</v>
      </c>
      <c r="D574" s="5" t="s">
        <v>2293</v>
      </c>
      <c r="E574" s="6" t="s">
        <v>2294</v>
      </c>
      <c r="F574" s="7" t="s">
        <v>21</v>
      </c>
      <c r="G574" s="5" t="s">
        <v>22</v>
      </c>
      <c r="H574" s="8"/>
      <c r="I574" s="9"/>
      <c r="J574" s="9" t="s">
        <v>23</v>
      </c>
      <c r="K574" s="8"/>
      <c r="L574" s="9"/>
      <c r="M574" s="10" t="s">
        <v>735</v>
      </c>
      <c r="N574" s="11" t="s">
        <v>2295</v>
      </c>
      <c r="O574" s="12" t="s">
        <v>26</v>
      </c>
    </row>
    <row r="575" spans="1:15">
      <c r="A575" s="4">
        <v>571</v>
      </c>
      <c r="B575" s="5" t="s">
        <v>2218</v>
      </c>
      <c r="C575" s="5" t="s">
        <v>2244</v>
      </c>
      <c r="D575" s="5" t="s">
        <v>2296</v>
      </c>
      <c r="E575" s="6" t="s">
        <v>2297</v>
      </c>
      <c r="F575" s="7" t="s">
        <v>21</v>
      </c>
      <c r="G575" s="5" t="s">
        <v>29</v>
      </c>
      <c r="H575" s="8"/>
      <c r="I575" s="9"/>
      <c r="J575" s="9" t="s">
        <v>23</v>
      </c>
      <c r="K575" s="8"/>
      <c r="L575" s="9"/>
      <c r="M575" s="10" t="s">
        <v>1016</v>
      </c>
      <c r="N575" s="11" t="s">
        <v>2298</v>
      </c>
      <c r="O575" s="12" t="s">
        <v>26</v>
      </c>
    </row>
    <row r="576" spans="1:15">
      <c r="A576" s="4">
        <v>572</v>
      </c>
      <c r="B576" s="5" t="s">
        <v>2218</v>
      </c>
      <c r="C576" s="5" t="s">
        <v>2299</v>
      </c>
      <c r="D576" s="5" t="s">
        <v>2300</v>
      </c>
      <c r="E576" s="6" t="s">
        <v>2301</v>
      </c>
      <c r="F576" s="13" t="s">
        <v>34</v>
      </c>
      <c r="G576" s="5" t="s">
        <v>22</v>
      </c>
      <c r="H576" s="8"/>
      <c r="I576" s="9"/>
      <c r="J576" s="9" t="s">
        <v>23</v>
      </c>
      <c r="K576" s="8"/>
      <c r="L576" s="9"/>
      <c r="M576" s="10" t="s">
        <v>233</v>
      </c>
      <c r="N576" s="11" t="s">
        <v>2302</v>
      </c>
      <c r="O576" s="12" t="s">
        <v>26</v>
      </c>
    </row>
    <row r="577" spans="1:15">
      <c r="A577" s="4">
        <v>573</v>
      </c>
      <c r="B577" s="5" t="s">
        <v>2218</v>
      </c>
      <c r="C577" s="5" t="s">
        <v>2303</v>
      </c>
      <c r="D577" s="5" t="s">
        <v>2304</v>
      </c>
      <c r="E577" s="6" t="s">
        <v>2305</v>
      </c>
      <c r="F577" s="13" t="s">
        <v>34</v>
      </c>
      <c r="G577" s="5" t="s">
        <v>22</v>
      </c>
      <c r="H577" s="8"/>
      <c r="I577" s="9"/>
      <c r="J577" s="9" t="s">
        <v>23</v>
      </c>
      <c r="K577" s="8"/>
      <c r="L577" s="9"/>
      <c r="M577" s="10" t="s">
        <v>2306</v>
      </c>
      <c r="N577" s="11" t="s">
        <v>2307</v>
      </c>
      <c r="O577" s="12" t="s">
        <v>26</v>
      </c>
    </row>
    <row r="578" spans="1:15">
      <c r="A578" s="4">
        <v>574</v>
      </c>
      <c r="B578" s="5" t="s">
        <v>2218</v>
      </c>
      <c r="C578" s="5" t="s">
        <v>2248</v>
      </c>
      <c r="D578" s="5" t="s">
        <v>2308</v>
      </c>
      <c r="E578" s="14" t="s">
        <v>109</v>
      </c>
      <c r="F578" s="15" t="s">
        <v>110</v>
      </c>
      <c r="G578" s="5" t="s">
        <v>22</v>
      </c>
      <c r="H578" s="8"/>
      <c r="I578" s="9"/>
      <c r="J578" s="9" t="s">
        <v>23</v>
      </c>
      <c r="K578" s="8"/>
      <c r="L578" s="9"/>
      <c r="M578" s="10" t="s">
        <v>2309</v>
      </c>
      <c r="N578" s="11" t="s">
        <v>2310</v>
      </c>
      <c r="O578" s="12" t="s">
        <v>26</v>
      </c>
    </row>
    <row r="579" spans="1:15">
      <c r="A579" s="4">
        <v>575</v>
      </c>
      <c r="B579" s="5" t="s">
        <v>2218</v>
      </c>
      <c r="C579" s="5" t="s">
        <v>2299</v>
      </c>
      <c r="D579" s="5" t="s">
        <v>2311</v>
      </c>
      <c r="E579" s="6" t="s">
        <v>2312</v>
      </c>
      <c r="F579" s="13" t="s">
        <v>34</v>
      </c>
      <c r="G579" s="5" t="s">
        <v>22</v>
      </c>
      <c r="H579" s="8"/>
      <c r="I579" s="9"/>
      <c r="J579" s="9" t="s">
        <v>23</v>
      </c>
      <c r="K579" s="8"/>
      <c r="L579" s="9"/>
      <c r="M579" s="10" t="s">
        <v>2313</v>
      </c>
      <c r="N579" s="11" t="s">
        <v>2314</v>
      </c>
      <c r="O579" s="12" t="s">
        <v>26</v>
      </c>
    </row>
    <row r="580" spans="1:15">
      <c r="A580" s="4">
        <v>576</v>
      </c>
      <c r="B580" s="5" t="s">
        <v>2218</v>
      </c>
      <c r="C580" s="5" t="s">
        <v>2315</v>
      </c>
      <c r="D580" s="5" t="s">
        <v>2316</v>
      </c>
      <c r="E580" s="6" t="s">
        <v>2317</v>
      </c>
      <c r="F580" s="7" t="s">
        <v>21</v>
      </c>
      <c r="G580" s="5" t="s">
        <v>22</v>
      </c>
      <c r="H580" s="8"/>
      <c r="I580" s="9"/>
      <c r="J580" s="9" t="s">
        <v>23</v>
      </c>
      <c r="K580" s="8"/>
      <c r="L580" s="9"/>
      <c r="M580" s="10" t="s">
        <v>296</v>
      </c>
      <c r="N580" s="11" t="s">
        <v>2318</v>
      </c>
      <c r="O580" s="12" t="s">
        <v>26</v>
      </c>
    </row>
    <row r="581" spans="1:15">
      <c r="A581" s="4">
        <v>577</v>
      </c>
      <c r="B581" s="5" t="s">
        <v>2218</v>
      </c>
      <c r="C581" s="5" t="s">
        <v>2319</v>
      </c>
      <c r="D581" s="5" t="s">
        <v>2320</v>
      </c>
      <c r="E581" s="6" t="s">
        <v>2321</v>
      </c>
      <c r="F581" s="13" t="s">
        <v>34</v>
      </c>
      <c r="G581" s="5" t="s">
        <v>22</v>
      </c>
      <c r="H581" s="8"/>
      <c r="I581" s="9"/>
      <c r="J581" s="9" t="s">
        <v>23</v>
      </c>
      <c r="K581" s="8"/>
      <c r="L581" s="9"/>
      <c r="M581" s="10" t="s">
        <v>233</v>
      </c>
      <c r="N581" s="11" t="s">
        <v>2322</v>
      </c>
      <c r="O581" s="12" t="s">
        <v>26</v>
      </c>
    </row>
    <row r="582" spans="1:15">
      <c r="A582" s="4">
        <v>578</v>
      </c>
      <c r="B582" s="5" t="s">
        <v>2218</v>
      </c>
      <c r="C582" s="5" t="s">
        <v>2319</v>
      </c>
      <c r="D582" s="5" t="s">
        <v>2323</v>
      </c>
      <c r="E582" s="6" t="s">
        <v>2324</v>
      </c>
      <c r="F582" s="13" t="s">
        <v>34</v>
      </c>
      <c r="G582" s="5" t="s">
        <v>22</v>
      </c>
      <c r="H582" s="8"/>
      <c r="I582" s="9"/>
      <c r="J582" s="9" t="s">
        <v>23</v>
      </c>
      <c r="K582" s="8"/>
      <c r="L582" s="9"/>
      <c r="M582" s="10" t="s">
        <v>2325</v>
      </c>
      <c r="N582" s="11" t="s">
        <v>2326</v>
      </c>
      <c r="O582" s="12" t="s">
        <v>26</v>
      </c>
    </row>
    <row r="583" spans="1:15">
      <c r="A583" s="4">
        <v>579</v>
      </c>
      <c r="B583" s="5" t="s">
        <v>2218</v>
      </c>
      <c r="C583" s="5" t="s">
        <v>2327</v>
      </c>
      <c r="D583" s="5" t="s">
        <v>2328</v>
      </c>
      <c r="E583" s="6" t="s">
        <v>2329</v>
      </c>
      <c r="F583" s="13" t="s">
        <v>34</v>
      </c>
      <c r="G583" s="5" t="s">
        <v>22</v>
      </c>
      <c r="H583" s="8"/>
      <c r="I583" s="9"/>
      <c r="J583" s="9" t="s">
        <v>23</v>
      </c>
      <c r="K583" s="8"/>
      <c r="L583" s="9"/>
      <c r="M583" s="10" t="s">
        <v>904</v>
      </c>
      <c r="N583" s="11" t="s">
        <v>2330</v>
      </c>
      <c r="O583" s="12" t="s">
        <v>26</v>
      </c>
    </row>
    <row r="584" spans="1:15">
      <c r="A584" s="4">
        <v>580</v>
      </c>
      <c r="B584" s="5" t="s">
        <v>2218</v>
      </c>
      <c r="C584" s="5" t="s">
        <v>2331</v>
      </c>
      <c r="D584" s="5" t="s">
        <v>2332</v>
      </c>
      <c r="E584" s="6" t="s">
        <v>2333</v>
      </c>
      <c r="F584" s="13" t="s">
        <v>34</v>
      </c>
      <c r="G584" s="5" t="s">
        <v>22</v>
      </c>
      <c r="H584" s="8"/>
      <c r="I584" s="9"/>
      <c r="J584" s="9" t="s">
        <v>23</v>
      </c>
      <c r="K584" s="8"/>
      <c r="L584" s="9"/>
      <c r="M584" s="10" t="s">
        <v>233</v>
      </c>
      <c r="N584" s="11" t="s">
        <v>2334</v>
      </c>
      <c r="O584" s="12" t="s">
        <v>26</v>
      </c>
    </row>
    <row r="585" spans="1:15">
      <c r="A585" s="4">
        <v>581</v>
      </c>
      <c r="B585" s="5" t="s">
        <v>2218</v>
      </c>
      <c r="C585" s="5" t="s">
        <v>2335</v>
      </c>
      <c r="D585" s="5" t="s">
        <v>2336</v>
      </c>
      <c r="E585" s="6" t="s">
        <v>2337</v>
      </c>
      <c r="F585" s="7" t="s">
        <v>21</v>
      </c>
      <c r="G585" s="5" t="s">
        <v>22</v>
      </c>
      <c r="H585" s="8"/>
      <c r="I585" s="9"/>
      <c r="J585" s="9" t="s">
        <v>23</v>
      </c>
      <c r="K585" s="8"/>
      <c r="L585" s="9"/>
      <c r="M585" s="10" t="s">
        <v>2338</v>
      </c>
      <c r="N585" s="11" t="s">
        <v>2339</v>
      </c>
      <c r="O585" s="12" t="s">
        <v>26</v>
      </c>
    </row>
    <row r="586" spans="1:15">
      <c r="A586" s="4">
        <v>582</v>
      </c>
      <c r="B586" s="5" t="s">
        <v>2218</v>
      </c>
      <c r="C586" s="5" t="s">
        <v>2299</v>
      </c>
      <c r="D586" s="5" t="s">
        <v>2340</v>
      </c>
      <c r="E586" s="6" t="s">
        <v>2341</v>
      </c>
      <c r="F586" s="13" t="s">
        <v>34</v>
      </c>
      <c r="G586" s="5" t="s">
        <v>22</v>
      </c>
      <c r="H586" s="8"/>
      <c r="I586" s="9"/>
      <c r="J586" s="9" t="s">
        <v>23</v>
      </c>
      <c r="K586" s="8"/>
      <c r="L586" s="9"/>
      <c r="M586" s="10" t="s">
        <v>2342</v>
      </c>
      <c r="N586" s="11" t="s">
        <v>2343</v>
      </c>
      <c r="O586" s="12" t="s">
        <v>26</v>
      </c>
    </row>
    <row r="587" spans="1:15">
      <c r="A587" s="4">
        <v>583</v>
      </c>
      <c r="B587" s="5" t="s">
        <v>2218</v>
      </c>
      <c r="C587" s="5" t="s">
        <v>2299</v>
      </c>
      <c r="D587" s="5" t="s">
        <v>2344</v>
      </c>
      <c r="E587" s="6" t="s">
        <v>2345</v>
      </c>
      <c r="F587" s="13" t="s">
        <v>34</v>
      </c>
      <c r="G587" s="5" t="s">
        <v>22</v>
      </c>
      <c r="H587" s="8"/>
      <c r="I587" s="9"/>
      <c r="J587" s="9" t="s">
        <v>23</v>
      </c>
      <c r="K587" s="8"/>
      <c r="L587" s="9"/>
      <c r="M587" s="10" t="s">
        <v>1609</v>
      </c>
      <c r="N587" s="11" t="s">
        <v>2346</v>
      </c>
      <c r="O587" s="12" t="s">
        <v>26</v>
      </c>
    </row>
    <row r="588" spans="1:15">
      <c r="A588" s="4">
        <v>584</v>
      </c>
      <c r="B588" s="5" t="s">
        <v>2218</v>
      </c>
      <c r="C588" s="5" t="s">
        <v>2299</v>
      </c>
      <c r="D588" s="5" t="s">
        <v>2347</v>
      </c>
      <c r="E588" s="6" t="s">
        <v>2348</v>
      </c>
      <c r="F588" s="13" t="s">
        <v>34</v>
      </c>
      <c r="G588" s="5" t="s">
        <v>22</v>
      </c>
      <c r="H588" s="8"/>
      <c r="I588" s="9"/>
      <c r="J588" s="9" t="s">
        <v>23</v>
      </c>
      <c r="K588" s="8"/>
      <c r="L588" s="9"/>
      <c r="M588" s="10" t="s">
        <v>904</v>
      </c>
      <c r="N588" s="11" t="s">
        <v>2349</v>
      </c>
      <c r="O588" s="12" t="s">
        <v>26</v>
      </c>
    </row>
    <row r="589" spans="1:15">
      <c r="A589" s="4">
        <v>585</v>
      </c>
      <c r="B589" s="5" t="s">
        <v>2218</v>
      </c>
      <c r="C589" s="5" t="s">
        <v>2350</v>
      </c>
      <c r="D589" s="5" t="s">
        <v>2351</v>
      </c>
      <c r="E589" s="6" t="s">
        <v>2352</v>
      </c>
      <c r="F589" s="7" t="s">
        <v>21</v>
      </c>
      <c r="G589" s="5" t="s">
        <v>22</v>
      </c>
      <c r="H589" s="8"/>
      <c r="I589" s="9"/>
      <c r="J589" s="9" t="s">
        <v>23</v>
      </c>
      <c r="K589" s="8"/>
      <c r="L589" s="9"/>
      <c r="M589" s="10" t="s">
        <v>966</v>
      </c>
      <c r="N589" s="11" t="s">
        <v>2353</v>
      </c>
      <c r="O589" s="12" t="s">
        <v>26</v>
      </c>
    </row>
    <row r="590" spans="1:15">
      <c r="A590" s="4">
        <v>586</v>
      </c>
      <c r="B590" s="5" t="s">
        <v>2218</v>
      </c>
      <c r="C590" s="5" t="s">
        <v>2354</v>
      </c>
      <c r="D590" s="5" t="s">
        <v>2355</v>
      </c>
      <c r="E590" s="6" t="s">
        <v>2356</v>
      </c>
      <c r="F590" s="13" t="s">
        <v>34</v>
      </c>
      <c r="G590" s="5" t="s">
        <v>22</v>
      </c>
      <c r="H590" s="8"/>
      <c r="I590" s="9"/>
      <c r="J590" s="9" t="s">
        <v>23</v>
      </c>
      <c r="K590" s="8"/>
      <c r="L590" s="9"/>
      <c r="M590" s="10" t="s">
        <v>2357</v>
      </c>
      <c r="N590" s="11" t="s">
        <v>2358</v>
      </c>
      <c r="O590" s="12" t="s">
        <v>26</v>
      </c>
    </row>
    <row r="591" spans="1:15">
      <c r="A591" s="4">
        <v>587</v>
      </c>
      <c r="B591" s="5" t="s">
        <v>2218</v>
      </c>
      <c r="C591" s="5" t="s">
        <v>2359</v>
      </c>
      <c r="D591" s="5" t="s">
        <v>2360</v>
      </c>
      <c r="E591" s="6" t="s">
        <v>2361</v>
      </c>
      <c r="F591" s="7" t="s">
        <v>21</v>
      </c>
      <c r="G591" s="5" t="s">
        <v>22</v>
      </c>
      <c r="H591" s="8"/>
      <c r="I591" s="9"/>
      <c r="J591" s="9" t="s">
        <v>23</v>
      </c>
      <c r="K591" s="8"/>
      <c r="L591" s="9"/>
      <c r="M591" s="10" t="s">
        <v>2362</v>
      </c>
      <c r="N591" s="11" t="s">
        <v>2363</v>
      </c>
      <c r="O591" s="12" t="s">
        <v>26</v>
      </c>
    </row>
    <row r="592" spans="1:15">
      <c r="A592" s="4">
        <v>588</v>
      </c>
      <c r="B592" s="5" t="s">
        <v>2218</v>
      </c>
      <c r="C592" s="5" t="s">
        <v>2248</v>
      </c>
      <c r="D592" s="5" t="s">
        <v>2364</v>
      </c>
      <c r="E592" s="6" t="s">
        <v>2365</v>
      </c>
      <c r="F592" s="13" t="s">
        <v>34</v>
      </c>
      <c r="G592" s="5" t="s">
        <v>22</v>
      </c>
      <c r="H592" s="8"/>
      <c r="I592" s="9"/>
      <c r="J592" s="9" t="s">
        <v>23</v>
      </c>
      <c r="K592" s="8"/>
      <c r="L592" s="9"/>
      <c r="M592" s="10" t="s">
        <v>954</v>
      </c>
      <c r="N592" s="11" t="s">
        <v>2366</v>
      </c>
      <c r="O592" s="12" t="s">
        <v>26</v>
      </c>
    </row>
    <row r="593" spans="1:15">
      <c r="A593" s="4">
        <v>589</v>
      </c>
      <c r="B593" s="5" t="s">
        <v>2218</v>
      </c>
      <c r="C593" s="5" t="s">
        <v>2256</v>
      </c>
      <c r="D593" s="5" t="s">
        <v>2367</v>
      </c>
      <c r="E593" s="6" t="s">
        <v>2368</v>
      </c>
      <c r="F593" s="7" t="s">
        <v>21</v>
      </c>
      <c r="G593" s="5" t="s">
        <v>22</v>
      </c>
      <c r="H593" s="8"/>
      <c r="I593" s="9"/>
      <c r="J593" s="9" t="s">
        <v>23</v>
      </c>
      <c r="K593" s="8"/>
      <c r="L593" s="9"/>
      <c r="M593" s="10" t="s">
        <v>2369</v>
      </c>
      <c r="N593" s="11" t="s">
        <v>2370</v>
      </c>
      <c r="O593" s="12" t="s">
        <v>26</v>
      </c>
    </row>
    <row r="594" spans="1:15">
      <c r="A594" s="4">
        <v>590</v>
      </c>
      <c r="B594" s="5" t="s">
        <v>2218</v>
      </c>
      <c r="C594" s="5" t="s">
        <v>2244</v>
      </c>
      <c r="D594" s="5" t="s">
        <v>2371</v>
      </c>
      <c r="E594" s="6" t="s">
        <v>2372</v>
      </c>
      <c r="F594" s="13" t="s">
        <v>34</v>
      </c>
      <c r="G594" s="5" t="s">
        <v>22</v>
      </c>
      <c r="H594" s="8"/>
      <c r="I594" s="9"/>
      <c r="J594" s="9" t="s">
        <v>23</v>
      </c>
      <c r="K594" s="8"/>
      <c r="L594" s="9"/>
      <c r="M594" s="10" t="s">
        <v>904</v>
      </c>
      <c r="N594" s="11" t="s">
        <v>2373</v>
      </c>
      <c r="O594" s="12" t="s">
        <v>26</v>
      </c>
    </row>
    <row r="595" spans="1:15">
      <c r="A595" s="4">
        <v>591</v>
      </c>
      <c r="B595" s="5" t="s">
        <v>2218</v>
      </c>
      <c r="C595" s="5" t="s">
        <v>2374</v>
      </c>
      <c r="D595" s="5" t="s">
        <v>2375</v>
      </c>
      <c r="E595" s="6" t="s">
        <v>2376</v>
      </c>
      <c r="F595" s="7" t="s">
        <v>21</v>
      </c>
      <c r="G595" s="5" t="s">
        <v>22</v>
      </c>
      <c r="H595" s="8"/>
      <c r="I595" s="9"/>
      <c r="J595" s="9" t="s">
        <v>23</v>
      </c>
      <c r="K595" s="8"/>
      <c r="L595" s="9"/>
      <c r="M595" s="10" t="s">
        <v>1462</v>
      </c>
      <c r="N595" s="11" t="s">
        <v>2377</v>
      </c>
      <c r="O595" s="12" t="s">
        <v>26</v>
      </c>
    </row>
    <row r="596" spans="1:15">
      <c r="A596" s="4">
        <v>592</v>
      </c>
      <c r="B596" s="5" t="s">
        <v>2218</v>
      </c>
      <c r="C596" s="5" t="s">
        <v>2350</v>
      </c>
      <c r="D596" s="5" t="s">
        <v>2378</v>
      </c>
      <c r="E596" s="6" t="s">
        <v>2379</v>
      </c>
      <c r="F596" s="7" t="s">
        <v>21</v>
      </c>
      <c r="G596" s="5" t="s">
        <v>29</v>
      </c>
      <c r="H596" s="8"/>
      <c r="I596" s="9"/>
      <c r="J596" s="9" t="s">
        <v>23</v>
      </c>
      <c r="K596" s="8"/>
      <c r="L596" s="9"/>
      <c r="M596" s="10" t="s">
        <v>913</v>
      </c>
      <c r="N596" s="11" t="s">
        <v>2380</v>
      </c>
      <c r="O596" s="12" t="s">
        <v>26</v>
      </c>
    </row>
    <row r="597" spans="1:15">
      <c r="A597" s="4">
        <v>593</v>
      </c>
      <c r="B597" s="5" t="s">
        <v>2218</v>
      </c>
      <c r="C597" s="5" t="s">
        <v>2381</v>
      </c>
      <c r="D597" s="5" t="s">
        <v>2382</v>
      </c>
      <c r="E597" s="6" t="s">
        <v>2383</v>
      </c>
      <c r="F597" s="13" t="s">
        <v>34</v>
      </c>
      <c r="G597" s="5" t="s">
        <v>22</v>
      </c>
      <c r="H597" s="8"/>
      <c r="I597" s="9"/>
      <c r="J597" s="9" t="s">
        <v>23</v>
      </c>
      <c r="K597" s="8"/>
      <c r="L597" s="9"/>
      <c r="M597" s="10" t="s">
        <v>904</v>
      </c>
      <c r="N597" s="11" t="s">
        <v>2384</v>
      </c>
      <c r="O597" s="12" t="s">
        <v>26</v>
      </c>
    </row>
    <row r="598" spans="1:15">
      <c r="A598" s="4">
        <v>594</v>
      </c>
      <c r="B598" s="5" t="s">
        <v>2218</v>
      </c>
      <c r="C598" s="5" t="s">
        <v>2224</v>
      </c>
      <c r="D598" s="5" t="s">
        <v>2385</v>
      </c>
      <c r="E598" s="6" t="s">
        <v>2386</v>
      </c>
      <c r="F598" s="7" t="s">
        <v>21</v>
      </c>
      <c r="G598" s="5" t="s">
        <v>22</v>
      </c>
      <c r="H598" s="8"/>
      <c r="I598" s="9"/>
      <c r="J598" s="9" t="s">
        <v>23</v>
      </c>
      <c r="K598" s="8"/>
      <c r="L598" s="9"/>
      <c r="M598" s="10" t="s">
        <v>1462</v>
      </c>
      <c r="N598" s="11" t="s">
        <v>2387</v>
      </c>
      <c r="O598" s="12" t="s">
        <v>26</v>
      </c>
    </row>
    <row r="599" spans="1:15">
      <c r="A599" s="4">
        <v>595</v>
      </c>
      <c r="B599" s="5" t="s">
        <v>2218</v>
      </c>
      <c r="C599" s="5" t="s">
        <v>2228</v>
      </c>
      <c r="D599" s="5" t="s">
        <v>2388</v>
      </c>
      <c r="E599" s="14" t="s">
        <v>109</v>
      </c>
      <c r="F599" s="15" t="s">
        <v>110</v>
      </c>
      <c r="G599" s="5" t="s">
        <v>29</v>
      </c>
      <c r="H599" s="8"/>
      <c r="I599" s="9"/>
      <c r="J599" s="9" t="s">
        <v>23</v>
      </c>
      <c r="K599" s="8"/>
      <c r="L599" s="9"/>
      <c r="M599" s="10" t="s">
        <v>2389</v>
      </c>
      <c r="N599" s="11" t="s">
        <v>2390</v>
      </c>
      <c r="O599" s="12" t="s">
        <v>26</v>
      </c>
    </row>
    <row r="600" spans="1:15">
      <c r="A600" s="4">
        <v>596</v>
      </c>
      <c r="B600" s="5" t="s">
        <v>2218</v>
      </c>
      <c r="C600" s="5" t="s">
        <v>2374</v>
      </c>
      <c r="D600" s="5" t="s">
        <v>2391</v>
      </c>
      <c r="E600" s="6" t="s">
        <v>2392</v>
      </c>
      <c r="F600" s="7" t="s">
        <v>21</v>
      </c>
      <c r="G600" s="5" t="s">
        <v>22</v>
      </c>
      <c r="H600" s="8"/>
      <c r="I600" s="9"/>
      <c r="J600" s="9" t="s">
        <v>23</v>
      </c>
      <c r="K600" s="8"/>
      <c r="L600" s="9"/>
      <c r="M600" s="10" t="s">
        <v>192</v>
      </c>
      <c r="N600" s="11" t="s">
        <v>2393</v>
      </c>
      <c r="O600" s="12" t="s">
        <v>26</v>
      </c>
    </row>
    <row r="601" spans="1:15">
      <c r="A601" s="4">
        <v>597</v>
      </c>
      <c r="B601" s="5" t="s">
        <v>2218</v>
      </c>
      <c r="C601" s="5" t="s">
        <v>2394</v>
      </c>
      <c r="D601" s="5" t="s">
        <v>2395</v>
      </c>
      <c r="E601" s="6" t="s">
        <v>2396</v>
      </c>
      <c r="F601" s="13" t="s">
        <v>34</v>
      </c>
      <c r="G601" s="5" t="s">
        <v>22</v>
      </c>
      <c r="H601" s="8"/>
      <c r="I601" s="9"/>
      <c r="J601" s="9" t="s">
        <v>23</v>
      </c>
      <c r="K601" s="8"/>
      <c r="L601" s="9"/>
      <c r="M601" s="10" t="s">
        <v>233</v>
      </c>
      <c r="N601" s="11" t="s">
        <v>2397</v>
      </c>
      <c r="O601" s="12" t="s">
        <v>26</v>
      </c>
    </row>
    <row r="602" spans="1:15">
      <c r="A602" s="4">
        <v>598</v>
      </c>
      <c r="B602" s="5" t="s">
        <v>2218</v>
      </c>
      <c r="C602" s="5" t="s">
        <v>2327</v>
      </c>
      <c r="D602" s="5" t="s">
        <v>2398</v>
      </c>
      <c r="E602" s="6" t="s">
        <v>2399</v>
      </c>
      <c r="F602" s="7" t="s">
        <v>21</v>
      </c>
      <c r="G602" s="5" t="s">
        <v>22</v>
      </c>
      <c r="H602" s="8"/>
      <c r="I602" s="9"/>
      <c r="J602" s="9" t="s">
        <v>23</v>
      </c>
      <c r="K602" s="8"/>
      <c r="L602" s="9"/>
      <c r="M602" s="10" t="s">
        <v>913</v>
      </c>
      <c r="N602" s="11" t="s">
        <v>2400</v>
      </c>
      <c r="O602" s="12" t="s">
        <v>26</v>
      </c>
    </row>
    <row r="603" spans="1:15">
      <c r="A603" s="4">
        <v>599</v>
      </c>
      <c r="B603" s="5" t="s">
        <v>2218</v>
      </c>
      <c r="C603" s="5" t="s">
        <v>2374</v>
      </c>
      <c r="D603" s="5" t="s">
        <v>2401</v>
      </c>
      <c r="E603" s="6" t="s">
        <v>2402</v>
      </c>
      <c r="F603" s="7" t="s">
        <v>21</v>
      </c>
      <c r="G603" s="5" t="s">
        <v>22</v>
      </c>
      <c r="H603" s="8"/>
      <c r="I603" s="9"/>
      <c r="J603" s="9" t="s">
        <v>23</v>
      </c>
      <c r="K603" s="8"/>
      <c r="L603" s="9"/>
      <c r="M603" s="10" t="s">
        <v>913</v>
      </c>
      <c r="N603" s="11" t="s">
        <v>2403</v>
      </c>
      <c r="O603" s="12" t="s">
        <v>26</v>
      </c>
    </row>
    <row r="604" spans="1:15">
      <c r="A604" s="4">
        <v>600</v>
      </c>
      <c r="B604" s="5" t="s">
        <v>2218</v>
      </c>
      <c r="C604" s="5" t="s">
        <v>2404</v>
      </c>
      <c r="D604" s="5" t="s">
        <v>2405</v>
      </c>
      <c r="E604" s="6" t="s">
        <v>2406</v>
      </c>
      <c r="F604" s="7" t="s">
        <v>21</v>
      </c>
      <c r="G604" s="5" t="s">
        <v>29</v>
      </c>
      <c r="H604" s="8"/>
      <c r="I604" s="9"/>
      <c r="J604" s="9" t="s">
        <v>23</v>
      </c>
      <c r="K604" s="8"/>
      <c r="L604" s="9"/>
      <c r="M604" s="10" t="s">
        <v>2407</v>
      </c>
      <c r="N604" s="11" t="s">
        <v>2408</v>
      </c>
      <c r="O604" s="12" t="s">
        <v>26</v>
      </c>
    </row>
    <row r="605" spans="1:15">
      <c r="A605" s="4">
        <v>601</v>
      </c>
      <c r="B605" s="5" t="s">
        <v>2218</v>
      </c>
      <c r="C605" s="5" t="s">
        <v>2319</v>
      </c>
      <c r="D605" s="5" t="s">
        <v>2409</v>
      </c>
      <c r="E605" s="6" t="s">
        <v>2410</v>
      </c>
      <c r="F605" s="7" t="s">
        <v>21</v>
      </c>
      <c r="G605" s="5" t="s">
        <v>22</v>
      </c>
      <c r="H605" s="8"/>
      <c r="I605" s="9"/>
      <c r="J605" s="9" t="s">
        <v>23</v>
      </c>
      <c r="K605" s="8"/>
      <c r="L605" s="9"/>
      <c r="M605" s="10" t="s">
        <v>2411</v>
      </c>
      <c r="N605" s="11" t="s">
        <v>2412</v>
      </c>
      <c r="O605" s="12" t="s">
        <v>26</v>
      </c>
    </row>
    <row r="606" spans="1:15">
      <c r="A606" s="4">
        <v>602</v>
      </c>
      <c r="B606" s="5" t="s">
        <v>2218</v>
      </c>
      <c r="C606" s="5" t="s">
        <v>2413</v>
      </c>
      <c r="D606" s="5" t="s">
        <v>2414</v>
      </c>
      <c r="E606" s="6" t="s">
        <v>2415</v>
      </c>
      <c r="F606" s="13" t="s">
        <v>34</v>
      </c>
      <c r="G606" s="5" t="s">
        <v>22</v>
      </c>
      <c r="H606" s="8"/>
      <c r="I606" s="9"/>
      <c r="J606" s="9" t="s">
        <v>23</v>
      </c>
      <c r="K606" s="8"/>
      <c r="L606" s="9"/>
      <c r="M606" s="10" t="s">
        <v>233</v>
      </c>
      <c r="N606" s="11" t="s">
        <v>2416</v>
      </c>
      <c r="O606" s="12" t="s">
        <v>26</v>
      </c>
    </row>
    <row r="607" spans="1:15">
      <c r="A607" s="4">
        <v>603</v>
      </c>
      <c r="B607" s="5" t="s">
        <v>2218</v>
      </c>
      <c r="C607" s="5" t="s">
        <v>2299</v>
      </c>
      <c r="D607" s="5" t="s">
        <v>2417</v>
      </c>
      <c r="E607" s="6" t="s">
        <v>2418</v>
      </c>
      <c r="F607" s="7" t="s">
        <v>21</v>
      </c>
      <c r="G607" s="5" t="s">
        <v>22</v>
      </c>
      <c r="H607" s="8"/>
      <c r="I607" s="9"/>
      <c r="J607" s="9" t="s">
        <v>23</v>
      </c>
      <c r="K607" s="8"/>
      <c r="L607" s="9"/>
      <c r="M607" s="10" t="s">
        <v>1016</v>
      </c>
      <c r="N607" s="11" t="s">
        <v>2419</v>
      </c>
      <c r="O607" s="12" t="s">
        <v>26</v>
      </c>
    </row>
    <row r="608" spans="1:15">
      <c r="A608" s="4">
        <v>604</v>
      </c>
      <c r="B608" s="5" t="s">
        <v>2218</v>
      </c>
      <c r="C608" s="5" t="s">
        <v>2279</v>
      </c>
      <c r="D608" s="5" t="s">
        <v>2420</v>
      </c>
      <c r="E608" s="6" t="s">
        <v>2421</v>
      </c>
      <c r="F608" s="13" t="s">
        <v>34</v>
      </c>
      <c r="G608" s="5" t="s">
        <v>22</v>
      </c>
      <c r="H608" s="8"/>
      <c r="I608" s="9"/>
      <c r="J608" s="9" t="s">
        <v>23</v>
      </c>
      <c r="K608" s="8"/>
      <c r="L608" s="9"/>
      <c r="M608" s="10" t="s">
        <v>233</v>
      </c>
      <c r="N608" s="11" t="s">
        <v>2422</v>
      </c>
      <c r="O608" s="12" t="s">
        <v>26</v>
      </c>
    </row>
    <row r="609" spans="1:15">
      <c r="A609" s="4">
        <v>605</v>
      </c>
      <c r="B609" s="5" t="s">
        <v>2218</v>
      </c>
      <c r="C609" s="5" t="s">
        <v>2248</v>
      </c>
      <c r="D609" s="5" t="s">
        <v>2423</v>
      </c>
      <c r="E609" s="6" t="s">
        <v>2424</v>
      </c>
      <c r="F609" s="7" t="s">
        <v>21</v>
      </c>
      <c r="G609" s="5" t="s">
        <v>22</v>
      </c>
      <c r="H609" s="8"/>
      <c r="I609" s="9"/>
      <c r="J609" s="9" t="s">
        <v>23</v>
      </c>
      <c r="K609" s="8"/>
      <c r="L609" s="9"/>
      <c r="M609" s="10" t="s">
        <v>2425</v>
      </c>
      <c r="N609" s="11" t="s">
        <v>2426</v>
      </c>
      <c r="O609" s="12" t="s">
        <v>26</v>
      </c>
    </row>
    <row r="610" spans="1:15">
      <c r="A610" s="4">
        <v>606</v>
      </c>
      <c r="B610" s="5" t="s">
        <v>2218</v>
      </c>
      <c r="C610" s="5" t="s">
        <v>2299</v>
      </c>
      <c r="D610" s="5" t="s">
        <v>2427</v>
      </c>
      <c r="E610" s="6" t="s">
        <v>2428</v>
      </c>
      <c r="F610" s="7" t="s">
        <v>21</v>
      </c>
      <c r="G610" s="5" t="s">
        <v>22</v>
      </c>
      <c r="H610" s="8"/>
      <c r="I610" s="9"/>
      <c r="J610" s="9" t="s">
        <v>23</v>
      </c>
      <c r="K610" s="8"/>
      <c r="L610" s="9"/>
      <c r="M610" s="10" t="s">
        <v>2429</v>
      </c>
      <c r="N610" s="11" t="s">
        <v>2430</v>
      </c>
      <c r="O610" s="12" t="s">
        <v>26</v>
      </c>
    </row>
    <row r="611" spans="1:15">
      <c r="A611" s="4">
        <v>607</v>
      </c>
      <c r="B611" s="5" t="s">
        <v>2218</v>
      </c>
      <c r="C611" s="5" t="s">
        <v>2374</v>
      </c>
      <c r="D611" s="5" t="s">
        <v>2431</v>
      </c>
      <c r="E611" s="6" t="s">
        <v>2432</v>
      </c>
      <c r="F611" s="13" t="s">
        <v>34</v>
      </c>
      <c r="G611" s="5" t="s">
        <v>22</v>
      </c>
      <c r="H611" s="8"/>
      <c r="I611" s="9"/>
      <c r="J611" s="9" t="s">
        <v>23</v>
      </c>
      <c r="K611" s="8"/>
      <c r="L611" s="9"/>
      <c r="M611" s="10" t="s">
        <v>233</v>
      </c>
      <c r="N611" s="11" t="s">
        <v>2433</v>
      </c>
      <c r="O611" s="12" t="s">
        <v>26</v>
      </c>
    </row>
    <row r="612" spans="1:15">
      <c r="A612" s="4">
        <v>608</v>
      </c>
      <c r="B612" s="5" t="s">
        <v>2218</v>
      </c>
      <c r="C612" s="5" t="s">
        <v>2434</v>
      </c>
      <c r="D612" s="5" t="s">
        <v>2435</v>
      </c>
      <c r="E612" s="6" t="s">
        <v>2436</v>
      </c>
      <c r="F612" s="7" t="s">
        <v>21</v>
      </c>
      <c r="G612" s="5" t="s">
        <v>22</v>
      </c>
      <c r="H612" s="8"/>
      <c r="I612" s="9"/>
      <c r="J612" s="9" t="s">
        <v>23</v>
      </c>
      <c r="K612" s="8"/>
      <c r="L612" s="9"/>
      <c r="M612" s="10" t="s">
        <v>1016</v>
      </c>
      <c r="N612" s="11" t="s">
        <v>2437</v>
      </c>
      <c r="O612" s="12" t="s">
        <v>26</v>
      </c>
    </row>
    <row r="613" spans="1:15">
      <c r="A613" s="4">
        <v>609</v>
      </c>
      <c r="B613" s="5" t="s">
        <v>2218</v>
      </c>
      <c r="C613" s="5" t="s">
        <v>2354</v>
      </c>
      <c r="D613" s="5" t="s">
        <v>2438</v>
      </c>
      <c r="E613" s="6" t="s">
        <v>2439</v>
      </c>
      <c r="F613" s="7" t="s">
        <v>21</v>
      </c>
      <c r="G613" s="5" t="s">
        <v>22</v>
      </c>
      <c r="H613" s="8"/>
      <c r="I613" s="9"/>
      <c r="J613" s="9" t="s">
        <v>23</v>
      </c>
      <c r="K613" s="8"/>
      <c r="L613" s="9"/>
      <c r="M613" s="10" t="s">
        <v>2440</v>
      </c>
      <c r="N613" s="11" t="s">
        <v>2441</v>
      </c>
      <c r="O613" s="12" t="s">
        <v>26</v>
      </c>
    </row>
    <row r="614" spans="1:15">
      <c r="A614" s="4">
        <v>610</v>
      </c>
      <c r="B614" s="5" t="s">
        <v>2218</v>
      </c>
      <c r="C614" s="5" t="s">
        <v>2299</v>
      </c>
      <c r="D614" s="5" t="s">
        <v>2442</v>
      </c>
      <c r="E614" s="6" t="s">
        <v>2443</v>
      </c>
      <c r="F614" s="13" t="s">
        <v>34</v>
      </c>
      <c r="G614" s="5" t="s">
        <v>29</v>
      </c>
      <c r="H614" s="8"/>
      <c r="I614" s="9"/>
      <c r="J614" s="9" t="s">
        <v>23</v>
      </c>
      <c r="K614" s="8"/>
      <c r="L614" s="9"/>
      <c r="M614" s="10" t="s">
        <v>233</v>
      </c>
      <c r="N614" s="11" t="s">
        <v>2444</v>
      </c>
      <c r="O614" s="12" t="s">
        <v>26</v>
      </c>
    </row>
    <row r="615" spans="1:15">
      <c r="A615" s="4">
        <v>611</v>
      </c>
      <c r="B615" s="5" t="s">
        <v>2218</v>
      </c>
      <c r="C615" s="5" t="s">
        <v>2248</v>
      </c>
      <c r="D615" s="5" t="s">
        <v>2445</v>
      </c>
      <c r="E615" s="6" t="s">
        <v>2446</v>
      </c>
      <c r="F615" s="7" t="s">
        <v>21</v>
      </c>
      <c r="G615" s="5" t="s">
        <v>22</v>
      </c>
      <c r="H615" s="8"/>
      <c r="I615" s="9"/>
      <c r="J615" s="9" t="s">
        <v>23</v>
      </c>
      <c r="K615" s="8"/>
      <c r="L615" s="9"/>
      <c r="M615" s="10" t="s">
        <v>913</v>
      </c>
      <c r="N615" s="11" t="s">
        <v>2447</v>
      </c>
      <c r="O615" s="12" t="s">
        <v>26</v>
      </c>
    </row>
    <row r="616" spans="1:15">
      <c r="A616" s="4">
        <v>612</v>
      </c>
      <c r="B616" s="5" t="s">
        <v>2218</v>
      </c>
      <c r="C616" s="5" t="s">
        <v>2374</v>
      </c>
      <c r="D616" s="5" t="s">
        <v>2448</v>
      </c>
      <c r="E616" s="6" t="s">
        <v>2449</v>
      </c>
      <c r="F616" s="7" t="s">
        <v>21</v>
      </c>
      <c r="G616" s="5" t="s">
        <v>22</v>
      </c>
      <c r="H616" s="8"/>
      <c r="I616" s="9"/>
      <c r="J616" s="9" t="s">
        <v>23</v>
      </c>
      <c r="K616" s="8"/>
      <c r="L616" s="9"/>
      <c r="M616" s="10" t="s">
        <v>2450</v>
      </c>
      <c r="N616" s="11" t="s">
        <v>2451</v>
      </c>
      <c r="O616" s="12" t="s">
        <v>26</v>
      </c>
    </row>
    <row r="617" spans="1:15">
      <c r="A617" s="4">
        <v>613</v>
      </c>
      <c r="B617" s="5" t="s">
        <v>2218</v>
      </c>
      <c r="C617" s="5" t="s">
        <v>2252</v>
      </c>
      <c r="D617" s="5" t="s">
        <v>2452</v>
      </c>
      <c r="E617" s="6" t="s">
        <v>2453</v>
      </c>
      <c r="F617" s="7" t="s">
        <v>21</v>
      </c>
      <c r="G617" s="5" t="s">
        <v>22</v>
      </c>
      <c r="H617" s="8"/>
      <c r="I617" s="9"/>
      <c r="J617" s="9" t="s">
        <v>23</v>
      </c>
      <c r="K617" s="8"/>
      <c r="L617" s="9"/>
      <c r="M617" s="10" t="s">
        <v>192</v>
      </c>
      <c r="N617" s="11" t="s">
        <v>2454</v>
      </c>
      <c r="O617" s="12" t="s">
        <v>26</v>
      </c>
    </row>
    <row r="618" spans="1:15">
      <c r="A618" s="4">
        <v>614</v>
      </c>
      <c r="B618" s="5" t="s">
        <v>2218</v>
      </c>
      <c r="C618" s="5" t="s">
        <v>2335</v>
      </c>
      <c r="D618" s="5" t="s">
        <v>2455</v>
      </c>
      <c r="E618" s="6" t="s">
        <v>2456</v>
      </c>
      <c r="F618" s="13" t="s">
        <v>34</v>
      </c>
      <c r="G618" s="5" t="s">
        <v>29</v>
      </c>
      <c r="H618" s="8"/>
      <c r="I618" s="9"/>
      <c r="J618" s="9" t="s">
        <v>23</v>
      </c>
      <c r="K618" s="8"/>
      <c r="L618" s="9"/>
      <c r="M618" s="10" t="s">
        <v>233</v>
      </c>
      <c r="N618" s="11" t="s">
        <v>2457</v>
      </c>
      <c r="O618" s="12" t="s">
        <v>26</v>
      </c>
    </row>
    <row r="619" spans="1:15">
      <c r="A619" s="4">
        <v>615</v>
      </c>
      <c r="B619" s="5" t="s">
        <v>2218</v>
      </c>
      <c r="C619" s="5" t="s">
        <v>2299</v>
      </c>
      <c r="D619" s="5" t="s">
        <v>2458</v>
      </c>
      <c r="E619" s="6" t="s">
        <v>2459</v>
      </c>
      <c r="F619" s="7" t="s">
        <v>21</v>
      </c>
      <c r="G619" s="5" t="s">
        <v>22</v>
      </c>
      <c r="H619" s="8"/>
      <c r="I619" s="9"/>
      <c r="J619" s="9" t="s">
        <v>23</v>
      </c>
      <c r="K619" s="8"/>
      <c r="L619" s="9"/>
      <c r="M619" s="10" t="s">
        <v>913</v>
      </c>
      <c r="N619" s="11" t="s">
        <v>2460</v>
      </c>
      <c r="O619" s="12" t="s">
        <v>26</v>
      </c>
    </row>
    <row r="620" spans="1:15">
      <c r="A620" s="4">
        <v>616</v>
      </c>
      <c r="B620" s="5" t="s">
        <v>2218</v>
      </c>
      <c r="C620" s="5" t="s">
        <v>2335</v>
      </c>
      <c r="D620" s="5" t="s">
        <v>2461</v>
      </c>
      <c r="E620" s="6" t="s">
        <v>2462</v>
      </c>
      <c r="F620" s="13" t="s">
        <v>34</v>
      </c>
      <c r="G620" s="5" t="s">
        <v>22</v>
      </c>
      <c r="H620" s="8"/>
      <c r="I620" s="9"/>
      <c r="J620" s="9" t="s">
        <v>23</v>
      </c>
      <c r="K620" s="8"/>
      <c r="L620" s="9"/>
      <c r="M620" s="10" t="s">
        <v>2463</v>
      </c>
      <c r="N620" s="11" t="s">
        <v>2464</v>
      </c>
      <c r="O620" s="12" t="s">
        <v>26</v>
      </c>
    </row>
    <row r="621" spans="1:15">
      <c r="A621" s="4">
        <v>617</v>
      </c>
      <c r="B621" s="5" t="s">
        <v>2218</v>
      </c>
      <c r="C621" s="5" t="s">
        <v>2264</v>
      </c>
      <c r="D621" s="5" t="s">
        <v>2465</v>
      </c>
      <c r="E621" s="6" t="s">
        <v>2466</v>
      </c>
      <c r="F621" s="13" t="s">
        <v>34</v>
      </c>
      <c r="G621" s="5" t="s">
        <v>22</v>
      </c>
      <c r="H621" s="8"/>
      <c r="I621" s="9"/>
      <c r="J621" s="9" t="s">
        <v>23</v>
      </c>
      <c r="K621" s="8"/>
      <c r="L621" s="9"/>
      <c r="M621" s="10" t="s">
        <v>904</v>
      </c>
      <c r="N621" s="11" t="s">
        <v>2467</v>
      </c>
      <c r="O621" s="12" t="s">
        <v>26</v>
      </c>
    </row>
    <row r="622" spans="1:15">
      <c r="A622" s="4">
        <v>618</v>
      </c>
      <c r="B622" s="5" t="s">
        <v>2218</v>
      </c>
      <c r="C622" s="5" t="s">
        <v>2468</v>
      </c>
      <c r="D622" s="5" t="s">
        <v>2469</v>
      </c>
      <c r="E622" s="6" t="s">
        <v>2470</v>
      </c>
      <c r="F622" s="7" t="s">
        <v>21</v>
      </c>
      <c r="G622" s="5" t="s">
        <v>22</v>
      </c>
      <c r="H622" s="8"/>
      <c r="I622" s="9"/>
      <c r="J622" s="9" t="s">
        <v>23</v>
      </c>
      <c r="K622" s="8"/>
      <c r="L622" s="9"/>
      <c r="M622" s="10" t="s">
        <v>2471</v>
      </c>
      <c r="N622" s="11" t="s">
        <v>2472</v>
      </c>
      <c r="O622" s="12" t="s">
        <v>26</v>
      </c>
    </row>
    <row r="623" spans="1:15">
      <c r="A623" s="4">
        <v>619</v>
      </c>
      <c r="B623" s="5" t="s">
        <v>2218</v>
      </c>
      <c r="C623" s="5" t="s">
        <v>2335</v>
      </c>
      <c r="D623" s="5" t="s">
        <v>2473</v>
      </c>
      <c r="E623" s="6" t="s">
        <v>2474</v>
      </c>
      <c r="F623" s="13" t="s">
        <v>34</v>
      </c>
      <c r="G623" s="5" t="s">
        <v>22</v>
      </c>
      <c r="H623" s="8"/>
      <c r="I623" s="9"/>
      <c r="J623" s="9" t="s">
        <v>23</v>
      </c>
      <c r="K623" s="8"/>
      <c r="L623" s="9"/>
      <c r="M623" s="10" t="s">
        <v>904</v>
      </c>
      <c r="N623" s="11" t="s">
        <v>2475</v>
      </c>
      <c r="O623" s="12" t="s">
        <v>26</v>
      </c>
    </row>
    <row r="624" spans="1:15">
      <c r="A624" s="4">
        <v>620</v>
      </c>
      <c r="B624" s="5" t="s">
        <v>2218</v>
      </c>
      <c r="C624" s="5" t="s">
        <v>2476</v>
      </c>
      <c r="D624" s="5" t="s">
        <v>2477</v>
      </c>
      <c r="E624" s="6" t="s">
        <v>2478</v>
      </c>
      <c r="F624" s="13" t="s">
        <v>34</v>
      </c>
      <c r="G624" s="5" t="s">
        <v>22</v>
      </c>
      <c r="H624" s="8"/>
      <c r="I624" s="9"/>
      <c r="J624" s="9" t="s">
        <v>23</v>
      </c>
      <c r="K624" s="8"/>
      <c r="L624" s="9"/>
      <c r="M624" s="10" t="s">
        <v>233</v>
      </c>
      <c r="N624" s="11" t="s">
        <v>2479</v>
      </c>
      <c r="O624" s="12" t="s">
        <v>26</v>
      </c>
    </row>
    <row r="625" spans="1:15">
      <c r="A625" s="4">
        <v>621</v>
      </c>
      <c r="B625" s="5" t="s">
        <v>2218</v>
      </c>
      <c r="C625" s="5" t="s">
        <v>2354</v>
      </c>
      <c r="D625" s="5" t="s">
        <v>2480</v>
      </c>
      <c r="E625" s="6" t="s">
        <v>2481</v>
      </c>
      <c r="F625" s="13" t="s">
        <v>34</v>
      </c>
      <c r="G625" s="5" t="s">
        <v>22</v>
      </c>
      <c r="H625" s="8"/>
      <c r="I625" s="9"/>
      <c r="J625" s="9" t="s">
        <v>23</v>
      </c>
      <c r="K625" s="8"/>
      <c r="L625" s="9"/>
      <c r="M625" s="10" t="s">
        <v>904</v>
      </c>
      <c r="N625" s="11" t="s">
        <v>2482</v>
      </c>
      <c r="O625" s="12" t="s">
        <v>26</v>
      </c>
    </row>
    <row r="626" spans="1:15">
      <c r="A626" s="4">
        <v>622</v>
      </c>
      <c r="B626" s="5" t="s">
        <v>2218</v>
      </c>
      <c r="C626" s="5" t="s">
        <v>2288</v>
      </c>
      <c r="D626" s="5" t="s">
        <v>2483</v>
      </c>
      <c r="E626" s="6" t="s">
        <v>2484</v>
      </c>
      <c r="F626" s="7" t="s">
        <v>21</v>
      </c>
      <c r="G626" s="5" t="s">
        <v>22</v>
      </c>
      <c r="H626" s="8"/>
      <c r="I626" s="9"/>
      <c r="J626" s="9" t="s">
        <v>23</v>
      </c>
      <c r="K626" s="8"/>
      <c r="L626" s="9"/>
      <c r="M626" s="10" t="s">
        <v>1016</v>
      </c>
      <c r="N626" s="11" t="s">
        <v>2485</v>
      </c>
      <c r="O626" s="12" t="s">
        <v>26</v>
      </c>
    </row>
    <row r="627" spans="1:15">
      <c r="A627" s="4">
        <v>623</v>
      </c>
      <c r="B627" s="5" t="s">
        <v>2218</v>
      </c>
      <c r="C627" s="5" t="s">
        <v>2359</v>
      </c>
      <c r="D627" s="5" t="s">
        <v>2486</v>
      </c>
      <c r="E627" s="6" t="s">
        <v>2487</v>
      </c>
      <c r="F627" s="13" t="s">
        <v>34</v>
      </c>
      <c r="G627" s="5" t="s">
        <v>29</v>
      </c>
      <c r="H627" s="8"/>
      <c r="I627" s="9"/>
      <c r="J627" s="9" t="s">
        <v>23</v>
      </c>
      <c r="K627" s="8"/>
      <c r="L627" s="9"/>
      <c r="M627" s="10" t="s">
        <v>1609</v>
      </c>
      <c r="N627" s="11" t="s">
        <v>2488</v>
      </c>
      <c r="O627" s="12" t="s">
        <v>26</v>
      </c>
    </row>
    <row r="628" spans="1:15">
      <c r="A628" s="4">
        <v>624</v>
      </c>
      <c r="B628" s="5" t="s">
        <v>2218</v>
      </c>
      <c r="C628" s="5" t="s">
        <v>2354</v>
      </c>
      <c r="D628" s="5" t="s">
        <v>2489</v>
      </c>
      <c r="E628" s="6" t="s">
        <v>2490</v>
      </c>
      <c r="F628" s="7" t="s">
        <v>21</v>
      </c>
      <c r="G628" s="5" t="s">
        <v>22</v>
      </c>
      <c r="H628" s="8"/>
      <c r="I628" s="9"/>
      <c r="J628" s="9" t="s">
        <v>23</v>
      </c>
      <c r="K628" s="8"/>
      <c r="L628" s="9"/>
      <c r="M628" s="10" t="s">
        <v>2491</v>
      </c>
      <c r="N628" s="11" t="s">
        <v>2492</v>
      </c>
      <c r="O628" s="12" t="s">
        <v>26</v>
      </c>
    </row>
    <row r="629" spans="1:15">
      <c r="A629" s="4">
        <v>625</v>
      </c>
      <c r="B629" s="5" t="s">
        <v>2218</v>
      </c>
      <c r="C629" s="5" t="s">
        <v>2264</v>
      </c>
      <c r="D629" s="5" t="s">
        <v>2493</v>
      </c>
      <c r="E629" s="6" t="s">
        <v>2494</v>
      </c>
      <c r="F629" s="13" t="s">
        <v>34</v>
      </c>
      <c r="G629" s="5" t="s">
        <v>22</v>
      </c>
      <c r="H629" s="8"/>
      <c r="I629" s="9"/>
      <c r="J629" s="9" t="s">
        <v>23</v>
      </c>
      <c r="K629" s="8"/>
      <c r="L629" s="9"/>
      <c r="M629" s="10" t="s">
        <v>1548</v>
      </c>
      <c r="N629" s="11" t="s">
        <v>2495</v>
      </c>
      <c r="O629" s="12" t="s">
        <v>26</v>
      </c>
    </row>
    <row r="630" spans="1:15">
      <c r="A630" s="4">
        <v>626</v>
      </c>
      <c r="B630" s="5" t="s">
        <v>2218</v>
      </c>
      <c r="C630" s="5" t="s">
        <v>2496</v>
      </c>
      <c r="D630" s="5" t="s">
        <v>2497</v>
      </c>
      <c r="E630" s="6" t="s">
        <v>2498</v>
      </c>
      <c r="F630" s="7" t="s">
        <v>21</v>
      </c>
      <c r="G630" s="5" t="s">
        <v>22</v>
      </c>
      <c r="H630" s="8"/>
      <c r="I630" s="9"/>
      <c r="J630" s="9" t="s">
        <v>23</v>
      </c>
      <c r="K630" s="8"/>
      <c r="L630" s="9"/>
      <c r="M630" s="10" t="s">
        <v>296</v>
      </c>
      <c r="N630" s="11" t="s">
        <v>2499</v>
      </c>
      <c r="O630" s="12" t="s">
        <v>26</v>
      </c>
    </row>
    <row r="631" spans="1:15">
      <c r="A631" s="4">
        <v>627</v>
      </c>
      <c r="B631" s="5" t="s">
        <v>2218</v>
      </c>
      <c r="C631" s="5" t="s">
        <v>2224</v>
      </c>
      <c r="D631" s="5" t="s">
        <v>2500</v>
      </c>
      <c r="E631" s="6" t="s">
        <v>2501</v>
      </c>
      <c r="F631" s="7" t="s">
        <v>21</v>
      </c>
      <c r="G631" s="5" t="s">
        <v>22</v>
      </c>
      <c r="H631" s="8"/>
      <c r="I631" s="9"/>
      <c r="J631" s="9" t="s">
        <v>23</v>
      </c>
      <c r="K631" s="8"/>
      <c r="L631" s="9"/>
      <c r="M631" s="10" t="s">
        <v>2502</v>
      </c>
      <c r="N631" s="11" t="s">
        <v>2503</v>
      </c>
      <c r="O631" s="12" t="s">
        <v>26</v>
      </c>
    </row>
    <row r="632" spans="1:15">
      <c r="A632" s="4">
        <v>628</v>
      </c>
      <c r="B632" s="5" t="s">
        <v>2218</v>
      </c>
      <c r="C632" s="5" t="s">
        <v>2288</v>
      </c>
      <c r="D632" s="5" t="s">
        <v>2504</v>
      </c>
      <c r="E632" s="6" t="s">
        <v>2505</v>
      </c>
      <c r="F632" s="13" t="s">
        <v>34</v>
      </c>
      <c r="G632" s="5" t="s">
        <v>22</v>
      </c>
      <c r="H632" s="8"/>
      <c r="I632" s="9"/>
      <c r="J632" s="9" t="s">
        <v>23</v>
      </c>
      <c r="K632" s="8"/>
      <c r="L632" s="9"/>
      <c r="M632" s="10" t="s">
        <v>2506</v>
      </c>
      <c r="N632" s="11" t="s">
        <v>2507</v>
      </c>
      <c r="O632" s="12" t="s">
        <v>26</v>
      </c>
    </row>
    <row r="633" spans="1:15">
      <c r="A633" s="4">
        <v>629</v>
      </c>
      <c r="B633" s="5" t="s">
        <v>2218</v>
      </c>
      <c r="C633" s="5" t="s">
        <v>2508</v>
      </c>
      <c r="D633" s="5" t="s">
        <v>2509</v>
      </c>
      <c r="E633" s="6" t="s">
        <v>2510</v>
      </c>
      <c r="F633" s="13" t="s">
        <v>34</v>
      </c>
      <c r="G633" s="5" t="s">
        <v>29</v>
      </c>
      <c r="H633" s="8"/>
      <c r="I633" s="9"/>
      <c r="J633" s="9" t="s">
        <v>23</v>
      </c>
      <c r="K633" s="8"/>
      <c r="L633" s="9"/>
      <c r="M633" s="10" t="s">
        <v>904</v>
      </c>
      <c r="N633" s="11" t="s">
        <v>2511</v>
      </c>
      <c r="O633" s="12" t="s">
        <v>26</v>
      </c>
    </row>
    <row r="634" spans="1:15">
      <c r="A634" s="4">
        <v>630</v>
      </c>
      <c r="B634" s="5" t="s">
        <v>2218</v>
      </c>
      <c r="C634" s="5" t="s">
        <v>2359</v>
      </c>
      <c r="D634" s="5" t="s">
        <v>2512</v>
      </c>
      <c r="E634" s="6" t="s">
        <v>2513</v>
      </c>
      <c r="F634" s="13" t="s">
        <v>34</v>
      </c>
      <c r="G634" s="5" t="s">
        <v>22</v>
      </c>
      <c r="H634" s="8"/>
      <c r="I634" s="9"/>
      <c r="J634" s="9" t="s">
        <v>23</v>
      </c>
      <c r="K634" s="8"/>
      <c r="L634" s="9"/>
      <c r="M634" s="10" t="s">
        <v>1548</v>
      </c>
      <c r="N634" s="11" t="s">
        <v>2514</v>
      </c>
      <c r="O634" s="12" t="s">
        <v>26</v>
      </c>
    </row>
    <row r="635" spans="1:15">
      <c r="A635" s="4">
        <v>631</v>
      </c>
      <c r="B635" s="5" t="s">
        <v>2218</v>
      </c>
      <c r="C635" s="5" t="s">
        <v>2354</v>
      </c>
      <c r="D635" s="5" t="s">
        <v>2515</v>
      </c>
      <c r="E635" s="6" t="s">
        <v>2516</v>
      </c>
      <c r="F635" s="13" t="s">
        <v>34</v>
      </c>
      <c r="G635" s="5" t="s">
        <v>22</v>
      </c>
      <c r="H635" s="8"/>
      <c r="I635" s="9"/>
      <c r="J635" s="9" t="s">
        <v>23</v>
      </c>
      <c r="K635" s="8"/>
      <c r="L635" s="9"/>
      <c r="M635" s="10" t="s">
        <v>904</v>
      </c>
      <c r="N635" s="11" t="s">
        <v>2517</v>
      </c>
      <c r="O635" s="12" t="s">
        <v>26</v>
      </c>
    </row>
    <row r="636" spans="1:15">
      <c r="A636" s="4">
        <v>632</v>
      </c>
      <c r="B636" s="5" t="s">
        <v>2518</v>
      </c>
      <c r="C636" s="5" t="s">
        <v>2519</v>
      </c>
      <c r="D636" s="5" t="s">
        <v>2520</v>
      </c>
      <c r="E636" s="6" t="s">
        <v>2521</v>
      </c>
      <c r="F636" s="13" t="s">
        <v>34</v>
      </c>
      <c r="G636" s="5" t="s">
        <v>22</v>
      </c>
      <c r="H636" s="8"/>
      <c r="I636" s="9"/>
      <c r="J636" s="9" t="s">
        <v>23</v>
      </c>
      <c r="K636" s="8"/>
      <c r="L636" s="9"/>
      <c r="M636" s="10" t="s">
        <v>2522</v>
      </c>
      <c r="N636" s="11" t="s">
        <v>2523</v>
      </c>
      <c r="O636" s="12" t="s">
        <v>26</v>
      </c>
    </row>
    <row r="637" spans="1:15">
      <c r="A637" s="4">
        <v>633</v>
      </c>
      <c r="B637" s="5" t="s">
        <v>2518</v>
      </c>
      <c r="C637" s="5" t="s">
        <v>2524</v>
      </c>
      <c r="D637" s="5" t="s">
        <v>2525</v>
      </c>
      <c r="E637" s="6" t="s">
        <v>2526</v>
      </c>
      <c r="F637" s="7" t="s">
        <v>21</v>
      </c>
      <c r="G637" s="5" t="s">
        <v>29</v>
      </c>
      <c r="H637" s="8"/>
      <c r="I637" s="9"/>
      <c r="J637" s="9" t="s">
        <v>23</v>
      </c>
      <c r="K637" s="8"/>
      <c r="L637" s="9"/>
      <c r="M637" s="10" t="s">
        <v>2527</v>
      </c>
      <c r="N637" s="11" t="s">
        <v>2528</v>
      </c>
      <c r="O637" s="12" t="s">
        <v>26</v>
      </c>
    </row>
    <row r="638" spans="1:15">
      <c r="A638" s="4">
        <v>634</v>
      </c>
      <c r="B638" s="5" t="s">
        <v>2518</v>
      </c>
      <c r="C638" s="5" t="s">
        <v>2529</v>
      </c>
      <c r="D638" s="5" t="s">
        <v>2530</v>
      </c>
      <c r="E638" s="6" t="s">
        <v>2531</v>
      </c>
      <c r="F638" s="7" t="s">
        <v>21</v>
      </c>
      <c r="G638" s="5" t="s">
        <v>22</v>
      </c>
      <c r="H638" s="8"/>
      <c r="I638" s="9"/>
      <c r="J638" s="9" t="s">
        <v>23</v>
      </c>
      <c r="K638" s="8"/>
      <c r="L638" s="9"/>
      <c r="M638" s="10" t="s">
        <v>2532</v>
      </c>
      <c r="N638" s="11" t="s">
        <v>2533</v>
      </c>
      <c r="O638" s="12" t="s">
        <v>26</v>
      </c>
    </row>
    <row r="639" spans="1:15">
      <c r="A639" s="4">
        <v>635</v>
      </c>
      <c r="B639" s="5" t="s">
        <v>2518</v>
      </c>
      <c r="C639" s="5" t="s">
        <v>2534</v>
      </c>
      <c r="D639" s="5" t="s">
        <v>2535</v>
      </c>
      <c r="E639" s="6" t="s">
        <v>2536</v>
      </c>
      <c r="F639" s="13" t="s">
        <v>34</v>
      </c>
      <c r="G639" s="5" t="s">
        <v>22</v>
      </c>
      <c r="H639" s="8"/>
      <c r="I639" s="9"/>
      <c r="J639" s="9" t="s">
        <v>23</v>
      </c>
      <c r="K639" s="8"/>
      <c r="L639" s="9"/>
      <c r="M639" s="10" t="s">
        <v>233</v>
      </c>
      <c r="N639" s="11" t="s">
        <v>2537</v>
      </c>
      <c r="O639" s="12" t="s">
        <v>26</v>
      </c>
    </row>
    <row r="640" spans="1:15">
      <c r="A640" s="4">
        <v>636</v>
      </c>
      <c r="B640" s="5" t="s">
        <v>2518</v>
      </c>
      <c r="C640" s="5" t="s">
        <v>2538</v>
      </c>
      <c r="D640" s="5" t="s">
        <v>2539</v>
      </c>
      <c r="E640" s="6" t="s">
        <v>2540</v>
      </c>
      <c r="F640" s="7" t="s">
        <v>21</v>
      </c>
      <c r="G640" s="5" t="s">
        <v>22</v>
      </c>
      <c r="H640" s="8"/>
      <c r="I640" s="9"/>
      <c r="J640" s="9" t="s">
        <v>23</v>
      </c>
      <c r="K640" s="8"/>
      <c r="L640" s="9"/>
      <c r="M640" s="10" t="s">
        <v>2541</v>
      </c>
      <c r="N640" s="11" t="s">
        <v>2542</v>
      </c>
      <c r="O640" s="12" t="s">
        <v>26</v>
      </c>
    </row>
    <row r="641" spans="1:15">
      <c r="A641" s="4">
        <v>637</v>
      </c>
      <c r="B641" s="5" t="s">
        <v>2518</v>
      </c>
      <c r="C641" s="5" t="s">
        <v>2538</v>
      </c>
      <c r="D641" s="5" t="s">
        <v>2543</v>
      </c>
      <c r="E641" s="6" t="s">
        <v>2544</v>
      </c>
      <c r="F641" s="7" t="s">
        <v>21</v>
      </c>
      <c r="G641" s="5" t="s">
        <v>22</v>
      </c>
      <c r="H641" s="8"/>
      <c r="I641" s="9"/>
      <c r="J641" s="9" t="s">
        <v>23</v>
      </c>
      <c r="K641" s="8"/>
      <c r="L641" s="9"/>
      <c r="M641" s="10" t="s">
        <v>2545</v>
      </c>
      <c r="N641" s="11" t="s">
        <v>2546</v>
      </c>
      <c r="O641" s="12" t="s">
        <v>26</v>
      </c>
    </row>
    <row r="642" spans="1:15">
      <c r="A642" s="4">
        <v>638</v>
      </c>
      <c r="B642" s="5" t="s">
        <v>2518</v>
      </c>
      <c r="C642" s="5" t="s">
        <v>2547</v>
      </c>
      <c r="D642" s="5" t="s">
        <v>2548</v>
      </c>
      <c r="E642" s="6" t="s">
        <v>2549</v>
      </c>
      <c r="F642" s="13" t="s">
        <v>34</v>
      </c>
      <c r="G642" s="5" t="s">
        <v>22</v>
      </c>
      <c r="H642" s="8"/>
      <c r="I642" s="9"/>
      <c r="J642" s="9" t="s">
        <v>23</v>
      </c>
      <c r="K642" s="8"/>
      <c r="L642" s="9"/>
      <c r="M642" s="10" t="s">
        <v>2550</v>
      </c>
      <c r="N642" s="11" t="s">
        <v>2551</v>
      </c>
      <c r="O642" s="12" t="s">
        <v>26</v>
      </c>
    </row>
    <row r="643" spans="1:15">
      <c r="A643" s="4">
        <v>639</v>
      </c>
      <c r="B643" s="5" t="s">
        <v>2518</v>
      </c>
      <c r="C643" s="5" t="s">
        <v>2552</v>
      </c>
      <c r="D643" s="5" t="s">
        <v>2553</v>
      </c>
      <c r="E643" s="6" t="s">
        <v>2554</v>
      </c>
      <c r="F643" s="7" t="s">
        <v>21</v>
      </c>
      <c r="G643" s="5" t="s">
        <v>22</v>
      </c>
      <c r="H643" s="8"/>
      <c r="I643" s="9"/>
      <c r="J643" s="9" t="s">
        <v>23</v>
      </c>
      <c r="K643" s="8"/>
      <c r="L643" s="9"/>
      <c r="M643" s="10" t="s">
        <v>2555</v>
      </c>
      <c r="N643" s="11" t="s">
        <v>2556</v>
      </c>
      <c r="O643" s="12" t="s">
        <v>26</v>
      </c>
    </row>
    <row r="644" spans="1:15">
      <c r="A644" s="4">
        <v>640</v>
      </c>
      <c r="B644" s="5" t="s">
        <v>2518</v>
      </c>
      <c r="C644" s="5" t="s">
        <v>2552</v>
      </c>
      <c r="D644" s="5" t="s">
        <v>2557</v>
      </c>
      <c r="E644" s="6" t="s">
        <v>2558</v>
      </c>
      <c r="F644" s="13" t="s">
        <v>34</v>
      </c>
      <c r="G644" s="5" t="s">
        <v>22</v>
      </c>
      <c r="H644" s="8"/>
      <c r="I644" s="9"/>
      <c r="J644" s="9" t="s">
        <v>23</v>
      </c>
      <c r="K644" s="8"/>
      <c r="L644" s="9"/>
      <c r="M644" s="10" t="s">
        <v>2559</v>
      </c>
      <c r="N644" s="11" t="s">
        <v>2560</v>
      </c>
      <c r="O644" s="12" t="s">
        <v>26</v>
      </c>
    </row>
    <row r="645" spans="1:15">
      <c r="A645" s="4">
        <v>641</v>
      </c>
      <c r="B645" s="5" t="s">
        <v>2518</v>
      </c>
      <c r="C645" s="5" t="s">
        <v>2519</v>
      </c>
      <c r="D645" s="5" t="s">
        <v>2561</v>
      </c>
      <c r="E645" s="6" t="s">
        <v>2562</v>
      </c>
      <c r="F645" s="7" t="s">
        <v>21</v>
      </c>
      <c r="G645" s="5" t="s">
        <v>22</v>
      </c>
      <c r="H645" s="8"/>
      <c r="I645" s="9"/>
      <c r="J645" s="9" t="s">
        <v>23</v>
      </c>
      <c r="K645" s="8"/>
      <c r="L645" s="9"/>
      <c r="M645" s="10" t="s">
        <v>2563</v>
      </c>
      <c r="N645" s="11" t="s">
        <v>2564</v>
      </c>
      <c r="O645" s="12" t="s">
        <v>26</v>
      </c>
    </row>
    <row r="646" spans="1:15">
      <c r="A646" s="4">
        <v>642</v>
      </c>
      <c r="B646" s="5" t="s">
        <v>2518</v>
      </c>
      <c r="C646" s="5" t="s">
        <v>2552</v>
      </c>
      <c r="D646" s="5" t="s">
        <v>2565</v>
      </c>
      <c r="E646" s="6" t="s">
        <v>2566</v>
      </c>
      <c r="F646" s="7" t="s">
        <v>21</v>
      </c>
      <c r="G646" s="5" t="s">
        <v>22</v>
      </c>
      <c r="H646" s="8"/>
      <c r="I646" s="9"/>
      <c r="J646" s="9" t="s">
        <v>23</v>
      </c>
      <c r="K646" s="8"/>
      <c r="L646" s="9"/>
      <c r="M646" s="10" t="s">
        <v>2567</v>
      </c>
      <c r="N646" s="11" t="s">
        <v>2568</v>
      </c>
      <c r="O646" s="12" t="s">
        <v>26</v>
      </c>
    </row>
    <row r="647" spans="1:15">
      <c r="A647" s="4">
        <v>643</v>
      </c>
      <c r="B647" s="5" t="s">
        <v>2518</v>
      </c>
      <c r="C647" s="5" t="s">
        <v>2569</v>
      </c>
      <c r="D647" s="5" t="s">
        <v>2570</v>
      </c>
      <c r="E647" s="6" t="s">
        <v>2571</v>
      </c>
      <c r="F647" s="7" t="s">
        <v>21</v>
      </c>
      <c r="G647" s="5" t="s">
        <v>22</v>
      </c>
      <c r="H647" s="8"/>
      <c r="I647" s="9"/>
      <c r="J647" s="9" t="s">
        <v>23</v>
      </c>
      <c r="K647" s="8"/>
      <c r="L647" s="9"/>
      <c r="M647" s="10" t="s">
        <v>2572</v>
      </c>
      <c r="N647" s="11" t="s">
        <v>2573</v>
      </c>
      <c r="O647" s="12" t="s">
        <v>26</v>
      </c>
    </row>
    <row r="648" spans="1:15">
      <c r="A648" s="4">
        <v>644</v>
      </c>
      <c r="B648" s="5" t="s">
        <v>2518</v>
      </c>
      <c r="C648" s="5" t="s">
        <v>2574</v>
      </c>
      <c r="D648" s="5" t="s">
        <v>2575</v>
      </c>
      <c r="E648" s="6" t="s">
        <v>2576</v>
      </c>
      <c r="F648" s="7" t="s">
        <v>21</v>
      </c>
      <c r="G648" s="5" t="s">
        <v>22</v>
      </c>
      <c r="H648" s="8"/>
      <c r="I648" s="9"/>
      <c r="J648" s="9" t="s">
        <v>23</v>
      </c>
      <c r="K648" s="8"/>
      <c r="L648" s="9"/>
      <c r="M648" s="10" t="s">
        <v>2577</v>
      </c>
      <c r="N648" s="11" t="s">
        <v>2578</v>
      </c>
      <c r="O648" s="12" t="s">
        <v>26</v>
      </c>
    </row>
    <row r="649" spans="1:15">
      <c r="A649" s="4">
        <v>645</v>
      </c>
      <c r="B649" s="5" t="s">
        <v>2518</v>
      </c>
      <c r="C649" s="5" t="s">
        <v>2519</v>
      </c>
      <c r="D649" s="5" t="s">
        <v>2579</v>
      </c>
      <c r="E649" s="6" t="s">
        <v>2580</v>
      </c>
      <c r="F649" s="7" t="s">
        <v>21</v>
      </c>
      <c r="G649" s="5" t="s">
        <v>22</v>
      </c>
      <c r="H649" s="8"/>
      <c r="I649" s="9"/>
      <c r="J649" s="9" t="s">
        <v>23</v>
      </c>
      <c r="K649" s="8"/>
      <c r="L649" s="9"/>
      <c r="M649" s="10" t="s">
        <v>2581</v>
      </c>
      <c r="N649" s="11" t="s">
        <v>2582</v>
      </c>
      <c r="O649" s="12" t="s">
        <v>26</v>
      </c>
    </row>
    <row r="650" spans="1:15">
      <c r="A650" s="4">
        <v>646</v>
      </c>
      <c r="B650" s="5" t="s">
        <v>2518</v>
      </c>
      <c r="C650" s="5" t="s">
        <v>2519</v>
      </c>
      <c r="D650" s="5" t="s">
        <v>2583</v>
      </c>
      <c r="E650" s="6" t="s">
        <v>2584</v>
      </c>
      <c r="F650" s="7" t="s">
        <v>21</v>
      </c>
      <c r="G650" s="5" t="s">
        <v>22</v>
      </c>
      <c r="H650" s="8"/>
      <c r="I650" s="9"/>
      <c r="J650" s="9" t="s">
        <v>23</v>
      </c>
      <c r="K650" s="8"/>
      <c r="L650" s="9"/>
      <c r="M650" s="10" t="s">
        <v>1016</v>
      </c>
      <c r="N650" s="11" t="s">
        <v>2585</v>
      </c>
      <c r="O650" s="12" t="s">
        <v>26</v>
      </c>
    </row>
    <row r="651" spans="1:15">
      <c r="A651" s="4">
        <v>647</v>
      </c>
      <c r="B651" s="5" t="s">
        <v>2518</v>
      </c>
      <c r="C651" s="5" t="s">
        <v>2586</v>
      </c>
      <c r="D651" s="5" t="s">
        <v>2587</v>
      </c>
      <c r="E651" s="6" t="s">
        <v>2588</v>
      </c>
      <c r="F651" s="13" t="s">
        <v>34</v>
      </c>
      <c r="G651" s="5" t="s">
        <v>22</v>
      </c>
      <c r="H651" s="8"/>
      <c r="I651" s="9"/>
      <c r="J651" s="9" t="s">
        <v>23</v>
      </c>
      <c r="K651" s="8"/>
      <c r="L651" s="9"/>
      <c r="M651" s="10" t="s">
        <v>233</v>
      </c>
      <c r="N651" s="11" t="s">
        <v>2589</v>
      </c>
      <c r="O651" s="12" t="s">
        <v>26</v>
      </c>
    </row>
    <row r="652" spans="1:15">
      <c r="A652" s="4">
        <v>648</v>
      </c>
      <c r="B652" s="5" t="s">
        <v>2518</v>
      </c>
      <c r="C652" s="5" t="s">
        <v>2574</v>
      </c>
      <c r="D652" s="5" t="s">
        <v>2590</v>
      </c>
      <c r="E652" s="6" t="s">
        <v>2591</v>
      </c>
      <c r="F652" s="13" t="s">
        <v>34</v>
      </c>
      <c r="G652" s="5" t="s">
        <v>22</v>
      </c>
      <c r="H652" s="8"/>
      <c r="I652" s="9"/>
      <c r="J652" s="9" t="s">
        <v>23</v>
      </c>
      <c r="K652" s="8"/>
      <c r="L652" s="9"/>
      <c r="M652" s="10" t="s">
        <v>1505</v>
      </c>
      <c r="N652" s="11" t="s">
        <v>2592</v>
      </c>
      <c r="O652" s="12" t="s">
        <v>26</v>
      </c>
    </row>
    <row r="653" spans="1:15">
      <c r="A653" s="4">
        <v>649</v>
      </c>
      <c r="B653" s="5" t="s">
        <v>2518</v>
      </c>
      <c r="C653" s="5" t="s">
        <v>2519</v>
      </c>
      <c r="D653" s="5" t="s">
        <v>2593</v>
      </c>
      <c r="E653" s="6" t="s">
        <v>2594</v>
      </c>
      <c r="F653" s="7" t="s">
        <v>21</v>
      </c>
      <c r="G653" s="5" t="s">
        <v>22</v>
      </c>
      <c r="H653" s="8"/>
      <c r="I653" s="9"/>
      <c r="J653" s="9" t="s">
        <v>23</v>
      </c>
      <c r="K653" s="8"/>
      <c r="L653" s="9"/>
      <c r="M653" s="10" t="s">
        <v>2595</v>
      </c>
      <c r="N653" s="11" t="s">
        <v>2596</v>
      </c>
      <c r="O653" s="12" t="s">
        <v>26</v>
      </c>
    </row>
    <row r="654" spans="1:15">
      <c r="A654" s="4">
        <v>650</v>
      </c>
      <c r="B654" s="5" t="s">
        <v>2597</v>
      </c>
      <c r="C654" s="5" t="s">
        <v>2598</v>
      </c>
      <c r="D654" s="5" t="s">
        <v>2599</v>
      </c>
      <c r="E654" s="6" t="s">
        <v>2600</v>
      </c>
      <c r="F654" s="7" t="s">
        <v>21</v>
      </c>
      <c r="G654" s="5" t="s">
        <v>22</v>
      </c>
      <c r="H654" s="8"/>
      <c r="I654" s="9"/>
      <c r="J654" s="9" t="s">
        <v>23</v>
      </c>
      <c r="K654" s="8"/>
      <c r="L654" s="9"/>
      <c r="M654" s="10" t="s">
        <v>2601</v>
      </c>
      <c r="N654" s="11" t="s">
        <v>2602</v>
      </c>
      <c r="O654" s="12" t="s">
        <v>26</v>
      </c>
    </row>
    <row r="655" spans="1:15">
      <c r="A655" s="4">
        <v>651</v>
      </c>
      <c r="B655" s="5" t="s">
        <v>2597</v>
      </c>
      <c r="C655" s="5" t="s">
        <v>2598</v>
      </c>
      <c r="D655" s="5" t="s">
        <v>2603</v>
      </c>
      <c r="E655" s="6" t="s">
        <v>2604</v>
      </c>
      <c r="F655" s="7" t="s">
        <v>21</v>
      </c>
      <c r="G655" s="5" t="s">
        <v>22</v>
      </c>
      <c r="H655" s="8"/>
      <c r="I655" s="9"/>
      <c r="J655" s="9" t="s">
        <v>23</v>
      </c>
      <c r="K655" s="8"/>
      <c r="L655" s="9"/>
      <c r="M655" s="10" t="s">
        <v>2605</v>
      </c>
      <c r="N655" s="11" t="s">
        <v>2606</v>
      </c>
      <c r="O655" s="12" t="s">
        <v>26</v>
      </c>
    </row>
    <row r="656" spans="1:15">
      <c r="A656" s="4">
        <v>652</v>
      </c>
      <c r="B656" s="5" t="s">
        <v>2597</v>
      </c>
      <c r="C656" s="5" t="s">
        <v>2607</v>
      </c>
      <c r="D656" s="5" t="s">
        <v>2608</v>
      </c>
      <c r="E656" s="6" t="s">
        <v>2609</v>
      </c>
      <c r="F656" s="7" t="s">
        <v>21</v>
      </c>
      <c r="G656" s="5" t="s">
        <v>22</v>
      </c>
      <c r="H656" s="8"/>
      <c r="I656" s="9"/>
      <c r="J656" s="9" t="s">
        <v>23</v>
      </c>
      <c r="K656" s="8"/>
      <c r="L656" s="9"/>
      <c r="M656" s="10" t="s">
        <v>2610</v>
      </c>
      <c r="N656" s="11" t="s">
        <v>2611</v>
      </c>
      <c r="O656" s="12" t="s">
        <v>26</v>
      </c>
    </row>
    <row r="657" spans="1:15">
      <c r="A657" s="4">
        <v>653</v>
      </c>
      <c r="B657" s="5" t="s">
        <v>2597</v>
      </c>
      <c r="C657" s="5" t="s">
        <v>2607</v>
      </c>
      <c r="D657" s="5" t="s">
        <v>2612</v>
      </c>
      <c r="E657" s="6" t="s">
        <v>2613</v>
      </c>
      <c r="F657" s="7" t="s">
        <v>21</v>
      </c>
      <c r="G657" s="5" t="s">
        <v>22</v>
      </c>
      <c r="H657" s="8"/>
      <c r="I657" s="9"/>
      <c r="J657" s="9" t="s">
        <v>23</v>
      </c>
      <c r="K657" s="8"/>
      <c r="L657" s="9"/>
      <c r="M657" s="10" t="s">
        <v>361</v>
      </c>
      <c r="N657" s="11" t="s">
        <v>2614</v>
      </c>
      <c r="O657" s="12" t="s">
        <v>26</v>
      </c>
    </row>
    <row r="658" spans="1:15">
      <c r="A658" s="4">
        <v>654</v>
      </c>
      <c r="B658" s="5" t="s">
        <v>2597</v>
      </c>
      <c r="C658" s="5" t="s">
        <v>2607</v>
      </c>
      <c r="D658" s="5" t="s">
        <v>2615</v>
      </c>
      <c r="E658" s="6" t="s">
        <v>2616</v>
      </c>
      <c r="F658" s="7" t="s">
        <v>21</v>
      </c>
      <c r="G658" s="5" t="s">
        <v>22</v>
      </c>
      <c r="H658" s="8"/>
      <c r="I658" s="9"/>
      <c r="J658" s="9" t="s">
        <v>23</v>
      </c>
      <c r="K658" s="8"/>
      <c r="L658" s="9"/>
      <c r="M658" s="10" t="s">
        <v>2617</v>
      </c>
      <c r="N658" s="11" t="s">
        <v>2618</v>
      </c>
      <c r="O658" s="12" t="s">
        <v>26</v>
      </c>
    </row>
    <row r="659" spans="1:15">
      <c r="A659" s="4">
        <v>655</v>
      </c>
      <c r="B659" s="5" t="s">
        <v>2597</v>
      </c>
      <c r="C659" s="5" t="s">
        <v>2598</v>
      </c>
      <c r="D659" s="5" t="s">
        <v>2619</v>
      </c>
      <c r="E659" s="6" t="s">
        <v>2620</v>
      </c>
      <c r="F659" s="7" t="s">
        <v>21</v>
      </c>
      <c r="G659" s="5" t="s">
        <v>22</v>
      </c>
      <c r="H659" s="8"/>
      <c r="I659" s="9"/>
      <c r="J659" s="9" t="s">
        <v>23</v>
      </c>
      <c r="K659" s="8"/>
      <c r="L659" s="9"/>
      <c r="M659" s="10" t="s">
        <v>370</v>
      </c>
      <c r="N659" s="11" t="s">
        <v>2621</v>
      </c>
      <c r="O659" s="12" t="s">
        <v>26</v>
      </c>
    </row>
    <row r="660" spans="1:15">
      <c r="A660" s="4">
        <v>656</v>
      </c>
      <c r="B660" s="5" t="s">
        <v>2597</v>
      </c>
      <c r="C660" s="5" t="s">
        <v>2598</v>
      </c>
      <c r="D660" s="5" t="s">
        <v>2622</v>
      </c>
      <c r="E660" s="6" t="s">
        <v>2623</v>
      </c>
      <c r="F660" s="7" t="s">
        <v>21</v>
      </c>
      <c r="G660" s="5" t="s">
        <v>22</v>
      </c>
      <c r="H660" s="8"/>
      <c r="I660" s="9"/>
      <c r="J660" s="9" t="s">
        <v>23</v>
      </c>
      <c r="K660" s="8"/>
      <c r="L660" s="9"/>
      <c r="M660" s="10" t="s">
        <v>361</v>
      </c>
      <c r="N660" s="11" t="s">
        <v>2624</v>
      </c>
      <c r="O660" s="12" t="s">
        <v>26</v>
      </c>
    </row>
    <row r="661" spans="1:15">
      <c r="A661" s="4">
        <v>657</v>
      </c>
      <c r="B661" s="5" t="s">
        <v>2597</v>
      </c>
      <c r="C661" s="5" t="s">
        <v>2625</v>
      </c>
      <c r="D661" s="5" t="s">
        <v>2626</v>
      </c>
      <c r="E661" s="6" t="s">
        <v>2627</v>
      </c>
      <c r="F661" s="7" t="s">
        <v>21</v>
      </c>
      <c r="G661" s="5" t="s">
        <v>22</v>
      </c>
      <c r="H661" s="8"/>
      <c r="I661" s="9"/>
      <c r="J661" s="9" t="s">
        <v>23</v>
      </c>
      <c r="K661" s="8"/>
      <c r="L661" s="9"/>
      <c r="M661" s="10" t="s">
        <v>2628</v>
      </c>
      <c r="N661" s="11" t="s">
        <v>2629</v>
      </c>
      <c r="O661" s="12" t="s">
        <v>26</v>
      </c>
    </row>
    <row r="662" spans="1:15">
      <c r="A662" s="4">
        <v>658</v>
      </c>
      <c r="B662" s="5" t="s">
        <v>2597</v>
      </c>
      <c r="C662" s="5" t="s">
        <v>2598</v>
      </c>
      <c r="D662" s="5" t="s">
        <v>2630</v>
      </c>
      <c r="E662" s="6" t="s">
        <v>2631</v>
      </c>
      <c r="F662" s="7" t="s">
        <v>21</v>
      </c>
      <c r="G662" s="5" t="s">
        <v>156</v>
      </c>
      <c r="H662" s="8"/>
      <c r="I662" s="9"/>
      <c r="J662" s="9" t="s">
        <v>23</v>
      </c>
      <c r="K662" s="8"/>
      <c r="L662" s="9"/>
      <c r="M662" s="10" t="s">
        <v>2632</v>
      </c>
      <c r="N662" s="11" t="s">
        <v>2633</v>
      </c>
      <c r="O662" s="12" t="s">
        <v>26</v>
      </c>
    </row>
    <row r="663" spans="1:15">
      <c r="A663" s="4">
        <v>659</v>
      </c>
      <c r="B663" s="5" t="s">
        <v>2597</v>
      </c>
      <c r="C663" s="5" t="s">
        <v>2598</v>
      </c>
      <c r="D663" s="5" t="s">
        <v>2634</v>
      </c>
      <c r="E663" s="6" t="s">
        <v>2635</v>
      </c>
      <c r="F663" s="7" t="s">
        <v>21</v>
      </c>
      <c r="G663" s="5" t="s">
        <v>22</v>
      </c>
      <c r="H663" s="8"/>
      <c r="I663" s="9"/>
      <c r="J663" s="9" t="s">
        <v>23</v>
      </c>
      <c r="K663" s="8"/>
      <c r="L663" s="9"/>
      <c r="M663" s="10" t="s">
        <v>2636</v>
      </c>
      <c r="N663" s="11" t="s">
        <v>2637</v>
      </c>
      <c r="O663" s="12" t="s">
        <v>26</v>
      </c>
    </row>
    <row r="664" spans="1:15">
      <c r="A664" s="4">
        <v>660</v>
      </c>
      <c r="B664" s="5" t="s">
        <v>2638</v>
      </c>
      <c r="C664" s="5" t="s">
        <v>2639</v>
      </c>
      <c r="D664" s="5" t="s">
        <v>2640</v>
      </c>
      <c r="E664" s="6" t="s">
        <v>2641</v>
      </c>
      <c r="F664" s="13" t="s">
        <v>34</v>
      </c>
      <c r="G664" s="5" t="s">
        <v>39</v>
      </c>
      <c r="H664" s="8"/>
      <c r="I664" s="9"/>
      <c r="J664" s="9" t="s">
        <v>23</v>
      </c>
      <c r="K664" s="8"/>
      <c r="L664" s="9"/>
      <c r="M664" s="10" t="s">
        <v>2642</v>
      </c>
      <c r="N664" s="11" t="s">
        <v>2643</v>
      </c>
      <c r="O664" s="12" t="s">
        <v>26</v>
      </c>
    </row>
    <row r="665" spans="1:15">
      <c r="A665" s="4">
        <v>661</v>
      </c>
      <c r="B665" s="5" t="s">
        <v>2638</v>
      </c>
      <c r="C665" s="5" t="s">
        <v>2644</v>
      </c>
      <c r="D665" s="5" t="s">
        <v>2645</v>
      </c>
      <c r="E665" s="6" t="s">
        <v>2646</v>
      </c>
      <c r="F665" s="7" t="s">
        <v>21</v>
      </c>
      <c r="G665" s="5" t="s">
        <v>29</v>
      </c>
      <c r="H665" s="8"/>
      <c r="I665" s="9"/>
      <c r="J665" s="9" t="s">
        <v>23</v>
      </c>
      <c r="K665" s="8"/>
      <c r="L665" s="9"/>
      <c r="M665" s="10" t="s">
        <v>2647</v>
      </c>
      <c r="N665" s="11" t="s">
        <v>2648</v>
      </c>
      <c r="O665" s="12" t="s">
        <v>26</v>
      </c>
    </row>
    <row r="666" spans="1:15">
      <c r="A666" s="4">
        <v>662</v>
      </c>
      <c r="B666" s="5" t="s">
        <v>2638</v>
      </c>
      <c r="C666" s="5" t="s">
        <v>2649</v>
      </c>
      <c r="D666" s="5" t="s">
        <v>2650</v>
      </c>
      <c r="E666" s="6" t="s">
        <v>2651</v>
      </c>
      <c r="F666" s="7" t="s">
        <v>21</v>
      </c>
      <c r="G666" s="5" t="s">
        <v>22</v>
      </c>
      <c r="H666" s="8"/>
      <c r="I666" s="9"/>
      <c r="J666" s="9" t="s">
        <v>23</v>
      </c>
      <c r="K666" s="8"/>
      <c r="L666" s="9"/>
      <c r="M666" s="10" t="s">
        <v>370</v>
      </c>
      <c r="N666" s="11" t="s">
        <v>2652</v>
      </c>
      <c r="O666" s="12" t="s">
        <v>26</v>
      </c>
    </row>
    <row r="667" spans="1:15">
      <c r="A667" s="4">
        <v>663</v>
      </c>
      <c r="B667" s="5" t="s">
        <v>2638</v>
      </c>
      <c r="C667" s="5" t="s">
        <v>2649</v>
      </c>
      <c r="D667" s="5" t="s">
        <v>2653</v>
      </c>
      <c r="E667" s="6" t="s">
        <v>2654</v>
      </c>
      <c r="F667" s="7" t="s">
        <v>21</v>
      </c>
      <c r="G667" s="5" t="s">
        <v>22</v>
      </c>
      <c r="H667" s="8"/>
      <c r="I667" s="9"/>
      <c r="J667" s="9" t="s">
        <v>23</v>
      </c>
      <c r="K667" s="8"/>
      <c r="L667" s="9"/>
      <c r="M667" s="10" t="s">
        <v>2655</v>
      </c>
      <c r="N667" s="11" t="s">
        <v>2656</v>
      </c>
      <c r="O667" s="12" t="s">
        <v>26</v>
      </c>
    </row>
    <row r="668" spans="1:15">
      <c r="A668" s="4">
        <v>664</v>
      </c>
      <c r="B668" s="5" t="s">
        <v>2638</v>
      </c>
      <c r="C668" s="5" t="s">
        <v>2649</v>
      </c>
      <c r="D668" s="5" t="s">
        <v>2657</v>
      </c>
      <c r="E668" s="6" t="s">
        <v>2658</v>
      </c>
      <c r="F668" s="7" t="s">
        <v>21</v>
      </c>
      <c r="G668" s="5" t="s">
        <v>22</v>
      </c>
      <c r="H668" s="8"/>
      <c r="I668" s="9"/>
      <c r="J668" s="9" t="s">
        <v>23</v>
      </c>
      <c r="K668" s="8"/>
      <c r="L668" s="9"/>
      <c r="M668" s="10" t="s">
        <v>2659</v>
      </c>
      <c r="N668" s="11" t="s">
        <v>2660</v>
      </c>
      <c r="O668" s="12" t="s">
        <v>26</v>
      </c>
    </row>
    <row r="669" spans="1:15">
      <c r="A669" s="4">
        <v>665</v>
      </c>
      <c r="B669" s="5" t="s">
        <v>2638</v>
      </c>
      <c r="C669" s="5" t="s">
        <v>2661</v>
      </c>
      <c r="D669" s="5" t="s">
        <v>2662</v>
      </c>
      <c r="E669" s="6" t="s">
        <v>2663</v>
      </c>
      <c r="F669" s="7" t="s">
        <v>21</v>
      </c>
      <c r="G669" s="5" t="s">
        <v>29</v>
      </c>
      <c r="H669" s="8"/>
      <c r="I669" s="9"/>
      <c r="J669" s="9" t="s">
        <v>23</v>
      </c>
      <c r="K669" s="8"/>
      <c r="L669" s="9"/>
      <c r="M669" s="10" t="s">
        <v>2664</v>
      </c>
      <c r="N669" s="11" t="s">
        <v>2665</v>
      </c>
      <c r="O669" s="12" t="s">
        <v>26</v>
      </c>
    </row>
    <row r="670" spans="1:15">
      <c r="A670" s="4">
        <v>666</v>
      </c>
      <c r="B670" s="5" t="s">
        <v>2638</v>
      </c>
      <c r="C670" s="5" t="s">
        <v>2649</v>
      </c>
      <c r="D670" s="5" t="s">
        <v>2666</v>
      </c>
      <c r="E670" s="6" t="s">
        <v>2667</v>
      </c>
      <c r="F670" s="7" t="s">
        <v>21</v>
      </c>
      <c r="G670" s="5" t="s">
        <v>22</v>
      </c>
      <c r="H670" s="8"/>
      <c r="I670" s="9"/>
      <c r="J670" s="9" t="s">
        <v>23</v>
      </c>
      <c r="K670" s="8"/>
      <c r="L670" s="9"/>
      <c r="M670" s="10" t="s">
        <v>361</v>
      </c>
      <c r="N670" s="11" t="s">
        <v>2668</v>
      </c>
      <c r="O670" s="12" t="s">
        <v>26</v>
      </c>
    </row>
    <row r="671" spans="1:15">
      <c r="A671" s="4">
        <v>667</v>
      </c>
      <c r="B671" s="5" t="s">
        <v>2638</v>
      </c>
      <c r="C671" s="5" t="s">
        <v>2669</v>
      </c>
      <c r="D671" s="5" t="s">
        <v>2670</v>
      </c>
      <c r="E671" s="6" t="s">
        <v>2671</v>
      </c>
      <c r="F671" s="13" t="s">
        <v>34</v>
      </c>
      <c r="G671" s="5" t="s">
        <v>156</v>
      </c>
      <c r="H671" s="8"/>
      <c r="I671" s="9"/>
      <c r="J671" s="9" t="s">
        <v>23</v>
      </c>
      <c r="K671" s="8"/>
      <c r="L671" s="9"/>
      <c r="M671" s="10" t="s">
        <v>2672</v>
      </c>
      <c r="N671" s="11" t="s">
        <v>2673</v>
      </c>
      <c r="O671" s="12" t="s">
        <v>26</v>
      </c>
    </row>
    <row r="672" spans="1:15">
      <c r="A672" s="4">
        <v>668</v>
      </c>
      <c r="B672" s="5" t="s">
        <v>2638</v>
      </c>
      <c r="C672" s="5" t="s">
        <v>2649</v>
      </c>
      <c r="D672" s="5" t="s">
        <v>2674</v>
      </c>
      <c r="E672" s="6" t="s">
        <v>2675</v>
      </c>
      <c r="F672" s="7" t="s">
        <v>21</v>
      </c>
      <c r="G672" s="5" t="s">
        <v>22</v>
      </c>
      <c r="H672" s="8"/>
      <c r="I672" s="9"/>
      <c r="J672" s="9" t="s">
        <v>23</v>
      </c>
      <c r="K672" s="8"/>
      <c r="L672" s="9"/>
      <c r="M672" s="10" t="s">
        <v>2676</v>
      </c>
      <c r="N672" s="11" t="s">
        <v>2677</v>
      </c>
      <c r="O672" s="12" t="s">
        <v>26</v>
      </c>
    </row>
    <row r="673" spans="1:15">
      <c r="A673" s="4">
        <v>669</v>
      </c>
      <c r="B673" s="5" t="s">
        <v>2638</v>
      </c>
      <c r="C673" s="5" t="s">
        <v>2649</v>
      </c>
      <c r="D673" s="5" t="s">
        <v>2678</v>
      </c>
      <c r="E673" s="6" t="s">
        <v>2679</v>
      </c>
      <c r="F673" s="7" t="s">
        <v>21</v>
      </c>
      <c r="G673" s="5" t="s">
        <v>22</v>
      </c>
      <c r="H673" s="8"/>
      <c r="I673" s="9"/>
      <c r="J673" s="9" t="s">
        <v>23</v>
      </c>
      <c r="K673" s="8"/>
      <c r="L673" s="9"/>
      <c r="M673" s="10" t="s">
        <v>2680</v>
      </c>
      <c r="N673" s="11" t="s">
        <v>2681</v>
      </c>
      <c r="O673" s="12" t="s">
        <v>26</v>
      </c>
    </row>
    <row r="674" spans="1:15">
      <c r="A674" s="4">
        <v>670</v>
      </c>
      <c r="B674" s="5" t="s">
        <v>2682</v>
      </c>
      <c r="C674" s="5" t="s">
        <v>2683</v>
      </c>
      <c r="D674" s="5" t="s">
        <v>2684</v>
      </c>
      <c r="E674" s="6" t="s">
        <v>2685</v>
      </c>
      <c r="F674" s="7" t="s">
        <v>21</v>
      </c>
      <c r="G674" s="5" t="s">
        <v>29</v>
      </c>
      <c r="H674" s="8"/>
      <c r="I674" s="9"/>
      <c r="J674" s="9" t="s">
        <v>23</v>
      </c>
      <c r="K674" s="8"/>
      <c r="L674" s="9"/>
      <c r="M674" s="10" t="s">
        <v>2686</v>
      </c>
      <c r="N674" s="11" t="s">
        <v>2687</v>
      </c>
      <c r="O674" s="12" t="s">
        <v>26</v>
      </c>
    </row>
    <row r="675" spans="1:15">
      <c r="A675" s="4">
        <v>671</v>
      </c>
      <c r="B675" s="5" t="s">
        <v>2682</v>
      </c>
      <c r="C675" s="5" t="s">
        <v>2683</v>
      </c>
      <c r="D675" s="5" t="s">
        <v>2688</v>
      </c>
      <c r="E675" s="6" t="s">
        <v>2689</v>
      </c>
      <c r="F675" s="7" t="s">
        <v>21</v>
      </c>
      <c r="G675" s="5" t="s">
        <v>22</v>
      </c>
      <c r="H675" s="8"/>
      <c r="I675" s="9"/>
      <c r="J675" s="9" t="s">
        <v>23</v>
      </c>
      <c r="K675" s="8"/>
      <c r="L675" s="9"/>
      <c r="M675" s="10" t="s">
        <v>361</v>
      </c>
      <c r="N675" s="11" t="s">
        <v>2690</v>
      </c>
      <c r="O675" s="12" t="s">
        <v>26</v>
      </c>
    </row>
    <row r="676" spans="1:15">
      <c r="A676" s="4">
        <v>672</v>
      </c>
      <c r="B676" s="5" t="s">
        <v>2682</v>
      </c>
      <c r="C676" s="5" t="s">
        <v>2691</v>
      </c>
      <c r="D676" s="5" t="s">
        <v>2692</v>
      </c>
      <c r="E676" s="6" t="s">
        <v>2693</v>
      </c>
      <c r="F676" s="7" t="s">
        <v>21</v>
      </c>
      <c r="G676" s="5" t="s">
        <v>22</v>
      </c>
      <c r="H676" s="8"/>
      <c r="I676" s="9"/>
      <c r="J676" s="9" t="s">
        <v>23</v>
      </c>
      <c r="K676" s="8"/>
      <c r="L676" s="9"/>
      <c r="M676" s="10" t="s">
        <v>361</v>
      </c>
      <c r="N676" s="11" t="s">
        <v>2694</v>
      </c>
      <c r="O676" s="12" t="s">
        <v>26</v>
      </c>
    </row>
    <row r="677" spans="1:15">
      <c r="A677" s="4">
        <v>673</v>
      </c>
      <c r="B677" s="5" t="s">
        <v>2682</v>
      </c>
      <c r="C677" s="5" t="s">
        <v>2683</v>
      </c>
      <c r="D677" s="5" t="s">
        <v>2695</v>
      </c>
      <c r="E677" s="6" t="s">
        <v>2696</v>
      </c>
      <c r="F677" s="7" t="s">
        <v>21</v>
      </c>
      <c r="G677" s="5" t="s">
        <v>29</v>
      </c>
      <c r="H677" s="8"/>
      <c r="I677" s="9"/>
      <c r="J677" s="9" t="s">
        <v>23</v>
      </c>
      <c r="K677" s="8"/>
      <c r="L677" s="9"/>
      <c r="M677" s="10" t="s">
        <v>2697</v>
      </c>
      <c r="N677" s="11" t="s">
        <v>2698</v>
      </c>
      <c r="O677" s="12" t="s">
        <v>26</v>
      </c>
    </row>
    <row r="678" spans="1:15">
      <c r="A678" s="4">
        <v>674</v>
      </c>
      <c r="B678" s="5" t="s">
        <v>2682</v>
      </c>
      <c r="C678" s="5" t="s">
        <v>2683</v>
      </c>
      <c r="D678" s="5" t="s">
        <v>2699</v>
      </c>
      <c r="E678" s="6" t="s">
        <v>2700</v>
      </c>
      <c r="F678" s="7" t="s">
        <v>21</v>
      </c>
      <c r="G678" s="5" t="s">
        <v>39</v>
      </c>
      <c r="H678" s="8"/>
      <c r="I678" s="9"/>
      <c r="J678" s="9" t="s">
        <v>23</v>
      </c>
      <c r="K678" s="8"/>
      <c r="L678" s="9"/>
      <c r="M678" s="10" t="s">
        <v>2701</v>
      </c>
      <c r="N678" s="11" t="s">
        <v>2702</v>
      </c>
      <c r="O678" s="12" t="s">
        <v>26</v>
      </c>
    </row>
    <row r="679" spans="1:15">
      <c r="A679" s="4">
        <v>675</v>
      </c>
      <c r="B679" s="5" t="s">
        <v>2682</v>
      </c>
      <c r="C679" s="5" t="s">
        <v>2683</v>
      </c>
      <c r="D679" s="5" t="s">
        <v>2703</v>
      </c>
      <c r="E679" s="6" t="s">
        <v>2704</v>
      </c>
      <c r="F679" s="7" t="s">
        <v>21</v>
      </c>
      <c r="G679" s="5" t="s">
        <v>29</v>
      </c>
      <c r="H679" s="8"/>
      <c r="I679" s="9"/>
      <c r="J679" s="9" t="s">
        <v>23</v>
      </c>
      <c r="K679" s="8"/>
      <c r="L679" s="9"/>
      <c r="M679" s="10" t="s">
        <v>2705</v>
      </c>
      <c r="N679" s="11" t="s">
        <v>2706</v>
      </c>
      <c r="O679" s="12" t="s">
        <v>26</v>
      </c>
    </row>
    <row r="680" spans="1:15">
      <c r="A680" s="4">
        <v>676</v>
      </c>
      <c r="B680" s="5" t="s">
        <v>2707</v>
      </c>
      <c r="C680" s="5" t="s">
        <v>2708</v>
      </c>
      <c r="D680" s="5" t="s">
        <v>2709</v>
      </c>
      <c r="E680" s="6" t="s">
        <v>2710</v>
      </c>
      <c r="F680" s="7" t="s">
        <v>21</v>
      </c>
      <c r="G680" s="5" t="s">
        <v>29</v>
      </c>
      <c r="H680" s="8"/>
      <c r="I680" s="9"/>
      <c r="J680" s="9" t="s">
        <v>23</v>
      </c>
      <c r="K680" s="8"/>
      <c r="L680" s="9"/>
      <c r="M680" s="10" t="s">
        <v>2711</v>
      </c>
      <c r="N680" s="11" t="s">
        <v>2712</v>
      </c>
      <c r="O680" s="12" t="s">
        <v>26</v>
      </c>
    </row>
    <row r="681" spans="1:15">
      <c r="A681" s="4">
        <v>677</v>
      </c>
      <c r="B681" s="5" t="s">
        <v>2707</v>
      </c>
      <c r="C681" s="5" t="s">
        <v>2713</v>
      </c>
      <c r="D681" s="5" t="s">
        <v>2714</v>
      </c>
      <c r="E681" s="6" t="s">
        <v>2715</v>
      </c>
      <c r="F681" s="7" t="s">
        <v>21</v>
      </c>
      <c r="G681" s="5" t="s">
        <v>22</v>
      </c>
      <c r="H681" s="8"/>
      <c r="I681" s="9"/>
      <c r="J681" s="9" t="s">
        <v>23</v>
      </c>
      <c r="K681" s="8"/>
      <c r="L681" s="9"/>
      <c r="M681" s="10" t="s">
        <v>2716</v>
      </c>
      <c r="N681" s="11" t="s">
        <v>2717</v>
      </c>
      <c r="O681" s="12" t="s">
        <v>26</v>
      </c>
    </row>
    <row r="682" spans="1:15">
      <c r="A682" s="4">
        <v>678</v>
      </c>
      <c r="B682" s="5" t="s">
        <v>2707</v>
      </c>
      <c r="C682" s="5" t="s">
        <v>2708</v>
      </c>
      <c r="D682" s="5" t="s">
        <v>2718</v>
      </c>
      <c r="E682" s="6" t="s">
        <v>2719</v>
      </c>
      <c r="F682" s="7" t="s">
        <v>21</v>
      </c>
      <c r="G682" s="5" t="s">
        <v>29</v>
      </c>
      <c r="H682" s="8"/>
      <c r="I682" s="9"/>
      <c r="J682" s="9" t="s">
        <v>23</v>
      </c>
      <c r="K682" s="8"/>
      <c r="L682" s="9"/>
      <c r="M682" s="10" t="s">
        <v>2720</v>
      </c>
      <c r="N682" s="11" t="s">
        <v>2721</v>
      </c>
      <c r="O682" s="12" t="s">
        <v>26</v>
      </c>
    </row>
    <row r="683" spans="1:15">
      <c r="A683" s="4">
        <v>679</v>
      </c>
      <c r="B683" s="5" t="s">
        <v>2707</v>
      </c>
      <c r="C683" s="5" t="s">
        <v>2713</v>
      </c>
      <c r="D683" s="5" t="s">
        <v>2722</v>
      </c>
      <c r="E683" s="6" t="s">
        <v>2723</v>
      </c>
      <c r="F683" s="7" t="s">
        <v>21</v>
      </c>
      <c r="G683" s="5" t="s">
        <v>22</v>
      </c>
      <c r="H683" s="8"/>
      <c r="I683" s="9"/>
      <c r="J683" s="9" t="s">
        <v>23</v>
      </c>
      <c r="K683" s="8"/>
      <c r="L683" s="9"/>
      <c r="M683" s="10" t="s">
        <v>2724</v>
      </c>
      <c r="N683" s="11" t="s">
        <v>2725</v>
      </c>
      <c r="O683" s="12" t="s">
        <v>26</v>
      </c>
    </row>
    <row r="684" spans="1:15">
      <c r="A684" s="4">
        <v>680</v>
      </c>
      <c r="B684" s="5" t="s">
        <v>2707</v>
      </c>
      <c r="C684" s="5" t="s">
        <v>2708</v>
      </c>
      <c r="D684" s="5" t="s">
        <v>2726</v>
      </c>
      <c r="E684" s="6" t="s">
        <v>2727</v>
      </c>
      <c r="F684" s="7" t="s">
        <v>21</v>
      </c>
      <c r="G684" s="5" t="s">
        <v>22</v>
      </c>
      <c r="H684" s="8"/>
      <c r="I684" s="9"/>
      <c r="J684" s="9" t="s">
        <v>23</v>
      </c>
      <c r="K684" s="8"/>
      <c r="L684" s="9"/>
      <c r="M684" s="10" t="s">
        <v>370</v>
      </c>
      <c r="N684" s="11" t="s">
        <v>2728</v>
      </c>
      <c r="O684" s="12" t="s">
        <v>26</v>
      </c>
    </row>
    <row r="685" spans="1:15">
      <c r="A685" s="4">
        <v>681</v>
      </c>
      <c r="B685" s="5" t="s">
        <v>2707</v>
      </c>
      <c r="C685" s="5" t="s">
        <v>2729</v>
      </c>
      <c r="D685" s="5" t="s">
        <v>2730</v>
      </c>
      <c r="E685" s="6" t="s">
        <v>2731</v>
      </c>
      <c r="F685" s="7" t="s">
        <v>21</v>
      </c>
      <c r="G685" s="5" t="s">
        <v>29</v>
      </c>
      <c r="H685" s="8"/>
      <c r="I685" s="9"/>
      <c r="J685" s="9" t="s">
        <v>23</v>
      </c>
      <c r="K685" s="8"/>
      <c r="L685" s="9"/>
      <c r="M685" s="10" t="s">
        <v>2732</v>
      </c>
      <c r="N685" s="11" t="s">
        <v>2733</v>
      </c>
      <c r="O685" s="12" t="s">
        <v>26</v>
      </c>
    </row>
    <row r="686" spans="1:15">
      <c r="A686" s="4">
        <v>682</v>
      </c>
      <c r="B686" s="5" t="s">
        <v>2707</v>
      </c>
      <c r="C686" s="5" t="s">
        <v>2734</v>
      </c>
      <c r="D686" s="5" t="s">
        <v>2735</v>
      </c>
      <c r="E686" s="6" t="s">
        <v>2736</v>
      </c>
      <c r="F686" s="7" t="s">
        <v>21</v>
      </c>
      <c r="G686" s="5" t="s">
        <v>22</v>
      </c>
      <c r="H686" s="8"/>
      <c r="I686" s="9"/>
      <c r="J686" s="9" t="s">
        <v>23</v>
      </c>
      <c r="K686" s="8"/>
      <c r="L686" s="9"/>
      <c r="M686" s="10" t="s">
        <v>361</v>
      </c>
      <c r="N686" s="11" t="s">
        <v>2737</v>
      </c>
      <c r="O686" s="12" t="s">
        <v>26</v>
      </c>
    </row>
    <row r="687" spans="1:15">
      <c r="A687" s="4">
        <v>683</v>
      </c>
      <c r="B687" s="5" t="s">
        <v>2707</v>
      </c>
      <c r="C687" s="5" t="s">
        <v>2738</v>
      </c>
      <c r="D687" s="5" t="s">
        <v>2739</v>
      </c>
      <c r="E687" s="6" t="s">
        <v>2740</v>
      </c>
      <c r="F687" s="7" t="s">
        <v>21</v>
      </c>
      <c r="G687" s="5" t="s">
        <v>22</v>
      </c>
      <c r="H687" s="8"/>
      <c r="I687" s="9"/>
      <c r="J687" s="9" t="s">
        <v>23</v>
      </c>
      <c r="K687" s="8"/>
      <c r="L687" s="9"/>
      <c r="M687" s="10" t="s">
        <v>361</v>
      </c>
      <c r="N687" s="11" t="s">
        <v>2741</v>
      </c>
      <c r="O687" s="12" t="s">
        <v>26</v>
      </c>
    </row>
    <row r="688" spans="1:15">
      <c r="A688" s="4">
        <v>684</v>
      </c>
      <c r="B688" s="5" t="s">
        <v>2707</v>
      </c>
      <c r="C688" s="5" t="s">
        <v>2742</v>
      </c>
      <c r="D688" s="5" t="s">
        <v>2743</v>
      </c>
      <c r="E688" s="6" t="s">
        <v>2744</v>
      </c>
      <c r="F688" s="7" t="s">
        <v>21</v>
      </c>
      <c r="G688" s="5" t="s">
        <v>22</v>
      </c>
      <c r="H688" s="8"/>
      <c r="I688" s="9"/>
      <c r="J688" s="9" t="s">
        <v>23</v>
      </c>
      <c r="K688" s="8"/>
      <c r="L688" s="9"/>
      <c r="M688" s="10" t="s">
        <v>2745</v>
      </c>
      <c r="N688" s="11" t="s">
        <v>2746</v>
      </c>
      <c r="O688" s="12" t="s">
        <v>26</v>
      </c>
    </row>
    <row r="689" spans="1:15">
      <c r="A689" s="4">
        <v>685</v>
      </c>
      <c r="B689" s="5" t="s">
        <v>2707</v>
      </c>
      <c r="C689" s="5" t="s">
        <v>2708</v>
      </c>
      <c r="D689" s="5" t="s">
        <v>2747</v>
      </c>
      <c r="E689" s="6" t="s">
        <v>2748</v>
      </c>
      <c r="F689" s="7" t="s">
        <v>21</v>
      </c>
      <c r="G689" s="5" t="s">
        <v>22</v>
      </c>
      <c r="H689" s="8"/>
      <c r="I689" s="9"/>
      <c r="J689" s="9" t="s">
        <v>23</v>
      </c>
      <c r="K689" s="8"/>
      <c r="L689" s="9"/>
      <c r="M689" s="10" t="s">
        <v>2749</v>
      </c>
      <c r="N689" s="11" t="s">
        <v>2750</v>
      </c>
      <c r="O689" s="12" t="s">
        <v>26</v>
      </c>
    </row>
    <row r="690" spans="1:15">
      <c r="A690" s="4">
        <v>686</v>
      </c>
      <c r="B690" s="5" t="s">
        <v>2707</v>
      </c>
      <c r="C690" s="5" t="s">
        <v>2708</v>
      </c>
      <c r="D690" s="5" t="s">
        <v>2751</v>
      </c>
      <c r="E690" s="6" t="s">
        <v>2752</v>
      </c>
      <c r="F690" s="7" t="s">
        <v>21</v>
      </c>
      <c r="G690" s="5" t="s">
        <v>22</v>
      </c>
      <c r="H690" s="8"/>
      <c r="I690" s="9"/>
      <c r="J690" s="9" t="s">
        <v>23</v>
      </c>
      <c r="K690" s="8"/>
      <c r="L690" s="9"/>
      <c r="M690" s="10" t="s">
        <v>2753</v>
      </c>
      <c r="N690" s="11" t="s">
        <v>2754</v>
      </c>
      <c r="O690" s="12" t="s">
        <v>26</v>
      </c>
    </row>
    <row r="691" spans="1:15">
      <c r="A691" s="4">
        <v>687</v>
      </c>
      <c r="B691" s="5" t="s">
        <v>2755</v>
      </c>
      <c r="C691" s="5" t="s">
        <v>2756</v>
      </c>
      <c r="D691" s="5" t="s">
        <v>2757</v>
      </c>
      <c r="E691" s="6" t="s">
        <v>2758</v>
      </c>
      <c r="F691" s="7" t="s">
        <v>21</v>
      </c>
      <c r="G691" s="5" t="s">
        <v>22</v>
      </c>
      <c r="H691" s="8"/>
      <c r="I691" s="9"/>
      <c r="J691" s="9" t="s">
        <v>23</v>
      </c>
      <c r="K691" s="8"/>
      <c r="L691" s="9"/>
      <c r="M691" s="10" t="s">
        <v>361</v>
      </c>
      <c r="N691" s="11" t="s">
        <v>2759</v>
      </c>
      <c r="O691" s="12" t="s">
        <v>26</v>
      </c>
    </row>
    <row r="692" spans="1:15">
      <c r="A692" s="4">
        <v>688</v>
      </c>
      <c r="B692" s="5" t="s">
        <v>2755</v>
      </c>
      <c r="C692" s="5" t="s">
        <v>2760</v>
      </c>
      <c r="D692" s="5" t="s">
        <v>2761</v>
      </c>
      <c r="E692" s="6" t="s">
        <v>2762</v>
      </c>
      <c r="F692" s="7" t="s">
        <v>21</v>
      </c>
      <c r="G692" s="5" t="s">
        <v>22</v>
      </c>
      <c r="H692" s="8"/>
      <c r="I692" s="9"/>
      <c r="J692" s="9" t="s">
        <v>23</v>
      </c>
      <c r="K692" s="8"/>
      <c r="L692" s="9"/>
      <c r="M692" s="10" t="s">
        <v>361</v>
      </c>
      <c r="N692" s="11" t="s">
        <v>2763</v>
      </c>
      <c r="O692" s="12" t="s">
        <v>26</v>
      </c>
    </row>
    <row r="693" spans="1:15">
      <c r="A693" s="4">
        <v>689</v>
      </c>
      <c r="B693" s="5" t="s">
        <v>2755</v>
      </c>
      <c r="C693" s="5" t="s">
        <v>2764</v>
      </c>
      <c r="D693" s="5" t="s">
        <v>2765</v>
      </c>
      <c r="E693" s="6" t="s">
        <v>2766</v>
      </c>
      <c r="F693" s="7" t="s">
        <v>21</v>
      </c>
      <c r="G693" s="5" t="s">
        <v>22</v>
      </c>
      <c r="H693" s="8"/>
      <c r="I693" s="9"/>
      <c r="J693" s="9" t="s">
        <v>23</v>
      </c>
      <c r="K693" s="8"/>
      <c r="L693" s="9"/>
      <c r="M693" s="10" t="s">
        <v>361</v>
      </c>
      <c r="N693" s="11" t="s">
        <v>2767</v>
      </c>
      <c r="O693" s="12" t="s">
        <v>26</v>
      </c>
    </row>
    <row r="694" spans="1:15">
      <c r="A694" s="4">
        <v>690</v>
      </c>
      <c r="B694" s="5" t="s">
        <v>2755</v>
      </c>
      <c r="C694" s="5" t="s">
        <v>2768</v>
      </c>
      <c r="D694" s="5" t="s">
        <v>2769</v>
      </c>
      <c r="E694" s="6" t="s">
        <v>2770</v>
      </c>
      <c r="F694" s="7" t="s">
        <v>21</v>
      </c>
      <c r="G694" s="5" t="s">
        <v>29</v>
      </c>
      <c r="H694" s="8"/>
      <c r="I694" s="9"/>
      <c r="J694" s="9" t="s">
        <v>23</v>
      </c>
      <c r="K694" s="8"/>
      <c r="L694" s="9"/>
      <c r="M694" s="10" t="s">
        <v>2771</v>
      </c>
      <c r="N694" s="11" t="s">
        <v>2772</v>
      </c>
      <c r="O694" s="12" t="s">
        <v>26</v>
      </c>
    </row>
    <row r="695" spans="1:15">
      <c r="A695" s="4">
        <v>691</v>
      </c>
      <c r="B695" s="5" t="s">
        <v>2755</v>
      </c>
      <c r="C695" s="5" t="s">
        <v>2773</v>
      </c>
      <c r="D695" s="5" t="s">
        <v>2774</v>
      </c>
      <c r="E695" s="6" t="s">
        <v>2775</v>
      </c>
      <c r="F695" s="7" t="s">
        <v>21</v>
      </c>
      <c r="G695" s="5" t="s">
        <v>22</v>
      </c>
      <c r="H695" s="8"/>
      <c r="I695" s="9"/>
      <c r="J695" s="9" t="s">
        <v>23</v>
      </c>
      <c r="K695" s="8"/>
      <c r="L695" s="9"/>
      <c r="M695" s="10" t="s">
        <v>2776</v>
      </c>
      <c r="N695" s="11" t="s">
        <v>2777</v>
      </c>
      <c r="O695" s="12" t="s">
        <v>26</v>
      </c>
    </row>
    <row r="696" spans="1:15">
      <c r="A696" s="4">
        <v>692</v>
      </c>
      <c r="B696" s="5" t="s">
        <v>2755</v>
      </c>
      <c r="C696" s="5" t="s">
        <v>2764</v>
      </c>
      <c r="D696" s="5" t="s">
        <v>2778</v>
      </c>
      <c r="E696" s="6" t="s">
        <v>2779</v>
      </c>
      <c r="F696" s="7" t="s">
        <v>21</v>
      </c>
      <c r="G696" s="5" t="s">
        <v>22</v>
      </c>
      <c r="H696" s="8"/>
      <c r="I696" s="9"/>
      <c r="J696" s="9" t="s">
        <v>23</v>
      </c>
      <c r="K696" s="8"/>
      <c r="L696" s="9"/>
      <c r="M696" s="10" t="s">
        <v>2780</v>
      </c>
      <c r="N696" s="11" t="s">
        <v>2781</v>
      </c>
      <c r="O696" s="12" t="s">
        <v>26</v>
      </c>
    </row>
    <row r="697" spans="1:15">
      <c r="A697" s="4">
        <v>693</v>
      </c>
      <c r="B697" s="5" t="s">
        <v>2755</v>
      </c>
      <c r="C697" s="5" t="s">
        <v>2768</v>
      </c>
      <c r="D697" s="5" t="s">
        <v>2782</v>
      </c>
      <c r="E697" s="6" t="s">
        <v>2783</v>
      </c>
      <c r="F697" s="7" t="s">
        <v>21</v>
      </c>
      <c r="G697" s="5" t="s">
        <v>22</v>
      </c>
      <c r="H697" s="8"/>
      <c r="I697" s="9"/>
      <c r="J697" s="9" t="s">
        <v>23</v>
      </c>
      <c r="K697" s="8"/>
      <c r="L697" s="9"/>
      <c r="M697" s="10" t="s">
        <v>2784</v>
      </c>
      <c r="N697" s="11" t="s">
        <v>2785</v>
      </c>
      <c r="O697" s="12" t="s">
        <v>26</v>
      </c>
    </row>
    <row r="698" spans="1:15">
      <c r="A698" s="4">
        <v>694</v>
      </c>
      <c r="B698" s="5" t="s">
        <v>2755</v>
      </c>
      <c r="C698" s="5" t="s">
        <v>2773</v>
      </c>
      <c r="D698" s="5" t="s">
        <v>2786</v>
      </c>
      <c r="E698" s="6" t="s">
        <v>2787</v>
      </c>
      <c r="F698" s="7" t="s">
        <v>21</v>
      </c>
      <c r="G698" s="5" t="s">
        <v>22</v>
      </c>
      <c r="H698" s="8"/>
      <c r="I698" s="9"/>
      <c r="J698" s="9" t="s">
        <v>23</v>
      </c>
      <c r="K698" s="8"/>
      <c r="L698" s="9"/>
      <c r="M698" s="10" t="s">
        <v>2788</v>
      </c>
      <c r="N698" s="11" t="s">
        <v>2789</v>
      </c>
      <c r="O698" s="12" t="s">
        <v>26</v>
      </c>
    </row>
    <row r="699" spans="1:15">
      <c r="A699" s="4">
        <v>695</v>
      </c>
      <c r="B699" s="5" t="s">
        <v>2755</v>
      </c>
      <c r="C699" s="5" t="s">
        <v>2790</v>
      </c>
      <c r="D699" s="5" t="s">
        <v>2791</v>
      </c>
      <c r="E699" s="14" t="s">
        <v>109</v>
      </c>
      <c r="F699" s="15" t="s">
        <v>110</v>
      </c>
      <c r="G699" s="5" t="s">
        <v>22</v>
      </c>
      <c r="H699" s="8"/>
      <c r="I699" s="9"/>
      <c r="J699" s="9" t="s">
        <v>23</v>
      </c>
      <c r="K699" s="8"/>
      <c r="L699" s="9"/>
      <c r="M699" s="10" t="s">
        <v>2792</v>
      </c>
      <c r="N699" s="11" t="s">
        <v>2793</v>
      </c>
      <c r="O699" s="12" t="s">
        <v>26</v>
      </c>
    </row>
    <row r="700" spans="1:15">
      <c r="A700" s="4">
        <v>696</v>
      </c>
      <c r="B700" s="5" t="s">
        <v>2755</v>
      </c>
      <c r="C700" s="5" t="s">
        <v>2794</v>
      </c>
      <c r="D700" s="5" t="s">
        <v>2795</v>
      </c>
      <c r="E700" s="6" t="s">
        <v>2796</v>
      </c>
      <c r="F700" s="7" t="s">
        <v>21</v>
      </c>
      <c r="G700" s="5" t="s">
        <v>29</v>
      </c>
      <c r="H700" s="8"/>
      <c r="I700" s="9"/>
      <c r="J700" s="9" t="s">
        <v>23</v>
      </c>
      <c r="K700" s="8"/>
      <c r="L700" s="9"/>
      <c r="M700" s="10" t="s">
        <v>370</v>
      </c>
      <c r="N700" s="11" t="s">
        <v>2797</v>
      </c>
      <c r="O700" s="12" t="s">
        <v>26</v>
      </c>
    </row>
    <row r="701" spans="1:15">
      <c r="A701" s="4">
        <v>697</v>
      </c>
      <c r="B701" s="5" t="s">
        <v>2755</v>
      </c>
      <c r="C701" s="5" t="s">
        <v>2798</v>
      </c>
      <c r="D701" s="5" t="s">
        <v>2799</v>
      </c>
      <c r="E701" s="6" t="s">
        <v>2800</v>
      </c>
      <c r="F701" s="7" t="s">
        <v>21</v>
      </c>
      <c r="G701" s="5" t="s">
        <v>22</v>
      </c>
      <c r="H701" s="8"/>
      <c r="I701" s="9"/>
      <c r="J701" s="9" t="s">
        <v>23</v>
      </c>
      <c r="K701" s="8"/>
      <c r="L701" s="9"/>
      <c r="M701" s="10" t="s">
        <v>2610</v>
      </c>
      <c r="N701" s="11" t="s">
        <v>2801</v>
      </c>
      <c r="O701" s="12" t="s">
        <v>26</v>
      </c>
    </row>
    <row r="702" spans="1:15">
      <c r="A702" s="4">
        <v>698</v>
      </c>
      <c r="B702" s="5" t="s">
        <v>2755</v>
      </c>
      <c r="C702" s="5" t="s">
        <v>2802</v>
      </c>
      <c r="D702" s="5" t="s">
        <v>2803</v>
      </c>
      <c r="E702" s="6" t="s">
        <v>2804</v>
      </c>
      <c r="F702" s="7" t="s">
        <v>21</v>
      </c>
      <c r="G702" s="5" t="s">
        <v>22</v>
      </c>
      <c r="H702" s="8"/>
      <c r="I702" s="9"/>
      <c r="J702" s="9" t="s">
        <v>23</v>
      </c>
      <c r="K702" s="8"/>
      <c r="L702" s="9"/>
      <c r="M702" s="10" t="s">
        <v>296</v>
      </c>
      <c r="N702" s="11" t="s">
        <v>2805</v>
      </c>
      <c r="O702" s="12" t="s">
        <v>26</v>
      </c>
    </row>
    <row r="703" spans="1:15">
      <c r="A703" s="4">
        <v>699</v>
      </c>
      <c r="B703" s="5" t="s">
        <v>2755</v>
      </c>
      <c r="C703" s="5" t="s">
        <v>2802</v>
      </c>
      <c r="D703" s="5" t="s">
        <v>2806</v>
      </c>
      <c r="E703" s="6" t="s">
        <v>2807</v>
      </c>
      <c r="F703" s="7" t="s">
        <v>21</v>
      </c>
      <c r="G703" s="5" t="s">
        <v>22</v>
      </c>
      <c r="H703" s="8"/>
      <c r="I703" s="9"/>
      <c r="J703" s="9" t="s">
        <v>23</v>
      </c>
      <c r="K703" s="8"/>
      <c r="L703" s="9"/>
      <c r="M703" s="10" t="s">
        <v>2808</v>
      </c>
      <c r="N703" s="11" t="s">
        <v>2809</v>
      </c>
      <c r="O703" s="12" t="s">
        <v>26</v>
      </c>
    </row>
    <row r="704" spans="1:15">
      <c r="A704" s="4">
        <v>700</v>
      </c>
      <c r="B704" s="5" t="s">
        <v>2755</v>
      </c>
      <c r="C704" s="5" t="s">
        <v>2802</v>
      </c>
      <c r="D704" s="5" t="s">
        <v>2810</v>
      </c>
      <c r="E704" s="6" t="s">
        <v>2811</v>
      </c>
      <c r="F704" s="7" t="s">
        <v>21</v>
      </c>
      <c r="G704" s="5" t="s">
        <v>22</v>
      </c>
      <c r="H704" s="8"/>
      <c r="I704" s="9"/>
      <c r="J704" s="9" t="s">
        <v>23</v>
      </c>
      <c r="K704" s="8"/>
      <c r="L704" s="9"/>
      <c r="M704" s="10" t="s">
        <v>2812</v>
      </c>
      <c r="N704" s="11" t="s">
        <v>2813</v>
      </c>
      <c r="O704" s="12" t="s">
        <v>26</v>
      </c>
    </row>
    <row r="705" spans="1:15">
      <c r="A705" s="4">
        <v>701</v>
      </c>
      <c r="B705" s="5" t="s">
        <v>2755</v>
      </c>
      <c r="C705" s="5" t="s">
        <v>2802</v>
      </c>
      <c r="D705" s="5" t="s">
        <v>2814</v>
      </c>
      <c r="E705" s="6" t="s">
        <v>2815</v>
      </c>
      <c r="F705" s="7" t="s">
        <v>21</v>
      </c>
      <c r="G705" s="5" t="s">
        <v>22</v>
      </c>
      <c r="H705" s="8"/>
      <c r="I705" s="9"/>
      <c r="J705" s="9" t="s">
        <v>23</v>
      </c>
      <c r="K705" s="8"/>
      <c r="L705" s="9"/>
      <c r="M705" s="10" t="s">
        <v>507</v>
      </c>
      <c r="N705" s="11" t="s">
        <v>2816</v>
      </c>
      <c r="O705" s="12" t="s">
        <v>26</v>
      </c>
    </row>
    <row r="706" spans="1:15">
      <c r="A706" s="4">
        <v>702</v>
      </c>
      <c r="B706" s="5" t="s">
        <v>2755</v>
      </c>
      <c r="C706" s="5" t="s">
        <v>2802</v>
      </c>
      <c r="D706" s="5" t="s">
        <v>2817</v>
      </c>
      <c r="E706" s="6" t="s">
        <v>2818</v>
      </c>
      <c r="F706" s="7" t="s">
        <v>21</v>
      </c>
      <c r="G706" s="5" t="s">
        <v>22</v>
      </c>
      <c r="H706" s="8"/>
      <c r="I706" s="9"/>
      <c r="J706" s="9" t="s">
        <v>23</v>
      </c>
      <c r="K706" s="8"/>
      <c r="L706" s="9"/>
      <c r="M706" s="10" t="s">
        <v>2819</v>
      </c>
      <c r="N706" s="11" t="s">
        <v>2820</v>
      </c>
      <c r="O706" s="12" t="s">
        <v>26</v>
      </c>
    </row>
    <row r="707" spans="1:15">
      <c r="A707" s="4">
        <v>703</v>
      </c>
      <c r="B707" s="5" t="s">
        <v>2755</v>
      </c>
      <c r="C707" s="5" t="s">
        <v>2768</v>
      </c>
      <c r="D707" s="5" t="s">
        <v>2821</v>
      </c>
      <c r="E707" s="6" t="s">
        <v>2822</v>
      </c>
      <c r="F707" s="7" t="s">
        <v>21</v>
      </c>
      <c r="G707" s="5" t="s">
        <v>29</v>
      </c>
      <c r="H707" s="8"/>
      <c r="I707" s="9"/>
      <c r="J707" s="9" t="s">
        <v>23</v>
      </c>
      <c r="K707" s="8"/>
      <c r="L707" s="9"/>
      <c r="M707" s="10" t="s">
        <v>2823</v>
      </c>
      <c r="N707" s="11" t="s">
        <v>2824</v>
      </c>
      <c r="O707" s="12" t="s">
        <v>26</v>
      </c>
    </row>
    <row r="708" spans="1:15">
      <c r="A708" s="4">
        <v>704</v>
      </c>
      <c r="B708" s="5" t="s">
        <v>2755</v>
      </c>
      <c r="C708" s="5" t="s">
        <v>2768</v>
      </c>
      <c r="D708" s="5" t="s">
        <v>2825</v>
      </c>
      <c r="E708" s="6" t="s">
        <v>2826</v>
      </c>
      <c r="F708" s="7" t="s">
        <v>21</v>
      </c>
      <c r="G708" s="5" t="s">
        <v>29</v>
      </c>
      <c r="H708" s="8"/>
      <c r="I708" s="9"/>
      <c r="J708" s="9" t="s">
        <v>23</v>
      </c>
      <c r="K708" s="8"/>
      <c r="L708" s="9"/>
      <c r="M708" s="10" t="s">
        <v>2827</v>
      </c>
      <c r="N708" s="11" t="s">
        <v>2828</v>
      </c>
      <c r="O708" s="12" t="s">
        <v>26</v>
      </c>
    </row>
    <row r="709" spans="1:15">
      <c r="A709" s="4">
        <v>705</v>
      </c>
      <c r="B709" s="5" t="s">
        <v>2755</v>
      </c>
      <c r="C709" s="5" t="s">
        <v>2768</v>
      </c>
      <c r="D709" s="5" t="s">
        <v>2829</v>
      </c>
      <c r="E709" s="6" t="s">
        <v>2830</v>
      </c>
      <c r="F709" s="7" t="s">
        <v>21</v>
      </c>
      <c r="G709" s="5" t="s">
        <v>29</v>
      </c>
      <c r="H709" s="8"/>
      <c r="I709" s="9"/>
      <c r="J709" s="9" t="s">
        <v>23</v>
      </c>
      <c r="K709" s="8"/>
      <c r="L709" s="9"/>
      <c r="M709" s="10" t="s">
        <v>361</v>
      </c>
      <c r="N709" s="11" t="s">
        <v>2831</v>
      </c>
      <c r="O709" s="12" t="s">
        <v>26</v>
      </c>
    </row>
    <row r="710" spans="1:15">
      <c r="A710" s="4">
        <v>706</v>
      </c>
      <c r="B710" s="5" t="s">
        <v>2832</v>
      </c>
      <c r="C710" s="5" t="s">
        <v>2833</v>
      </c>
      <c r="D710" s="5" t="s">
        <v>2834</v>
      </c>
      <c r="E710" s="6" t="s">
        <v>2835</v>
      </c>
      <c r="F710" s="7" t="s">
        <v>21</v>
      </c>
      <c r="G710" s="5" t="s">
        <v>22</v>
      </c>
      <c r="H710" s="8"/>
      <c r="I710" s="9"/>
      <c r="J710" s="9" t="s">
        <v>23</v>
      </c>
      <c r="K710" s="8"/>
      <c r="L710" s="9"/>
      <c r="M710" s="10" t="s">
        <v>1955</v>
      </c>
      <c r="N710" s="11" t="s">
        <v>2836</v>
      </c>
      <c r="O710" s="12" t="s">
        <v>26</v>
      </c>
    </row>
    <row r="711" spans="1:15">
      <c r="A711" s="4">
        <v>707</v>
      </c>
      <c r="B711" s="5" t="s">
        <v>2832</v>
      </c>
      <c r="C711" s="5" t="s">
        <v>2837</v>
      </c>
      <c r="D711" s="5" t="s">
        <v>2838</v>
      </c>
      <c r="E711" s="6" t="s">
        <v>2839</v>
      </c>
      <c r="F711" s="7" t="s">
        <v>21</v>
      </c>
      <c r="G711" s="5" t="s">
        <v>22</v>
      </c>
      <c r="H711" s="8"/>
      <c r="I711" s="9"/>
      <c r="J711" s="9" t="s">
        <v>23</v>
      </c>
      <c r="K711" s="8"/>
      <c r="L711" s="9"/>
      <c r="M711" s="10" t="s">
        <v>2840</v>
      </c>
      <c r="N711" s="11" t="s">
        <v>2841</v>
      </c>
      <c r="O711" s="12" t="s">
        <v>26</v>
      </c>
    </row>
    <row r="712" spans="1:15">
      <c r="A712" s="4">
        <v>708</v>
      </c>
      <c r="B712" s="5" t="s">
        <v>2832</v>
      </c>
      <c r="C712" s="5" t="s">
        <v>2833</v>
      </c>
      <c r="D712" s="5" t="s">
        <v>2842</v>
      </c>
      <c r="E712" s="6" t="s">
        <v>2843</v>
      </c>
      <c r="F712" s="7" t="s">
        <v>21</v>
      </c>
      <c r="G712" s="5" t="s">
        <v>22</v>
      </c>
      <c r="H712" s="8"/>
      <c r="I712" s="9"/>
      <c r="J712" s="9" t="s">
        <v>23</v>
      </c>
      <c r="K712" s="8"/>
      <c r="L712" s="9"/>
      <c r="M712" s="10" t="s">
        <v>2844</v>
      </c>
      <c r="N712" s="11" t="s">
        <v>2845</v>
      </c>
      <c r="O712" s="12" t="s">
        <v>26</v>
      </c>
    </row>
    <row r="713" spans="1:15">
      <c r="A713" s="4">
        <v>709</v>
      </c>
      <c r="B713" s="5" t="s">
        <v>2832</v>
      </c>
      <c r="C713" s="5" t="s">
        <v>2833</v>
      </c>
      <c r="D713" s="5" t="s">
        <v>2846</v>
      </c>
      <c r="E713" s="6" t="s">
        <v>2847</v>
      </c>
      <c r="F713" s="7" t="s">
        <v>21</v>
      </c>
      <c r="G713" s="5" t="s">
        <v>29</v>
      </c>
      <c r="H713" s="8"/>
      <c r="I713" s="9"/>
      <c r="J713" s="9" t="s">
        <v>23</v>
      </c>
      <c r="K713" s="8"/>
      <c r="L713" s="9"/>
      <c r="M713" s="10" t="s">
        <v>2848</v>
      </c>
      <c r="N713" s="11" t="s">
        <v>2849</v>
      </c>
      <c r="O713" s="12" t="s">
        <v>26</v>
      </c>
    </row>
    <row r="714" spans="1:15">
      <c r="A714" s="4">
        <v>710</v>
      </c>
      <c r="B714" s="5" t="s">
        <v>2832</v>
      </c>
      <c r="C714" s="5" t="s">
        <v>2850</v>
      </c>
      <c r="D714" s="5" t="s">
        <v>2851</v>
      </c>
      <c r="E714" s="6" t="s">
        <v>2852</v>
      </c>
      <c r="F714" s="7" t="s">
        <v>21</v>
      </c>
      <c r="G714" s="5" t="s">
        <v>29</v>
      </c>
      <c r="H714" s="8"/>
      <c r="I714" s="9"/>
      <c r="J714" s="9" t="s">
        <v>23</v>
      </c>
      <c r="K714" s="8"/>
      <c r="L714" s="9"/>
      <c r="M714" s="10" t="s">
        <v>370</v>
      </c>
      <c r="N714" s="11" t="s">
        <v>2853</v>
      </c>
      <c r="O714" s="12" t="s">
        <v>26</v>
      </c>
    </row>
    <row r="715" spans="1:15">
      <c r="A715" s="4">
        <v>711</v>
      </c>
      <c r="B715" s="5" t="s">
        <v>2832</v>
      </c>
      <c r="C715" s="5" t="s">
        <v>2854</v>
      </c>
      <c r="D715" s="5" t="s">
        <v>2855</v>
      </c>
      <c r="E715" s="6" t="s">
        <v>2856</v>
      </c>
      <c r="F715" s="7" t="s">
        <v>21</v>
      </c>
      <c r="G715" s="5" t="s">
        <v>29</v>
      </c>
      <c r="H715" s="8"/>
      <c r="I715" s="9"/>
      <c r="J715" s="9" t="s">
        <v>23</v>
      </c>
      <c r="K715" s="8"/>
      <c r="L715" s="9"/>
      <c r="M715" s="10" t="s">
        <v>2857</v>
      </c>
      <c r="N715" s="11" t="s">
        <v>2858</v>
      </c>
      <c r="O715" s="12" t="s">
        <v>26</v>
      </c>
    </row>
    <row r="716" spans="1:15">
      <c r="A716" s="4">
        <v>712</v>
      </c>
      <c r="B716" s="5" t="s">
        <v>2832</v>
      </c>
      <c r="C716" s="5" t="s">
        <v>2833</v>
      </c>
      <c r="D716" s="5" t="s">
        <v>2859</v>
      </c>
      <c r="E716" s="6" t="s">
        <v>2860</v>
      </c>
      <c r="F716" s="7" t="s">
        <v>21</v>
      </c>
      <c r="G716" s="5" t="s">
        <v>22</v>
      </c>
      <c r="H716" s="8"/>
      <c r="I716" s="9"/>
      <c r="J716" s="9" t="s">
        <v>23</v>
      </c>
      <c r="K716" s="8"/>
      <c r="L716" s="9"/>
      <c r="M716" s="10" t="s">
        <v>361</v>
      </c>
      <c r="N716" s="11" t="s">
        <v>2861</v>
      </c>
      <c r="O716" s="12" t="s">
        <v>26</v>
      </c>
    </row>
    <row r="717" spans="1:15">
      <c r="A717" s="4">
        <v>713</v>
      </c>
      <c r="B717" s="5" t="s">
        <v>2832</v>
      </c>
      <c r="C717" s="5" t="s">
        <v>2833</v>
      </c>
      <c r="D717" s="5" t="s">
        <v>2862</v>
      </c>
      <c r="E717" s="6" t="s">
        <v>2863</v>
      </c>
      <c r="F717" s="7" t="s">
        <v>21</v>
      </c>
      <c r="G717" s="5" t="s">
        <v>29</v>
      </c>
      <c r="H717" s="8"/>
      <c r="I717" s="9"/>
      <c r="J717" s="9" t="s">
        <v>23</v>
      </c>
      <c r="K717" s="8"/>
      <c r="L717" s="9"/>
      <c r="M717" s="10" t="s">
        <v>2864</v>
      </c>
      <c r="N717" s="11" t="s">
        <v>2865</v>
      </c>
      <c r="O717" s="12" t="s">
        <v>26</v>
      </c>
    </row>
    <row r="718" spans="1:15">
      <c r="A718" s="4">
        <v>714</v>
      </c>
      <c r="B718" s="5" t="s">
        <v>2832</v>
      </c>
      <c r="C718" s="5" t="s">
        <v>2833</v>
      </c>
      <c r="D718" s="5" t="s">
        <v>2866</v>
      </c>
      <c r="E718" s="6" t="s">
        <v>2867</v>
      </c>
      <c r="F718" s="7" t="s">
        <v>21</v>
      </c>
      <c r="G718" s="5" t="s">
        <v>29</v>
      </c>
      <c r="H718" s="8"/>
      <c r="I718" s="9"/>
      <c r="J718" s="9" t="s">
        <v>23</v>
      </c>
      <c r="K718" s="8"/>
      <c r="L718" s="9"/>
      <c r="M718" s="10" t="s">
        <v>361</v>
      </c>
      <c r="N718" s="11" t="s">
        <v>2868</v>
      </c>
      <c r="O718" s="12" t="s">
        <v>26</v>
      </c>
    </row>
    <row r="719" spans="1:15">
      <c r="A719" s="4">
        <v>715</v>
      </c>
      <c r="B719" s="5" t="s">
        <v>2832</v>
      </c>
      <c r="C719" s="5" t="s">
        <v>2833</v>
      </c>
      <c r="D719" s="5" t="s">
        <v>2869</v>
      </c>
      <c r="E719" s="6" t="s">
        <v>2870</v>
      </c>
      <c r="F719" s="7" t="s">
        <v>21</v>
      </c>
      <c r="G719" s="5" t="s">
        <v>22</v>
      </c>
      <c r="H719" s="8"/>
      <c r="I719" s="9"/>
      <c r="J719" s="9" t="s">
        <v>23</v>
      </c>
      <c r="K719" s="8"/>
      <c r="L719" s="9"/>
      <c r="M719" s="10" t="s">
        <v>361</v>
      </c>
      <c r="N719" s="11" t="s">
        <v>2871</v>
      </c>
      <c r="O719" s="12" t="s">
        <v>26</v>
      </c>
    </row>
    <row r="720" spans="1:15">
      <c r="A720" s="4">
        <v>716</v>
      </c>
      <c r="B720" s="5" t="s">
        <v>2832</v>
      </c>
      <c r="C720" s="5" t="s">
        <v>2872</v>
      </c>
      <c r="D720" s="5" t="s">
        <v>2873</v>
      </c>
      <c r="E720" s="6" t="s">
        <v>2874</v>
      </c>
      <c r="F720" s="7" t="s">
        <v>21</v>
      </c>
      <c r="G720" s="5" t="s">
        <v>22</v>
      </c>
      <c r="H720" s="8"/>
      <c r="I720" s="9"/>
      <c r="J720" s="9" t="s">
        <v>23</v>
      </c>
      <c r="K720" s="8"/>
      <c r="L720" s="9"/>
      <c r="M720" s="10" t="s">
        <v>361</v>
      </c>
      <c r="N720" s="11" t="s">
        <v>2875</v>
      </c>
      <c r="O720" s="12" t="s">
        <v>26</v>
      </c>
    </row>
    <row r="721" spans="1:15">
      <c r="A721" s="4">
        <v>717</v>
      </c>
      <c r="B721" s="5" t="s">
        <v>2832</v>
      </c>
      <c r="C721" s="5" t="s">
        <v>2876</v>
      </c>
      <c r="D721" s="5" t="s">
        <v>2877</v>
      </c>
      <c r="E721" s="6" t="s">
        <v>2878</v>
      </c>
      <c r="F721" s="7" t="s">
        <v>21</v>
      </c>
      <c r="G721" s="5" t="s">
        <v>29</v>
      </c>
      <c r="H721" s="8"/>
      <c r="I721" s="9"/>
      <c r="J721" s="9" t="s">
        <v>23</v>
      </c>
      <c r="K721" s="8"/>
      <c r="L721" s="9"/>
      <c r="M721" s="10" t="s">
        <v>361</v>
      </c>
      <c r="N721" s="11" t="s">
        <v>2879</v>
      </c>
      <c r="O721" s="12" t="s">
        <v>26</v>
      </c>
    </row>
    <row r="722" spans="1:15">
      <c r="A722" s="4">
        <v>718</v>
      </c>
      <c r="B722" s="5" t="s">
        <v>2832</v>
      </c>
      <c r="C722" s="5" t="s">
        <v>2880</v>
      </c>
      <c r="D722" s="5" t="s">
        <v>2881</v>
      </c>
      <c r="E722" s="6" t="s">
        <v>2882</v>
      </c>
      <c r="F722" s="7" t="s">
        <v>21</v>
      </c>
      <c r="G722" s="5" t="s">
        <v>22</v>
      </c>
      <c r="H722" s="8"/>
      <c r="I722" s="9"/>
      <c r="J722" s="9" t="s">
        <v>23</v>
      </c>
      <c r="K722" s="8"/>
      <c r="L722" s="9"/>
      <c r="M722" s="10" t="s">
        <v>2883</v>
      </c>
      <c r="N722" s="11" t="s">
        <v>2884</v>
      </c>
      <c r="O722" s="12" t="s">
        <v>26</v>
      </c>
    </row>
    <row r="723" spans="1:15">
      <c r="A723" s="4">
        <v>719</v>
      </c>
      <c r="B723" s="5" t="s">
        <v>2832</v>
      </c>
      <c r="C723" s="5" t="s">
        <v>2885</v>
      </c>
      <c r="D723" s="5" t="s">
        <v>2886</v>
      </c>
      <c r="E723" s="6" t="s">
        <v>2887</v>
      </c>
      <c r="F723" s="7" t="s">
        <v>21</v>
      </c>
      <c r="G723" s="5" t="s">
        <v>22</v>
      </c>
      <c r="H723" s="8"/>
      <c r="I723" s="9"/>
      <c r="J723" s="9" t="s">
        <v>23</v>
      </c>
      <c r="K723" s="8"/>
      <c r="L723" s="9"/>
      <c r="M723" s="10" t="s">
        <v>361</v>
      </c>
      <c r="N723" s="11" t="s">
        <v>2888</v>
      </c>
      <c r="O723" s="12" t="s">
        <v>26</v>
      </c>
    </row>
    <row r="724" spans="1:15">
      <c r="A724" s="4">
        <v>720</v>
      </c>
      <c r="B724" s="5" t="s">
        <v>2832</v>
      </c>
      <c r="C724" s="5" t="s">
        <v>2833</v>
      </c>
      <c r="D724" s="5" t="s">
        <v>2889</v>
      </c>
      <c r="E724" s="6" t="s">
        <v>2890</v>
      </c>
      <c r="F724" s="7" t="s">
        <v>21</v>
      </c>
      <c r="G724" s="5" t="s">
        <v>29</v>
      </c>
      <c r="H724" s="8"/>
      <c r="I724" s="9"/>
      <c r="J724" s="9" t="s">
        <v>23</v>
      </c>
      <c r="K724" s="8"/>
      <c r="L724" s="9"/>
      <c r="M724" s="10" t="s">
        <v>361</v>
      </c>
      <c r="N724" s="11" t="s">
        <v>2891</v>
      </c>
      <c r="O724" s="12" t="s">
        <v>26</v>
      </c>
    </row>
    <row r="725" spans="1:15">
      <c r="A725" s="4">
        <v>721</v>
      </c>
      <c r="B725" s="5" t="s">
        <v>2832</v>
      </c>
      <c r="C725" s="5" t="s">
        <v>2892</v>
      </c>
      <c r="D725" s="5" t="s">
        <v>2893</v>
      </c>
      <c r="E725" s="6" t="s">
        <v>2894</v>
      </c>
      <c r="F725" s="7" t="s">
        <v>21</v>
      </c>
      <c r="G725" s="5" t="s">
        <v>22</v>
      </c>
      <c r="H725" s="8"/>
      <c r="I725" s="9"/>
      <c r="J725" s="9" t="s">
        <v>23</v>
      </c>
      <c r="K725" s="8"/>
      <c r="L725" s="9"/>
      <c r="M725" s="10" t="s">
        <v>2895</v>
      </c>
      <c r="N725" s="11" t="s">
        <v>2896</v>
      </c>
      <c r="O725" s="12" t="s">
        <v>26</v>
      </c>
    </row>
    <row r="726" spans="1:15">
      <c r="A726" s="4">
        <v>722</v>
      </c>
      <c r="B726" s="5" t="s">
        <v>2832</v>
      </c>
      <c r="C726" s="5" t="s">
        <v>2880</v>
      </c>
      <c r="D726" s="5" t="s">
        <v>2897</v>
      </c>
      <c r="E726" s="6" t="s">
        <v>2898</v>
      </c>
      <c r="F726" s="7" t="s">
        <v>21</v>
      </c>
      <c r="G726" s="5" t="s">
        <v>22</v>
      </c>
      <c r="H726" s="8"/>
      <c r="I726" s="9"/>
      <c r="J726" s="9" t="s">
        <v>23</v>
      </c>
      <c r="K726" s="8"/>
      <c r="L726" s="9"/>
      <c r="M726" s="10" t="s">
        <v>1320</v>
      </c>
      <c r="N726" s="11" t="s">
        <v>2899</v>
      </c>
      <c r="O726" s="12" t="s">
        <v>26</v>
      </c>
    </row>
    <row r="727" spans="1:15">
      <c r="A727" s="4">
        <v>723</v>
      </c>
      <c r="B727" s="5" t="s">
        <v>2900</v>
      </c>
      <c r="C727" s="5" t="s">
        <v>2901</v>
      </c>
      <c r="D727" s="5" t="s">
        <v>2902</v>
      </c>
      <c r="E727" s="6" t="s">
        <v>2903</v>
      </c>
      <c r="F727" s="7" t="s">
        <v>21</v>
      </c>
      <c r="G727" s="5" t="s">
        <v>29</v>
      </c>
      <c r="H727" s="8"/>
      <c r="I727" s="9"/>
      <c r="J727" s="9" t="s">
        <v>23</v>
      </c>
      <c r="K727" s="8"/>
      <c r="L727" s="9"/>
      <c r="M727" s="10" t="s">
        <v>1320</v>
      </c>
      <c r="N727" s="11" t="s">
        <v>2904</v>
      </c>
      <c r="O727" s="12" t="s">
        <v>26</v>
      </c>
    </row>
    <row r="728" spans="1:15">
      <c r="A728" s="4">
        <v>724</v>
      </c>
      <c r="B728" s="5" t="s">
        <v>2900</v>
      </c>
      <c r="C728" s="5" t="s">
        <v>2905</v>
      </c>
      <c r="D728" s="5" t="s">
        <v>2906</v>
      </c>
      <c r="E728" s="6" t="s">
        <v>2907</v>
      </c>
      <c r="F728" s="7" t="s">
        <v>21</v>
      </c>
      <c r="G728" s="5" t="s">
        <v>22</v>
      </c>
      <c r="H728" s="8"/>
      <c r="I728" s="9"/>
      <c r="J728" s="9" t="s">
        <v>23</v>
      </c>
      <c r="K728" s="8"/>
      <c r="L728" s="9"/>
      <c r="M728" s="10" t="s">
        <v>2908</v>
      </c>
      <c r="N728" s="11" t="s">
        <v>2909</v>
      </c>
      <c r="O728" s="12" t="s">
        <v>26</v>
      </c>
    </row>
    <row r="729" spans="1:15">
      <c r="A729" s="4">
        <v>725</v>
      </c>
      <c r="B729" s="5" t="s">
        <v>2900</v>
      </c>
      <c r="C729" s="5" t="s">
        <v>2910</v>
      </c>
      <c r="D729" s="5" t="s">
        <v>2911</v>
      </c>
      <c r="E729" s="6" t="s">
        <v>2912</v>
      </c>
      <c r="F729" s="7" t="s">
        <v>21</v>
      </c>
      <c r="G729" s="5" t="s">
        <v>22</v>
      </c>
      <c r="H729" s="8"/>
      <c r="I729" s="9"/>
      <c r="J729" s="9" t="s">
        <v>23</v>
      </c>
      <c r="K729" s="8"/>
      <c r="L729" s="9"/>
      <c r="M729" s="10" t="s">
        <v>2913</v>
      </c>
      <c r="N729" s="11" t="s">
        <v>2914</v>
      </c>
      <c r="O729" s="12" t="s">
        <v>26</v>
      </c>
    </row>
    <row r="730" spans="1:15">
      <c r="A730" s="4">
        <v>726</v>
      </c>
      <c r="B730" s="5" t="s">
        <v>2900</v>
      </c>
      <c r="C730" s="5" t="s">
        <v>2910</v>
      </c>
      <c r="D730" s="5" t="s">
        <v>2915</v>
      </c>
      <c r="E730" s="6" t="s">
        <v>2916</v>
      </c>
      <c r="F730" s="7" t="s">
        <v>21</v>
      </c>
      <c r="G730" s="5" t="s">
        <v>22</v>
      </c>
      <c r="H730" s="8"/>
      <c r="I730" s="9"/>
      <c r="J730" s="9" t="s">
        <v>23</v>
      </c>
      <c r="K730" s="8"/>
      <c r="L730" s="9"/>
      <c r="M730" s="10" t="s">
        <v>2917</v>
      </c>
      <c r="N730" s="11" t="s">
        <v>2918</v>
      </c>
      <c r="O730" s="12" t="s">
        <v>26</v>
      </c>
    </row>
    <row r="731" spans="1:15">
      <c r="A731" s="4">
        <v>727</v>
      </c>
      <c r="B731" s="5" t="s">
        <v>2900</v>
      </c>
      <c r="C731" s="5" t="s">
        <v>2919</v>
      </c>
      <c r="D731" s="5" t="s">
        <v>2920</v>
      </c>
      <c r="E731" s="6" t="s">
        <v>2921</v>
      </c>
      <c r="F731" s="7" t="s">
        <v>21</v>
      </c>
      <c r="G731" s="5" t="s">
        <v>22</v>
      </c>
      <c r="H731" s="8"/>
      <c r="I731" s="9"/>
      <c r="J731" s="9" t="s">
        <v>23</v>
      </c>
      <c r="K731" s="8"/>
      <c r="L731" s="9"/>
      <c r="M731" s="10" t="s">
        <v>2922</v>
      </c>
      <c r="N731" s="11" t="s">
        <v>2923</v>
      </c>
      <c r="O731" s="12" t="s">
        <v>26</v>
      </c>
    </row>
    <row r="732" spans="1:15">
      <c r="A732" s="4">
        <v>728</v>
      </c>
      <c r="B732" s="5" t="s">
        <v>2900</v>
      </c>
      <c r="C732" s="5" t="s">
        <v>2924</v>
      </c>
      <c r="D732" s="5" t="s">
        <v>2925</v>
      </c>
      <c r="E732" s="6" t="s">
        <v>2926</v>
      </c>
      <c r="F732" s="7" t="s">
        <v>21</v>
      </c>
      <c r="G732" s="5" t="s">
        <v>22</v>
      </c>
      <c r="H732" s="8"/>
      <c r="I732" s="9"/>
      <c r="J732" s="9" t="s">
        <v>23</v>
      </c>
      <c r="K732" s="8"/>
      <c r="L732" s="9"/>
      <c r="M732" s="10" t="s">
        <v>361</v>
      </c>
      <c r="N732" s="11" t="s">
        <v>2927</v>
      </c>
      <c r="O732" s="12" t="s">
        <v>26</v>
      </c>
    </row>
    <row r="733" spans="1:15">
      <c r="A733" s="4">
        <v>729</v>
      </c>
      <c r="B733" s="5" t="s">
        <v>2900</v>
      </c>
      <c r="C733" s="5" t="s">
        <v>2928</v>
      </c>
      <c r="D733" s="5" t="s">
        <v>2929</v>
      </c>
      <c r="E733" s="6" t="s">
        <v>2930</v>
      </c>
      <c r="F733" s="7" t="s">
        <v>21</v>
      </c>
      <c r="G733" s="5" t="s">
        <v>22</v>
      </c>
      <c r="H733" s="8"/>
      <c r="I733" s="9"/>
      <c r="J733" s="9" t="s">
        <v>23</v>
      </c>
      <c r="K733" s="8"/>
      <c r="L733" s="9"/>
      <c r="M733" s="10" t="s">
        <v>1296</v>
      </c>
      <c r="N733" s="11" t="s">
        <v>2931</v>
      </c>
      <c r="O733" s="12" t="s">
        <v>26</v>
      </c>
    </row>
    <row r="734" spans="1:15">
      <c r="A734" s="4">
        <v>730</v>
      </c>
      <c r="B734" s="5" t="s">
        <v>2900</v>
      </c>
      <c r="C734" s="5" t="s">
        <v>2928</v>
      </c>
      <c r="D734" s="5" t="s">
        <v>2932</v>
      </c>
      <c r="E734" s="6" t="s">
        <v>2933</v>
      </c>
      <c r="F734" s="7" t="s">
        <v>21</v>
      </c>
      <c r="G734" s="5" t="s">
        <v>29</v>
      </c>
      <c r="H734" s="8"/>
      <c r="I734" s="9"/>
      <c r="J734" s="9" t="s">
        <v>23</v>
      </c>
      <c r="K734" s="8"/>
      <c r="L734" s="9"/>
      <c r="M734" s="10" t="s">
        <v>1320</v>
      </c>
      <c r="N734" s="11" t="s">
        <v>2934</v>
      </c>
      <c r="O734" s="12" t="s">
        <v>26</v>
      </c>
    </row>
    <row r="735" spans="1:15">
      <c r="A735" s="4">
        <v>731</v>
      </c>
      <c r="B735" s="5" t="s">
        <v>2900</v>
      </c>
      <c r="C735" s="5" t="s">
        <v>2928</v>
      </c>
      <c r="D735" s="5" t="s">
        <v>2935</v>
      </c>
      <c r="E735" s="6" t="s">
        <v>2936</v>
      </c>
      <c r="F735" s="7" t="s">
        <v>21</v>
      </c>
      <c r="G735" s="5" t="s">
        <v>29</v>
      </c>
      <c r="H735" s="8"/>
      <c r="I735" s="9"/>
      <c r="J735" s="9" t="s">
        <v>23</v>
      </c>
      <c r="K735" s="8"/>
      <c r="L735" s="9"/>
      <c r="M735" s="10" t="s">
        <v>2937</v>
      </c>
      <c r="N735" s="11" t="s">
        <v>2938</v>
      </c>
      <c r="O735" s="12" t="s">
        <v>26</v>
      </c>
    </row>
    <row r="736" spans="1:15">
      <c r="A736" s="4">
        <v>732</v>
      </c>
      <c r="B736" s="5" t="s">
        <v>2900</v>
      </c>
      <c r="C736" s="5" t="s">
        <v>2905</v>
      </c>
      <c r="D736" s="5" t="s">
        <v>2939</v>
      </c>
      <c r="E736" s="6" t="s">
        <v>2940</v>
      </c>
      <c r="F736" s="7" t="s">
        <v>21</v>
      </c>
      <c r="G736" s="5" t="s">
        <v>22</v>
      </c>
      <c r="H736" s="8"/>
      <c r="I736" s="9"/>
      <c r="J736" s="9" t="s">
        <v>23</v>
      </c>
      <c r="K736" s="8"/>
      <c r="L736" s="9"/>
      <c r="M736" s="10" t="s">
        <v>2941</v>
      </c>
      <c r="N736" s="11" t="s">
        <v>2942</v>
      </c>
      <c r="O736" s="12" t="s">
        <v>26</v>
      </c>
    </row>
    <row r="737" spans="1:15">
      <c r="A737" s="4">
        <v>733</v>
      </c>
      <c r="B737" s="5" t="s">
        <v>2900</v>
      </c>
      <c r="C737" s="5" t="s">
        <v>2943</v>
      </c>
      <c r="D737" s="5" t="s">
        <v>2944</v>
      </c>
      <c r="E737" s="6" t="s">
        <v>2945</v>
      </c>
      <c r="F737" s="7" t="s">
        <v>21</v>
      </c>
      <c r="G737" s="5" t="s">
        <v>22</v>
      </c>
      <c r="H737" s="8"/>
      <c r="I737" s="9"/>
      <c r="J737" s="9" t="s">
        <v>23</v>
      </c>
      <c r="K737" s="8"/>
      <c r="L737" s="9"/>
      <c r="M737" s="10" t="s">
        <v>1320</v>
      </c>
      <c r="N737" s="11" t="s">
        <v>2946</v>
      </c>
      <c r="O737" s="12" t="s">
        <v>26</v>
      </c>
    </row>
    <row r="738" spans="1:15">
      <c r="A738" s="4">
        <v>734</v>
      </c>
      <c r="B738" s="5" t="s">
        <v>2900</v>
      </c>
      <c r="C738" s="5" t="s">
        <v>2947</v>
      </c>
      <c r="D738" s="5" t="s">
        <v>2948</v>
      </c>
      <c r="E738" s="6" t="s">
        <v>2949</v>
      </c>
      <c r="F738" s="7" t="s">
        <v>21</v>
      </c>
      <c r="G738" s="5" t="s">
        <v>22</v>
      </c>
      <c r="H738" s="8"/>
      <c r="I738" s="9"/>
      <c r="J738" s="9" t="s">
        <v>23</v>
      </c>
      <c r="K738" s="8"/>
      <c r="L738" s="9"/>
      <c r="M738" s="10" t="s">
        <v>361</v>
      </c>
      <c r="N738" s="11" t="s">
        <v>2950</v>
      </c>
      <c r="O738" s="12" t="s">
        <v>26</v>
      </c>
    </row>
    <row r="739" spans="1:15">
      <c r="A739" s="4">
        <v>735</v>
      </c>
      <c r="B739" s="5" t="s">
        <v>2900</v>
      </c>
      <c r="C739" s="5" t="s">
        <v>2951</v>
      </c>
      <c r="D739" s="5" t="s">
        <v>2952</v>
      </c>
      <c r="E739" s="6" t="s">
        <v>2953</v>
      </c>
      <c r="F739" s="7" t="s">
        <v>21</v>
      </c>
      <c r="G739" s="5" t="s">
        <v>29</v>
      </c>
      <c r="H739" s="8"/>
      <c r="I739" s="9"/>
      <c r="J739" s="9" t="s">
        <v>23</v>
      </c>
      <c r="K739" s="8"/>
      <c r="L739" s="9"/>
      <c r="M739" s="10" t="s">
        <v>361</v>
      </c>
      <c r="N739" s="11" t="s">
        <v>2954</v>
      </c>
      <c r="O739" s="12" t="s">
        <v>26</v>
      </c>
    </row>
    <row r="740" spans="1:15">
      <c r="A740" s="4">
        <v>736</v>
      </c>
      <c r="B740" s="5" t="s">
        <v>2900</v>
      </c>
      <c r="C740" s="5" t="s">
        <v>2951</v>
      </c>
      <c r="D740" s="5" t="s">
        <v>2955</v>
      </c>
      <c r="E740" s="6" t="s">
        <v>2956</v>
      </c>
      <c r="F740" s="7" t="s">
        <v>21</v>
      </c>
      <c r="G740" s="5" t="s">
        <v>22</v>
      </c>
      <c r="H740" s="8"/>
      <c r="I740" s="9"/>
      <c r="J740" s="9" t="s">
        <v>23</v>
      </c>
      <c r="K740" s="8"/>
      <c r="L740" s="9"/>
      <c r="M740" s="10" t="s">
        <v>2957</v>
      </c>
      <c r="N740" s="11" t="s">
        <v>2958</v>
      </c>
      <c r="O740" s="12" t="s">
        <v>26</v>
      </c>
    </row>
    <row r="741" spans="1:15">
      <c r="A741" s="4">
        <v>737</v>
      </c>
      <c r="B741" s="5" t="s">
        <v>2900</v>
      </c>
      <c r="C741" s="5" t="s">
        <v>2928</v>
      </c>
      <c r="D741" s="5" t="s">
        <v>2959</v>
      </c>
      <c r="E741" s="6" t="s">
        <v>2960</v>
      </c>
      <c r="F741" s="7" t="s">
        <v>21</v>
      </c>
      <c r="G741" s="5" t="s">
        <v>22</v>
      </c>
      <c r="H741" s="8"/>
      <c r="I741" s="9"/>
      <c r="J741" s="9" t="s">
        <v>23</v>
      </c>
      <c r="K741" s="8"/>
      <c r="L741" s="9"/>
      <c r="M741" s="10" t="s">
        <v>2680</v>
      </c>
      <c r="N741" s="11" t="s">
        <v>2961</v>
      </c>
      <c r="O741" s="12" t="s">
        <v>26</v>
      </c>
    </row>
    <row r="742" spans="1:15">
      <c r="A742" s="4">
        <v>738</v>
      </c>
      <c r="B742" s="5" t="s">
        <v>2900</v>
      </c>
      <c r="C742" s="5" t="s">
        <v>2928</v>
      </c>
      <c r="D742" s="5" t="s">
        <v>2962</v>
      </c>
      <c r="E742" s="6" t="s">
        <v>2963</v>
      </c>
      <c r="F742" s="7" t="s">
        <v>21</v>
      </c>
      <c r="G742" s="5" t="s">
        <v>22</v>
      </c>
      <c r="H742" s="8"/>
      <c r="I742" s="9"/>
      <c r="J742" s="9" t="s">
        <v>23</v>
      </c>
      <c r="K742" s="8"/>
      <c r="L742" s="9"/>
      <c r="M742" s="10" t="s">
        <v>1320</v>
      </c>
      <c r="N742" s="11" t="s">
        <v>2964</v>
      </c>
      <c r="O742" s="12" t="s">
        <v>26</v>
      </c>
    </row>
    <row r="743" spans="1:15">
      <c r="A743" s="4">
        <v>739</v>
      </c>
      <c r="B743" s="5" t="s">
        <v>2900</v>
      </c>
      <c r="C743" s="5" t="s">
        <v>2965</v>
      </c>
      <c r="D743" s="5" t="s">
        <v>2966</v>
      </c>
      <c r="E743" s="6" t="s">
        <v>2967</v>
      </c>
      <c r="F743" s="7" t="s">
        <v>21</v>
      </c>
      <c r="G743" s="5" t="s">
        <v>22</v>
      </c>
      <c r="H743" s="8"/>
      <c r="I743" s="9"/>
      <c r="J743" s="9" t="s">
        <v>23</v>
      </c>
      <c r="K743" s="8"/>
      <c r="L743" s="9"/>
      <c r="M743" s="10" t="s">
        <v>2680</v>
      </c>
      <c r="N743" s="11" t="s">
        <v>2968</v>
      </c>
      <c r="O743" s="12" t="s">
        <v>26</v>
      </c>
    </row>
    <row r="744" spans="1:15">
      <c r="A744" s="4">
        <v>740</v>
      </c>
      <c r="B744" s="5" t="s">
        <v>2900</v>
      </c>
      <c r="C744" s="5" t="s">
        <v>2947</v>
      </c>
      <c r="D744" s="5" t="s">
        <v>2969</v>
      </c>
      <c r="E744" s="6" t="s">
        <v>2970</v>
      </c>
      <c r="F744" s="7" t="s">
        <v>21</v>
      </c>
      <c r="G744" s="5" t="s">
        <v>29</v>
      </c>
      <c r="H744" s="8"/>
      <c r="I744" s="9"/>
      <c r="J744" s="9" t="s">
        <v>23</v>
      </c>
      <c r="K744" s="8"/>
      <c r="L744" s="9"/>
      <c r="M744" s="10" t="s">
        <v>361</v>
      </c>
      <c r="N744" s="11" t="s">
        <v>2971</v>
      </c>
      <c r="O744" s="12" t="s">
        <v>26</v>
      </c>
    </row>
    <row r="745" spans="1:15">
      <c r="A745" s="4">
        <v>741</v>
      </c>
      <c r="B745" s="5" t="s">
        <v>2900</v>
      </c>
      <c r="C745" s="5" t="s">
        <v>2951</v>
      </c>
      <c r="D745" s="5" t="s">
        <v>2972</v>
      </c>
      <c r="E745" s="6" t="s">
        <v>2973</v>
      </c>
      <c r="F745" s="7" t="s">
        <v>21</v>
      </c>
      <c r="G745" s="5" t="s">
        <v>29</v>
      </c>
      <c r="H745" s="8"/>
      <c r="I745" s="9"/>
      <c r="J745" s="9" t="s">
        <v>23</v>
      </c>
      <c r="K745" s="8"/>
      <c r="L745" s="9"/>
      <c r="M745" s="10" t="s">
        <v>1320</v>
      </c>
      <c r="N745" s="11" t="s">
        <v>2974</v>
      </c>
      <c r="O745" s="12" t="s">
        <v>26</v>
      </c>
    </row>
    <row r="746" spans="1:15">
      <c r="A746" s="4">
        <v>742</v>
      </c>
      <c r="B746" s="5" t="s">
        <v>2900</v>
      </c>
      <c r="C746" s="5" t="s">
        <v>2910</v>
      </c>
      <c r="D746" s="5" t="s">
        <v>2975</v>
      </c>
      <c r="E746" s="6" t="s">
        <v>2976</v>
      </c>
      <c r="F746" s="7" t="s">
        <v>21</v>
      </c>
      <c r="G746" s="5" t="s">
        <v>22</v>
      </c>
      <c r="H746" s="8"/>
      <c r="I746" s="9"/>
      <c r="J746" s="9" t="s">
        <v>23</v>
      </c>
      <c r="K746" s="8"/>
      <c r="L746" s="9"/>
      <c r="M746" s="10" t="s">
        <v>370</v>
      </c>
      <c r="N746" s="11" t="s">
        <v>2977</v>
      </c>
      <c r="O746" s="12" t="s">
        <v>26</v>
      </c>
    </row>
    <row r="747" spans="1:15">
      <c r="A747" s="4">
        <v>743</v>
      </c>
      <c r="B747" s="5" t="s">
        <v>2900</v>
      </c>
      <c r="C747" s="5" t="s">
        <v>2978</v>
      </c>
      <c r="D747" s="5" t="s">
        <v>2979</v>
      </c>
      <c r="E747" s="6" t="s">
        <v>2980</v>
      </c>
      <c r="F747" s="7" t="s">
        <v>21</v>
      </c>
      <c r="G747" s="5" t="s">
        <v>29</v>
      </c>
      <c r="H747" s="8"/>
      <c r="I747" s="9"/>
      <c r="J747" s="9" t="s">
        <v>23</v>
      </c>
      <c r="K747" s="8"/>
      <c r="L747" s="9"/>
      <c r="M747" s="10" t="s">
        <v>309</v>
      </c>
      <c r="N747" s="11" t="s">
        <v>2981</v>
      </c>
      <c r="O747" s="12" t="s">
        <v>26</v>
      </c>
    </row>
    <row r="748" spans="1:15">
      <c r="A748" s="4">
        <v>744</v>
      </c>
      <c r="B748" s="5" t="s">
        <v>2900</v>
      </c>
      <c r="C748" s="5" t="s">
        <v>2982</v>
      </c>
      <c r="D748" s="5" t="s">
        <v>2983</v>
      </c>
      <c r="E748" s="6" t="s">
        <v>2984</v>
      </c>
      <c r="F748" s="7" t="s">
        <v>21</v>
      </c>
      <c r="G748" s="5" t="s">
        <v>29</v>
      </c>
      <c r="H748" s="8"/>
      <c r="I748" s="9"/>
      <c r="J748" s="9" t="s">
        <v>23</v>
      </c>
      <c r="K748" s="8"/>
      <c r="L748" s="9"/>
      <c r="M748" s="10" t="s">
        <v>2985</v>
      </c>
      <c r="N748" s="11" t="s">
        <v>2986</v>
      </c>
      <c r="O748" s="12" t="s">
        <v>26</v>
      </c>
    </row>
    <row r="749" spans="1:15">
      <c r="A749" s="4">
        <v>745</v>
      </c>
      <c r="B749" s="5" t="s">
        <v>2900</v>
      </c>
      <c r="C749" s="5" t="s">
        <v>2905</v>
      </c>
      <c r="D749" s="5" t="s">
        <v>2987</v>
      </c>
      <c r="E749" s="6" t="s">
        <v>2988</v>
      </c>
      <c r="F749" s="7" t="s">
        <v>21</v>
      </c>
      <c r="G749" s="5" t="s">
        <v>29</v>
      </c>
      <c r="H749" s="8"/>
      <c r="I749" s="9"/>
      <c r="J749" s="9" t="s">
        <v>23</v>
      </c>
      <c r="K749" s="8"/>
      <c r="L749" s="9"/>
      <c r="M749" s="10" t="s">
        <v>2989</v>
      </c>
      <c r="N749" s="11" t="s">
        <v>2990</v>
      </c>
      <c r="O749" s="12" t="s">
        <v>26</v>
      </c>
    </row>
    <row r="750" spans="1:15">
      <c r="A750" s="4">
        <v>746</v>
      </c>
      <c r="B750" s="5" t="s">
        <v>2900</v>
      </c>
      <c r="C750" s="5" t="s">
        <v>2991</v>
      </c>
      <c r="D750" s="5" t="s">
        <v>2992</v>
      </c>
      <c r="E750" s="6" t="s">
        <v>2993</v>
      </c>
      <c r="F750" s="7" t="s">
        <v>21</v>
      </c>
      <c r="G750" s="5" t="s">
        <v>29</v>
      </c>
      <c r="H750" s="8"/>
      <c r="I750" s="9"/>
      <c r="J750" s="9" t="s">
        <v>23</v>
      </c>
      <c r="K750" s="8"/>
      <c r="L750" s="9"/>
      <c r="M750" s="10" t="s">
        <v>2994</v>
      </c>
      <c r="N750" s="11" t="s">
        <v>2995</v>
      </c>
      <c r="O750" s="12" t="s">
        <v>26</v>
      </c>
    </row>
    <row r="751" spans="1:15">
      <c r="A751" s="4">
        <v>747</v>
      </c>
      <c r="B751" s="5" t="s">
        <v>2900</v>
      </c>
      <c r="C751" s="5" t="s">
        <v>2947</v>
      </c>
      <c r="D751" s="5" t="s">
        <v>2996</v>
      </c>
      <c r="E751" s="6" t="s">
        <v>2997</v>
      </c>
      <c r="F751" s="7" t="s">
        <v>21</v>
      </c>
      <c r="G751" s="5" t="s">
        <v>22</v>
      </c>
      <c r="H751" s="8"/>
      <c r="I751" s="9"/>
      <c r="J751" s="9" t="s">
        <v>23</v>
      </c>
      <c r="K751" s="8"/>
      <c r="L751" s="9"/>
      <c r="M751" s="10" t="s">
        <v>2998</v>
      </c>
      <c r="N751" s="11" t="s">
        <v>2999</v>
      </c>
      <c r="O751" s="12" t="s">
        <v>26</v>
      </c>
    </row>
    <row r="752" spans="1:15">
      <c r="A752" s="4">
        <v>748</v>
      </c>
      <c r="B752" s="5" t="s">
        <v>2900</v>
      </c>
      <c r="C752" s="5" t="s">
        <v>2910</v>
      </c>
      <c r="D752" s="5" t="s">
        <v>3000</v>
      </c>
      <c r="E752" s="6" t="s">
        <v>3001</v>
      </c>
      <c r="F752" s="7" t="s">
        <v>21</v>
      </c>
      <c r="G752" s="5" t="s">
        <v>22</v>
      </c>
      <c r="H752" s="8"/>
      <c r="I752" s="9"/>
      <c r="J752" s="9" t="s">
        <v>23</v>
      </c>
      <c r="K752" s="8"/>
      <c r="L752" s="9"/>
      <c r="M752" s="10" t="s">
        <v>3002</v>
      </c>
      <c r="N752" s="11" t="s">
        <v>3003</v>
      </c>
      <c r="O752" s="12" t="s">
        <v>26</v>
      </c>
    </row>
    <row r="753" spans="1:15">
      <c r="A753" s="4">
        <v>749</v>
      </c>
      <c r="B753" s="5" t="s">
        <v>2900</v>
      </c>
      <c r="C753" s="5" t="s">
        <v>3004</v>
      </c>
      <c r="D753" s="5" t="s">
        <v>3005</v>
      </c>
      <c r="E753" s="6" t="s">
        <v>3006</v>
      </c>
      <c r="F753" s="7" t="s">
        <v>21</v>
      </c>
      <c r="G753" s="5" t="s">
        <v>29</v>
      </c>
      <c r="H753" s="8"/>
      <c r="I753" s="9"/>
      <c r="J753" s="9" t="s">
        <v>23</v>
      </c>
      <c r="K753" s="8"/>
      <c r="L753" s="9"/>
      <c r="M753" s="10" t="s">
        <v>1320</v>
      </c>
      <c r="N753" s="11" t="s">
        <v>3007</v>
      </c>
      <c r="O753" s="12" t="s">
        <v>26</v>
      </c>
    </row>
    <row r="754" spans="1:15">
      <c r="A754" s="4">
        <v>750</v>
      </c>
      <c r="B754" s="5" t="s">
        <v>2900</v>
      </c>
      <c r="C754" s="5" t="s">
        <v>2928</v>
      </c>
      <c r="D754" s="5" t="s">
        <v>3008</v>
      </c>
      <c r="E754" s="6" t="s">
        <v>3009</v>
      </c>
      <c r="F754" s="7" t="s">
        <v>21</v>
      </c>
      <c r="G754" s="5" t="s">
        <v>29</v>
      </c>
      <c r="H754" s="8"/>
      <c r="I754" s="9"/>
      <c r="J754" s="9" t="s">
        <v>23</v>
      </c>
      <c r="K754" s="8"/>
      <c r="L754" s="9"/>
      <c r="M754" s="10" t="s">
        <v>1320</v>
      </c>
      <c r="N754" s="11" t="s">
        <v>3010</v>
      </c>
      <c r="O754" s="12" t="s">
        <v>26</v>
      </c>
    </row>
    <row r="755" spans="1:15">
      <c r="A755" s="4">
        <v>751</v>
      </c>
      <c r="B755" s="5" t="s">
        <v>2900</v>
      </c>
      <c r="C755" s="5" t="s">
        <v>2928</v>
      </c>
      <c r="D755" s="5" t="s">
        <v>3011</v>
      </c>
      <c r="E755" s="6" t="s">
        <v>3012</v>
      </c>
      <c r="F755" s="7" t="s">
        <v>21</v>
      </c>
      <c r="G755" s="5" t="s">
        <v>22</v>
      </c>
      <c r="H755" s="8"/>
      <c r="I755" s="9"/>
      <c r="J755" s="9" t="s">
        <v>23</v>
      </c>
      <c r="K755" s="8"/>
      <c r="L755" s="9"/>
      <c r="M755" s="10" t="s">
        <v>3013</v>
      </c>
      <c r="N755" s="11" t="s">
        <v>3014</v>
      </c>
      <c r="O755" s="12" t="s">
        <v>26</v>
      </c>
    </row>
    <row r="756" spans="1:15">
      <c r="A756" s="4">
        <v>752</v>
      </c>
      <c r="B756" s="5" t="s">
        <v>2900</v>
      </c>
      <c r="C756" s="5" t="s">
        <v>3015</v>
      </c>
      <c r="D756" s="5" t="s">
        <v>3016</v>
      </c>
      <c r="E756" s="6" t="s">
        <v>3017</v>
      </c>
      <c r="F756" s="7" t="s">
        <v>21</v>
      </c>
      <c r="G756" s="5" t="s">
        <v>22</v>
      </c>
      <c r="H756" s="8"/>
      <c r="I756" s="9"/>
      <c r="J756" s="9" t="s">
        <v>23</v>
      </c>
      <c r="K756" s="8"/>
      <c r="L756" s="9"/>
      <c r="M756" s="10" t="s">
        <v>1320</v>
      </c>
      <c r="N756" s="11" t="s">
        <v>3018</v>
      </c>
      <c r="O756" s="12" t="s">
        <v>26</v>
      </c>
    </row>
    <row r="757" spans="1:15">
      <c r="A757" s="4">
        <v>753</v>
      </c>
      <c r="B757" s="5" t="s">
        <v>2900</v>
      </c>
      <c r="C757" s="5" t="s">
        <v>2910</v>
      </c>
      <c r="D757" s="5" t="s">
        <v>3019</v>
      </c>
      <c r="E757" s="6" t="s">
        <v>3020</v>
      </c>
      <c r="F757" s="7" t="s">
        <v>21</v>
      </c>
      <c r="G757" s="5" t="s">
        <v>22</v>
      </c>
      <c r="H757" s="8"/>
      <c r="I757" s="9"/>
      <c r="J757" s="9" t="s">
        <v>23</v>
      </c>
      <c r="K757" s="8"/>
      <c r="L757" s="9"/>
      <c r="M757" s="10" t="s">
        <v>361</v>
      </c>
      <c r="N757" s="11" t="s">
        <v>3021</v>
      </c>
      <c r="O757" s="12" t="s">
        <v>26</v>
      </c>
    </row>
    <row r="758" spans="1:15">
      <c r="A758" s="4">
        <v>754</v>
      </c>
      <c r="B758" s="5" t="s">
        <v>2900</v>
      </c>
      <c r="C758" s="5" t="s">
        <v>2905</v>
      </c>
      <c r="D758" s="5" t="s">
        <v>3022</v>
      </c>
      <c r="E758" s="6" t="s">
        <v>3023</v>
      </c>
      <c r="F758" s="7" t="s">
        <v>21</v>
      </c>
      <c r="G758" s="5" t="s">
        <v>22</v>
      </c>
      <c r="H758" s="8"/>
      <c r="I758" s="9"/>
      <c r="J758" s="9" t="s">
        <v>23</v>
      </c>
      <c r="K758" s="8"/>
      <c r="L758" s="9"/>
      <c r="M758" s="10" t="s">
        <v>1320</v>
      </c>
      <c r="N758" s="11" t="s">
        <v>3024</v>
      </c>
      <c r="O758" s="12" t="s">
        <v>26</v>
      </c>
    </row>
    <row r="759" spans="1:15">
      <c r="A759" s="4">
        <v>755</v>
      </c>
      <c r="B759" s="5" t="s">
        <v>2900</v>
      </c>
      <c r="C759" s="5" t="s">
        <v>2905</v>
      </c>
      <c r="D759" s="5" t="s">
        <v>3025</v>
      </c>
      <c r="E759" s="6" t="s">
        <v>3026</v>
      </c>
      <c r="F759" s="7" t="s">
        <v>21</v>
      </c>
      <c r="G759" s="5" t="s">
        <v>22</v>
      </c>
      <c r="H759" s="8"/>
      <c r="I759" s="9"/>
      <c r="J759" s="9" t="s">
        <v>23</v>
      </c>
      <c r="K759" s="8"/>
      <c r="L759" s="9"/>
      <c r="M759" s="10" t="s">
        <v>3027</v>
      </c>
      <c r="N759" s="11" t="s">
        <v>3028</v>
      </c>
      <c r="O759" s="12" t="s">
        <v>26</v>
      </c>
    </row>
    <row r="760" spans="1:15">
      <c r="A760" s="4">
        <v>756</v>
      </c>
      <c r="B760" s="5" t="s">
        <v>2900</v>
      </c>
      <c r="C760" s="5" t="s">
        <v>2905</v>
      </c>
      <c r="D760" s="5" t="s">
        <v>3029</v>
      </c>
      <c r="E760" s="6" t="s">
        <v>3030</v>
      </c>
      <c r="F760" s="7" t="s">
        <v>21</v>
      </c>
      <c r="G760" s="5" t="s">
        <v>29</v>
      </c>
      <c r="H760" s="8"/>
      <c r="I760" s="9"/>
      <c r="J760" s="9" t="s">
        <v>23</v>
      </c>
      <c r="K760" s="8"/>
      <c r="L760" s="9"/>
      <c r="M760" s="10" t="s">
        <v>361</v>
      </c>
      <c r="N760" s="11" t="s">
        <v>3031</v>
      </c>
      <c r="O760" s="12" t="s">
        <v>26</v>
      </c>
    </row>
    <row r="761" spans="1:15">
      <c r="A761" s="4">
        <v>757</v>
      </c>
      <c r="B761" s="5" t="s">
        <v>2900</v>
      </c>
      <c r="C761" s="5" t="s">
        <v>2905</v>
      </c>
      <c r="D761" s="5" t="s">
        <v>3032</v>
      </c>
      <c r="E761" s="6" t="s">
        <v>3033</v>
      </c>
      <c r="F761" s="7" t="s">
        <v>21</v>
      </c>
      <c r="G761" s="5" t="s">
        <v>156</v>
      </c>
      <c r="H761" s="8"/>
      <c r="I761" s="9"/>
      <c r="J761" s="9" t="s">
        <v>23</v>
      </c>
      <c r="K761" s="8"/>
      <c r="L761" s="9"/>
      <c r="M761" s="10" t="s">
        <v>3034</v>
      </c>
      <c r="N761" s="11" t="s">
        <v>3035</v>
      </c>
      <c r="O761" s="12" t="s">
        <v>26</v>
      </c>
    </row>
    <row r="762" spans="1:15">
      <c r="A762" s="4">
        <v>758</v>
      </c>
      <c r="B762" s="5" t="s">
        <v>2900</v>
      </c>
      <c r="C762" s="5" t="s">
        <v>2905</v>
      </c>
      <c r="D762" s="5" t="s">
        <v>3036</v>
      </c>
      <c r="E762" s="6" t="s">
        <v>3037</v>
      </c>
      <c r="F762" s="7" t="s">
        <v>21</v>
      </c>
      <c r="G762" s="5" t="s">
        <v>29</v>
      </c>
      <c r="H762" s="8"/>
      <c r="I762" s="9"/>
      <c r="J762" s="9" t="s">
        <v>23</v>
      </c>
      <c r="K762" s="8"/>
      <c r="L762" s="9"/>
      <c r="M762" s="10" t="s">
        <v>361</v>
      </c>
      <c r="N762" s="11" t="s">
        <v>3038</v>
      </c>
      <c r="O762" s="12" t="s">
        <v>26</v>
      </c>
    </row>
    <row r="763" spans="1:15">
      <c r="A763" s="4">
        <v>759</v>
      </c>
      <c r="B763" s="5" t="s">
        <v>2900</v>
      </c>
      <c r="C763" s="5" t="s">
        <v>2905</v>
      </c>
      <c r="D763" s="5" t="s">
        <v>3039</v>
      </c>
      <c r="E763" s="6" t="s">
        <v>3040</v>
      </c>
      <c r="F763" s="7" t="s">
        <v>21</v>
      </c>
      <c r="G763" s="5" t="s">
        <v>22</v>
      </c>
      <c r="H763" s="8"/>
      <c r="I763" s="9"/>
      <c r="J763" s="9" t="s">
        <v>23</v>
      </c>
      <c r="K763" s="8"/>
      <c r="L763" s="9"/>
      <c r="M763" s="10" t="s">
        <v>361</v>
      </c>
      <c r="N763" s="11" t="s">
        <v>3041</v>
      </c>
      <c r="O763" s="12" t="s">
        <v>26</v>
      </c>
    </row>
    <row r="764" spans="1:15">
      <c r="A764" s="4">
        <v>760</v>
      </c>
      <c r="B764" s="5" t="s">
        <v>2900</v>
      </c>
      <c r="C764" s="5" t="s">
        <v>2905</v>
      </c>
      <c r="D764" s="5" t="s">
        <v>3042</v>
      </c>
      <c r="E764" s="6" t="s">
        <v>3043</v>
      </c>
      <c r="F764" s="7" t="s">
        <v>21</v>
      </c>
      <c r="G764" s="5" t="s">
        <v>22</v>
      </c>
      <c r="H764" s="8"/>
      <c r="I764" s="9"/>
      <c r="J764" s="9" t="s">
        <v>23</v>
      </c>
      <c r="K764" s="8"/>
      <c r="L764" s="9"/>
      <c r="M764" s="10" t="s">
        <v>361</v>
      </c>
      <c r="N764" s="11" t="s">
        <v>3044</v>
      </c>
      <c r="O764" s="12" t="s">
        <v>26</v>
      </c>
    </row>
    <row r="765" spans="1:15">
      <c r="A765" s="4">
        <v>761</v>
      </c>
      <c r="B765" s="5" t="s">
        <v>2900</v>
      </c>
      <c r="C765" s="5" t="s">
        <v>2910</v>
      </c>
      <c r="D765" s="5" t="s">
        <v>3045</v>
      </c>
      <c r="E765" s="6" t="s">
        <v>3046</v>
      </c>
      <c r="F765" s="7" t="s">
        <v>21</v>
      </c>
      <c r="G765" s="5" t="s">
        <v>29</v>
      </c>
      <c r="H765" s="8"/>
      <c r="I765" s="9"/>
      <c r="J765" s="9" t="s">
        <v>23</v>
      </c>
      <c r="K765" s="8"/>
      <c r="L765" s="9"/>
      <c r="M765" s="10" t="s">
        <v>3047</v>
      </c>
      <c r="N765" s="11" t="s">
        <v>3048</v>
      </c>
      <c r="O765" s="12" t="s">
        <v>26</v>
      </c>
    </row>
    <row r="766" spans="1:15">
      <c r="A766" s="4">
        <v>762</v>
      </c>
      <c r="B766" s="5" t="s">
        <v>2900</v>
      </c>
      <c r="C766" s="5" t="s">
        <v>2978</v>
      </c>
      <c r="D766" s="5" t="s">
        <v>3049</v>
      </c>
      <c r="E766" s="6" t="s">
        <v>3050</v>
      </c>
      <c r="F766" s="7" t="s">
        <v>21</v>
      </c>
      <c r="G766" s="5" t="s">
        <v>29</v>
      </c>
      <c r="H766" s="8"/>
      <c r="I766" s="9"/>
      <c r="J766" s="9" t="s">
        <v>23</v>
      </c>
      <c r="K766" s="8"/>
      <c r="L766" s="9"/>
      <c r="M766" s="10" t="s">
        <v>2857</v>
      </c>
      <c r="N766" s="11" t="s">
        <v>3051</v>
      </c>
      <c r="O766" s="12" t="s">
        <v>26</v>
      </c>
    </row>
    <row r="767" spans="1:15">
      <c r="A767" s="4">
        <v>763</v>
      </c>
      <c r="B767" s="5" t="s">
        <v>2900</v>
      </c>
      <c r="C767" s="5" t="s">
        <v>2978</v>
      </c>
      <c r="D767" s="5" t="s">
        <v>3052</v>
      </c>
      <c r="E767" s="6" t="s">
        <v>3053</v>
      </c>
      <c r="F767" s="7" t="s">
        <v>21</v>
      </c>
      <c r="G767" s="5" t="s">
        <v>29</v>
      </c>
      <c r="H767" s="8"/>
      <c r="I767" s="9"/>
      <c r="J767" s="9" t="s">
        <v>23</v>
      </c>
      <c r="K767" s="8"/>
      <c r="L767" s="9"/>
      <c r="M767" s="10" t="s">
        <v>2771</v>
      </c>
      <c r="N767" s="11" t="s">
        <v>3054</v>
      </c>
      <c r="O767" s="12" t="s">
        <v>26</v>
      </c>
    </row>
    <row r="768" spans="1:15">
      <c r="A768" s="4">
        <v>764</v>
      </c>
      <c r="B768" s="5" t="s">
        <v>2900</v>
      </c>
      <c r="C768" s="5" t="s">
        <v>3055</v>
      </c>
      <c r="D768" s="5" t="s">
        <v>3056</v>
      </c>
      <c r="E768" s="6" t="s">
        <v>3057</v>
      </c>
      <c r="F768" s="7" t="s">
        <v>21</v>
      </c>
      <c r="G768" s="5" t="s">
        <v>22</v>
      </c>
      <c r="H768" s="8"/>
      <c r="I768" s="9"/>
      <c r="J768" s="9" t="s">
        <v>23</v>
      </c>
      <c r="K768" s="8"/>
      <c r="L768" s="9"/>
      <c r="M768" s="10" t="s">
        <v>1320</v>
      </c>
      <c r="N768" s="11" t="s">
        <v>3058</v>
      </c>
      <c r="O768" s="12" t="s">
        <v>26</v>
      </c>
    </row>
    <row r="769" spans="1:15">
      <c r="A769" s="4">
        <v>765</v>
      </c>
      <c r="B769" s="5" t="s">
        <v>2900</v>
      </c>
      <c r="C769" s="5" t="s">
        <v>3059</v>
      </c>
      <c r="D769" s="5" t="s">
        <v>3060</v>
      </c>
      <c r="E769" s="6" t="s">
        <v>3061</v>
      </c>
      <c r="F769" s="7" t="s">
        <v>21</v>
      </c>
      <c r="G769" s="5" t="s">
        <v>39</v>
      </c>
      <c r="H769" s="8"/>
      <c r="I769" s="9"/>
      <c r="J769" s="9" t="s">
        <v>23</v>
      </c>
      <c r="K769" s="8"/>
      <c r="L769" s="9"/>
      <c r="M769" s="10" t="s">
        <v>3062</v>
      </c>
      <c r="N769" s="11" t="s">
        <v>3063</v>
      </c>
      <c r="O769" s="12" t="s">
        <v>26</v>
      </c>
    </row>
    <row r="770" spans="1:15">
      <c r="A770" s="4">
        <v>766</v>
      </c>
      <c r="B770" s="5" t="s">
        <v>3064</v>
      </c>
      <c r="C770" s="5" t="s">
        <v>3065</v>
      </c>
      <c r="D770" s="5" t="s">
        <v>3066</v>
      </c>
      <c r="E770" s="6" t="s">
        <v>3067</v>
      </c>
      <c r="F770" s="7" t="s">
        <v>21</v>
      </c>
      <c r="G770" s="5" t="s">
        <v>22</v>
      </c>
      <c r="H770" s="8"/>
      <c r="I770" s="9"/>
      <c r="J770" s="9" t="s">
        <v>23</v>
      </c>
      <c r="K770" s="8"/>
      <c r="L770" s="9"/>
      <c r="M770" s="10" t="s">
        <v>361</v>
      </c>
      <c r="N770" s="11" t="s">
        <v>3068</v>
      </c>
      <c r="O770" s="12" t="s">
        <v>26</v>
      </c>
    </row>
    <row r="771" spans="1:15">
      <c r="A771" s="4">
        <v>767</v>
      </c>
      <c r="B771" s="5" t="s">
        <v>3064</v>
      </c>
      <c r="C771" s="5" t="s">
        <v>3069</v>
      </c>
      <c r="D771" s="5" t="s">
        <v>3070</v>
      </c>
      <c r="E771" s="6" t="s">
        <v>3071</v>
      </c>
      <c r="F771" s="7" t="s">
        <v>21</v>
      </c>
      <c r="G771" s="5" t="s">
        <v>29</v>
      </c>
      <c r="H771" s="8"/>
      <c r="I771" s="9"/>
      <c r="J771" s="9" t="s">
        <v>23</v>
      </c>
      <c r="K771" s="8"/>
      <c r="L771" s="9"/>
      <c r="M771" s="10" t="s">
        <v>370</v>
      </c>
      <c r="N771" s="11" t="s">
        <v>3072</v>
      </c>
      <c r="O771" s="12" t="s">
        <v>26</v>
      </c>
    </row>
    <row r="772" spans="1:15">
      <c r="A772" s="4">
        <v>768</v>
      </c>
      <c r="B772" s="5" t="s">
        <v>3064</v>
      </c>
      <c r="C772" s="5" t="s">
        <v>3069</v>
      </c>
      <c r="D772" s="5" t="s">
        <v>3073</v>
      </c>
      <c r="E772" s="6" t="s">
        <v>3074</v>
      </c>
      <c r="F772" s="7" t="s">
        <v>21</v>
      </c>
      <c r="G772" s="5" t="s">
        <v>22</v>
      </c>
      <c r="H772" s="8"/>
      <c r="I772" s="9"/>
      <c r="J772" s="9" t="s">
        <v>23</v>
      </c>
      <c r="K772" s="8"/>
      <c r="L772" s="9"/>
      <c r="M772" s="10" t="s">
        <v>3075</v>
      </c>
      <c r="N772" s="11" t="s">
        <v>3076</v>
      </c>
      <c r="O772" s="12" t="s">
        <v>26</v>
      </c>
    </row>
    <row r="773" spans="1:15">
      <c r="A773" s="4">
        <v>769</v>
      </c>
      <c r="B773" s="5" t="s">
        <v>3064</v>
      </c>
      <c r="C773" s="5" t="s">
        <v>3077</v>
      </c>
      <c r="D773" s="5" t="s">
        <v>3078</v>
      </c>
      <c r="E773" s="6" t="s">
        <v>3079</v>
      </c>
      <c r="F773" s="7" t="s">
        <v>21</v>
      </c>
      <c r="G773" s="5" t="s">
        <v>29</v>
      </c>
      <c r="H773" s="8"/>
      <c r="I773" s="9"/>
      <c r="J773" s="9" t="s">
        <v>23</v>
      </c>
      <c r="K773" s="8"/>
      <c r="L773" s="9"/>
      <c r="M773" s="10" t="s">
        <v>3080</v>
      </c>
      <c r="N773" s="11" t="s">
        <v>3081</v>
      </c>
      <c r="O773" s="12" t="s">
        <v>26</v>
      </c>
    </row>
    <row r="774" spans="1:15">
      <c r="A774" s="4">
        <v>770</v>
      </c>
      <c r="B774" s="5" t="s">
        <v>3064</v>
      </c>
      <c r="C774" s="5" t="s">
        <v>3069</v>
      </c>
      <c r="D774" s="5" t="s">
        <v>3082</v>
      </c>
      <c r="E774" s="6" t="s">
        <v>3083</v>
      </c>
      <c r="F774" s="7" t="s">
        <v>21</v>
      </c>
      <c r="G774" s="5" t="s">
        <v>22</v>
      </c>
      <c r="H774" s="8"/>
      <c r="I774" s="9"/>
      <c r="J774" s="9" t="s">
        <v>23</v>
      </c>
      <c r="K774" s="8"/>
      <c r="L774" s="9"/>
      <c r="M774" s="10" t="s">
        <v>3084</v>
      </c>
      <c r="N774" s="11" t="s">
        <v>3085</v>
      </c>
      <c r="O774" s="12" t="s">
        <v>26</v>
      </c>
    </row>
    <row r="775" spans="1:15">
      <c r="A775" s="4">
        <v>771</v>
      </c>
      <c r="B775" s="5" t="s">
        <v>3064</v>
      </c>
      <c r="C775" s="5" t="s">
        <v>3086</v>
      </c>
      <c r="D775" s="5" t="s">
        <v>3087</v>
      </c>
      <c r="E775" s="6" t="s">
        <v>3088</v>
      </c>
      <c r="F775" s="7" t="s">
        <v>21</v>
      </c>
      <c r="G775" s="5" t="s">
        <v>29</v>
      </c>
      <c r="H775" s="8"/>
      <c r="I775" s="9"/>
      <c r="J775" s="9" t="s">
        <v>23</v>
      </c>
      <c r="K775" s="8"/>
      <c r="L775" s="9"/>
      <c r="M775" s="10" t="s">
        <v>361</v>
      </c>
      <c r="N775" s="11" t="s">
        <v>3089</v>
      </c>
      <c r="O775" s="12" t="s">
        <v>26</v>
      </c>
    </row>
    <row r="776" spans="1:15">
      <c r="A776" s="4">
        <v>772</v>
      </c>
      <c r="B776" s="5" t="s">
        <v>3064</v>
      </c>
      <c r="C776" s="5" t="s">
        <v>3090</v>
      </c>
      <c r="D776" s="5" t="s">
        <v>3091</v>
      </c>
      <c r="E776" s="6" t="s">
        <v>3092</v>
      </c>
      <c r="F776" s="7" t="s">
        <v>21</v>
      </c>
      <c r="G776" s="5" t="s">
        <v>29</v>
      </c>
      <c r="H776" s="8"/>
      <c r="I776" s="9"/>
      <c r="J776" s="9" t="s">
        <v>23</v>
      </c>
      <c r="K776" s="8"/>
      <c r="L776" s="9"/>
      <c r="M776" s="10" t="s">
        <v>3093</v>
      </c>
      <c r="N776" s="11" t="s">
        <v>3094</v>
      </c>
      <c r="O776" s="12" t="s">
        <v>26</v>
      </c>
    </row>
    <row r="777" spans="1:15">
      <c r="A777" s="4">
        <v>773</v>
      </c>
      <c r="B777" s="5" t="s">
        <v>3064</v>
      </c>
      <c r="C777" s="5" t="s">
        <v>3095</v>
      </c>
      <c r="D777" s="5" t="s">
        <v>3096</v>
      </c>
      <c r="E777" s="6" t="s">
        <v>3097</v>
      </c>
      <c r="F777" s="7" t="s">
        <v>21</v>
      </c>
      <c r="G777" s="5" t="s">
        <v>29</v>
      </c>
      <c r="H777" s="8"/>
      <c r="I777" s="9"/>
      <c r="J777" s="9" t="s">
        <v>23</v>
      </c>
      <c r="K777" s="8"/>
      <c r="L777" s="9"/>
      <c r="M777" s="10" t="s">
        <v>3098</v>
      </c>
      <c r="N777" s="11" t="s">
        <v>3099</v>
      </c>
      <c r="O777" s="12" t="s">
        <v>26</v>
      </c>
    </row>
    <row r="778" spans="1:15">
      <c r="A778" s="4">
        <v>774</v>
      </c>
      <c r="B778" s="5" t="s">
        <v>3064</v>
      </c>
      <c r="C778" s="5" t="s">
        <v>3100</v>
      </c>
      <c r="D778" s="5" t="s">
        <v>3101</v>
      </c>
      <c r="E778" s="6" t="s">
        <v>3102</v>
      </c>
      <c r="F778" s="7" t="s">
        <v>21</v>
      </c>
      <c r="G778" s="5" t="s">
        <v>22</v>
      </c>
      <c r="H778" s="8"/>
      <c r="I778" s="9"/>
      <c r="J778" s="9" t="s">
        <v>23</v>
      </c>
      <c r="K778" s="8"/>
      <c r="L778" s="9"/>
      <c r="M778" s="10" t="s">
        <v>370</v>
      </c>
      <c r="N778" s="11" t="s">
        <v>3103</v>
      </c>
      <c r="O778" s="12" t="s">
        <v>26</v>
      </c>
    </row>
    <row r="779" spans="1:15">
      <c r="A779" s="4">
        <v>775</v>
      </c>
      <c r="B779" s="5" t="s">
        <v>3064</v>
      </c>
      <c r="C779" s="5" t="s">
        <v>3104</v>
      </c>
      <c r="D779" s="5" t="s">
        <v>3105</v>
      </c>
      <c r="E779" s="6" t="s">
        <v>3106</v>
      </c>
      <c r="F779" s="7" t="s">
        <v>21</v>
      </c>
      <c r="G779" s="5" t="s">
        <v>22</v>
      </c>
      <c r="H779" s="8"/>
      <c r="I779" s="9"/>
      <c r="J779" s="9" t="s">
        <v>23</v>
      </c>
      <c r="K779" s="8"/>
      <c r="L779" s="9"/>
      <c r="M779" s="10" t="s">
        <v>361</v>
      </c>
      <c r="N779" s="11" t="s">
        <v>3107</v>
      </c>
      <c r="O779" s="12" t="s">
        <v>26</v>
      </c>
    </row>
    <row r="780" spans="1:15">
      <c r="A780" s="4">
        <v>776</v>
      </c>
      <c r="B780" s="5" t="s">
        <v>3064</v>
      </c>
      <c r="C780" s="5" t="s">
        <v>3077</v>
      </c>
      <c r="D780" s="5" t="s">
        <v>3108</v>
      </c>
      <c r="E780" s="6" t="s">
        <v>3109</v>
      </c>
      <c r="F780" s="7" t="s">
        <v>21</v>
      </c>
      <c r="G780" s="5" t="s">
        <v>22</v>
      </c>
      <c r="H780" s="8"/>
      <c r="I780" s="9"/>
      <c r="J780" s="9" t="s">
        <v>23</v>
      </c>
      <c r="K780" s="8"/>
      <c r="L780" s="9"/>
      <c r="M780" s="10" t="s">
        <v>3110</v>
      </c>
      <c r="N780" s="11" t="s">
        <v>3111</v>
      </c>
      <c r="O780" s="12" t="s">
        <v>26</v>
      </c>
    </row>
    <row r="781" spans="1:15">
      <c r="A781" s="4">
        <v>777</v>
      </c>
      <c r="B781" s="5" t="s">
        <v>3064</v>
      </c>
      <c r="C781" s="5" t="s">
        <v>3112</v>
      </c>
      <c r="D781" s="5" t="s">
        <v>3113</v>
      </c>
      <c r="E781" s="6" t="s">
        <v>3114</v>
      </c>
      <c r="F781" s="7" t="s">
        <v>21</v>
      </c>
      <c r="G781" s="5" t="s">
        <v>29</v>
      </c>
      <c r="H781" s="8"/>
      <c r="I781" s="9"/>
      <c r="J781" s="9" t="s">
        <v>23</v>
      </c>
      <c r="K781" s="8"/>
      <c r="L781" s="9"/>
      <c r="M781" s="10" t="s">
        <v>3115</v>
      </c>
      <c r="N781" s="11" t="s">
        <v>3116</v>
      </c>
      <c r="O781" s="12" t="s">
        <v>26</v>
      </c>
    </row>
    <row r="782" spans="1:15">
      <c r="A782" s="4">
        <v>778</v>
      </c>
      <c r="B782" s="5" t="s">
        <v>3064</v>
      </c>
      <c r="C782" s="5" t="s">
        <v>3086</v>
      </c>
      <c r="D782" s="5" t="s">
        <v>3117</v>
      </c>
      <c r="E782" s="6" t="s">
        <v>3118</v>
      </c>
      <c r="F782" s="7" t="s">
        <v>21</v>
      </c>
      <c r="G782" s="5" t="s">
        <v>29</v>
      </c>
      <c r="H782" s="8"/>
      <c r="I782" s="9"/>
      <c r="J782" s="9" t="s">
        <v>23</v>
      </c>
      <c r="K782" s="8"/>
      <c r="L782" s="9"/>
      <c r="M782" s="10" t="s">
        <v>370</v>
      </c>
      <c r="N782" s="11" t="s">
        <v>3119</v>
      </c>
      <c r="O782" s="12" t="s">
        <v>26</v>
      </c>
    </row>
    <row r="783" spans="1:15">
      <c r="A783" s="4">
        <v>779</v>
      </c>
      <c r="B783" s="5" t="s">
        <v>3064</v>
      </c>
      <c r="C783" s="5" t="s">
        <v>3120</v>
      </c>
      <c r="D783" s="5" t="s">
        <v>3121</v>
      </c>
      <c r="E783" s="6" t="s">
        <v>3122</v>
      </c>
      <c r="F783" s="7" t="s">
        <v>21</v>
      </c>
      <c r="G783" s="5" t="s">
        <v>22</v>
      </c>
      <c r="H783" s="8"/>
      <c r="I783" s="9"/>
      <c r="J783" s="9" t="s">
        <v>23</v>
      </c>
      <c r="K783" s="8"/>
      <c r="L783" s="9"/>
      <c r="M783" s="10" t="s">
        <v>3123</v>
      </c>
      <c r="N783" s="11" t="s">
        <v>3124</v>
      </c>
      <c r="O783" s="12" t="s">
        <v>26</v>
      </c>
    </row>
    <row r="784" spans="1:15">
      <c r="A784" s="4">
        <v>780</v>
      </c>
      <c r="B784" s="5" t="s">
        <v>3064</v>
      </c>
      <c r="C784" s="5" t="s">
        <v>3125</v>
      </c>
      <c r="D784" s="5" t="s">
        <v>3126</v>
      </c>
      <c r="E784" s="6" t="s">
        <v>3127</v>
      </c>
      <c r="F784" s="13" t="s">
        <v>34</v>
      </c>
      <c r="G784" s="5" t="s">
        <v>29</v>
      </c>
      <c r="H784" s="8"/>
      <c r="I784" s="9"/>
      <c r="J784" s="9" t="s">
        <v>23</v>
      </c>
      <c r="K784" s="8"/>
      <c r="L784" s="9"/>
      <c r="M784" s="10" t="s">
        <v>3128</v>
      </c>
      <c r="N784" s="11" t="s">
        <v>3129</v>
      </c>
      <c r="O784" s="12" t="s">
        <v>26</v>
      </c>
    </row>
    <row r="785" spans="1:15">
      <c r="A785" s="4">
        <v>781</v>
      </c>
      <c r="B785" s="5" t="s">
        <v>3064</v>
      </c>
      <c r="C785" s="5" t="s">
        <v>3130</v>
      </c>
      <c r="D785" s="5" t="s">
        <v>3131</v>
      </c>
      <c r="E785" s="6" t="s">
        <v>3132</v>
      </c>
      <c r="F785" s="13" t="s">
        <v>34</v>
      </c>
      <c r="G785" s="5" t="s">
        <v>22</v>
      </c>
      <c r="H785" s="8"/>
      <c r="I785" s="9"/>
      <c r="J785" s="9" t="s">
        <v>23</v>
      </c>
      <c r="K785" s="8"/>
      <c r="L785" s="9"/>
      <c r="M785" s="10" t="s">
        <v>3133</v>
      </c>
      <c r="N785" s="11" t="s">
        <v>3134</v>
      </c>
      <c r="O785" s="12" t="s">
        <v>26</v>
      </c>
    </row>
    <row r="786" spans="1:15">
      <c r="A786" s="4">
        <v>782</v>
      </c>
      <c r="B786" s="5" t="s">
        <v>3064</v>
      </c>
      <c r="C786" s="5" t="s">
        <v>3120</v>
      </c>
      <c r="D786" s="5" t="s">
        <v>3135</v>
      </c>
      <c r="E786" s="6" t="s">
        <v>3136</v>
      </c>
      <c r="F786" s="7" t="s">
        <v>21</v>
      </c>
      <c r="G786" s="5" t="s">
        <v>29</v>
      </c>
      <c r="H786" s="8"/>
      <c r="I786" s="9"/>
      <c r="J786" s="9" t="s">
        <v>23</v>
      </c>
      <c r="K786" s="8"/>
      <c r="L786" s="9"/>
      <c r="M786" s="10" t="s">
        <v>361</v>
      </c>
      <c r="N786" s="11" t="s">
        <v>3137</v>
      </c>
      <c r="O786" s="12" t="s">
        <v>26</v>
      </c>
    </row>
    <row r="787" spans="1:15">
      <c r="A787" s="4">
        <v>783</v>
      </c>
      <c r="B787" s="5" t="s">
        <v>3064</v>
      </c>
      <c r="C787" s="5" t="s">
        <v>3138</v>
      </c>
      <c r="D787" s="5" t="s">
        <v>3139</v>
      </c>
      <c r="E787" s="6" t="s">
        <v>3140</v>
      </c>
      <c r="F787" s="7" t="s">
        <v>21</v>
      </c>
      <c r="G787" s="5" t="s">
        <v>29</v>
      </c>
      <c r="H787" s="8"/>
      <c r="I787" s="9"/>
      <c r="J787" s="9" t="s">
        <v>23</v>
      </c>
      <c r="K787" s="8"/>
      <c r="L787" s="9"/>
      <c r="M787" s="10" t="s">
        <v>3141</v>
      </c>
      <c r="N787" s="11" t="s">
        <v>3142</v>
      </c>
      <c r="O787" s="12" t="s">
        <v>26</v>
      </c>
    </row>
    <row r="788" spans="1:15">
      <c r="A788" s="4">
        <v>784</v>
      </c>
      <c r="B788" s="5" t="s">
        <v>3064</v>
      </c>
      <c r="C788" s="5" t="s">
        <v>3069</v>
      </c>
      <c r="D788" s="5" t="s">
        <v>3143</v>
      </c>
      <c r="E788" s="6" t="s">
        <v>3144</v>
      </c>
      <c r="F788" s="7" t="s">
        <v>21</v>
      </c>
      <c r="G788" s="5" t="s">
        <v>22</v>
      </c>
      <c r="H788" s="8"/>
      <c r="I788" s="9"/>
      <c r="J788" s="9" t="s">
        <v>23</v>
      </c>
      <c r="K788" s="8"/>
      <c r="L788" s="9"/>
      <c r="M788" s="10" t="s">
        <v>370</v>
      </c>
      <c r="N788" s="11" t="s">
        <v>3145</v>
      </c>
      <c r="O788" s="12" t="s">
        <v>26</v>
      </c>
    </row>
    <row r="789" spans="1:15">
      <c r="A789" s="4">
        <v>785</v>
      </c>
      <c r="B789" s="5" t="s">
        <v>3064</v>
      </c>
      <c r="C789" s="5" t="s">
        <v>3146</v>
      </c>
      <c r="D789" s="5" t="s">
        <v>3147</v>
      </c>
      <c r="E789" s="6" t="s">
        <v>3148</v>
      </c>
      <c r="F789" s="7" t="s">
        <v>21</v>
      </c>
      <c r="G789" s="5" t="s">
        <v>22</v>
      </c>
      <c r="H789" s="8"/>
      <c r="I789" s="9"/>
      <c r="J789" s="9" t="s">
        <v>23</v>
      </c>
      <c r="K789" s="8"/>
      <c r="L789" s="9"/>
      <c r="M789" s="10" t="s">
        <v>361</v>
      </c>
      <c r="N789" s="11" t="s">
        <v>3149</v>
      </c>
      <c r="O789" s="12" t="s">
        <v>26</v>
      </c>
    </row>
    <row r="790" spans="1:15">
      <c r="A790" s="4">
        <v>786</v>
      </c>
      <c r="B790" s="5" t="s">
        <v>3064</v>
      </c>
      <c r="C790" s="5" t="s">
        <v>3150</v>
      </c>
      <c r="D790" s="5" t="s">
        <v>3151</v>
      </c>
      <c r="E790" s="6" t="s">
        <v>3152</v>
      </c>
      <c r="F790" s="7" t="s">
        <v>21</v>
      </c>
      <c r="G790" s="5" t="s">
        <v>22</v>
      </c>
      <c r="H790" s="8"/>
      <c r="I790" s="9"/>
      <c r="J790" s="9" t="s">
        <v>23</v>
      </c>
      <c r="K790" s="8"/>
      <c r="L790" s="9"/>
      <c r="M790" s="10" t="s">
        <v>3153</v>
      </c>
      <c r="N790" s="11" t="s">
        <v>3154</v>
      </c>
      <c r="O790" s="12" t="s">
        <v>26</v>
      </c>
    </row>
    <row r="791" spans="1:15">
      <c r="A791" s="4">
        <v>787</v>
      </c>
      <c r="B791" s="5" t="s">
        <v>3064</v>
      </c>
      <c r="C791" s="5" t="s">
        <v>3155</v>
      </c>
      <c r="D791" s="5" t="s">
        <v>3156</v>
      </c>
      <c r="E791" s="6" t="s">
        <v>3157</v>
      </c>
      <c r="F791" s="7" t="s">
        <v>21</v>
      </c>
      <c r="G791" s="5" t="s">
        <v>22</v>
      </c>
      <c r="H791" s="8"/>
      <c r="I791" s="9"/>
      <c r="J791" s="9" t="s">
        <v>23</v>
      </c>
      <c r="K791" s="8"/>
      <c r="L791" s="9"/>
      <c r="M791" s="10" t="s">
        <v>370</v>
      </c>
      <c r="N791" s="11" t="s">
        <v>3158</v>
      </c>
      <c r="O791" s="12" t="s">
        <v>26</v>
      </c>
    </row>
    <row r="792" spans="1:15">
      <c r="A792" s="4">
        <v>788</v>
      </c>
      <c r="B792" s="5" t="s">
        <v>3064</v>
      </c>
      <c r="C792" s="5" t="s">
        <v>3159</v>
      </c>
      <c r="D792" s="5" t="s">
        <v>3160</v>
      </c>
      <c r="E792" s="6" t="s">
        <v>3161</v>
      </c>
      <c r="F792" s="7" t="s">
        <v>21</v>
      </c>
      <c r="G792" s="5" t="s">
        <v>22</v>
      </c>
      <c r="H792" s="8"/>
      <c r="I792" s="9"/>
      <c r="J792" s="9" t="s">
        <v>23</v>
      </c>
      <c r="K792" s="8"/>
      <c r="L792" s="9"/>
      <c r="M792" s="10" t="s">
        <v>361</v>
      </c>
      <c r="N792" s="11" t="s">
        <v>3162</v>
      </c>
      <c r="O792" s="12" t="s">
        <v>26</v>
      </c>
    </row>
    <row r="793" spans="1:15">
      <c r="A793" s="4">
        <v>789</v>
      </c>
      <c r="B793" s="5" t="s">
        <v>3064</v>
      </c>
      <c r="C793" s="5" t="s">
        <v>3146</v>
      </c>
      <c r="D793" s="5" t="s">
        <v>3163</v>
      </c>
      <c r="E793" s="6" t="s">
        <v>3164</v>
      </c>
      <c r="F793" s="7" t="s">
        <v>21</v>
      </c>
      <c r="G793" s="5" t="s">
        <v>22</v>
      </c>
      <c r="H793" s="8"/>
      <c r="I793" s="9"/>
      <c r="J793" s="9" t="s">
        <v>23</v>
      </c>
      <c r="K793" s="8"/>
      <c r="L793" s="9"/>
      <c r="M793" s="10" t="s">
        <v>1320</v>
      </c>
      <c r="N793" s="11" t="s">
        <v>3165</v>
      </c>
      <c r="O793" s="12" t="s">
        <v>26</v>
      </c>
    </row>
    <row r="794" spans="1:15">
      <c r="A794" s="4">
        <v>790</v>
      </c>
      <c r="B794" s="5" t="s">
        <v>3064</v>
      </c>
      <c r="C794" s="5" t="s">
        <v>3138</v>
      </c>
      <c r="D794" s="5" t="s">
        <v>3166</v>
      </c>
      <c r="E794" s="6" t="s">
        <v>3167</v>
      </c>
      <c r="F794" s="7" t="s">
        <v>21</v>
      </c>
      <c r="G794" s="5" t="s">
        <v>22</v>
      </c>
      <c r="H794" s="8"/>
      <c r="I794" s="9"/>
      <c r="J794" s="9" t="s">
        <v>23</v>
      </c>
      <c r="K794" s="8"/>
      <c r="L794" s="9"/>
      <c r="M794" s="10" t="s">
        <v>3168</v>
      </c>
      <c r="N794" s="11" t="s">
        <v>3169</v>
      </c>
      <c r="O794" s="12" t="s">
        <v>26</v>
      </c>
    </row>
    <row r="795" spans="1:15">
      <c r="A795" s="4">
        <v>791</v>
      </c>
      <c r="B795" s="5" t="s">
        <v>3064</v>
      </c>
      <c r="C795" s="5" t="s">
        <v>3170</v>
      </c>
      <c r="D795" s="5" t="s">
        <v>3171</v>
      </c>
      <c r="E795" s="6" t="s">
        <v>3172</v>
      </c>
      <c r="F795" s="7" t="s">
        <v>21</v>
      </c>
      <c r="G795" s="5" t="s">
        <v>22</v>
      </c>
      <c r="H795" s="8"/>
      <c r="I795" s="9"/>
      <c r="J795" s="9" t="s">
        <v>23</v>
      </c>
      <c r="K795" s="8"/>
      <c r="L795" s="9"/>
      <c r="M795" s="10" t="s">
        <v>361</v>
      </c>
      <c r="N795" s="11" t="s">
        <v>3173</v>
      </c>
      <c r="O795" s="12" t="s">
        <v>26</v>
      </c>
    </row>
    <row r="796" spans="1:15">
      <c r="A796" s="4">
        <v>792</v>
      </c>
      <c r="B796" s="5" t="s">
        <v>3064</v>
      </c>
      <c r="C796" s="5" t="s">
        <v>3174</v>
      </c>
      <c r="D796" s="5" t="s">
        <v>3175</v>
      </c>
      <c r="E796" s="6" t="s">
        <v>3176</v>
      </c>
      <c r="F796" s="7" t="s">
        <v>21</v>
      </c>
      <c r="G796" s="5" t="s">
        <v>29</v>
      </c>
      <c r="H796" s="8"/>
      <c r="I796" s="9"/>
      <c r="J796" s="9" t="s">
        <v>23</v>
      </c>
      <c r="K796" s="8"/>
      <c r="L796" s="9"/>
      <c r="M796" s="10" t="s">
        <v>370</v>
      </c>
      <c r="N796" s="11" t="s">
        <v>3177</v>
      </c>
      <c r="O796" s="12" t="s">
        <v>26</v>
      </c>
    </row>
    <row r="797" spans="1:15">
      <c r="A797" s="4">
        <v>793</v>
      </c>
      <c r="B797" s="5" t="s">
        <v>3064</v>
      </c>
      <c r="C797" s="5" t="s">
        <v>3104</v>
      </c>
      <c r="D797" s="5" t="s">
        <v>3178</v>
      </c>
      <c r="E797" s="6" t="s">
        <v>3179</v>
      </c>
      <c r="F797" s="7" t="s">
        <v>21</v>
      </c>
      <c r="G797" s="5" t="s">
        <v>22</v>
      </c>
      <c r="H797" s="8"/>
      <c r="I797" s="9"/>
      <c r="J797" s="9" t="s">
        <v>23</v>
      </c>
      <c r="K797" s="8"/>
      <c r="L797" s="9"/>
      <c r="M797" s="10" t="s">
        <v>3180</v>
      </c>
      <c r="N797" s="11" t="s">
        <v>3181</v>
      </c>
      <c r="O797" s="12" t="s">
        <v>26</v>
      </c>
    </row>
    <row r="798" spans="1:15">
      <c r="A798" s="4">
        <v>794</v>
      </c>
      <c r="B798" s="5" t="s">
        <v>3064</v>
      </c>
      <c r="C798" s="5" t="s">
        <v>3182</v>
      </c>
      <c r="D798" s="5" t="s">
        <v>3183</v>
      </c>
      <c r="E798" s="6" t="s">
        <v>3184</v>
      </c>
      <c r="F798" s="7" t="s">
        <v>21</v>
      </c>
      <c r="G798" s="5" t="s">
        <v>29</v>
      </c>
      <c r="H798" s="8"/>
      <c r="I798" s="9"/>
      <c r="J798" s="9" t="s">
        <v>23</v>
      </c>
      <c r="K798" s="8"/>
      <c r="L798" s="9"/>
      <c r="M798" s="10" t="s">
        <v>2857</v>
      </c>
      <c r="N798" s="11" t="s">
        <v>3185</v>
      </c>
      <c r="O798" s="12" t="s">
        <v>26</v>
      </c>
    </row>
    <row r="799" spans="1:15">
      <c r="A799" s="4">
        <v>795</v>
      </c>
      <c r="B799" s="5" t="s">
        <v>3064</v>
      </c>
      <c r="C799" s="5" t="s">
        <v>3186</v>
      </c>
      <c r="D799" s="5" t="s">
        <v>3187</v>
      </c>
      <c r="E799" s="6" t="s">
        <v>3188</v>
      </c>
      <c r="F799" s="7" t="s">
        <v>21</v>
      </c>
      <c r="G799" s="5" t="s">
        <v>22</v>
      </c>
      <c r="H799" s="8"/>
      <c r="I799" s="9"/>
      <c r="J799" s="9" t="s">
        <v>23</v>
      </c>
      <c r="K799" s="8"/>
      <c r="L799" s="9"/>
      <c r="M799" s="10" t="s">
        <v>3189</v>
      </c>
      <c r="N799" s="11" t="s">
        <v>3190</v>
      </c>
      <c r="O799" s="12" t="s">
        <v>26</v>
      </c>
    </row>
    <row r="800" spans="1:15">
      <c r="A800" s="4">
        <v>796</v>
      </c>
      <c r="B800" s="5" t="s">
        <v>3064</v>
      </c>
      <c r="C800" s="5" t="s">
        <v>3191</v>
      </c>
      <c r="D800" s="5" t="s">
        <v>3192</v>
      </c>
      <c r="E800" s="6" t="s">
        <v>3193</v>
      </c>
      <c r="F800" s="7" t="s">
        <v>21</v>
      </c>
      <c r="G800" s="5" t="s">
        <v>22</v>
      </c>
      <c r="H800" s="8"/>
      <c r="I800" s="9"/>
      <c r="J800" s="9" t="s">
        <v>23</v>
      </c>
      <c r="K800" s="8"/>
      <c r="L800" s="9"/>
      <c r="M800" s="10" t="s">
        <v>2680</v>
      </c>
      <c r="N800" s="11" t="s">
        <v>3194</v>
      </c>
      <c r="O800" s="12" t="s">
        <v>26</v>
      </c>
    </row>
    <row r="801" spans="1:15">
      <c r="A801" s="4">
        <v>797</v>
      </c>
      <c r="B801" s="5" t="s">
        <v>3064</v>
      </c>
      <c r="C801" s="5" t="s">
        <v>3195</v>
      </c>
      <c r="D801" s="5" t="s">
        <v>3196</v>
      </c>
      <c r="E801" s="6" t="s">
        <v>3197</v>
      </c>
      <c r="F801" s="7" t="s">
        <v>21</v>
      </c>
      <c r="G801" s="5" t="s">
        <v>22</v>
      </c>
      <c r="H801" s="8"/>
      <c r="I801" s="9"/>
      <c r="J801" s="9" t="s">
        <v>23</v>
      </c>
      <c r="K801" s="8"/>
      <c r="L801" s="9"/>
      <c r="M801" s="10" t="s">
        <v>3198</v>
      </c>
      <c r="N801" s="11" t="s">
        <v>3199</v>
      </c>
      <c r="O801" s="12" t="s">
        <v>26</v>
      </c>
    </row>
    <row r="802" spans="1:15">
      <c r="A802" s="4">
        <v>798</v>
      </c>
      <c r="B802" s="5" t="s">
        <v>3064</v>
      </c>
      <c r="C802" s="5" t="s">
        <v>3120</v>
      </c>
      <c r="D802" s="5" t="s">
        <v>3200</v>
      </c>
      <c r="E802" s="6" t="s">
        <v>3201</v>
      </c>
      <c r="F802" s="7" t="s">
        <v>21</v>
      </c>
      <c r="G802" s="5" t="s">
        <v>22</v>
      </c>
      <c r="H802" s="8"/>
      <c r="I802" s="9"/>
      <c r="J802" s="9" t="s">
        <v>23</v>
      </c>
      <c r="K802" s="8"/>
      <c r="L802" s="9"/>
      <c r="M802" s="10" t="s">
        <v>3202</v>
      </c>
      <c r="N802" s="11" t="s">
        <v>3203</v>
      </c>
      <c r="O802" s="12" t="s">
        <v>26</v>
      </c>
    </row>
    <row r="803" spans="1:15">
      <c r="A803" s="4">
        <v>799</v>
      </c>
      <c r="B803" s="5" t="s">
        <v>3064</v>
      </c>
      <c r="C803" s="5" t="s">
        <v>3204</v>
      </c>
      <c r="D803" s="5" t="s">
        <v>3205</v>
      </c>
      <c r="E803" s="6" t="s">
        <v>3206</v>
      </c>
      <c r="F803" s="7" t="s">
        <v>21</v>
      </c>
      <c r="G803" s="5" t="s">
        <v>29</v>
      </c>
      <c r="H803" s="8"/>
      <c r="I803" s="9"/>
      <c r="J803" s="9" t="s">
        <v>23</v>
      </c>
      <c r="K803" s="8"/>
      <c r="L803" s="9"/>
      <c r="M803" s="10" t="s">
        <v>3207</v>
      </c>
      <c r="N803" s="11" t="s">
        <v>3208</v>
      </c>
      <c r="O803" s="12" t="s">
        <v>26</v>
      </c>
    </row>
    <row r="804" spans="1:15">
      <c r="A804" s="4">
        <v>800</v>
      </c>
      <c r="B804" s="5" t="s">
        <v>3064</v>
      </c>
      <c r="C804" s="5" t="s">
        <v>3209</v>
      </c>
      <c r="D804" s="5" t="s">
        <v>3210</v>
      </c>
      <c r="E804" s="6" t="s">
        <v>3211</v>
      </c>
      <c r="F804" s="7" t="s">
        <v>21</v>
      </c>
      <c r="G804" s="5" t="s">
        <v>22</v>
      </c>
      <c r="H804" s="8"/>
      <c r="I804" s="9"/>
      <c r="J804" s="9" t="s">
        <v>23</v>
      </c>
      <c r="K804" s="8"/>
      <c r="L804" s="9"/>
      <c r="M804" s="10" t="s">
        <v>361</v>
      </c>
      <c r="N804" s="11" t="s">
        <v>3212</v>
      </c>
      <c r="O804" s="12" t="s">
        <v>26</v>
      </c>
    </row>
    <row r="805" spans="1:15">
      <c r="A805" s="4">
        <v>801</v>
      </c>
      <c r="B805" s="5" t="s">
        <v>3064</v>
      </c>
      <c r="C805" s="5" t="s">
        <v>3213</v>
      </c>
      <c r="D805" s="5" t="s">
        <v>3214</v>
      </c>
      <c r="E805" s="6" t="s">
        <v>3215</v>
      </c>
      <c r="F805" s="7" t="s">
        <v>21</v>
      </c>
      <c r="G805" s="5" t="s">
        <v>22</v>
      </c>
      <c r="H805" s="8"/>
      <c r="I805" s="9"/>
      <c r="J805" s="9" t="s">
        <v>23</v>
      </c>
      <c r="K805" s="8"/>
      <c r="L805" s="9"/>
      <c r="M805" s="10" t="s">
        <v>3216</v>
      </c>
      <c r="N805" s="11" t="s">
        <v>3217</v>
      </c>
      <c r="O805" s="12" t="s">
        <v>26</v>
      </c>
    </row>
    <row r="806" spans="1:15">
      <c r="A806" s="4">
        <v>802</v>
      </c>
      <c r="B806" s="5" t="s">
        <v>3064</v>
      </c>
      <c r="C806" s="5" t="s">
        <v>3209</v>
      </c>
      <c r="D806" s="5" t="s">
        <v>3218</v>
      </c>
      <c r="E806" s="6" t="s">
        <v>3219</v>
      </c>
      <c r="F806" s="7" t="s">
        <v>21</v>
      </c>
      <c r="G806" s="5" t="s">
        <v>22</v>
      </c>
      <c r="H806" s="8"/>
      <c r="I806" s="9"/>
      <c r="J806" s="9" t="s">
        <v>23</v>
      </c>
      <c r="K806" s="8"/>
      <c r="L806" s="9"/>
      <c r="M806" s="10" t="s">
        <v>3220</v>
      </c>
      <c r="N806" s="11" t="s">
        <v>3221</v>
      </c>
      <c r="O806" s="12" t="s">
        <v>26</v>
      </c>
    </row>
    <row r="807" spans="1:15">
      <c r="A807" s="4">
        <v>803</v>
      </c>
      <c r="B807" s="5" t="s">
        <v>3064</v>
      </c>
      <c r="C807" s="5" t="s">
        <v>3130</v>
      </c>
      <c r="D807" s="5" t="s">
        <v>3222</v>
      </c>
      <c r="E807" s="6" t="s">
        <v>3223</v>
      </c>
      <c r="F807" s="7" t="s">
        <v>21</v>
      </c>
      <c r="G807" s="5" t="s">
        <v>29</v>
      </c>
      <c r="H807" s="8"/>
      <c r="I807" s="9"/>
      <c r="J807" s="9" t="s">
        <v>23</v>
      </c>
      <c r="K807" s="8"/>
      <c r="L807" s="9"/>
      <c r="M807" s="10" t="s">
        <v>361</v>
      </c>
      <c r="N807" s="11" t="s">
        <v>3224</v>
      </c>
      <c r="O807" s="12" t="s">
        <v>26</v>
      </c>
    </row>
    <row r="808" spans="1:15">
      <c r="A808" s="4">
        <v>804</v>
      </c>
      <c r="B808" s="5" t="s">
        <v>3064</v>
      </c>
      <c r="C808" s="5" t="s">
        <v>3225</v>
      </c>
      <c r="D808" s="5" t="s">
        <v>3226</v>
      </c>
      <c r="E808" s="6" t="s">
        <v>3227</v>
      </c>
      <c r="F808" s="13" t="s">
        <v>34</v>
      </c>
      <c r="G808" s="5" t="s">
        <v>29</v>
      </c>
      <c r="H808" s="8"/>
      <c r="I808" s="9"/>
      <c r="J808" s="9" t="s">
        <v>23</v>
      </c>
      <c r="K808" s="8"/>
      <c r="L808" s="9"/>
      <c r="M808" s="10" t="s">
        <v>3228</v>
      </c>
      <c r="N808" s="11" t="s">
        <v>3229</v>
      </c>
      <c r="O808" s="12" t="s">
        <v>26</v>
      </c>
    </row>
    <row r="809" spans="1:15">
      <c r="A809" s="4">
        <v>805</v>
      </c>
      <c r="B809" s="5" t="s">
        <v>3064</v>
      </c>
      <c r="C809" s="5" t="s">
        <v>3086</v>
      </c>
      <c r="D809" s="5" t="s">
        <v>3230</v>
      </c>
      <c r="E809" s="6" t="s">
        <v>3231</v>
      </c>
      <c r="F809" s="7" t="s">
        <v>21</v>
      </c>
      <c r="G809" s="5" t="s">
        <v>22</v>
      </c>
      <c r="H809" s="8"/>
      <c r="I809" s="9"/>
      <c r="J809" s="9" t="s">
        <v>23</v>
      </c>
      <c r="K809" s="8"/>
      <c r="L809" s="9"/>
      <c r="M809" s="10" t="s">
        <v>3232</v>
      </c>
      <c r="N809" s="11" t="s">
        <v>3233</v>
      </c>
      <c r="O809" s="12" t="s">
        <v>26</v>
      </c>
    </row>
    <row r="810" spans="1:15">
      <c r="A810" s="4">
        <v>806</v>
      </c>
      <c r="B810" s="5" t="s">
        <v>3064</v>
      </c>
      <c r="C810" s="5" t="s">
        <v>3086</v>
      </c>
      <c r="D810" s="5" t="s">
        <v>3234</v>
      </c>
      <c r="E810" s="6" t="s">
        <v>3235</v>
      </c>
      <c r="F810" s="7" t="s">
        <v>21</v>
      </c>
      <c r="G810" s="5" t="s">
        <v>29</v>
      </c>
      <c r="H810" s="8"/>
      <c r="I810" s="9"/>
      <c r="J810" s="9" t="s">
        <v>23</v>
      </c>
      <c r="K810" s="8"/>
      <c r="L810" s="9"/>
      <c r="M810" s="10" t="s">
        <v>361</v>
      </c>
      <c r="N810" s="11" t="s">
        <v>3236</v>
      </c>
      <c r="O810" s="12" t="s">
        <v>26</v>
      </c>
    </row>
    <row r="811" spans="1:15">
      <c r="A811" s="4">
        <v>807</v>
      </c>
      <c r="B811" s="5" t="s">
        <v>3064</v>
      </c>
      <c r="C811" s="5" t="s">
        <v>3069</v>
      </c>
      <c r="D811" s="5" t="s">
        <v>3237</v>
      </c>
      <c r="E811" s="6" t="s">
        <v>3238</v>
      </c>
      <c r="F811" s="7" t="s">
        <v>21</v>
      </c>
      <c r="G811" s="5" t="s">
        <v>22</v>
      </c>
      <c r="H811" s="8"/>
      <c r="I811" s="9"/>
      <c r="J811" s="9" t="s">
        <v>23</v>
      </c>
      <c r="K811" s="8"/>
      <c r="L811" s="9"/>
      <c r="M811" s="10" t="s">
        <v>100</v>
      </c>
      <c r="N811" s="11" t="s">
        <v>3239</v>
      </c>
      <c r="O811" s="12" t="s">
        <v>26</v>
      </c>
    </row>
    <row r="812" spans="1:15">
      <c r="A812" s="4">
        <v>808</v>
      </c>
      <c r="B812" s="5" t="s">
        <v>3064</v>
      </c>
      <c r="C812" s="5" t="s">
        <v>3086</v>
      </c>
      <c r="D812" s="5" t="s">
        <v>3240</v>
      </c>
      <c r="E812" s="6" t="s">
        <v>3241</v>
      </c>
      <c r="F812" s="7" t="s">
        <v>21</v>
      </c>
      <c r="G812" s="5" t="s">
        <v>29</v>
      </c>
      <c r="H812" s="8"/>
      <c r="I812" s="9"/>
      <c r="J812" s="9" t="s">
        <v>23</v>
      </c>
      <c r="K812" s="8"/>
      <c r="L812" s="9"/>
      <c r="M812" s="10" t="s">
        <v>1320</v>
      </c>
      <c r="N812" s="11" t="s">
        <v>3242</v>
      </c>
      <c r="O812" s="12" t="s">
        <v>26</v>
      </c>
    </row>
    <row r="813" spans="1:15">
      <c r="A813" s="4">
        <v>809</v>
      </c>
      <c r="B813" s="5" t="s">
        <v>3064</v>
      </c>
      <c r="C813" s="5" t="s">
        <v>3104</v>
      </c>
      <c r="D813" s="5" t="s">
        <v>3243</v>
      </c>
      <c r="E813" s="6" t="s">
        <v>3244</v>
      </c>
      <c r="F813" s="7" t="s">
        <v>21</v>
      </c>
      <c r="G813" s="5" t="s">
        <v>156</v>
      </c>
      <c r="H813" s="8"/>
      <c r="I813" s="9"/>
      <c r="J813" s="9" t="s">
        <v>23</v>
      </c>
      <c r="K813" s="8"/>
      <c r="L813" s="9"/>
      <c r="M813" s="10" t="s">
        <v>3245</v>
      </c>
      <c r="N813" s="11" t="s">
        <v>3246</v>
      </c>
      <c r="O813" s="12" t="s">
        <v>26</v>
      </c>
    </row>
    <row r="814" spans="1:15">
      <c r="A814" s="4">
        <v>810</v>
      </c>
      <c r="B814" s="5" t="s">
        <v>3064</v>
      </c>
      <c r="C814" s="5" t="s">
        <v>3120</v>
      </c>
      <c r="D814" s="5" t="s">
        <v>3247</v>
      </c>
      <c r="E814" s="6" t="s">
        <v>3248</v>
      </c>
      <c r="F814" s="7" t="s">
        <v>21</v>
      </c>
      <c r="G814" s="5" t="s">
        <v>22</v>
      </c>
      <c r="H814" s="8"/>
      <c r="I814" s="9"/>
      <c r="J814" s="9" t="s">
        <v>23</v>
      </c>
      <c r="K814" s="8"/>
      <c r="L814" s="9"/>
      <c r="M814" s="10" t="s">
        <v>3249</v>
      </c>
      <c r="N814" s="11" t="s">
        <v>3250</v>
      </c>
      <c r="O814" s="12" t="s">
        <v>26</v>
      </c>
    </row>
    <row r="815" spans="1:15">
      <c r="A815" s="4">
        <v>811</v>
      </c>
      <c r="B815" s="5" t="s">
        <v>3064</v>
      </c>
      <c r="C815" s="5" t="s">
        <v>3104</v>
      </c>
      <c r="D815" s="5" t="s">
        <v>3251</v>
      </c>
      <c r="E815" s="6" t="s">
        <v>3252</v>
      </c>
      <c r="F815" s="13" t="s">
        <v>34</v>
      </c>
      <c r="G815" s="5" t="s">
        <v>29</v>
      </c>
      <c r="H815" s="8"/>
      <c r="I815" s="9"/>
      <c r="J815" s="9" t="s">
        <v>23</v>
      </c>
      <c r="K815" s="8"/>
      <c r="L815" s="9"/>
      <c r="M815" s="10" t="s">
        <v>3253</v>
      </c>
      <c r="N815" s="11" t="s">
        <v>3254</v>
      </c>
      <c r="O815" s="12" t="s">
        <v>26</v>
      </c>
    </row>
    <row r="816" spans="1:15">
      <c r="A816" s="4">
        <v>812</v>
      </c>
      <c r="B816" s="5" t="s">
        <v>3064</v>
      </c>
      <c r="C816" s="5" t="s">
        <v>3255</v>
      </c>
      <c r="D816" s="5" t="s">
        <v>3256</v>
      </c>
      <c r="E816" s="6" t="s">
        <v>3257</v>
      </c>
      <c r="F816" s="7" t="s">
        <v>21</v>
      </c>
      <c r="G816" s="5" t="s">
        <v>156</v>
      </c>
      <c r="H816" s="8"/>
      <c r="I816" s="9"/>
      <c r="J816" s="9" t="s">
        <v>23</v>
      </c>
      <c r="K816" s="8"/>
      <c r="L816" s="9"/>
      <c r="M816" s="10" t="s">
        <v>361</v>
      </c>
      <c r="N816" s="11" t="s">
        <v>3258</v>
      </c>
      <c r="O816" s="12" t="s">
        <v>26</v>
      </c>
    </row>
    <row r="817" spans="1:15">
      <c r="A817" s="4">
        <v>813</v>
      </c>
      <c r="B817" s="5" t="s">
        <v>3064</v>
      </c>
      <c r="C817" s="5" t="s">
        <v>3104</v>
      </c>
      <c r="D817" s="5" t="s">
        <v>3259</v>
      </c>
      <c r="E817" s="6" t="s">
        <v>3260</v>
      </c>
      <c r="F817" s="7" t="s">
        <v>21</v>
      </c>
      <c r="G817" s="5" t="s">
        <v>22</v>
      </c>
      <c r="H817" s="8"/>
      <c r="I817" s="9"/>
      <c r="J817" s="9" t="s">
        <v>23</v>
      </c>
      <c r="K817" s="8"/>
      <c r="L817" s="9"/>
      <c r="M817" s="10" t="s">
        <v>3261</v>
      </c>
      <c r="N817" s="11" t="s">
        <v>3262</v>
      </c>
      <c r="O817" s="12" t="s">
        <v>26</v>
      </c>
    </row>
    <row r="818" spans="1:15">
      <c r="A818" s="4">
        <v>814</v>
      </c>
      <c r="B818" s="5" t="s">
        <v>3064</v>
      </c>
      <c r="C818" s="5" t="s">
        <v>3104</v>
      </c>
      <c r="D818" s="5" t="s">
        <v>3263</v>
      </c>
      <c r="E818" s="6" t="s">
        <v>3264</v>
      </c>
      <c r="F818" s="7" t="s">
        <v>21</v>
      </c>
      <c r="G818" s="5" t="s">
        <v>22</v>
      </c>
      <c r="H818" s="8"/>
      <c r="I818" s="9"/>
      <c r="J818" s="9" t="s">
        <v>23</v>
      </c>
      <c r="K818" s="8"/>
      <c r="L818" s="9"/>
      <c r="M818" s="10" t="s">
        <v>3265</v>
      </c>
      <c r="N818" s="11" t="s">
        <v>3266</v>
      </c>
      <c r="O818" s="12" t="s">
        <v>26</v>
      </c>
    </row>
    <row r="819" spans="1:15">
      <c r="A819" s="4">
        <v>815</v>
      </c>
      <c r="B819" s="5" t="s">
        <v>3064</v>
      </c>
      <c r="C819" s="5" t="s">
        <v>3267</v>
      </c>
      <c r="D819" s="5" t="s">
        <v>3268</v>
      </c>
      <c r="E819" s="6" t="s">
        <v>3269</v>
      </c>
      <c r="F819" s="7" t="s">
        <v>21</v>
      </c>
      <c r="G819" s="5" t="s">
        <v>22</v>
      </c>
      <c r="H819" s="8"/>
      <c r="I819" s="9"/>
      <c r="J819" s="9" t="s">
        <v>23</v>
      </c>
      <c r="K819" s="8"/>
      <c r="L819" s="9"/>
      <c r="M819" s="10" t="s">
        <v>3270</v>
      </c>
      <c r="N819" s="11" t="s">
        <v>3271</v>
      </c>
      <c r="O819" s="12" t="s">
        <v>26</v>
      </c>
    </row>
    <row r="820" spans="1:15">
      <c r="A820" s="4">
        <v>816</v>
      </c>
      <c r="B820" s="5" t="s">
        <v>3064</v>
      </c>
      <c r="C820" s="5" t="s">
        <v>3077</v>
      </c>
      <c r="D820" s="5" t="s">
        <v>3272</v>
      </c>
      <c r="E820" s="6" t="s">
        <v>3273</v>
      </c>
      <c r="F820" s="7" t="s">
        <v>21</v>
      </c>
      <c r="G820" s="5" t="s">
        <v>22</v>
      </c>
      <c r="H820" s="8"/>
      <c r="I820" s="9"/>
      <c r="J820" s="9" t="s">
        <v>23</v>
      </c>
      <c r="K820" s="8"/>
      <c r="L820" s="9"/>
      <c r="M820" s="10" t="s">
        <v>3274</v>
      </c>
      <c r="N820" s="11" t="s">
        <v>3275</v>
      </c>
      <c r="O820" s="12" t="s">
        <v>26</v>
      </c>
    </row>
    <row r="821" spans="1:15">
      <c r="A821" s="4">
        <v>817</v>
      </c>
      <c r="B821" s="5" t="s">
        <v>3064</v>
      </c>
      <c r="C821" s="5" t="s">
        <v>3077</v>
      </c>
      <c r="D821" s="5" t="s">
        <v>3276</v>
      </c>
      <c r="E821" s="6" t="s">
        <v>3277</v>
      </c>
      <c r="F821" s="7" t="s">
        <v>21</v>
      </c>
      <c r="G821" s="5" t="s">
        <v>29</v>
      </c>
      <c r="H821" s="8"/>
      <c r="I821" s="9"/>
      <c r="J821" s="9" t="s">
        <v>23</v>
      </c>
      <c r="K821" s="8"/>
      <c r="L821" s="9"/>
      <c r="M821" s="10" t="s">
        <v>361</v>
      </c>
      <c r="N821" s="11" t="s">
        <v>3278</v>
      </c>
      <c r="O821" s="12" t="s">
        <v>26</v>
      </c>
    </row>
    <row r="822" spans="1:15">
      <c r="A822" s="4">
        <v>818</v>
      </c>
      <c r="B822" s="5" t="s">
        <v>3064</v>
      </c>
      <c r="C822" s="5" t="s">
        <v>3130</v>
      </c>
      <c r="D822" s="5" t="s">
        <v>3279</v>
      </c>
      <c r="E822" s="6" t="s">
        <v>3280</v>
      </c>
      <c r="F822" s="7" t="s">
        <v>21</v>
      </c>
      <c r="G822" s="5" t="s">
        <v>29</v>
      </c>
      <c r="H822" s="8"/>
      <c r="I822" s="9"/>
      <c r="J822" s="9" t="s">
        <v>23</v>
      </c>
      <c r="K822" s="8"/>
      <c r="L822" s="9"/>
      <c r="M822" s="10" t="s">
        <v>361</v>
      </c>
      <c r="N822" s="11" t="s">
        <v>3281</v>
      </c>
      <c r="O822" s="12" t="s">
        <v>26</v>
      </c>
    </row>
    <row r="823" spans="1:15">
      <c r="A823" s="4">
        <v>819</v>
      </c>
      <c r="B823" s="5" t="s">
        <v>3064</v>
      </c>
      <c r="C823" s="5" t="s">
        <v>3282</v>
      </c>
      <c r="D823" s="5" t="s">
        <v>3283</v>
      </c>
      <c r="E823" s="6" t="s">
        <v>3284</v>
      </c>
      <c r="F823" s="7" t="s">
        <v>21</v>
      </c>
      <c r="G823" s="5" t="s">
        <v>22</v>
      </c>
      <c r="H823" s="8"/>
      <c r="I823" s="9"/>
      <c r="J823" s="9" t="s">
        <v>23</v>
      </c>
      <c r="K823" s="8"/>
      <c r="L823" s="9"/>
      <c r="M823" s="10" t="s">
        <v>3285</v>
      </c>
      <c r="N823" s="11" t="s">
        <v>3286</v>
      </c>
      <c r="O823" s="12" t="s">
        <v>26</v>
      </c>
    </row>
    <row r="824" spans="1:15">
      <c r="A824" s="4">
        <v>820</v>
      </c>
      <c r="B824" s="5" t="s">
        <v>3064</v>
      </c>
      <c r="C824" s="5" t="s">
        <v>3225</v>
      </c>
      <c r="D824" s="5" t="s">
        <v>3287</v>
      </c>
      <c r="E824" s="6" t="s">
        <v>3288</v>
      </c>
      <c r="F824" s="7" t="s">
        <v>21</v>
      </c>
      <c r="G824" s="5" t="s">
        <v>485</v>
      </c>
      <c r="H824" s="8"/>
      <c r="I824" s="9"/>
      <c r="J824" s="9" t="s">
        <v>23</v>
      </c>
      <c r="K824" s="8"/>
      <c r="L824" s="9"/>
      <c r="M824" s="10" t="s">
        <v>361</v>
      </c>
      <c r="N824" s="11" t="s">
        <v>3289</v>
      </c>
      <c r="O824" s="12" t="s">
        <v>26</v>
      </c>
    </row>
    <row r="825" spans="1:15">
      <c r="A825" s="4">
        <v>821</v>
      </c>
      <c r="B825" s="5" t="s">
        <v>3290</v>
      </c>
      <c r="C825" s="5" t="s">
        <v>3291</v>
      </c>
      <c r="D825" s="5" t="s">
        <v>3292</v>
      </c>
      <c r="E825" s="6" t="s">
        <v>3293</v>
      </c>
      <c r="F825" s="7" t="s">
        <v>21</v>
      </c>
      <c r="G825" s="5" t="s">
        <v>156</v>
      </c>
      <c r="H825" s="8"/>
      <c r="I825" s="9"/>
      <c r="J825" s="9" t="s">
        <v>23</v>
      </c>
      <c r="K825" s="8"/>
      <c r="L825" s="9"/>
      <c r="M825" s="10" t="s">
        <v>2610</v>
      </c>
      <c r="N825" s="11" t="s">
        <v>3294</v>
      </c>
      <c r="O825" s="12" t="s">
        <v>26</v>
      </c>
    </row>
    <row r="826" spans="1:15">
      <c r="A826" s="4">
        <v>822</v>
      </c>
      <c r="B826" s="5" t="s">
        <v>3290</v>
      </c>
      <c r="C826" s="5" t="s">
        <v>3295</v>
      </c>
      <c r="D826" s="5" t="s">
        <v>3296</v>
      </c>
      <c r="E826" s="6" t="s">
        <v>3297</v>
      </c>
      <c r="F826" s="7" t="s">
        <v>21</v>
      </c>
      <c r="G826" s="5" t="s">
        <v>22</v>
      </c>
      <c r="H826" s="8"/>
      <c r="I826" s="9"/>
      <c r="J826" s="9" t="s">
        <v>23</v>
      </c>
      <c r="K826" s="8"/>
      <c r="L826" s="9"/>
      <c r="M826" s="10" t="s">
        <v>370</v>
      </c>
      <c r="N826" s="11" t="s">
        <v>3298</v>
      </c>
      <c r="O826" s="12" t="s">
        <v>26</v>
      </c>
    </row>
    <row r="827" spans="1:15">
      <c r="A827" s="4">
        <v>823</v>
      </c>
      <c r="B827" s="5" t="s">
        <v>3290</v>
      </c>
      <c r="C827" s="5" t="s">
        <v>3299</v>
      </c>
      <c r="D827" s="5" t="s">
        <v>3300</v>
      </c>
      <c r="E827" s="6" t="s">
        <v>3301</v>
      </c>
      <c r="F827" s="13" t="s">
        <v>34</v>
      </c>
      <c r="G827" s="5" t="s">
        <v>22</v>
      </c>
      <c r="H827" s="8"/>
      <c r="I827" s="9"/>
      <c r="J827" s="9" t="s">
        <v>23</v>
      </c>
      <c r="K827" s="8"/>
      <c r="L827" s="9"/>
      <c r="M827" s="10" t="s">
        <v>3302</v>
      </c>
      <c r="N827" s="11" t="s">
        <v>3303</v>
      </c>
      <c r="O827" s="12" t="s">
        <v>26</v>
      </c>
    </row>
    <row r="828" spans="1:15">
      <c r="A828" s="4">
        <v>824</v>
      </c>
      <c r="B828" s="5" t="s">
        <v>3290</v>
      </c>
      <c r="C828" s="5" t="s">
        <v>3304</v>
      </c>
      <c r="D828" s="5" t="s">
        <v>3305</v>
      </c>
      <c r="E828" s="6" t="s">
        <v>3306</v>
      </c>
      <c r="F828" s="7" t="s">
        <v>21</v>
      </c>
      <c r="G828" s="5" t="s">
        <v>22</v>
      </c>
      <c r="H828" s="8"/>
      <c r="I828" s="9"/>
      <c r="J828" s="9" t="s">
        <v>23</v>
      </c>
      <c r="K828" s="8"/>
      <c r="L828" s="9"/>
      <c r="M828" s="10" t="s">
        <v>3307</v>
      </c>
      <c r="N828" s="11" t="s">
        <v>3308</v>
      </c>
      <c r="O828" s="12" t="s">
        <v>26</v>
      </c>
    </row>
    <row r="829" spans="1:15">
      <c r="A829" s="4">
        <v>825</v>
      </c>
      <c r="B829" s="5" t="s">
        <v>3290</v>
      </c>
      <c r="C829" s="5" t="s">
        <v>3304</v>
      </c>
      <c r="D829" s="5" t="s">
        <v>3309</v>
      </c>
      <c r="E829" s="6" t="s">
        <v>3310</v>
      </c>
      <c r="F829" s="7" t="s">
        <v>21</v>
      </c>
      <c r="G829" s="5" t="s">
        <v>22</v>
      </c>
      <c r="H829" s="8"/>
      <c r="I829" s="9"/>
      <c r="J829" s="9" t="s">
        <v>23</v>
      </c>
      <c r="K829" s="8"/>
      <c r="L829" s="9"/>
      <c r="M829" s="10" t="s">
        <v>3311</v>
      </c>
      <c r="N829" s="11" t="s">
        <v>3312</v>
      </c>
      <c r="O829" s="12" t="s">
        <v>26</v>
      </c>
    </row>
    <row r="830" spans="1:15">
      <c r="A830" s="4">
        <v>826</v>
      </c>
      <c r="B830" s="5" t="s">
        <v>3290</v>
      </c>
      <c r="C830" s="5" t="s">
        <v>3299</v>
      </c>
      <c r="D830" s="5" t="s">
        <v>3313</v>
      </c>
      <c r="E830" s="6" t="s">
        <v>3314</v>
      </c>
      <c r="F830" s="7" t="s">
        <v>21</v>
      </c>
      <c r="G830" s="5" t="s">
        <v>22</v>
      </c>
      <c r="H830" s="8"/>
      <c r="I830" s="9"/>
      <c r="J830" s="9" t="s">
        <v>23</v>
      </c>
      <c r="K830" s="8"/>
      <c r="L830" s="9"/>
      <c r="M830" s="10" t="s">
        <v>3315</v>
      </c>
      <c r="N830" s="11" t="s">
        <v>3316</v>
      </c>
      <c r="O830" s="12" t="s">
        <v>26</v>
      </c>
    </row>
    <row r="831" spans="1:15">
      <c r="A831" s="4">
        <v>827</v>
      </c>
      <c r="B831" s="5" t="s">
        <v>3290</v>
      </c>
      <c r="C831" s="5" t="s">
        <v>3299</v>
      </c>
      <c r="D831" s="5" t="s">
        <v>3317</v>
      </c>
      <c r="E831" s="6" t="s">
        <v>3318</v>
      </c>
      <c r="F831" s="7" t="s">
        <v>21</v>
      </c>
      <c r="G831" s="5" t="s">
        <v>22</v>
      </c>
      <c r="H831" s="8"/>
      <c r="I831" s="9"/>
      <c r="J831" s="9" t="s">
        <v>23</v>
      </c>
      <c r="K831" s="8"/>
      <c r="L831" s="9"/>
      <c r="M831" s="10" t="s">
        <v>1320</v>
      </c>
      <c r="N831" s="11" t="s">
        <v>3319</v>
      </c>
      <c r="O831" s="12" t="s">
        <v>26</v>
      </c>
    </row>
    <row r="832" spans="1:15">
      <c r="A832" s="4">
        <v>828</v>
      </c>
      <c r="B832" s="5" t="s">
        <v>3290</v>
      </c>
      <c r="C832" s="5" t="s">
        <v>3291</v>
      </c>
      <c r="D832" s="5" t="s">
        <v>3320</v>
      </c>
      <c r="E832" s="6" t="s">
        <v>3321</v>
      </c>
      <c r="F832" s="7" t="s">
        <v>21</v>
      </c>
      <c r="G832" s="5" t="s">
        <v>22</v>
      </c>
      <c r="H832" s="8"/>
      <c r="I832" s="9"/>
      <c r="J832" s="9" t="s">
        <v>23</v>
      </c>
      <c r="K832" s="8"/>
      <c r="L832" s="9"/>
      <c r="M832" s="10" t="s">
        <v>3322</v>
      </c>
      <c r="N832" s="11" t="s">
        <v>3323</v>
      </c>
      <c r="O832" s="12" t="s">
        <v>26</v>
      </c>
    </row>
    <row r="833" spans="1:15">
      <c r="A833" s="4">
        <v>829</v>
      </c>
      <c r="B833" s="5" t="s">
        <v>3290</v>
      </c>
      <c r="C833" s="5" t="s">
        <v>3304</v>
      </c>
      <c r="D833" s="5" t="s">
        <v>3324</v>
      </c>
      <c r="E833" s="6" t="s">
        <v>3325</v>
      </c>
      <c r="F833" s="7" t="s">
        <v>21</v>
      </c>
      <c r="G833" s="5" t="s">
        <v>22</v>
      </c>
      <c r="H833" s="8"/>
      <c r="I833" s="9"/>
      <c r="J833" s="9" t="s">
        <v>23</v>
      </c>
      <c r="K833" s="8"/>
      <c r="L833" s="9"/>
      <c r="M833" s="10" t="s">
        <v>361</v>
      </c>
      <c r="N833" s="11" t="s">
        <v>3326</v>
      </c>
      <c r="O833" s="12" t="s">
        <v>26</v>
      </c>
    </row>
    <row r="834" spans="1:15">
      <c r="A834" s="4">
        <v>830</v>
      </c>
      <c r="B834" s="5" t="s">
        <v>3290</v>
      </c>
      <c r="C834" s="5" t="s">
        <v>3291</v>
      </c>
      <c r="D834" s="5" t="s">
        <v>3327</v>
      </c>
      <c r="E834" s="6" t="s">
        <v>3328</v>
      </c>
      <c r="F834" s="7" t="s">
        <v>21</v>
      </c>
      <c r="G834" s="5" t="s">
        <v>22</v>
      </c>
      <c r="H834" s="8"/>
      <c r="I834" s="9"/>
      <c r="J834" s="9" t="s">
        <v>23</v>
      </c>
      <c r="K834" s="8"/>
      <c r="L834" s="9"/>
      <c r="M834" s="10" t="s">
        <v>1320</v>
      </c>
      <c r="N834" s="11" t="s">
        <v>3329</v>
      </c>
      <c r="O834" s="12" t="s">
        <v>26</v>
      </c>
    </row>
    <row r="835" spans="1:15">
      <c r="A835" s="4">
        <v>831</v>
      </c>
      <c r="B835" s="5" t="s">
        <v>3290</v>
      </c>
      <c r="C835" s="5" t="s">
        <v>3330</v>
      </c>
      <c r="D835" s="5" t="s">
        <v>3331</v>
      </c>
      <c r="E835" s="6" t="s">
        <v>3332</v>
      </c>
      <c r="F835" s="7" t="s">
        <v>21</v>
      </c>
      <c r="G835" s="5" t="s">
        <v>22</v>
      </c>
      <c r="H835" s="8"/>
      <c r="I835" s="9"/>
      <c r="J835" s="9" t="s">
        <v>23</v>
      </c>
      <c r="K835" s="8"/>
      <c r="L835" s="9"/>
      <c r="M835" s="10" t="s">
        <v>361</v>
      </c>
      <c r="N835" s="11" t="s">
        <v>3333</v>
      </c>
      <c r="O835" s="12" t="s">
        <v>26</v>
      </c>
    </row>
    <row r="836" spans="1:15">
      <c r="A836" s="4">
        <v>832</v>
      </c>
      <c r="B836" s="5" t="s">
        <v>3290</v>
      </c>
      <c r="C836" s="5" t="s">
        <v>3295</v>
      </c>
      <c r="D836" s="5" t="s">
        <v>3334</v>
      </c>
      <c r="E836" s="6" t="s">
        <v>3335</v>
      </c>
      <c r="F836" s="7" t="s">
        <v>21</v>
      </c>
      <c r="G836" s="5" t="s">
        <v>22</v>
      </c>
      <c r="H836" s="8"/>
      <c r="I836" s="9"/>
      <c r="J836" s="9" t="s">
        <v>23</v>
      </c>
      <c r="K836" s="8"/>
      <c r="L836" s="9"/>
      <c r="M836" s="10" t="s">
        <v>1320</v>
      </c>
      <c r="N836" s="11" t="s">
        <v>3336</v>
      </c>
      <c r="O836" s="12" t="s">
        <v>26</v>
      </c>
    </row>
    <row r="837" spans="1:15">
      <c r="A837" s="4">
        <v>833</v>
      </c>
      <c r="B837" s="5" t="s">
        <v>3290</v>
      </c>
      <c r="C837" s="5" t="s">
        <v>3295</v>
      </c>
      <c r="D837" s="5" t="s">
        <v>3337</v>
      </c>
      <c r="E837" s="6" t="s">
        <v>3338</v>
      </c>
      <c r="F837" s="7" t="s">
        <v>21</v>
      </c>
      <c r="G837" s="5" t="s">
        <v>22</v>
      </c>
      <c r="H837" s="8"/>
      <c r="I837" s="9"/>
      <c r="J837" s="9" t="s">
        <v>23</v>
      </c>
      <c r="K837" s="8"/>
      <c r="L837" s="9"/>
      <c r="M837" s="10" t="s">
        <v>3339</v>
      </c>
      <c r="N837" s="11" t="s">
        <v>3340</v>
      </c>
      <c r="O837" s="12" t="s">
        <v>26</v>
      </c>
    </row>
    <row r="838" spans="1:15">
      <c r="A838" s="4">
        <v>834</v>
      </c>
      <c r="B838" s="5" t="s">
        <v>3290</v>
      </c>
      <c r="C838" s="5" t="s">
        <v>3341</v>
      </c>
      <c r="D838" s="5" t="s">
        <v>3342</v>
      </c>
      <c r="E838" s="6" t="s">
        <v>3343</v>
      </c>
      <c r="F838" s="7" t="s">
        <v>21</v>
      </c>
      <c r="G838" s="5" t="s">
        <v>22</v>
      </c>
      <c r="H838" s="8"/>
      <c r="I838" s="9"/>
      <c r="J838" s="9" t="s">
        <v>23</v>
      </c>
      <c r="K838" s="8"/>
      <c r="L838" s="9"/>
      <c r="M838" s="10" t="s">
        <v>1320</v>
      </c>
      <c r="N838" s="11" t="s">
        <v>3344</v>
      </c>
      <c r="O838" s="12" t="s">
        <v>26</v>
      </c>
    </row>
    <row r="839" spans="1:15">
      <c r="A839" s="4">
        <v>835</v>
      </c>
      <c r="B839" s="5" t="s">
        <v>3290</v>
      </c>
      <c r="C839" s="5" t="s">
        <v>3345</v>
      </c>
      <c r="D839" s="5" t="s">
        <v>3346</v>
      </c>
      <c r="E839" s="6" t="s">
        <v>3347</v>
      </c>
      <c r="F839" s="7" t="s">
        <v>21</v>
      </c>
      <c r="G839" s="5" t="s">
        <v>22</v>
      </c>
      <c r="H839" s="8"/>
      <c r="I839" s="9"/>
      <c r="J839" s="9" t="s">
        <v>23</v>
      </c>
      <c r="K839" s="8"/>
      <c r="L839" s="9"/>
      <c r="M839" s="10" t="s">
        <v>3348</v>
      </c>
      <c r="N839" s="11" t="s">
        <v>3349</v>
      </c>
      <c r="O839" s="12" t="s">
        <v>26</v>
      </c>
    </row>
    <row r="840" spans="1:15">
      <c r="A840" s="4">
        <v>836</v>
      </c>
      <c r="B840" s="5" t="s">
        <v>3290</v>
      </c>
      <c r="C840" s="5" t="s">
        <v>3350</v>
      </c>
      <c r="D840" s="5" t="s">
        <v>3351</v>
      </c>
      <c r="E840" s="6" t="s">
        <v>3352</v>
      </c>
      <c r="F840" s="7" t="s">
        <v>21</v>
      </c>
      <c r="G840" s="5" t="s">
        <v>22</v>
      </c>
      <c r="H840" s="8"/>
      <c r="I840" s="9"/>
      <c r="J840" s="9" t="s">
        <v>23</v>
      </c>
      <c r="K840" s="8"/>
      <c r="L840" s="9"/>
      <c r="M840" s="10" t="s">
        <v>3353</v>
      </c>
      <c r="N840" s="11" t="s">
        <v>3354</v>
      </c>
      <c r="O840" s="12" t="s">
        <v>26</v>
      </c>
    </row>
    <row r="841" spans="1:15">
      <c r="A841" s="4">
        <v>837</v>
      </c>
      <c r="B841" s="5" t="s">
        <v>3290</v>
      </c>
      <c r="C841" s="5" t="s">
        <v>3299</v>
      </c>
      <c r="D841" s="5" t="s">
        <v>3355</v>
      </c>
      <c r="E841" s="6" t="s">
        <v>3356</v>
      </c>
      <c r="F841" s="7" t="s">
        <v>21</v>
      </c>
      <c r="G841" s="5" t="s">
        <v>22</v>
      </c>
      <c r="H841" s="8"/>
      <c r="I841" s="9"/>
      <c r="J841" s="9" t="s">
        <v>23</v>
      </c>
      <c r="K841" s="8"/>
      <c r="L841" s="9"/>
      <c r="M841" s="10" t="s">
        <v>3357</v>
      </c>
      <c r="N841" s="11" t="s">
        <v>3358</v>
      </c>
      <c r="O841" s="12" t="s">
        <v>26</v>
      </c>
    </row>
    <row r="842" spans="1:15">
      <c r="A842" s="4">
        <v>838</v>
      </c>
      <c r="B842" s="5" t="s">
        <v>3290</v>
      </c>
      <c r="C842" s="5" t="s">
        <v>3359</v>
      </c>
      <c r="D842" s="5" t="s">
        <v>3360</v>
      </c>
      <c r="E842" s="6" t="s">
        <v>3361</v>
      </c>
      <c r="F842" s="13" t="s">
        <v>34</v>
      </c>
      <c r="G842" s="5" t="s">
        <v>22</v>
      </c>
      <c r="H842" s="8"/>
      <c r="I842" s="9"/>
      <c r="J842" s="9" t="s">
        <v>23</v>
      </c>
      <c r="K842" s="8"/>
      <c r="L842" s="9"/>
      <c r="M842" s="10" t="s">
        <v>3362</v>
      </c>
      <c r="N842" s="11" t="s">
        <v>3363</v>
      </c>
      <c r="O842" s="12" t="s">
        <v>26</v>
      </c>
    </row>
    <row r="843" spans="1:15">
      <c r="A843" s="4">
        <v>839</v>
      </c>
      <c r="B843" s="5" t="s">
        <v>3364</v>
      </c>
      <c r="C843" s="5" t="s">
        <v>3365</v>
      </c>
      <c r="D843" s="5" t="s">
        <v>3366</v>
      </c>
      <c r="E843" s="6" t="s">
        <v>3367</v>
      </c>
      <c r="F843" s="7" t="s">
        <v>21</v>
      </c>
      <c r="G843" s="5" t="s">
        <v>29</v>
      </c>
      <c r="H843" s="8"/>
      <c r="I843" s="9"/>
      <c r="J843" s="9" t="s">
        <v>23</v>
      </c>
      <c r="K843" s="8"/>
      <c r="L843" s="9"/>
      <c r="M843" s="10" t="s">
        <v>3368</v>
      </c>
      <c r="N843" s="11" t="s">
        <v>3369</v>
      </c>
      <c r="O843" s="12" t="s">
        <v>26</v>
      </c>
    </row>
    <row r="844" spans="1:15">
      <c r="A844" s="4">
        <v>840</v>
      </c>
      <c r="B844" s="5" t="s">
        <v>3364</v>
      </c>
      <c r="C844" s="5" t="s">
        <v>3370</v>
      </c>
      <c r="D844" s="5" t="s">
        <v>3371</v>
      </c>
      <c r="E844" s="6" t="s">
        <v>3372</v>
      </c>
      <c r="F844" s="7" t="s">
        <v>21</v>
      </c>
      <c r="G844" s="5" t="s">
        <v>39</v>
      </c>
      <c r="H844" s="8"/>
      <c r="I844" s="9"/>
      <c r="J844" s="9" t="s">
        <v>23</v>
      </c>
      <c r="K844" s="8"/>
      <c r="L844" s="9"/>
      <c r="M844" s="10" t="s">
        <v>3373</v>
      </c>
      <c r="N844" s="11" t="s">
        <v>3374</v>
      </c>
      <c r="O844" s="12" t="s">
        <v>26</v>
      </c>
    </row>
    <row r="845" spans="1:15">
      <c r="A845" s="4">
        <v>841</v>
      </c>
      <c r="B845" s="5" t="s">
        <v>3364</v>
      </c>
      <c r="C845" s="5" t="s">
        <v>3375</v>
      </c>
      <c r="D845" s="5" t="s">
        <v>3376</v>
      </c>
      <c r="E845" s="6" t="s">
        <v>3377</v>
      </c>
      <c r="F845" s="7" t="s">
        <v>21</v>
      </c>
      <c r="G845" s="5" t="s">
        <v>29</v>
      </c>
      <c r="H845" s="8"/>
      <c r="I845" s="9"/>
      <c r="J845" s="9" t="s">
        <v>23</v>
      </c>
      <c r="K845" s="8"/>
      <c r="L845" s="9"/>
      <c r="M845" s="10" t="s">
        <v>361</v>
      </c>
      <c r="N845" s="11" t="s">
        <v>3378</v>
      </c>
      <c r="O845" s="12" t="s">
        <v>26</v>
      </c>
    </row>
    <row r="846" spans="1:15">
      <c r="A846" s="4">
        <v>842</v>
      </c>
      <c r="B846" s="5" t="s">
        <v>3364</v>
      </c>
      <c r="C846" s="5" t="s">
        <v>3379</v>
      </c>
      <c r="D846" s="5" t="s">
        <v>3380</v>
      </c>
      <c r="E846" s="6" t="s">
        <v>3381</v>
      </c>
      <c r="F846" s="7" t="s">
        <v>21</v>
      </c>
      <c r="G846" s="5" t="s">
        <v>29</v>
      </c>
      <c r="H846" s="8"/>
      <c r="I846" s="9"/>
      <c r="J846" s="9" t="s">
        <v>23</v>
      </c>
      <c r="K846" s="8"/>
      <c r="L846" s="9"/>
      <c r="M846" s="10" t="s">
        <v>370</v>
      </c>
      <c r="N846" s="11" t="s">
        <v>3382</v>
      </c>
      <c r="O846" s="12" t="s">
        <v>26</v>
      </c>
    </row>
    <row r="847" spans="1:15">
      <c r="A847" s="4">
        <v>843</v>
      </c>
      <c r="B847" s="5" t="s">
        <v>3364</v>
      </c>
      <c r="C847" s="5" t="s">
        <v>3365</v>
      </c>
      <c r="D847" s="5" t="s">
        <v>3383</v>
      </c>
      <c r="E847" s="6" t="s">
        <v>3384</v>
      </c>
      <c r="F847" s="7" t="s">
        <v>21</v>
      </c>
      <c r="G847" s="5" t="s">
        <v>22</v>
      </c>
      <c r="H847" s="8"/>
      <c r="I847" s="9"/>
      <c r="J847" s="9" t="s">
        <v>23</v>
      </c>
      <c r="K847" s="8"/>
      <c r="L847" s="9"/>
      <c r="M847" s="10" t="s">
        <v>3385</v>
      </c>
      <c r="N847" s="11" t="s">
        <v>3386</v>
      </c>
      <c r="O847" s="12" t="s">
        <v>26</v>
      </c>
    </row>
    <row r="848" spans="1:15">
      <c r="A848" s="4">
        <v>844</v>
      </c>
      <c r="B848" s="5" t="s">
        <v>3364</v>
      </c>
      <c r="C848" s="5" t="s">
        <v>3387</v>
      </c>
      <c r="D848" s="5" t="s">
        <v>3388</v>
      </c>
      <c r="E848" s="6" t="s">
        <v>3389</v>
      </c>
      <c r="F848" s="7" t="s">
        <v>21</v>
      </c>
      <c r="G848" s="5" t="s">
        <v>22</v>
      </c>
      <c r="H848" s="8"/>
      <c r="I848" s="9"/>
      <c r="J848" s="9" t="s">
        <v>23</v>
      </c>
      <c r="K848" s="8"/>
      <c r="L848" s="9"/>
      <c r="M848" s="10" t="s">
        <v>361</v>
      </c>
      <c r="N848" s="11" t="s">
        <v>3390</v>
      </c>
      <c r="O848" s="12" t="s">
        <v>26</v>
      </c>
    </row>
    <row r="849" spans="1:15">
      <c r="A849" s="4">
        <v>845</v>
      </c>
      <c r="B849" s="5" t="s">
        <v>3364</v>
      </c>
      <c r="C849" s="5" t="s">
        <v>3387</v>
      </c>
      <c r="D849" s="5" t="s">
        <v>3391</v>
      </c>
      <c r="E849" s="6" t="s">
        <v>3392</v>
      </c>
      <c r="F849" s="7" t="s">
        <v>21</v>
      </c>
      <c r="G849" s="5" t="s">
        <v>22</v>
      </c>
      <c r="H849" s="8"/>
      <c r="I849" s="9"/>
      <c r="J849" s="9" t="s">
        <v>23</v>
      </c>
      <c r="K849" s="8"/>
      <c r="L849" s="9"/>
      <c r="M849" s="10" t="s">
        <v>3393</v>
      </c>
      <c r="N849" s="11" t="s">
        <v>3394</v>
      </c>
      <c r="O849" s="12" t="s">
        <v>26</v>
      </c>
    </row>
    <row r="850" spans="1:15">
      <c r="A850" s="4">
        <v>846</v>
      </c>
      <c r="B850" s="5" t="s">
        <v>3364</v>
      </c>
      <c r="C850" s="5" t="s">
        <v>3395</v>
      </c>
      <c r="D850" s="5" t="s">
        <v>3396</v>
      </c>
      <c r="E850" s="6" t="s">
        <v>3397</v>
      </c>
      <c r="F850" s="13" t="s">
        <v>34</v>
      </c>
      <c r="G850" s="5" t="s">
        <v>29</v>
      </c>
      <c r="H850" s="8"/>
      <c r="I850" s="9"/>
      <c r="J850" s="9" t="s">
        <v>23</v>
      </c>
      <c r="K850" s="8"/>
      <c r="L850" s="9"/>
      <c r="M850" s="10" t="s">
        <v>3398</v>
      </c>
      <c r="N850" s="11" t="s">
        <v>3399</v>
      </c>
      <c r="O850" s="12" t="s">
        <v>26</v>
      </c>
    </row>
    <row r="851" spans="1:15">
      <c r="A851" s="4">
        <v>847</v>
      </c>
      <c r="B851" s="5" t="s">
        <v>3364</v>
      </c>
      <c r="C851" s="5" t="s">
        <v>3395</v>
      </c>
      <c r="D851" s="5" t="s">
        <v>3400</v>
      </c>
      <c r="E851" s="6" t="s">
        <v>3401</v>
      </c>
      <c r="F851" s="7" t="s">
        <v>21</v>
      </c>
      <c r="G851" s="5" t="s">
        <v>22</v>
      </c>
      <c r="H851" s="8"/>
      <c r="I851" s="9"/>
      <c r="J851" s="9" t="s">
        <v>23</v>
      </c>
      <c r="K851" s="8"/>
      <c r="L851" s="9"/>
      <c r="M851" s="10" t="s">
        <v>3402</v>
      </c>
      <c r="N851" s="11" t="s">
        <v>3403</v>
      </c>
      <c r="O851" s="12" t="s">
        <v>26</v>
      </c>
    </row>
    <row r="852" spans="1:15">
      <c r="A852" s="4">
        <v>848</v>
      </c>
      <c r="B852" s="5" t="s">
        <v>3364</v>
      </c>
      <c r="C852" s="5" t="s">
        <v>3379</v>
      </c>
      <c r="D852" s="5" t="s">
        <v>3404</v>
      </c>
      <c r="E852" s="6" t="s">
        <v>3405</v>
      </c>
      <c r="F852" s="7" t="s">
        <v>21</v>
      </c>
      <c r="G852" s="5" t="s">
        <v>39</v>
      </c>
      <c r="H852" s="8"/>
      <c r="I852" s="9"/>
      <c r="J852" s="9" t="s">
        <v>23</v>
      </c>
      <c r="K852" s="8"/>
      <c r="L852" s="9"/>
      <c r="M852" s="10" t="s">
        <v>3406</v>
      </c>
      <c r="N852" s="11" t="s">
        <v>3407</v>
      </c>
      <c r="O852" s="12" t="s">
        <v>26</v>
      </c>
    </row>
    <row r="853" spans="1:15">
      <c r="A853" s="4">
        <v>849</v>
      </c>
      <c r="B853" s="5" t="s">
        <v>3364</v>
      </c>
      <c r="C853" s="5" t="s">
        <v>3408</v>
      </c>
      <c r="D853" s="5" t="s">
        <v>3409</v>
      </c>
      <c r="E853" s="6" t="s">
        <v>3410</v>
      </c>
      <c r="F853" s="7" t="s">
        <v>21</v>
      </c>
      <c r="G853" s="5" t="s">
        <v>22</v>
      </c>
      <c r="H853" s="8"/>
      <c r="I853" s="9"/>
      <c r="J853" s="9" t="s">
        <v>23</v>
      </c>
      <c r="K853" s="8"/>
      <c r="L853" s="9"/>
      <c r="M853" s="10" t="s">
        <v>3411</v>
      </c>
      <c r="N853" s="11" t="s">
        <v>3412</v>
      </c>
      <c r="O853" s="12" t="s">
        <v>26</v>
      </c>
    </row>
    <row r="854" spans="1:15">
      <c r="A854" s="4">
        <v>850</v>
      </c>
      <c r="B854" s="5" t="s">
        <v>3413</v>
      </c>
      <c r="C854" s="5" t="s">
        <v>3414</v>
      </c>
      <c r="D854" s="5" t="s">
        <v>3415</v>
      </c>
      <c r="E854" s="6" t="s">
        <v>3416</v>
      </c>
      <c r="F854" s="7" t="s">
        <v>21</v>
      </c>
      <c r="G854" s="5" t="s">
        <v>22</v>
      </c>
      <c r="H854" s="8"/>
      <c r="I854" s="9"/>
      <c r="J854" s="9" t="s">
        <v>23</v>
      </c>
      <c r="K854" s="8"/>
      <c r="L854" s="9"/>
      <c r="M854" s="10" t="s">
        <v>3417</v>
      </c>
      <c r="N854" s="11" t="s">
        <v>3418</v>
      </c>
      <c r="O854" s="12" t="s">
        <v>26</v>
      </c>
    </row>
    <row r="855" spans="1:15">
      <c r="A855" s="4">
        <v>851</v>
      </c>
      <c r="B855" s="5" t="s">
        <v>3413</v>
      </c>
      <c r="C855" s="5" t="s">
        <v>3419</v>
      </c>
      <c r="D855" s="5" t="s">
        <v>3420</v>
      </c>
      <c r="E855" s="6" t="s">
        <v>3421</v>
      </c>
      <c r="F855" s="7" t="s">
        <v>21</v>
      </c>
      <c r="G855" s="5" t="s">
        <v>22</v>
      </c>
      <c r="H855" s="8"/>
      <c r="I855" s="9"/>
      <c r="J855" s="9" t="s">
        <v>23</v>
      </c>
      <c r="K855" s="8"/>
      <c r="L855" s="9"/>
      <c r="M855" s="10" t="s">
        <v>3013</v>
      </c>
      <c r="N855" s="11" t="s">
        <v>3422</v>
      </c>
      <c r="O855" s="12" t="s">
        <v>26</v>
      </c>
    </row>
    <row r="856" spans="1:15">
      <c r="A856" s="4">
        <v>852</v>
      </c>
      <c r="B856" s="5" t="s">
        <v>3413</v>
      </c>
      <c r="C856" s="5" t="s">
        <v>3419</v>
      </c>
      <c r="D856" s="5" t="s">
        <v>3423</v>
      </c>
      <c r="E856" s="6" t="s">
        <v>3424</v>
      </c>
      <c r="F856" s="7" t="s">
        <v>21</v>
      </c>
      <c r="G856" s="5" t="s">
        <v>22</v>
      </c>
      <c r="H856" s="8"/>
      <c r="I856" s="9"/>
      <c r="J856" s="9" t="s">
        <v>23</v>
      </c>
      <c r="K856" s="8"/>
      <c r="L856" s="9"/>
      <c r="M856" s="10" t="s">
        <v>370</v>
      </c>
      <c r="N856" s="11" t="s">
        <v>3425</v>
      </c>
      <c r="O856" s="12" t="s">
        <v>26</v>
      </c>
    </row>
    <row r="857" spans="1:15">
      <c r="A857" s="4">
        <v>853</v>
      </c>
      <c r="B857" s="5" t="s">
        <v>3413</v>
      </c>
      <c r="C857" s="5" t="s">
        <v>3426</v>
      </c>
      <c r="D857" s="5" t="s">
        <v>3427</v>
      </c>
      <c r="E857" s="6" t="s">
        <v>3428</v>
      </c>
      <c r="F857" s="7" t="s">
        <v>21</v>
      </c>
      <c r="G857" s="5" t="s">
        <v>22</v>
      </c>
      <c r="H857" s="8"/>
      <c r="I857" s="9"/>
      <c r="J857" s="9" t="s">
        <v>23</v>
      </c>
      <c r="K857" s="8"/>
      <c r="L857" s="9"/>
      <c r="M857" s="10" t="s">
        <v>361</v>
      </c>
      <c r="N857" s="11" t="s">
        <v>3429</v>
      </c>
      <c r="O857" s="12" t="s">
        <v>26</v>
      </c>
    </row>
    <row r="858" spans="1:15">
      <c r="A858" s="4">
        <v>854</v>
      </c>
      <c r="B858" s="5" t="s">
        <v>3413</v>
      </c>
      <c r="C858" s="5" t="s">
        <v>3430</v>
      </c>
      <c r="D858" s="5" t="s">
        <v>3431</v>
      </c>
      <c r="E858" s="6" t="s">
        <v>3432</v>
      </c>
      <c r="F858" s="7" t="s">
        <v>21</v>
      </c>
      <c r="G858" s="5" t="s">
        <v>22</v>
      </c>
      <c r="H858" s="8"/>
      <c r="I858" s="9"/>
      <c r="J858" s="9" t="s">
        <v>23</v>
      </c>
      <c r="K858" s="8"/>
      <c r="L858" s="9"/>
      <c r="M858" s="10" t="s">
        <v>3433</v>
      </c>
      <c r="N858" s="11" t="s">
        <v>3434</v>
      </c>
      <c r="O858" s="12" t="s">
        <v>26</v>
      </c>
    </row>
    <row r="859" spans="1:15">
      <c r="A859" s="4">
        <v>855</v>
      </c>
      <c r="B859" s="5" t="s">
        <v>3413</v>
      </c>
      <c r="C859" s="5" t="s">
        <v>3435</v>
      </c>
      <c r="D859" s="5" t="s">
        <v>3436</v>
      </c>
      <c r="E859" s="6" t="s">
        <v>3437</v>
      </c>
      <c r="F859" s="7" t="s">
        <v>21</v>
      </c>
      <c r="G859" s="5" t="s">
        <v>22</v>
      </c>
      <c r="H859" s="8"/>
      <c r="I859" s="9"/>
      <c r="J859" s="9" t="s">
        <v>23</v>
      </c>
      <c r="K859" s="8"/>
      <c r="L859" s="9"/>
      <c r="M859" s="10" t="s">
        <v>253</v>
      </c>
      <c r="N859" s="11" t="s">
        <v>3438</v>
      </c>
      <c r="O859" s="12" t="s">
        <v>26</v>
      </c>
    </row>
    <row r="860" spans="1:15">
      <c r="A860" s="4">
        <v>856</v>
      </c>
      <c r="B860" s="5" t="s">
        <v>3413</v>
      </c>
      <c r="C860" s="5" t="s">
        <v>3439</v>
      </c>
      <c r="D860" s="5" t="s">
        <v>3440</v>
      </c>
      <c r="E860" s="6" t="s">
        <v>3441</v>
      </c>
      <c r="F860" s="7" t="s">
        <v>21</v>
      </c>
      <c r="G860" s="5" t="s">
        <v>156</v>
      </c>
      <c r="H860" s="8"/>
      <c r="I860" s="9"/>
      <c r="J860" s="9" t="s">
        <v>23</v>
      </c>
      <c r="K860" s="8"/>
      <c r="L860" s="9"/>
      <c r="M860" s="10" t="s">
        <v>3442</v>
      </c>
      <c r="N860" s="11" t="s">
        <v>3443</v>
      </c>
      <c r="O860" s="12" t="s">
        <v>26</v>
      </c>
    </row>
    <row r="861" spans="1:15">
      <c r="A861" s="4">
        <v>857</v>
      </c>
      <c r="B861" s="5" t="s">
        <v>3413</v>
      </c>
      <c r="C861" s="5" t="s">
        <v>3444</v>
      </c>
      <c r="D861" s="5" t="s">
        <v>3445</v>
      </c>
      <c r="E861" s="6" t="s">
        <v>3446</v>
      </c>
      <c r="F861" s="13" t="s">
        <v>34</v>
      </c>
      <c r="G861" s="5" t="s">
        <v>22</v>
      </c>
      <c r="H861" s="8"/>
      <c r="I861" s="9"/>
      <c r="J861" s="9" t="s">
        <v>23</v>
      </c>
      <c r="K861" s="8"/>
      <c r="L861" s="9"/>
      <c r="M861" s="10" t="s">
        <v>3447</v>
      </c>
      <c r="N861" s="11" t="s">
        <v>3448</v>
      </c>
      <c r="O861" s="12" t="s">
        <v>26</v>
      </c>
    </row>
    <row r="862" spans="1:15">
      <c r="A862" s="4">
        <v>858</v>
      </c>
      <c r="B862" s="5" t="s">
        <v>3413</v>
      </c>
      <c r="C862" s="5" t="s">
        <v>3426</v>
      </c>
      <c r="D862" s="5" t="s">
        <v>3449</v>
      </c>
      <c r="E862" s="6" t="s">
        <v>3450</v>
      </c>
      <c r="F862" s="13" t="s">
        <v>34</v>
      </c>
      <c r="G862" s="5" t="s">
        <v>29</v>
      </c>
      <c r="H862" s="8"/>
      <c r="I862" s="9"/>
      <c r="J862" s="9" t="s">
        <v>23</v>
      </c>
      <c r="K862" s="8"/>
      <c r="L862" s="9"/>
      <c r="M862" s="10" t="s">
        <v>3451</v>
      </c>
      <c r="N862" s="11" t="s">
        <v>3452</v>
      </c>
      <c r="O862" s="12" t="s">
        <v>26</v>
      </c>
    </row>
    <row r="863" spans="1:15">
      <c r="A863" s="4">
        <v>859</v>
      </c>
      <c r="B863" s="5" t="s">
        <v>3413</v>
      </c>
      <c r="C863" s="5" t="s">
        <v>3453</v>
      </c>
      <c r="D863" s="5" t="s">
        <v>3454</v>
      </c>
      <c r="E863" s="6" t="s">
        <v>3455</v>
      </c>
      <c r="F863" s="7" t="s">
        <v>21</v>
      </c>
      <c r="G863" s="5" t="s">
        <v>22</v>
      </c>
      <c r="H863" s="8"/>
      <c r="I863" s="9"/>
      <c r="J863" s="9" t="s">
        <v>23</v>
      </c>
      <c r="K863" s="8"/>
      <c r="L863" s="9"/>
      <c r="M863" s="10" t="s">
        <v>370</v>
      </c>
      <c r="N863" s="11" t="s">
        <v>3456</v>
      </c>
      <c r="O863" s="12" t="s">
        <v>26</v>
      </c>
    </row>
    <row r="864" spans="1:15">
      <c r="A864" s="4">
        <v>860</v>
      </c>
      <c r="B864" s="5" t="s">
        <v>3413</v>
      </c>
      <c r="C864" s="5" t="s">
        <v>3419</v>
      </c>
      <c r="D864" s="5" t="s">
        <v>3457</v>
      </c>
      <c r="E864" s="6" t="s">
        <v>3458</v>
      </c>
      <c r="F864" s="7" t="s">
        <v>21</v>
      </c>
      <c r="G864" s="5" t="s">
        <v>22</v>
      </c>
      <c r="H864" s="8"/>
      <c r="I864" s="9"/>
      <c r="J864" s="9" t="s">
        <v>23</v>
      </c>
      <c r="K864" s="8"/>
      <c r="L864" s="9"/>
      <c r="M864" s="10" t="s">
        <v>1320</v>
      </c>
      <c r="N864" s="11" t="s">
        <v>3459</v>
      </c>
      <c r="O864" s="12" t="s">
        <v>26</v>
      </c>
    </row>
    <row r="865" spans="1:15">
      <c r="A865" s="4">
        <v>861</v>
      </c>
      <c r="B865" s="5" t="s">
        <v>3413</v>
      </c>
      <c r="C865" s="5" t="s">
        <v>3460</v>
      </c>
      <c r="D865" s="5" t="s">
        <v>3461</v>
      </c>
      <c r="E865" s="6" t="s">
        <v>3462</v>
      </c>
      <c r="F865" s="7" t="s">
        <v>21</v>
      </c>
      <c r="G865" s="5" t="s">
        <v>22</v>
      </c>
      <c r="H865" s="8"/>
      <c r="I865" s="9"/>
      <c r="J865" s="9" t="s">
        <v>23</v>
      </c>
      <c r="K865" s="8"/>
      <c r="L865" s="9"/>
      <c r="M865" s="10" t="s">
        <v>3463</v>
      </c>
      <c r="N865" s="11" t="s">
        <v>3464</v>
      </c>
      <c r="O865" s="12" t="s">
        <v>26</v>
      </c>
    </row>
    <row r="866" spans="1:15">
      <c r="A866" s="4">
        <v>862</v>
      </c>
      <c r="B866" s="5" t="s">
        <v>3413</v>
      </c>
      <c r="C866" s="5" t="s">
        <v>3439</v>
      </c>
      <c r="D866" s="5" t="s">
        <v>3465</v>
      </c>
      <c r="E866" s="6" t="s">
        <v>3466</v>
      </c>
      <c r="F866" s="7" t="s">
        <v>21</v>
      </c>
      <c r="G866" s="5" t="s">
        <v>22</v>
      </c>
      <c r="H866" s="8"/>
      <c r="I866" s="9"/>
      <c r="J866" s="9" t="s">
        <v>23</v>
      </c>
      <c r="K866" s="8"/>
      <c r="L866" s="9"/>
      <c r="M866" s="10" t="s">
        <v>361</v>
      </c>
      <c r="N866" s="11" t="s">
        <v>3467</v>
      </c>
      <c r="O866" s="12" t="s">
        <v>26</v>
      </c>
    </row>
    <row r="867" spans="1:15">
      <c r="A867" s="4">
        <v>863</v>
      </c>
      <c r="B867" s="5" t="s">
        <v>3413</v>
      </c>
      <c r="C867" s="5" t="s">
        <v>3419</v>
      </c>
      <c r="D867" s="5" t="s">
        <v>3468</v>
      </c>
      <c r="E867" s="6" t="s">
        <v>3469</v>
      </c>
      <c r="F867" s="7" t="s">
        <v>21</v>
      </c>
      <c r="G867" s="5" t="s">
        <v>29</v>
      </c>
      <c r="H867" s="8"/>
      <c r="I867" s="9"/>
      <c r="J867" s="9" t="s">
        <v>23</v>
      </c>
      <c r="K867" s="8"/>
      <c r="L867" s="9"/>
      <c r="M867" s="10" t="s">
        <v>3470</v>
      </c>
      <c r="N867" s="11" t="s">
        <v>3471</v>
      </c>
      <c r="O867" s="12" t="s">
        <v>26</v>
      </c>
    </row>
    <row r="868" spans="1:15">
      <c r="A868" s="4">
        <v>864</v>
      </c>
      <c r="B868" s="5" t="s">
        <v>3413</v>
      </c>
      <c r="C868" s="5" t="s">
        <v>3444</v>
      </c>
      <c r="D868" s="5" t="s">
        <v>3472</v>
      </c>
      <c r="E868" s="6" t="s">
        <v>3473</v>
      </c>
      <c r="F868" s="7" t="s">
        <v>21</v>
      </c>
      <c r="G868" s="5" t="s">
        <v>22</v>
      </c>
      <c r="H868" s="8"/>
      <c r="I868" s="9"/>
      <c r="J868" s="9" t="s">
        <v>23</v>
      </c>
      <c r="K868" s="8"/>
      <c r="L868" s="9"/>
      <c r="M868" s="10" t="s">
        <v>192</v>
      </c>
      <c r="N868" s="11" t="s">
        <v>3474</v>
      </c>
      <c r="O868" s="12" t="s">
        <v>26</v>
      </c>
    </row>
    <row r="869" spans="1:15">
      <c r="A869" s="4">
        <v>865</v>
      </c>
      <c r="B869" s="5" t="s">
        <v>3413</v>
      </c>
      <c r="C869" s="5" t="s">
        <v>3475</v>
      </c>
      <c r="D869" s="5" t="s">
        <v>3476</v>
      </c>
      <c r="E869" s="6" t="s">
        <v>3477</v>
      </c>
      <c r="F869" s="7" t="s">
        <v>21</v>
      </c>
      <c r="G869" s="5" t="s">
        <v>29</v>
      </c>
      <c r="H869" s="8"/>
      <c r="I869" s="9"/>
      <c r="J869" s="9" t="s">
        <v>23</v>
      </c>
      <c r="K869" s="8"/>
      <c r="L869" s="9"/>
      <c r="M869" s="10" t="s">
        <v>370</v>
      </c>
      <c r="N869" s="11" t="s">
        <v>3478</v>
      </c>
      <c r="O869" s="12" t="s">
        <v>26</v>
      </c>
    </row>
    <row r="870" spans="1:15">
      <c r="A870" s="4">
        <v>866</v>
      </c>
      <c r="B870" s="5" t="s">
        <v>3413</v>
      </c>
      <c r="C870" s="5" t="s">
        <v>3479</v>
      </c>
      <c r="D870" s="5" t="s">
        <v>3480</v>
      </c>
      <c r="E870" s="6" t="s">
        <v>3481</v>
      </c>
      <c r="F870" s="7" t="s">
        <v>21</v>
      </c>
      <c r="G870" s="5" t="s">
        <v>22</v>
      </c>
      <c r="H870" s="8"/>
      <c r="I870" s="9"/>
      <c r="J870" s="9" t="s">
        <v>23</v>
      </c>
      <c r="K870" s="8"/>
      <c r="L870" s="9"/>
      <c r="M870" s="10" t="s">
        <v>370</v>
      </c>
      <c r="N870" s="11" t="s">
        <v>3482</v>
      </c>
      <c r="O870" s="12" t="s">
        <v>26</v>
      </c>
    </row>
    <row r="871" spans="1:15">
      <c r="A871" s="4">
        <v>867</v>
      </c>
      <c r="B871" s="5" t="s">
        <v>3413</v>
      </c>
      <c r="C871" s="5" t="s">
        <v>3483</v>
      </c>
      <c r="D871" s="5" t="s">
        <v>3484</v>
      </c>
      <c r="E871" s="6" t="s">
        <v>3485</v>
      </c>
      <c r="F871" s="7" t="s">
        <v>21</v>
      </c>
      <c r="G871" s="5" t="s">
        <v>22</v>
      </c>
      <c r="H871" s="8"/>
      <c r="I871" s="9"/>
      <c r="J871" s="9" t="s">
        <v>23</v>
      </c>
      <c r="K871" s="8"/>
      <c r="L871" s="9"/>
      <c r="M871" s="10" t="s">
        <v>3075</v>
      </c>
      <c r="N871" s="11" t="s">
        <v>3486</v>
      </c>
      <c r="O871" s="12" t="s">
        <v>26</v>
      </c>
    </row>
    <row r="872" spans="1:15">
      <c r="A872" s="4">
        <v>868</v>
      </c>
      <c r="B872" s="5" t="s">
        <v>3413</v>
      </c>
      <c r="C872" s="5" t="s">
        <v>3426</v>
      </c>
      <c r="D872" s="5" t="s">
        <v>3487</v>
      </c>
      <c r="E872" s="6" t="s">
        <v>3488</v>
      </c>
      <c r="F872" s="7" t="s">
        <v>21</v>
      </c>
      <c r="G872" s="5" t="s">
        <v>22</v>
      </c>
      <c r="H872" s="8"/>
      <c r="I872" s="9"/>
      <c r="J872" s="9" t="s">
        <v>23</v>
      </c>
      <c r="K872" s="8"/>
      <c r="L872" s="9"/>
      <c r="M872" s="10" t="s">
        <v>1320</v>
      </c>
      <c r="N872" s="11" t="s">
        <v>3489</v>
      </c>
      <c r="O872" s="12" t="s">
        <v>26</v>
      </c>
    </row>
    <row r="873" spans="1:15">
      <c r="A873" s="4">
        <v>869</v>
      </c>
      <c r="B873" s="5" t="s">
        <v>3413</v>
      </c>
      <c r="C873" s="5" t="s">
        <v>3483</v>
      </c>
      <c r="D873" s="5" t="s">
        <v>3490</v>
      </c>
      <c r="E873" s="6" t="s">
        <v>3491</v>
      </c>
      <c r="F873" s="7" t="s">
        <v>21</v>
      </c>
      <c r="G873" s="5" t="s">
        <v>22</v>
      </c>
      <c r="H873" s="8"/>
      <c r="I873" s="9"/>
      <c r="J873" s="9" t="s">
        <v>23</v>
      </c>
      <c r="K873" s="8"/>
      <c r="L873" s="9"/>
      <c r="M873" s="10" t="s">
        <v>1320</v>
      </c>
      <c r="N873" s="11" t="s">
        <v>3492</v>
      </c>
      <c r="O873" s="12" t="s">
        <v>26</v>
      </c>
    </row>
    <row r="874" spans="1:15">
      <c r="A874" s="4">
        <v>870</v>
      </c>
      <c r="B874" s="5" t="s">
        <v>3413</v>
      </c>
      <c r="C874" s="5" t="s">
        <v>3493</v>
      </c>
      <c r="D874" s="5" t="s">
        <v>3494</v>
      </c>
      <c r="E874" s="6" t="s">
        <v>3495</v>
      </c>
      <c r="F874" s="7" t="s">
        <v>21</v>
      </c>
      <c r="G874" s="5" t="s">
        <v>22</v>
      </c>
      <c r="H874" s="8"/>
      <c r="I874" s="9"/>
      <c r="J874" s="9" t="s">
        <v>23</v>
      </c>
      <c r="K874" s="8"/>
      <c r="L874" s="9"/>
      <c r="M874" s="10" t="s">
        <v>3496</v>
      </c>
      <c r="N874" s="11" t="s">
        <v>3497</v>
      </c>
      <c r="O874" s="12" t="s">
        <v>26</v>
      </c>
    </row>
    <row r="875" spans="1:15">
      <c r="A875" s="4">
        <v>871</v>
      </c>
      <c r="B875" s="5" t="s">
        <v>3413</v>
      </c>
      <c r="C875" s="5" t="s">
        <v>3444</v>
      </c>
      <c r="D875" s="5" t="s">
        <v>3498</v>
      </c>
      <c r="E875" s="6" t="s">
        <v>3499</v>
      </c>
      <c r="F875" s="7" t="s">
        <v>21</v>
      </c>
      <c r="G875" s="5" t="s">
        <v>22</v>
      </c>
      <c r="H875" s="8"/>
      <c r="I875" s="9"/>
      <c r="J875" s="9" t="s">
        <v>23</v>
      </c>
      <c r="K875" s="8"/>
      <c r="L875" s="9"/>
      <c r="M875" s="10" t="s">
        <v>3500</v>
      </c>
      <c r="N875" s="11" t="s">
        <v>3501</v>
      </c>
      <c r="O875" s="12" t="s">
        <v>26</v>
      </c>
    </row>
    <row r="876" spans="1:15">
      <c r="A876" s="4">
        <v>872</v>
      </c>
      <c r="B876" s="5" t="s">
        <v>3413</v>
      </c>
      <c r="C876" s="5" t="s">
        <v>3502</v>
      </c>
      <c r="D876" s="5" t="s">
        <v>3503</v>
      </c>
      <c r="E876" s="6" t="s">
        <v>3504</v>
      </c>
      <c r="F876" s="7" t="s">
        <v>21</v>
      </c>
      <c r="G876" s="5" t="s">
        <v>22</v>
      </c>
      <c r="H876" s="8"/>
      <c r="I876" s="9"/>
      <c r="J876" s="9" t="s">
        <v>23</v>
      </c>
      <c r="K876" s="8"/>
      <c r="L876" s="9"/>
      <c r="M876" s="10" t="s">
        <v>3505</v>
      </c>
      <c r="N876" s="11" t="s">
        <v>3506</v>
      </c>
      <c r="O876" s="12" t="s">
        <v>26</v>
      </c>
    </row>
    <row r="877" spans="1:15">
      <c r="A877" s="4">
        <v>873</v>
      </c>
      <c r="B877" s="5" t="s">
        <v>3413</v>
      </c>
      <c r="C877" s="5" t="s">
        <v>3479</v>
      </c>
      <c r="D877" s="5" t="s">
        <v>3507</v>
      </c>
      <c r="E877" s="6" t="s">
        <v>3508</v>
      </c>
      <c r="F877" s="7" t="s">
        <v>21</v>
      </c>
      <c r="G877" s="5" t="s">
        <v>29</v>
      </c>
      <c r="H877" s="8"/>
      <c r="I877" s="9"/>
      <c r="J877" s="9" t="s">
        <v>23</v>
      </c>
      <c r="K877" s="8"/>
      <c r="L877" s="9"/>
      <c r="M877" s="10" t="s">
        <v>361</v>
      </c>
      <c r="N877" s="11" t="s">
        <v>3509</v>
      </c>
      <c r="O877" s="12" t="s">
        <v>26</v>
      </c>
    </row>
    <row r="878" spans="1:15">
      <c r="A878" s="4">
        <v>874</v>
      </c>
      <c r="B878" s="5" t="s">
        <v>3413</v>
      </c>
      <c r="C878" s="5" t="s">
        <v>3510</v>
      </c>
      <c r="D878" s="5" t="s">
        <v>3511</v>
      </c>
      <c r="E878" s="6" t="s">
        <v>3512</v>
      </c>
      <c r="F878" s="7" t="s">
        <v>21</v>
      </c>
      <c r="G878" s="5" t="s">
        <v>22</v>
      </c>
      <c r="H878" s="8"/>
      <c r="I878" s="9"/>
      <c r="J878" s="9" t="s">
        <v>23</v>
      </c>
      <c r="K878" s="8"/>
      <c r="L878" s="9"/>
      <c r="M878" s="10" t="s">
        <v>370</v>
      </c>
      <c r="N878" s="11" t="s">
        <v>3513</v>
      </c>
      <c r="O878" s="12" t="s">
        <v>26</v>
      </c>
    </row>
    <row r="879" spans="1:15">
      <c r="A879" s="4">
        <v>875</v>
      </c>
      <c r="B879" s="5" t="s">
        <v>3413</v>
      </c>
      <c r="C879" s="5" t="s">
        <v>3502</v>
      </c>
      <c r="D879" s="5" t="s">
        <v>3514</v>
      </c>
      <c r="E879" s="6" t="s">
        <v>3515</v>
      </c>
      <c r="F879" s="7" t="s">
        <v>21</v>
      </c>
      <c r="G879" s="5" t="s">
        <v>22</v>
      </c>
      <c r="H879" s="8"/>
      <c r="I879" s="9"/>
      <c r="J879" s="9" t="s">
        <v>23</v>
      </c>
      <c r="K879" s="8"/>
      <c r="L879" s="9"/>
      <c r="M879" s="10" t="s">
        <v>3516</v>
      </c>
      <c r="N879" s="11" t="s">
        <v>3517</v>
      </c>
      <c r="O879" s="12" t="s">
        <v>26</v>
      </c>
    </row>
    <row r="880" spans="1:15">
      <c r="A880" s="4">
        <v>876</v>
      </c>
      <c r="B880" s="5" t="s">
        <v>3413</v>
      </c>
      <c r="C880" s="5" t="s">
        <v>3444</v>
      </c>
      <c r="D880" s="5" t="s">
        <v>3518</v>
      </c>
      <c r="E880" s="6" t="s">
        <v>3519</v>
      </c>
      <c r="F880" s="7" t="s">
        <v>21</v>
      </c>
      <c r="G880" s="5" t="s">
        <v>22</v>
      </c>
      <c r="H880" s="8"/>
      <c r="I880" s="9"/>
      <c r="J880" s="9" t="s">
        <v>23</v>
      </c>
      <c r="K880" s="8"/>
      <c r="L880" s="9"/>
      <c r="M880" s="10" t="s">
        <v>361</v>
      </c>
      <c r="N880" s="11" t="s">
        <v>3520</v>
      </c>
      <c r="O880" s="12" t="s">
        <v>26</v>
      </c>
    </row>
    <row r="881" spans="1:15">
      <c r="A881" s="4">
        <v>877</v>
      </c>
      <c r="B881" s="5" t="s">
        <v>3413</v>
      </c>
      <c r="C881" s="5" t="s">
        <v>3521</v>
      </c>
      <c r="D881" s="5" t="s">
        <v>3522</v>
      </c>
      <c r="E881" s="6" t="s">
        <v>3523</v>
      </c>
      <c r="F881" s="7" t="s">
        <v>21</v>
      </c>
      <c r="G881" s="5" t="s">
        <v>22</v>
      </c>
      <c r="H881" s="8"/>
      <c r="I881" s="9"/>
      <c r="J881" s="9" t="s">
        <v>23</v>
      </c>
      <c r="K881" s="8"/>
      <c r="L881" s="9"/>
      <c r="M881" s="10" t="s">
        <v>1955</v>
      </c>
      <c r="N881" s="11" t="s">
        <v>3524</v>
      </c>
      <c r="O881" s="12" t="s">
        <v>26</v>
      </c>
    </row>
    <row r="882" spans="1:15">
      <c r="A882" s="4">
        <v>878</v>
      </c>
      <c r="B882" s="5" t="s">
        <v>3413</v>
      </c>
      <c r="C882" s="5" t="s">
        <v>3525</v>
      </c>
      <c r="D882" s="5" t="s">
        <v>3526</v>
      </c>
      <c r="E882" s="6" t="s">
        <v>3527</v>
      </c>
      <c r="F882" s="7" t="s">
        <v>21</v>
      </c>
      <c r="G882" s="5" t="s">
        <v>29</v>
      </c>
      <c r="H882" s="8"/>
      <c r="I882" s="9"/>
      <c r="J882" s="9" t="s">
        <v>23</v>
      </c>
      <c r="K882" s="8"/>
      <c r="L882" s="9"/>
      <c r="M882" s="10" t="s">
        <v>3528</v>
      </c>
      <c r="N882" s="11" t="s">
        <v>3529</v>
      </c>
      <c r="O882" s="12" t="s">
        <v>26</v>
      </c>
    </row>
    <row r="883" spans="1:15">
      <c r="A883" s="4">
        <v>879</v>
      </c>
      <c r="B883" s="5" t="s">
        <v>3413</v>
      </c>
      <c r="C883" s="5" t="s">
        <v>3426</v>
      </c>
      <c r="D883" s="5" t="s">
        <v>3530</v>
      </c>
      <c r="E883" s="6" t="s">
        <v>3531</v>
      </c>
      <c r="F883" s="7" t="s">
        <v>21</v>
      </c>
      <c r="G883" s="5" t="s">
        <v>22</v>
      </c>
      <c r="H883" s="8"/>
      <c r="I883" s="9"/>
      <c r="J883" s="9" t="s">
        <v>23</v>
      </c>
      <c r="K883" s="8"/>
      <c r="L883" s="9"/>
      <c r="M883" s="10" t="s">
        <v>361</v>
      </c>
      <c r="N883" s="11" t="s">
        <v>3532</v>
      </c>
      <c r="O883" s="12" t="s">
        <v>26</v>
      </c>
    </row>
    <row r="884" spans="1:15">
      <c r="A884" s="4">
        <v>880</v>
      </c>
      <c r="B884" s="5" t="s">
        <v>3413</v>
      </c>
      <c r="C884" s="5" t="s">
        <v>3444</v>
      </c>
      <c r="D884" s="5" t="s">
        <v>3533</v>
      </c>
      <c r="E884" s="6" t="s">
        <v>3534</v>
      </c>
      <c r="F884" s="7" t="s">
        <v>21</v>
      </c>
      <c r="G884" s="5" t="s">
        <v>22</v>
      </c>
      <c r="H884" s="8"/>
      <c r="I884" s="9"/>
      <c r="J884" s="9" t="s">
        <v>23</v>
      </c>
      <c r="K884" s="8"/>
      <c r="L884" s="9"/>
      <c r="M884" s="10" t="s">
        <v>370</v>
      </c>
      <c r="N884" s="11" t="s">
        <v>3535</v>
      </c>
      <c r="O884" s="12" t="s">
        <v>26</v>
      </c>
    </row>
    <row r="885" spans="1:15">
      <c r="A885" s="4">
        <v>881</v>
      </c>
      <c r="B885" s="5" t="s">
        <v>3413</v>
      </c>
      <c r="C885" s="5" t="s">
        <v>3430</v>
      </c>
      <c r="D885" s="5" t="s">
        <v>3536</v>
      </c>
      <c r="E885" s="6" t="s">
        <v>3537</v>
      </c>
      <c r="F885" s="7" t="s">
        <v>21</v>
      </c>
      <c r="G885" s="5" t="s">
        <v>39</v>
      </c>
      <c r="H885" s="8"/>
      <c r="I885" s="9"/>
      <c r="J885" s="9" t="s">
        <v>23</v>
      </c>
      <c r="K885" s="8"/>
      <c r="L885" s="9"/>
      <c r="M885" s="10" t="s">
        <v>3538</v>
      </c>
      <c r="N885" s="11" t="s">
        <v>3539</v>
      </c>
      <c r="O885" s="12" t="s">
        <v>26</v>
      </c>
    </row>
    <row r="886" spans="1:15">
      <c r="A886" s="4">
        <v>882</v>
      </c>
      <c r="B886" s="5" t="s">
        <v>3413</v>
      </c>
      <c r="C886" s="5" t="s">
        <v>3430</v>
      </c>
      <c r="D886" s="5" t="s">
        <v>3540</v>
      </c>
      <c r="E886" s="6" t="s">
        <v>3541</v>
      </c>
      <c r="F886" s="7" t="s">
        <v>21</v>
      </c>
      <c r="G886" s="5" t="s">
        <v>29</v>
      </c>
      <c r="H886" s="8"/>
      <c r="I886" s="9"/>
      <c r="J886" s="9" t="s">
        <v>23</v>
      </c>
      <c r="K886" s="8"/>
      <c r="L886" s="9"/>
      <c r="M886" s="10" t="s">
        <v>3542</v>
      </c>
      <c r="N886" s="11" t="s">
        <v>3543</v>
      </c>
      <c r="O886" s="12" t="s">
        <v>26</v>
      </c>
    </row>
    <row r="887" spans="1:15">
      <c r="A887" s="4">
        <v>883</v>
      </c>
      <c r="B887" s="5" t="s">
        <v>3413</v>
      </c>
      <c r="C887" s="5" t="s">
        <v>3502</v>
      </c>
      <c r="D887" s="5" t="s">
        <v>3544</v>
      </c>
      <c r="E887" s="6" t="s">
        <v>3545</v>
      </c>
      <c r="F887" s="7" t="s">
        <v>21</v>
      </c>
      <c r="G887" s="5" t="s">
        <v>22</v>
      </c>
      <c r="H887" s="8"/>
      <c r="I887" s="9"/>
      <c r="J887" s="9" t="s">
        <v>23</v>
      </c>
      <c r="K887" s="8"/>
      <c r="L887" s="9"/>
      <c r="M887" s="10" t="s">
        <v>3546</v>
      </c>
      <c r="N887" s="11" t="s">
        <v>3547</v>
      </c>
      <c r="O887" s="12" t="s">
        <v>26</v>
      </c>
    </row>
    <row r="888" spans="1:15">
      <c r="A888" s="4">
        <v>884</v>
      </c>
      <c r="B888" s="5" t="s">
        <v>3413</v>
      </c>
      <c r="C888" s="5" t="s">
        <v>3548</v>
      </c>
      <c r="D888" s="5" t="s">
        <v>3549</v>
      </c>
      <c r="E888" s="6" t="s">
        <v>3550</v>
      </c>
      <c r="F888" s="7" t="s">
        <v>21</v>
      </c>
      <c r="G888" s="5" t="s">
        <v>22</v>
      </c>
      <c r="H888" s="8"/>
      <c r="I888" s="9"/>
      <c r="J888" s="9" t="s">
        <v>23</v>
      </c>
      <c r="K888" s="8"/>
      <c r="L888" s="9"/>
      <c r="M888" s="10" t="s">
        <v>3551</v>
      </c>
      <c r="N888" s="11" t="s">
        <v>3552</v>
      </c>
      <c r="O888" s="12" t="s">
        <v>26</v>
      </c>
    </row>
    <row r="889" spans="1:15">
      <c r="A889" s="4">
        <v>885</v>
      </c>
      <c r="B889" s="5" t="s">
        <v>3413</v>
      </c>
      <c r="C889" s="5" t="s">
        <v>3444</v>
      </c>
      <c r="D889" s="5" t="s">
        <v>3553</v>
      </c>
      <c r="E889" s="6" t="s">
        <v>3554</v>
      </c>
      <c r="F889" s="7" t="s">
        <v>21</v>
      </c>
      <c r="G889" s="5" t="s">
        <v>22</v>
      </c>
      <c r="H889" s="8"/>
      <c r="I889" s="9"/>
      <c r="J889" s="9" t="s">
        <v>23</v>
      </c>
      <c r="K889" s="8"/>
      <c r="L889" s="9"/>
      <c r="M889" s="10" t="s">
        <v>3555</v>
      </c>
      <c r="N889" s="11" t="s">
        <v>3556</v>
      </c>
      <c r="O889" s="12" t="s">
        <v>26</v>
      </c>
    </row>
    <row r="890" spans="1:15">
      <c r="A890" s="4">
        <v>886</v>
      </c>
      <c r="B890" s="5" t="s">
        <v>3413</v>
      </c>
      <c r="C890" s="5" t="s">
        <v>3557</v>
      </c>
      <c r="D890" s="5" t="s">
        <v>3558</v>
      </c>
      <c r="E890" s="6" t="s">
        <v>3559</v>
      </c>
      <c r="F890" s="7" t="s">
        <v>21</v>
      </c>
      <c r="G890" s="5" t="s">
        <v>22</v>
      </c>
      <c r="H890" s="8"/>
      <c r="I890" s="9"/>
      <c r="J890" s="9" t="s">
        <v>23</v>
      </c>
      <c r="K890" s="8"/>
      <c r="L890" s="9"/>
      <c r="M890" s="10" t="s">
        <v>3560</v>
      </c>
      <c r="N890" s="11" t="s">
        <v>3561</v>
      </c>
      <c r="O890" s="12" t="s">
        <v>26</v>
      </c>
    </row>
    <row r="891" spans="1:15">
      <c r="A891" s="4">
        <v>887</v>
      </c>
      <c r="B891" s="5" t="s">
        <v>3413</v>
      </c>
      <c r="C891" s="5" t="s">
        <v>3510</v>
      </c>
      <c r="D891" s="5" t="s">
        <v>3562</v>
      </c>
      <c r="E891" s="6" t="s">
        <v>3563</v>
      </c>
      <c r="F891" s="7" t="s">
        <v>21</v>
      </c>
      <c r="G891" s="5" t="s">
        <v>39</v>
      </c>
      <c r="H891" s="8"/>
      <c r="I891" s="9"/>
      <c r="J891" s="9" t="s">
        <v>23</v>
      </c>
      <c r="K891" s="8"/>
      <c r="L891" s="9"/>
      <c r="M891" s="10" t="s">
        <v>2680</v>
      </c>
      <c r="N891" s="11" t="s">
        <v>3564</v>
      </c>
      <c r="O891" s="12" t="s">
        <v>26</v>
      </c>
    </row>
    <row r="892" spans="1:15">
      <c r="A892" s="4">
        <v>888</v>
      </c>
      <c r="B892" s="5" t="s">
        <v>3413</v>
      </c>
      <c r="C892" s="5" t="s">
        <v>3439</v>
      </c>
      <c r="D892" s="5" t="s">
        <v>3565</v>
      </c>
      <c r="E892" s="6" t="s">
        <v>3566</v>
      </c>
      <c r="F892" s="7" t="s">
        <v>21</v>
      </c>
      <c r="G892" s="5" t="s">
        <v>22</v>
      </c>
      <c r="H892" s="8"/>
      <c r="I892" s="9"/>
      <c r="J892" s="9" t="s">
        <v>23</v>
      </c>
      <c r="K892" s="8"/>
      <c r="L892" s="9"/>
      <c r="M892" s="10" t="s">
        <v>1320</v>
      </c>
      <c r="N892" s="11" t="s">
        <v>3567</v>
      </c>
      <c r="O892" s="12" t="s">
        <v>26</v>
      </c>
    </row>
    <row r="893" spans="1:15">
      <c r="A893" s="4">
        <v>889</v>
      </c>
      <c r="B893" s="5" t="s">
        <v>3413</v>
      </c>
      <c r="C893" s="5" t="s">
        <v>3568</v>
      </c>
      <c r="D893" s="5" t="s">
        <v>3569</v>
      </c>
      <c r="E893" s="6" t="s">
        <v>3570</v>
      </c>
      <c r="F893" s="7" t="s">
        <v>21</v>
      </c>
      <c r="G893" s="5" t="s">
        <v>22</v>
      </c>
      <c r="H893" s="8"/>
      <c r="I893" s="9"/>
      <c r="J893" s="9" t="s">
        <v>23</v>
      </c>
      <c r="K893" s="8"/>
      <c r="L893" s="9"/>
      <c r="M893" s="10" t="s">
        <v>3571</v>
      </c>
      <c r="N893" s="11" t="s">
        <v>3572</v>
      </c>
      <c r="O893" s="12" t="s">
        <v>26</v>
      </c>
    </row>
    <row r="894" spans="1:15">
      <c r="A894" s="4">
        <v>890</v>
      </c>
      <c r="B894" s="5" t="s">
        <v>3413</v>
      </c>
      <c r="C894" s="5" t="s">
        <v>3460</v>
      </c>
      <c r="D894" s="5" t="s">
        <v>3573</v>
      </c>
      <c r="E894" s="6" t="s">
        <v>3574</v>
      </c>
      <c r="F894" s="7" t="s">
        <v>21</v>
      </c>
      <c r="G894" s="5" t="s">
        <v>22</v>
      </c>
      <c r="H894" s="8"/>
      <c r="I894" s="9"/>
      <c r="J894" s="9" t="s">
        <v>23</v>
      </c>
      <c r="K894" s="8"/>
      <c r="L894" s="9"/>
      <c r="M894" s="10" t="s">
        <v>361</v>
      </c>
      <c r="N894" s="11" t="s">
        <v>3575</v>
      </c>
      <c r="O894" s="12" t="s">
        <v>26</v>
      </c>
    </row>
    <row r="895" spans="1:15">
      <c r="A895" s="4">
        <v>891</v>
      </c>
      <c r="B895" s="5" t="s">
        <v>3576</v>
      </c>
      <c r="C895" s="5" t="s">
        <v>3577</v>
      </c>
      <c r="D895" s="5" t="s">
        <v>3578</v>
      </c>
      <c r="E895" s="6" t="s">
        <v>3579</v>
      </c>
      <c r="F895" s="7" t="s">
        <v>21</v>
      </c>
      <c r="G895" s="5" t="s">
        <v>22</v>
      </c>
      <c r="H895" s="8"/>
      <c r="I895" s="9"/>
      <c r="J895" s="9" t="s">
        <v>23</v>
      </c>
      <c r="K895" s="8"/>
      <c r="L895" s="9"/>
      <c r="M895" s="10" t="s">
        <v>3580</v>
      </c>
      <c r="N895" s="11" t="s">
        <v>3581</v>
      </c>
      <c r="O895" s="12" t="s">
        <v>26</v>
      </c>
    </row>
    <row r="896" spans="1:15">
      <c r="A896" s="4">
        <v>892</v>
      </c>
      <c r="B896" s="5" t="s">
        <v>3576</v>
      </c>
      <c r="C896" s="5" t="s">
        <v>3582</v>
      </c>
      <c r="D896" s="5" t="s">
        <v>3583</v>
      </c>
      <c r="E896" s="6" t="s">
        <v>3584</v>
      </c>
      <c r="F896" s="7" t="s">
        <v>21</v>
      </c>
      <c r="G896" s="5" t="s">
        <v>29</v>
      </c>
      <c r="H896" s="8"/>
      <c r="I896" s="9"/>
      <c r="J896" s="9" t="s">
        <v>23</v>
      </c>
      <c r="K896" s="8"/>
      <c r="L896" s="9"/>
      <c r="M896" s="10" t="s">
        <v>3585</v>
      </c>
      <c r="N896" s="11" t="s">
        <v>3586</v>
      </c>
      <c r="O896" s="12" t="s">
        <v>26</v>
      </c>
    </row>
    <row r="897" spans="1:15">
      <c r="A897" s="4">
        <v>893</v>
      </c>
      <c r="B897" s="5" t="s">
        <v>3576</v>
      </c>
      <c r="C897" s="5" t="s">
        <v>3587</v>
      </c>
      <c r="D897" s="5" t="s">
        <v>3588</v>
      </c>
      <c r="E897" s="6" t="s">
        <v>3589</v>
      </c>
      <c r="F897" s="7" t="s">
        <v>21</v>
      </c>
      <c r="G897" s="5" t="s">
        <v>22</v>
      </c>
      <c r="H897" s="8"/>
      <c r="I897" s="9"/>
      <c r="J897" s="9" t="s">
        <v>23</v>
      </c>
      <c r="K897" s="8"/>
      <c r="L897" s="9"/>
      <c r="M897" s="10"/>
      <c r="N897" s="11" t="s">
        <v>3590</v>
      </c>
      <c r="O897" s="12" t="s">
        <v>26</v>
      </c>
    </row>
    <row r="898" spans="1:15">
      <c r="A898" s="4">
        <v>894</v>
      </c>
      <c r="B898" s="5" t="s">
        <v>3576</v>
      </c>
      <c r="C898" s="5" t="s">
        <v>3591</v>
      </c>
      <c r="D898" s="5" t="s">
        <v>3592</v>
      </c>
      <c r="E898" s="6" t="s">
        <v>3593</v>
      </c>
      <c r="F898" s="7" t="s">
        <v>21</v>
      </c>
      <c r="G898" s="5" t="s">
        <v>22</v>
      </c>
      <c r="H898" s="8"/>
      <c r="I898" s="9"/>
      <c r="J898" s="9" t="s">
        <v>23</v>
      </c>
      <c r="K898" s="8"/>
      <c r="L898" s="9"/>
      <c r="M898" s="10"/>
      <c r="N898" s="11" t="s">
        <v>3594</v>
      </c>
      <c r="O898" s="12" t="s">
        <v>26</v>
      </c>
    </row>
    <row r="899" spans="1:15">
      <c r="A899" s="4">
        <v>895</v>
      </c>
      <c r="B899" s="5" t="s">
        <v>3576</v>
      </c>
      <c r="C899" s="5" t="s">
        <v>3595</v>
      </c>
      <c r="D899" s="5" t="s">
        <v>3596</v>
      </c>
      <c r="E899" s="6" t="s">
        <v>3597</v>
      </c>
      <c r="F899" s="7" t="s">
        <v>21</v>
      </c>
      <c r="G899" s="5" t="s">
        <v>22</v>
      </c>
      <c r="H899" s="8"/>
      <c r="I899" s="9"/>
      <c r="J899" s="9" t="s">
        <v>23</v>
      </c>
      <c r="K899" s="8"/>
      <c r="L899" s="9"/>
      <c r="M899" s="10"/>
      <c r="N899" s="11" t="s">
        <v>3598</v>
      </c>
      <c r="O899" s="12" t="s">
        <v>26</v>
      </c>
    </row>
    <row r="900" spans="1:15">
      <c r="A900" s="4">
        <v>896</v>
      </c>
      <c r="B900" s="5" t="s">
        <v>3576</v>
      </c>
      <c r="C900" s="5" t="s">
        <v>3599</v>
      </c>
      <c r="D900" s="5" t="s">
        <v>3600</v>
      </c>
      <c r="E900" s="6" t="s">
        <v>3601</v>
      </c>
      <c r="F900" s="7" t="s">
        <v>21</v>
      </c>
      <c r="G900" s="5" t="s">
        <v>22</v>
      </c>
      <c r="H900" s="8"/>
      <c r="I900" s="9"/>
      <c r="J900" s="9" t="s">
        <v>23</v>
      </c>
      <c r="K900" s="8"/>
      <c r="L900" s="9"/>
      <c r="M900" s="10"/>
      <c r="N900" s="11" t="s">
        <v>3602</v>
      </c>
      <c r="O900" s="12" t="s">
        <v>26</v>
      </c>
    </row>
    <row r="901" spans="1:15">
      <c r="A901" s="4">
        <v>897</v>
      </c>
      <c r="B901" s="5" t="s">
        <v>3576</v>
      </c>
      <c r="C901" s="5" t="s">
        <v>3603</v>
      </c>
      <c r="D901" s="5" t="s">
        <v>3604</v>
      </c>
      <c r="E901" s="6" t="s">
        <v>3605</v>
      </c>
      <c r="F901" s="7" t="s">
        <v>21</v>
      </c>
      <c r="G901" s="5" t="s">
        <v>22</v>
      </c>
      <c r="H901" s="8"/>
      <c r="I901" s="9"/>
      <c r="J901" s="9" t="s">
        <v>23</v>
      </c>
      <c r="K901" s="8"/>
      <c r="L901" s="9"/>
      <c r="M901" s="10" t="s">
        <v>3606</v>
      </c>
      <c r="N901" s="11" t="s">
        <v>3607</v>
      </c>
      <c r="O901" s="12" t="s">
        <v>26</v>
      </c>
    </row>
    <row r="902" spans="1:15">
      <c r="A902" s="4">
        <v>898</v>
      </c>
      <c r="B902" s="5" t="s">
        <v>3576</v>
      </c>
      <c r="C902" s="5" t="s">
        <v>3608</v>
      </c>
      <c r="D902" s="5" t="s">
        <v>3609</v>
      </c>
      <c r="E902" s="6" t="s">
        <v>3610</v>
      </c>
      <c r="F902" s="7" t="s">
        <v>21</v>
      </c>
      <c r="G902" s="5" t="s">
        <v>22</v>
      </c>
      <c r="H902" s="8"/>
      <c r="I902" s="9"/>
      <c r="J902" s="9" t="s">
        <v>23</v>
      </c>
      <c r="K902" s="8"/>
      <c r="L902" s="9"/>
      <c r="M902" s="10" t="s">
        <v>3611</v>
      </c>
      <c r="N902" s="11" t="s">
        <v>3612</v>
      </c>
      <c r="O902" s="12" t="s">
        <v>26</v>
      </c>
    </row>
    <row r="903" spans="1:15">
      <c r="A903" s="4">
        <v>899</v>
      </c>
      <c r="B903" s="5" t="s">
        <v>3576</v>
      </c>
      <c r="C903" s="5" t="s">
        <v>3613</v>
      </c>
      <c r="D903" s="5" t="s">
        <v>3614</v>
      </c>
      <c r="E903" s="6" t="s">
        <v>3615</v>
      </c>
      <c r="F903" s="7" t="s">
        <v>21</v>
      </c>
      <c r="G903" s="5" t="s">
        <v>22</v>
      </c>
      <c r="H903" s="8"/>
      <c r="I903" s="9"/>
      <c r="J903" s="9" t="s">
        <v>23</v>
      </c>
      <c r="K903" s="8"/>
      <c r="L903" s="9"/>
      <c r="M903" s="10" t="s">
        <v>3616</v>
      </c>
      <c r="N903" s="11" t="s">
        <v>3617</v>
      </c>
      <c r="O903" s="12" t="s">
        <v>26</v>
      </c>
    </row>
    <row r="904" spans="1:15">
      <c r="A904" s="4">
        <v>900</v>
      </c>
      <c r="B904" s="5" t="s">
        <v>3576</v>
      </c>
      <c r="C904" s="5" t="s">
        <v>3618</v>
      </c>
      <c r="D904" s="5" t="s">
        <v>3619</v>
      </c>
      <c r="E904" s="6" t="s">
        <v>3620</v>
      </c>
      <c r="F904" s="7" t="s">
        <v>21</v>
      </c>
      <c r="G904" s="5" t="s">
        <v>22</v>
      </c>
      <c r="H904" s="8"/>
      <c r="I904" s="9"/>
      <c r="J904" s="9" t="s">
        <v>23</v>
      </c>
      <c r="K904" s="8"/>
      <c r="L904" s="9"/>
      <c r="M904" s="10"/>
      <c r="N904" s="11" t="s">
        <v>3621</v>
      </c>
      <c r="O904" s="12" t="s">
        <v>26</v>
      </c>
    </row>
    <row r="905" spans="1:15">
      <c r="A905" s="4">
        <v>901</v>
      </c>
      <c r="B905" s="5" t="s">
        <v>3576</v>
      </c>
      <c r="C905" s="5" t="s">
        <v>3622</v>
      </c>
      <c r="D905" s="5" t="s">
        <v>3623</v>
      </c>
      <c r="E905" s="6" t="s">
        <v>3624</v>
      </c>
      <c r="F905" s="7" t="s">
        <v>21</v>
      </c>
      <c r="G905" s="5" t="s">
        <v>22</v>
      </c>
      <c r="H905" s="8"/>
      <c r="I905" s="9"/>
      <c r="J905" s="9" t="s">
        <v>23</v>
      </c>
      <c r="K905" s="8"/>
      <c r="L905" s="9"/>
      <c r="M905" s="10"/>
      <c r="N905" s="11" t="s">
        <v>3625</v>
      </c>
      <c r="O905" s="12" t="s">
        <v>26</v>
      </c>
    </row>
    <row r="906" spans="1:15">
      <c r="A906" s="4">
        <v>902</v>
      </c>
      <c r="B906" s="5" t="s">
        <v>3576</v>
      </c>
      <c r="C906" s="5" t="s">
        <v>3626</v>
      </c>
      <c r="D906" s="5" t="s">
        <v>3627</v>
      </c>
      <c r="E906" s="6" t="s">
        <v>3628</v>
      </c>
      <c r="F906" s="7" t="s">
        <v>21</v>
      </c>
      <c r="G906" s="5" t="s">
        <v>22</v>
      </c>
      <c r="H906" s="8"/>
      <c r="I906" s="9"/>
      <c r="J906" s="9" t="s">
        <v>23</v>
      </c>
      <c r="K906" s="8"/>
      <c r="L906" s="9"/>
      <c r="M906" s="10" t="s">
        <v>3629</v>
      </c>
      <c r="N906" s="11" t="s">
        <v>3630</v>
      </c>
      <c r="O906" s="12" t="s">
        <v>26</v>
      </c>
    </row>
    <row r="907" spans="1:15">
      <c r="A907" s="4">
        <v>903</v>
      </c>
      <c r="B907" s="5" t="s">
        <v>3576</v>
      </c>
      <c r="C907" s="5" t="s">
        <v>3631</v>
      </c>
      <c r="D907" s="5" t="s">
        <v>3632</v>
      </c>
      <c r="E907" s="6" t="s">
        <v>3633</v>
      </c>
      <c r="F907" s="7" t="s">
        <v>21</v>
      </c>
      <c r="G907" s="5" t="s">
        <v>29</v>
      </c>
      <c r="H907" s="8"/>
      <c r="I907" s="9"/>
      <c r="J907" s="9" t="s">
        <v>23</v>
      </c>
      <c r="K907" s="8"/>
      <c r="L907" s="9"/>
      <c r="M907" s="10" t="s">
        <v>3634</v>
      </c>
      <c r="N907" s="11" t="s">
        <v>3635</v>
      </c>
      <c r="O907" s="12" t="s">
        <v>26</v>
      </c>
    </row>
    <row r="908" spans="1:15">
      <c r="A908" s="4">
        <v>904</v>
      </c>
      <c r="B908" s="5" t="s">
        <v>3576</v>
      </c>
      <c r="C908" s="5" t="s">
        <v>3636</v>
      </c>
      <c r="D908" s="5" t="s">
        <v>3637</v>
      </c>
      <c r="E908" s="6" t="s">
        <v>3638</v>
      </c>
      <c r="F908" s="7" t="s">
        <v>21</v>
      </c>
      <c r="G908" s="5" t="s">
        <v>29</v>
      </c>
      <c r="H908" s="8"/>
      <c r="I908" s="9"/>
      <c r="J908" s="9" t="s">
        <v>23</v>
      </c>
      <c r="K908" s="8"/>
      <c r="L908" s="9"/>
      <c r="M908" s="10" t="s">
        <v>3639</v>
      </c>
      <c r="N908" s="11" t="s">
        <v>3640</v>
      </c>
      <c r="O908" s="12" t="s">
        <v>26</v>
      </c>
    </row>
    <row r="909" spans="1:15">
      <c r="A909" s="4">
        <v>905</v>
      </c>
      <c r="B909" s="5" t="s">
        <v>3576</v>
      </c>
      <c r="C909" s="5" t="s">
        <v>3641</v>
      </c>
      <c r="D909" s="5" t="s">
        <v>3642</v>
      </c>
      <c r="E909" s="6" t="s">
        <v>3643</v>
      </c>
      <c r="F909" s="7" t="s">
        <v>21</v>
      </c>
      <c r="G909" s="5" t="s">
        <v>22</v>
      </c>
      <c r="H909" s="8"/>
      <c r="I909" s="9"/>
      <c r="J909" s="9" t="s">
        <v>23</v>
      </c>
      <c r="K909" s="8"/>
      <c r="L909" s="9"/>
      <c r="M909" s="10" t="s">
        <v>3644</v>
      </c>
      <c r="N909" s="11" t="s">
        <v>3645</v>
      </c>
      <c r="O909" s="12" t="s">
        <v>26</v>
      </c>
    </row>
    <row r="910" spans="1:15">
      <c r="A910" s="4">
        <v>906</v>
      </c>
      <c r="B910" s="5" t="s">
        <v>3576</v>
      </c>
      <c r="C910" s="5" t="s">
        <v>3646</v>
      </c>
      <c r="D910" s="5" t="s">
        <v>3647</v>
      </c>
      <c r="E910" s="6" t="s">
        <v>3648</v>
      </c>
      <c r="F910" s="7" t="s">
        <v>21</v>
      </c>
      <c r="G910" s="5" t="s">
        <v>22</v>
      </c>
      <c r="H910" s="8"/>
      <c r="I910" s="9"/>
      <c r="J910" s="9" t="s">
        <v>23</v>
      </c>
      <c r="K910" s="8"/>
      <c r="L910" s="9"/>
      <c r="M910" s="10" t="s">
        <v>3649</v>
      </c>
      <c r="N910" s="11" t="s">
        <v>3650</v>
      </c>
      <c r="O910" s="12" t="s">
        <v>26</v>
      </c>
    </row>
    <row r="911" spans="1:15">
      <c r="A911" s="4">
        <v>907</v>
      </c>
      <c r="B911" s="5" t="s">
        <v>3576</v>
      </c>
      <c r="C911" s="5" t="s">
        <v>3651</v>
      </c>
      <c r="D911" s="5" t="s">
        <v>3652</v>
      </c>
      <c r="E911" s="6" t="s">
        <v>3653</v>
      </c>
      <c r="F911" s="7" t="s">
        <v>21</v>
      </c>
      <c r="G911" s="5" t="s">
        <v>22</v>
      </c>
      <c r="H911" s="8"/>
      <c r="I911" s="9"/>
      <c r="J911" s="9" t="s">
        <v>23</v>
      </c>
      <c r="K911" s="8"/>
      <c r="L911" s="9"/>
      <c r="M911" s="10" t="s">
        <v>3654</v>
      </c>
      <c r="N911" s="11" t="s">
        <v>3655</v>
      </c>
      <c r="O911" s="12" t="s">
        <v>26</v>
      </c>
    </row>
    <row r="912" spans="1:15">
      <c r="A912" s="4">
        <v>908</v>
      </c>
      <c r="B912" s="5" t="s">
        <v>3576</v>
      </c>
      <c r="C912" s="5" t="s">
        <v>3656</v>
      </c>
      <c r="D912" s="5" t="s">
        <v>3657</v>
      </c>
      <c r="E912" s="6" t="s">
        <v>3658</v>
      </c>
      <c r="F912" s="7" t="s">
        <v>21</v>
      </c>
      <c r="G912" s="5" t="s">
        <v>29</v>
      </c>
      <c r="H912" s="8"/>
      <c r="I912" s="9"/>
      <c r="J912" s="9" t="s">
        <v>23</v>
      </c>
      <c r="K912" s="8"/>
      <c r="L912" s="9"/>
      <c r="M912" s="10"/>
      <c r="N912" s="11" t="s">
        <v>3659</v>
      </c>
      <c r="O912" s="12" t="s">
        <v>26</v>
      </c>
    </row>
    <row r="913" spans="1:15">
      <c r="A913" s="4">
        <v>909</v>
      </c>
      <c r="B913" s="5" t="s">
        <v>3576</v>
      </c>
      <c r="C913" s="5" t="s">
        <v>3582</v>
      </c>
      <c r="D913" s="5" t="s">
        <v>3660</v>
      </c>
      <c r="E913" s="6" t="s">
        <v>3661</v>
      </c>
      <c r="F913" s="7" t="s">
        <v>21</v>
      </c>
      <c r="G913" s="5" t="s">
        <v>22</v>
      </c>
      <c r="H913" s="8"/>
      <c r="I913" s="9"/>
      <c r="J913" s="9" t="s">
        <v>23</v>
      </c>
      <c r="K913" s="8"/>
      <c r="L913" s="9"/>
      <c r="M913" s="10" t="s">
        <v>3662</v>
      </c>
      <c r="N913" s="11" t="s">
        <v>3663</v>
      </c>
      <c r="O913" s="12" t="s">
        <v>26</v>
      </c>
    </row>
    <row r="914" spans="1:15">
      <c r="A914" s="4">
        <v>910</v>
      </c>
      <c r="B914" s="5" t="s">
        <v>3576</v>
      </c>
      <c r="C914" s="5" t="s">
        <v>3664</v>
      </c>
      <c r="D914" s="5" t="s">
        <v>3665</v>
      </c>
      <c r="E914" s="6" t="s">
        <v>3666</v>
      </c>
      <c r="F914" s="7" t="s">
        <v>21</v>
      </c>
      <c r="G914" s="5" t="s">
        <v>22</v>
      </c>
      <c r="H914" s="8"/>
      <c r="I914" s="9"/>
      <c r="J914" s="9" t="s">
        <v>23</v>
      </c>
      <c r="K914" s="8"/>
      <c r="L914" s="9"/>
      <c r="M914" s="10"/>
      <c r="N914" s="11" t="s">
        <v>3667</v>
      </c>
      <c r="O914" s="12" t="s">
        <v>26</v>
      </c>
    </row>
    <row r="915" spans="1:15">
      <c r="A915" s="4">
        <v>911</v>
      </c>
      <c r="B915" s="5" t="s">
        <v>3576</v>
      </c>
      <c r="C915" s="5" t="s">
        <v>3656</v>
      </c>
      <c r="D915" s="5" t="s">
        <v>3668</v>
      </c>
      <c r="E915" s="6" t="s">
        <v>3669</v>
      </c>
      <c r="F915" s="7" t="s">
        <v>21</v>
      </c>
      <c r="G915" s="5" t="s">
        <v>22</v>
      </c>
      <c r="H915" s="8"/>
      <c r="I915" s="9"/>
      <c r="J915" s="9" t="s">
        <v>23</v>
      </c>
      <c r="K915" s="8"/>
      <c r="L915" s="9"/>
      <c r="M915" s="10" t="s">
        <v>3670</v>
      </c>
      <c r="N915" s="11" t="s">
        <v>3671</v>
      </c>
      <c r="O915" s="12" t="s">
        <v>26</v>
      </c>
    </row>
    <row r="916" spans="1:15">
      <c r="A916" s="4">
        <v>912</v>
      </c>
      <c r="B916" s="5" t="s">
        <v>3576</v>
      </c>
      <c r="C916" s="5" t="s">
        <v>3608</v>
      </c>
      <c r="D916" s="5" t="s">
        <v>3672</v>
      </c>
      <c r="E916" s="6" t="s">
        <v>3673</v>
      </c>
      <c r="F916" s="7" t="s">
        <v>21</v>
      </c>
      <c r="G916" s="5" t="s">
        <v>29</v>
      </c>
      <c r="H916" s="8"/>
      <c r="I916" s="9"/>
      <c r="J916" s="9" t="s">
        <v>23</v>
      </c>
      <c r="K916" s="8"/>
      <c r="L916" s="9"/>
      <c r="M916" s="10" t="s">
        <v>3674</v>
      </c>
      <c r="N916" s="11" t="s">
        <v>3675</v>
      </c>
      <c r="O916" s="12" t="s">
        <v>26</v>
      </c>
    </row>
    <row r="917" spans="1:15">
      <c r="A917" s="4">
        <v>913</v>
      </c>
      <c r="B917" s="5" t="s">
        <v>3576</v>
      </c>
      <c r="C917" s="5" t="s">
        <v>3641</v>
      </c>
      <c r="D917" s="5" t="s">
        <v>3676</v>
      </c>
      <c r="E917" s="6" t="s">
        <v>3677</v>
      </c>
      <c r="F917" s="7" t="s">
        <v>21</v>
      </c>
      <c r="G917" s="5" t="s">
        <v>29</v>
      </c>
      <c r="H917" s="8"/>
      <c r="I917" s="9"/>
      <c r="J917" s="9" t="s">
        <v>23</v>
      </c>
      <c r="K917" s="8"/>
      <c r="L917" s="9"/>
      <c r="M917" s="10" t="s">
        <v>3678</v>
      </c>
      <c r="N917" s="11" t="s">
        <v>3679</v>
      </c>
      <c r="O917" s="12" t="s">
        <v>26</v>
      </c>
    </row>
    <row r="918" spans="1:15">
      <c r="A918" s="4">
        <v>914</v>
      </c>
      <c r="B918" s="5" t="s">
        <v>3576</v>
      </c>
      <c r="C918" s="5" t="s">
        <v>3591</v>
      </c>
      <c r="D918" s="5" t="s">
        <v>3680</v>
      </c>
      <c r="E918" s="6" t="s">
        <v>3681</v>
      </c>
      <c r="F918" s="7" t="s">
        <v>21</v>
      </c>
      <c r="G918" s="5" t="s">
        <v>22</v>
      </c>
      <c r="H918" s="8"/>
      <c r="I918" s="9"/>
      <c r="J918" s="9" t="s">
        <v>23</v>
      </c>
      <c r="K918" s="8"/>
      <c r="L918" s="9"/>
      <c r="M918" s="10" t="s">
        <v>3682</v>
      </c>
      <c r="N918" s="11" t="s">
        <v>3683</v>
      </c>
      <c r="O918" s="12" t="s">
        <v>26</v>
      </c>
    </row>
    <row r="919" spans="1:15">
      <c r="A919" s="4">
        <v>915</v>
      </c>
      <c r="B919" s="5" t="s">
        <v>3576</v>
      </c>
      <c r="C919" s="5" t="s">
        <v>3684</v>
      </c>
      <c r="D919" s="5" t="s">
        <v>3685</v>
      </c>
      <c r="E919" s="6" t="s">
        <v>3686</v>
      </c>
      <c r="F919" s="7" t="s">
        <v>21</v>
      </c>
      <c r="G919" s="5" t="s">
        <v>22</v>
      </c>
      <c r="H919" s="8"/>
      <c r="I919" s="9"/>
      <c r="J919" s="9" t="s">
        <v>23</v>
      </c>
      <c r="K919" s="8"/>
      <c r="L919" s="9"/>
      <c r="M919" s="10" t="s">
        <v>3687</v>
      </c>
      <c r="N919" s="11" t="s">
        <v>3688</v>
      </c>
      <c r="O919" s="12" t="s">
        <v>26</v>
      </c>
    </row>
    <row r="920" spans="1:15">
      <c r="A920" s="4">
        <v>916</v>
      </c>
      <c r="B920" s="5" t="s">
        <v>3576</v>
      </c>
      <c r="C920" s="5" t="s">
        <v>3689</v>
      </c>
      <c r="D920" s="5" t="s">
        <v>3690</v>
      </c>
      <c r="E920" s="6" t="s">
        <v>3691</v>
      </c>
      <c r="F920" s="7" t="s">
        <v>21</v>
      </c>
      <c r="G920" s="5" t="s">
        <v>22</v>
      </c>
      <c r="H920" s="8"/>
      <c r="I920" s="9"/>
      <c r="J920" s="9" t="s">
        <v>23</v>
      </c>
      <c r="K920" s="8"/>
      <c r="L920" s="9"/>
      <c r="M920" s="10" t="s">
        <v>3692</v>
      </c>
      <c r="N920" s="11" t="s">
        <v>3693</v>
      </c>
      <c r="O920" s="12" t="s">
        <v>26</v>
      </c>
    </row>
    <row r="921" spans="1:15">
      <c r="A921" s="4">
        <v>917</v>
      </c>
      <c r="B921" s="5" t="s">
        <v>3576</v>
      </c>
      <c r="C921" s="5" t="s">
        <v>3646</v>
      </c>
      <c r="D921" s="5" t="s">
        <v>3694</v>
      </c>
      <c r="E921" s="6" t="s">
        <v>3695</v>
      </c>
      <c r="F921" s="7" t="s">
        <v>21</v>
      </c>
      <c r="G921" s="5" t="s">
        <v>29</v>
      </c>
      <c r="H921" s="8"/>
      <c r="I921" s="9"/>
      <c r="J921" s="9" t="s">
        <v>23</v>
      </c>
      <c r="K921" s="8"/>
      <c r="L921" s="9"/>
      <c r="M921" s="10" t="s">
        <v>3696</v>
      </c>
      <c r="N921" s="11" t="s">
        <v>3697</v>
      </c>
      <c r="O921" s="12" t="s">
        <v>26</v>
      </c>
    </row>
    <row r="922" spans="1:15">
      <c r="A922" s="4">
        <v>918</v>
      </c>
      <c r="B922" s="5" t="s">
        <v>3576</v>
      </c>
      <c r="C922" s="5" t="s">
        <v>3698</v>
      </c>
      <c r="D922" s="5" t="s">
        <v>3699</v>
      </c>
      <c r="E922" s="6" t="s">
        <v>3700</v>
      </c>
      <c r="F922" s="7" t="s">
        <v>21</v>
      </c>
      <c r="G922" s="5" t="s">
        <v>22</v>
      </c>
      <c r="H922" s="8"/>
      <c r="I922" s="9"/>
      <c r="J922" s="9" t="s">
        <v>23</v>
      </c>
      <c r="K922" s="8"/>
      <c r="L922" s="9"/>
      <c r="M922" s="10" t="s">
        <v>3701</v>
      </c>
      <c r="N922" s="11" t="s">
        <v>3702</v>
      </c>
      <c r="O922" s="12" t="s">
        <v>26</v>
      </c>
    </row>
    <row r="923" spans="1:15">
      <c r="A923" s="4">
        <v>919</v>
      </c>
      <c r="B923" s="5" t="s">
        <v>3576</v>
      </c>
      <c r="C923" s="5" t="s">
        <v>3591</v>
      </c>
      <c r="D923" s="5" t="s">
        <v>3703</v>
      </c>
      <c r="E923" s="6" t="s">
        <v>3704</v>
      </c>
      <c r="F923" s="7" t="s">
        <v>21</v>
      </c>
      <c r="G923" s="5" t="s">
        <v>22</v>
      </c>
      <c r="H923" s="8"/>
      <c r="I923" s="9"/>
      <c r="J923" s="9" t="s">
        <v>23</v>
      </c>
      <c r="K923" s="8"/>
      <c r="L923" s="9"/>
      <c r="M923" s="10"/>
      <c r="N923" s="11" t="s">
        <v>3705</v>
      </c>
      <c r="O923" s="12" t="s">
        <v>26</v>
      </c>
    </row>
    <row r="924" spans="1:15">
      <c r="A924" s="4">
        <v>920</v>
      </c>
      <c r="B924" s="5" t="s">
        <v>3576</v>
      </c>
      <c r="C924" s="5" t="s">
        <v>3706</v>
      </c>
      <c r="D924" s="5" t="s">
        <v>3707</v>
      </c>
      <c r="E924" s="6" t="s">
        <v>3708</v>
      </c>
      <c r="F924" s="7" t="s">
        <v>21</v>
      </c>
      <c r="G924" s="5" t="s">
        <v>22</v>
      </c>
      <c r="H924" s="8"/>
      <c r="I924" s="9"/>
      <c r="J924" s="9" t="s">
        <v>23</v>
      </c>
      <c r="K924" s="8"/>
      <c r="L924" s="9"/>
      <c r="M924" s="10"/>
      <c r="N924" s="11" t="s">
        <v>3709</v>
      </c>
      <c r="O924" s="12" t="s">
        <v>26</v>
      </c>
    </row>
    <row r="925" spans="1:15">
      <c r="A925" s="4">
        <v>921</v>
      </c>
      <c r="B925" s="5" t="s">
        <v>3576</v>
      </c>
      <c r="C925" s="5" t="s">
        <v>3587</v>
      </c>
      <c r="D925" s="5" t="s">
        <v>3710</v>
      </c>
      <c r="E925" s="6" t="s">
        <v>3711</v>
      </c>
      <c r="F925" s="7" t="s">
        <v>21</v>
      </c>
      <c r="G925" s="5" t="s">
        <v>22</v>
      </c>
      <c r="H925" s="8"/>
      <c r="I925" s="9"/>
      <c r="J925" s="9" t="s">
        <v>23</v>
      </c>
      <c r="K925" s="8"/>
      <c r="L925" s="9"/>
      <c r="M925" s="10" t="s">
        <v>3712</v>
      </c>
      <c r="N925" s="11" t="s">
        <v>3713</v>
      </c>
      <c r="O925" s="12" t="s">
        <v>26</v>
      </c>
    </row>
    <row r="926" spans="1:15">
      <c r="A926" s="4">
        <v>922</v>
      </c>
      <c r="B926" s="5" t="s">
        <v>3576</v>
      </c>
      <c r="C926" s="5" t="s">
        <v>3656</v>
      </c>
      <c r="D926" s="5" t="s">
        <v>3714</v>
      </c>
      <c r="E926" s="6" t="s">
        <v>3715</v>
      </c>
      <c r="F926" s="7" t="s">
        <v>21</v>
      </c>
      <c r="G926" s="5" t="s">
        <v>22</v>
      </c>
      <c r="H926" s="8"/>
      <c r="I926" s="9"/>
      <c r="J926" s="9" t="s">
        <v>23</v>
      </c>
      <c r="K926" s="8"/>
      <c r="L926" s="9"/>
      <c r="M926" s="10" t="s">
        <v>913</v>
      </c>
      <c r="N926" s="11" t="s">
        <v>3716</v>
      </c>
      <c r="O926" s="12" t="s">
        <v>26</v>
      </c>
    </row>
    <row r="927" spans="1:15">
      <c r="A927" s="4">
        <v>923</v>
      </c>
      <c r="B927" s="5" t="s">
        <v>3576</v>
      </c>
      <c r="C927" s="5" t="s">
        <v>3717</v>
      </c>
      <c r="D927" s="5" t="s">
        <v>3718</v>
      </c>
      <c r="E927" s="6" t="s">
        <v>3719</v>
      </c>
      <c r="F927" s="7" t="s">
        <v>21</v>
      </c>
      <c r="G927" s="5" t="s">
        <v>29</v>
      </c>
      <c r="H927" s="8"/>
      <c r="I927" s="9"/>
      <c r="J927" s="9" t="s">
        <v>23</v>
      </c>
      <c r="K927" s="8"/>
      <c r="L927" s="9"/>
      <c r="M927" s="10"/>
      <c r="N927" s="11" t="s">
        <v>3720</v>
      </c>
      <c r="O927" s="12" t="s">
        <v>26</v>
      </c>
    </row>
    <row r="928" spans="1:15">
      <c r="A928" s="4">
        <v>924</v>
      </c>
      <c r="B928" s="5" t="s">
        <v>3576</v>
      </c>
      <c r="C928" s="5" t="s">
        <v>3613</v>
      </c>
      <c r="D928" s="5" t="s">
        <v>3721</v>
      </c>
      <c r="E928" s="6" t="s">
        <v>3722</v>
      </c>
      <c r="F928" s="7" t="s">
        <v>21</v>
      </c>
      <c r="G928" s="5" t="s">
        <v>22</v>
      </c>
      <c r="H928" s="8"/>
      <c r="I928" s="9"/>
      <c r="J928" s="9" t="s">
        <v>23</v>
      </c>
      <c r="K928" s="8"/>
      <c r="L928" s="9"/>
      <c r="M928" s="10"/>
      <c r="N928" s="11" t="s">
        <v>3723</v>
      </c>
      <c r="O928" s="12" t="s">
        <v>26</v>
      </c>
    </row>
    <row r="929" spans="1:15">
      <c r="A929" s="4">
        <v>925</v>
      </c>
      <c r="B929" s="5" t="s">
        <v>3576</v>
      </c>
      <c r="C929" s="5" t="s">
        <v>3724</v>
      </c>
      <c r="D929" s="5" t="s">
        <v>3725</v>
      </c>
      <c r="E929" s="6" t="s">
        <v>3726</v>
      </c>
      <c r="F929" s="7" t="s">
        <v>21</v>
      </c>
      <c r="G929" s="5" t="s">
        <v>22</v>
      </c>
      <c r="H929" s="8"/>
      <c r="I929" s="9"/>
      <c r="J929" s="9" t="s">
        <v>23</v>
      </c>
      <c r="K929" s="8"/>
      <c r="L929" s="9"/>
      <c r="M929" s="10"/>
      <c r="N929" s="11" t="s">
        <v>3727</v>
      </c>
      <c r="O929" s="12" t="s">
        <v>26</v>
      </c>
    </row>
    <row r="930" spans="1:15">
      <c r="A930" s="4">
        <v>926</v>
      </c>
      <c r="B930" s="5" t="s">
        <v>3576</v>
      </c>
      <c r="C930" s="5" t="s">
        <v>3728</v>
      </c>
      <c r="D930" s="5" t="s">
        <v>3729</v>
      </c>
      <c r="E930" s="6" t="s">
        <v>3730</v>
      </c>
      <c r="F930" s="7" t="s">
        <v>21</v>
      </c>
      <c r="G930" s="5" t="s">
        <v>22</v>
      </c>
      <c r="H930" s="8"/>
      <c r="I930" s="9"/>
      <c r="J930" s="9" t="s">
        <v>23</v>
      </c>
      <c r="K930" s="8"/>
      <c r="L930" s="9"/>
      <c r="M930" s="10" t="s">
        <v>3731</v>
      </c>
      <c r="N930" s="11" t="s">
        <v>3732</v>
      </c>
      <c r="O930" s="12" t="s">
        <v>26</v>
      </c>
    </row>
    <row r="931" spans="1:15">
      <c r="A931" s="4">
        <v>927</v>
      </c>
      <c r="B931" s="5" t="s">
        <v>3576</v>
      </c>
      <c r="C931" s="5" t="s">
        <v>3622</v>
      </c>
      <c r="D931" s="5" t="s">
        <v>3733</v>
      </c>
      <c r="E931" s="6" t="s">
        <v>3734</v>
      </c>
      <c r="F931" s="7" t="s">
        <v>21</v>
      </c>
      <c r="G931" s="5" t="s">
        <v>22</v>
      </c>
      <c r="H931" s="8"/>
      <c r="I931" s="9"/>
      <c r="J931" s="9" t="s">
        <v>23</v>
      </c>
      <c r="K931" s="8"/>
      <c r="L931" s="9"/>
      <c r="M931" s="10"/>
      <c r="N931" s="11" t="s">
        <v>3735</v>
      </c>
      <c r="O931" s="12" t="s">
        <v>26</v>
      </c>
    </row>
    <row r="932" spans="1:15">
      <c r="A932" s="4">
        <v>928</v>
      </c>
      <c r="B932" s="5" t="s">
        <v>3576</v>
      </c>
      <c r="C932" s="5" t="s">
        <v>3641</v>
      </c>
      <c r="D932" s="5" t="s">
        <v>3736</v>
      </c>
      <c r="E932" s="6" t="s">
        <v>3737</v>
      </c>
      <c r="F932" s="7" t="s">
        <v>21</v>
      </c>
      <c r="G932" s="5" t="s">
        <v>22</v>
      </c>
      <c r="H932" s="8"/>
      <c r="I932" s="9"/>
      <c r="J932" s="9" t="s">
        <v>23</v>
      </c>
      <c r="K932" s="8"/>
      <c r="L932" s="9"/>
      <c r="M932" s="10"/>
      <c r="N932" s="11" t="s">
        <v>3738</v>
      </c>
      <c r="O932" s="12" t="s">
        <v>26</v>
      </c>
    </row>
    <row r="933" spans="1:15">
      <c r="A933" s="4">
        <v>929</v>
      </c>
      <c r="B933" s="5" t="s">
        <v>3576</v>
      </c>
      <c r="C933" s="5" t="s">
        <v>3739</v>
      </c>
      <c r="D933" s="5" t="s">
        <v>3740</v>
      </c>
      <c r="E933" s="6" t="s">
        <v>3741</v>
      </c>
      <c r="F933" s="7" t="s">
        <v>21</v>
      </c>
      <c r="G933" s="5" t="s">
        <v>22</v>
      </c>
      <c r="H933" s="8"/>
      <c r="I933" s="9"/>
      <c r="J933" s="9" t="s">
        <v>23</v>
      </c>
      <c r="K933" s="8"/>
      <c r="L933" s="9"/>
      <c r="M933" s="10" t="s">
        <v>3742</v>
      </c>
      <c r="N933" s="11" t="s">
        <v>3743</v>
      </c>
      <c r="O933" s="12" t="s">
        <v>26</v>
      </c>
    </row>
    <row r="934" spans="1:15">
      <c r="A934" s="4">
        <v>930</v>
      </c>
      <c r="B934" s="5" t="s">
        <v>3576</v>
      </c>
      <c r="C934" s="5" t="s">
        <v>3577</v>
      </c>
      <c r="D934" s="5" t="s">
        <v>3744</v>
      </c>
      <c r="E934" s="6" t="s">
        <v>3745</v>
      </c>
      <c r="F934" s="7" t="s">
        <v>21</v>
      </c>
      <c r="G934" s="5" t="s">
        <v>22</v>
      </c>
      <c r="H934" s="8"/>
      <c r="I934" s="9"/>
      <c r="J934" s="9" t="s">
        <v>23</v>
      </c>
      <c r="K934" s="8"/>
      <c r="L934" s="9"/>
      <c r="M934" s="10" t="s">
        <v>3746</v>
      </c>
      <c r="N934" s="11" t="s">
        <v>3747</v>
      </c>
      <c r="O934" s="12" t="s">
        <v>26</v>
      </c>
    </row>
    <row r="935" spans="1:15">
      <c r="A935" s="4">
        <v>931</v>
      </c>
      <c r="B935" s="5" t="s">
        <v>3576</v>
      </c>
      <c r="C935" s="5" t="s">
        <v>3748</v>
      </c>
      <c r="D935" s="5" t="s">
        <v>3749</v>
      </c>
      <c r="E935" s="6" t="s">
        <v>3750</v>
      </c>
      <c r="F935" s="7" t="s">
        <v>21</v>
      </c>
      <c r="G935" s="5" t="s">
        <v>22</v>
      </c>
      <c r="H935" s="8"/>
      <c r="I935" s="9"/>
      <c r="J935" s="9" t="s">
        <v>23</v>
      </c>
      <c r="K935" s="8"/>
      <c r="L935" s="9"/>
      <c r="M935" s="10"/>
      <c r="N935" s="11" t="s">
        <v>3751</v>
      </c>
      <c r="O935" s="12" t="s">
        <v>26</v>
      </c>
    </row>
    <row r="936" spans="1:15">
      <c r="A936" s="4">
        <v>932</v>
      </c>
      <c r="B936" s="5" t="s">
        <v>3576</v>
      </c>
      <c r="C936" s="5" t="s">
        <v>3582</v>
      </c>
      <c r="D936" s="5" t="s">
        <v>3752</v>
      </c>
      <c r="E936" s="6" t="s">
        <v>3753</v>
      </c>
      <c r="F936" s="7" t="s">
        <v>21</v>
      </c>
      <c r="G936" s="5" t="s">
        <v>29</v>
      </c>
      <c r="H936" s="8"/>
      <c r="I936" s="9"/>
      <c r="J936" s="9" t="s">
        <v>23</v>
      </c>
      <c r="K936" s="8"/>
      <c r="L936" s="9"/>
      <c r="M936" s="10" t="s">
        <v>3754</v>
      </c>
      <c r="N936" s="11" t="s">
        <v>3755</v>
      </c>
      <c r="O936" s="12" t="s">
        <v>26</v>
      </c>
    </row>
    <row r="937" spans="1:15">
      <c r="A937" s="4">
        <v>933</v>
      </c>
      <c r="B937" s="5" t="s">
        <v>3576</v>
      </c>
      <c r="C937" s="5" t="s">
        <v>3756</v>
      </c>
      <c r="D937" s="5" t="s">
        <v>3757</v>
      </c>
      <c r="E937" s="6" t="s">
        <v>3758</v>
      </c>
      <c r="F937" s="7" t="s">
        <v>21</v>
      </c>
      <c r="G937" s="5" t="s">
        <v>22</v>
      </c>
      <c r="H937" s="8"/>
      <c r="I937" s="9"/>
      <c r="J937" s="9" t="s">
        <v>23</v>
      </c>
      <c r="K937" s="8"/>
      <c r="L937" s="9"/>
      <c r="M937" s="10"/>
      <c r="N937" s="11" t="s">
        <v>3759</v>
      </c>
      <c r="O937" s="12" t="s">
        <v>26</v>
      </c>
    </row>
    <row r="938" spans="1:15">
      <c r="A938" s="4">
        <v>934</v>
      </c>
      <c r="B938" s="5" t="s">
        <v>3576</v>
      </c>
      <c r="C938" s="5" t="s">
        <v>3622</v>
      </c>
      <c r="D938" s="5" t="s">
        <v>3760</v>
      </c>
      <c r="E938" s="6" t="s">
        <v>3761</v>
      </c>
      <c r="F938" s="7" t="s">
        <v>21</v>
      </c>
      <c r="G938" s="5" t="s">
        <v>22</v>
      </c>
      <c r="H938" s="8"/>
      <c r="I938" s="9"/>
      <c r="J938" s="9" t="s">
        <v>23</v>
      </c>
      <c r="K938" s="8"/>
      <c r="L938" s="9"/>
      <c r="M938" s="10" t="s">
        <v>3762</v>
      </c>
      <c r="N938" s="11" t="s">
        <v>3763</v>
      </c>
      <c r="O938" s="12" t="s">
        <v>26</v>
      </c>
    </row>
    <row r="939" spans="1:15">
      <c r="A939" s="4">
        <v>935</v>
      </c>
      <c r="B939" s="5" t="s">
        <v>3576</v>
      </c>
      <c r="C939" s="5" t="s">
        <v>3626</v>
      </c>
      <c r="D939" s="5" t="s">
        <v>3764</v>
      </c>
      <c r="E939" s="6" t="s">
        <v>3765</v>
      </c>
      <c r="F939" s="7" t="s">
        <v>21</v>
      </c>
      <c r="G939" s="5" t="s">
        <v>22</v>
      </c>
      <c r="H939" s="8"/>
      <c r="I939" s="9"/>
      <c r="J939" s="9" t="s">
        <v>23</v>
      </c>
      <c r="K939" s="8"/>
      <c r="L939" s="9"/>
      <c r="M939" s="10"/>
      <c r="N939" s="11" t="s">
        <v>3766</v>
      </c>
      <c r="O939" s="12" t="s">
        <v>26</v>
      </c>
    </row>
    <row r="940" spans="1:15">
      <c r="A940" s="4">
        <v>936</v>
      </c>
      <c r="B940" s="5" t="s">
        <v>3576</v>
      </c>
      <c r="C940" s="5" t="s">
        <v>3717</v>
      </c>
      <c r="D940" s="5" t="s">
        <v>3767</v>
      </c>
      <c r="E940" s="6" t="s">
        <v>3768</v>
      </c>
      <c r="F940" s="7" t="s">
        <v>21</v>
      </c>
      <c r="G940" s="5" t="s">
        <v>22</v>
      </c>
      <c r="H940" s="8"/>
      <c r="I940" s="9"/>
      <c r="J940" s="9" t="s">
        <v>23</v>
      </c>
      <c r="K940" s="8"/>
      <c r="L940" s="9"/>
      <c r="M940" s="10" t="s">
        <v>3769</v>
      </c>
      <c r="N940" s="11" t="s">
        <v>3770</v>
      </c>
      <c r="O940" s="12" t="s">
        <v>26</v>
      </c>
    </row>
    <row r="941" spans="1:15">
      <c r="A941" s="4">
        <v>937</v>
      </c>
      <c r="B941" s="5" t="s">
        <v>3576</v>
      </c>
      <c r="C941" s="5" t="s">
        <v>3591</v>
      </c>
      <c r="D941" s="5" t="s">
        <v>3771</v>
      </c>
      <c r="E941" s="6" t="s">
        <v>3772</v>
      </c>
      <c r="F941" s="7" t="s">
        <v>21</v>
      </c>
      <c r="G941" s="5" t="s">
        <v>29</v>
      </c>
      <c r="H941" s="8"/>
      <c r="I941" s="9"/>
      <c r="J941" s="9" t="s">
        <v>23</v>
      </c>
      <c r="K941" s="8"/>
      <c r="L941" s="9"/>
      <c r="M941" s="10"/>
      <c r="N941" s="11" t="s">
        <v>3773</v>
      </c>
      <c r="O941" s="12" t="s">
        <v>26</v>
      </c>
    </row>
    <row r="942" spans="1:15">
      <c r="A942" s="4">
        <v>938</v>
      </c>
      <c r="B942" s="5" t="s">
        <v>3576</v>
      </c>
      <c r="C942" s="5" t="s">
        <v>3774</v>
      </c>
      <c r="D942" s="5" t="s">
        <v>3775</v>
      </c>
      <c r="E942" s="6" t="s">
        <v>3776</v>
      </c>
      <c r="F942" s="7" t="s">
        <v>21</v>
      </c>
      <c r="G942" s="5" t="s">
        <v>22</v>
      </c>
      <c r="H942" s="8"/>
      <c r="I942" s="9"/>
      <c r="J942" s="9" t="s">
        <v>23</v>
      </c>
      <c r="K942" s="8"/>
      <c r="L942" s="9"/>
      <c r="M942" s="10"/>
      <c r="N942" s="11" t="s">
        <v>3777</v>
      </c>
      <c r="O942" s="12" t="s">
        <v>26</v>
      </c>
    </row>
    <row r="943" spans="1:15">
      <c r="A943" s="4">
        <v>939</v>
      </c>
      <c r="B943" s="5" t="s">
        <v>3576</v>
      </c>
      <c r="C943" s="5" t="s">
        <v>3613</v>
      </c>
      <c r="D943" s="5" t="s">
        <v>3778</v>
      </c>
      <c r="E943" s="6" t="s">
        <v>3779</v>
      </c>
      <c r="F943" s="7" t="s">
        <v>21</v>
      </c>
      <c r="G943" s="5" t="s">
        <v>22</v>
      </c>
      <c r="H943" s="8"/>
      <c r="I943" s="9"/>
      <c r="J943" s="9" t="s">
        <v>23</v>
      </c>
      <c r="K943" s="8"/>
      <c r="L943" s="9"/>
      <c r="M943" s="10"/>
      <c r="N943" s="11" t="s">
        <v>3780</v>
      </c>
      <c r="O943" s="12" t="s">
        <v>26</v>
      </c>
    </row>
    <row r="944" spans="1:15">
      <c r="A944" s="4">
        <v>940</v>
      </c>
      <c r="B944" s="5" t="s">
        <v>3576</v>
      </c>
      <c r="C944" s="5" t="s">
        <v>3781</v>
      </c>
      <c r="D944" s="5" t="s">
        <v>3782</v>
      </c>
      <c r="E944" s="6" t="s">
        <v>3783</v>
      </c>
      <c r="F944" s="7" t="s">
        <v>21</v>
      </c>
      <c r="G944" s="5" t="s">
        <v>22</v>
      </c>
      <c r="H944" s="8"/>
      <c r="I944" s="9"/>
      <c r="J944" s="9" t="s">
        <v>23</v>
      </c>
      <c r="K944" s="8"/>
      <c r="L944" s="9"/>
      <c r="M944" s="10" t="s">
        <v>3784</v>
      </c>
      <c r="N944" s="11" t="s">
        <v>3785</v>
      </c>
      <c r="O944" s="12" t="s">
        <v>26</v>
      </c>
    </row>
    <row r="945" spans="1:15">
      <c r="A945" s="4">
        <v>941</v>
      </c>
      <c r="B945" s="5" t="s">
        <v>3576</v>
      </c>
      <c r="C945" s="5" t="s">
        <v>3728</v>
      </c>
      <c r="D945" s="5" t="s">
        <v>3786</v>
      </c>
      <c r="E945" s="6" t="s">
        <v>3787</v>
      </c>
      <c r="F945" s="7" t="s">
        <v>21</v>
      </c>
      <c r="G945" s="5" t="s">
        <v>22</v>
      </c>
      <c r="H945" s="8"/>
      <c r="I945" s="9"/>
      <c r="J945" s="9" t="s">
        <v>23</v>
      </c>
      <c r="K945" s="8"/>
      <c r="L945" s="9"/>
      <c r="M945" s="10"/>
      <c r="N945" s="11" t="s">
        <v>3788</v>
      </c>
      <c r="O945" s="12" t="s">
        <v>26</v>
      </c>
    </row>
    <row r="946" spans="1:15">
      <c r="A946" s="4">
        <v>942</v>
      </c>
      <c r="B946" s="5" t="s">
        <v>3576</v>
      </c>
      <c r="C946" s="5" t="s">
        <v>3618</v>
      </c>
      <c r="D946" s="5" t="s">
        <v>3789</v>
      </c>
      <c r="E946" s="6" t="s">
        <v>3790</v>
      </c>
      <c r="F946" s="7" t="s">
        <v>21</v>
      </c>
      <c r="G946" s="5" t="s">
        <v>22</v>
      </c>
      <c r="H946" s="8"/>
      <c r="I946" s="9"/>
      <c r="J946" s="9" t="s">
        <v>23</v>
      </c>
      <c r="K946" s="8"/>
      <c r="L946" s="9"/>
      <c r="M946" s="10" t="s">
        <v>3791</v>
      </c>
      <c r="N946" s="11" t="s">
        <v>3792</v>
      </c>
      <c r="O946" s="12" t="s">
        <v>26</v>
      </c>
    </row>
    <row r="947" spans="1:15">
      <c r="A947" s="4">
        <v>943</v>
      </c>
      <c r="B947" s="5" t="s">
        <v>3576</v>
      </c>
      <c r="C947" s="5" t="s">
        <v>3793</v>
      </c>
      <c r="D947" s="5" t="s">
        <v>3794</v>
      </c>
      <c r="E947" s="6" t="s">
        <v>3795</v>
      </c>
      <c r="F947" s="7" t="s">
        <v>21</v>
      </c>
      <c r="G947" s="5" t="s">
        <v>22</v>
      </c>
      <c r="H947" s="8"/>
      <c r="I947" s="9"/>
      <c r="J947" s="9" t="s">
        <v>23</v>
      </c>
      <c r="K947" s="8"/>
      <c r="L947" s="9"/>
      <c r="M947" s="10"/>
      <c r="N947" s="11" t="s">
        <v>3796</v>
      </c>
      <c r="O947" s="12" t="s">
        <v>26</v>
      </c>
    </row>
    <row r="948" spans="1:15">
      <c r="A948" s="4">
        <v>944</v>
      </c>
      <c r="B948" s="5" t="s">
        <v>3576</v>
      </c>
      <c r="C948" s="5" t="s">
        <v>3717</v>
      </c>
      <c r="D948" s="5" t="s">
        <v>3797</v>
      </c>
      <c r="E948" s="6" t="s">
        <v>3798</v>
      </c>
      <c r="F948" s="7" t="s">
        <v>21</v>
      </c>
      <c r="G948" s="5" t="s">
        <v>156</v>
      </c>
      <c r="H948" s="8"/>
      <c r="I948" s="9"/>
      <c r="J948" s="9" t="s">
        <v>23</v>
      </c>
      <c r="K948" s="8"/>
      <c r="L948" s="9"/>
      <c r="M948" s="10" t="s">
        <v>3799</v>
      </c>
      <c r="N948" s="11" t="s">
        <v>3800</v>
      </c>
      <c r="O948" s="12" t="s">
        <v>26</v>
      </c>
    </row>
    <row r="949" spans="1:15">
      <c r="A949" s="4">
        <v>945</v>
      </c>
      <c r="B949" s="5" t="s">
        <v>3576</v>
      </c>
      <c r="C949" s="5" t="s">
        <v>3698</v>
      </c>
      <c r="D949" s="5" t="s">
        <v>3801</v>
      </c>
      <c r="E949" s="6" t="s">
        <v>3802</v>
      </c>
      <c r="F949" s="7" t="s">
        <v>21</v>
      </c>
      <c r="G949" s="5" t="s">
        <v>22</v>
      </c>
      <c r="H949" s="8"/>
      <c r="I949" s="9"/>
      <c r="J949" s="9" t="s">
        <v>23</v>
      </c>
      <c r="K949" s="8"/>
      <c r="L949" s="9"/>
      <c r="M949" s="10" t="s">
        <v>3803</v>
      </c>
      <c r="N949" s="11" t="s">
        <v>3804</v>
      </c>
      <c r="O949" s="12" t="s">
        <v>26</v>
      </c>
    </row>
    <row r="950" spans="1:15">
      <c r="A950" s="4">
        <v>946</v>
      </c>
      <c r="B950" s="5" t="s">
        <v>3576</v>
      </c>
      <c r="C950" s="5" t="s">
        <v>3591</v>
      </c>
      <c r="D950" s="5" t="s">
        <v>3805</v>
      </c>
      <c r="E950" s="6" t="s">
        <v>3806</v>
      </c>
      <c r="F950" s="13" t="s">
        <v>34</v>
      </c>
      <c r="G950" s="5" t="s">
        <v>22</v>
      </c>
      <c r="H950" s="8"/>
      <c r="I950" s="9"/>
      <c r="J950" s="9" t="s">
        <v>23</v>
      </c>
      <c r="K950" s="8"/>
      <c r="L950" s="9"/>
      <c r="M950" s="10" t="s">
        <v>3807</v>
      </c>
      <c r="N950" s="11" t="s">
        <v>3808</v>
      </c>
      <c r="O950" s="12" t="s">
        <v>26</v>
      </c>
    </row>
    <row r="951" spans="1:15">
      <c r="A951" s="4">
        <v>947</v>
      </c>
      <c r="B951" s="5" t="s">
        <v>3576</v>
      </c>
      <c r="C951" s="5" t="s">
        <v>3809</v>
      </c>
      <c r="D951" s="5" t="s">
        <v>3810</v>
      </c>
      <c r="E951" s="6" t="s">
        <v>3811</v>
      </c>
      <c r="F951" s="7" t="s">
        <v>21</v>
      </c>
      <c r="G951" s="5" t="s">
        <v>22</v>
      </c>
      <c r="H951" s="8"/>
      <c r="I951" s="9"/>
      <c r="J951" s="9" t="s">
        <v>23</v>
      </c>
      <c r="K951" s="8"/>
      <c r="L951" s="9"/>
      <c r="M951" s="10"/>
      <c r="N951" s="11" t="s">
        <v>3812</v>
      </c>
      <c r="O951" s="12" t="s">
        <v>26</v>
      </c>
    </row>
    <row r="952" spans="1:15">
      <c r="A952" s="4">
        <v>948</v>
      </c>
      <c r="B952" s="5" t="s">
        <v>3576</v>
      </c>
      <c r="C952" s="5" t="s">
        <v>3582</v>
      </c>
      <c r="D952" s="5" t="s">
        <v>3813</v>
      </c>
      <c r="E952" s="6" t="s">
        <v>3814</v>
      </c>
      <c r="F952" s="7" t="s">
        <v>21</v>
      </c>
      <c r="G952" s="5" t="s">
        <v>22</v>
      </c>
      <c r="H952" s="8"/>
      <c r="I952" s="9"/>
      <c r="J952" s="9" t="s">
        <v>23</v>
      </c>
      <c r="K952" s="8"/>
      <c r="L952" s="9"/>
      <c r="M952" s="10"/>
      <c r="N952" s="11" t="s">
        <v>3815</v>
      </c>
      <c r="O952" s="12" t="s">
        <v>26</v>
      </c>
    </row>
    <row r="953" spans="1:15">
      <c r="A953" s="4">
        <v>949</v>
      </c>
      <c r="B953" s="5" t="s">
        <v>3576</v>
      </c>
      <c r="C953" s="5" t="s">
        <v>3816</v>
      </c>
      <c r="D953" s="5" t="s">
        <v>3817</v>
      </c>
      <c r="E953" s="6" t="s">
        <v>3818</v>
      </c>
      <c r="F953" s="7" t="s">
        <v>21</v>
      </c>
      <c r="G953" s="5" t="s">
        <v>22</v>
      </c>
      <c r="H953" s="8"/>
      <c r="I953" s="9"/>
      <c r="J953" s="9" t="s">
        <v>23</v>
      </c>
      <c r="K953" s="8"/>
      <c r="L953" s="9"/>
      <c r="M953" s="10" t="s">
        <v>3819</v>
      </c>
      <c r="N953" s="11" t="s">
        <v>3820</v>
      </c>
      <c r="O953" s="12" t="s">
        <v>26</v>
      </c>
    </row>
    <row r="954" spans="1:15">
      <c r="A954" s="4">
        <v>950</v>
      </c>
      <c r="B954" s="5" t="s">
        <v>3576</v>
      </c>
      <c r="C954" s="5" t="s">
        <v>3821</v>
      </c>
      <c r="D954" s="5" t="s">
        <v>3822</v>
      </c>
      <c r="E954" s="6" t="s">
        <v>3823</v>
      </c>
      <c r="F954" s="7" t="s">
        <v>21</v>
      </c>
      <c r="G954" s="5" t="s">
        <v>29</v>
      </c>
      <c r="H954" s="8"/>
      <c r="I954" s="9"/>
      <c r="J954" s="9" t="s">
        <v>23</v>
      </c>
      <c r="K954" s="8"/>
      <c r="L954" s="9"/>
      <c r="M954" s="10"/>
      <c r="N954" s="11" t="s">
        <v>3824</v>
      </c>
      <c r="O954" s="12" t="s">
        <v>26</v>
      </c>
    </row>
    <row r="955" spans="1:15">
      <c r="A955" s="4">
        <v>951</v>
      </c>
      <c r="B955" s="5" t="s">
        <v>3576</v>
      </c>
      <c r="C955" s="5" t="s">
        <v>3825</v>
      </c>
      <c r="D955" s="5" t="s">
        <v>3826</v>
      </c>
      <c r="E955" s="6" t="s">
        <v>3827</v>
      </c>
      <c r="F955" s="7" t="s">
        <v>21</v>
      </c>
      <c r="G955" s="5" t="s">
        <v>22</v>
      </c>
      <c r="H955" s="8"/>
      <c r="I955" s="9"/>
      <c r="J955" s="9" t="s">
        <v>23</v>
      </c>
      <c r="K955" s="8"/>
      <c r="L955" s="9"/>
      <c r="M955" s="10" t="s">
        <v>3828</v>
      </c>
      <c r="N955" s="11" t="s">
        <v>3829</v>
      </c>
      <c r="O955" s="12" t="s">
        <v>26</v>
      </c>
    </row>
    <row r="956" spans="1:15">
      <c r="A956" s="4">
        <v>952</v>
      </c>
      <c r="B956" s="5" t="s">
        <v>3576</v>
      </c>
      <c r="C956" s="5" t="s">
        <v>3830</v>
      </c>
      <c r="D956" s="5" t="s">
        <v>3831</v>
      </c>
      <c r="E956" s="6" t="s">
        <v>3832</v>
      </c>
      <c r="F956" s="7" t="s">
        <v>21</v>
      </c>
      <c r="G956" s="5" t="s">
        <v>22</v>
      </c>
      <c r="H956" s="8"/>
      <c r="I956" s="9"/>
      <c r="J956" s="9" t="s">
        <v>23</v>
      </c>
      <c r="K956" s="8"/>
      <c r="L956" s="9"/>
      <c r="M956" s="10" t="s">
        <v>3833</v>
      </c>
      <c r="N956" s="11" t="s">
        <v>3834</v>
      </c>
      <c r="O956" s="12" t="s">
        <v>26</v>
      </c>
    </row>
    <row r="957" spans="1:15">
      <c r="A957" s="4">
        <v>953</v>
      </c>
      <c r="B957" s="5" t="s">
        <v>3576</v>
      </c>
      <c r="C957" s="5" t="s">
        <v>3608</v>
      </c>
      <c r="D957" s="5" t="s">
        <v>3835</v>
      </c>
      <c r="E957" s="6" t="s">
        <v>3836</v>
      </c>
      <c r="F957" s="7" t="s">
        <v>21</v>
      </c>
      <c r="G957" s="5" t="s">
        <v>22</v>
      </c>
      <c r="H957" s="8"/>
      <c r="I957" s="9"/>
      <c r="J957" s="9" t="s">
        <v>23</v>
      </c>
      <c r="K957" s="8"/>
      <c r="L957" s="9"/>
      <c r="M957" s="10" t="s">
        <v>3837</v>
      </c>
      <c r="N957" s="11" t="s">
        <v>3838</v>
      </c>
      <c r="O957" s="12" t="s">
        <v>26</v>
      </c>
    </row>
    <row r="958" spans="1:15">
      <c r="A958" s="4">
        <v>954</v>
      </c>
      <c r="B958" s="5" t="s">
        <v>3576</v>
      </c>
      <c r="C958" s="5" t="s">
        <v>3664</v>
      </c>
      <c r="D958" s="5" t="s">
        <v>3839</v>
      </c>
      <c r="E958" s="6" t="s">
        <v>3840</v>
      </c>
      <c r="F958" s="7" t="s">
        <v>21</v>
      </c>
      <c r="G958" s="5" t="s">
        <v>22</v>
      </c>
      <c r="H958" s="8"/>
      <c r="I958" s="9"/>
      <c r="J958" s="9" t="s">
        <v>23</v>
      </c>
      <c r="K958" s="8"/>
      <c r="L958" s="9"/>
      <c r="M958" s="10"/>
      <c r="N958" s="11" t="s">
        <v>3841</v>
      </c>
      <c r="O958" s="12" t="s">
        <v>26</v>
      </c>
    </row>
    <row r="959" spans="1:15">
      <c r="A959" s="4">
        <v>955</v>
      </c>
      <c r="B959" s="5" t="s">
        <v>3576</v>
      </c>
      <c r="C959" s="5" t="s">
        <v>3631</v>
      </c>
      <c r="D959" s="5" t="s">
        <v>3842</v>
      </c>
      <c r="E959" s="6" t="s">
        <v>3843</v>
      </c>
      <c r="F959" s="7" t="s">
        <v>21</v>
      </c>
      <c r="G959" s="5" t="s">
        <v>22</v>
      </c>
      <c r="H959" s="8"/>
      <c r="I959" s="9"/>
      <c r="J959" s="9" t="s">
        <v>23</v>
      </c>
      <c r="K959" s="8"/>
      <c r="L959" s="9"/>
      <c r="M959" s="10" t="s">
        <v>3844</v>
      </c>
      <c r="N959" s="11" t="s">
        <v>3845</v>
      </c>
      <c r="O959" s="12" t="s">
        <v>26</v>
      </c>
    </row>
    <row r="960" spans="1:15">
      <c r="A960" s="4">
        <v>956</v>
      </c>
      <c r="B960" s="5" t="s">
        <v>3576</v>
      </c>
      <c r="C960" s="5" t="s">
        <v>3636</v>
      </c>
      <c r="D960" s="5" t="s">
        <v>3846</v>
      </c>
      <c r="E960" s="6" t="s">
        <v>3847</v>
      </c>
      <c r="F960" s="7" t="s">
        <v>21</v>
      </c>
      <c r="G960" s="5" t="s">
        <v>29</v>
      </c>
      <c r="H960" s="8"/>
      <c r="I960" s="9"/>
      <c r="J960" s="9" t="s">
        <v>23</v>
      </c>
      <c r="K960" s="8"/>
      <c r="L960" s="9"/>
      <c r="M960" s="10"/>
      <c r="N960" s="11" t="s">
        <v>3848</v>
      </c>
      <c r="O960" s="12" t="s">
        <v>26</v>
      </c>
    </row>
    <row r="961" spans="1:15">
      <c r="A961" s="4">
        <v>957</v>
      </c>
      <c r="B961" s="5" t="s">
        <v>3576</v>
      </c>
      <c r="C961" s="5" t="s">
        <v>3591</v>
      </c>
      <c r="D961" s="5" t="s">
        <v>3849</v>
      </c>
      <c r="E961" s="6" t="s">
        <v>3850</v>
      </c>
      <c r="F961" s="7" t="s">
        <v>21</v>
      </c>
      <c r="G961" s="5" t="s">
        <v>29</v>
      </c>
      <c r="H961" s="8"/>
      <c r="I961" s="9"/>
      <c r="J961" s="9" t="s">
        <v>23</v>
      </c>
      <c r="K961" s="8"/>
      <c r="L961" s="9"/>
      <c r="M961" s="10"/>
      <c r="N961" s="11" t="s">
        <v>3851</v>
      </c>
      <c r="O961" s="12" t="s">
        <v>26</v>
      </c>
    </row>
    <row r="962" spans="1:15">
      <c r="A962" s="4">
        <v>958</v>
      </c>
      <c r="B962" s="5" t="s">
        <v>3576</v>
      </c>
      <c r="C962" s="5" t="s">
        <v>3852</v>
      </c>
      <c r="D962" s="5" t="s">
        <v>3853</v>
      </c>
      <c r="E962" s="6" t="s">
        <v>3854</v>
      </c>
      <c r="F962" s="7" t="s">
        <v>21</v>
      </c>
      <c r="G962" s="5" t="s">
        <v>22</v>
      </c>
      <c r="H962" s="8"/>
      <c r="I962" s="9"/>
      <c r="J962" s="9" t="s">
        <v>23</v>
      </c>
      <c r="K962" s="8"/>
      <c r="L962" s="9"/>
      <c r="M962" s="10" t="s">
        <v>180</v>
      </c>
      <c r="N962" s="11" t="s">
        <v>3855</v>
      </c>
      <c r="O962" s="12" t="s">
        <v>26</v>
      </c>
    </row>
    <row r="963" spans="1:15">
      <c r="A963" s="4">
        <v>959</v>
      </c>
      <c r="B963" s="5" t="s">
        <v>3576</v>
      </c>
      <c r="C963" s="5" t="s">
        <v>3626</v>
      </c>
      <c r="D963" s="5" t="s">
        <v>3856</v>
      </c>
      <c r="E963" s="6" t="s">
        <v>3857</v>
      </c>
      <c r="F963" s="7" t="s">
        <v>21</v>
      </c>
      <c r="G963" s="5" t="s">
        <v>22</v>
      </c>
      <c r="H963" s="8"/>
      <c r="I963" s="9"/>
      <c r="J963" s="9" t="s">
        <v>23</v>
      </c>
      <c r="K963" s="8"/>
      <c r="L963" s="9"/>
      <c r="M963" s="10"/>
      <c r="N963" s="11" t="s">
        <v>3858</v>
      </c>
      <c r="O963" s="12" t="s">
        <v>26</v>
      </c>
    </row>
    <row r="964" spans="1:15">
      <c r="A964" s="4">
        <v>960</v>
      </c>
      <c r="B964" s="5" t="s">
        <v>3576</v>
      </c>
      <c r="C964" s="5" t="s">
        <v>3859</v>
      </c>
      <c r="D964" s="5" t="s">
        <v>3860</v>
      </c>
      <c r="E964" s="6" t="s">
        <v>3861</v>
      </c>
      <c r="F964" s="7" t="s">
        <v>21</v>
      </c>
      <c r="G964" s="5" t="s">
        <v>22</v>
      </c>
      <c r="H964" s="8"/>
      <c r="I964" s="9"/>
      <c r="J964" s="9" t="s">
        <v>23</v>
      </c>
      <c r="K964" s="8"/>
      <c r="L964" s="9"/>
      <c r="M964" s="10" t="s">
        <v>3862</v>
      </c>
      <c r="N964" s="11" t="s">
        <v>3863</v>
      </c>
      <c r="O964" s="12" t="s">
        <v>26</v>
      </c>
    </row>
    <row r="965" spans="1:15">
      <c r="A965" s="4">
        <v>961</v>
      </c>
      <c r="B965" s="5" t="s">
        <v>3576</v>
      </c>
      <c r="C965" s="5" t="s">
        <v>3608</v>
      </c>
      <c r="D965" s="5" t="s">
        <v>3864</v>
      </c>
      <c r="E965" s="6" t="s">
        <v>3865</v>
      </c>
      <c r="F965" s="7" t="s">
        <v>21</v>
      </c>
      <c r="G965" s="5" t="s">
        <v>29</v>
      </c>
      <c r="H965" s="8"/>
      <c r="I965" s="9"/>
      <c r="J965" s="9" t="s">
        <v>23</v>
      </c>
      <c r="K965" s="8"/>
      <c r="L965" s="9"/>
      <c r="M965" s="10"/>
      <c r="N965" s="11" t="s">
        <v>3866</v>
      </c>
      <c r="O965" s="12" t="s">
        <v>26</v>
      </c>
    </row>
    <row r="966" spans="1:15">
      <c r="A966" s="4">
        <v>962</v>
      </c>
      <c r="B966" s="5" t="s">
        <v>3576</v>
      </c>
      <c r="C966" s="5" t="s">
        <v>3698</v>
      </c>
      <c r="D966" s="5" t="s">
        <v>3867</v>
      </c>
      <c r="E966" s="6" t="s">
        <v>3868</v>
      </c>
      <c r="F966" s="7" t="s">
        <v>21</v>
      </c>
      <c r="G966" s="5" t="s">
        <v>29</v>
      </c>
      <c r="H966" s="8"/>
      <c r="I966" s="9"/>
      <c r="J966" s="9" t="s">
        <v>23</v>
      </c>
      <c r="K966" s="8"/>
      <c r="L966" s="9"/>
      <c r="M966" s="10" t="s">
        <v>3869</v>
      </c>
      <c r="N966" s="11" t="s">
        <v>3870</v>
      </c>
      <c r="O966" s="12" t="s">
        <v>26</v>
      </c>
    </row>
    <row r="967" spans="1:15">
      <c r="A967" s="4">
        <v>963</v>
      </c>
      <c r="B967" s="5" t="s">
        <v>3576</v>
      </c>
      <c r="C967" s="5" t="s">
        <v>3728</v>
      </c>
      <c r="D967" s="5" t="s">
        <v>3871</v>
      </c>
      <c r="E967" s="6" t="s">
        <v>3872</v>
      </c>
      <c r="F967" s="13" t="s">
        <v>34</v>
      </c>
      <c r="G967" s="5" t="s">
        <v>22</v>
      </c>
      <c r="H967" s="8"/>
      <c r="I967" s="9"/>
      <c r="J967" s="9" t="s">
        <v>23</v>
      </c>
      <c r="K967" s="8"/>
      <c r="L967" s="9"/>
      <c r="M967" s="10" t="s">
        <v>3873</v>
      </c>
      <c r="N967" s="11" t="s">
        <v>3874</v>
      </c>
      <c r="O967" s="12" t="s">
        <v>26</v>
      </c>
    </row>
    <row r="968" spans="1:15">
      <c r="A968" s="4">
        <v>964</v>
      </c>
      <c r="B968" s="5" t="s">
        <v>3576</v>
      </c>
      <c r="C968" s="5" t="s">
        <v>3875</v>
      </c>
      <c r="D968" s="5" t="s">
        <v>3876</v>
      </c>
      <c r="E968" s="6" t="s">
        <v>3877</v>
      </c>
      <c r="F968" s="7" t="s">
        <v>21</v>
      </c>
      <c r="G968" s="5" t="s">
        <v>29</v>
      </c>
      <c r="H968" s="8"/>
      <c r="I968" s="9"/>
      <c r="J968" s="9" t="s">
        <v>23</v>
      </c>
      <c r="K968" s="8"/>
      <c r="L968" s="9"/>
      <c r="M968" s="10"/>
      <c r="N968" s="11" t="s">
        <v>3878</v>
      </c>
      <c r="O968" s="12" t="s">
        <v>26</v>
      </c>
    </row>
    <row r="969" spans="1:15">
      <c r="A969" s="4">
        <v>965</v>
      </c>
      <c r="B969" s="5" t="s">
        <v>3576</v>
      </c>
      <c r="C969" s="5" t="s">
        <v>3879</v>
      </c>
      <c r="D969" s="5" t="s">
        <v>3880</v>
      </c>
      <c r="E969" s="6" t="s">
        <v>3881</v>
      </c>
      <c r="F969" s="7" t="s">
        <v>21</v>
      </c>
      <c r="G969" s="5" t="s">
        <v>29</v>
      </c>
      <c r="H969" s="8"/>
      <c r="I969" s="9"/>
      <c r="J969" s="9" t="s">
        <v>23</v>
      </c>
      <c r="K969" s="8"/>
      <c r="L969" s="9"/>
      <c r="M969" s="10"/>
      <c r="N969" s="11" t="s">
        <v>3882</v>
      </c>
      <c r="O969" s="12" t="s">
        <v>26</v>
      </c>
    </row>
    <row r="970" spans="1:15">
      <c r="A970" s="4">
        <v>966</v>
      </c>
      <c r="B970" s="5" t="s">
        <v>3576</v>
      </c>
      <c r="C970" s="5" t="s">
        <v>3626</v>
      </c>
      <c r="D970" s="5" t="s">
        <v>3883</v>
      </c>
      <c r="E970" s="6" t="s">
        <v>3884</v>
      </c>
      <c r="F970" s="7" t="s">
        <v>21</v>
      </c>
      <c r="G970" s="5" t="s">
        <v>22</v>
      </c>
      <c r="H970" s="8"/>
      <c r="I970" s="9"/>
      <c r="J970" s="9" t="s">
        <v>23</v>
      </c>
      <c r="K970" s="8"/>
      <c r="L970" s="9"/>
      <c r="M970" s="10" t="s">
        <v>3885</v>
      </c>
      <c r="N970" s="11" t="s">
        <v>3886</v>
      </c>
      <c r="O970" s="12" t="s">
        <v>26</v>
      </c>
    </row>
    <row r="971" spans="1:15">
      <c r="A971" s="4">
        <v>967</v>
      </c>
      <c r="B971" s="5" t="s">
        <v>3576</v>
      </c>
      <c r="C971" s="5" t="s">
        <v>3887</v>
      </c>
      <c r="D971" s="5" t="s">
        <v>3888</v>
      </c>
      <c r="E971" s="6" t="s">
        <v>3889</v>
      </c>
      <c r="F971" s="7" t="s">
        <v>21</v>
      </c>
      <c r="G971" s="5" t="s">
        <v>39</v>
      </c>
      <c r="H971" s="8"/>
      <c r="I971" s="9"/>
      <c r="J971" s="9" t="s">
        <v>23</v>
      </c>
      <c r="K971" s="8"/>
      <c r="L971" s="9"/>
      <c r="M971" s="10" t="s">
        <v>3890</v>
      </c>
      <c r="N971" s="11" t="s">
        <v>3891</v>
      </c>
      <c r="O971" s="12" t="s">
        <v>26</v>
      </c>
    </row>
    <row r="972" spans="1:15">
      <c r="A972" s="4">
        <v>968</v>
      </c>
      <c r="B972" s="5" t="s">
        <v>3576</v>
      </c>
      <c r="C972" s="5" t="s">
        <v>3830</v>
      </c>
      <c r="D972" s="5" t="s">
        <v>3892</v>
      </c>
      <c r="E972" s="6" t="s">
        <v>3893</v>
      </c>
      <c r="F972" s="7" t="s">
        <v>21</v>
      </c>
      <c r="G972" s="5" t="s">
        <v>22</v>
      </c>
      <c r="H972" s="8"/>
      <c r="I972" s="9"/>
      <c r="J972" s="9" t="s">
        <v>23</v>
      </c>
      <c r="K972" s="8"/>
      <c r="L972" s="9"/>
      <c r="M972" s="10"/>
      <c r="N972" s="11" t="s">
        <v>3894</v>
      </c>
      <c r="O972" s="12" t="s">
        <v>26</v>
      </c>
    </row>
    <row r="973" spans="1:15">
      <c r="A973" s="4">
        <v>969</v>
      </c>
      <c r="B973" s="5" t="s">
        <v>3576</v>
      </c>
      <c r="C973" s="5" t="s">
        <v>3781</v>
      </c>
      <c r="D973" s="5" t="s">
        <v>3895</v>
      </c>
      <c r="E973" s="6" t="s">
        <v>3896</v>
      </c>
      <c r="F973" s="7" t="s">
        <v>21</v>
      </c>
      <c r="G973" s="5" t="s">
        <v>22</v>
      </c>
      <c r="H973" s="8"/>
      <c r="I973" s="9"/>
      <c r="J973" s="9" t="s">
        <v>23</v>
      </c>
      <c r="K973" s="8"/>
      <c r="L973" s="9"/>
      <c r="M973" s="10" t="s">
        <v>3897</v>
      </c>
      <c r="N973" s="11" t="s">
        <v>3898</v>
      </c>
      <c r="O973" s="12" t="s">
        <v>26</v>
      </c>
    </row>
    <row r="974" spans="1:15">
      <c r="A974" s="4">
        <v>970</v>
      </c>
      <c r="B974" s="5" t="s">
        <v>3576</v>
      </c>
      <c r="C974" s="5" t="s">
        <v>3830</v>
      </c>
      <c r="D974" s="5" t="s">
        <v>3899</v>
      </c>
      <c r="E974" s="6" t="s">
        <v>3900</v>
      </c>
      <c r="F974" s="7" t="s">
        <v>21</v>
      </c>
      <c r="G974" s="5" t="s">
        <v>22</v>
      </c>
      <c r="H974" s="8"/>
      <c r="I974" s="9"/>
      <c r="J974" s="9" t="s">
        <v>23</v>
      </c>
      <c r="K974" s="8"/>
      <c r="L974" s="9"/>
      <c r="M974" s="10" t="s">
        <v>3901</v>
      </c>
      <c r="N974" s="11" t="s">
        <v>3902</v>
      </c>
      <c r="O974" s="12" t="s">
        <v>26</v>
      </c>
    </row>
    <row r="975" spans="1:15">
      <c r="A975" s="4">
        <v>971</v>
      </c>
      <c r="B975" s="5" t="s">
        <v>3576</v>
      </c>
      <c r="C975" s="5" t="s">
        <v>3626</v>
      </c>
      <c r="D975" s="5" t="s">
        <v>3903</v>
      </c>
      <c r="E975" s="6" t="s">
        <v>3904</v>
      </c>
      <c r="F975" s="7" t="s">
        <v>21</v>
      </c>
      <c r="G975" s="5" t="s">
        <v>29</v>
      </c>
      <c r="H975" s="8"/>
      <c r="I975" s="9"/>
      <c r="J975" s="9" t="s">
        <v>23</v>
      </c>
      <c r="K975" s="8"/>
      <c r="L975" s="9"/>
      <c r="M975" s="10" t="s">
        <v>3905</v>
      </c>
      <c r="N975" s="11" t="s">
        <v>3906</v>
      </c>
      <c r="O975" s="12" t="s">
        <v>26</v>
      </c>
    </row>
    <row r="976" spans="1:15">
      <c r="A976" s="4">
        <v>972</v>
      </c>
      <c r="B976" s="5" t="s">
        <v>3576</v>
      </c>
      <c r="C976" s="5" t="s">
        <v>3852</v>
      </c>
      <c r="D976" s="5" t="s">
        <v>3907</v>
      </c>
      <c r="E976" s="6" t="s">
        <v>3908</v>
      </c>
      <c r="F976" s="7" t="s">
        <v>21</v>
      </c>
      <c r="G976" s="5" t="s">
        <v>22</v>
      </c>
      <c r="H976" s="8"/>
      <c r="I976" s="9"/>
      <c r="J976" s="9" t="s">
        <v>23</v>
      </c>
      <c r="K976" s="8"/>
      <c r="L976" s="9"/>
      <c r="M976" s="10"/>
      <c r="N976" s="11" t="s">
        <v>3909</v>
      </c>
      <c r="O976" s="12" t="s">
        <v>26</v>
      </c>
    </row>
    <row r="977" spans="1:15">
      <c r="A977" s="4">
        <v>973</v>
      </c>
      <c r="B977" s="5" t="s">
        <v>3576</v>
      </c>
      <c r="C977" s="5" t="s">
        <v>3910</v>
      </c>
      <c r="D977" s="5" t="s">
        <v>3911</v>
      </c>
      <c r="E977" s="6" t="s">
        <v>3912</v>
      </c>
      <c r="F977" s="7" t="s">
        <v>21</v>
      </c>
      <c r="G977" s="5" t="s">
        <v>22</v>
      </c>
      <c r="H977" s="8"/>
      <c r="I977" s="9"/>
      <c r="J977" s="9" t="s">
        <v>23</v>
      </c>
      <c r="K977" s="8"/>
      <c r="L977" s="9"/>
      <c r="M977" s="10" t="s">
        <v>3913</v>
      </c>
      <c r="N977" s="11" t="s">
        <v>3914</v>
      </c>
      <c r="O977" s="12" t="s">
        <v>26</v>
      </c>
    </row>
    <row r="978" spans="1:15">
      <c r="A978" s="4">
        <v>974</v>
      </c>
      <c r="B978" s="5" t="s">
        <v>3576</v>
      </c>
      <c r="C978" s="5" t="s">
        <v>3915</v>
      </c>
      <c r="D978" s="5" t="s">
        <v>3916</v>
      </c>
      <c r="E978" s="6" t="s">
        <v>3917</v>
      </c>
      <c r="F978" s="7" t="s">
        <v>21</v>
      </c>
      <c r="G978" s="5" t="s">
        <v>22</v>
      </c>
      <c r="H978" s="8"/>
      <c r="I978" s="9"/>
      <c r="J978" s="9" t="s">
        <v>23</v>
      </c>
      <c r="K978" s="8"/>
      <c r="L978" s="9"/>
      <c r="M978" s="10"/>
      <c r="N978" s="11" t="s">
        <v>3918</v>
      </c>
      <c r="O978" s="12" t="s">
        <v>26</v>
      </c>
    </row>
    <row r="979" spans="1:15">
      <c r="A979" s="4">
        <v>975</v>
      </c>
      <c r="B979" s="5" t="s">
        <v>3576</v>
      </c>
      <c r="C979" s="5" t="s">
        <v>3875</v>
      </c>
      <c r="D979" s="5" t="s">
        <v>3919</v>
      </c>
      <c r="E979" s="6" t="s">
        <v>3920</v>
      </c>
      <c r="F979" s="7" t="s">
        <v>21</v>
      </c>
      <c r="G979" s="5" t="s">
        <v>22</v>
      </c>
      <c r="H979" s="8"/>
      <c r="I979" s="9"/>
      <c r="J979" s="9" t="s">
        <v>23</v>
      </c>
      <c r="K979" s="8"/>
      <c r="L979" s="9"/>
      <c r="M979" s="10" t="s">
        <v>3921</v>
      </c>
      <c r="N979" s="11" t="s">
        <v>3922</v>
      </c>
      <c r="O979" s="12" t="s">
        <v>26</v>
      </c>
    </row>
    <row r="980" spans="1:15">
      <c r="A980" s="4">
        <v>976</v>
      </c>
      <c r="B980" s="5" t="s">
        <v>3576</v>
      </c>
      <c r="C980" s="5" t="s">
        <v>3739</v>
      </c>
      <c r="D980" s="5" t="s">
        <v>3923</v>
      </c>
      <c r="E980" s="6" t="s">
        <v>3924</v>
      </c>
      <c r="F980" s="13" t="s">
        <v>34</v>
      </c>
      <c r="G980" s="5" t="s">
        <v>22</v>
      </c>
      <c r="H980" s="8"/>
      <c r="I980" s="9"/>
      <c r="J980" s="9" t="s">
        <v>23</v>
      </c>
      <c r="K980" s="8"/>
      <c r="L980" s="9"/>
      <c r="M980" s="10" t="s">
        <v>3925</v>
      </c>
      <c r="N980" s="11" t="s">
        <v>3926</v>
      </c>
      <c r="O980" s="12" t="s">
        <v>26</v>
      </c>
    </row>
    <row r="981" spans="1:15">
      <c r="A981" s="4">
        <v>977</v>
      </c>
      <c r="B981" s="5" t="s">
        <v>3576</v>
      </c>
      <c r="C981" s="5" t="s">
        <v>3582</v>
      </c>
      <c r="D981" s="5" t="s">
        <v>3927</v>
      </c>
      <c r="E981" s="6" t="s">
        <v>3928</v>
      </c>
      <c r="F981" s="7" t="s">
        <v>21</v>
      </c>
      <c r="G981" s="5" t="s">
        <v>22</v>
      </c>
      <c r="H981" s="8"/>
      <c r="I981" s="9"/>
      <c r="J981" s="9" t="s">
        <v>23</v>
      </c>
      <c r="K981" s="8"/>
      <c r="L981" s="9"/>
      <c r="M981" s="10"/>
      <c r="N981" s="11" t="s">
        <v>3929</v>
      </c>
      <c r="O981" s="12" t="s">
        <v>26</v>
      </c>
    </row>
    <row r="982" spans="1:15">
      <c r="A982" s="4">
        <v>978</v>
      </c>
      <c r="B982" s="5" t="s">
        <v>3576</v>
      </c>
      <c r="C982" s="5" t="s">
        <v>3879</v>
      </c>
      <c r="D982" s="5" t="s">
        <v>3930</v>
      </c>
      <c r="E982" s="6" t="s">
        <v>3931</v>
      </c>
      <c r="F982" s="7" t="s">
        <v>21</v>
      </c>
      <c r="G982" s="5" t="s">
        <v>22</v>
      </c>
      <c r="H982" s="8"/>
      <c r="I982" s="9"/>
      <c r="J982" s="9" t="s">
        <v>23</v>
      </c>
      <c r="K982" s="8"/>
      <c r="L982" s="9"/>
      <c r="M982" s="10" t="s">
        <v>3932</v>
      </c>
      <c r="N982" s="11" t="s">
        <v>3933</v>
      </c>
      <c r="O982" s="12" t="s">
        <v>26</v>
      </c>
    </row>
    <row r="983" spans="1:15">
      <c r="A983" s="4">
        <v>979</v>
      </c>
      <c r="B983" s="5" t="s">
        <v>3576</v>
      </c>
      <c r="C983" s="5" t="s">
        <v>3910</v>
      </c>
      <c r="D983" s="5" t="s">
        <v>3934</v>
      </c>
      <c r="E983" s="6" t="s">
        <v>3935</v>
      </c>
      <c r="F983" s="7" t="s">
        <v>21</v>
      </c>
      <c r="G983" s="5" t="s">
        <v>22</v>
      </c>
      <c r="H983" s="8"/>
      <c r="I983" s="9"/>
      <c r="J983" s="9" t="s">
        <v>23</v>
      </c>
      <c r="K983" s="8"/>
      <c r="L983" s="9"/>
      <c r="M983" s="10" t="s">
        <v>3936</v>
      </c>
      <c r="N983" s="11" t="s">
        <v>3937</v>
      </c>
      <c r="O983" s="12" t="s">
        <v>26</v>
      </c>
    </row>
    <row r="984" spans="1:15">
      <c r="A984" s="4">
        <v>980</v>
      </c>
      <c r="B984" s="5" t="s">
        <v>3576</v>
      </c>
      <c r="C984" s="5" t="s">
        <v>3618</v>
      </c>
      <c r="D984" s="5" t="s">
        <v>3938</v>
      </c>
      <c r="E984" s="6" t="s">
        <v>3939</v>
      </c>
      <c r="F984" s="7" t="s">
        <v>21</v>
      </c>
      <c r="G984" s="5" t="s">
        <v>22</v>
      </c>
      <c r="H984" s="8"/>
      <c r="I984" s="9"/>
      <c r="J984" s="9" t="s">
        <v>23</v>
      </c>
      <c r="K984" s="8"/>
      <c r="L984" s="9"/>
      <c r="M984" s="10"/>
      <c r="N984" s="11" t="s">
        <v>3940</v>
      </c>
      <c r="O984" s="12" t="s">
        <v>26</v>
      </c>
    </row>
    <row r="985" spans="1:15">
      <c r="A985" s="4">
        <v>981</v>
      </c>
      <c r="B985" s="5" t="s">
        <v>3576</v>
      </c>
      <c r="C985" s="5" t="s">
        <v>3577</v>
      </c>
      <c r="D985" s="5" t="s">
        <v>3941</v>
      </c>
      <c r="E985" s="6" t="s">
        <v>3942</v>
      </c>
      <c r="F985" s="7" t="s">
        <v>21</v>
      </c>
      <c r="G985" s="5" t="s">
        <v>22</v>
      </c>
      <c r="H985" s="8"/>
      <c r="I985" s="9"/>
      <c r="J985" s="9" t="s">
        <v>23</v>
      </c>
      <c r="K985" s="8"/>
      <c r="L985" s="9"/>
      <c r="M985" s="10" t="s">
        <v>3943</v>
      </c>
      <c r="N985" s="11" t="s">
        <v>3944</v>
      </c>
      <c r="O985" s="12" t="s">
        <v>26</v>
      </c>
    </row>
    <row r="986" spans="1:15">
      <c r="A986" s="4">
        <v>982</v>
      </c>
      <c r="B986" s="5" t="s">
        <v>3576</v>
      </c>
      <c r="C986" s="5" t="s">
        <v>3875</v>
      </c>
      <c r="D986" s="5" t="s">
        <v>3945</v>
      </c>
      <c r="E986" s="6" t="s">
        <v>3946</v>
      </c>
      <c r="F986" s="7" t="s">
        <v>21</v>
      </c>
      <c r="G986" s="5" t="s">
        <v>22</v>
      </c>
      <c r="H986" s="8"/>
      <c r="I986" s="9"/>
      <c r="J986" s="9" t="s">
        <v>23</v>
      </c>
      <c r="K986" s="8"/>
      <c r="L986" s="9"/>
      <c r="M986" s="10" t="s">
        <v>3947</v>
      </c>
      <c r="N986" s="11" t="s">
        <v>3948</v>
      </c>
      <c r="O986" s="12" t="s">
        <v>26</v>
      </c>
    </row>
    <row r="987" spans="1:15">
      <c r="A987" s="4">
        <v>983</v>
      </c>
      <c r="B987" s="5" t="s">
        <v>3576</v>
      </c>
      <c r="C987" s="5" t="s">
        <v>3587</v>
      </c>
      <c r="D987" s="5" t="s">
        <v>3949</v>
      </c>
      <c r="E987" s="6" t="s">
        <v>3950</v>
      </c>
      <c r="F987" s="13" t="s">
        <v>34</v>
      </c>
      <c r="G987" s="5" t="s">
        <v>22</v>
      </c>
      <c r="H987" s="8"/>
      <c r="I987" s="9"/>
      <c r="J987" s="9" t="s">
        <v>23</v>
      </c>
      <c r="K987" s="8"/>
      <c r="L987" s="9"/>
      <c r="M987" s="10" t="s">
        <v>3951</v>
      </c>
      <c r="N987" s="11" t="s">
        <v>3952</v>
      </c>
      <c r="O987" s="12" t="s">
        <v>26</v>
      </c>
    </row>
    <row r="988" spans="1:15">
      <c r="A988" s="4">
        <v>984</v>
      </c>
      <c r="B988" s="5" t="s">
        <v>3576</v>
      </c>
      <c r="C988" s="5" t="s">
        <v>3591</v>
      </c>
      <c r="D988" s="5" t="s">
        <v>3953</v>
      </c>
      <c r="E988" s="6" t="s">
        <v>3954</v>
      </c>
      <c r="F988" s="7" t="s">
        <v>21</v>
      </c>
      <c r="G988" s="5" t="s">
        <v>22</v>
      </c>
      <c r="H988" s="8"/>
      <c r="I988" s="9"/>
      <c r="J988" s="9" t="s">
        <v>23</v>
      </c>
      <c r="K988" s="8"/>
      <c r="L988" s="9"/>
      <c r="M988" s="10"/>
      <c r="N988" s="11" t="s">
        <v>3955</v>
      </c>
      <c r="O988" s="12" t="s">
        <v>26</v>
      </c>
    </row>
    <row r="989" spans="1:15">
      <c r="A989" s="4">
        <v>985</v>
      </c>
      <c r="B989" s="5" t="s">
        <v>3576</v>
      </c>
      <c r="C989" s="5" t="s">
        <v>3587</v>
      </c>
      <c r="D989" s="5" t="s">
        <v>3956</v>
      </c>
      <c r="E989" s="6" t="s">
        <v>3957</v>
      </c>
      <c r="F989" s="7" t="s">
        <v>21</v>
      </c>
      <c r="G989" s="5" t="s">
        <v>22</v>
      </c>
      <c r="H989" s="8"/>
      <c r="I989" s="9"/>
      <c r="J989" s="9" t="s">
        <v>23</v>
      </c>
      <c r="K989" s="8"/>
      <c r="L989" s="9"/>
      <c r="M989" s="10" t="s">
        <v>3943</v>
      </c>
      <c r="N989" s="11" t="s">
        <v>3958</v>
      </c>
      <c r="O989" s="12" t="s">
        <v>26</v>
      </c>
    </row>
    <row r="990" spans="1:15">
      <c r="A990" s="4">
        <v>986</v>
      </c>
      <c r="B990" s="5" t="s">
        <v>3576</v>
      </c>
      <c r="C990" s="5" t="s">
        <v>3959</v>
      </c>
      <c r="D990" s="5" t="s">
        <v>3960</v>
      </c>
      <c r="E990" s="6" t="s">
        <v>3961</v>
      </c>
      <c r="F990" s="7" t="s">
        <v>21</v>
      </c>
      <c r="G990" s="5" t="s">
        <v>22</v>
      </c>
      <c r="H990" s="8"/>
      <c r="I990" s="9"/>
      <c r="J990" s="9" t="s">
        <v>23</v>
      </c>
      <c r="K990" s="8"/>
      <c r="L990" s="9"/>
      <c r="M990" s="10" t="s">
        <v>3962</v>
      </c>
      <c r="N990" s="11" t="s">
        <v>3963</v>
      </c>
      <c r="O990" s="12" t="s">
        <v>26</v>
      </c>
    </row>
    <row r="991" spans="1:15">
      <c r="A991" s="4">
        <v>987</v>
      </c>
      <c r="B991" s="5" t="s">
        <v>3576</v>
      </c>
      <c r="C991" s="5" t="s">
        <v>3964</v>
      </c>
      <c r="D991" s="5" t="s">
        <v>3965</v>
      </c>
      <c r="E991" s="6" t="s">
        <v>3966</v>
      </c>
      <c r="F991" s="7" t="s">
        <v>21</v>
      </c>
      <c r="G991" s="5" t="s">
        <v>29</v>
      </c>
      <c r="H991" s="8"/>
      <c r="I991" s="9"/>
      <c r="J991" s="9" t="s">
        <v>23</v>
      </c>
      <c r="K991" s="8"/>
      <c r="L991" s="9"/>
      <c r="M991" s="10" t="s">
        <v>3967</v>
      </c>
      <c r="N991" s="11" t="s">
        <v>3968</v>
      </c>
      <c r="O991" s="12" t="s">
        <v>26</v>
      </c>
    </row>
    <row r="992" spans="1:15">
      <c r="A992" s="4">
        <v>988</v>
      </c>
      <c r="B992" s="5" t="s">
        <v>3576</v>
      </c>
      <c r="C992" s="5" t="s">
        <v>3875</v>
      </c>
      <c r="D992" s="5" t="s">
        <v>3969</v>
      </c>
      <c r="E992" s="6" t="s">
        <v>3970</v>
      </c>
      <c r="F992" s="7" t="s">
        <v>21</v>
      </c>
      <c r="G992" s="5" t="s">
        <v>22</v>
      </c>
      <c r="H992" s="8"/>
      <c r="I992" s="9"/>
      <c r="J992" s="9" t="s">
        <v>23</v>
      </c>
      <c r="K992" s="8"/>
      <c r="L992" s="9"/>
      <c r="M992" s="10" t="s">
        <v>3943</v>
      </c>
      <c r="N992" s="11" t="s">
        <v>3971</v>
      </c>
      <c r="O992" s="12" t="s">
        <v>26</v>
      </c>
    </row>
    <row r="993" spans="1:15">
      <c r="A993" s="4">
        <v>989</v>
      </c>
      <c r="B993" s="5" t="s">
        <v>3576</v>
      </c>
      <c r="C993" s="5" t="s">
        <v>3591</v>
      </c>
      <c r="D993" s="5" t="s">
        <v>3972</v>
      </c>
      <c r="E993" s="6" t="s">
        <v>3973</v>
      </c>
      <c r="F993" s="7" t="s">
        <v>21</v>
      </c>
      <c r="G993" s="5" t="s">
        <v>39</v>
      </c>
      <c r="H993" s="8"/>
      <c r="I993" s="9"/>
      <c r="J993" s="9" t="s">
        <v>23</v>
      </c>
      <c r="K993" s="8"/>
      <c r="L993" s="9"/>
      <c r="M993" s="10" t="s">
        <v>3974</v>
      </c>
      <c r="N993" s="11" t="s">
        <v>3975</v>
      </c>
      <c r="O993" s="12" t="s">
        <v>26</v>
      </c>
    </row>
    <row r="994" spans="1:15">
      <c r="A994" s="4">
        <v>990</v>
      </c>
      <c r="B994" s="5" t="s">
        <v>3576</v>
      </c>
      <c r="C994" s="5" t="s">
        <v>3613</v>
      </c>
      <c r="D994" s="5" t="s">
        <v>3976</v>
      </c>
      <c r="E994" s="6" t="s">
        <v>3977</v>
      </c>
      <c r="F994" s="7" t="s">
        <v>21</v>
      </c>
      <c r="G994" s="5" t="s">
        <v>22</v>
      </c>
      <c r="H994" s="8"/>
      <c r="I994" s="9"/>
      <c r="J994" s="9" t="s">
        <v>23</v>
      </c>
      <c r="K994" s="8"/>
      <c r="L994" s="9"/>
      <c r="M994" s="10" t="s">
        <v>3978</v>
      </c>
      <c r="N994" s="11" t="s">
        <v>3979</v>
      </c>
      <c r="O994" s="12" t="s">
        <v>26</v>
      </c>
    </row>
    <row r="995" spans="1:15">
      <c r="A995" s="4">
        <v>991</v>
      </c>
      <c r="B995" s="5" t="s">
        <v>3980</v>
      </c>
      <c r="C995" s="5" t="s">
        <v>3981</v>
      </c>
      <c r="D995" s="5" t="s">
        <v>3982</v>
      </c>
      <c r="E995" s="6" t="s">
        <v>3983</v>
      </c>
      <c r="F995" s="13" t="s">
        <v>34</v>
      </c>
      <c r="G995" s="5" t="s">
        <v>22</v>
      </c>
      <c r="H995" s="8"/>
      <c r="I995" s="9"/>
      <c r="J995" s="9" t="s">
        <v>23</v>
      </c>
      <c r="K995" s="8"/>
      <c r="L995" s="9"/>
      <c r="M995" s="10" t="s">
        <v>3984</v>
      </c>
      <c r="N995" s="11" t="s">
        <v>3985</v>
      </c>
      <c r="O995" s="12" t="s">
        <v>26</v>
      </c>
    </row>
    <row r="996" spans="1:15">
      <c r="A996" s="4">
        <v>992</v>
      </c>
      <c r="B996" s="5" t="s">
        <v>3980</v>
      </c>
      <c r="C996" s="5" t="s">
        <v>3986</v>
      </c>
      <c r="D996" s="5" t="s">
        <v>3987</v>
      </c>
      <c r="E996" s="6" t="s">
        <v>3988</v>
      </c>
      <c r="F996" s="7" t="s">
        <v>21</v>
      </c>
      <c r="G996" s="5" t="s">
        <v>22</v>
      </c>
      <c r="H996" s="8"/>
      <c r="I996" s="9"/>
      <c r="J996" s="9" t="s">
        <v>23</v>
      </c>
      <c r="K996" s="8"/>
      <c r="L996" s="9"/>
      <c r="M996" s="10" t="s">
        <v>3611</v>
      </c>
      <c r="N996" s="11" t="s">
        <v>3989</v>
      </c>
      <c r="O996" s="12" t="s">
        <v>26</v>
      </c>
    </row>
    <row r="997" spans="1:15">
      <c r="A997" s="4">
        <v>993</v>
      </c>
      <c r="B997" s="5" t="s">
        <v>3980</v>
      </c>
      <c r="C997" s="5" t="s">
        <v>3990</v>
      </c>
      <c r="D997" s="5" t="s">
        <v>3991</v>
      </c>
      <c r="E997" s="6" t="s">
        <v>3992</v>
      </c>
      <c r="F997" s="7" t="s">
        <v>21</v>
      </c>
      <c r="G997" s="5" t="s">
        <v>29</v>
      </c>
      <c r="H997" s="8"/>
      <c r="I997" s="9"/>
      <c r="J997" s="9" t="s">
        <v>23</v>
      </c>
      <c r="K997" s="8"/>
      <c r="L997" s="9"/>
      <c r="M997" s="10" t="s">
        <v>3993</v>
      </c>
      <c r="N997" s="11" t="s">
        <v>3994</v>
      </c>
      <c r="O997" s="12" t="s">
        <v>26</v>
      </c>
    </row>
    <row r="998" spans="1:15">
      <c r="A998" s="4">
        <v>994</v>
      </c>
      <c r="B998" s="5" t="s">
        <v>3980</v>
      </c>
      <c r="C998" s="5" t="s">
        <v>3995</v>
      </c>
      <c r="D998" s="5" t="s">
        <v>3996</v>
      </c>
      <c r="E998" s="6" t="s">
        <v>3997</v>
      </c>
      <c r="F998" s="7" t="s">
        <v>21</v>
      </c>
      <c r="G998" s="5" t="s">
        <v>22</v>
      </c>
      <c r="H998" s="8"/>
      <c r="I998" s="9"/>
      <c r="J998" s="9" t="s">
        <v>23</v>
      </c>
      <c r="K998" s="8"/>
      <c r="L998" s="9"/>
      <c r="M998" s="10"/>
      <c r="N998" s="11" t="s">
        <v>3998</v>
      </c>
      <c r="O998" s="12" t="s">
        <v>26</v>
      </c>
    </row>
    <row r="999" spans="1:15">
      <c r="A999" s="4">
        <v>995</v>
      </c>
      <c r="B999" s="5" t="s">
        <v>3980</v>
      </c>
      <c r="C999" s="5" t="s">
        <v>3999</v>
      </c>
      <c r="D999" s="5" t="s">
        <v>4000</v>
      </c>
      <c r="E999" s="6" t="s">
        <v>4001</v>
      </c>
      <c r="F999" s="7" t="s">
        <v>21</v>
      </c>
      <c r="G999" s="5" t="s">
        <v>22</v>
      </c>
      <c r="H999" s="8"/>
      <c r="I999" s="9"/>
      <c r="J999" s="9" t="s">
        <v>23</v>
      </c>
      <c r="K999" s="8"/>
      <c r="L999" s="9"/>
      <c r="M999" s="10"/>
      <c r="N999" s="11" t="s">
        <v>4002</v>
      </c>
      <c r="O999" s="12" t="s">
        <v>26</v>
      </c>
    </row>
    <row r="1000" spans="1:15">
      <c r="A1000" s="4">
        <v>996</v>
      </c>
      <c r="B1000" s="5" t="s">
        <v>3980</v>
      </c>
      <c r="C1000" s="5" t="s">
        <v>4003</v>
      </c>
      <c r="D1000" s="5" t="s">
        <v>4004</v>
      </c>
      <c r="E1000" s="6" t="s">
        <v>4005</v>
      </c>
      <c r="F1000" s="7" t="s">
        <v>21</v>
      </c>
      <c r="G1000" s="5" t="s">
        <v>22</v>
      </c>
      <c r="H1000" s="8"/>
      <c r="I1000" s="9"/>
      <c r="J1000" s="9" t="s">
        <v>23</v>
      </c>
      <c r="K1000" s="8"/>
      <c r="L1000" s="9"/>
      <c r="M1000" s="10" t="s">
        <v>3943</v>
      </c>
      <c r="N1000" s="11" t="s">
        <v>4006</v>
      </c>
      <c r="O1000" s="12" t="s">
        <v>26</v>
      </c>
    </row>
    <row r="1001" spans="1:15">
      <c r="A1001" s="4">
        <v>997</v>
      </c>
      <c r="B1001" s="5" t="s">
        <v>3980</v>
      </c>
      <c r="C1001" s="5" t="s">
        <v>4007</v>
      </c>
      <c r="D1001" s="5" t="s">
        <v>4008</v>
      </c>
      <c r="E1001" s="6" t="s">
        <v>4009</v>
      </c>
      <c r="F1001" s="7" t="s">
        <v>21</v>
      </c>
      <c r="G1001" s="5" t="s">
        <v>22</v>
      </c>
      <c r="H1001" s="8"/>
      <c r="I1001" s="9"/>
      <c r="J1001" s="9" t="s">
        <v>23</v>
      </c>
      <c r="K1001" s="8"/>
      <c r="L1001" s="9"/>
      <c r="M1001" s="10" t="s">
        <v>4010</v>
      </c>
      <c r="N1001" s="11" t="s">
        <v>4011</v>
      </c>
      <c r="O1001" s="12" t="s">
        <v>26</v>
      </c>
    </row>
    <row r="1002" spans="1:15">
      <c r="A1002" s="4">
        <v>998</v>
      </c>
      <c r="B1002" s="5" t="s">
        <v>3980</v>
      </c>
      <c r="C1002" s="5" t="s">
        <v>4012</v>
      </c>
      <c r="D1002" s="5" t="s">
        <v>4013</v>
      </c>
      <c r="E1002" s="6" t="s">
        <v>4014</v>
      </c>
      <c r="F1002" s="7" t="s">
        <v>21</v>
      </c>
      <c r="G1002" s="5" t="s">
        <v>22</v>
      </c>
      <c r="H1002" s="8"/>
      <c r="I1002" s="9"/>
      <c r="J1002" s="9" t="s">
        <v>23</v>
      </c>
      <c r="K1002" s="8"/>
      <c r="L1002" s="9"/>
      <c r="M1002" s="10" t="s">
        <v>3611</v>
      </c>
      <c r="N1002" s="11" t="s">
        <v>4015</v>
      </c>
      <c r="O1002" s="12" t="s">
        <v>26</v>
      </c>
    </row>
    <row r="1003" spans="1:15">
      <c r="A1003" s="4">
        <v>999</v>
      </c>
      <c r="B1003" s="5" t="s">
        <v>3980</v>
      </c>
      <c r="C1003" s="5" t="s">
        <v>4016</v>
      </c>
      <c r="D1003" s="5" t="s">
        <v>4017</v>
      </c>
      <c r="E1003" s="6" t="s">
        <v>4018</v>
      </c>
      <c r="F1003" s="7" t="s">
        <v>21</v>
      </c>
      <c r="G1003" s="5" t="s">
        <v>22</v>
      </c>
      <c r="H1003" s="8"/>
      <c r="I1003" s="9"/>
      <c r="J1003" s="9" t="s">
        <v>23</v>
      </c>
      <c r="K1003" s="8"/>
      <c r="L1003" s="9"/>
      <c r="M1003" s="10" t="s">
        <v>4019</v>
      </c>
      <c r="N1003" s="11" t="s">
        <v>4020</v>
      </c>
      <c r="O1003" s="12" t="s">
        <v>26</v>
      </c>
    </row>
    <row r="1004" spans="1:15">
      <c r="A1004" s="4">
        <v>1000</v>
      </c>
      <c r="B1004" s="5" t="s">
        <v>3980</v>
      </c>
      <c r="C1004" s="5" t="s">
        <v>4021</v>
      </c>
      <c r="D1004" s="5" t="s">
        <v>4022</v>
      </c>
      <c r="E1004" s="6" t="s">
        <v>4023</v>
      </c>
      <c r="F1004" s="7" t="s">
        <v>21</v>
      </c>
      <c r="G1004" s="5" t="s">
        <v>22</v>
      </c>
      <c r="H1004" s="8"/>
      <c r="I1004" s="9"/>
      <c r="J1004" s="9" t="s">
        <v>23</v>
      </c>
      <c r="K1004" s="8"/>
      <c r="L1004" s="9"/>
      <c r="M1004" s="10" t="s">
        <v>4024</v>
      </c>
      <c r="N1004" s="11" t="s">
        <v>4025</v>
      </c>
      <c r="O1004" s="12" t="s">
        <v>26</v>
      </c>
    </row>
    <row r="1005" spans="1:15">
      <c r="A1005" s="4">
        <v>1001</v>
      </c>
      <c r="B1005" s="5" t="s">
        <v>3980</v>
      </c>
      <c r="C1005" s="5" t="s">
        <v>4007</v>
      </c>
      <c r="D1005" s="5" t="s">
        <v>4026</v>
      </c>
      <c r="E1005" s="6" t="s">
        <v>4027</v>
      </c>
      <c r="F1005" s="7" t="s">
        <v>21</v>
      </c>
      <c r="G1005" s="5" t="s">
        <v>22</v>
      </c>
      <c r="H1005" s="8"/>
      <c r="I1005" s="9"/>
      <c r="J1005" s="9" t="s">
        <v>23</v>
      </c>
      <c r="K1005" s="8"/>
      <c r="L1005" s="9"/>
      <c r="M1005" s="10" t="s">
        <v>4028</v>
      </c>
      <c r="N1005" s="11" t="s">
        <v>4029</v>
      </c>
      <c r="O1005" s="12" t="s">
        <v>26</v>
      </c>
    </row>
    <row r="1006" spans="1:15">
      <c r="A1006" s="4">
        <v>1002</v>
      </c>
      <c r="B1006" s="5" t="s">
        <v>3980</v>
      </c>
      <c r="C1006" s="5" t="s">
        <v>3990</v>
      </c>
      <c r="D1006" s="5" t="s">
        <v>4030</v>
      </c>
      <c r="E1006" s="6" t="s">
        <v>4031</v>
      </c>
      <c r="F1006" s="7" t="s">
        <v>21</v>
      </c>
      <c r="G1006" s="5" t="s">
        <v>22</v>
      </c>
      <c r="H1006" s="8"/>
      <c r="I1006" s="9"/>
      <c r="J1006" s="9" t="s">
        <v>23</v>
      </c>
      <c r="K1006" s="8"/>
      <c r="L1006" s="9"/>
      <c r="M1006" s="10" t="s">
        <v>3611</v>
      </c>
      <c r="N1006" s="11" t="s">
        <v>4032</v>
      </c>
      <c r="O1006" s="12" t="s">
        <v>26</v>
      </c>
    </row>
    <row r="1007" spans="1:15">
      <c r="A1007" s="4">
        <v>1003</v>
      </c>
      <c r="B1007" s="5" t="s">
        <v>3980</v>
      </c>
      <c r="C1007" s="5" t="s">
        <v>4033</v>
      </c>
      <c r="D1007" s="5" t="s">
        <v>4034</v>
      </c>
      <c r="E1007" s="6" t="s">
        <v>4035</v>
      </c>
      <c r="F1007" s="7" t="s">
        <v>21</v>
      </c>
      <c r="G1007" s="5" t="s">
        <v>22</v>
      </c>
      <c r="H1007" s="8"/>
      <c r="I1007" s="9"/>
      <c r="J1007" s="9" t="s">
        <v>23</v>
      </c>
      <c r="K1007" s="8"/>
      <c r="L1007" s="9"/>
      <c r="M1007" s="10" t="s">
        <v>3611</v>
      </c>
      <c r="N1007" s="11" t="s">
        <v>4036</v>
      </c>
      <c r="O1007" s="12" t="s">
        <v>26</v>
      </c>
    </row>
    <row r="1008" spans="1:15">
      <c r="A1008" s="4">
        <v>1004</v>
      </c>
      <c r="B1008" s="5" t="s">
        <v>3980</v>
      </c>
      <c r="C1008" s="5" t="s">
        <v>4037</v>
      </c>
      <c r="D1008" s="5" t="s">
        <v>4038</v>
      </c>
      <c r="E1008" s="6" t="s">
        <v>4039</v>
      </c>
      <c r="F1008" s="7" t="s">
        <v>21</v>
      </c>
      <c r="G1008" s="5" t="s">
        <v>22</v>
      </c>
      <c r="H1008" s="8"/>
      <c r="I1008" s="9"/>
      <c r="J1008" s="9" t="s">
        <v>23</v>
      </c>
      <c r="K1008" s="8"/>
      <c r="L1008" s="9"/>
      <c r="M1008" s="10" t="s">
        <v>3943</v>
      </c>
      <c r="N1008" s="11" t="s">
        <v>4040</v>
      </c>
      <c r="O1008" s="12" t="s">
        <v>26</v>
      </c>
    </row>
    <row r="1009" spans="1:15">
      <c r="A1009" s="4">
        <v>1005</v>
      </c>
      <c r="B1009" s="5" t="s">
        <v>3980</v>
      </c>
      <c r="C1009" s="5" t="s">
        <v>4041</v>
      </c>
      <c r="D1009" s="5" t="s">
        <v>4042</v>
      </c>
      <c r="E1009" s="6" t="s">
        <v>4043</v>
      </c>
      <c r="F1009" s="7" t="s">
        <v>21</v>
      </c>
      <c r="G1009" s="5" t="s">
        <v>22</v>
      </c>
      <c r="H1009" s="8"/>
      <c r="I1009" s="9"/>
      <c r="J1009" s="9" t="s">
        <v>23</v>
      </c>
      <c r="K1009" s="8"/>
      <c r="L1009" s="9"/>
      <c r="M1009" s="10" t="s">
        <v>4044</v>
      </c>
      <c r="N1009" s="11" t="s">
        <v>4045</v>
      </c>
      <c r="O1009" s="12" t="s">
        <v>26</v>
      </c>
    </row>
    <row r="1010" spans="1:15">
      <c r="A1010" s="4">
        <v>1006</v>
      </c>
      <c r="B1010" s="5" t="s">
        <v>3980</v>
      </c>
      <c r="C1010" s="5" t="s">
        <v>4046</v>
      </c>
      <c r="D1010" s="5" t="s">
        <v>4047</v>
      </c>
      <c r="E1010" s="6" t="s">
        <v>4048</v>
      </c>
      <c r="F1010" s="7" t="s">
        <v>21</v>
      </c>
      <c r="G1010" s="5" t="s">
        <v>22</v>
      </c>
      <c r="H1010" s="8"/>
      <c r="I1010" s="9"/>
      <c r="J1010" s="9" t="s">
        <v>23</v>
      </c>
      <c r="K1010" s="8"/>
      <c r="L1010" s="9"/>
      <c r="M1010" s="10"/>
      <c r="N1010" s="11" t="s">
        <v>4049</v>
      </c>
      <c r="O1010" s="12" t="s">
        <v>26</v>
      </c>
    </row>
    <row r="1011" spans="1:15">
      <c r="A1011" s="4">
        <v>1007</v>
      </c>
      <c r="B1011" s="5" t="s">
        <v>3980</v>
      </c>
      <c r="C1011" s="5" t="s">
        <v>4016</v>
      </c>
      <c r="D1011" s="5" t="s">
        <v>4050</v>
      </c>
      <c r="E1011" s="6" t="s">
        <v>4051</v>
      </c>
      <c r="F1011" s="7" t="s">
        <v>21</v>
      </c>
      <c r="G1011" s="5" t="s">
        <v>156</v>
      </c>
      <c r="H1011" s="8"/>
      <c r="I1011" s="9"/>
      <c r="J1011" s="9" t="s">
        <v>23</v>
      </c>
      <c r="K1011" s="8"/>
      <c r="L1011" s="9"/>
      <c r="M1011" s="10"/>
      <c r="N1011" s="11" t="s">
        <v>4052</v>
      </c>
      <c r="O1011" s="12" t="s">
        <v>26</v>
      </c>
    </row>
    <row r="1012" spans="1:15">
      <c r="A1012" s="4">
        <v>1008</v>
      </c>
      <c r="B1012" s="5" t="s">
        <v>3980</v>
      </c>
      <c r="C1012" s="5" t="s">
        <v>3986</v>
      </c>
      <c r="D1012" s="5" t="s">
        <v>4053</v>
      </c>
      <c r="E1012" s="6" t="s">
        <v>4054</v>
      </c>
      <c r="F1012" s="7" t="s">
        <v>21</v>
      </c>
      <c r="G1012" s="5" t="s">
        <v>29</v>
      </c>
      <c r="H1012" s="8"/>
      <c r="I1012" s="9"/>
      <c r="J1012" s="9" t="s">
        <v>23</v>
      </c>
      <c r="K1012" s="8"/>
      <c r="L1012" s="9"/>
      <c r="M1012" s="10" t="s">
        <v>3943</v>
      </c>
      <c r="N1012" s="11" t="s">
        <v>4055</v>
      </c>
      <c r="O1012" s="12" t="s">
        <v>26</v>
      </c>
    </row>
    <row r="1013" spans="1:15">
      <c r="A1013" s="4">
        <v>1009</v>
      </c>
      <c r="B1013" s="5" t="s">
        <v>3980</v>
      </c>
      <c r="C1013" s="5" t="s">
        <v>4007</v>
      </c>
      <c r="D1013" s="5" t="s">
        <v>4056</v>
      </c>
      <c r="E1013" s="6" t="s">
        <v>4057</v>
      </c>
      <c r="F1013" s="7" t="s">
        <v>21</v>
      </c>
      <c r="G1013" s="5" t="s">
        <v>22</v>
      </c>
      <c r="H1013" s="8"/>
      <c r="I1013" s="9"/>
      <c r="J1013" s="9" t="s">
        <v>23</v>
      </c>
      <c r="K1013" s="8"/>
      <c r="L1013" s="9"/>
      <c r="M1013" s="10" t="s">
        <v>4058</v>
      </c>
      <c r="N1013" s="11" t="s">
        <v>4059</v>
      </c>
      <c r="O1013" s="12" t="s">
        <v>26</v>
      </c>
    </row>
    <row r="1014" spans="1:15">
      <c r="A1014" s="4">
        <v>1010</v>
      </c>
      <c r="B1014" s="5" t="s">
        <v>3980</v>
      </c>
      <c r="C1014" s="5" t="s">
        <v>4016</v>
      </c>
      <c r="D1014" s="5" t="s">
        <v>4060</v>
      </c>
      <c r="E1014" s="6" t="s">
        <v>4061</v>
      </c>
      <c r="F1014" s="7" t="s">
        <v>21</v>
      </c>
      <c r="G1014" s="5" t="s">
        <v>156</v>
      </c>
      <c r="H1014" s="8"/>
      <c r="I1014" s="9"/>
      <c r="J1014" s="9" t="s">
        <v>23</v>
      </c>
      <c r="K1014" s="8"/>
      <c r="L1014" s="9"/>
      <c r="M1014" s="10"/>
      <c r="N1014" s="11" t="s">
        <v>4062</v>
      </c>
      <c r="O1014" s="12" t="s">
        <v>26</v>
      </c>
    </row>
    <row r="1015" spans="1:15">
      <c r="A1015" s="4">
        <v>1011</v>
      </c>
      <c r="B1015" s="5" t="s">
        <v>3980</v>
      </c>
      <c r="C1015" s="5" t="s">
        <v>4041</v>
      </c>
      <c r="D1015" s="5" t="s">
        <v>4063</v>
      </c>
      <c r="E1015" s="6" t="s">
        <v>4064</v>
      </c>
      <c r="F1015" s="7" t="s">
        <v>21</v>
      </c>
      <c r="G1015" s="5" t="s">
        <v>29</v>
      </c>
      <c r="H1015" s="8"/>
      <c r="I1015" s="9"/>
      <c r="J1015" s="9" t="s">
        <v>23</v>
      </c>
      <c r="K1015" s="8"/>
      <c r="L1015" s="9"/>
      <c r="M1015" s="10"/>
      <c r="N1015" s="11" t="s">
        <v>4065</v>
      </c>
      <c r="O1015" s="12" t="s">
        <v>26</v>
      </c>
    </row>
    <row r="1016" spans="1:15">
      <c r="A1016" s="4">
        <v>1012</v>
      </c>
      <c r="B1016" s="5" t="s">
        <v>3980</v>
      </c>
      <c r="C1016" s="5" t="s">
        <v>3995</v>
      </c>
      <c r="D1016" s="5" t="s">
        <v>4066</v>
      </c>
      <c r="E1016" s="6" t="s">
        <v>4067</v>
      </c>
      <c r="F1016" s="7" t="s">
        <v>21</v>
      </c>
      <c r="G1016" s="5" t="s">
        <v>29</v>
      </c>
      <c r="H1016" s="8"/>
      <c r="I1016" s="9"/>
      <c r="J1016" s="9" t="s">
        <v>23</v>
      </c>
      <c r="K1016" s="8"/>
      <c r="L1016" s="9"/>
      <c r="M1016" s="10"/>
      <c r="N1016" s="11" t="s">
        <v>4068</v>
      </c>
      <c r="O1016" s="12" t="s">
        <v>26</v>
      </c>
    </row>
    <row r="1017" spans="1:15">
      <c r="A1017" s="4">
        <v>1013</v>
      </c>
      <c r="B1017" s="5" t="s">
        <v>3980</v>
      </c>
      <c r="C1017" s="5" t="s">
        <v>3995</v>
      </c>
      <c r="D1017" s="5" t="s">
        <v>4069</v>
      </c>
      <c r="E1017" s="6" t="s">
        <v>4070</v>
      </c>
      <c r="F1017" s="7" t="s">
        <v>21</v>
      </c>
      <c r="G1017" s="5" t="s">
        <v>22</v>
      </c>
      <c r="H1017" s="8"/>
      <c r="I1017" s="9"/>
      <c r="J1017" s="9" t="s">
        <v>23</v>
      </c>
      <c r="K1017" s="8"/>
      <c r="L1017" s="9"/>
      <c r="M1017" s="10"/>
      <c r="N1017" s="11" t="s">
        <v>4071</v>
      </c>
      <c r="O1017" s="12" t="s">
        <v>26</v>
      </c>
    </row>
    <row r="1018" spans="1:15">
      <c r="A1018" s="4">
        <v>1014</v>
      </c>
      <c r="B1018" s="5" t="s">
        <v>3980</v>
      </c>
      <c r="C1018" s="5" t="s">
        <v>4041</v>
      </c>
      <c r="D1018" s="5" t="s">
        <v>4072</v>
      </c>
      <c r="E1018" s="6" t="s">
        <v>4073</v>
      </c>
      <c r="F1018" s="7" t="s">
        <v>21</v>
      </c>
      <c r="G1018" s="5" t="s">
        <v>29</v>
      </c>
      <c r="H1018" s="8"/>
      <c r="I1018" s="9"/>
      <c r="J1018" s="9" t="s">
        <v>23</v>
      </c>
      <c r="K1018" s="8"/>
      <c r="L1018" s="9"/>
      <c r="M1018" s="10" t="s">
        <v>4074</v>
      </c>
      <c r="N1018" s="11" t="s">
        <v>4075</v>
      </c>
      <c r="O1018" s="12" t="s">
        <v>26</v>
      </c>
    </row>
    <row r="1019" spans="1:15">
      <c r="A1019" s="4">
        <v>1015</v>
      </c>
      <c r="B1019" s="5" t="s">
        <v>3980</v>
      </c>
      <c r="C1019" s="5" t="s">
        <v>4041</v>
      </c>
      <c r="D1019" s="5" t="s">
        <v>4076</v>
      </c>
      <c r="E1019" s="6" t="s">
        <v>4077</v>
      </c>
      <c r="F1019" s="7" t="s">
        <v>21</v>
      </c>
      <c r="G1019" s="5" t="s">
        <v>22</v>
      </c>
      <c r="H1019" s="8"/>
      <c r="I1019" s="9"/>
      <c r="J1019" s="9" t="s">
        <v>23</v>
      </c>
      <c r="K1019" s="8"/>
      <c r="L1019" s="9"/>
      <c r="M1019" s="10" t="s">
        <v>4078</v>
      </c>
      <c r="N1019" s="11" t="s">
        <v>4079</v>
      </c>
      <c r="O1019" s="12" t="s">
        <v>26</v>
      </c>
    </row>
    <row r="1020" spans="1:15">
      <c r="A1020" s="4">
        <v>1016</v>
      </c>
      <c r="B1020" s="5" t="s">
        <v>3980</v>
      </c>
      <c r="C1020" s="5" t="s">
        <v>4007</v>
      </c>
      <c r="D1020" s="5" t="s">
        <v>4080</v>
      </c>
      <c r="E1020" s="6" t="s">
        <v>4081</v>
      </c>
      <c r="F1020" s="7" t="s">
        <v>21</v>
      </c>
      <c r="G1020" s="5" t="s">
        <v>22</v>
      </c>
      <c r="H1020" s="8"/>
      <c r="I1020" s="9"/>
      <c r="J1020" s="9" t="s">
        <v>23</v>
      </c>
      <c r="K1020" s="8"/>
      <c r="L1020" s="9"/>
      <c r="M1020" s="10" t="s">
        <v>4082</v>
      </c>
      <c r="N1020" s="11" t="s">
        <v>4083</v>
      </c>
      <c r="O1020" s="12" t="s">
        <v>26</v>
      </c>
    </row>
    <row r="1021" spans="1:15">
      <c r="A1021" s="4">
        <v>1017</v>
      </c>
      <c r="B1021" s="5" t="s">
        <v>3980</v>
      </c>
      <c r="C1021" s="5" t="s">
        <v>4084</v>
      </c>
      <c r="D1021" s="5" t="s">
        <v>4085</v>
      </c>
      <c r="E1021" s="6" t="s">
        <v>4086</v>
      </c>
      <c r="F1021" s="7" t="s">
        <v>21</v>
      </c>
      <c r="G1021" s="5" t="s">
        <v>22</v>
      </c>
      <c r="H1021" s="8"/>
      <c r="I1021" s="9"/>
      <c r="J1021" s="9" t="s">
        <v>23</v>
      </c>
      <c r="K1021" s="8"/>
      <c r="L1021" s="9"/>
      <c r="M1021" s="10" t="s">
        <v>4087</v>
      </c>
      <c r="N1021" s="11" t="s">
        <v>4088</v>
      </c>
      <c r="O1021" s="12" t="s">
        <v>26</v>
      </c>
    </row>
    <row r="1022" spans="1:15">
      <c r="A1022" s="4">
        <v>1018</v>
      </c>
      <c r="B1022" s="5" t="s">
        <v>3980</v>
      </c>
      <c r="C1022" s="5" t="s">
        <v>3995</v>
      </c>
      <c r="D1022" s="5" t="s">
        <v>4089</v>
      </c>
      <c r="E1022" s="6" t="s">
        <v>4090</v>
      </c>
      <c r="F1022" s="7" t="s">
        <v>21</v>
      </c>
      <c r="G1022" s="5" t="s">
        <v>29</v>
      </c>
      <c r="H1022" s="8"/>
      <c r="I1022" s="9"/>
      <c r="J1022" s="9" t="s">
        <v>23</v>
      </c>
      <c r="K1022" s="8"/>
      <c r="L1022" s="9"/>
      <c r="M1022" s="10"/>
      <c r="N1022" s="11" t="s">
        <v>4091</v>
      </c>
      <c r="O1022" s="12" t="s">
        <v>26</v>
      </c>
    </row>
    <row r="1023" spans="1:15">
      <c r="A1023" s="4">
        <v>1019</v>
      </c>
      <c r="B1023" s="5" t="s">
        <v>3980</v>
      </c>
      <c r="C1023" s="5" t="s">
        <v>4092</v>
      </c>
      <c r="D1023" s="5" t="s">
        <v>4093</v>
      </c>
      <c r="E1023" s="6" t="s">
        <v>4094</v>
      </c>
      <c r="F1023" s="7" t="s">
        <v>21</v>
      </c>
      <c r="G1023" s="5" t="s">
        <v>22</v>
      </c>
      <c r="H1023" s="8"/>
      <c r="I1023" s="9"/>
      <c r="J1023" s="9" t="s">
        <v>23</v>
      </c>
      <c r="K1023" s="8"/>
      <c r="L1023" s="9"/>
      <c r="M1023" s="10"/>
      <c r="N1023" s="11" t="s">
        <v>4095</v>
      </c>
      <c r="O1023" s="12" t="s">
        <v>26</v>
      </c>
    </row>
    <row r="1024" spans="1:15">
      <c r="A1024" s="4">
        <v>1020</v>
      </c>
      <c r="B1024" s="5" t="s">
        <v>3980</v>
      </c>
      <c r="C1024" s="5" t="s">
        <v>4092</v>
      </c>
      <c r="D1024" s="5" t="s">
        <v>4096</v>
      </c>
      <c r="E1024" s="6" t="s">
        <v>4097</v>
      </c>
      <c r="F1024" s="7" t="s">
        <v>21</v>
      </c>
      <c r="G1024" s="5" t="s">
        <v>22</v>
      </c>
      <c r="H1024" s="8"/>
      <c r="I1024" s="9"/>
      <c r="J1024" s="9" t="s">
        <v>23</v>
      </c>
      <c r="K1024" s="8"/>
      <c r="L1024" s="9"/>
      <c r="M1024" s="10"/>
      <c r="N1024" s="11" t="s">
        <v>4098</v>
      </c>
      <c r="O1024" s="12" t="s">
        <v>26</v>
      </c>
    </row>
    <row r="1025" spans="1:15">
      <c r="A1025" s="4">
        <v>1021</v>
      </c>
      <c r="B1025" s="5" t="s">
        <v>3980</v>
      </c>
      <c r="C1025" s="5" t="s">
        <v>4099</v>
      </c>
      <c r="D1025" s="5" t="s">
        <v>4100</v>
      </c>
      <c r="E1025" s="6" t="s">
        <v>4101</v>
      </c>
      <c r="F1025" s="7" t="s">
        <v>21</v>
      </c>
      <c r="G1025" s="5" t="s">
        <v>29</v>
      </c>
      <c r="H1025" s="8"/>
      <c r="I1025" s="9"/>
      <c r="J1025" s="9" t="s">
        <v>23</v>
      </c>
      <c r="K1025" s="8"/>
      <c r="L1025" s="9"/>
      <c r="M1025" s="10" t="s">
        <v>4102</v>
      </c>
      <c r="N1025" s="11" t="s">
        <v>4103</v>
      </c>
      <c r="O1025" s="12" t="s">
        <v>26</v>
      </c>
    </row>
    <row r="1026" spans="1:15">
      <c r="A1026" s="4">
        <v>1022</v>
      </c>
      <c r="B1026" s="5" t="s">
        <v>3980</v>
      </c>
      <c r="C1026" s="5" t="s">
        <v>4037</v>
      </c>
      <c r="D1026" s="5" t="s">
        <v>4104</v>
      </c>
      <c r="E1026" s="6" t="s">
        <v>4105</v>
      </c>
      <c r="F1026" s="7" t="s">
        <v>21</v>
      </c>
      <c r="G1026" s="5" t="s">
        <v>22</v>
      </c>
      <c r="H1026" s="8"/>
      <c r="I1026" s="9"/>
      <c r="J1026" s="9" t="s">
        <v>23</v>
      </c>
      <c r="K1026" s="8"/>
      <c r="L1026" s="9"/>
      <c r="M1026" s="10"/>
      <c r="N1026" s="11" t="s">
        <v>4106</v>
      </c>
      <c r="O1026" s="12" t="s">
        <v>26</v>
      </c>
    </row>
    <row r="1027" spans="1:15">
      <c r="A1027" s="4">
        <v>1023</v>
      </c>
      <c r="B1027" s="5" t="s">
        <v>3980</v>
      </c>
      <c r="C1027" s="5" t="s">
        <v>4041</v>
      </c>
      <c r="D1027" s="5" t="s">
        <v>4107</v>
      </c>
      <c r="E1027" s="6" t="s">
        <v>4108</v>
      </c>
      <c r="F1027" s="7" t="s">
        <v>21</v>
      </c>
      <c r="G1027" s="5" t="s">
        <v>22</v>
      </c>
      <c r="H1027" s="8"/>
      <c r="I1027" s="9"/>
      <c r="J1027" s="9" t="s">
        <v>23</v>
      </c>
      <c r="K1027" s="8"/>
      <c r="L1027" s="9"/>
      <c r="M1027" s="10" t="s">
        <v>4109</v>
      </c>
      <c r="N1027" s="11" t="s">
        <v>4110</v>
      </c>
      <c r="O1027" s="12" t="s">
        <v>26</v>
      </c>
    </row>
    <row r="1028" spans="1:15">
      <c r="A1028" s="4">
        <v>1024</v>
      </c>
      <c r="B1028" s="5" t="s">
        <v>3980</v>
      </c>
      <c r="C1028" s="5" t="s">
        <v>4037</v>
      </c>
      <c r="D1028" s="5" t="s">
        <v>4111</v>
      </c>
      <c r="E1028" s="6" t="s">
        <v>4112</v>
      </c>
      <c r="F1028" s="7" t="s">
        <v>21</v>
      </c>
      <c r="G1028" s="5" t="s">
        <v>22</v>
      </c>
      <c r="H1028" s="8"/>
      <c r="I1028" s="9"/>
      <c r="J1028" s="9" t="s">
        <v>23</v>
      </c>
      <c r="K1028" s="8"/>
      <c r="L1028" s="9"/>
      <c r="M1028" s="10"/>
      <c r="N1028" s="11" t="s">
        <v>4113</v>
      </c>
      <c r="O1028" s="12" t="s">
        <v>26</v>
      </c>
    </row>
    <row r="1029" spans="1:15">
      <c r="A1029" s="4">
        <v>1025</v>
      </c>
      <c r="B1029" s="5" t="s">
        <v>3980</v>
      </c>
      <c r="C1029" s="5" t="s">
        <v>4021</v>
      </c>
      <c r="D1029" s="5" t="s">
        <v>4114</v>
      </c>
      <c r="E1029" s="6" t="s">
        <v>4115</v>
      </c>
      <c r="F1029" s="7" t="s">
        <v>21</v>
      </c>
      <c r="G1029" s="5" t="s">
        <v>22</v>
      </c>
      <c r="H1029" s="8"/>
      <c r="I1029" s="9"/>
      <c r="J1029" s="9" t="s">
        <v>23</v>
      </c>
      <c r="K1029" s="8"/>
      <c r="L1029" s="9"/>
      <c r="M1029" s="10"/>
      <c r="N1029" s="11" t="s">
        <v>4116</v>
      </c>
      <c r="O1029" s="12" t="s">
        <v>26</v>
      </c>
    </row>
    <row r="1030" spans="1:15">
      <c r="A1030" s="4">
        <v>1026</v>
      </c>
      <c r="B1030" s="5" t="s">
        <v>3980</v>
      </c>
      <c r="C1030" s="5" t="s">
        <v>4016</v>
      </c>
      <c r="D1030" s="5" t="s">
        <v>4117</v>
      </c>
      <c r="E1030" s="6" t="s">
        <v>4118</v>
      </c>
      <c r="F1030" s="7" t="s">
        <v>21</v>
      </c>
      <c r="G1030" s="5" t="s">
        <v>22</v>
      </c>
      <c r="H1030" s="8"/>
      <c r="I1030" s="9"/>
      <c r="J1030" s="9" t="s">
        <v>23</v>
      </c>
      <c r="K1030" s="8"/>
      <c r="L1030" s="9"/>
      <c r="M1030" s="10"/>
      <c r="N1030" s="11" t="s">
        <v>4119</v>
      </c>
      <c r="O1030" s="12" t="s">
        <v>26</v>
      </c>
    </row>
    <row r="1031" spans="1:15">
      <c r="A1031" s="4">
        <v>1027</v>
      </c>
      <c r="B1031" s="5" t="s">
        <v>3980</v>
      </c>
      <c r="C1031" s="5" t="s">
        <v>4120</v>
      </c>
      <c r="D1031" s="5" t="s">
        <v>4121</v>
      </c>
      <c r="E1031" s="6" t="s">
        <v>4122</v>
      </c>
      <c r="F1031" s="7" t="s">
        <v>21</v>
      </c>
      <c r="G1031" s="5" t="s">
        <v>22</v>
      </c>
      <c r="H1031" s="8"/>
      <c r="I1031" s="9"/>
      <c r="J1031" s="9" t="s">
        <v>23</v>
      </c>
      <c r="K1031" s="8"/>
      <c r="L1031" s="9"/>
      <c r="M1031" s="10" t="s">
        <v>4123</v>
      </c>
      <c r="N1031" s="11" t="s">
        <v>4124</v>
      </c>
      <c r="O1031" s="12" t="s">
        <v>26</v>
      </c>
    </row>
    <row r="1032" spans="1:15">
      <c r="A1032" s="4">
        <v>1028</v>
      </c>
      <c r="B1032" s="5" t="s">
        <v>3980</v>
      </c>
      <c r="C1032" s="5" t="s">
        <v>4125</v>
      </c>
      <c r="D1032" s="5" t="s">
        <v>4126</v>
      </c>
      <c r="E1032" s="6" t="s">
        <v>4127</v>
      </c>
      <c r="F1032" s="7" t="s">
        <v>21</v>
      </c>
      <c r="G1032" s="5" t="s">
        <v>22</v>
      </c>
      <c r="H1032" s="8"/>
      <c r="I1032" s="9"/>
      <c r="J1032" s="9" t="s">
        <v>23</v>
      </c>
      <c r="K1032" s="8"/>
      <c r="L1032" s="9"/>
      <c r="M1032" s="10" t="s">
        <v>4128</v>
      </c>
      <c r="N1032" s="11" t="s">
        <v>4129</v>
      </c>
      <c r="O1032" s="12" t="s">
        <v>26</v>
      </c>
    </row>
    <row r="1033" spans="1:15">
      <c r="A1033" s="4">
        <v>1029</v>
      </c>
      <c r="B1033" s="5" t="s">
        <v>3980</v>
      </c>
      <c r="C1033" s="5" t="s">
        <v>4130</v>
      </c>
      <c r="D1033" s="5" t="s">
        <v>4131</v>
      </c>
      <c r="E1033" s="6" t="s">
        <v>4132</v>
      </c>
      <c r="F1033" s="7" t="s">
        <v>21</v>
      </c>
      <c r="G1033" s="5" t="s">
        <v>22</v>
      </c>
      <c r="H1033" s="8"/>
      <c r="I1033" s="9"/>
      <c r="J1033" s="9" t="s">
        <v>23</v>
      </c>
      <c r="K1033" s="8"/>
      <c r="L1033" s="9"/>
      <c r="M1033" s="10" t="s">
        <v>4133</v>
      </c>
      <c r="N1033" s="11" t="s">
        <v>4134</v>
      </c>
      <c r="O1033" s="12" t="s">
        <v>26</v>
      </c>
    </row>
    <row r="1034" spans="1:15">
      <c r="A1034" s="4">
        <v>1030</v>
      </c>
      <c r="B1034" s="5" t="s">
        <v>3980</v>
      </c>
      <c r="C1034" s="5" t="s">
        <v>4016</v>
      </c>
      <c r="D1034" s="5" t="s">
        <v>4135</v>
      </c>
      <c r="E1034" s="6" t="s">
        <v>4136</v>
      </c>
      <c r="F1034" s="7" t="s">
        <v>21</v>
      </c>
      <c r="G1034" s="5" t="s">
        <v>22</v>
      </c>
      <c r="H1034" s="8"/>
      <c r="I1034" s="9"/>
      <c r="J1034" s="9" t="s">
        <v>23</v>
      </c>
      <c r="K1034" s="8"/>
      <c r="L1034" s="9"/>
      <c r="M1034" s="10" t="s">
        <v>3943</v>
      </c>
      <c r="N1034" s="11" t="s">
        <v>4137</v>
      </c>
      <c r="O1034" s="12" t="s">
        <v>26</v>
      </c>
    </row>
    <row r="1035" spans="1:15">
      <c r="A1035" s="4">
        <v>1031</v>
      </c>
      <c r="B1035" s="5" t="s">
        <v>3980</v>
      </c>
      <c r="C1035" s="5" t="s">
        <v>4138</v>
      </c>
      <c r="D1035" s="5" t="s">
        <v>4139</v>
      </c>
      <c r="E1035" s="6" t="s">
        <v>4140</v>
      </c>
      <c r="F1035" s="7" t="s">
        <v>21</v>
      </c>
      <c r="G1035" s="5" t="s">
        <v>22</v>
      </c>
      <c r="H1035" s="8"/>
      <c r="I1035" s="9"/>
      <c r="J1035" s="9" t="s">
        <v>23</v>
      </c>
      <c r="K1035" s="8"/>
      <c r="L1035" s="9"/>
      <c r="M1035" s="10" t="s">
        <v>3943</v>
      </c>
      <c r="N1035" s="11" t="s">
        <v>4141</v>
      </c>
      <c r="O1035" s="12" t="s">
        <v>26</v>
      </c>
    </row>
    <row r="1036" spans="1:15">
      <c r="A1036" s="4">
        <v>1032</v>
      </c>
      <c r="B1036" s="5" t="s">
        <v>3980</v>
      </c>
      <c r="C1036" s="5" t="s">
        <v>4142</v>
      </c>
      <c r="D1036" s="5" t="s">
        <v>4143</v>
      </c>
      <c r="E1036" s="6" t="s">
        <v>4144</v>
      </c>
      <c r="F1036" s="7" t="s">
        <v>21</v>
      </c>
      <c r="G1036" s="5" t="s">
        <v>39</v>
      </c>
      <c r="H1036" s="8"/>
      <c r="I1036" s="9"/>
      <c r="J1036" s="9" t="s">
        <v>23</v>
      </c>
      <c r="K1036" s="8"/>
      <c r="L1036" s="9"/>
      <c r="M1036" s="10" t="s">
        <v>4145</v>
      </c>
      <c r="N1036" s="11" t="s">
        <v>4146</v>
      </c>
      <c r="O1036" s="12" t="s">
        <v>26</v>
      </c>
    </row>
    <row r="1037" spans="1:15">
      <c r="A1037" s="4">
        <v>1033</v>
      </c>
      <c r="B1037" s="5" t="s">
        <v>3980</v>
      </c>
      <c r="C1037" s="5" t="s">
        <v>4021</v>
      </c>
      <c r="D1037" s="5" t="s">
        <v>4147</v>
      </c>
      <c r="E1037" s="6" t="s">
        <v>4148</v>
      </c>
      <c r="F1037" s="7" t="s">
        <v>21</v>
      </c>
      <c r="G1037" s="5" t="s">
        <v>22</v>
      </c>
      <c r="H1037" s="8"/>
      <c r="I1037" s="9"/>
      <c r="J1037" s="9" t="s">
        <v>23</v>
      </c>
      <c r="K1037" s="8"/>
      <c r="L1037" s="9"/>
      <c r="M1037" s="10" t="s">
        <v>3611</v>
      </c>
      <c r="N1037" s="11" t="s">
        <v>4149</v>
      </c>
      <c r="O1037" s="12" t="s">
        <v>26</v>
      </c>
    </row>
    <row r="1038" spans="1:15">
      <c r="A1038" s="4">
        <v>1034</v>
      </c>
      <c r="B1038" s="5" t="s">
        <v>3980</v>
      </c>
      <c r="C1038" s="5" t="s">
        <v>4033</v>
      </c>
      <c r="D1038" s="5" t="s">
        <v>4150</v>
      </c>
      <c r="E1038" s="6" t="s">
        <v>4151</v>
      </c>
      <c r="F1038" s="7" t="s">
        <v>21</v>
      </c>
      <c r="G1038" s="5" t="s">
        <v>22</v>
      </c>
      <c r="H1038" s="8"/>
      <c r="I1038" s="9"/>
      <c r="J1038" s="9" t="s">
        <v>23</v>
      </c>
      <c r="K1038" s="8"/>
      <c r="L1038" s="9"/>
      <c r="M1038" s="10" t="s">
        <v>4152</v>
      </c>
      <c r="N1038" s="11" t="s">
        <v>4153</v>
      </c>
      <c r="O1038" s="12" t="s">
        <v>26</v>
      </c>
    </row>
    <row r="1039" spans="1:15">
      <c r="A1039" s="4">
        <v>1035</v>
      </c>
      <c r="B1039" s="5" t="s">
        <v>3980</v>
      </c>
      <c r="C1039" s="5" t="s">
        <v>4007</v>
      </c>
      <c r="D1039" s="5" t="s">
        <v>4154</v>
      </c>
      <c r="E1039" s="6" t="s">
        <v>4155</v>
      </c>
      <c r="F1039" s="7" t="s">
        <v>21</v>
      </c>
      <c r="G1039" s="5" t="s">
        <v>22</v>
      </c>
      <c r="H1039" s="8"/>
      <c r="I1039" s="9"/>
      <c r="J1039" s="9" t="s">
        <v>23</v>
      </c>
      <c r="K1039" s="8"/>
      <c r="L1039" s="9"/>
      <c r="M1039" s="10" t="s">
        <v>4156</v>
      </c>
      <c r="N1039" s="11" t="s">
        <v>4157</v>
      </c>
      <c r="O1039" s="12" t="s">
        <v>26</v>
      </c>
    </row>
    <row r="1040" spans="1:15">
      <c r="A1040" s="4">
        <v>1036</v>
      </c>
      <c r="B1040" s="5" t="s">
        <v>3980</v>
      </c>
      <c r="C1040" s="5" t="s">
        <v>4158</v>
      </c>
      <c r="D1040" s="5" t="s">
        <v>4159</v>
      </c>
      <c r="E1040" s="6" t="s">
        <v>4160</v>
      </c>
      <c r="F1040" s="7" t="s">
        <v>21</v>
      </c>
      <c r="G1040" s="5" t="s">
        <v>22</v>
      </c>
      <c r="H1040" s="8"/>
      <c r="I1040" s="9"/>
      <c r="J1040" s="9" t="s">
        <v>23</v>
      </c>
      <c r="K1040" s="8"/>
      <c r="L1040" s="9"/>
      <c r="M1040" s="10" t="s">
        <v>3611</v>
      </c>
      <c r="N1040" s="11" t="s">
        <v>4161</v>
      </c>
      <c r="O1040" s="12" t="s">
        <v>26</v>
      </c>
    </row>
    <row r="1041" spans="1:15">
      <c r="A1041" s="4">
        <v>1037</v>
      </c>
      <c r="B1041" s="5" t="s">
        <v>3980</v>
      </c>
      <c r="C1041" s="5" t="s">
        <v>4021</v>
      </c>
      <c r="D1041" s="5" t="s">
        <v>4162</v>
      </c>
      <c r="E1041" s="6" t="s">
        <v>4163</v>
      </c>
      <c r="F1041" s="7" t="s">
        <v>21</v>
      </c>
      <c r="G1041" s="5" t="s">
        <v>22</v>
      </c>
      <c r="H1041" s="8"/>
      <c r="I1041" s="9"/>
      <c r="J1041" s="9" t="s">
        <v>23</v>
      </c>
      <c r="K1041" s="8"/>
      <c r="L1041" s="9"/>
      <c r="M1041" s="10" t="s">
        <v>3943</v>
      </c>
      <c r="N1041" s="11" t="s">
        <v>4164</v>
      </c>
      <c r="O1041" s="12" t="s">
        <v>26</v>
      </c>
    </row>
    <row r="1042" spans="1:15">
      <c r="A1042" s="4">
        <v>1038</v>
      </c>
      <c r="B1042" s="5" t="s">
        <v>3980</v>
      </c>
      <c r="C1042" s="5" t="s">
        <v>4084</v>
      </c>
      <c r="D1042" s="5" t="s">
        <v>4165</v>
      </c>
      <c r="E1042" s="6" t="s">
        <v>4166</v>
      </c>
      <c r="F1042" s="7" t="s">
        <v>21</v>
      </c>
      <c r="G1042" s="5" t="s">
        <v>22</v>
      </c>
      <c r="H1042" s="8"/>
      <c r="I1042" s="9"/>
      <c r="J1042" s="9" t="s">
        <v>23</v>
      </c>
      <c r="K1042" s="8"/>
      <c r="L1042" s="9"/>
      <c r="M1042" s="10" t="s">
        <v>4167</v>
      </c>
      <c r="N1042" s="11" t="s">
        <v>4168</v>
      </c>
      <c r="O1042" s="12" t="s">
        <v>26</v>
      </c>
    </row>
    <row r="1043" spans="1:15">
      <c r="A1043" s="4">
        <v>1039</v>
      </c>
      <c r="B1043" s="5" t="s">
        <v>3980</v>
      </c>
      <c r="C1043" s="5" t="s">
        <v>4021</v>
      </c>
      <c r="D1043" s="5" t="s">
        <v>4169</v>
      </c>
      <c r="E1043" s="6" t="s">
        <v>4170</v>
      </c>
      <c r="F1043" s="7" t="s">
        <v>21</v>
      </c>
      <c r="G1043" s="5" t="s">
        <v>29</v>
      </c>
      <c r="H1043" s="8"/>
      <c r="I1043" s="9"/>
      <c r="J1043" s="9" t="s">
        <v>23</v>
      </c>
      <c r="K1043" s="8"/>
      <c r="L1043" s="9"/>
      <c r="M1043" s="10"/>
      <c r="N1043" s="11" t="s">
        <v>4171</v>
      </c>
      <c r="O1043" s="12" t="s">
        <v>26</v>
      </c>
    </row>
    <row r="1044" spans="1:15">
      <c r="A1044" s="4">
        <v>1040</v>
      </c>
      <c r="B1044" s="5" t="s">
        <v>3980</v>
      </c>
      <c r="C1044" s="5" t="s">
        <v>4016</v>
      </c>
      <c r="D1044" s="5" t="s">
        <v>4172</v>
      </c>
      <c r="E1044" s="6" t="s">
        <v>4173</v>
      </c>
      <c r="F1044" s="7" t="s">
        <v>21</v>
      </c>
      <c r="G1044" s="5" t="s">
        <v>22</v>
      </c>
      <c r="H1044" s="8"/>
      <c r="I1044" s="9"/>
      <c r="J1044" s="9" t="s">
        <v>23</v>
      </c>
      <c r="K1044" s="8"/>
      <c r="L1044" s="9"/>
      <c r="M1044" s="10"/>
      <c r="N1044" s="11" t="s">
        <v>4174</v>
      </c>
      <c r="O1044" s="12" t="s">
        <v>26</v>
      </c>
    </row>
    <row r="1045" spans="1:15">
      <c r="A1045" s="4">
        <v>1041</v>
      </c>
      <c r="B1045" s="5" t="s">
        <v>3980</v>
      </c>
      <c r="C1045" s="5" t="s">
        <v>4007</v>
      </c>
      <c r="D1045" s="5" t="s">
        <v>4175</v>
      </c>
      <c r="E1045" s="6" t="s">
        <v>4176</v>
      </c>
      <c r="F1045" s="7" t="s">
        <v>21</v>
      </c>
      <c r="G1045" s="5" t="s">
        <v>22</v>
      </c>
      <c r="H1045" s="8"/>
      <c r="I1045" s="9"/>
      <c r="J1045" s="9" t="s">
        <v>23</v>
      </c>
      <c r="K1045" s="8"/>
      <c r="L1045" s="9"/>
      <c r="M1045" s="10"/>
      <c r="N1045" s="11" t="s">
        <v>4177</v>
      </c>
      <c r="O1045" s="12" t="s">
        <v>26</v>
      </c>
    </row>
    <row r="1046" spans="1:15">
      <c r="A1046" s="4">
        <v>1042</v>
      </c>
      <c r="B1046" s="5" t="s">
        <v>3980</v>
      </c>
      <c r="C1046" s="5" t="s">
        <v>4007</v>
      </c>
      <c r="D1046" s="5" t="s">
        <v>4178</v>
      </c>
      <c r="E1046" s="6" t="s">
        <v>4179</v>
      </c>
      <c r="F1046" s="7" t="s">
        <v>21</v>
      </c>
      <c r="G1046" s="5" t="s">
        <v>22</v>
      </c>
      <c r="H1046" s="8"/>
      <c r="I1046" s="9"/>
      <c r="J1046" s="9" t="s">
        <v>23</v>
      </c>
      <c r="K1046" s="8"/>
      <c r="L1046" s="9"/>
      <c r="M1046" s="10" t="s">
        <v>4180</v>
      </c>
      <c r="N1046" s="11" t="s">
        <v>4181</v>
      </c>
      <c r="O1046" s="12" t="s">
        <v>26</v>
      </c>
    </row>
    <row r="1047" spans="1:15">
      <c r="A1047" s="4">
        <v>1043</v>
      </c>
      <c r="B1047" s="5" t="s">
        <v>3980</v>
      </c>
      <c r="C1047" s="5" t="s">
        <v>4130</v>
      </c>
      <c r="D1047" s="5" t="s">
        <v>4182</v>
      </c>
      <c r="E1047" s="6" t="s">
        <v>4183</v>
      </c>
      <c r="F1047" s="13" t="s">
        <v>34</v>
      </c>
      <c r="G1047" s="5" t="s">
        <v>22</v>
      </c>
      <c r="H1047" s="8"/>
      <c r="I1047" s="9"/>
      <c r="J1047" s="9" t="s">
        <v>23</v>
      </c>
      <c r="K1047" s="8"/>
      <c r="L1047" s="9"/>
      <c r="M1047" s="10" t="s">
        <v>4184</v>
      </c>
      <c r="N1047" s="11" t="s">
        <v>4185</v>
      </c>
      <c r="O1047" s="12" t="s">
        <v>26</v>
      </c>
    </row>
    <row r="1048" spans="1:15">
      <c r="A1048" s="4">
        <v>1044</v>
      </c>
      <c r="B1048" s="5" t="s">
        <v>3980</v>
      </c>
      <c r="C1048" s="5" t="s">
        <v>4037</v>
      </c>
      <c r="D1048" s="5" t="s">
        <v>4186</v>
      </c>
      <c r="E1048" s="6" t="s">
        <v>4187</v>
      </c>
      <c r="F1048" s="7" t="s">
        <v>21</v>
      </c>
      <c r="G1048" s="5" t="s">
        <v>22</v>
      </c>
      <c r="H1048" s="8"/>
      <c r="I1048" s="9"/>
      <c r="J1048" s="9" t="s">
        <v>23</v>
      </c>
      <c r="K1048" s="8"/>
      <c r="L1048" s="9"/>
      <c r="M1048" s="10" t="s">
        <v>4188</v>
      </c>
      <c r="N1048" s="11" t="s">
        <v>4189</v>
      </c>
      <c r="O1048" s="12" t="s">
        <v>26</v>
      </c>
    </row>
    <row r="1049" spans="1:15">
      <c r="A1049" s="4">
        <v>1045</v>
      </c>
      <c r="B1049" s="5" t="s">
        <v>4190</v>
      </c>
      <c r="C1049" s="5" t="s">
        <v>4191</v>
      </c>
      <c r="D1049" s="5" t="s">
        <v>4192</v>
      </c>
      <c r="E1049" s="6" t="s">
        <v>4193</v>
      </c>
      <c r="F1049" s="7" t="s">
        <v>21</v>
      </c>
      <c r="G1049" s="5" t="s">
        <v>22</v>
      </c>
      <c r="H1049" s="8"/>
      <c r="I1049" s="9"/>
      <c r="J1049" s="9" t="s">
        <v>23</v>
      </c>
      <c r="K1049" s="8"/>
      <c r="L1049" s="9"/>
      <c r="M1049" s="10" t="s">
        <v>4194</v>
      </c>
      <c r="N1049" s="11" t="s">
        <v>4195</v>
      </c>
      <c r="O1049" s="12" t="s">
        <v>26</v>
      </c>
    </row>
    <row r="1050" spans="1:15">
      <c r="A1050" s="4">
        <v>1046</v>
      </c>
      <c r="B1050" s="5" t="s">
        <v>4190</v>
      </c>
      <c r="C1050" s="5" t="s">
        <v>4196</v>
      </c>
      <c r="D1050" s="5" t="s">
        <v>4197</v>
      </c>
      <c r="E1050" s="6" t="s">
        <v>4198</v>
      </c>
      <c r="F1050" s="7" t="s">
        <v>21</v>
      </c>
      <c r="G1050" s="5" t="s">
        <v>22</v>
      </c>
      <c r="H1050" s="8"/>
      <c r="I1050" s="9"/>
      <c r="J1050" s="9" t="s">
        <v>23</v>
      </c>
      <c r="K1050" s="8"/>
      <c r="L1050" s="9"/>
      <c r="M1050" s="10" t="s">
        <v>3611</v>
      </c>
      <c r="N1050" s="11" t="s">
        <v>4199</v>
      </c>
      <c r="O1050" s="12" t="s">
        <v>26</v>
      </c>
    </row>
    <row r="1051" spans="1:15">
      <c r="A1051" s="4">
        <v>1047</v>
      </c>
      <c r="B1051" s="5" t="s">
        <v>4190</v>
      </c>
      <c r="C1051" s="5" t="s">
        <v>4200</v>
      </c>
      <c r="D1051" s="5" t="s">
        <v>4201</v>
      </c>
      <c r="E1051" s="6" t="s">
        <v>4202</v>
      </c>
      <c r="F1051" s="7" t="s">
        <v>21</v>
      </c>
      <c r="G1051" s="5" t="s">
        <v>29</v>
      </c>
      <c r="H1051" s="8"/>
      <c r="I1051" s="9"/>
      <c r="J1051" s="9" t="s">
        <v>23</v>
      </c>
      <c r="K1051" s="8"/>
      <c r="L1051" s="9"/>
      <c r="M1051" s="10" t="s">
        <v>4203</v>
      </c>
      <c r="N1051" s="11" t="s">
        <v>4204</v>
      </c>
      <c r="O1051" s="12" t="s">
        <v>26</v>
      </c>
    </row>
    <row r="1052" spans="1:15">
      <c r="A1052" s="4">
        <v>1048</v>
      </c>
      <c r="B1052" s="5" t="s">
        <v>4190</v>
      </c>
      <c r="C1052" s="5" t="s">
        <v>4205</v>
      </c>
      <c r="D1052" s="5" t="s">
        <v>4206</v>
      </c>
      <c r="E1052" s="6" t="s">
        <v>4207</v>
      </c>
      <c r="F1052" s="7" t="s">
        <v>21</v>
      </c>
      <c r="G1052" s="5" t="s">
        <v>22</v>
      </c>
      <c r="H1052" s="8"/>
      <c r="I1052" s="9"/>
      <c r="J1052" s="9" t="s">
        <v>23</v>
      </c>
      <c r="K1052" s="8"/>
      <c r="L1052" s="9"/>
      <c r="M1052" s="10" t="s">
        <v>4208</v>
      </c>
      <c r="N1052" s="11" t="s">
        <v>4209</v>
      </c>
      <c r="O1052" s="12" t="s">
        <v>26</v>
      </c>
    </row>
    <row r="1053" spans="1:15">
      <c r="A1053" s="4">
        <v>1049</v>
      </c>
      <c r="B1053" s="5" t="s">
        <v>4190</v>
      </c>
      <c r="C1053" s="5" t="s">
        <v>4210</v>
      </c>
      <c r="D1053" s="5" t="s">
        <v>4211</v>
      </c>
      <c r="E1053" s="6" t="s">
        <v>4212</v>
      </c>
      <c r="F1053" s="7" t="s">
        <v>21</v>
      </c>
      <c r="G1053" s="5" t="s">
        <v>22</v>
      </c>
      <c r="H1053" s="8"/>
      <c r="I1053" s="9"/>
      <c r="J1053" s="9" t="s">
        <v>23</v>
      </c>
      <c r="K1053" s="8"/>
      <c r="L1053" s="9"/>
      <c r="M1053" s="10" t="s">
        <v>4213</v>
      </c>
      <c r="N1053" s="11" t="s">
        <v>4214</v>
      </c>
      <c r="O1053" s="12" t="s">
        <v>26</v>
      </c>
    </row>
    <row r="1054" spans="1:15">
      <c r="A1054" s="4">
        <v>1050</v>
      </c>
      <c r="B1054" s="5" t="s">
        <v>4190</v>
      </c>
      <c r="C1054" s="5" t="s">
        <v>4196</v>
      </c>
      <c r="D1054" s="5" t="s">
        <v>4215</v>
      </c>
      <c r="E1054" s="6" t="s">
        <v>4216</v>
      </c>
      <c r="F1054" s="7" t="s">
        <v>21</v>
      </c>
      <c r="G1054" s="5" t="s">
        <v>22</v>
      </c>
      <c r="H1054" s="8"/>
      <c r="I1054" s="9"/>
      <c r="J1054" s="9" t="s">
        <v>23</v>
      </c>
      <c r="K1054" s="8"/>
      <c r="L1054" s="9"/>
      <c r="M1054" s="10" t="s">
        <v>4217</v>
      </c>
      <c r="N1054" s="11" t="s">
        <v>4218</v>
      </c>
      <c r="O1054" s="12" t="s">
        <v>26</v>
      </c>
    </row>
    <row r="1055" spans="1:15">
      <c r="A1055" s="4">
        <v>1051</v>
      </c>
      <c r="B1055" s="5" t="s">
        <v>4190</v>
      </c>
      <c r="C1055" s="5" t="s">
        <v>4191</v>
      </c>
      <c r="D1055" s="5" t="s">
        <v>4219</v>
      </c>
      <c r="E1055" s="14" t="s">
        <v>109</v>
      </c>
      <c r="F1055" s="15" t="s">
        <v>110</v>
      </c>
      <c r="G1055" s="5" t="s">
        <v>22</v>
      </c>
      <c r="H1055" s="8"/>
      <c r="I1055" s="9"/>
      <c r="J1055" s="9" t="s">
        <v>23</v>
      </c>
      <c r="K1055" s="8"/>
      <c r="L1055" s="9"/>
      <c r="M1055" s="10" t="s">
        <v>4220</v>
      </c>
      <c r="N1055" s="11" t="s">
        <v>4221</v>
      </c>
      <c r="O1055" s="12" t="s">
        <v>26</v>
      </c>
    </row>
    <row r="1056" spans="1:15">
      <c r="A1056" s="4">
        <v>1052</v>
      </c>
      <c r="B1056" s="5" t="s">
        <v>4190</v>
      </c>
      <c r="C1056" s="5" t="s">
        <v>4191</v>
      </c>
      <c r="D1056" s="5" t="s">
        <v>4222</v>
      </c>
      <c r="E1056" s="6" t="s">
        <v>4223</v>
      </c>
      <c r="F1056" s="7" t="s">
        <v>21</v>
      </c>
      <c r="G1056" s="5" t="s">
        <v>22</v>
      </c>
      <c r="H1056" s="8"/>
      <c r="I1056" s="9"/>
      <c r="J1056" s="9" t="s">
        <v>23</v>
      </c>
      <c r="K1056" s="8"/>
      <c r="L1056" s="9"/>
      <c r="M1056" s="10" t="s">
        <v>4224</v>
      </c>
      <c r="N1056" s="11" t="s">
        <v>4225</v>
      </c>
      <c r="O1056" s="12" t="s">
        <v>26</v>
      </c>
    </row>
    <row r="1057" spans="1:15">
      <c r="A1057" s="4">
        <v>1053</v>
      </c>
      <c r="B1057" s="5" t="s">
        <v>4190</v>
      </c>
      <c r="C1057" s="5" t="s">
        <v>4196</v>
      </c>
      <c r="D1057" s="5" t="s">
        <v>4226</v>
      </c>
      <c r="E1057" s="6" t="s">
        <v>4227</v>
      </c>
      <c r="F1057" s="7" t="s">
        <v>21</v>
      </c>
      <c r="G1057" s="5" t="s">
        <v>22</v>
      </c>
      <c r="H1057" s="8"/>
      <c r="I1057" s="9"/>
      <c r="J1057" s="9" t="s">
        <v>23</v>
      </c>
      <c r="K1057" s="8"/>
      <c r="L1057" s="9"/>
      <c r="M1057" s="10" t="s">
        <v>3611</v>
      </c>
      <c r="N1057" s="11" t="s">
        <v>4228</v>
      </c>
      <c r="O1057" s="12" t="s">
        <v>26</v>
      </c>
    </row>
    <row r="1058" spans="1:15">
      <c r="A1058" s="4">
        <v>1054</v>
      </c>
      <c r="B1058" s="5" t="s">
        <v>4190</v>
      </c>
      <c r="C1058" s="5" t="s">
        <v>4196</v>
      </c>
      <c r="D1058" s="5" t="s">
        <v>4229</v>
      </c>
      <c r="E1058" s="6" t="s">
        <v>4230</v>
      </c>
      <c r="F1058" s="7" t="s">
        <v>21</v>
      </c>
      <c r="G1058" s="5" t="s">
        <v>22</v>
      </c>
      <c r="H1058" s="8"/>
      <c r="I1058" s="9"/>
      <c r="J1058" s="9" t="s">
        <v>23</v>
      </c>
      <c r="K1058" s="8"/>
      <c r="L1058" s="9"/>
      <c r="M1058" s="10" t="s">
        <v>3611</v>
      </c>
      <c r="N1058" s="11" t="s">
        <v>4231</v>
      </c>
      <c r="O1058" s="12" t="s">
        <v>26</v>
      </c>
    </row>
    <row r="1059" spans="1:15">
      <c r="A1059" s="4">
        <v>1055</v>
      </c>
      <c r="B1059" s="5" t="s">
        <v>4190</v>
      </c>
      <c r="C1059" s="5" t="s">
        <v>4232</v>
      </c>
      <c r="D1059" s="5" t="s">
        <v>4233</v>
      </c>
      <c r="E1059" s="6" t="s">
        <v>4234</v>
      </c>
      <c r="F1059" s="7" t="s">
        <v>21</v>
      </c>
      <c r="G1059" s="5" t="s">
        <v>22</v>
      </c>
      <c r="H1059" s="8"/>
      <c r="I1059" s="9"/>
      <c r="J1059" s="9" t="s">
        <v>23</v>
      </c>
      <c r="K1059" s="8"/>
      <c r="L1059" s="9"/>
      <c r="M1059" s="10" t="s">
        <v>3611</v>
      </c>
      <c r="N1059" s="11" t="s">
        <v>4235</v>
      </c>
      <c r="O1059" s="12" t="s">
        <v>26</v>
      </c>
    </row>
    <row r="1060" spans="1:15">
      <c r="A1060" s="4">
        <v>1056</v>
      </c>
      <c r="B1060" s="5" t="s">
        <v>4190</v>
      </c>
      <c r="C1060" s="5" t="s">
        <v>4196</v>
      </c>
      <c r="D1060" s="5" t="s">
        <v>4236</v>
      </c>
      <c r="E1060" s="6" t="s">
        <v>4237</v>
      </c>
      <c r="F1060" s="7" t="s">
        <v>21</v>
      </c>
      <c r="G1060" s="5" t="s">
        <v>22</v>
      </c>
      <c r="H1060" s="8"/>
      <c r="I1060" s="9"/>
      <c r="J1060" s="9" t="s">
        <v>23</v>
      </c>
      <c r="K1060" s="8"/>
      <c r="L1060" s="9"/>
      <c r="M1060" s="10" t="s">
        <v>4238</v>
      </c>
      <c r="N1060" s="11" t="s">
        <v>4239</v>
      </c>
      <c r="O1060" s="12" t="s">
        <v>26</v>
      </c>
    </row>
    <row r="1061" spans="1:15">
      <c r="A1061" s="4">
        <v>1057</v>
      </c>
      <c r="B1061" s="5" t="s">
        <v>4190</v>
      </c>
      <c r="C1061" s="5" t="s">
        <v>4196</v>
      </c>
      <c r="D1061" s="5" t="s">
        <v>4240</v>
      </c>
      <c r="E1061" s="6" t="s">
        <v>4241</v>
      </c>
      <c r="F1061" s="7" t="s">
        <v>21</v>
      </c>
      <c r="G1061" s="5" t="s">
        <v>22</v>
      </c>
      <c r="H1061" s="8"/>
      <c r="I1061" s="9"/>
      <c r="J1061" s="9" t="s">
        <v>23</v>
      </c>
      <c r="K1061" s="8"/>
      <c r="L1061" s="9"/>
      <c r="M1061" s="10" t="s">
        <v>4242</v>
      </c>
      <c r="N1061" s="11" t="s">
        <v>4243</v>
      </c>
      <c r="O1061" s="12" t="s">
        <v>26</v>
      </c>
    </row>
    <row r="1062" spans="1:15">
      <c r="A1062" s="4">
        <v>1058</v>
      </c>
      <c r="B1062" s="5" t="s">
        <v>4190</v>
      </c>
      <c r="C1062" s="5" t="s">
        <v>4196</v>
      </c>
      <c r="D1062" s="5" t="s">
        <v>4244</v>
      </c>
      <c r="E1062" s="6" t="s">
        <v>4245</v>
      </c>
      <c r="F1062" s="7" t="s">
        <v>21</v>
      </c>
      <c r="G1062" s="5" t="s">
        <v>22</v>
      </c>
      <c r="H1062" s="8"/>
      <c r="I1062" s="9"/>
      <c r="J1062" s="9" t="s">
        <v>23</v>
      </c>
      <c r="K1062" s="8"/>
      <c r="L1062" s="9"/>
      <c r="M1062" s="10"/>
      <c r="N1062" s="11" t="s">
        <v>4246</v>
      </c>
      <c r="O1062" s="12" t="s">
        <v>26</v>
      </c>
    </row>
    <row r="1063" spans="1:15">
      <c r="A1063" s="4">
        <v>1059</v>
      </c>
      <c r="B1063" s="5" t="s">
        <v>4190</v>
      </c>
      <c r="C1063" s="5" t="s">
        <v>4247</v>
      </c>
      <c r="D1063" s="5" t="s">
        <v>4248</v>
      </c>
      <c r="E1063" s="6" t="s">
        <v>4249</v>
      </c>
      <c r="F1063" s="7" t="s">
        <v>21</v>
      </c>
      <c r="G1063" s="5" t="s">
        <v>29</v>
      </c>
      <c r="H1063" s="8"/>
      <c r="I1063" s="9"/>
      <c r="J1063" s="9" t="s">
        <v>23</v>
      </c>
      <c r="K1063" s="8"/>
      <c r="L1063" s="9"/>
      <c r="M1063" s="10" t="s">
        <v>4250</v>
      </c>
      <c r="N1063" s="11" t="s">
        <v>4251</v>
      </c>
      <c r="O1063" s="12" t="s">
        <v>26</v>
      </c>
    </row>
    <row r="1064" spans="1:15">
      <c r="A1064" s="4">
        <v>1060</v>
      </c>
      <c r="B1064" s="5" t="s">
        <v>4190</v>
      </c>
      <c r="C1064" s="5" t="s">
        <v>4252</v>
      </c>
      <c r="D1064" s="5" t="s">
        <v>4253</v>
      </c>
      <c r="E1064" s="6" t="s">
        <v>4254</v>
      </c>
      <c r="F1064" s="7" t="s">
        <v>21</v>
      </c>
      <c r="G1064" s="5" t="s">
        <v>22</v>
      </c>
      <c r="H1064" s="8"/>
      <c r="I1064" s="9"/>
      <c r="J1064" s="9" t="s">
        <v>23</v>
      </c>
      <c r="K1064" s="8"/>
      <c r="L1064" s="9"/>
      <c r="M1064" s="10" t="s">
        <v>3611</v>
      </c>
      <c r="N1064" s="11" t="s">
        <v>4255</v>
      </c>
      <c r="O1064" s="12" t="s">
        <v>26</v>
      </c>
    </row>
    <row r="1065" spans="1:15">
      <c r="A1065" s="4">
        <v>1061</v>
      </c>
      <c r="B1065" s="5" t="s">
        <v>4256</v>
      </c>
      <c r="C1065" s="5" t="s">
        <v>4257</v>
      </c>
      <c r="D1065" s="5" t="s">
        <v>4258</v>
      </c>
      <c r="E1065" s="6" t="s">
        <v>4259</v>
      </c>
      <c r="F1065" s="7" t="s">
        <v>21</v>
      </c>
      <c r="G1065" s="5" t="s">
        <v>22</v>
      </c>
      <c r="H1065" s="8"/>
      <c r="I1065" s="9"/>
      <c r="J1065" s="9" t="s">
        <v>23</v>
      </c>
      <c r="K1065" s="8"/>
      <c r="L1065" s="9"/>
      <c r="M1065" s="10" t="s">
        <v>4260</v>
      </c>
      <c r="N1065" s="11" t="s">
        <v>4261</v>
      </c>
      <c r="O1065" s="12" t="s">
        <v>26</v>
      </c>
    </row>
    <row r="1066" spans="1:15">
      <c r="A1066" s="4">
        <v>1062</v>
      </c>
      <c r="B1066" s="5" t="s">
        <v>4256</v>
      </c>
      <c r="C1066" s="5" t="s">
        <v>4262</v>
      </c>
      <c r="D1066" s="5" t="s">
        <v>4263</v>
      </c>
      <c r="E1066" s="6" t="s">
        <v>4264</v>
      </c>
      <c r="F1066" s="7" t="s">
        <v>21</v>
      </c>
      <c r="G1066" s="5" t="s">
        <v>22</v>
      </c>
      <c r="H1066" s="8"/>
      <c r="I1066" s="9"/>
      <c r="J1066" s="9" t="s">
        <v>23</v>
      </c>
      <c r="K1066" s="8"/>
      <c r="L1066" s="9"/>
      <c r="M1066" s="10" t="s">
        <v>4260</v>
      </c>
      <c r="N1066" s="11" t="s">
        <v>4265</v>
      </c>
      <c r="O1066" s="12" t="s">
        <v>26</v>
      </c>
    </row>
    <row r="1067" spans="1:15">
      <c r="A1067" s="4">
        <v>1063</v>
      </c>
      <c r="B1067" s="5" t="s">
        <v>4256</v>
      </c>
      <c r="C1067" s="5" t="s">
        <v>4257</v>
      </c>
      <c r="D1067" s="5" t="s">
        <v>4266</v>
      </c>
      <c r="E1067" s="6" t="s">
        <v>4267</v>
      </c>
      <c r="F1067" s="7" t="s">
        <v>21</v>
      </c>
      <c r="G1067" s="5" t="s">
        <v>22</v>
      </c>
      <c r="H1067" s="8"/>
      <c r="I1067" s="9"/>
      <c r="J1067" s="9" t="s">
        <v>23</v>
      </c>
      <c r="K1067" s="8"/>
      <c r="L1067" s="9"/>
      <c r="M1067" s="10" t="s">
        <v>4260</v>
      </c>
      <c r="N1067" s="11" t="s">
        <v>4268</v>
      </c>
      <c r="O1067" s="12" t="s">
        <v>26</v>
      </c>
    </row>
    <row r="1068" spans="1:15">
      <c r="A1068" s="4">
        <v>1064</v>
      </c>
      <c r="B1068" s="5" t="s">
        <v>4256</v>
      </c>
      <c r="C1068" s="5" t="s">
        <v>4269</v>
      </c>
      <c r="D1068" s="5" t="s">
        <v>4270</v>
      </c>
      <c r="E1068" s="6" t="s">
        <v>4271</v>
      </c>
      <c r="F1068" s="7" t="s">
        <v>21</v>
      </c>
      <c r="G1068" s="5" t="s">
        <v>22</v>
      </c>
      <c r="H1068" s="8"/>
      <c r="I1068" s="9"/>
      <c r="J1068" s="9" t="s">
        <v>23</v>
      </c>
      <c r="K1068" s="8"/>
      <c r="L1068" s="9"/>
      <c r="M1068" s="10" t="s">
        <v>4272</v>
      </c>
      <c r="N1068" s="11" t="s">
        <v>4273</v>
      </c>
      <c r="O1068" s="12" t="s">
        <v>26</v>
      </c>
    </row>
    <row r="1069" spans="1:15">
      <c r="A1069" s="4">
        <v>1065</v>
      </c>
      <c r="B1069" s="5" t="s">
        <v>4256</v>
      </c>
      <c r="C1069" s="5" t="s">
        <v>4274</v>
      </c>
      <c r="D1069" s="5" t="s">
        <v>4275</v>
      </c>
      <c r="E1069" s="6" t="s">
        <v>4276</v>
      </c>
      <c r="F1069" s="7" t="s">
        <v>21</v>
      </c>
      <c r="G1069" s="5" t="s">
        <v>29</v>
      </c>
      <c r="H1069" s="8"/>
      <c r="I1069" s="9"/>
      <c r="J1069" s="9" t="s">
        <v>23</v>
      </c>
      <c r="K1069" s="8"/>
      <c r="L1069" s="9"/>
      <c r="M1069" s="10"/>
      <c r="N1069" s="11" t="s">
        <v>4277</v>
      </c>
      <c r="O1069" s="12" t="s">
        <v>26</v>
      </c>
    </row>
    <row r="1070" spans="1:15">
      <c r="A1070" s="4">
        <v>1066</v>
      </c>
      <c r="B1070" s="5" t="s">
        <v>4256</v>
      </c>
      <c r="C1070" s="5" t="s">
        <v>4257</v>
      </c>
      <c r="D1070" s="5" t="s">
        <v>4278</v>
      </c>
      <c r="E1070" s="6" t="s">
        <v>4279</v>
      </c>
      <c r="F1070" s="7" t="s">
        <v>21</v>
      </c>
      <c r="G1070" s="5" t="s">
        <v>22</v>
      </c>
      <c r="H1070" s="8"/>
      <c r="I1070" s="9"/>
      <c r="J1070" s="9" t="s">
        <v>23</v>
      </c>
      <c r="K1070" s="8"/>
      <c r="L1070" s="9"/>
      <c r="M1070" s="10" t="s">
        <v>4260</v>
      </c>
      <c r="N1070" s="11" t="s">
        <v>4280</v>
      </c>
      <c r="O1070" s="12" t="s">
        <v>26</v>
      </c>
    </row>
    <row r="1071" spans="1:15">
      <c r="A1071" s="4">
        <v>1067</v>
      </c>
      <c r="B1071" s="5" t="s">
        <v>4256</v>
      </c>
      <c r="C1071" s="5" t="s">
        <v>4281</v>
      </c>
      <c r="D1071" s="5" t="s">
        <v>4282</v>
      </c>
      <c r="E1071" s="6" t="s">
        <v>4283</v>
      </c>
      <c r="F1071" s="7" t="s">
        <v>21</v>
      </c>
      <c r="G1071" s="5" t="s">
        <v>22</v>
      </c>
      <c r="H1071" s="8"/>
      <c r="I1071" s="9"/>
      <c r="J1071" s="9" t="s">
        <v>23</v>
      </c>
      <c r="K1071" s="8"/>
      <c r="L1071" s="9"/>
      <c r="M1071" s="10" t="s">
        <v>4284</v>
      </c>
      <c r="N1071" s="11" t="s">
        <v>4285</v>
      </c>
      <c r="O1071" s="12" t="s">
        <v>26</v>
      </c>
    </row>
    <row r="1072" spans="1:15">
      <c r="A1072" s="4">
        <v>1068</v>
      </c>
      <c r="B1072" s="5" t="s">
        <v>4256</v>
      </c>
      <c r="C1072" s="5" t="s">
        <v>4257</v>
      </c>
      <c r="D1072" s="5" t="s">
        <v>4286</v>
      </c>
      <c r="E1072" s="6" t="s">
        <v>4287</v>
      </c>
      <c r="F1072" s="7" t="s">
        <v>21</v>
      </c>
      <c r="G1072" s="5" t="s">
        <v>22</v>
      </c>
      <c r="H1072" s="8"/>
      <c r="I1072" s="9"/>
      <c r="J1072" s="9" t="s">
        <v>23</v>
      </c>
      <c r="K1072" s="8"/>
      <c r="L1072" s="9"/>
      <c r="M1072" s="10" t="s">
        <v>4260</v>
      </c>
      <c r="N1072" s="11" t="s">
        <v>4288</v>
      </c>
      <c r="O1072" s="12" t="s">
        <v>26</v>
      </c>
    </row>
    <row r="1073" spans="1:15">
      <c r="A1073" s="4">
        <v>1069</v>
      </c>
      <c r="B1073" s="5" t="s">
        <v>4256</v>
      </c>
      <c r="C1073" s="5" t="s">
        <v>4289</v>
      </c>
      <c r="D1073" s="5" t="s">
        <v>4290</v>
      </c>
      <c r="E1073" s="6" t="s">
        <v>4291</v>
      </c>
      <c r="F1073" s="7" t="s">
        <v>21</v>
      </c>
      <c r="G1073" s="5" t="s">
        <v>22</v>
      </c>
      <c r="H1073" s="8"/>
      <c r="I1073" s="9"/>
      <c r="J1073" s="9" t="s">
        <v>23</v>
      </c>
      <c r="K1073" s="8"/>
      <c r="L1073" s="9"/>
      <c r="M1073" s="10" t="s">
        <v>4292</v>
      </c>
      <c r="N1073" s="11" t="s">
        <v>4293</v>
      </c>
      <c r="O1073" s="12" t="s">
        <v>26</v>
      </c>
    </row>
    <row r="1074" spans="1:15">
      <c r="A1074" s="4">
        <v>1070</v>
      </c>
      <c r="B1074" s="5" t="s">
        <v>4294</v>
      </c>
      <c r="C1074" s="5" t="s">
        <v>4295</v>
      </c>
      <c r="D1074" s="5" t="s">
        <v>4296</v>
      </c>
      <c r="E1074" s="6" t="s">
        <v>4297</v>
      </c>
      <c r="F1074" s="7" t="s">
        <v>21</v>
      </c>
      <c r="G1074" s="5" t="s">
        <v>22</v>
      </c>
      <c r="H1074" s="8"/>
      <c r="I1074" s="9"/>
      <c r="J1074" s="9" t="s">
        <v>23</v>
      </c>
      <c r="K1074" s="8"/>
      <c r="L1074" s="9"/>
      <c r="M1074" s="10"/>
      <c r="N1074" s="11" t="s">
        <v>4298</v>
      </c>
      <c r="O1074" s="12" t="s">
        <v>26</v>
      </c>
    </row>
    <row r="1075" spans="1:15">
      <c r="A1075" s="4">
        <v>1071</v>
      </c>
      <c r="B1075" s="5" t="s">
        <v>4294</v>
      </c>
      <c r="C1075" s="5" t="s">
        <v>4299</v>
      </c>
      <c r="D1075" s="5" t="s">
        <v>4300</v>
      </c>
      <c r="E1075" s="6" t="s">
        <v>4301</v>
      </c>
      <c r="F1075" s="7" t="s">
        <v>21</v>
      </c>
      <c r="G1075" s="5" t="s">
        <v>22</v>
      </c>
      <c r="H1075" s="8"/>
      <c r="I1075" s="9"/>
      <c r="J1075" s="9" t="s">
        <v>23</v>
      </c>
      <c r="K1075" s="8"/>
      <c r="L1075" s="9"/>
      <c r="M1075" s="10" t="s">
        <v>4302</v>
      </c>
      <c r="N1075" s="11" t="s">
        <v>4303</v>
      </c>
      <c r="O1075" s="12" t="s">
        <v>26</v>
      </c>
    </row>
    <row r="1076" spans="1:15">
      <c r="A1076" s="4">
        <v>1072</v>
      </c>
      <c r="B1076" s="5" t="s">
        <v>4294</v>
      </c>
      <c r="C1076" s="5" t="s">
        <v>4299</v>
      </c>
      <c r="D1076" s="5" t="s">
        <v>4304</v>
      </c>
      <c r="E1076" s="6" t="s">
        <v>4305</v>
      </c>
      <c r="F1076" s="7" t="s">
        <v>21</v>
      </c>
      <c r="G1076" s="5" t="s">
        <v>22</v>
      </c>
      <c r="H1076" s="8"/>
      <c r="I1076" s="9"/>
      <c r="J1076" s="9" t="s">
        <v>23</v>
      </c>
      <c r="K1076" s="8"/>
      <c r="L1076" s="9"/>
      <c r="M1076" s="10" t="s">
        <v>4306</v>
      </c>
      <c r="N1076" s="11" t="s">
        <v>4307</v>
      </c>
      <c r="O1076" s="12" t="s">
        <v>26</v>
      </c>
    </row>
    <row r="1077" spans="1:15">
      <c r="A1077" s="4">
        <v>1073</v>
      </c>
      <c r="B1077" s="5" t="s">
        <v>4294</v>
      </c>
      <c r="C1077" s="5" t="s">
        <v>4299</v>
      </c>
      <c r="D1077" s="5" t="s">
        <v>4308</v>
      </c>
      <c r="E1077" s="6" t="s">
        <v>4309</v>
      </c>
      <c r="F1077" s="7" t="s">
        <v>21</v>
      </c>
      <c r="G1077" s="5" t="s">
        <v>22</v>
      </c>
      <c r="H1077" s="8"/>
      <c r="I1077" s="9"/>
      <c r="J1077" s="9" t="s">
        <v>23</v>
      </c>
      <c r="K1077" s="8"/>
      <c r="L1077" s="9"/>
      <c r="M1077" s="10" t="s">
        <v>4306</v>
      </c>
      <c r="N1077" s="11" t="s">
        <v>4310</v>
      </c>
      <c r="O1077" s="12" t="s">
        <v>26</v>
      </c>
    </row>
    <row r="1078" spans="1:15">
      <c r="A1078" s="4">
        <v>1074</v>
      </c>
      <c r="B1078" s="5" t="s">
        <v>4294</v>
      </c>
      <c r="C1078" s="5" t="s">
        <v>4311</v>
      </c>
      <c r="D1078" s="5" t="s">
        <v>4312</v>
      </c>
      <c r="E1078" s="6" t="s">
        <v>4313</v>
      </c>
      <c r="F1078" s="7" t="s">
        <v>21</v>
      </c>
      <c r="G1078" s="5" t="s">
        <v>22</v>
      </c>
      <c r="H1078" s="8"/>
      <c r="I1078" s="9"/>
      <c r="J1078" s="9" t="s">
        <v>23</v>
      </c>
      <c r="K1078" s="8"/>
      <c r="L1078" s="9"/>
      <c r="M1078" s="10" t="s">
        <v>4314</v>
      </c>
      <c r="N1078" s="11" t="s">
        <v>4315</v>
      </c>
      <c r="O1078" s="12" t="s">
        <v>26</v>
      </c>
    </row>
    <row r="1079" spans="1:15">
      <c r="A1079" s="4">
        <v>1075</v>
      </c>
      <c r="B1079" s="5" t="s">
        <v>4294</v>
      </c>
      <c r="C1079" s="5" t="s">
        <v>4316</v>
      </c>
      <c r="D1079" s="5" t="s">
        <v>4317</v>
      </c>
      <c r="E1079" s="6" t="s">
        <v>4318</v>
      </c>
      <c r="F1079" s="7" t="s">
        <v>21</v>
      </c>
      <c r="G1079" s="5" t="s">
        <v>29</v>
      </c>
      <c r="H1079" s="8"/>
      <c r="I1079" s="9"/>
      <c r="J1079" s="9" t="s">
        <v>23</v>
      </c>
      <c r="K1079" s="8"/>
      <c r="L1079" s="9"/>
      <c r="M1079" s="10" t="s">
        <v>4306</v>
      </c>
      <c r="N1079" s="11" t="s">
        <v>4319</v>
      </c>
      <c r="O1079" s="12" t="s">
        <v>26</v>
      </c>
    </row>
    <row r="1080" spans="1:15">
      <c r="A1080" s="4">
        <v>1076</v>
      </c>
      <c r="B1080" s="5" t="s">
        <v>4294</v>
      </c>
      <c r="C1080" s="5" t="s">
        <v>4316</v>
      </c>
      <c r="D1080" s="5" t="s">
        <v>4320</v>
      </c>
      <c r="E1080" s="6" t="s">
        <v>4321</v>
      </c>
      <c r="F1080" s="7" t="s">
        <v>21</v>
      </c>
      <c r="G1080" s="5" t="s">
        <v>22</v>
      </c>
      <c r="H1080" s="8"/>
      <c r="I1080" s="9"/>
      <c r="J1080" s="9" t="s">
        <v>23</v>
      </c>
      <c r="K1080" s="8"/>
      <c r="L1080" s="9"/>
      <c r="M1080" s="10"/>
      <c r="N1080" s="11" t="s">
        <v>4322</v>
      </c>
      <c r="O1080" s="12" t="s">
        <v>26</v>
      </c>
    </row>
    <row r="1081" spans="1:15">
      <c r="A1081" s="4">
        <v>1077</v>
      </c>
      <c r="B1081" s="5" t="s">
        <v>4294</v>
      </c>
      <c r="C1081" s="5" t="s">
        <v>4316</v>
      </c>
      <c r="D1081" s="5" t="s">
        <v>4323</v>
      </c>
      <c r="E1081" s="6" t="s">
        <v>4324</v>
      </c>
      <c r="F1081" s="13" t="s">
        <v>34</v>
      </c>
      <c r="G1081" s="5" t="s">
        <v>22</v>
      </c>
      <c r="H1081" s="8"/>
      <c r="I1081" s="9"/>
      <c r="J1081" s="9" t="s">
        <v>23</v>
      </c>
      <c r="K1081" s="8"/>
      <c r="L1081" s="9"/>
      <c r="M1081" s="10" t="s">
        <v>4184</v>
      </c>
      <c r="N1081" s="11" t="s">
        <v>4325</v>
      </c>
      <c r="O1081" s="12" t="s">
        <v>26</v>
      </c>
    </row>
    <row r="1082" spans="1:15">
      <c r="A1082" s="4">
        <v>1078</v>
      </c>
      <c r="B1082" s="5" t="s">
        <v>4326</v>
      </c>
      <c r="C1082" s="5" t="s">
        <v>4327</v>
      </c>
      <c r="D1082" s="5" t="s">
        <v>4328</v>
      </c>
      <c r="E1082" s="6" t="s">
        <v>4329</v>
      </c>
      <c r="F1082" s="7" t="s">
        <v>21</v>
      </c>
      <c r="G1082" s="5" t="s">
        <v>22</v>
      </c>
      <c r="H1082" s="8"/>
      <c r="I1082" s="9"/>
      <c r="J1082" s="9" t="s">
        <v>23</v>
      </c>
      <c r="K1082" s="8"/>
      <c r="L1082" s="9"/>
      <c r="M1082" s="10"/>
      <c r="N1082" s="11" t="s">
        <v>4330</v>
      </c>
      <c r="O1082" s="12" t="s">
        <v>26</v>
      </c>
    </row>
    <row r="1083" spans="1:15">
      <c r="A1083" s="4">
        <v>1079</v>
      </c>
      <c r="B1083" s="5" t="s">
        <v>4326</v>
      </c>
      <c r="C1083" s="5" t="s">
        <v>4327</v>
      </c>
      <c r="D1083" s="5" t="s">
        <v>4331</v>
      </c>
      <c r="E1083" s="6" t="s">
        <v>4332</v>
      </c>
      <c r="F1083" s="7" t="s">
        <v>21</v>
      </c>
      <c r="G1083" s="5" t="s">
        <v>22</v>
      </c>
      <c r="H1083" s="8"/>
      <c r="I1083" s="9"/>
      <c r="J1083" s="9" t="s">
        <v>23</v>
      </c>
      <c r="K1083" s="8"/>
      <c r="L1083" s="9"/>
      <c r="M1083" s="10" t="s">
        <v>4333</v>
      </c>
      <c r="N1083" s="11" t="s">
        <v>4334</v>
      </c>
      <c r="O1083" s="12" t="s">
        <v>26</v>
      </c>
    </row>
    <row r="1084" spans="1:15">
      <c r="A1084" s="4">
        <v>1080</v>
      </c>
      <c r="B1084" s="5" t="s">
        <v>4326</v>
      </c>
      <c r="C1084" s="5" t="s">
        <v>4335</v>
      </c>
      <c r="D1084" s="5" t="s">
        <v>4336</v>
      </c>
      <c r="E1084" s="6" t="s">
        <v>4337</v>
      </c>
      <c r="F1084" s="7" t="s">
        <v>21</v>
      </c>
      <c r="G1084" s="5" t="s">
        <v>22</v>
      </c>
      <c r="H1084" s="8"/>
      <c r="I1084" s="9"/>
      <c r="J1084" s="9" t="s">
        <v>23</v>
      </c>
      <c r="K1084" s="8"/>
      <c r="L1084" s="9"/>
      <c r="M1084" s="10" t="s">
        <v>4338</v>
      </c>
      <c r="N1084" s="11" t="s">
        <v>4339</v>
      </c>
      <c r="O1084" s="12" t="s">
        <v>26</v>
      </c>
    </row>
    <row r="1085" spans="1:15">
      <c r="A1085" s="4">
        <v>1081</v>
      </c>
      <c r="B1085" s="5" t="s">
        <v>4326</v>
      </c>
      <c r="C1085" s="5" t="s">
        <v>4340</v>
      </c>
      <c r="D1085" s="5" t="s">
        <v>4341</v>
      </c>
      <c r="E1085" s="6" t="s">
        <v>4342</v>
      </c>
      <c r="F1085" s="7" t="s">
        <v>21</v>
      </c>
      <c r="G1085" s="5" t="s">
        <v>22</v>
      </c>
      <c r="H1085" s="8"/>
      <c r="I1085" s="9"/>
      <c r="J1085" s="9" t="s">
        <v>23</v>
      </c>
      <c r="K1085" s="8"/>
      <c r="L1085" s="9"/>
      <c r="M1085" s="10"/>
      <c r="N1085" s="11" t="s">
        <v>4343</v>
      </c>
      <c r="O1085" s="12" t="s">
        <v>26</v>
      </c>
    </row>
    <row r="1086" spans="1:15">
      <c r="A1086" s="4">
        <v>1082</v>
      </c>
      <c r="B1086" s="5" t="s">
        <v>4326</v>
      </c>
      <c r="C1086" s="5" t="s">
        <v>4335</v>
      </c>
      <c r="D1086" s="5" t="s">
        <v>4344</v>
      </c>
      <c r="E1086" s="6" t="s">
        <v>4345</v>
      </c>
      <c r="F1086" s="7" t="s">
        <v>21</v>
      </c>
      <c r="G1086" s="5" t="s">
        <v>22</v>
      </c>
      <c r="H1086" s="8"/>
      <c r="I1086" s="9"/>
      <c r="J1086" s="9" t="s">
        <v>23</v>
      </c>
      <c r="K1086" s="8"/>
      <c r="L1086" s="9"/>
      <c r="M1086" s="10"/>
      <c r="N1086" s="11" t="s">
        <v>4346</v>
      </c>
      <c r="O1086" s="12" t="s">
        <v>26</v>
      </c>
    </row>
    <row r="1087" spans="1:15">
      <c r="A1087" s="4">
        <v>1083</v>
      </c>
      <c r="B1087" s="5" t="s">
        <v>4326</v>
      </c>
      <c r="C1087" s="5" t="s">
        <v>4340</v>
      </c>
      <c r="D1087" s="5" t="s">
        <v>4347</v>
      </c>
      <c r="E1087" s="6" t="s">
        <v>4348</v>
      </c>
      <c r="F1087" s="7" t="s">
        <v>21</v>
      </c>
      <c r="G1087" s="5" t="s">
        <v>22</v>
      </c>
      <c r="H1087" s="8"/>
      <c r="I1087" s="9"/>
      <c r="J1087" s="9" t="s">
        <v>23</v>
      </c>
      <c r="K1087" s="8"/>
      <c r="L1087" s="9"/>
      <c r="M1087" s="10" t="s">
        <v>4349</v>
      </c>
      <c r="N1087" s="11" t="s">
        <v>4350</v>
      </c>
      <c r="O1087" s="12" t="s">
        <v>26</v>
      </c>
    </row>
    <row r="1088" spans="1:15">
      <c r="A1088" s="4">
        <v>1084</v>
      </c>
      <c r="B1088" s="5" t="s">
        <v>4326</v>
      </c>
      <c r="C1088" s="5" t="s">
        <v>4351</v>
      </c>
      <c r="D1088" s="5" t="s">
        <v>4352</v>
      </c>
      <c r="E1088" s="6" t="s">
        <v>4353</v>
      </c>
      <c r="F1088" s="7" t="s">
        <v>21</v>
      </c>
      <c r="G1088" s="5" t="s">
        <v>22</v>
      </c>
      <c r="H1088" s="8"/>
      <c r="I1088" s="9"/>
      <c r="J1088" s="9" t="s">
        <v>23</v>
      </c>
      <c r="K1088" s="8"/>
      <c r="L1088" s="9"/>
      <c r="M1088" s="10"/>
      <c r="N1088" s="11" t="s">
        <v>4354</v>
      </c>
      <c r="O1088" s="12" t="s">
        <v>26</v>
      </c>
    </row>
    <row r="1089" spans="1:15">
      <c r="A1089" s="4">
        <v>1085</v>
      </c>
      <c r="B1089" s="5" t="s">
        <v>4326</v>
      </c>
      <c r="C1089" s="5" t="s">
        <v>4340</v>
      </c>
      <c r="D1089" s="5" t="s">
        <v>4355</v>
      </c>
      <c r="E1089" s="6" t="s">
        <v>4356</v>
      </c>
      <c r="F1089" s="7" t="s">
        <v>21</v>
      </c>
      <c r="G1089" s="5" t="s">
        <v>29</v>
      </c>
      <c r="H1089" s="8"/>
      <c r="I1089" s="9"/>
      <c r="J1089" s="9" t="s">
        <v>23</v>
      </c>
      <c r="K1089" s="8"/>
      <c r="L1089" s="9"/>
      <c r="M1089" s="10"/>
      <c r="N1089" s="11" t="s">
        <v>4357</v>
      </c>
      <c r="O1089" s="12" t="s">
        <v>26</v>
      </c>
    </row>
    <row r="1090" spans="1:15">
      <c r="A1090" s="4">
        <v>1086</v>
      </c>
      <c r="B1090" s="5" t="s">
        <v>4326</v>
      </c>
      <c r="C1090" s="5" t="s">
        <v>4351</v>
      </c>
      <c r="D1090" s="5" t="s">
        <v>4358</v>
      </c>
      <c r="E1090" s="6" t="s">
        <v>4359</v>
      </c>
      <c r="F1090" s="7" t="s">
        <v>21</v>
      </c>
      <c r="G1090" s="5" t="s">
        <v>29</v>
      </c>
      <c r="H1090" s="8"/>
      <c r="I1090" s="9"/>
      <c r="J1090" s="9" t="s">
        <v>23</v>
      </c>
      <c r="K1090" s="8"/>
      <c r="L1090" s="9"/>
      <c r="M1090" s="10" t="s">
        <v>4360</v>
      </c>
      <c r="N1090" s="11" t="s">
        <v>4361</v>
      </c>
      <c r="O1090" s="12" t="s">
        <v>26</v>
      </c>
    </row>
    <row r="1091" spans="1:15">
      <c r="A1091" s="4">
        <v>1087</v>
      </c>
      <c r="B1091" s="5" t="s">
        <v>4326</v>
      </c>
      <c r="C1091" s="5" t="s">
        <v>4340</v>
      </c>
      <c r="D1091" s="5" t="s">
        <v>4362</v>
      </c>
      <c r="E1091" s="6" t="s">
        <v>4363</v>
      </c>
      <c r="F1091" s="7" t="s">
        <v>21</v>
      </c>
      <c r="G1091" s="5" t="s">
        <v>22</v>
      </c>
      <c r="H1091" s="8"/>
      <c r="I1091" s="9"/>
      <c r="J1091" s="9" t="s">
        <v>23</v>
      </c>
      <c r="K1091" s="8"/>
      <c r="L1091" s="9"/>
      <c r="M1091" s="10"/>
      <c r="N1091" s="11" t="s">
        <v>4364</v>
      </c>
      <c r="O1091" s="12" t="s">
        <v>26</v>
      </c>
    </row>
    <row r="1092" spans="1:15">
      <c r="A1092" s="4">
        <v>1088</v>
      </c>
      <c r="B1092" s="5" t="s">
        <v>4365</v>
      </c>
      <c r="C1092" s="5" t="s">
        <v>4366</v>
      </c>
      <c r="D1092" s="5" t="s">
        <v>4367</v>
      </c>
      <c r="E1092" s="6" t="s">
        <v>4368</v>
      </c>
      <c r="F1092" s="7" t="s">
        <v>21</v>
      </c>
      <c r="G1092" s="5" t="s">
        <v>29</v>
      </c>
      <c r="H1092" s="8"/>
      <c r="I1092" s="9"/>
      <c r="J1092" s="9" t="s">
        <v>23</v>
      </c>
      <c r="K1092" s="8"/>
      <c r="L1092" s="9"/>
      <c r="M1092" s="10" t="s">
        <v>4369</v>
      </c>
      <c r="N1092" s="11" t="s">
        <v>4370</v>
      </c>
      <c r="O1092" s="12" t="s">
        <v>26</v>
      </c>
    </row>
    <row r="1093" spans="1:15">
      <c r="A1093" s="4">
        <v>1089</v>
      </c>
      <c r="B1093" s="5" t="s">
        <v>4365</v>
      </c>
      <c r="C1093" s="5" t="s">
        <v>4371</v>
      </c>
      <c r="D1093" s="5" t="s">
        <v>4372</v>
      </c>
      <c r="E1093" s="6" t="s">
        <v>4373</v>
      </c>
      <c r="F1093" s="7" t="s">
        <v>21</v>
      </c>
      <c r="G1093" s="5" t="s">
        <v>22</v>
      </c>
      <c r="H1093" s="8"/>
      <c r="I1093" s="9"/>
      <c r="J1093" s="9" t="s">
        <v>23</v>
      </c>
      <c r="K1093" s="8"/>
      <c r="L1093" s="9"/>
      <c r="M1093" s="10" t="s">
        <v>4374</v>
      </c>
      <c r="N1093" s="11" t="s">
        <v>4375</v>
      </c>
      <c r="O1093" s="12" t="s">
        <v>26</v>
      </c>
    </row>
    <row r="1094" spans="1:15">
      <c r="A1094" s="4">
        <v>1090</v>
      </c>
      <c r="B1094" s="5" t="s">
        <v>4365</v>
      </c>
      <c r="C1094" s="5" t="s">
        <v>4376</v>
      </c>
      <c r="D1094" s="5" t="s">
        <v>4377</v>
      </c>
      <c r="E1094" s="6" t="s">
        <v>4378</v>
      </c>
      <c r="F1094" s="7" t="s">
        <v>21</v>
      </c>
      <c r="G1094" s="5" t="s">
        <v>22</v>
      </c>
      <c r="H1094" s="8"/>
      <c r="I1094" s="9"/>
      <c r="J1094" s="9" t="s">
        <v>23</v>
      </c>
      <c r="K1094" s="8"/>
      <c r="L1094" s="9"/>
      <c r="M1094" s="10" t="s">
        <v>4379</v>
      </c>
      <c r="N1094" s="11" t="s">
        <v>4380</v>
      </c>
      <c r="O1094" s="12" t="s">
        <v>26</v>
      </c>
    </row>
    <row r="1095" spans="1:15">
      <c r="A1095" s="4">
        <v>1091</v>
      </c>
      <c r="B1095" s="5" t="s">
        <v>4365</v>
      </c>
      <c r="C1095" s="5" t="s">
        <v>4381</v>
      </c>
      <c r="D1095" s="5" t="s">
        <v>4382</v>
      </c>
      <c r="E1095" s="6" t="s">
        <v>4383</v>
      </c>
      <c r="F1095" s="7" t="s">
        <v>21</v>
      </c>
      <c r="G1095" s="5" t="s">
        <v>22</v>
      </c>
      <c r="H1095" s="8"/>
      <c r="I1095" s="9"/>
      <c r="J1095" s="9" t="s">
        <v>23</v>
      </c>
      <c r="K1095" s="8"/>
      <c r="L1095" s="9"/>
      <c r="M1095" s="10" t="s">
        <v>4384</v>
      </c>
      <c r="N1095" s="11" t="s">
        <v>4385</v>
      </c>
      <c r="O1095" s="12" t="s">
        <v>26</v>
      </c>
    </row>
    <row r="1096" spans="1:15">
      <c r="A1096" s="4">
        <v>1092</v>
      </c>
      <c r="B1096" s="5" t="s">
        <v>4365</v>
      </c>
      <c r="C1096" s="5" t="s">
        <v>4386</v>
      </c>
      <c r="D1096" s="5" t="s">
        <v>4387</v>
      </c>
      <c r="E1096" s="6" t="s">
        <v>4388</v>
      </c>
      <c r="F1096" s="7" t="s">
        <v>21</v>
      </c>
      <c r="G1096" s="5" t="s">
        <v>22</v>
      </c>
      <c r="H1096" s="8"/>
      <c r="I1096" s="9"/>
      <c r="J1096" s="9" t="s">
        <v>23</v>
      </c>
      <c r="K1096" s="8"/>
      <c r="L1096" s="9"/>
      <c r="M1096" s="10" t="s">
        <v>4389</v>
      </c>
      <c r="N1096" s="11" t="s">
        <v>4390</v>
      </c>
      <c r="O1096" s="12" t="s">
        <v>26</v>
      </c>
    </row>
    <row r="1097" spans="1:15">
      <c r="A1097" s="4">
        <v>1093</v>
      </c>
      <c r="B1097" s="5" t="s">
        <v>4365</v>
      </c>
      <c r="C1097" s="5" t="s">
        <v>4391</v>
      </c>
      <c r="D1097" s="5" t="s">
        <v>4392</v>
      </c>
      <c r="E1097" s="6" t="s">
        <v>4393</v>
      </c>
      <c r="F1097" s="7" t="s">
        <v>21</v>
      </c>
      <c r="G1097" s="5" t="s">
        <v>29</v>
      </c>
      <c r="H1097" s="8"/>
      <c r="I1097" s="9"/>
      <c r="J1097" s="9" t="s">
        <v>23</v>
      </c>
      <c r="K1097" s="8"/>
      <c r="L1097" s="9"/>
      <c r="M1097" s="10" t="s">
        <v>4394</v>
      </c>
      <c r="N1097" s="11" t="s">
        <v>4395</v>
      </c>
      <c r="O1097" s="12" t="s">
        <v>26</v>
      </c>
    </row>
    <row r="1098" spans="1:15">
      <c r="A1098" s="4">
        <v>1094</v>
      </c>
      <c r="B1098" s="5" t="s">
        <v>4365</v>
      </c>
      <c r="C1098" s="5" t="s">
        <v>4396</v>
      </c>
      <c r="D1098" s="5" t="s">
        <v>4397</v>
      </c>
      <c r="E1098" s="6" t="s">
        <v>4398</v>
      </c>
      <c r="F1098" s="7" t="s">
        <v>21</v>
      </c>
      <c r="G1098" s="5" t="s">
        <v>4399</v>
      </c>
      <c r="H1098" s="8"/>
      <c r="I1098" s="9"/>
      <c r="J1098" s="9" t="s">
        <v>23</v>
      </c>
      <c r="K1098" s="8"/>
      <c r="L1098" s="9"/>
      <c r="M1098" s="10"/>
      <c r="N1098" s="11" t="s">
        <v>4400</v>
      </c>
      <c r="O1098" s="12" t="s">
        <v>26</v>
      </c>
    </row>
    <row r="1099" spans="1:15">
      <c r="A1099" s="4">
        <v>1095</v>
      </c>
      <c r="B1099" s="5" t="s">
        <v>4365</v>
      </c>
      <c r="C1099" s="5" t="s">
        <v>4401</v>
      </c>
      <c r="D1099" s="5" t="s">
        <v>4402</v>
      </c>
      <c r="E1099" s="6" t="s">
        <v>4403</v>
      </c>
      <c r="F1099" s="7" t="s">
        <v>21</v>
      </c>
      <c r="G1099" s="5" t="s">
        <v>22</v>
      </c>
      <c r="H1099" s="8"/>
      <c r="I1099" s="9"/>
      <c r="J1099" s="9" t="s">
        <v>23</v>
      </c>
      <c r="K1099" s="8"/>
      <c r="L1099" s="9"/>
      <c r="M1099" s="10" t="s">
        <v>4260</v>
      </c>
      <c r="N1099" s="11" t="s">
        <v>4404</v>
      </c>
      <c r="O1099" s="12" t="s">
        <v>26</v>
      </c>
    </row>
    <row r="1100" spans="1:15">
      <c r="A1100" s="4">
        <v>1096</v>
      </c>
      <c r="B1100" s="5" t="s">
        <v>4365</v>
      </c>
      <c r="C1100" s="5" t="s">
        <v>4396</v>
      </c>
      <c r="D1100" s="5" t="s">
        <v>4405</v>
      </c>
      <c r="E1100" s="6" t="s">
        <v>4406</v>
      </c>
      <c r="F1100" s="7" t="s">
        <v>21</v>
      </c>
      <c r="G1100" s="5" t="s">
        <v>22</v>
      </c>
      <c r="H1100" s="8"/>
      <c r="I1100" s="9"/>
      <c r="J1100" s="9" t="s">
        <v>23</v>
      </c>
      <c r="K1100" s="8"/>
      <c r="L1100" s="9"/>
      <c r="M1100" s="10" t="s">
        <v>4407</v>
      </c>
      <c r="N1100" s="11" t="s">
        <v>4408</v>
      </c>
      <c r="O1100" s="12" t="s">
        <v>26</v>
      </c>
    </row>
    <row r="1101" spans="1:15">
      <c r="A1101" s="4">
        <v>1097</v>
      </c>
      <c r="B1101" s="5" t="s">
        <v>4365</v>
      </c>
      <c r="C1101" s="5" t="s">
        <v>4409</v>
      </c>
      <c r="D1101" s="5" t="s">
        <v>4410</v>
      </c>
      <c r="E1101" s="6" t="s">
        <v>4411</v>
      </c>
      <c r="F1101" s="7" t="s">
        <v>21</v>
      </c>
      <c r="G1101" s="5" t="s">
        <v>29</v>
      </c>
      <c r="H1101" s="8"/>
      <c r="I1101" s="9"/>
      <c r="J1101" s="9" t="s">
        <v>23</v>
      </c>
      <c r="K1101" s="8"/>
      <c r="L1101" s="9"/>
      <c r="M1101" s="10" t="s">
        <v>4412</v>
      </c>
      <c r="N1101" s="11" t="s">
        <v>4413</v>
      </c>
      <c r="O1101" s="12" t="s">
        <v>26</v>
      </c>
    </row>
    <row r="1102" spans="1:15">
      <c r="A1102" s="4">
        <v>1098</v>
      </c>
      <c r="B1102" s="5" t="s">
        <v>4365</v>
      </c>
      <c r="C1102" s="5" t="s">
        <v>4376</v>
      </c>
      <c r="D1102" s="5" t="s">
        <v>4414</v>
      </c>
      <c r="E1102" s="6" t="s">
        <v>4415</v>
      </c>
      <c r="F1102" s="7" t="s">
        <v>21</v>
      </c>
      <c r="G1102" s="5" t="s">
        <v>22</v>
      </c>
      <c r="H1102" s="8"/>
      <c r="I1102" s="9"/>
      <c r="J1102" s="9" t="s">
        <v>23</v>
      </c>
      <c r="K1102" s="8"/>
      <c r="L1102" s="9"/>
      <c r="M1102" s="10"/>
      <c r="N1102" s="11" t="s">
        <v>4416</v>
      </c>
      <c r="O1102" s="12" t="s">
        <v>26</v>
      </c>
    </row>
    <row r="1103" spans="1:15">
      <c r="A1103" s="4">
        <v>1099</v>
      </c>
      <c r="B1103" s="5" t="s">
        <v>4365</v>
      </c>
      <c r="C1103" s="5" t="s">
        <v>4396</v>
      </c>
      <c r="D1103" s="5" t="s">
        <v>4417</v>
      </c>
      <c r="E1103" s="6" t="s">
        <v>4418</v>
      </c>
      <c r="F1103" s="7" t="s">
        <v>21</v>
      </c>
      <c r="G1103" s="5" t="s">
        <v>29</v>
      </c>
      <c r="H1103" s="8"/>
      <c r="I1103" s="9"/>
      <c r="J1103" s="9" t="s">
        <v>23</v>
      </c>
      <c r="K1103" s="8"/>
      <c r="L1103" s="9"/>
      <c r="M1103" s="10"/>
      <c r="N1103" s="11" t="s">
        <v>4419</v>
      </c>
      <c r="O1103" s="12" t="s">
        <v>26</v>
      </c>
    </row>
    <row r="1104" spans="1:15">
      <c r="A1104" s="4">
        <v>1100</v>
      </c>
      <c r="B1104" s="5" t="s">
        <v>4365</v>
      </c>
      <c r="C1104" s="5" t="s">
        <v>4420</v>
      </c>
      <c r="D1104" s="5" t="s">
        <v>4421</v>
      </c>
      <c r="E1104" s="6" t="s">
        <v>4422</v>
      </c>
      <c r="F1104" s="7" t="s">
        <v>21</v>
      </c>
      <c r="G1104" s="5" t="s">
        <v>22</v>
      </c>
      <c r="H1104" s="8"/>
      <c r="I1104" s="9"/>
      <c r="J1104" s="9" t="s">
        <v>23</v>
      </c>
      <c r="K1104" s="8"/>
      <c r="L1104" s="9"/>
      <c r="M1104" s="10" t="s">
        <v>4423</v>
      </c>
      <c r="N1104" s="11" t="s">
        <v>4424</v>
      </c>
      <c r="O1104" s="12" t="s">
        <v>26</v>
      </c>
    </row>
    <row r="1105" spans="1:15">
      <c r="A1105" s="4">
        <v>1101</v>
      </c>
      <c r="B1105" s="5" t="s">
        <v>4365</v>
      </c>
      <c r="C1105" s="5" t="s">
        <v>4376</v>
      </c>
      <c r="D1105" s="5" t="s">
        <v>4425</v>
      </c>
      <c r="E1105" s="6" t="s">
        <v>4426</v>
      </c>
      <c r="F1105" s="7" t="s">
        <v>21</v>
      </c>
      <c r="G1105" s="5" t="s">
        <v>29</v>
      </c>
      <c r="H1105" s="8"/>
      <c r="I1105" s="9"/>
      <c r="J1105" s="9" t="s">
        <v>23</v>
      </c>
      <c r="K1105" s="8"/>
      <c r="L1105" s="9"/>
      <c r="M1105" s="10" t="s">
        <v>4427</v>
      </c>
      <c r="N1105" s="11" t="s">
        <v>4428</v>
      </c>
      <c r="O1105" s="12" t="s">
        <v>26</v>
      </c>
    </row>
    <row r="1106" spans="1:15">
      <c r="A1106" s="4">
        <v>1102</v>
      </c>
      <c r="B1106" s="5" t="s">
        <v>4365</v>
      </c>
      <c r="C1106" s="5" t="s">
        <v>4376</v>
      </c>
      <c r="D1106" s="5" t="s">
        <v>4429</v>
      </c>
      <c r="E1106" s="6" t="s">
        <v>4430</v>
      </c>
      <c r="F1106" s="7" t="s">
        <v>21</v>
      </c>
      <c r="G1106" s="5" t="s">
        <v>29</v>
      </c>
      <c r="H1106" s="8"/>
      <c r="I1106" s="9"/>
      <c r="J1106" s="9" t="s">
        <v>23</v>
      </c>
      <c r="K1106" s="8"/>
      <c r="L1106" s="9"/>
      <c r="M1106" s="10" t="s">
        <v>4431</v>
      </c>
      <c r="N1106" s="11" t="s">
        <v>4432</v>
      </c>
      <c r="O1106" s="12" t="s">
        <v>26</v>
      </c>
    </row>
    <row r="1107" spans="1:15">
      <c r="A1107" s="4">
        <v>1103</v>
      </c>
      <c r="B1107" s="5" t="s">
        <v>4365</v>
      </c>
      <c r="C1107" s="5" t="s">
        <v>4433</v>
      </c>
      <c r="D1107" s="5" t="s">
        <v>4434</v>
      </c>
      <c r="E1107" s="6" t="s">
        <v>4435</v>
      </c>
      <c r="F1107" s="7" t="s">
        <v>21</v>
      </c>
      <c r="G1107" s="5" t="s">
        <v>22</v>
      </c>
      <c r="H1107" s="8"/>
      <c r="I1107" s="9"/>
      <c r="J1107" s="9" t="s">
        <v>23</v>
      </c>
      <c r="K1107" s="8"/>
      <c r="L1107" s="9"/>
      <c r="M1107" s="10" t="s">
        <v>4436</v>
      </c>
      <c r="N1107" s="11" t="s">
        <v>4437</v>
      </c>
      <c r="O1107" s="12" t="s">
        <v>26</v>
      </c>
    </row>
    <row r="1108" spans="1:15">
      <c r="A1108" s="4">
        <v>1104</v>
      </c>
      <c r="B1108" s="5" t="s">
        <v>4365</v>
      </c>
      <c r="C1108" s="5" t="s">
        <v>4391</v>
      </c>
      <c r="D1108" s="5" t="s">
        <v>4438</v>
      </c>
      <c r="E1108" s="6" t="s">
        <v>4439</v>
      </c>
      <c r="F1108" s="7" t="s">
        <v>21</v>
      </c>
      <c r="G1108" s="5" t="s">
        <v>22</v>
      </c>
      <c r="H1108" s="8"/>
      <c r="I1108" s="9"/>
      <c r="J1108" s="9" t="s">
        <v>23</v>
      </c>
      <c r="K1108" s="8"/>
      <c r="L1108" s="9"/>
      <c r="M1108" s="10" t="s">
        <v>3611</v>
      </c>
      <c r="N1108" s="11" t="s">
        <v>4440</v>
      </c>
      <c r="O1108" s="12" t="s">
        <v>26</v>
      </c>
    </row>
    <row r="1109" spans="1:15">
      <c r="A1109" s="4">
        <v>1105</v>
      </c>
      <c r="B1109" s="5" t="s">
        <v>4365</v>
      </c>
      <c r="C1109" s="5" t="s">
        <v>4441</v>
      </c>
      <c r="D1109" s="5" t="s">
        <v>4442</v>
      </c>
      <c r="E1109" s="6" t="s">
        <v>4443</v>
      </c>
      <c r="F1109" s="7" t="s">
        <v>21</v>
      </c>
      <c r="G1109" s="5" t="s">
        <v>22</v>
      </c>
      <c r="H1109" s="8"/>
      <c r="I1109" s="9"/>
      <c r="J1109" s="9" t="s">
        <v>23</v>
      </c>
      <c r="K1109" s="8"/>
      <c r="L1109" s="9"/>
      <c r="M1109" s="10" t="s">
        <v>3611</v>
      </c>
      <c r="N1109" s="11" t="s">
        <v>4444</v>
      </c>
      <c r="O1109" s="12" t="s">
        <v>26</v>
      </c>
    </row>
    <row r="1110" spans="1:15">
      <c r="A1110" s="4">
        <v>1106</v>
      </c>
      <c r="B1110" s="5" t="s">
        <v>4365</v>
      </c>
      <c r="C1110" s="5" t="s">
        <v>4396</v>
      </c>
      <c r="D1110" s="5" t="s">
        <v>4445</v>
      </c>
      <c r="E1110" s="6" t="s">
        <v>4446</v>
      </c>
      <c r="F1110" s="7" t="s">
        <v>21</v>
      </c>
      <c r="G1110" s="5" t="s">
        <v>22</v>
      </c>
      <c r="H1110" s="8"/>
      <c r="I1110" s="9"/>
      <c r="J1110" s="9" t="s">
        <v>23</v>
      </c>
      <c r="K1110" s="8"/>
      <c r="L1110" s="9"/>
      <c r="M1110" s="10"/>
      <c r="N1110" s="11" t="s">
        <v>4447</v>
      </c>
      <c r="O1110" s="12" t="s">
        <v>26</v>
      </c>
    </row>
    <row r="1111" spans="1:15">
      <c r="A1111" s="4">
        <v>1107</v>
      </c>
      <c r="B1111" s="5" t="s">
        <v>4365</v>
      </c>
      <c r="C1111" s="5" t="s">
        <v>4376</v>
      </c>
      <c r="D1111" s="5" t="s">
        <v>4448</v>
      </c>
      <c r="E1111" s="6" t="s">
        <v>4449</v>
      </c>
      <c r="F1111" s="7" t="s">
        <v>21</v>
      </c>
      <c r="G1111" s="5" t="s">
        <v>22</v>
      </c>
      <c r="H1111" s="8"/>
      <c r="I1111" s="9"/>
      <c r="J1111" s="9" t="s">
        <v>23</v>
      </c>
      <c r="K1111" s="8"/>
      <c r="L1111" s="9"/>
      <c r="M1111" s="10" t="s">
        <v>4450</v>
      </c>
      <c r="N1111" s="11" t="s">
        <v>4451</v>
      </c>
      <c r="O1111" s="12" t="s">
        <v>26</v>
      </c>
    </row>
    <row r="1112" spans="1:15">
      <c r="A1112" s="4">
        <v>1108</v>
      </c>
      <c r="B1112" s="5" t="s">
        <v>4365</v>
      </c>
      <c r="C1112" s="5" t="s">
        <v>4396</v>
      </c>
      <c r="D1112" s="5" t="s">
        <v>4452</v>
      </c>
      <c r="E1112" s="6" t="s">
        <v>4453</v>
      </c>
      <c r="F1112" s="7" t="s">
        <v>21</v>
      </c>
      <c r="G1112" s="5" t="s">
        <v>29</v>
      </c>
      <c r="H1112" s="8"/>
      <c r="I1112" s="9"/>
      <c r="J1112" s="9" t="s">
        <v>23</v>
      </c>
      <c r="K1112" s="8"/>
      <c r="L1112" s="9"/>
      <c r="M1112" s="10" t="s">
        <v>4454</v>
      </c>
      <c r="N1112" s="11" t="s">
        <v>4455</v>
      </c>
      <c r="O1112" s="12" t="s">
        <v>26</v>
      </c>
    </row>
    <row r="1113" spans="1:15">
      <c r="A1113" s="4">
        <v>1109</v>
      </c>
      <c r="B1113" s="5" t="s">
        <v>4365</v>
      </c>
      <c r="C1113" s="5" t="s">
        <v>4456</v>
      </c>
      <c r="D1113" s="5" t="s">
        <v>4457</v>
      </c>
      <c r="E1113" s="6" t="s">
        <v>4458</v>
      </c>
      <c r="F1113" s="7" t="s">
        <v>21</v>
      </c>
      <c r="G1113" s="5" t="s">
        <v>22</v>
      </c>
      <c r="H1113" s="8"/>
      <c r="I1113" s="9"/>
      <c r="J1113" s="9" t="s">
        <v>23</v>
      </c>
      <c r="K1113" s="8"/>
      <c r="L1113" s="9"/>
      <c r="M1113" s="10" t="s">
        <v>4459</v>
      </c>
      <c r="N1113" s="11" t="s">
        <v>4460</v>
      </c>
      <c r="O1113" s="12" t="s">
        <v>26</v>
      </c>
    </row>
    <row r="1114" spans="1:15">
      <c r="A1114" s="4">
        <v>1110</v>
      </c>
      <c r="B1114" s="5" t="s">
        <v>4365</v>
      </c>
      <c r="C1114" s="5" t="s">
        <v>4396</v>
      </c>
      <c r="D1114" s="5" t="s">
        <v>4461</v>
      </c>
      <c r="E1114" s="6" t="s">
        <v>4462</v>
      </c>
      <c r="F1114" s="7" t="s">
        <v>21</v>
      </c>
      <c r="G1114" s="5" t="s">
        <v>22</v>
      </c>
      <c r="H1114" s="8"/>
      <c r="I1114" s="9"/>
      <c r="J1114" s="9" t="s">
        <v>23</v>
      </c>
      <c r="K1114" s="8"/>
      <c r="L1114" s="9"/>
      <c r="M1114" s="10"/>
      <c r="N1114" s="11" t="s">
        <v>4463</v>
      </c>
      <c r="O1114" s="12" t="s">
        <v>26</v>
      </c>
    </row>
    <row r="1115" spans="1:15">
      <c r="A1115" s="4">
        <v>1111</v>
      </c>
      <c r="B1115" s="5" t="s">
        <v>4464</v>
      </c>
      <c r="C1115" s="5" t="s">
        <v>4465</v>
      </c>
      <c r="D1115" s="5" t="s">
        <v>4466</v>
      </c>
      <c r="E1115" s="6" t="s">
        <v>4467</v>
      </c>
      <c r="F1115" s="7" t="s">
        <v>21</v>
      </c>
      <c r="G1115" s="5" t="s">
        <v>22</v>
      </c>
      <c r="H1115" s="8"/>
      <c r="I1115" s="9"/>
      <c r="J1115" s="9" t="s">
        <v>23</v>
      </c>
      <c r="K1115" s="8"/>
      <c r="L1115" s="9"/>
      <c r="M1115" s="10" t="s">
        <v>4468</v>
      </c>
      <c r="N1115" s="11" t="s">
        <v>4469</v>
      </c>
      <c r="O1115" s="12" t="s">
        <v>26</v>
      </c>
    </row>
    <row r="1116" spans="1:15">
      <c r="A1116" s="4">
        <v>1112</v>
      </c>
      <c r="B1116" s="5" t="s">
        <v>4464</v>
      </c>
      <c r="C1116" s="5" t="s">
        <v>4470</v>
      </c>
      <c r="D1116" s="5" t="s">
        <v>4471</v>
      </c>
      <c r="E1116" s="6" t="s">
        <v>4472</v>
      </c>
      <c r="F1116" s="7" t="s">
        <v>21</v>
      </c>
      <c r="G1116" s="5" t="s">
        <v>22</v>
      </c>
      <c r="H1116" s="8"/>
      <c r="I1116" s="9"/>
      <c r="J1116" s="9" t="s">
        <v>23</v>
      </c>
      <c r="K1116" s="8"/>
      <c r="L1116" s="9"/>
      <c r="M1116" s="10" t="s">
        <v>180</v>
      </c>
      <c r="N1116" s="11" t="s">
        <v>4473</v>
      </c>
      <c r="O1116" s="12" t="s">
        <v>26</v>
      </c>
    </row>
    <row r="1117" spans="1:15">
      <c r="A1117" s="4">
        <v>1113</v>
      </c>
      <c r="B1117" s="5" t="s">
        <v>4464</v>
      </c>
      <c r="C1117" s="5" t="s">
        <v>4470</v>
      </c>
      <c r="D1117" s="5" t="s">
        <v>4474</v>
      </c>
      <c r="E1117" s="6" t="s">
        <v>4475</v>
      </c>
      <c r="F1117" s="7" t="s">
        <v>21</v>
      </c>
      <c r="G1117" s="5" t="s">
        <v>22</v>
      </c>
      <c r="H1117" s="8"/>
      <c r="I1117" s="9"/>
      <c r="J1117" s="9" t="s">
        <v>23</v>
      </c>
      <c r="K1117" s="8"/>
      <c r="L1117" s="9"/>
      <c r="M1117" s="10" t="s">
        <v>4476</v>
      </c>
      <c r="N1117" s="11" t="s">
        <v>4477</v>
      </c>
      <c r="O1117" s="12" t="s">
        <v>26</v>
      </c>
    </row>
    <row r="1118" spans="1:15">
      <c r="A1118" s="4">
        <v>1114</v>
      </c>
      <c r="B1118" s="5" t="s">
        <v>4464</v>
      </c>
      <c r="C1118" s="5" t="s">
        <v>4478</v>
      </c>
      <c r="D1118" s="5" t="s">
        <v>4479</v>
      </c>
      <c r="E1118" s="6" t="s">
        <v>4480</v>
      </c>
      <c r="F1118" s="7" t="s">
        <v>21</v>
      </c>
      <c r="G1118" s="5" t="s">
        <v>29</v>
      </c>
      <c r="H1118" s="8"/>
      <c r="I1118" s="9"/>
      <c r="J1118" s="9" t="s">
        <v>23</v>
      </c>
      <c r="K1118" s="8"/>
      <c r="L1118" s="9"/>
      <c r="M1118" s="10" t="s">
        <v>4481</v>
      </c>
      <c r="N1118" s="11" t="s">
        <v>4482</v>
      </c>
      <c r="O1118" s="12" t="s">
        <v>26</v>
      </c>
    </row>
    <row r="1119" spans="1:15">
      <c r="A1119" s="4">
        <v>1115</v>
      </c>
      <c r="B1119" s="5" t="s">
        <v>4464</v>
      </c>
      <c r="C1119" s="5" t="s">
        <v>4483</v>
      </c>
      <c r="D1119" s="5" t="s">
        <v>4484</v>
      </c>
      <c r="E1119" s="6" t="s">
        <v>4485</v>
      </c>
      <c r="F1119" s="7" t="s">
        <v>21</v>
      </c>
      <c r="G1119" s="5" t="s">
        <v>22</v>
      </c>
      <c r="H1119" s="8"/>
      <c r="I1119" s="9"/>
      <c r="J1119" s="9" t="s">
        <v>23</v>
      </c>
      <c r="K1119" s="8"/>
      <c r="L1119" s="9"/>
      <c r="M1119" s="10"/>
      <c r="N1119" s="11" t="s">
        <v>4486</v>
      </c>
      <c r="O1119" s="12" t="s">
        <v>26</v>
      </c>
    </row>
    <row r="1120" spans="1:15">
      <c r="A1120" s="4">
        <v>1116</v>
      </c>
      <c r="B1120" s="5" t="s">
        <v>4464</v>
      </c>
      <c r="C1120" s="5" t="s">
        <v>4470</v>
      </c>
      <c r="D1120" s="5" t="s">
        <v>4487</v>
      </c>
      <c r="E1120" s="6" t="s">
        <v>4488</v>
      </c>
      <c r="F1120" s="7" t="s">
        <v>21</v>
      </c>
      <c r="G1120" s="5" t="s">
        <v>22</v>
      </c>
      <c r="H1120" s="8"/>
      <c r="I1120" s="9"/>
      <c r="J1120" s="9" t="s">
        <v>23</v>
      </c>
      <c r="K1120" s="8"/>
      <c r="L1120" s="9"/>
      <c r="M1120" s="10" t="s">
        <v>4489</v>
      </c>
      <c r="N1120" s="11" t="s">
        <v>4490</v>
      </c>
      <c r="O1120" s="12" t="s">
        <v>26</v>
      </c>
    </row>
    <row r="1121" spans="1:15">
      <c r="A1121" s="4">
        <v>1117</v>
      </c>
      <c r="B1121" s="5" t="s">
        <v>4464</v>
      </c>
      <c r="C1121" s="5" t="s">
        <v>4470</v>
      </c>
      <c r="D1121" s="5" t="s">
        <v>4491</v>
      </c>
      <c r="E1121" s="6" t="s">
        <v>4492</v>
      </c>
      <c r="F1121" s="7" t="s">
        <v>21</v>
      </c>
      <c r="G1121" s="5" t="s">
        <v>22</v>
      </c>
      <c r="H1121" s="8"/>
      <c r="I1121" s="9"/>
      <c r="J1121" s="9" t="s">
        <v>23</v>
      </c>
      <c r="K1121" s="8"/>
      <c r="L1121" s="9"/>
      <c r="M1121" s="10" t="s">
        <v>4493</v>
      </c>
      <c r="N1121" s="11" t="s">
        <v>4494</v>
      </c>
      <c r="O1121" s="12" t="s">
        <v>26</v>
      </c>
    </row>
    <row r="1122" spans="1:15">
      <c r="A1122" s="4">
        <v>1118</v>
      </c>
      <c r="B1122" s="5" t="s">
        <v>4464</v>
      </c>
      <c r="C1122" s="5" t="s">
        <v>4495</v>
      </c>
      <c r="D1122" s="5" t="s">
        <v>4496</v>
      </c>
      <c r="E1122" s="6" t="s">
        <v>4497</v>
      </c>
      <c r="F1122" s="7" t="s">
        <v>21</v>
      </c>
      <c r="G1122" s="5" t="s">
        <v>22</v>
      </c>
      <c r="H1122" s="8"/>
      <c r="I1122" s="9"/>
      <c r="J1122" s="9" t="s">
        <v>23</v>
      </c>
      <c r="K1122" s="8"/>
      <c r="L1122" s="9"/>
      <c r="M1122" s="10" t="s">
        <v>4498</v>
      </c>
      <c r="N1122" s="11" t="s">
        <v>4499</v>
      </c>
      <c r="O1122" s="12" t="s">
        <v>26</v>
      </c>
    </row>
    <row r="1123" spans="1:15">
      <c r="A1123" s="4">
        <v>1119</v>
      </c>
      <c r="B1123" s="5" t="s">
        <v>4464</v>
      </c>
      <c r="C1123" s="5" t="s">
        <v>4465</v>
      </c>
      <c r="D1123" s="5" t="s">
        <v>4500</v>
      </c>
      <c r="E1123" s="6" t="s">
        <v>4501</v>
      </c>
      <c r="F1123" s="7" t="s">
        <v>21</v>
      </c>
      <c r="G1123" s="5" t="s">
        <v>22</v>
      </c>
      <c r="H1123" s="8"/>
      <c r="I1123" s="9"/>
      <c r="J1123" s="9" t="s">
        <v>23</v>
      </c>
      <c r="K1123" s="8"/>
      <c r="L1123" s="9"/>
      <c r="M1123" s="10"/>
      <c r="N1123" s="11" t="s">
        <v>4502</v>
      </c>
      <c r="O1123" s="12" t="s">
        <v>26</v>
      </c>
    </row>
    <row r="1124" spans="1:15">
      <c r="A1124" s="4">
        <v>1120</v>
      </c>
      <c r="B1124" s="5" t="s">
        <v>4464</v>
      </c>
      <c r="C1124" s="5" t="s">
        <v>4495</v>
      </c>
      <c r="D1124" s="5" t="s">
        <v>4503</v>
      </c>
      <c r="E1124" s="6" t="s">
        <v>4504</v>
      </c>
      <c r="F1124" s="7" t="s">
        <v>21</v>
      </c>
      <c r="G1124" s="5" t="s">
        <v>29</v>
      </c>
      <c r="H1124" s="8"/>
      <c r="I1124" s="9"/>
      <c r="J1124" s="9" t="s">
        <v>23</v>
      </c>
      <c r="K1124" s="8"/>
      <c r="L1124" s="9"/>
      <c r="M1124" s="10"/>
      <c r="N1124" s="11" t="s">
        <v>4505</v>
      </c>
      <c r="O1124" s="12" t="s">
        <v>26</v>
      </c>
    </row>
    <row r="1125" spans="1:15">
      <c r="A1125" s="4">
        <v>1121</v>
      </c>
      <c r="B1125" s="5" t="s">
        <v>4464</v>
      </c>
      <c r="C1125" s="5" t="s">
        <v>4506</v>
      </c>
      <c r="D1125" s="5" t="s">
        <v>4507</v>
      </c>
      <c r="E1125" s="6" t="s">
        <v>4508</v>
      </c>
      <c r="F1125" s="7" t="s">
        <v>21</v>
      </c>
      <c r="G1125" s="5" t="s">
        <v>29</v>
      </c>
      <c r="H1125" s="8"/>
      <c r="I1125" s="9"/>
      <c r="J1125" s="9" t="s">
        <v>23</v>
      </c>
      <c r="K1125" s="8"/>
      <c r="L1125" s="9"/>
      <c r="M1125" s="10" t="s">
        <v>4509</v>
      </c>
      <c r="N1125" s="11" t="s">
        <v>4510</v>
      </c>
      <c r="O1125" s="12" t="s">
        <v>26</v>
      </c>
    </row>
    <row r="1126" spans="1:15">
      <c r="A1126" s="4">
        <v>1122</v>
      </c>
      <c r="B1126" s="5" t="s">
        <v>4464</v>
      </c>
      <c r="C1126" s="5" t="s">
        <v>4511</v>
      </c>
      <c r="D1126" s="5" t="s">
        <v>4512</v>
      </c>
      <c r="E1126" s="6" t="s">
        <v>4513</v>
      </c>
      <c r="F1126" s="7" t="s">
        <v>21</v>
      </c>
      <c r="G1126" s="5" t="s">
        <v>29</v>
      </c>
      <c r="H1126" s="8"/>
      <c r="I1126" s="9"/>
      <c r="J1126" s="9" t="s">
        <v>23</v>
      </c>
      <c r="K1126" s="8"/>
      <c r="L1126" s="9"/>
      <c r="M1126" s="10" t="s">
        <v>4514</v>
      </c>
      <c r="N1126" s="11" t="s">
        <v>4515</v>
      </c>
      <c r="O1126" s="12" t="s">
        <v>26</v>
      </c>
    </row>
    <row r="1127" spans="1:15">
      <c r="A1127" s="4">
        <v>1123</v>
      </c>
      <c r="B1127" s="5" t="s">
        <v>4464</v>
      </c>
      <c r="C1127" s="5" t="s">
        <v>4495</v>
      </c>
      <c r="D1127" s="5" t="s">
        <v>4516</v>
      </c>
      <c r="E1127" s="6" t="s">
        <v>4517</v>
      </c>
      <c r="F1127" s="7" t="s">
        <v>21</v>
      </c>
      <c r="G1127" s="5" t="s">
        <v>29</v>
      </c>
      <c r="H1127" s="8"/>
      <c r="I1127" s="9"/>
      <c r="J1127" s="9" t="s">
        <v>23</v>
      </c>
      <c r="K1127" s="8"/>
      <c r="L1127" s="9"/>
      <c r="M1127" s="10" t="s">
        <v>4518</v>
      </c>
      <c r="N1127" s="11" t="s">
        <v>4519</v>
      </c>
      <c r="O1127" s="12" t="s">
        <v>26</v>
      </c>
    </row>
    <row r="1128" spans="1:15">
      <c r="A1128" s="4">
        <v>1124</v>
      </c>
      <c r="B1128" s="5" t="s">
        <v>4464</v>
      </c>
      <c r="C1128" s="5" t="s">
        <v>4520</v>
      </c>
      <c r="D1128" s="5" t="s">
        <v>4521</v>
      </c>
      <c r="E1128" s="6" t="s">
        <v>4522</v>
      </c>
      <c r="F1128" s="7" t="s">
        <v>21</v>
      </c>
      <c r="G1128" s="5" t="s">
        <v>22</v>
      </c>
      <c r="H1128" s="8"/>
      <c r="I1128" s="9"/>
      <c r="J1128" s="9" t="s">
        <v>23</v>
      </c>
      <c r="K1128" s="8"/>
      <c r="L1128" s="9"/>
      <c r="M1128" s="10" t="s">
        <v>180</v>
      </c>
      <c r="N1128" s="11" t="s">
        <v>4523</v>
      </c>
      <c r="O1128" s="12" t="s">
        <v>26</v>
      </c>
    </row>
    <row r="1129" spans="1:15">
      <c r="A1129" s="4">
        <v>1125</v>
      </c>
      <c r="B1129" s="5" t="s">
        <v>4464</v>
      </c>
      <c r="C1129" s="5" t="s">
        <v>4524</v>
      </c>
      <c r="D1129" s="5" t="s">
        <v>4525</v>
      </c>
      <c r="E1129" s="6" t="s">
        <v>4526</v>
      </c>
      <c r="F1129" s="7" t="s">
        <v>21</v>
      </c>
      <c r="G1129" s="5" t="s">
        <v>29</v>
      </c>
      <c r="H1129" s="8"/>
      <c r="I1129" s="9"/>
      <c r="J1129" s="9" t="s">
        <v>23</v>
      </c>
      <c r="K1129" s="8"/>
      <c r="L1129" s="9"/>
      <c r="M1129" s="10"/>
      <c r="N1129" s="11" t="s">
        <v>4527</v>
      </c>
      <c r="O1129" s="12" t="s">
        <v>26</v>
      </c>
    </row>
    <row r="1130" spans="1:15">
      <c r="A1130" s="4">
        <v>1126</v>
      </c>
      <c r="B1130" s="5" t="s">
        <v>4464</v>
      </c>
      <c r="C1130" s="5" t="s">
        <v>4528</v>
      </c>
      <c r="D1130" s="5" t="s">
        <v>4529</v>
      </c>
      <c r="E1130" s="6" t="s">
        <v>4530</v>
      </c>
      <c r="F1130" s="7" t="s">
        <v>21</v>
      </c>
      <c r="G1130" s="5" t="s">
        <v>22</v>
      </c>
      <c r="H1130" s="8"/>
      <c r="I1130" s="9"/>
      <c r="J1130" s="9" t="s">
        <v>23</v>
      </c>
      <c r="K1130" s="8"/>
      <c r="L1130" s="9"/>
      <c r="M1130" s="10"/>
      <c r="N1130" s="11" t="s">
        <v>4531</v>
      </c>
      <c r="O1130" s="12" t="s">
        <v>26</v>
      </c>
    </row>
    <row r="1131" spans="1:15">
      <c r="A1131" s="4">
        <v>1127</v>
      </c>
      <c r="B1131" s="5" t="s">
        <v>4464</v>
      </c>
      <c r="C1131" s="5" t="s">
        <v>4506</v>
      </c>
      <c r="D1131" s="5" t="s">
        <v>4532</v>
      </c>
      <c r="E1131" s="6" t="s">
        <v>4533</v>
      </c>
      <c r="F1131" s="7" t="s">
        <v>21</v>
      </c>
      <c r="G1131" s="5" t="s">
        <v>22</v>
      </c>
      <c r="H1131" s="8"/>
      <c r="I1131" s="9"/>
      <c r="J1131" s="9" t="s">
        <v>23</v>
      </c>
      <c r="K1131" s="8"/>
      <c r="L1131" s="9"/>
      <c r="M1131" s="10"/>
      <c r="N1131" s="11" t="s">
        <v>4534</v>
      </c>
      <c r="O1131" s="12" t="s">
        <v>26</v>
      </c>
    </row>
    <row r="1132" spans="1:15">
      <c r="A1132" s="4">
        <v>1128</v>
      </c>
      <c r="B1132" s="5" t="s">
        <v>4464</v>
      </c>
      <c r="C1132" s="5" t="s">
        <v>4483</v>
      </c>
      <c r="D1132" s="5" t="s">
        <v>4535</v>
      </c>
      <c r="E1132" s="6" t="s">
        <v>4536</v>
      </c>
      <c r="F1132" s="7" t="s">
        <v>21</v>
      </c>
      <c r="G1132" s="5" t="s">
        <v>22</v>
      </c>
      <c r="H1132" s="8"/>
      <c r="I1132" s="9"/>
      <c r="J1132" s="9" t="s">
        <v>23</v>
      </c>
      <c r="K1132" s="8"/>
      <c r="L1132" s="9"/>
      <c r="M1132" s="10"/>
      <c r="N1132" s="11" t="s">
        <v>4537</v>
      </c>
      <c r="O1132" s="12" t="s">
        <v>26</v>
      </c>
    </row>
    <row r="1133" spans="1:15">
      <c r="A1133" s="4">
        <v>1129</v>
      </c>
      <c r="B1133" s="5" t="s">
        <v>4464</v>
      </c>
      <c r="C1133" s="5" t="s">
        <v>4470</v>
      </c>
      <c r="D1133" s="5" t="s">
        <v>4538</v>
      </c>
      <c r="E1133" s="6" t="s">
        <v>4539</v>
      </c>
      <c r="F1133" s="7" t="s">
        <v>21</v>
      </c>
      <c r="G1133" s="5" t="s">
        <v>22</v>
      </c>
      <c r="H1133" s="8"/>
      <c r="I1133" s="9"/>
      <c r="J1133" s="9" t="s">
        <v>23</v>
      </c>
      <c r="K1133" s="8"/>
      <c r="L1133" s="9"/>
      <c r="M1133" s="10" t="s">
        <v>4540</v>
      </c>
      <c r="N1133" s="11" t="s">
        <v>4541</v>
      </c>
      <c r="O1133" s="12" t="s">
        <v>26</v>
      </c>
    </row>
    <row r="1134" spans="1:15">
      <c r="A1134" s="4">
        <v>1130</v>
      </c>
      <c r="B1134" s="5" t="s">
        <v>4464</v>
      </c>
      <c r="C1134" s="5" t="s">
        <v>4520</v>
      </c>
      <c r="D1134" s="5" t="s">
        <v>4542</v>
      </c>
      <c r="E1134" s="6" t="s">
        <v>4543</v>
      </c>
      <c r="F1134" s="7" t="s">
        <v>21</v>
      </c>
      <c r="G1134" s="5" t="s">
        <v>22</v>
      </c>
      <c r="H1134" s="8"/>
      <c r="I1134" s="9"/>
      <c r="J1134" s="9" t="s">
        <v>23</v>
      </c>
      <c r="K1134" s="8"/>
      <c r="L1134" s="9"/>
      <c r="M1134" s="10" t="s">
        <v>4544</v>
      </c>
      <c r="N1134" s="11" t="s">
        <v>4545</v>
      </c>
      <c r="O1134" s="12" t="s">
        <v>26</v>
      </c>
    </row>
    <row r="1135" spans="1:15">
      <c r="A1135" s="4">
        <v>1131</v>
      </c>
      <c r="B1135" s="5" t="s">
        <v>4464</v>
      </c>
      <c r="C1135" s="5" t="s">
        <v>4506</v>
      </c>
      <c r="D1135" s="5" t="s">
        <v>4546</v>
      </c>
      <c r="E1135" s="6" t="s">
        <v>4547</v>
      </c>
      <c r="F1135" s="7" t="s">
        <v>21</v>
      </c>
      <c r="G1135" s="5" t="s">
        <v>22</v>
      </c>
      <c r="H1135" s="8"/>
      <c r="I1135" s="9"/>
      <c r="J1135" s="9" t="s">
        <v>23</v>
      </c>
      <c r="K1135" s="8"/>
      <c r="L1135" s="9"/>
      <c r="M1135" s="10" t="s">
        <v>3611</v>
      </c>
      <c r="N1135" s="11" t="s">
        <v>4548</v>
      </c>
      <c r="O1135" s="12" t="s">
        <v>26</v>
      </c>
    </row>
    <row r="1136" spans="1:15">
      <c r="A1136" s="4">
        <v>1132</v>
      </c>
      <c r="B1136" s="5" t="s">
        <v>4464</v>
      </c>
      <c r="C1136" s="5" t="s">
        <v>4524</v>
      </c>
      <c r="D1136" s="5" t="s">
        <v>4549</v>
      </c>
      <c r="E1136" s="6" t="s">
        <v>4550</v>
      </c>
      <c r="F1136" s="7" t="s">
        <v>21</v>
      </c>
      <c r="G1136" s="5" t="s">
        <v>22</v>
      </c>
      <c r="H1136" s="8"/>
      <c r="I1136" s="9"/>
      <c r="J1136" s="9" t="s">
        <v>23</v>
      </c>
      <c r="K1136" s="8"/>
      <c r="L1136" s="9"/>
      <c r="M1136" s="10" t="s">
        <v>4551</v>
      </c>
      <c r="N1136" s="11" t="s">
        <v>4552</v>
      </c>
      <c r="O1136" s="12" t="s">
        <v>26</v>
      </c>
    </row>
    <row r="1137" spans="1:15">
      <c r="A1137" s="4">
        <v>1133</v>
      </c>
      <c r="B1137" s="5" t="s">
        <v>4464</v>
      </c>
      <c r="C1137" s="5" t="s">
        <v>4506</v>
      </c>
      <c r="D1137" s="5" t="s">
        <v>4553</v>
      </c>
      <c r="E1137" s="6" t="s">
        <v>4554</v>
      </c>
      <c r="F1137" s="7" t="s">
        <v>21</v>
      </c>
      <c r="G1137" s="5" t="s">
        <v>22</v>
      </c>
      <c r="H1137" s="8"/>
      <c r="I1137" s="9"/>
      <c r="J1137" s="9" t="s">
        <v>23</v>
      </c>
      <c r="K1137" s="8"/>
      <c r="L1137" s="9"/>
      <c r="M1137" s="10" t="s">
        <v>3611</v>
      </c>
      <c r="N1137" s="11" t="s">
        <v>4555</v>
      </c>
      <c r="O1137" s="12" t="s">
        <v>26</v>
      </c>
    </row>
    <row r="1138" spans="1:15">
      <c r="A1138" s="4">
        <v>1134</v>
      </c>
      <c r="B1138" s="5" t="s">
        <v>4464</v>
      </c>
      <c r="C1138" s="5" t="s">
        <v>4506</v>
      </c>
      <c r="D1138" s="5" t="s">
        <v>4556</v>
      </c>
      <c r="E1138" s="6" t="s">
        <v>4557</v>
      </c>
      <c r="F1138" s="7" t="s">
        <v>21</v>
      </c>
      <c r="G1138" s="5" t="s">
        <v>22</v>
      </c>
      <c r="H1138" s="8"/>
      <c r="I1138" s="9"/>
      <c r="J1138" s="9" t="s">
        <v>23</v>
      </c>
      <c r="K1138" s="8"/>
      <c r="L1138" s="9"/>
      <c r="M1138" s="10" t="s">
        <v>4558</v>
      </c>
      <c r="N1138" s="11" t="s">
        <v>4559</v>
      </c>
      <c r="O1138" s="12" t="s">
        <v>26</v>
      </c>
    </row>
    <row r="1139" spans="1:15">
      <c r="A1139" s="4">
        <v>1135</v>
      </c>
      <c r="B1139" s="5" t="s">
        <v>4464</v>
      </c>
      <c r="C1139" s="5" t="s">
        <v>4560</v>
      </c>
      <c r="D1139" s="5" t="s">
        <v>4561</v>
      </c>
      <c r="E1139" s="6" t="s">
        <v>4562</v>
      </c>
      <c r="F1139" s="7" t="s">
        <v>21</v>
      </c>
      <c r="G1139" s="5" t="s">
        <v>485</v>
      </c>
      <c r="H1139" s="8"/>
      <c r="I1139" s="9"/>
      <c r="J1139" s="9" t="s">
        <v>23</v>
      </c>
      <c r="K1139" s="8"/>
      <c r="L1139" s="9"/>
      <c r="M1139" s="10" t="s">
        <v>4563</v>
      </c>
      <c r="N1139" s="11" t="s">
        <v>4564</v>
      </c>
      <c r="O1139" s="12" t="s">
        <v>26</v>
      </c>
    </row>
    <row r="1140" spans="1:15">
      <c r="A1140" s="4">
        <v>1136</v>
      </c>
      <c r="B1140" s="5" t="s">
        <v>4464</v>
      </c>
      <c r="C1140" s="5" t="s">
        <v>4565</v>
      </c>
      <c r="D1140" s="5" t="s">
        <v>4566</v>
      </c>
      <c r="E1140" s="6" t="s">
        <v>4567</v>
      </c>
      <c r="F1140" s="13" t="s">
        <v>34</v>
      </c>
      <c r="G1140" s="5" t="s">
        <v>22</v>
      </c>
      <c r="H1140" s="8"/>
      <c r="I1140" s="9"/>
      <c r="J1140" s="9" t="s">
        <v>23</v>
      </c>
      <c r="K1140" s="8"/>
      <c r="L1140" s="9"/>
      <c r="M1140" s="10" t="s">
        <v>4184</v>
      </c>
      <c r="N1140" s="11" t="s">
        <v>4568</v>
      </c>
      <c r="O1140" s="12" t="s">
        <v>26</v>
      </c>
    </row>
    <row r="1141" spans="1:15">
      <c r="A1141" s="4">
        <v>1137</v>
      </c>
      <c r="B1141" s="5" t="s">
        <v>4464</v>
      </c>
      <c r="C1141" s="5" t="s">
        <v>4528</v>
      </c>
      <c r="D1141" s="5" t="s">
        <v>4569</v>
      </c>
      <c r="E1141" s="6" t="s">
        <v>4570</v>
      </c>
      <c r="F1141" s="7" t="s">
        <v>21</v>
      </c>
      <c r="G1141" s="5" t="s">
        <v>22</v>
      </c>
      <c r="H1141" s="8"/>
      <c r="I1141" s="9"/>
      <c r="J1141" s="9" t="s">
        <v>23</v>
      </c>
      <c r="K1141" s="8"/>
      <c r="L1141" s="9"/>
      <c r="M1141" s="10"/>
      <c r="N1141" s="11" t="s">
        <v>4571</v>
      </c>
      <c r="O1141" s="12" t="s">
        <v>26</v>
      </c>
    </row>
    <row r="1142" spans="1:15">
      <c r="A1142" s="4">
        <v>1138</v>
      </c>
      <c r="B1142" s="5" t="s">
        <v>4464</v>
      </c>
      <c r="C1142" s="5" t="s">
        <v>4506</v>
      </c>
      <c r="D1142" s="5" t="s">
        <v>4572</v>
      </c>
      <c r="E1142" s="6" t="s">
        <v>4573</v>
      </c>
      <c r="F1142" s="7" t="s">
        <v>21</v>
      </c>
      <c r="G1142" s="5" t="s">
        <v>22</v>
      </c>
      <c r="H1142" s="8"/>
      <c r="I1142" s="9"/>
      <c r="J1142" s="9" t="s">
        <v>23</v>
      </c>
      <c r="K1142" s="8"/>
      <c r="L1142" s="9"/>
      <c r="M1142" s="10"/>
      <c r="N1142" s="11" t="s">
        <v>4574</v>
      </c>
      <c r="O1142" s="12" t="s">
        <v>26</v>
      </c>
    </row>
    <row r="1143" spans="1:15">
      <c r="A1143" s="4">
        <v>1139</v>
      </c>
      <c r="B1143" s="5" t="s">
        <v>4464</v>
      </c>
      <c r="C1143" s="5" t="s">
        <v>4575</v>
      </c>
      <c r="D1143" s="5" t="s">
        <v>4576</v>
      </c>
      <c r="E1143" s="6" t="s">
        <v>4577</v>
      </c>
      <c r="F1143" s="7" t="s">
        <v>21</v>
      </c>
      <c r="G1143" s="5" t="s">
        <v>29</v>
      </c>
      <c r="H1143" s="8"/>
      <c r="I1143" s="9"/>
      <c r="J1143" s="9" t="s">
        <v>23</v>
      </c>
      <c r="K1143" s="8"/>
      <c r="L1143" s="9"/>
      <c r="M1143" s="10"/>
      <c r="N1143" s="11" t="s">
        <v>4578</v>
      </c>
      <c r="O1143" s="12" t="s">
        <v>26</v>
      </c>
    </row>
    <row r="1144" spans="1:15">
      <c r="A1144" s="4">
        <v>1140</v>
      </c>
      <c r="B1144" s="5" t="s">
        <v>4464</v>
      </c>
      <c r="C1144" s="5" t="s">
        <v>4579</v>
      </c>
      <c r="D1144" s="5" t="s">
        <v>4580</v>
      </c>
      <c r="E1144" s="6" t="s">
        <v>4581</v>
      </c>
      <c r="F1144" s="7" t="s">
        <v>21</v>
      </c>
      <c r="G1144" s="5" t="s">
        <v>22</v>
      </c>
      <c r="H1144" s="8"/>
      <c r="I1144" s="9"/>
      <c r="J1144" s="9" t="s">
        <v>23</v>
      </c>
      <c r="K1144" s="8"/>
      <c r="L1144" s="9"/>
      <c r="M1144" s="10"/>
      <c r="N1144" s="11" t="s">
        <v>4582</v>
      </c>
      <c r="O1144" s="12" t="s">
        <v>26</v>
      </c>
    </row>
    <row r="1145" spans="1:15">
      <c r="A1145" s="4">
        <v>1141</v>
      </c>
      <c r="B1145" s="5" t="s">
        <v>4464</v>
      </c>
      <c r="C1145" s="5" t="s">
        <v>4565</v>
      </c>
      <c r="D1145" s="5" t="s">
        <v>4583</v>
      </c>
      <c r="E1145" s="6" t="s">
        <v>4584</v>
      </c>
      <c r="F1145" s="7" t="s">
        <v>21</v>
      </c>
      <c r="G1145" s="5" t="s">
        <v>22</v>
      </c>
      <c r="H1145" s="8"/>
      <c r="I1145" s="9"/>
      <c r="J1145" s="9" t="s">
        <v>23</v>
      </c>
      <c r="K1145" s="8"/>
      <c r="L1145" s="9"/>
      <c r="M1145" s="10"/>
      <c r="N1145" s="11" t="s">
        <v>4585</v>
      </c>
      <c r="O1145" s="12" t="s">
        <v>26</v>
      </c>
    </row>
    <row r="1146" spans="1:15">
      <c r="A1146" s="4">
        <v>1142</v>
      </c>
      <c r="B1146" s="5" t="s">
        <v>4464</v>
      </c>
      <c r="C1146" s="5" t="s">
        <v>4520</v>
      </c>
      <c r="D1146" s="5" t="s">
        <v>4586</v>
      </c>
      <c r="E1146" s="6" t="s">
        <v>4587</v>
      </c>
      <c r="F1146" s="7" t="s">
        <v>21</v>
      </c>
      <c r="G1146" s="5" t="s">
        <v>22</v>
      </c>
      <c r="H1146" s="8"/>
      <c r="I1146" s="9"/>
      <c r="J1146" s="9" t="s">
        <v>23</v>
      </c>
      <c r="K1146" s="8"/>
      <c r="L1146" s="9"/>
      <c r="M1146" s="10"/>
      <c r="N1146" s="11" t="s">
        <v>4588</v>
      </c>
      <c r="O1146" s="12" t="s">
        <v>26</v>
      </c>
    </row>
    <row r="1147" spans="1:15">
      <c r="A1147" s="4">
        <v>1143</v>
      </c>
      <c r="B1147" s="5" t="s">
        <v>4464</v>
      </c>
      <c r="C1147" s="5" t="s">
        <v>4565</v>
      </c>
      <c r="D1147" s="5" t="s">
        <v>4589</v>
      </c>
      <c r="E1147" s="6" t="s">
        <v>4590</v>
      </c>
      <c r="F1147" s="7" t="s">
        <v>21</v>
      </c>
      <c r="G1147" s="5" t="s">
        <v>22</v>
      </c>
      <c r="H1147" s="8"/>
      <c r="I1147" s="9"/>
      <c r="J1147" s="9" t="s">
        <v>23</v>
      </c>
      <c r="K1147" s="8"/>
      <c r="L1147" s="9"/>
      <c r="M1147" s="10" t="s">
        <v>4591</v>
      </c>
      <c r="N1147" s="11" t="s">
        <v>4592</v>
      </c>
      <c r="O1147" s="12" t="s">
        <v>26</v>
      </c>
    </row>
    <row r="1148" spans="1:15">
      <c r="A1148" s="4">
        <v>1144</v>
      </c>
      <c r="B1148" s="5" t="s">
        <v>4464</v>
      </c>
      <c r="C1148" s="5" t="s">
        <v>4593</v>
      </c>
      <c r="D1148" s="5" t="s">
        <v>4594</v>
      </c>
      <c r="E1148" s="6" t="s">
        <v>4595</v>
      </c>
      <c r="F1148" s="7" t="s">
        <v>21</v>
      </c>
      <c r="G1148" s="5" t="s">
        <v>22</v>
      </c>
      <c r="H1148" s="8"/>
      <c r="I1148" s="9"/>
      <c r="J1148" s="9" t="s">
        <v>23</v>
      </c>
      <c r="K1148" s="8"/>
      <c r="L1148" s="9"/>
      <c r="M1148" s="10"/>
      <c r="N1148" s="11" t="s">
        <v>4596</v>
      </c>
      <c r="O1148" s="12" t="s">
        <v>26</v>
      </c>
    </row>
    <row r="1149" spans="1:15">
      <c r="A1149" s="4">
        <v>1145</v>
      </c>
      <c r="B1149" s="5" t="s">
        <v>4464</v>
      </c>
      <c r="C1149" s="5" t="s">
        <v>4597</v>
      </c>
      <c r="D1149" s="5" t="s">
        <v>4598</v>
      </c>
      <c r="E1149" s="6" t="s">
        <v>4599</v>
      </c>
      <c r="F1149" s="7" t="s">
        <v>21</v>
      </c>
      <c r="G1149" s="5" t="s">
        <v>22</v>
      </c>
      <c r="H1149" s="8"/>
      <c r="I1149" s="9"/>
      <c r="J1149" s="9" t="s">
        <v>23</v>
      </c>
      <c r="K1149" s="8"/>
      <c r="L1149" s="9"/>
      <c r="M1149" s="10"/>
      <c r="N1149" s="11" t="s">
        <v>4600</v>
      </c>
      <c r="O1149" s="12" t="s">
        <v>26</v>
      </c>
    </row>
    <row r="1150" spans="1:15">
      <c r="A1150" s="4">
        <v>1146</v>
      </c>
      <c r="B1150" s="5" t="s">
        <v>4464</v>
      </c>
      <c r="C1150" s="5" t="s">
        <v>4470</v>
      </c>
      <c r="D1150" s="5" t="s">
        <v>4601</v>
      </c>
      <c r="E1150" s="6" t="s">
        <v>4602</v>
      </c>
      <c r="F1150" s="7" t="s">
        <v>21</v>
      </c>
      <c r="G1150" s="5" t="s">
        <v>22</v>
      </c>
      <c r="H1150" s="8"/>
      <c r="I1150" s="9"/>
      <c r="J1150" s="9" t="s">
        <v>23</v>
      </c>
      <c r="K1150" s="8"/>
      <c r="L1150" s="9"/>
      <c r="M1150" s="10"/>
      <c r="N1150" s="11" t="s">
        <v>4603</v>
      </c>
      <c r="O1150" s="12" t="s">
        <v>26</v>
      </c>
    </row>
    <row r="1151" spans="1:15">
      <c r="A1151" s="4">
        <v>1147</v>
      </c>
      <c r="B1151" s="5" t="s">
        <v>4464</v>
      </c>
      <c r="C1151" s="5" t="s">
        <v>4520</v>
      </c>
      <c r="D1151" s="5" t="s">
        <v>4604</v>
      </c>
      <c r="E1151" s="6" t="s">
        <v>4605</v>
      </c>
      <c r="F1151" s="7" t="s">
        <v>21</v>
      </c>
      <c r="G1151" s="5" t="s">
        <v>22</v>
      </c>
      <c r="H1151" s="8"/>
      <c r="I1151" s="9"/>
      <c r="J1151" s="9" t="s">
        <v>23</v>
      </c>
      <c r="K1151" s="8"/>
      <c r="L1151" s="9"/>
      <c r="M1151" s="10" t="s">
        <v>4606</v>
      </c>
      <c r="N1151" s="11" t="s">
        <v>4607</v>
      </c>
      <c r="O1151" s="12" t="s">
        <v>26</v>
      </c>
    </row>
    <row r="1152" spans="1:15">
      <c r="A1152" s="4">
        <v>1148</v>
      </c>
      <c r="B1152" s="5" t="s">
        <v>4608</v>
      </c>
      <c r="C1152" s="5" t="s">
        <v>4609</v>
      </c>
      <c r="D1152" s="5" t="s">
        <v>4610</v>
      </c>
      <c r="E1152" s="6" t="s">
        <v>4611</v>
      </c>
      <c r="F1152" s="7" t="s">
        <v>21</v>
      </c>
      <c r="G1152" s="5" t="s">
        <v>29</v>
      </c>
      <c r="H1152" s="8"/>
      <c r="I1152" s="9"/>
      <c r="J1152" s="9" t="s">
        <v>23</v>
      </c>
      <c r="K1152" s="8"/>
      <c r="L1152" s="9"/>
      <c r="M1152" s="10"/>
      <c r="N1152" s="11" t="s">
        <v>4612</v>
      </c>
      <c r="O1152" s="12" t="s">
        <v>26</v>
      </c>
    </row>
    <row r="1153" spans="1:15">
      <c r="A1153" s="4">
        <v>1149</v>
      </c>
      <c r="B1153" s="5" t="s">
        <v>4608</v>
      </c>
      <c r="C1153" s="5" t="s">
        <v>4609</v>
      </c>
      <c r="D1153" s="5" t="s">
        <v>4613</v>
      </c>
      <c r="E1153" s="6" t="s">
        <v>4614</v>
      </c>
      <c r="F1153" s="7" t="s">
        <v>21</v>
      </c>
      <c r="G1153" s="5" t="s">
        <v>29</v>
      </c>
      <c r="H1153" s="8"/>
      <c r="I1153" s="9"/>
      <c r="J1153" s="9" t="s">
        <v>23</v>
      </c>
      <c r="K1153" s="8"/>
      <c r="L1153" s="9"/>
      <c r="M1153" s="10" t="s">
        <v>4615</v>
      </c>
      <c r="N1153" s="11" t="s">
        <v>4616</v>
      </c>
      <c r="O1153" s="12" t="s">
        <v>26</v>
      </c>
    </row>
    <row r="1154" spans="1:15">
      <c r="A1154" s="4">
        <v>1150</v>
      </c>
      <c r="B1154" s="5" t="s">
        <v>4608</v>
      </c>
      <c r="C1154" s="5" t="s">
        <v>4609</v>
      </c>
      <c r="D1154" s="5" t="s">
        <v>4617</v>
      </c>
      <c r="E1154" s="6" t="s">
        <v>4618</v>
      </c>
      <c r="F1154" s="7" t="s">
        <v>21</v>
      </c>
      <c r="G1154" s="5" t="s">
        <v>22</v>
      </c>
      <c r="H1154" s="8"/>
      <c r="I1154" s="9"/>
      <c r="J1154" s="9" t="s">
        <v>23</v>
      </c>
      <c r="K1154" s="8"/>
      <c r="L1154" s="9"/>
      <c r="M1154" s="10"/>
      <c r="N1154" s="11" t="s">
        <v>4619</v>
      </c>
      <c r="O1154" s="12" t="s">
        <v>26</v>
      </c>
    </row>
    <row r="1155" spans="1:15">
      <c r="A1155" s="4">
        <v>1151</v>
      </c>
      <c r="B1155" s="5" t="s">
        <v>4608</v>
      </c>
      <c r="C1155" s="5" t="s">
        <v>4620</v>
      </c>
      <c r="D1155" s="5" t="s">
        <v>4621</v>
      </c>
      <c r="E1155" s="6" t="s">
        <v>4622</v>
      </c>
      <c r="F1155" s="7" t="s">
        <v>21</v>
      </c>
      <c r="G1155" s="5" t="s">
        <v>22</v>
      </c>
      <c r="H1155" s="8"/>
      <c r="I1155" s="9"/>
      <c r="J1155" s="9" t="s">
        <v>23</v>
      </c>
      <c r="K1155" s="8"/>
      <c r="L1155" s="9"/>
      <c r="M1155" s="10" t="s">
        <v>4623</v>
      </c>
      <c r="N1155" s="11" t="s">
        <v>4624</v>
      </c>
      <c r="O1155" s="12" t="s">
        <v>26</v>
      </c>
    </row>
    <row r="1156" spans="1:15">
      <c r="A1156" s="4">
        <v>1152</v>
      </c>
      <c r="B1156" s="5" t="s">
        <v>4608</v>
      </c>
      <c r="C1156" s="5" t="s">
        <v>4625</v>
      </c>
      <c r="D1156" s="5" t="s">
        <v>4626</v>
      </c>
      <c r="E1156" s="6" t="s">
        <v>4627</v>
      </c>
      <c r="F1156" s="7" t="s">
        <v>21</v>
      </c>
      <c r="G1156" s="5" t="s">
        <v>29</v>
      </c>
      <c r="H1156" s="8"/>
      <c r="I1156" s="9"/>
      <c r="J1156" s="9" t="s">
        <v>23</v>
      </c>
      <c r="K1156" s="8"/>
      <c r="L1156" s="9"/>
      <c r="M1156" s="10"/>
      <c r="N1156" s="11" t="s">
        <v>4628</v>
      </c>
      <c r="O1156" s="12" t="s">
        <v>26</v>
      </c>
    </row>
    <row r="1157" spans="1:15">
      <c r="A1157" s="4">
        <v>1153</v>
      </c>
      <c r="B1157" s="5" t="s">
        <v>4608</v>
      </c>
      <c r="C1157" s="5" t="s">
        <v>4625</v>
      </c>
      <c r="D1157" s="5" t="s">
        <v>4629</v>
      </c>
      <c r="E1157" s="6" t="s">
        <v>4630</v>
      </c>
      <c r="F1157" s="7" t="s">
        <v>21</v>
      </c>
      <c r="G1157" s="5" t="s">
        <v>29</v>
      </c>
      <c r="H1157" s="8"/>
      <c r="I1157" s="9"/>
      <c r="J1157" s="9" t="s">
        <v>23</v>
      </c>
      <c r="K1157" s="8"/>
      <c r="L1157" s="9"/>
      <c r="M1157" s="10" t="s">
        <v>4631</v>
      </c>
      <c r="N1157" s="11" t="s">
        <v>4632</v>
      </c>
      <c r="O1157" s="12" t="s">
        <v>26</v>
      </c>
    </row>
    <row r="1158" spans="1:15">
      <c r="A1158" s="4">
        <v>1154</v>
      </c>
      <c r="B1158" s="5" t="s">
        <v>4608</v>
      </c>
      <c r="C1158" s="5" t="s">
        <v>4633</v>
      </c>
      <c r="D1158" s="5" t="s">
        <v>4634</v>
      </c>
      <c r="E1158" s="6" t="s">
        <v>4635</v>
      </c>
      <c r="F1158" s="7" t="s">
        <v>21</v>
      </c>
      <c r="G1158" s="5" t="s">
        <v>29</v>
      </c>
      <c r="H1158" s="8"/>
      <c r="I1158" s="9"/>
      <c r="J1158" s="9" t="s">
        <v>23</v>
      </c>
      <c r="K1158" s="8"/>
      <c r="L1158" s="9"/>
      <c r="M1158" s="10" t="s">
        <v>4636</v>
      </c>
      <c r="N1158" s="11" t="s">
        <v>4637</v>
      </c>
      <c r="O1158" s="12" t="s">
        <v>26</v>
      </c>
    </row>
    <row r="1159" spans="1:15">
      <c r="A1159" s="4">
        <v>1155</v>
      </c>
      <c r="B1159" s="5" t="s">
        <v>4608</v>
      </c>
      <c r="C1159" s="5" t="s">
        <v>4638</v>
      </c>
      <c r="D1159" s="5" t="s">
        <v>4639</v>
      </c>
      <c r="E1159" s="6" t="s">
        <v>4640</v>
      </c>
      <c r="F1159" s="7" t="s">
        <v>21</v>
      </c>
      <c r="G1159" s="5" t="s">
        <v>22</v>
      </c>
      <c r="H1159" s="8"/>
      <c r="I1159" s="9"/>
      <c r="J1159" s="9" t="s">
        <v>23</v>
      </c>
      <c r="K1159" s="8"/>
      <c r="L1159" s="9"/>
      <c r="M1159" s="10" t="s">
        <v>4641</v>
      </c>
      <c r="N1159" s="11" t="s">
        <v>4642</v>
      </c>
      <c r="O1159" s="12" t="s">
        <v>26</v>
      </c>
    </row>
    <row r="1160" spans="1:15">
      <c r="A1160" s="4">
        <v>1156</v>
      </c>
      <c r="B1160" s="5" t="s">
        <v>4608</v>
      </c>
      <c r="C1160" s="5" t="s">
        <v>4643</v>
      </c>
      <c r="D1160" s="5" t="s">
        <v>4644</v>
      </c>
      <c r="E1160" s="6" t="s">
        <v>4645</v>
      </c>
      <c r="F1160" s="7" t="s">
        <v>21</v>
      </c>
      <c r="G1160" s="5" t="s">
        <v>29</v>
      </c>
      <c r="H1160" s="8"/>
      <c r="I1160" s="9"/>
      <c r="J1160" s="9" t="s">
        <v>23</v>
      </c>
      <c r="K1160" s="8"/>
      <c r="L1160" s="9"/>
      <c r="M1160" s="10" t="s">
        <v>4646</v>
      </c>
      <c r="N1160" s="11" t="s">
        <v>4647</v>
      </c>
      <c r="O1160" s="12" t="s">
        <v>26</v>
      </c>
    </row>
    <row r="1161" spans="1:15">
      <c r="A1161" s="4">
        <v>1157</v>
      </c>
      <c r="B1161" s="5" t="s">
        <v>4608</v>
      </c>
      <c r="C1161" s="5" t="s">
        <v>4648</v>
      </c>
      <c r="D1161" s="5" t="s">
        <v>4649</v>
      </c>
      <c r="E1161" s="6" t="s">
        <v>4650</v>
      </c>
      <c r="F1161" s="7" t="s">
        <v>21</v>
      </c>
      <c r="G1161" s="5" t="s">
        <v>29</v>
      </c>
      <c r="H1161" s="8"/>
      <c r="I1161" s="9"/>
      <c r="J1161" s="9" t="s">
        <v>23</v>
      </c>
      <c r="K1161" s="8"/>
      <c r="L1161" s="9"/>
      <c r="M1161" s="10"/>
      <c r="N1161" s="11" t="s">
        <v>4651</v>
      </c>
      <c r="O1161" s="12" t="s">
        <v>26</v>
      </c>
    </row>
    <row r="1162" spans="1:15">
      <c r="A1162" s="4">
        <v>1158</v>
      </c>
      <c r="B1162" s="5" t="s">
        <v>4608</v>
      </c>
      <c r="C1162" s="5" t="s">
        <v>4633</v>
      </c>
      <c r="D1162" s="5" t="s">
        <v>4652</v>
      </c>
      <c r="E1162" s="6" t="s">
        <v>4653</v>
      </c>
      <c r="F1162" s="7" t="s">
        <v>21</v>
      </c>
      <c r="G1162" s="5" t="s">
        <v>22</v>
      </c>
      <c r="H1162" s="8"/>
      <c r="I1162" s="9"/>
      <c r="J1162" s="9" t="s">
        <v>23</v>
      </c>
      <c r="K1162" s="8"/>
      <c r="L1162" s="9"/>
      <c r="M1162" s="10"/>
      <c r="N1162" s="11" t="s">
        <v>4654</v>
      </c>
      <c r="O1162" s="12" t="s">
        <v>26</v>
      </c>
    </row>
    <row r="1163" spans="1:15">
      <c r="A1163" s="4">
        <v>1159</v>
      </c>
      <c r="B1163" s="5" t="s">
        <v>4608</v>
      </c>
      <c r="C1163" s="5" t="s">
        <v>4655</v>
      </c>
      <c r="D1163" s="5" t="s">
        <v>4656</v>
      </c>
      <c r="E1163" s="6" t="s">
        <v>4657</v>
      </c>
      <c r="F1163" s="7" t="s">
        <v>21</v>
      </c>
      <c r="G1163" s="5" t="s">
        <v>22</v>
      </c>
      <c r="H1163" s="8"/>
      <c r="I1163" s="9"/>
      <c r="J1163" s="9" t="s">
        <v>23</v>
      </c>
      <c r="K1163" s="8"/>
      <c r="L1163" s="9"/>
      <c r="M1163" s="10" t="s">
        <v>3611</v>
      </c>
      <c r="N1163" s="11" t="s">
        <v>4658</v>
      </c>
      <c r="O1163" s="12" t="s">
        <v>26</v>
      </c>
    </row>
    <row r="1164" spans="1:15">
      <c r="A1164" s="4">
        <v>1160</v>
      </c>
      <c r="B1164" s="5" t="s">
        <v>4608</v>
      </c>
      <c r="C1164" s="5" t="s">
        <v>4638</v>
      </c>
      <c r="D1164" s="5" t="s">
        <v>4659</v>
      </c>
      <c r="E1164" s="6" t="s">
        <v>4660</v>
      </c>
      <c r="F1164" s="7" t="s">
        <v>21</v>
      </c>
      <c r="G1164" s="5" t="s">
        <v>29</v>
      </c>
      <c r="H1164" s="8"/>
      <c r="I1164" s="9"/>
      <c r="J1164" s="9" t="s">
        <v>23</v>
      </c>
      <c r="K1164" s="8"/>
      <c r="L1164" s="9"/>
      <c r="M1164" s="10" t="s">
        <v>4661</v>
      </c>
      <c r="N1164" s="11" t="s">
        <v>4662</v>
      </c>
      <c r="O1164" s="12" t="s">
        <v>26</v>
      </c>
    </row>
    <row r="1165" spans="1:15">
      <c r="A1165" s="4">
        <v>1161</v>
      </c>
      <c r="B1165" s="5" t="s">
        <v>4608</v>
      </c>
      <c r="C1165" s="5" t="s">
        <v>4663</v>
      </c>
      <c r="D1165" s="5" t="s">
        <v>4664</v>
      </c>
      <c r="E1165" s="6" t="s">
        <v>4665</v>
      </c>
      <c r="F1165" s="7" t="s">
        <v>21</v>
      </c>
      <c r="G1165" s="5" t="s">
        <v>29</v>
      </c>
      <c r="H1165" s="8"/>
      <c r="I1165" s="9"/>
      <c r="J1165" s="9" t="s">
        <v>23</v>
      </c>
      <c r="K1165" s="8"/>
      <c r="L1165" s="9"/>
      <c r="M1165" s="10"/>
      <c r="N1165" s="11" t="s">
        <v>4666</v>
      </c>
      <c r="O1165" s="12" t="s">
        <v>26</v>
      </c>
    </row>
    <row r="1166" spans="1:15">
      <c r="A1166" s="4">
        <v>1162</v>
      </c>
      <c r="B1166" s="5" t="s">
        <v>4608</v>
      </c>
      <c r="C1166" s="5" t="s">
        <v>4638</v>
      </c>
      <c r="D1166" s="5" t="s">
        <v>4667</v>
      </c>
      <c r="E1166" s="6" t="s">
        <v>4668</v>
      </c>
      <c r="F1166" s="7" t="s">
        <v>21</v>
      </c>
      <c r="G1166" s="5" t="s">
        <v>22</v>
      </c>
      <c r="H1166" s="8"/>
      <c r="I1166" s="9"/>
      <c r="J1166" s="9" t="s">
        <v>23</v>
      </c>
      <c r="K1166" s="8"/>
      <c r="L1166" s="9"/>
      <c r="M1166" s="10"/>
      <c r="N1166" s="11" t="s">
        <v>4669</v>
      </c>
      <c r="O1166" s="12" t="s">
        <v>26</v>
      </c>
    </row>
    <row r="1167" spans="1:15">
      <c r="A1167" s="4">
        <v>1163</v>
      </c>
      <c r="B1167" s="5" t="s">
        <v>4608</v>
      </c>
      <c r="C1167" s="5" t="s">
        <v>4670</v>
      </c>
      <c r="D1167" s="5" t="s">
        <v>4671</v>
      </c>
      <c r="E1167" s="6" t="s">
        <v>4672</v>
      </c>
      <c r="F1167" s="7" t="s">
        <v>21</v>
      </c>
      <c r="G1167" s="5" t="s">
        <v>22</v>
      </c>
      <c r="H1167" s="8"/>
      <c r="I1167" s="9"/>
      <c r="J1167" s="9" t="s">
        <v>23</v>
      </c>
      <c r="K1167" s="8"/>
      <c r="L1167" s="9"/>
      <c r="M1167" s="10" t="s">
        <v>4673</v>
      </c>
      <c r="N1167" s="11" t="s">
        <v>4674</v>
      </c>
      <c r="O1167" s="12" t="s">
        <v>26</v>
      </c>
    </row>
    <row r="1168" spans="1:15">
      <c r="A1168" s="4">
        <v>1164</v>
      </c>
      <c r="B1168" s="5" t="s">
        <v>4608</v>
      </c>
      <c r="C1168" s="5" t="s">
        <v>4625</v>
      </c>
      <c r="D1168" s="5" t="s">
        <v>4675</v>
      </c>
      <c r="E1168" s="6" t="s">
        <v>4676</v>
      </c>
      <c r="F1168" s="7" t="s">
        <v>21</v>
      </c>
      <c r="G1168" s="5" t="s">
        <v>29</v>
      </c>
      <c r="H1168" s="8"/>
      <c r="I1168" s="9"/>
      <c r="J1168" s="9" t="s">
        <v>23</v>
      </c>
      <c r="K1168" s="8"/>
      <c r="L1168" s="9"/>
      <c r="M1168" s="10"/>
      <c r="N1168" s="11" t="s">
        <v>4677</v>
      </c>
      <c r="O1168" s="12" t="s">
        <v>26</v>
      </c>
    </row>
    <row r="1169" spans="1:15">
      <c r="A1169" s="4">
        <v>1165</v>
      </c>
      <c r="B1169" s="5" t="s">
        <v>4608</v>
      </c>
      <c r="C1169" s="5" t="s">
        <v>4625</v>
      </c>
      <c r="D1169" s="5" t="s">
        <v>4678</v>
      </c>
      <c r="E1169" s="6" t="s">
        <v>4679</v>
      </c>
      <c r="F1169" s="7" t="s">
        <v>21</v>
      </c>
      <c r="G1169" s="5" t="s">
        <v>29</v>
      </c>
      <c r="H1169" s="8"/>
      <c r="I1169" s="9"/>
      <c r="J1169" s="9" t="s">
        <v>23</v>
      </c>
      <c r="K1169" s="8"/>
      <c r="L1169" s="9"/>
      <c r="M1169" s="10" t="s">
        <v>4680</v>
      </c>
      <c r="N1169" s="11" t="s">
        <v>4681</v>
      </c>
      <c r="O1169" s="12" t="s">
        <v>26</v>
      </c>
    </row>
    <row r="1170" spans="1:15">
      <c r="A1170" s="4">
        <v>1166</v>
      </c>
      <c r="B1170" s="5" t="s">
        <v>4608</v>
      </c>
      <c r="C1170" s="5" t="s">
        <v>4682</v>
      </c>
      <c r="D1170" s="5" t="s">
        <v>4683</v>
      </c>
      <c r="E1170" s="6" t="s">
        <v>4684</v>
      </c>
      <c r="F1170" s="7" t="s">
        <v>21</v>
      </c>
      <c r="G1170" s="5" t="s">
        <v>29</v>
      </c>
      <c r="H1170" s="8"/>
      <c r="I1170" s="9"/>
      <c r="J1170" s="9" t="s">
        <v>23</v>
      </c>
      <c r="K1170" s="8"/>
      <c r="L1170" s="9"/>
      <c r="M1170" s="10"/>
      <c r="N1170" s="11" t="s">
        <v>4685</v>
      </c>
      <c r="O1170" s="12" t="s">
        <v>26</v>
      </c>
    </row>
    <row r="1171" spans="1:15">
      <c r="A1171" s="4">
        <v>1167</v>
      </c>
      <c r="B1171" s="5" t="s">
        <v>4608</v>
      </c>
      <c r="C1171" s="5" t="s">
        <v>4638</v>
      </c>
      <c r="D1171" s="5" t="s">
        <v>4686</v>
      </c>
      <c r="E1171" s="6" t="s">
        <v>4687</v>
      </c>
      <c r="F1171" s="7" t="s">
        <v>21</v>
      </c>
      <c r="G1171" s="5" t="s">
        <v>29</v>
      </c>
      <c r="H1171" s="8"/>
      <c r="I1171" s="9"/>
      <c r="J1171" s="9" t="s">
        <v>23</v>
      </c>
      <c r="K1171" s="8"/>
      <c r="L1171" s="9"/>
      <c r="M1171" s="10" t="s">
        <v>4688</v>
      </c>
      <c r="N1171" s="11" t="s">
        <v>4689</v>
      </c>
      <c r="O1171" s="12" t="s">
        <v>26</v>
      </c>
    </row>
    <row r="1172" spans="1:15">
      <c r="A1172" s="4">
        <v>1168</v>
      </c>
      <c r="B1172" s="5" t="s">
        <v>4608</v>
      </c>
      <c r="C1172" s="5" t="s">
        <v>4690</v>
      </c>
      <c r="D1172" s="5" t="s">
        <v>4691</v>
      </c>
      <c r="E1172" s="6" t="s">
        <v>4692</v>
      </c>
      <c r="F1172" s="7" t="s">
        <v>21</v>
      </c>
      <c r="G1172" s="5" t="s">
        <v>29</v>
      </c>
      <c r="H1172" s="8"/>
      <c r="I1172" s="9"/>
      <c r="J1172" s="9" t="s">
        <v>23</v>
      </c>
      <c r="K1172" s="8"/>
      <c r="L1172" s="9"/>
      <c r="M1172" s="10" t="s">
        <v>4693</v>
      </c>
      <c r="N1172" s="11" t="s">
        <v>4694</v>
      </c>
      <c r="O1172" s="12" t="s">
        <v>26</v>
      </c>
    </row>
    <row r="1173" spans="1:15">
      <c r="A1173" s="4">
        <v>1169</v>
      </c>
      <c r="B1173" s="5" t="s">
        <v>4695</v>
      </c>
      <c r="C1173" s="5" t="s">
        <v>4696</v>
      </c>
      <c r="D1173" s="5" t="s">
        <v>4697</v>
      </c>
      <c r="E1173" s="6" t="s">
        <v>4698</v>
      </c>
      <c r="F1173" s="7" t="s">
        <v>21</v>
      </c>
      <c r="G1173" s="5" t="s">
        <v>22</v>
      </c>
      <c r="H1173" s="8"/>
      <c r="I1173" s="9"/>
      <c r="J1173" s="9" t="s">
        <v>23</v>
      </c>
      <c r="K1173" s="8"/>
      <c r="L1173" s="9"/>
      <c r="M1173" s="10" t="s">
        <v>4699</v>
      </c>
      <c r="N1173" s="11" t="s">
        <v>4700</v>
      </c>
      <c r="O1173" s="12" t="s">
        <v>26</v>
      </c>
    </row>
    <row r="1174" spans="1:15">
      <c r="A1174" s="4">
        <v>1170</v>
      </c>
      <c r="B1174" s="5" t="s">
        <v>4695</v>
      </c>
      <c r="C1174" s="5" t="s">
        <v>4696</v>
      </c>
      <c r="D1174" s="5" t="s">
        <v>4701</v>
      </c>
      <c r="E1174" s="6" t="s">
        <v>4702</v>
      </c>
      <c r="F1174" s="7" t="s">
        <v>21</v>
      </c>
      <c r="G1174" s="5" t="s">
        <v>22</v>
      </c>
      <c r="H1174" s="8"/>
      <c r="I1174" s="9"/>
      <c r="J1174" s="9" t="s">
        <v>23</v>
      </c>
      <c r="K1174" s="8"/>
      <c r="L1174" s="9"/>
      <c r="M1174" s="10" t="s">
        <v>3943</v>
      </c>
      <c r="N1174" s="11" t="s">
        <v>4703</v>
      </c>
      <c r="O1174" s="12" t="s">
        <v>26</v>
      </c>
    </row>
    <row r="1175" spans="1:15">
      <c r="A1175" s="4">
        <v>1171</v>
      </c>
      <c r="B1175" s="5" t="s">
        <v>4695</v>
      </c>
      <c r="C1175" s="5" t="s">
        <v>4696</v>
      </c>
      <c r="D1175" s="5" t="s">
        <v>4704</v>
      </c>
      <c r="E1175" s="6" t="s">
        <v>4705</v>
      </c>
      <c r="F1175" s="7" t="s">
        <v>21</v>
      </c>
      <c r="G1175" s="5" t="s">
        <v>22</v>
      </c>
      <c r="H1175" s="8"/>
      <c r="I1175" s="9"/>
      <c r="J1175" s="9" t="s">
        <v>23</v>
      </c>
      <c r="K1175" s="8"/>
      <c r="L1175" s="9"/>
      <c r="M1175" s="10" t="s">
        <v>3611</v>
      </c>
      <c r="N1175" s="11" t="s">
        <v>4706</v>
      </c>
      <c r="O1175" s="12" t="s">
        <v>26</v>
      </c>
    </row>
    <row r="1176" spans="1:15">
      <c r="A1176" s="4">
        <v>1172</v>
      </c>
      <c r="B1176" s="5" t="s">
        <v>4707</v>
      </c>
      <c r="C1176" s="5" t="s">
        <v>4708</v>
      </c>
      <c r="D1176" s="5" t="s">
        <v>4709</v>
      </c>
      <c r="E1176" s="6" t="s">
        <v>4710</v>
      </c>
      <c r="F1176" s="13" t="s">
        <v>34</v>
      </c>
      <c r="G1176" s="5" t="s">
        <v>22</v>
      </c>
      <c r="H1176" s="8"/>
      <c r="I1176" s="9"/>
      <c r="J1176" s="9" t="s">
        <v>23</v>
      </c>
      <c r="K1176" s="8"/>
      <c r="L1176" s="9"/>
      <c r="M1176" s="10" t="s">
        <v>4711</v>
      </c>
      <c r="N1176" s="11" t="s">
        <v>4712</v>
      </c>
      <c r="O1176" s="12" t="s">
        <v>26</v>
      </c>
    </row>
    <row r="1177" spans="1:15">
      <c r="A1177" s="4">
        <v>1173</v>
      </c>
      <c r="B1177" s="5" t="s">
        <v>4707</v>
      </c>
      <c r="C1177" s="5" t="s">
        <v>4708</v>
      </c>
      <c r="D1177" s="5" t="s">
        <v>4713</v>
      </c>
      <c r="E1177" s="6" t="s">
        <v>4714</v>
      </c>
      <c r="F1177" s="7" t="s">
        <v>21</v>
      </c>
      <c r="G1177" s="5" t="s">
        <v>22</v>
      </c>
      <c r="H1177" s="8"/>
      <c r="I1177" s="9"/>
      <c r="J1177" s="9" t="s">
        <v>23</v>
      </c>
      <c r="K1177" s="8"/>
      <c r="L1177" s="9"/>
      <c r="M1177" s="10"/>
      <c r="N1177" s="11" t="s">
        <v>4715</v>
      </c>
      <c r="O1177" s="12" t="s">
        <v>26</v>
      </c>
    </row>
    <row r="1178" spans="1:15">
      <c r="A1178" s="4">
        <v>1174</v>
      </c>
      <c r="B1178" s="5" t="s">
        <v>4707</v>
      </c>
      <c r="C1178" s="5" t="s">
        <v>4716</v>
      </c>
      <c r="D1178" s="5" t="s">
        <v>4717</v>
      </c>
      <c r="E1178" s="6" t="s">
        <v>4718</v>
      </c>
      <c r="F1178" s="7" t="s">
        <v>21</v>
      </c>
      <c r="G1178" s="5" t="s">
        <v>22</v>
      </c>
      <c r="H1178" s="8"/>
      <c r="I1178" s="9"/>
      <c r="J1178" s="9" t="s">
        <v>23</v>
      </c>
      <c r="K1178" s="8"/>
      <c r="L1178" s="9"/>
      <c r="M1178" s="10"/>
      <c r="N1178" s="11" t="s">
        <v>4719</v>
      </c>
      <c r="O1178" s="12" t="s">
        <v>26</v>
      </c>
    </row>
    <row r="1179" spans="1:15">
      <c r="A1179" s="4">
        <v>1175</v>
      </c>
      <c r="B1179" s="5" t="s">
        <v>4707</v>
      </c>
      <c r="C1179" s="5" t="s">
        <v>4716</v>
      </c>
      <c r="D1179" s="5" t="s">
        <v>4720</v>
      </c>
      <c r="E1179" s="6" t="s">
        <v>4721</v>
      </c>
      <c r="F1179" s="7" t="s">
        <v>21</v>
      </c>
      <c r="G1179" s="5" t="s">
        <v>29</v>
      </c>
      <c r="H1179" s="8"/>
      <c r="I1179" s="9"/>
      <c r="J1179" s="9" t="s">
        <v>23</v>
      </c>
      <c r="K1179" s="8"/>
      <c r="L1179" s="9"/>
      <c r="M1179" s="10" t="s">
        <v>4722</v>
      </c>
      <c r="N1179" s="11" t="s">
        <v>4723</v>
      </c>
      <c r="O1179" s="12" t="s">
        <v>26</v>
      </c>
    </row>
    <row r="1180" spans="1:15">
      <c r="A1180" s="4">
        <v>1176</v>
      </c>
      <c r="B1180" s="5" t="s">
        <v>4707</v>
      </c>
      <c r="C1180" s="5" t="s">
        <v>4708</v>
      </c>
      <c r="D1180" s="5" t="s">
        <v>4724</v>
      </c>
      <c r="E1180" s="6" t="s">
        <v>4725</v>
      </c>
      <c r="F1180" s="7" t="s">
        <v>21</v>
      </c>
      <c r="G1180" s="5" t="s">
        <v>22</v>
      </c>
      <c r="H1180" s="8"/>
      <c r="I1180" s="9"/>
      <c r="J1180" s="9" t="s">
        <v>23</v>
      </c>
      <c r="K1180" s="8"/>
      <c r="L1180" s="9"/>
      <c r="M1180" s="10" t="s">
        <v>3611</v>
      </c>
      <c r="N1180" s="11" t="s">
        <v>4726</v>
      </c>
      <c r="O1180" s="12" t="s">
        <v>26</v>
      </c>
    </row>
    <row r="1181" spans="1:15">
      <c r="A1181" s="4">
        <v>1177</v>
      </c>
      <c r="B1181" s="5" t="s">
        <v>4707</v>
      </c>
      <c r="C1181" s="5" t="s">
        <v>4727</v>
      </c>
      <c r="D1181" s="5" t="s">
        <v>4728</v>
      </c>
      <c r="E1181" s="6" t="s">
        <v>4729</v>
      </c>
      <c r="F1181" s="7" t="s">
        <v>21</v>
      </c>
      <c r="G1181" s="5" t="s">
        <v>29</v>
      </c>
      <c r="H1181" s="8"/>
      <c r="I1181" s="9"/>
      <c r="J1181" s="9" t="s">
        <v>23</v>
      </c>
      <c r="K1181" s="8"/>
      <c r="L1181" s="9"/>
      <c r="M1181" s="10"/>
      <c r="N1181" s="11" t="s">
        <v>4730</v>
      </c>
      <c r="O1181" s="12" t="s">
        <v>26</v>
      </c>
    </row>
    <row r="1182" spans="1:15">
      <c r="A1182" s="4">
        <v>1178</v>
      </c>
      <c r="B1182" s="5" t="s">
        <v>4707</v>
      </c>
      <c r="C1182" s="5" t="s">
        <v>4731</v>
      </c>
      <c r="D1182" s="5" t="s">
        <v>4732</v>
      </c>
      <c r="E1182" s="6" t="s">
        <v>4733</v>
      </c>
      <c r="F1182" s="7" t="s">
        <v>21</v>
      </c>
      <c r="G1182" s="5" t="s">
        <v>29</v>
      </c>
      <c r="H1182" s="8"/>
      <c r="I1182" s="9"/>
      <c r="J1182" s="9" t="s">
        <v>23</v>
      </c>
      <c r="K1182" s="8"/>
      <c r="L1182" s="9"/>
      <c r="M1182" s="10" t="s">
        <v>4734</v>
      </c>
      <c r="N1182" s="11" t="s">
        <v>4735</v>
      </c>
      <c r="O1182" s="12" t="s">
        <v>26</v>
      </c>
    </row>
    <row r="1183" spans="1:15">
      <c r="A1183" s="4">
        <v>1179</v>
      </c>
      <c r="B1183" s="5" t="s">
        <v>4707</v>
      </c>
      <c r="C1183" s="5" t="s">
        <v>4736</v>
      </c>
      <c r="D1183" s="5" t="s">
        <v>4737</v>
      </c>
      <c r="E1183" s="6" t="s">
        <v>4738</v>
      </c>
      <c r="F1183" s="7" t="s">
        <v>21</v>
      </c>
      <c r="G1183" s="5" t="s">
        <v>29</v>
      </c>
      <c r="H1183" s="8"/>
      <c r="I1183" s="9"/>
      <c r="J1183" s="9" t="s">
        <v>23</v>
      </c>
      <c r="K1183" s="8"/>
      <c r="L1183" s="9"/>
      <c r="M1183" s="10" t="s">
        <v>4739</v>
      </c>
      <c r="N1183" s="11" t="s">
        <v>4740</v>
      </c>
      <c r="O1183" s="12" t="s">
        <v>26</v>
      </c>
    </row>
    <row r="1184" spans="1:15">
      <c r="A1184" s="4">
        <v>1180</v>
      </c>
      <c r="B1184" s="5" t="s">
        <v>4707</v>
      </c>
      <c r="C1184" s="5" t="s">
        <v>4708</v>
      </c>
      <c r="D1184" s="5" t="s">
        <v>4741</v>
      </c>
      <c r="E1184" s="6" t="s">
        <v>4742</v>
      </c>
      <c r="F1184" s="7" t="s">
        <v>21</v>
      </c>
      <c r="G1184" s="5" t="s">
        <v>29</v>
      </c>
      <c r="H1184" s="8"/>
      <c r="I1184" s="9"/>
      <c r="J1184" s="9" t="s">
        <v>23</v>
      </c>
      <c r="K1184" s="8"/>
      <c r="L1184" s="9"/>
      <c r="M1184" s="10" t="s">
        <v>4743</v>
      </c>
      <c r="N1184" s="11" t="s">
        <v>4744</v>
      </c>
      <c r="O1184" s="12" t="s">
        <v>26</v>
      </c>
    </row>
    <row r="1185" spans="1:15">
      <c r="A1185" s="4">
        <v>1181</v>
      </c>
      <c r="B1185" s="5" t="s">
        <v>4707</v>
      </c>
      <c r="C1185" s="5" t="s">
        <v>4745</v>
      </c>
      <c r="D1185" s="5" t="s">
        <v>4746</v>
      </c>
      <c r="E1185" s="6" t="s">
        <v>4747</v>
      </c>
      <c r="F1185" s="7" t="s">
        <v>21</v>
      </c>
      <c r="G1185" s="5" t="s">
        <v>29</v>
      </c>
      <c r="H1185" s="8"/>
      <c r="I1185" s="9"/>
      <c r="J1185" s="9" t="s">
        <v>23</v>
      </c>
      <c r="K1185" s="8"/>
      <c r="L1185" s="9"/>
      <c r="M1185" s="10" t="s">
        <v>4748</v>
      </c>
      <c r="N1185" s="11" t="s">
        <v>4749</v>
      </c>
      <c r="O1185" s="12" t="s">
        <v>26</v>
      </c>
    </row>
    <row r="1186" spans="1:15">
      <c r="A1186" s="4">
        <v>1182</v>
      </c>
      <c r="B1186" s="5" t="s">
        <v>4750</v>
      </c>
      <c r="C1186" s="5" t="s">
        <v>4751</v>
      </c>
      <c r="D1186" s="5" t="s">
        <v>4752</v>
      </c>
      <c r="E1186" s="6" t="s">
        <v>4753</v>
      </c>
      <c r="F1186" s="7" t="s">
        <v>21</v>
      </c>
      <c r="G1186" s="5" t="s">
        <v>22</v>
      </c>
      <c r="H1186" s="8"/>
      <c r="I1186" s="9"/>
      <c r="J1186" s="9" t="s">
        <v>23</v>
      </c>
      <c r="K1186" s="8"/>
      <c r="L1186" s="9"/>
      <c r="M1186" s="10" t="s">
        <v>3611</v>
      </c>
      <c r="N1186" s="11" t="s">
        <v>4754</v>
      </c>
      <c r="O1186" s="12" t="s">
        <v>26</v>
      </c>
    </row>
    <row r="1187" spans="1:15">
      <c r="A1187" s="4">
        <v>1183</v>
      </c>
      <c r="B1187" s="5" t="s">
        <v>4750</v>
      </c>
      <c r="C1187" s="5" t="s">
        <v>4755</v>
      </c>
      <c r="D1187" s="5" t="s">
        <v>4756</v>
      </c>
      <c r="E1187" s="6" t="s">
        <v>4757</v>
      </c>
      <c r="F1187" s="7" t="s">
        <v>21</v>
      </c>
      <c r="G1187" s="5" t="s">
        <v>29</v>
      </c>
      <c r="H1187" s="8"/>
      <c r="I1187" s="9"/>
      <c r="J1187" s="9" t="s">
        <v>23</v>
      </c>
      <c r="K1187" s="8"/>
      <c r="L1187" s="9"/>
      <c r="M1187" s="10" t="s">
        <v>4758</v>
      </c>
      <c r="N1187" s="11" t="s">
        <v>4759</v>
      </c>
      <c r="O1187" s="12" t="s">
        <v>26</v>
      </c>
    </row>
    <row r="1188" spans="1:15">
      <c r="A1188" s="4">
        <v>1184</v>
      </c>
      <c r="B1188" s="5" t="s">
        <v>4750</v>
      </c>
      <c r="C1188" s="5" t="s">
        <v>4755</v>
      </c>
      <c r="D1188" s="5" t="s">
        <v>4760</v>
      </c>
      <c r="E1188" s="6" t="s">
        <v>4761</v>
      </c>
      <c r="F1188" s="13" t="s">
        <v>34</v>
      </c>
      <c r="G1188" s="5"/>
      <c r="H1188" s="8"/>
      <c r="I1188" s="9"/>
      <c r="J1188" s="9" t="s">
        <v>23</v>
      </c>
      <c r="K1188" s="8"/>
      <c r="L1188" s="9"/>
      <c r="M1188" s="10" t="s">
        <v>4762</v>
      </c>
      <c r="N1188" s="11" t="s">
        <v>4763</v>
      </c>
      <c r="O1188" s="12" t="s">
        <v>26</v>
      </c>
    </row>
    <row r="1189" spans="1:15">
      <c r="A1189" s="4">
        <v>1185</v>
      </c>
      <c r="B1189" s="5" t="s">
        <v>4750</v>
      </c>
      <c r="C1189" s="5" t="s">
        <v>4755</v>
      </c>
      <c r="D1189" s="5" t="s">
        <v>4764</v>
      </c>
      <c r="E1189" s="6" t="s">
        <v>4765</v>
      </c>
      <c r="F1189" s="7" t="s">
        <v>21</v>
      </c>
      <c r="G1189" s="5" t="s">
        <v>22</v>
      </c>
      <c r="H1189" s="8"/>
      <c r="I1189" s="9"/>
      <c r="J1189" s="9" t="s">
        <v>23</v>
      </c>
      <c r="K1189" s="8"/>
      <c r="L1189" s="9"/>
      <c r="M1189" s="10" t="s">
        <v>4766</v>
      </c>
      <c r="N1189" s="11" t="s">
        <v>4767</v>
      </c>
      <c r="O1189" s="12" t="s">
        <v>26</v>
      </c>
    </row>
    <row r="1190" spans="1:15">
      <c r="A1190" s="4">
        <v>1186</v>
      </c>
      <c r="B1190" s="5" t="s">
        <v>4750</v>
      </c>
      <c r="C1190" s="5" t="s">
        <v>4751</v>
      </c>
      <c r="D1190" s="5" t="s">
        <v>4768</v>
      </c>
      <c r="E1190" s="6" t="s">
        <v>4769</v>
      </c>
      <c r="F1190" s="7" t="s">
        <v>21</v>
      </c>
      <c r="G1190" s="5" t="s">
        <v>29</v>
      </c>
      <c r="H1190" s="8"/>
      <c r="I1190" s="9"/>
      <c r="J1190" s="9" t="s">
        <v>23</v>
      </c>
      <c r="K1190" s="8"/>
      <c r="L1190" s="9"/>
      <c r="M1190" s="10" t="s">
        <v>4770</v>
      </c>
      <c r="N1190" s="11" t="s">
        <v>4771</v>
      </c>
      <c r="O1190" s="12" t="s">
        <v>26</v>
      </c>
    </row>
    <row r="1191" spans="1:15">
      <c r="A1191" s="4">
        <v>1187</v>
      </c>
      <c r="B1191" s="5" t="s">
        <v>4750</v>
      </c>
      <c r="C1191" s="5" t="s">
        <v>4751</v>
      </c>
      <c r="D1191" s="5" t="s">
        <v>4772</v>
      </c>
      <c r="E1191" s="6" t="s">
        <v>4773</v>
      </c>
      <c r="F1191" s="7" t="s">
        <v>21</v>
      </c>
      <c r="G1191" s="5" t="s">
        <v>4774</v>
      </c>
      <c r="H1191" s="8"/>
      <c r="I1191" s="9"/>
      <c r="J1191" s="9" t="s">
        <v>23</v>
      </c>
      <c r="K1191" s="8"/>
      <c r="L1191" s="9"/>
      <c r="M1191" s="10"/>
      <c r="N1191" s="11" t="s">
        <v>4775</v>
      </c>
      <c r="O1191" s="12" t="s">
        <v>26</v>
      </c>
    </row>
    <row r="1192" spans="1:15">
      <c r="A1192" s="4">
        <v>1188</v>
      </c>
      <c r="B1192" s="5" t="s">
        <v>4750</v>
      </c>
      <c r="C1192" s="5" t="s">
        <v>4776</v>
      </c>
      <c r="D1192" s="5" t="s">
        <v>4777</v>
      </c>
      <c r="E1192" s="6" t="s">
        <v>4778</v>
      </c>
      <c r="F1192" s="7" t="s">
        <v>21</v>
      </c>
      <c r="G1192" s="5" t="s">
        <v>4774</v>
      </c>
      <c r="H1192" s="8"/>
      <c r="I1192" s="9"/>
      <c r="J1192" s="9" t="s">
        <v>23</v>
      </c>
      <c r="K1192" s="8"/>
      <c r="L1192" s="9"/>
      <c r="M1192" s="10" t="s">
        <v>4779</v>
      </c>
      <c r="N1192" s="11" t="s">
        <v>4780</v>
      </c>
      <c r="O1192" s="12" t="s">
        <v>26</v>
      </c>
    </row>
    <row r="1193" spans="1:15">
      <c r="A1193" s="4">
        <v>1189</v>
      </c>
      <c r="B1193" s="5" t="s">
        <v>4750</v>
      </c>
      <c r="C1193" s="5" t="s">
        <v>4751</v>
      </c>
      <c r="D1193" s="5" t="s">
        <v>4781</v>
      </c>
      <c r="E1193" s="6" t="s">
        <v>4782</v>
      </c>
      <c r="F1193" s="7" t="s">
        <v>21</v>
      </c>
      <c r="G1193" s="5" t="s">
        <v>29</v>
      </c>
      <c r="H1193" s="8"/>
      <c r="I1193" s="9"/>
      <c r="J1193" s="9" t="s">
        <v>23</v>
      </c>
      <c r="K1193" s="8"/>
      <c r="L1193" s="9"/>
      <c r="M1193" s="10"/>
      <c r="N1193" s="11" t="s">
        <v>4783</v>
      </c>
      <c r="O1193" s="12" t="s">
        <v>26</v>
      </c>
    </row>
    <row r="1194" spans="1:15">
      <c r="A1194" s="4">
        <v>1190</v>
      </c>
      <c r="B1194" s="5" t="s">
        <v>4750</v>
      </c>
      <c r="C1194" s="5" t="s">
        <v>4755</v>
      </c>
      <c r="D1194" s="5" t="s">
        <v>4784</v>
      </c>
      <c r="E1194" s="6" t="s">
        <v>4785</v>
      </c>
      <c r="F1194" s="7" t="s">
        <v>21</v>
      </c>
      <c r="G1194" s="5" t="s">
        <v>22</v>
      </c>
      <c r="H1194" s="8"/>
      <c r="I1194" s="9"/>
      <c r="J1194" s="9" t="s">
        <v>23</v>
      </c>
      <c r="K1194" s="8"/>
      <c r="L1194" s="9"/>
      <c r="M1194" s="10" t="s">
        <v>4786</v>
      </c>
      <c r="N1194" s="11" t="s">
        <v>4787</v>
      </c>
      <c r="O1194" s="12" t="s">
        <v>26</v>
      </c>
    </row>
    <row r="1195" spans="1:15">
      <c r="A1195" s="4">
        <v>1191</v>
      </c>
      <c r="B1195" s="5" t="s">
        <v>4750</v>
      </c>
      <c r="C1195" s="5" t="s">
        <v>4751</v>
      </c>
      <c r="D1195" s="5" t="s">
        <v>4788</v>
      </c>
      <c r="E1195" s="6" t="s">
        <v>4789</v>
      </c>
      <c r="F1195" s="7" t="s">
        <v>21</v>
      </c>
      <c r="G1195" s="5" t="s">
        <v>29</v>
      </c>
      <c r="H1195" s="8"/>
      <c r="I1195" s="9"/>
      <c r="J1195" s="9" t="s">
        <v>23</v>
      </c>
      <c r="K1195" s="8"/>
      <c r="L1195" s="9"/>
      <c r="M1195" s="10"/>
      <c r="N1195" s="11" t="s">
        <v>4790</v>
      </c>
      <c r="O1195" s="12" t="s">
        <v>26</v>
      </c>
    </row>
    <row r="1196" spans="1:15">
      <c r="A1196" s="4">
        <v>1192</v>
      </c>
      <c r="B1196" s="5" t="s">
        <v>4750</v>
      </c>
      <c r="C1196" s="5" t="s">
        <v>4751</v>
      </c>
      <c r="D1196" s="5" t="s">
        <v>4791</v>
      </c>
      <c r="E1196" s="6" t="s">
        <v>4792</v>
      </c>
      <c r="F1196" s="7" t="s">
        <v>21</v>
      </c>
      <c r="G1196" s="5" t="s">
        <v>22</v>
      </c>
      <c r="H1196" s="8"/>
      <c r="I1196" s="9"/>
      <c r="J1196" s="9" t="s">
        <v>23</v>
      </c>
      <c r="K1196" s="8"/>
      <c r="L1196" s="9"/>
      <c r="M1196" s="10" t="s">
        <v>4793</v>
      </c>
      <c r="N1196" s="11" t="s">
        <v>4794</v>
      </c>
      <c r="O1196" s="12" t="s">
        <v>26</v>
      </c>
    </row>
    <row r="1197" spans="1:15">
      <c r="A1197" s="4">
        <v>1193</v>
      </c>
      <c r="B1197" s="5" t="s">
        <v>4750</v>
      </c>
      <c r="C1197" s="5" t="s">
        <v>4751</v>
      </c>
      <c r="D1197" s="5" t="s">
        <v>4795</v>
      </c>
      <c r="E1197" s="6" t="s">
        <v>4796</v>
      </c>
      <c r="F1197" s="7" t="s">
        <v>21</v>
      </c>
      <c r="G1197" s="5" t="s">
        <v>29</v>
      </c>
      <c r="H1197" s="8"/>
      <c r="I1197" s="9"/>
      <c r="J1197" s="9" t="s">
        <v>23</v>
      </c>
      <c r="K1197" s="8"/>
      <c r="L1197" s="9"/>
      <c r="M1197" s="10" t="s">
        <v>4797</v>
      </c>
      <c r="N1197" s="11" t="s">
        <v>4798</v>
      </c>
      <c r="O1197" s="12" t="s">
        <v>26</v>
      </c>
    </row>
    <row r="1198" spans="1:15">
      <c r="A1198" s="4">
        <v>1194</v>
      </c>
      <c r="B1198" s="5" t="s">
        <v>4750</v>
      </c>
      <c r="C1198" s="5" t="s">
        <v>4751</v>
      </c>
      <c r="D1198" s="5" t="s">
        <v>4799</v>
      </c>
      <c r="E1198" s="6" t="s">
        <v>4800</v>
      </c>
      <c r="F1198" s="7" t="s">
        <v>21</v>
      </c>
      <c r="G1198" s="5" t="s">
        <v>22</v>
      </c>
      <c r="H1198" s="8"/>
      <c r="I1198" s="9"/>
      <c r="J1198" s="9" t="s">
        <v>23</v>
      </c>
      <c r="K1198" s="8"/>
      <c r="L1198" s="9"/>
      <c r="M1198" s="10" t="s">
        <v>4801</v>
      </c>
      <c r="N1198" s="11" t="s">
        <v>4802</v>
      </c>
      <c r="O1198" s="12" t="s">
        <v>26</v>
      </c>
    </row>
    <row r="1199" spans="1:15">
      <c r="A1199" s="4">
        <v>1195</v>
      </c>
      <c r="B1199" s="5" t="s">
        <v>4750</v>
      </c>
      <c r="C1199" s="5" t="s">
        <v>4803</v>
      </c>
      <c r="D1199" s="5" t="s">
        <v>4804</v>
      </c>
      <c r="E1199" s="6" t="s">
        <v>4805</v>
      </c>
      <c r="F1199" s="7" t="s">
        <v>21</v>
      </c>
      <c r="G1199" s="5" t="s">
        <v>22</v>
      </c>
      <c r="H1199" s="8"/>
      <c r="I1199" s="9"/>
      <c r="J1199" s="9" t="s">
        <v>23</v>
      </c>
      <c r="K1199" s="8"/>
      <c r="L1199" s="9"/>
      <c r="M1199" s="10" t="s">
        <v>4806</v>
      </c>
      <c r="N1199" s="11" t="s">
        <v>4807</v>
      </c>
      <c r="O1199" s="12" t="s">
        <v>26</v>
      </c>
    </row>
    <row r="1200" spans="1:15">
      <c r="A1200" s="4">
        <v>1196</v>
      </c>
      <c r="B1200" s="5" t="s">
        <v>4808</v>
      </c>
      <c r="C1200" s="5" t="s">
        <v>4809</v>
      </c>
      <c r="D1200" s="5" t="s">
        <v>4810</v>
      </c>
      <c r="E1200" s="6" t="s">
        <v>4811</v>
      </c>
      <c r="F1200" s="7" t="s">
        <v>21</v>
      </c>
      <c r="G1200" s="5" t="s">
        <v>22</v>
      </c>
      <c r="H1200" s="8"/>
      <c r="I1200" s="9"/>
      <c r="J1200" s="9" t="s">
        <v>23</v>
      </c>
      <c r="K1200" s="8"/>
      <c r="L1200" s="9"/>
      <c r="M1200" s="10" t="s">
        <v>4812</v>
      </c>
      <c r="N1200" s="11" t="s">
        <v>4813</v>
      </c>
      <c r="O1200" s="12" t="s">
        <v>26</v>
      </c>
    </row>
    <row r="1201" spans="1:15">
      <c r="A1201" s="4">
        <v>1197</v>
      </c>
      <c r="B1201" s="5" t="s">
        <v>4808</v>
      </c>
      <c r="C1201" s="5" t="s">
        <v>4809</v>
      </c>
      <c r="D1201" s="5" t="s">
        <v>4814</v>
      </c>
      <c r="E1201" s="6" t="s">
        <v>4815</v>
      </c>
      <c r="F1201" s="7" t="s">
        <v>21</v>
      </c>
      <c r="G1201" s="5" t="s">
        <v>22</v>
      </c>
      <c r="H1201" s="8"/>
      <c r="I1201" s="9"/>
      <c r="J1201" s="9" t="s">
        <v>23</v>
      </c>
      <c r="K1201" s="8"/>
      <c r="L1201" s="9"/>
      <c r="M1201" s="10" t="s">
        <v>4816</v>
      </c>
      <c r="N1201" s="11" t="s">
        <v>4817</v>
      </c>
      <c r="O1201" s="12" t="s">
        <v>26</v>
      </c>
    </row>
    <row r="1202" spans="1:15">
      <c r="A1202" s="4">
        <v>1198</v>
      </c>
      <c r="B1202" s="5" t="s">
        <v>4808</v>
      </c>
      <c r="C1202" s="5" t="s">
        <v>4809</v>
      </c>
      <c r="D1202" s="5" t="s">
        <v>4818</v>
      </c>
      <c r="E1202" s="6" t="s">
        <v>4819</v>
      </c>
      <c r="F1202" s="7" t="s">
        <v>21</v>
      </c>
      <c r="G1202" s="5" t="s">
        <v>29</v>
      </c>
      <c r="H1202" s="8"/>
      <c r="I1202" s="9"/>
      <c r="J1202" s="9" t="s">
        <v>23</v>
      </c>
      <c r="K1202" s="8"/>
      <c r="L1202" s="9"/>
      <c r="M1202" s="10"/>
      <c r="N1202" s="11" t="s">
        <v>4820</v>
      </c>
      <c r="O1202" s="12" t="s">
        <v>26</v>
      </c>
    </row>
    <row r="1203" spans="1:15">
      <c r="A1203" s="4">
        <v>1199</v>
      </c>
      <c r="B1203" s="5" t="s">
        <v>4808</v>
      </c>
      <c r="C1203" s="5" t="s">
        <v>4821</v>
      </c>
      <c r="D1203" s="5" t="s">
        <v>4822</v>
      </c>
      <c r="E1203" s="6" t="s">
        <v>4823</v>
      </c>
      <c r="F1203" s="7" t="s">
        <v>21</v>
      </c>
      <c r="G1203" s="5" t="s">
        <v>22</v>
      </c>
      <c r="H1203" s="8"/>
      <c r="I1203" s="9"/>
      <c r="J1203" s="9" t="s">
        <v>23</v>
      </c>
      <c r="K1203" s="8"/>
      <c r="L1203" s="9"/>
      <c r="M1203" s="10" t="s">
        <v>4824</v>
      </c>
      <c r="N1203" s="11" t="s">
        <v>4825</v>
      </c>
      <c r="O1203" s="12" t="s">
        <v>26</v>
      </c>
    </row>
    <row r="1204" spans="1:15">
      <c r="A1204" s="4">
        <v>1200</v>
      </c>
      <c r="B1204" s="5" t="s">
        <v>4808</v>
      </c>
      <c r="C1204" s="5" t="s">
        <v>4809</v>
      </c>
      <c r="D1204" s="5" t="s">
        <v>4826</v>
      </c>
      <c r="E1204" s="6" t="s">
        <v>4827</v>
      </c>
      <c r="F1204" s="7" t="s">
        <v>21</v>
      </c>
      <c r="G1204" s="5" t="s">
        <v>39</v>
      </c>
      <c r="H1204" s="8"/>
      <c r="I1204" s="9"/>
      <c r="J1204" s="9" t="s">
        <v>23</v>
      </c>
      <c r="K1204" s="8"/>
      <c r="L1204" s="9"/>
      <c r="M1204" s="10" t="s">
        <v>4828</v>
      </c>
      <c r="N1204" s="11" t="s">
        <v>4829</v>
      </c>
      <c r="O1204" s="12" t="s">
        <v>26</v>
      </c>
    </row>
    <row r="1205" spans="1:15">
      <c r="A1205" s="4">
        <v>1201</v>
      </c>
      <c r="B1205" s="5" t="s">
        <v>4808</v>
      </c>
      <c r="C1205" s="5" t="s">
        <v>4809</v>
      </c>
      <c r="D1205" s="5" t="s">
        <v>4830</v>
      </c>
      <c r="E1205" s="6" t="s">
        <v>4831</v>
      </c>
      <c r="F1205" s="7" t="s">
        <v>21</v>
      </c>
      <c r="G1205" s="5" t="s">
        <v>22</v>
      </c>
      <c r="H1205" s="8"/>
      <c r="I1205" s="9"/>
      <c r="J1205" s="9" t="s">
        <v>23</v>
      </c>
      <c r="K1205" s="8"/>
      <c r="L1205" s="9"/>
      <c r="M1205" s="10" t="s">
        <v>3611</v>
      </c>
      <c r="N1205" s="11" t="s">
        <v>4832</v>
      </c>
      <c r="O1205" s="12" t="s">
        <v>26</v>
      </c>
    </row>
    <row r="1206" spans="1:15">
      <c r="A1206" s="4">
        <v>1202</v>
      </c>
      <c r="B1206" s="5" t="s">
        <v>4808</v>
      </c>
      <c r="C1206" s="5" t="s">
        <v>4809</v>
      </c>
      <c r="D1206" s="5" t="s">
        <v>4833</v>
      </c>
      <c r="E1206" s="6" t="s">
        <v>4834</v>
      </c>
      <c r="F1206" s="7" t="s">
        <v>21</v>
      </c>
      <c r="G1206" s="5" t="s">
        <v>22</v>
      </c>
      <c r="H1206" s="8"/>
      <c r="I1206" s="9"/>
      <c r="J1206" s="9" t="s">
        <v>23</v>
      </c>
      <c r="K1206" s="8"/>
      <c r="L1206" s="9"/>
      <c r="M1206" s="10" t="s">
        <v>3611</v>
      </c>
      <c r="N1206" s="11" t="s">
        <v>4835</v>
      </c>
      <c r="O1206" s="12" t="s">
        <v>26</v>
      </c>
    </row>
    <row r="1207" spans="1:15">
      <c r="A1207" s="4">
        <v>1203</v>
      </c>
      <c r="B1207" s="5" t="s">
        <v>4808</v>
      </c>
      <c r="C1207" s="5" t="s">
        <v>4809</v>
      </c>
      <c r="D1207" s="5" t="s">
        <v>4836</v>
      </c>
      <c r="E1207" s="6" t="s">
        <v>4837</v>
      </c>
      <c r="F1207" s="7" t="s">
        <v>21</v>
      </c>
      <c r="G1207" s="5" t="s">
        <v>22</v>
      </c>
      <c r="H1207" s="8"/>
      <c r="I1207" s="9"/>
      <c r="J1207" s="9" t="s">
        <v>23</v>
      </c>
      <c r="K1207" s="8"/>
      <c r="L1207" s="9"/>
      <c r="M1207" s="10" t="s">
        <v>4838</v>
      </c>
      <c r="N1207" s="11" t="s">
        <v>4839</v>
      </c>
      <c r="O1207" s="12" t="s">
        <v>26</v>
      </c>
    </row>
    <row r="1208" spans="1:15">
      <c r="A1208" s="4">
        <v>1204</v>
      </c>
      <c r="B1208" s="5" t="s">
        <v>4808</v>
      </c>
      <c r="C1208" s="5" t="s">
        <v>4840</v>
      </c>
      <c r="D1208" s="5" t="s">
        <v>4841</v>
      </c>
      <c r="E1208" s="6" t="s">
        <v>4842</v>
      </c>
      <c r="F1208" s="7" t="s">
        <v>21</v>
      </c>
      <c r="G1208" s="5" t="s">
        <v>22</v>
      </c>
      <c r="H1208" s="8"/>
      <c r="I1208" s="9"/>
      <c r="J1208" s="9" t="s">
        <v>23</v>
      </c>
      <c r="K1208" s="8"/>
      <c r="L1208" s="9"/>
      <c r="M1208" s="10" t="s">
        <v>4843</v>
      </c>
      <c r="N1208" s="11" t="s">
        <v>4844</v>
      </c>
      <c r="O1208" s="12" t="s">
        <v>26</v>
      </c>
    </row>
    <row r="1209" spans="1:15">
      <c r="A1209" s="4">
        <v>1205</v>
      </c>
      <c r="B1209" s="5" t="s">
        <v>4845</v>
      </c>
      <c r="C1209" s="5" t="s">
        <v>4846</v>
      </c>
      <c r="D1209" s="5" t="s">
        <v>4847</v>
      </c>
      <c r="E1209" s="6" t="s">
        <v>4848</v>
      </c>
      <c r="F1209" s="7" t="s">
        <v>21</v>
      </c>
      <c r="G1209" s="5" t="s">
        <v>4774</v>
      </c>
      <c r="H1209" s="8"/>
      <c r="I1209" s="9"/>
      <c r="J1209" s="9" t="s">
        <v>23</v>
      </c>
      <c r="K1209" s="8"/>
      <c r="L1209" s="9"/>
      <c r="M1209" s="10"/>
      <c r="N1209" s="11" t="s">
        <v>4849</v>
      </c>
      <c r="O1209" s="12" t="s">
        <v>26</v>
      </c>
    </row>
    <row r="1210" spans="1:15">
      <c r="A1210" s="4">
        <v>1206</v>
      </c>
      <c r="B1210" s="5" t="s">
        <v>4845</v>
      </c>
      <c r="C1210" s="5" t="s">
        <v>4850</v>
      </c>
      <c r="D1210" s="5" t="s">
        <v>4851</v>
      </c>
      <c r="E1210" s="6" t="s">
        <v>4852</v>
      </c>
      <c r="F1210" s="7" t="s">
        <v>21</v>
      </c>
      <c r="G1210" s="5" t="s">
        <v>4774</v>
      </c>
      <c r="H1210" s="8"/>
      <c r="I1210" s="9"/>
      <c r="J1210" s="9" t="s">
        <v>23</v>
      </c>
      <c r="K1210" s="8"/>
      <c r="L1210" s="9"/>
      <c r="M1210" s="10" t="s">
        <v>4853</v>
      </c>
      <c r="N1210" s="11" t="s">
        <v>4854</v>
      </c>
      <c r="O1210" s="12" t="s">
        <v>26</v>
      </c>
    </row>
    <row r="1211" spans="1:15">
      <c r="A1211" s="4">
        <v>1207</v>
      </c>
      <c r="B1211" s="5" t="s">
        <v>4845</v>
      </c>
      <c r="C1211" s="5" t="s">
        <v>4855</v>
      </c>
      <c r="D1211" s="5" t="s">
        <v>4856</v>
      </c>
      <c r="E1211" s="6" t="s">
        <v>4857</v>
      </c>
      <c r="F1211" s="7" t="s">
        <v>21</v>
      </c>
      <c r="G1211" s="5" t="s">
        <v>29</v>
      </c>
      <c r="H1211" s="8"/>
      <c r="I1211" s="9"/>
      <c r="J1211" s="9" t="s">
        <v>23</v>
      </c>
      <c r="K1211" s="8"/>
      <c r="L1211" s="9"/>
      <c r="M1211" s="10"/>
      <c r="N1211" s="11" t="s">
        <v>4858</v>
      </c>
      <c r="O1211" s="12" t="s">
        <v>26</v>
      </c>
    </row>
    <row r="1212" spans="1:15">
      <c r="A1212" s="4">
        <v>1208</v>
      </c>
      <c r="B1212" s="5" t="s">
        <v>4845</v>
      </c>
      <c r="C1212" s="5" t="s">
        <v>4859</v>
      </c>
      <c r="D1212" s="5" t="s">
        <v>4860</v>
      </c>
      <c r="E1212" s="6" t="s">
        <v>4861</v>
      </c>
      <c r="F1212" s="7" t="s">
        <v>21</v>
      </c>
      <c r="G1212" s="5" t="s">
        <v>29</v>
      </c>
      <c r="H1212" s="8"/>
      <c r="I1212" s="9"/>
      <c r="J1212" s="9" t="s">
        <v>23</v>
      </c>
      <c r="K1212" s="8"/>
      <c r="L1212" s="9"/>
      <c r="M1212" s="10"/>
      <c r="N1212" s="11" t="s">
        <v>4862</v>
      </c>
      <c r="O1212" s="12" t="s">
        <v>26</v>
      </c>
    </row>
    <row r="1213" spans="1:15">
      <c r="A1213" s="4">
        <v>1209</v>
      </c>
      <c r="B1213" s="5" t="s">
        <v>4845</v>
      </c>
      <c r="C1213" s="5" t="s">
        <v>4863</v>
      </c>
      <c r="D1213" s="5" t="s">
        <v>4864</v>
      </c>
      <c r="E1213" s="6" t="s">
        <v>4865</v>
      </c>
      <c r="F1213" s="7" t="s">
        <v>21</v>
      </c>
      <c r="G1213" s="5" t="s">
        <v>4399</v>
      </c>
      <c r="H1213" s="8"/>
      <c r="I1213" s="9"/>
      <c r="J1213" s="9" t="s">
        <v>23</v>
      </c>
      <c r="K1213" s="8"/>
      <c r="L1213" s="9"/>
      <c r="M1213" s="10"/>
      <c r="N1213" s="11" t="s">
        <v>4866</v>
      </c>
      <c r="O1213" s="12" t="s">
        <v>26</v>
      </c>
    </row>
    <row r="1214" spans="1:15">
      <c r="A1214" s="4">
        <v>1210</v>
      </c>
      <c r="B1214" s="5" t="s">
        <v>4845</v>
      </c>
      <c r="C1214" s="5" t="s">
        <v>4867</v>
      </c>
      <c r="D1214" s="5" t="s">
        <v>4868</v>
      </c>
      <c r="E1214" s="6" t="s">
        <v>4869</v>
      </c>
      <c r="F1214" s="7" t="s">
        <v>21</v>
      </c>
      <c r="G1214" s="5" t="s">
        <v>22</v>
      </c>
      <c r="H1214" s="8"/>
      <c r="I1214" s="9"/>
      <c r="J1214" s="9" t="s">
        <v>23</v>
      </c>
      <c r="K1214" s="8"/>
      <c r="L1214" s="9"/>
      <c r="M1214" s="10" t="s">
        <v>4870</v>
      </c>
      <c r="N1214" s="11" t="s">
        <v>4871</v>
      </c>
      <c r="O1214" s="12" t="s">
        <v>26</v>
      </c>
    </row>
    <row r="1215" spans="1:15">
      <c r="A1215" s="4">
        <v>1211</v>
      </c>
      <c r="B1215" s="5" t="s">
        <v>4845</v>
      </c>
      <c r="C1215" s="5" t="s">
        <v>4872</v>
      </c>
      <c r="D1215" s="5" t="s">
        <v>4873</v>
      </c>
      <c r="E1215" s="6" t="s">
        <v>4874</v>
      </c>
      <c r="F1215" s="7" t="s">
        <v>21</v>
      </c>
      <c r="G1215" s="5" t="s">
        <v>29</v>
      </c>
      <c r="H1215" s="8"/>
      <c r="I1215" s="9"/>
      <c r="J1215" s="9" t="s">
        <v>23</v>
      </c>
      <c r="K1215" s="8"/>
      <c r="L1215" s="9"/>
      <c r="M1215" s="10"/>
      <c r="N1215" s="11" t="s">
        <v>4875</v>
      </c>
      <c r="O1215" s="12" t="s">
        <v>26</v>
      </c>
    </row>
    <row r="1216" spans="1:15">
      <c r="A1216" s="4">
        <v>1212</v>
      </c>
      <c r="B1216" s="5" t="s">
        <v>4845</v>
      </c>
      <c r="C1216" s="5" t="s">
        <v>4876</v>
      </c>
      <c r="D1216" s="5" t="s">
        <v>4877</v>
      </c>
      <c r="E1216" s="6" t="s">
        <v>4878</v>
      </c>
      <c r="F1216" s="7" t="s">
        <v>21</v>
      </c>
      <c r="G1216" s="5" t="s">
        <v>29</v>
      </c>
      <c r="H1216" s="8"/>
      <c r="I1216" s="9"/>
      <c r="J1216" s="9" t="s">
        <v>23</v>
      </c>
      <c r="K1216" s="8"/>
      <c r="L1216" s="9"/>
      <c r="M1216" s="10" t="s">
        <v>4879</v>
      </c>
      <c r="N1216" s="11" t="s">
        <v>4880</v>
      </c>
      <c r="O1216" s="12" t="s">
        <v>26</v>
      </c>
    </row>
    <row r="1217" spans="1:15">
      <c r="A1217" s="4">
        <v>1213</v>
      </c>
      <c r="B1217" s="5" t="s">
        <v>4845</v>
      </c>
      <c r="C1217" s="5" t="s">
        <v>4846</v>
      </c>
      <c r="D1217" s="5" t="s">
        <v>4881</v>
      </c>
      <c r="E1217" s="6" t="s">
        <v>4882</v>
      </c>
      <c r="F1217" s="7" t="s">
        <v>21</v>
      </c>
      <c r="G1217" s="5" t="s">
        <v>29</v>
      </c>
      <c r="H1217" s="8"/>
      <c r="I1217" s="9"/>
      <c r="J1217" s="9" t="s">
        <v>23</v>
      </c>
      <c r="K1217" s="8"/>
      <c r="L1217" s="9"/>
      <c r="M1217" s="10" t="s">
        <v>4883</v>
      </c>
      <c r="N1217" s="11" t="s">
        <v>4884</v>
      </c>
      <c r="O1217" s="12" t="s">
        <v>26</v>
      </c>
    </row>
    <row r="1218" spans="1:15">
      <c r="A1218" s="4">
        <v>1214</v>
      </c>
      <c r="B1218" s="5" t="s">
        <v>4845</v>
      </c>
      <c r="C1218" s="5" t="s">
        <v>4859</v>
      </c>
      <c r="D1218" s="5" t="s">
        <v>4885</v>
      </c>
      <c r="E1218" s="6" t="s">
        <v>4886</v>
      </c>
      <c r="F1218" s="7" t="s">
        <v>21</v>
      </c>
      <c r="G1218" s="5" t="s">
        <v>22</v>
      </c>
      <c r="H1218" s="8"/>
      <c r="I1218" s="9"/>
      <c r="J1218" s="9" t="s">
        <v>23</v>
      </c>
      <c r="K1218" s="8"/>
      <c r="L1218" s="9"/>
      <c r="M1218" s="10" t="s">
        <v>4887</v>
      </c>
      <c r="N1218" s="11" t="s">
        <v>4888</v>
      </c>
      <c r="O1218" s="12" t="s">
        <v>26</v>
      </c>
    </row>
    <row r="1219" spans="1:15">
      <c r="A1219" s="4">
        <v>1215</v>
      </c>
      <c r="B1219" s="5" t="s">
        <v>4845</v>
      </c>
      <c r="C1219" s="5" t="s">
        <v>4889</v>
      </c>
      <c r="D1219" s="5" t="s">
        <v>4890</v>
      </c>
      <c r="E1219" s="6" t="s">
        <v>4891</v>
      </c>
      <c r="F1219" s="7" t="s">
        <v>21</v>
      </c>
      <c r="G1219" s="5" t="s">
        <v>485</v>
      </c>
      <c r="H1219" s="8"/>
      <c r="I1219" s="9"/>
      <c r="J1219" s="9" t="s">
        <v>23</v>
      </c>
      <c r="K1219" s="8"/>
      <c r="L1219" s="9"/>
      <c r="M1219" s="10"/>
      <c r="N1219" s="11" t="s">
        <v>4892</v>
      </c>
      <c r="O1219" s="12" t="s">
        <v>26</v>
      </c>
    </row>
    <row r="1220" spans="1:15">
      <c r="A1220" s="4">
        <v>1216</v>
      </c>
      <c r="B1220" s="5" t="s">
        <v>4845</v>
      </c>
      <c r="C1220" s="5" t="s">
        <v>4889</v>
      </c>
      <c r="D1220" s="5" t="s">
        <v>4893</v>
      </c>
      <c r="E1220" s="6" t="s">
        <v>4894</v>
      </c>
      <c r="F1220" s="7" t="s">
        <v>21</v>
      </c>
      <c r="G1220" s="5" t="s">
        <v>22</v>
      </c>
      <c r="H1220" s="8"/>
      <c r="I1220" s="9"/>
      <c r="J1220" s="9" t="s">
        <v>23</v>
      </c>
      <c r="K1220" s="8"/>
      <c r="L1220" s="9"/>
      <c r="M1220" s="10" t="s">
        <v>4895</v>
      </c>
      <c r="N1220" s="11" t="s">
        <v>4896</v>
      </c>
      <c r="O1220" s="12" t="s">
        <v>26</v>
      </c>
    </row>
    <row r="1221" spans="1:15">
      <c r="A1221" s="4">
        <v>1217</v>
      </c>
      <c r="B1221" s="5" t="s">
        <v>4845</v>
      </c>
      <c r="C1221" s="5" t="s">
        <v>4889</v>
      </c>
      <c r="D1221" s="5" t="s">
        <v>4897</v>
      </c>
      <c r="E1221" s="6" t="s">
        <v>4898</v>
      </c>
      <c r="F1221" s="7" t="s">
        <v>21</v>
      </c>
      <c r="G1221" s="5" t="s">
        <v>22</v>
      </c>
      <c r="H1221" s="8"/>
      <c r="I1221" s="9"/>
      <c r="J1221" s="9" t="s">
        <v>23</v>
      </c>
      <c r="K1221" s="8"/>
      <c r="L1221" s="9"/>
      <c r="M1221" s="10" t="s">
        <v>4899</v>
      </c>
      <c r="N1221" s="11" t="s">
        <v>4900</v>
      </c>
      <c r="O1221" s="12" t="s">
        <v>26</v>
      </c>
    </row>
    <row r="1222" spans="1:15">
      <c r="A1222" s="4">
        <v>1218</v>
      </c>
      <c r="B1222" s="5" t="s">
        <v>4845</v>
      </c>
      <c r="C1222" s="5" t="s">
        <v>4901</v>
      </c>
      <c r="D1222" s="5" t="s">
        <v>4902</v>
      </c>
      <c r="E1222" s="6" t="s">
        <v>4903</v>
      </c>
      <c r="F1222" s="7" t="s">
        <v>21</v>
      </c>
      <c r="G1222" s="5" t="s">
        <v>22</v>
      </c>
      <c r="H1222" s="8"/>
      <c r="I1222" s="9"/>
      <c r="J1222" s="9" t="s">
        <v>23</v>
      </c>
      <c r="K1222" s="8"/>
      <c r="L1222" s="9"/>
      <c r="M1222" s="10"/>
      <c r="N1222" s="11" t="s">
        <v>4904</v>
      </c>
      <c r="O1222" s="12" t="s">
        <v>26</v>
      </c>
    </row>
    <row r="1223" spans="1:15">
      <c r="A1223" s="4">
        <v>1219</v>
      </c>
      <c r="B1223" s="5" t="s">
        <v>4845</v>
      </c>
      <c r="C1223" s="5" t="s">
        <v>4905</v>
      </c>
      <c r="D1223" s="5" t="s">
        <v>4906</v>
      </c>
      <c r="E1223" s="6" t="s">
        <v>4907</v>
      </c>
      <c r="F1223" s="7" t="s">
        <v>21</v>
      </c>
      <c r="G1223" s="5" t="s">
        <v>29</v>
      </c>
      <c r="H1223" s="8"/>
      <c r="I1223" s="9"/>
      <c r="J1223" s="9" t="s">
        <v>23</v>
      </c>
      <c r="K1223" s="8"/>
      <c r="L1223" s="9"/>
      <c r="M1223" s="10"/>
      <c r="N1223" s="11" t="s">
        <v>4908</v>
      </c>
      <c r="O1223" s="12" t="s">
        <v>26</v>
      </c>
    </row>
    <row r="1224" spans="1:15">
      <c r="A1224" s="4">
        <v>1220</v>
      </c>
      <c r="B1224" s="5" t="s">
        <v>4845</v>
      </c>
      <c r="C1224" s="5" t="s">
        <v>4909</v>
      </c>
      <c r="D1224" s="5" t="s">
        <v>4910</v>
      </c>
      <c r="E1224" s="6" t="s">
        <v>4911</v>
      </c>
      <c r="F1224" s="7" t="s">
        <v>21</v>
      </c>
      <c r="G1224" s="5" t="s">
        <v>22</v>
      </c>
      <c r="H1224" s="8"/>
      <c r="I1224" s="9"/>
      <c r="J1224" s="9" t="s">
        <v>23</v>
      </c>
      <c r="K1224" s="8"/>
      <c r="L1224" s="9"/>
      <c r="M1224" s="10"/>
      <c r="N1224" s="11" t="s">
        <v>4912</v>
      </c>
      <c r="O1224" s="12" t="s">
        <v>26</v>
      </c>
    </row>
    <row r="1225" spans="1:15">
      <c r="A1225" s="4">
        <v>1221</v>
      </c>
      <c r="B1225" s="5" t="s">
        <v>4845</v>
      </c>
      <c r="C1225" s="5" t="s">
        <v>4905</v>
      </c>
      <c r="D1225" s="5" t="s">
        <v>4913</v>
      </c>
      <c r="E1225" s="6" t="s">
        <v>4914</v>
      </c>
      <c r="F1225" s="7" t="s">
        <v>21</v>
      </c>
      <c r="G1225" s="5" t="s">
        <v>29</v>
      </c>
      <c r="H1225" s="8"/>
      <c r="I1225" s="9"/>
      <c r="J1225" s="9" t="s">
        <v>23</v>
      </c>
      <c r="K1225" s="8"/>
      <c r="L1225" s="9"/>
      <c r="M1225" s="10"/>
      <c r="N1225" s="11" t="s">
        <v>4915</v>
      </c>
      <c r="O1225" s="12" t="s">
        <v>26</v>
      </c>
    </row>
    <row r="1226" spans="1:15">
      <c r="A1226" s="4">
        <v>1222</v>
      </c>
      <c r="B1226" s="5" t="s">
        <v>4845</v>
      </c>
      <c r="C1226" s="5" t="s">
        <v>4916</v>
      </c>
      <c r="D1226" s="5" t="s">
        <v>4917</v>
      </c>
      <c r="E1226" s="6" t="s">
        <v>4918</v>
      </c>
      <c r="F1226" s="7" t="s">
        <v>21</v>
      </c>
      <c r="G1226" s="5" t="s">
        <v>29</v>
      </c>
      <c r="H1226" s="8"/>
      <c r="I1226" s="9"/>
      <c r="J1226" s="9" t="s">
        <v>23</v>
      </c>
      <c r="K1226" s="8"/>
      <c r="L1226" s="9"/>
      <c r="M1226" s="10" t="s">
        <v>4919</v>
      </c>
      <c r="N1226" s="11" t="s">
        <v>4920</v>
      </c>
      <c r="O1226" s="12" t="s">
        <v>26</v>
      </c>
    </row>
    <row r="1227" spans="1:15">
      <c r="A1227" s="4">
        <v>1223</v>
      </c>
      <c r="B1227" s="5" t="s">
        <v>4845</v>
      </c>
      <c r="C1227" s="5" t="s">
        <v>4859</v>
      </c>
      <c r="D1227" s="5" t="s">
        <v>4921</v>
      </c>
      <c r="E1227" s="6" t="s">
        <v>4922</v>
      </c>
      <c r="F1227" s="7" t="s">
        <v>21</v>
      </c>
      <c r="G1227" s="5" t="s">
        <v>22</v>
      </c>
      <c r="H1227" s="8"/>
      <c r="I1227" s="9"/>
      <c r="J1227" s="9" t="s">
        <v>23</v>
      </c>
      <c r="K1227" s="8"/>
      <c r="L1227" s="9"/>
      <c r="M1227" s="10" t="s">
        <v>4923</v>
      </c>
      <c r="N1227" s="11" t="s">
        <v>4924</v>
      </c>
      <c r="O1227" s="12" t="s">
        <v>26</v>
      </c>
    </row>
    <row r="1228" spans="1:15">
      <c r="A1228" s="4">
        <v>1224</v>
      </c>
      <c r="B1228" s="5" t="s">
        <v>4845</v>
      </c>
      <c r="C1228" s="5" t="s">
        <v>4925</v>
      </c>
      <c r="D1228" s="5" t="s">
        <v>4926</v>
      </c>
      <c r="E1228" s="6" t="s">
        <v>4927</v>
      </c>
      <c r="F1228" s="7" t="s">
        <v>21</v>
      </c>
      <c r="G1228" s="5" t="s">
        <v>22</v>
      </c>
      <c r="H1228" s="8"/>
      <c r="I1228" s="9"/>
      <c r="J1228" s="9" t="s">
        <v>23</v>
      </c>
      <c r="K1228" s="8"/>
      <c r="L1228" s="9"/>
      <c r="M1228" s="10" t="s">
        <v>3611</v>
      </c>
      <c r="N1228" s="11" t="s">
        <v>4928</v>
      </c>
      <c r="O1228" s="12" t="s">
        <v>26</v>
      </c>
    </row>
    <row r="1229" spans="1:15">
      <c r="A1229" s="4">
        <v>1225</v>
      </c>
      <c r="B1229" s="5" t="s">
        <v>4845</v>
      </c>
      <c r="C1229" s="5" t="s">
        <v>4855</v>
      </c>
      <c r="D1229" s="5" t="s">
        <v>4929</v>
      </c>
      <c r="E1229" s="6" t="s">
        <v>4930</v>
      </c>
      <c r="F1229" s="7" t="s">
        <v>21</v>
      </c>
      <c r="G1229" s="5" t="s">
        <v>29</v>
      </c>
      <c r="H1229" s="8"/>
      <c r="I1229" s="9"/>
      <c r="J1229" s="9" t="s">
        <v>23</v>
      </c>
      <c r="K1229" s="8"/>
      <c r="L1229" s="9"/>
      <c r="M1229" s="10"/>
      <c r="N1229" s="11" t="s">
        <v>4931</v>
      </c>
      <c r="O1229" s="12" t="s">
        <v>26</v>
      </c>
    </row>
    <row r="1230" spans="1:15">
      <c r="A1230" s="4">
        <v>1226</v>
      </c>
      <c r="B1230" s="5" t="s">
        <v>4845</v>
      </c>
      <c r="C1230" s="5" t="s">
        <v>4850</v>
      </c>
      <c r="D1230" s="5" t="s">
        <v>4932</v>
      </c>
      <c r="E1230" s="6" t="s">
        <v>4933</v>
      </c>
      <c r="F1230" s="7" t="s">
        <v>21</v>
      </c>
      <c r="G1230" s="5" t="s">
        <v>29</v>
      </c>
      <c r="H1230" s="8"/>
      <c r="I1230" s="9"/>
      <c r="J1230" s="9" t="s">
        <v>23</v>
      </c>
      <c r="K1230" s="8"/>
      <c r="L1230" s="9"/>
      <c r="M1230" s="10"/>
      <c r="N1230" s="11" t="s">
        <v>4934</v>
      </c>
      <c r="O1230" s="12" t="s">
        <v>26</v>
      </c>
    </row>
    <row r="1231" spans="1:15">
      <c r="A1231" s="4">
        <v>1227</v>
      </c>
      <c r="B1231" s="5" t="s">
        <v>4845</v>
      </c>
      <c r="C1231" s="5" t="s">
        <v>4935</v>
      </c>
      <c r="D1231" s="5" t="s">
        <v>4936</v>
      </c>
      <c r="E1231" s="6" t="s">
        <v>4937</v>
      </c>
      <c r="F1231" s="7" t="s">
        <v>21</v>
      </c>
      <c r="G1231" s="5" t="s">
        <v>22</v>
      </c>
      <c r="H1231" s="8"/>
      <c r="I1231" s="9"/>
      <c r="J1231" s="9" t="s">
        <v>23</v>
      </c>
      <c r="K1231" s="8"/>
      <c r="L1231" s="9"/>
      <c r="M1231" s="10" t="s">
        <v>3611</v>
      </c>
      <c r="N1231" s="11" t="s">
        <v>4938</v>
      </c>
      <c r="O1231" s="12" t="s">
        <v>26</v>
      </c>
    </row>
    <row r="1232" spans="1:15">
      <c r="A1232" s="4">
        <v>1228</v>
      </c>
      <c r="B1232" s="5" t="s">
        <v>4845</v>
      </c>
      <c r="C1232" s="5" t="s">
        <v>4905</v>
      </c>
      <c r="D1232" s="5" t="s">
        <v>4939</v>
      </c>
      <c r="E1232" s="6" t="s">
        <v>4940</v>
      </c>
      <c r="F1232" s="7" t="s">
        <v>21</v>
      </c>
      <c r="G1232" s="5" t="s">
        <v>22</v>
      </c>
      <c r="H1232" s="8"/>
      <c r="I1232" s="9"/>
      <c r="J1232" s="9" t="s">
        <v>23</v>
      </c>
      <c r="K1232" s="8"/>
      <c r="L1232" s="9"/>
      <c r="M1232" s="10" t="s">
        <v>4941</v>
      </c>
      <c r="N1232" s="11" t="s">
        <v>4942</v>
      </c>
      <c r="O1232" s="12" t="s">
        <v>26</v>
      </c>
    </row>
    <row r="1233" spans="1:15">
      <c r="A1233" s="4">
        <v>1229</v>
      </c>
      <c r="B1233" s="5" t="s">
        <v>4845</v>
      </c>
      <c r="C1233" s="5" t="s">
        <v>4859</v>
      </c>
      <c r="D1233" s="5" t="s">
        <v>4943</v>
      </c>
      <c r="E1233" s="6" t="s">
        <v>4944</v>
      </c>
      <c r="F1233" s="7" t="s">
        <v>21</v>
      </c>
      <c r="G1233" s="5" t="s">
        <v>29</v>
      </c>
      <c r="H1233" s="8"/>
      <c r="I1233" s="9"/>
      <c r="J1233" s="9" t="s">
        <v>23</v>
      </c>
      <c r="K1233" s="8"/>
      <c r="L1233" s="9"/>
      <c r="M1233" s="10"/>
      <c r="N1233" s="11" t="s">
        <v>4945</v>
      </c>
      <c r="O1233" s="12" t="s">
        <v>26</v>
      </c>
    </row>
    <row r="1234" spans="1:15">
      <c r="A1234" s="4">
        <v>1230</v>
      </c>
      <c r="B1234" s="5" t="s">
        <v>4845</v>
      </c>
      <c r="C1234" s="5" t="s">
        <v>4916</v>
      </c>
      <c r="D1234" s="5" t="s">
        <v>4946</v>
      </c>
      <c r="E1234" s="6" t="s">
        <v>4947</v>
      </c>
      <c r="F1234" s="13" t="s">
        <v>34</v>
      </c>
      <c r="G1234" s="5" t="s">
        <v>29</v>
      </c>
      <c r="H1234" s="8"/>
      <c r="I1234" s="9"/>
      <c r="J1234" s="9" t="s">
        <v>23</v>
      </c>
      <c r="K1234" s="8"/>
      <c r="L1234" s="9"/>
      <c r="M1234" s="10" t="s">
        <v>4948</v>
      </c>
      <c r="N1234" s="11" t="s">
        <v>4949</v>
      </c>
      <c r="O1234" s="12" t="s">
        <v>26</v>
      </c>
    </row>
    <row r="1235" spans="1:15">
      <c r="A1235" s="4">
        <v>1231</v>
      </c>
      <c r="B1235" s="5" t="s">
        <v>4845</v>
      </c>
      <c r="C1235" s="5" t="s">
        <v>4872</v>
      </c>
      <c r="D1235" s="5" t="s">
        <v>4950</v>
      </c>
      <c r="E1235" s="6" t="s">
        <v>4951</v>
      </c>
      <c r="F1235" s="7" t="s">
        <v>21</v>
      </c>
      <c r="G1235" s="5" t="s">
        <v>22</v>
      </c>
      <c r="H1235" s="8"/>
      <c r="I1235" s="9"/>
      <c r="J1235" s="9" t="s">
        <v>23</v>
      </c>
      <c r="K1235" s="8"/>
      <c r="L1235" s="9"/>
      <c r="M1235" s="10"/>
      <c r="N1235" s="11" t="s">
        <v>4952</v>
      </c>
      <c r="O1235" s="12" t="s">
        <v>26</v>
      </c>
    </row>
    <row r="1236" spans="1:15">
      <c r="A1236" s="4">
        <v>1232</v>
      </c>
      <c r="B1236" s="5" t="s">
        <v>4845</v>
      </c>
      <c r="C1236" s="5" t="s">
        <v>4925</v>
      </c>
      <c r="D1236" s="5" t="s">
        <v>4953</v>
      </c>
      <c r="E1236" s="6" t="s">
        <v>4954</v>
      </c>
      <c r="F1236" s="7" t="s">
        <v>21</v>
      </c>
      <c r="G1236" s="5" t="s">
        <v>22</v>
      </c>
      <c r="H1236" s="8"/>
      <c r="I1236" s="9"/>
      <c r="J1236" s="9" t="s">
        <v>23</v>
      </c>
      <c r="K1236" s="8"/>
      <c r="L1236" s="9"/>
      <c r="M1236" s="10"/>
      <c r="N1236" s="11" t="s">
        <v>4955</v>
      </c>
      <c r="O1236" s="12" t="s">
        <v>26</v>
      </c>
    </row>
    <row r="1237" spans="1:15">
      <c r="A1237" s="4">
        <v>1233</v>
      </c>
      <c r="B1237" s="5" t="s">
        <v>4845</v>
      </c>
      <c r="C1237" s="5" t="s">
        <v>4956</v>
      </c>
      <c r="D1237" s="5" t="s">
        <v>4957</v>
      </c>
      <c r="E1237" s="6" t="s">
        <v>4958</v>
      </c>
      <c r="F1237" s="7" t="s">
        <v>21</v>
      </c>
      <c r="G1237" s="5" t="s">
        <v>4774</v>
      </c>
      <c r="H1237" s="8"/>
      <c r="I1237" s="9"/>
      <c r="J1237" s="9" t="s">
        <v>23</v>
      </c>
      <c r="K1237" s="8"/>
      <c r="L1237" s="9"/>
      <c r="M1237" s="10"/>
      <c r="N1237" s="11" t="s">
        <v>4959</v>
      </c>
      <c r="O1237" s="12" t="s">
        <v>26</v>
      </c>
    </row>
    <row r="1238" spans="1:15">
      <c r="A1238" s="4">
        <v>1234</v>
      </c>
      <c r="B1238" s="5" t="s">
        <v>4845</v>
      </c>
      <c r="C1238" s="5" t="s">
        <v>4956</v>
      </c>
      <c r="D1238" s="5" t="s">
        <v>4960</v>
      </c>
      <c r="E1238" s="6" t="s">
        <v>4961</v>
      </c>
      <c r="F1238" s="7" t="s">
        <v>21</v>
      </c>
      <c r="G1238" s="5" t="s">
        <v>29</v>
      </c>
      <c r="H1238" s="8"/>
      <c r="I1238" s="9"/>
      <c r="J1238" s="9" t="s">
        <v>23</v>
      </c>
      <c r="K1238" s="8"/>
      <c r="L1238" s="9"/>
      <c r="M1238" s="10"/>
      <c r="N1238" s="11" t="s">
        <v>4962</v>
      </c>
      <c r="O1238" s="12" t="s">
        <v>26</v>
      </c>
    </row>
    <row r="1239" spans="1:15">
      <c r="A1239" s="4">
        <v>1235</v>
      </c>
      <c r="B1239" s="5" t="s">
        <v>4845</v>
      </c>
      <c r="C1239" s="5" t="s">
        <v>4963</v>
      </c>
      <c r="D1239" s="5" t="s">
        <v>4964</v>
      </c>
      <c r="E1239" s="6" t="s">
        <v>4965</v>
      </c>
      <c r="F1239" s="7" t="s">
        <v>21</v>
      </c>
      <c r="G1239" s="5" t="s">
        <v>22</v>
      </c>
      <c r="H1239" s="8"/>
      <c r="I1239" s="9"/>
      <c r="J1239" s="9" t="s">
        <v>23</v>
      </c>
      <c r="K1239" s="8"/>
      <c r="L1239" s="9"/>
      <c r="M1239" s="10"/>
      <c r="N1239" s="11" t="s">
        <v>4966</v>
      </c>
      <c r="O1239" s="12" t="s">
        <v>26</v>
      </c>
    </row>
    <row r="1240" spans="1:15">
      <c r="A1240" s="4">
        <v>1236</v>
      </c>
      <c r="B1240" s="5" t="s">
        <v>4845</v>
      </c>
      <c r="C1240" s="5" t="s">
        <v>4967</v>
      </c>
      <c r="D1240" s="5" t="s">
        <v>4968</v>
      </c>
      <c r="E1240" s="6" t="s">
        <v>4969</v>
      </c>
      <c r="F1240" s="7" t="s">
        <v>21</v>
      </c>
      <c r="G1240" s="5" t="s">
        <v>22</v>
      </c>
      <c r="H1240" s="8"/>
      <c r="I1240" s="9"/>
      <c r="J1240" s="9" t="s">
        <v>23</v>
      </c>
      <c r="K1240" s="8"/>
      <c r="L1240" s="9"/>
      <c r="M1240" s="10"/>
      <c r="N1240" s="11" t="s">
        <v>4970</v>
      </c>
      <c r="O1240" s="12" t="s">
        <v>26</v>
      </c>
    </row>
    <row r="1241" spans="1:15">
      <c r="A1241" s="4">
        <v>1237</v>
      </c>
      <c r="B1241" s="5" t="s">
        <v>4845</v>
      </c>
      <c r="C1241" s="5" t="s">
        <v>4971</v>
      </c>
      <c r="D1241" s="5" t="s">
        <v>4972</v>
      </c>
      <c r="E1241" s="6" t="s">
        <v>4973</v>
      </c>
      <c r="F1241" s="7" t="s">
        <v>21</v>
      </c>
      <c r="G1241" s="5" t="s">
        <v>22</v>
      </c>
      <c r="H1241" s="8"/>
      <c r="I1241" s="9"/>
      <c r="J1241" s="9" t="s">
        <v>23</v>
      </c>
      <c r="K1241" s="8"/>
      <c r="L1241" s="9"/>
      <c r="M1241" s="10" t="s">
        <v>4974</v>
      </c>
      <c r="N1241" s="11" t="s">
        <v>4975</v>
      </c>
      <c r="O1241" s="12" t="s">
        <v>26</v>
      </c>
    </row>
    <row r="1242" spans="1:15">
      <c r="A1242" s="4">
        <v>1238</v>
      </c>
      <c r="B1242" s="5" t="s">
        <v>4845</v>
      </c>
      <c r="C1242" s="5" t="s">
        <v>4976</v>
      </c>
      <c r="D1242" s="5" t="s">
        <v>4977</v>
      </c>
      <c r="E1242" s="6" t="s">
        <v>4978</v>
      </c>
      <c r="F1242" s="7" t="s">
        <v>21</v>
      </c>
      <c r="G1242" s="5" t="s">
        <v>22</v>
      </c>
      <c r="H1242" s="8"/>
      <c r="I1242" s="9"/>
      <c r="J1242" s="9" t="s">
        <v>23</v>
      </c>
      <c r="K1242" s="8"/>
      <c r="L1242" s="9"/>
      <c r="M1242" s="10" t="s">
        <v>4979</v>
      </c>
      <c r="N1242" s="11" t="s">
        <v>4980</v>
      </c>
      <c r="O1242" s="12" t="s">
        <v>26</v>
      </c>
    </row>
    <row r="1243" spans="1:15">
      <c r="A1243" s="4">
        <v>1239</v>
      </c>
      <c r="B1243" s="5" t="s">
        <v>4845</v>
      </c>
      <c r="C1243" s="5" t="s">
        <v>4981</v>
      </c>
      <c r="D1243" s="5" t="s">
        <v>4982</v>
      </c>
      <c r="E1243" s="6" t="s">
        <v>4983</v>
      </c>
      <c r="F1243" s="7" t="s">
        <v>21</v>
      </c>
      <c r="G1243" s="5" t="s">
        <v>22</v>
      </c>
      <c r="H1243" s="8"/>
      <c r="I1243" s="9"/>
      <c r="J1243" s="9" t="s">
        <v>23</v>
      </c>
      <c r="K1243" s="8"/>
      <c r="L1243" s="9"/>
      <c r="M1243" s="10" t="s">
        <v>4984</v>
      </c>
      <c r="N1243" s="11" t="s">
        <v>4985</v>
      </c>
      <c r="O1243" s="12" t="s">
        <v>26</v>
      </c>
    </row>
    <row r="1244" spans="1:15">
      <c r="A1244" s="4">
        <v>1240</v>
      </c>
      <c r="B1244" s="5" t="s">
        <v>4845</v>
      </c>
      <c r="C1244" s="5" t="s">
        <v>4872</v>
      </c>
      <c r="D1244" s="5" t="s">
        <v>4986</v>
      </c>
      <c r="E1244" s="6" t="s">
        <v>4987</v>
      </c>
      <c r="F1244" s="7" t="s">
        <v>21</v>
      </c>
      <c r="G1244" s="5" t="s">
        <v>29</v>
      </c>
      <c r="H1244" s="8"/>
      <c r="I1244" s="9"/>
      <c r="J1244" s="9" t="s">
        <v>23</v>
      </c>
      <c r="K1244" s="8"/>
      <c r="L1244" s="9"/>
      <c r="M1244" s="10"/>
      <c r="N1244" s="11" t="s">
        <v>4988</v>
      </c>
      <c r="O1244" s="12" t="s">
        <v>26</v>
      </c>
    </row>
    <row r="1245" spans="1:15">
      <c r="A1245" s="4">
        <v>1241</v>
      </c>
      <c r="B1245" s="5" t="s">
        <v>4845</v>
      </c>
      <c r="C1245" s="5" t="s">
        <v>4872</v>
      </c>
      <c r="D1245" s="5" t="s">
        <v>4989</v>
      </c>
      <c r="E1245" s="6" t="s">
        <v>4990</v>
      </c>
      <c r="F1245" s="7" t="s">
        <v>21</v>
      </c>
      <c r="G1245" s="5" t="s">
        <v>29</v>
      </c>
      <c r="H1245" s="8"/>
      <c r="I1245" s="9"/>
      <c r="J1245" s="9" t="s">
        <v>23</v>
      </c>
      <c r="K1245" s="8"/>
      <c r="L1245" s="9"/>
      <c r="M1245" s="10"/>
      <c r="N1245" s="11" t="s">
        <v>4991</v>
      </c>
      <c r="O1245" s="12" t="s">
        <v>26</v>
      </c>
    </row>
    <row r="1246" spans="1:15">
      <c r="A1246" s="4">
        <v>1242</v>
      </c>
      <c r="B1246" s="5" t="s">
        <v>4845</v>
      </c>
      <c r="C1246" s="5" t="s">
        <v>4905</v>
      </c>
      <c r="D1246" s="5" t="s">
        <v>4992</v>
      </c>
      <c r="E1246" s="6" t="s">
        <v>4993</v>
      </c>
      <c r="F1246" s="7" t="s">
        <v>21</v>
      </c>
      <c r="G1246" s="5" t="s">
        <v>29</v>
      </c>
      <c r="H1246" s="8"/>
      <c r="I1246" s="9"/>
      <c r="J1246" s="9" t="s">
        <v>23</v>
      </c>
      <c r="K1246" s="8"/>
      <c r="L1246" s="9"/>
      <c r="M1246" s="10"/>
      <c r="N1246" s="11" t="s">
        <v>4994</v>
      </c>
      <c r="O1246" s="12" t="s">
        <v>26</v>
      </c>
    </row>
    <row r="1247" spans="1:15">
      <c r="A1247" s="4">
        <v>1243</v>
      </c>
      <c r="B1247" s="5" t="s">
        <v>4845</v>
      </c>
      <c r="C1247" s="5" t="s">
        <v>4855</v>
      </c>
      <c r="D1247" s="5" t="s">
        <v>4995</v>
      </c>
      <c r="E1247" s="6" t="s">
        <v>4996</v>
      </c>
      <c r="F1247" s="7" t="s">
        <v>21</v>
      </c>
      <c r="G1247" s="5" t="s">
        <v>22</v>
      </c>
      <c r="H1247" s="8"/>
      <c r="I1247" s="9"/>
      <c r="J1247" s="9" t="s">
        <v>23</v>
      </c>
      <c r="K1247" s="8"/>
      <c r="L1247" s="9"/>
      <c r="M1247" s="10" t="s">
        <v>4997</v>
      </c>
      <c r="N1247" s="11" t="s">
        <v>4998</v>
      </c>
      <c r="O1247" s="12" t="s">
        <v>26</v>
      </c>
    </row>
    <row r="1248" spans="1:15">
      <c r="A1248" s="4">
        <v>1244</v>
      </c>
      <c r="B1248" s="5" t="s">
        <v>4845</v>
      </c>
      <c r="C1248" s="5" t="s">
        <v>4916</v>
      </c>
      <c r="D1248" s="5" t="s">
        <v>4999</v>
      </c>
      <c r="E1248" s="6" t="s">
        <v>5000</v>
      </c>
      <c r="F1248" s="7" t="s">
        <v>21</v>
      </c>
      <c r="G1248" s="5" t="s">
        <v>22</v>
      </c>
      <c r="H1248" s="8"/>
      <c r="I1248" s="9"/>
      <c r="J1248" s="9" t="s">
        <v>23</v>
      </c>
      <c r="K1248" s="8"/>
      <c r="L1248" s="9"/>
      <c r="M1248" s="10"/>
      <c r="N1248" s="11" t="s">
        <v>5001</v>
      </c>
      <c r="O1248" s="12" t="s">
        <v>26</v>
      </c>
    </row>
    <row r="1249" spans="1:15">
      <c r="A1249" s="4">
        <v>1245</v>
      </c>
      <c r="B1249" s="5" t="s">
        <v>4845</v>
      </c>
      <c r="C1249" s="5" t="s">
        <v>5002</v>
      </c>
      <c r="D1249" s="5" t="s">
        <v>5003</v>
      </c>
      <c r="E1249" s="6" t="s">
        <v>5004</v>
      </c>
      <c r="F1249" s="7" t="s">
        <v>21</v>
      </c>
      <c r="G1249" s="5" t="s">
        <v>156</v>
      </c>
      <c r="H1249" s="8"/>
      <c r="I1249" s="9"/>
      <c r="J1249" s="9" t="s">
        <v>23</v>
      </c>
      <c r="K1249" s="8"/>
      <c r="L1249" s="9"/>
      <c r="M1249" s="10" t="s">
        <v>5005</v>
      </c>
      <c r="N1249" s="11" t="s">
        <v>5006</v>
      </c>
      <c r="O1249" s="12" t="s">
        <v>26</v>
      </c>
    </row>
    <row r="1250" spans="1:15">
      <c r="A1250" s="4">
        <v>1246</v>
      </c>
      <c r="B1250" s="5" t="s">
        <v>4845</v>
      </c>
      <c r="C1250" s="5" t="s">
        <v>4872</v>
      </c>
      <c r="D1250" s="5" t="s">
        <v>5007</v>
      </c>
      <c r="E1250" s="6" t="s">
        <v>5008</v>
      </c>
      <c r="F1250" s="7" t="s">
        <v>21</v>
      </c>
      <c r="G1250" s="5" t="s">
        <v>29</v>
      </c>
      <c r="H1250" s="8"/>
      <c r="I1250" s="9"/>
      <c r="J1250" s="9" t="s">
        <v>23</v>
      </c>
      <c r="K1250" s="8"/>
      <c r="L1250" s="9"/>
      <c r="M1250" s="10" t="s">
        <v>5009</v>
      </c>
      <c r="N1250" s="11" t="s">
        <v>5010</v>
      </c>
      <c r="O1250" s="12" t="s">
        <v>26</v>
      </c>
    </row>
    <row r="1251" spans="1:15">
      <c r="A1251" s="4">
        <v>1247</v>
      </c>
      <c r="B1251" s="5" t="s">
        <v>4845</v>
      </c>
      <c r="C1251" s="5" t="s">
        <v>4876</v>
      </c>
      <c r="D1251" s="5" t="s">
        <v>5011</v>
      </c>
      <c r="E1251" s="6" t="s">
        <v>5012</v>
      </c>
      <c r="F1251" s="7" t="s">
        <v>21</v>
      </c>
      <c r="G1251" s="5" t="s">
        <v>29</v>
      </c>
      <c r="H1251" s="8"/>
      <c r="I1251" s="9"/>
      <c r="J1251" s="9" t="s">
        <v>23</v>
      </c>
      <c r="K1251" s="8"/>
      <c r="L1251" s="9"/>
      <c r="M1251" s="10"/>
      <c r="N1251" s="11" t="s">
        <v>5013</v>
      </c>
      <c r="O1251" s="12" t="s">
        <v>26</v>
      </c>
    </row>
    <row r="1252" spans="1:15">
      <c r="A1252" s="4">
        <v>1248</v>
      </c>
      <c r="B1252" s="5" t="s">
        <v>4845</v>
      </c>
      <c r="C1252" s="5" t="s">
        <v>4916</v>
      </c>
      <c r="D1252" s="5" t="s">
        <v>5014</v>
      </c>
      <c r="E1252" s="6" t="s">
        <v>5015</v>
      </c>
      <c r="F1252" s="7" t="s">
        <v>21</v>
      </c>
      <c r="G1252" s="5" t="s">
        <v>29</v>
      </c>
      <c r="H1252" s="8"/>
      <c r="I1252" s="9"/>
      <c r="J1252" s="9" t="s">
        <v>23</v>
      </c>
      <c r="K1252" s="8"/>
      <c r="L1252" s="9"/>
      <c r="M1252" s="10" t="s">
        <v>5016</v>
      </c>
      <c r="N1252" s="11" t="s">
        <v>5017</v>
      </c>
      <c r="O1252" s="12" t="s">
        <v>26</v>
      </c>
    </row>
    <row r="1253" spans="1:15">
      <c r="A1253" s="4">
        <v>1249</v>
      </c>
      <c r="B1253" s="5" t="s">
        <v>4845</v>
      </c>
      <c r="C1253" s="5" t="s">
        <v>5018</v>
      </c>
      <c r="D1253" s="5" t="s">
        <v>5019</v>
      </c>
      <c r="E1253" s="6" t="s">
        <v>5020</v>
      </c>
      <c r="F1253" s="7" t="s">
        <v>21</v>
      </c>
      <c r="G1253" s="5" t="s">
        <v>156</v>
      </c>
      <c r="H1253" s="8"/>
      <c r="I1253" s="9"/>
      <c r="J1253" s="9" t="s">
        <v>23</v>
      </c>
      <c r="K1253" s="8"/>
      <c r="L1253" s="9"/>
      <c r="M1253" s="10"/>
      <c r="N1253" s="11" t="s">
        <v>5021</v>
      </c>
      <c r="O1253" s="12" t="s">
        <v>26</v>
      </c>
    </row>
    <row r="1254" spans="1:15">
      <c r="A1254" s="4">
        <v>1250</v>
      </c>
      <c r="B1254" s="5" t="s">
        <v>4845</v>
      </c>
      <c r="C1254" s="5" t="s">
        <v>4916</v>
      </c>
      <c r="D1254" s="5" t="s">
        <v>5022</v>
      </c>
      <c r="E1254" s="6" t="s">
        <v>5023</v>
      </c>
      <c r="F1254" s="7" t="s">
        <v>21</v>
      </c>
      <c r="G1254" s="5" t="s">
        <v>29</v>
      </c>
      <c r="H1254" s="8"/>
      <c r="I1254" s="9"/>
      <c r="J1254" s="9" t="s">
        <v>23</v>
      </c>
      <c r="K1254" s="8"/>
      <c r="L1254" s="9"/>
      <c r="M1254" s="10" t="s">
        <v>5024</v>
      </c>
      <c r="N1254" s="11" t="s">
        <v>5025</v>
      </c>
      <c r="O1254" s="12" t="s">
        <v>26</v>
      </c>
    </row>
    <row r="1255" spans="1:15">
      <c r="A1255" s="4">
        <v>1251</v>
      </c>
      <c r="B1255" s="5" t="s">
        <v>4845</v>
      </c>
      <c r="C1255" s="5" t="s">
        <v>4925</v>
      </c>
      <c r="D1255" s="5" t="s">
        <v>5026</v>
      </c>
      <c r="E1255" s="6" t="s">
        <v>5027</v>
      </c>
      <c r="F1255" s="7" t="s">
        <v>21</v>
      </c>
      <c r="G1255" s="5" t="s">
        <v>22</v>
      </c>
      <c r="H1255" s="8"/>
      <c r="I1255" s="9"/>
      <c r="J1255" s="9" t="s">
        <v>23</v>
      </c>
      <c r="K1255" s="8"/>
      <c r="L1255" s="9"/>
      <c r="M1255" s="10" t="s">
        <v>5028</v>
      </c>
      <c r="N1255" s="11" t="s">
        <v>5029</v>
      </c>
      <c r="O1255" s="12" t="s">
        <v>26</v>
      </c>
    </row>
    <row r="1256" spans="1:15">
      <c r="A1256" s="4">
        <v>1252</v>
      </c>
      <c r="B1256" s="5" t="s">
        <v>4845</v>
      </c>
      <c r="C1256" s="5" t="s">
        <v>4925</v>
      </c>
      <c r="D1256" s="5" t="s">
        <v>5030</v>
      </c>
      <c r="E1256" s="6" t="s">
        <v>5031</v>
      </c>
      <c r="F1256" s="7" t="s">
        <v>21</v>
      </c>
      <c r="G1256" s="5" t="s">
        <v>22</v>
      </c>
      <c r="H1256" s="8"/>
      <c r="I1256" s="9"/>
      <c r="J1256" s="9" t="s">
        <v>23</v>
      </c>
      <c r="K1256" s="8"/>
      <c r="L1256" s="9"/>
      <c r="M1256" s="10" t="s">
        <v>5032</v>
      </c>
      <c r="N1256" s="11" t="s">
        <v>5033</v>
      </c>
      <c r="O1256" s="12" t="s">
        <v>26</v>
      </c>
    </row>
    <row r="1257" spans="1:15">
      <c r="A1257" s="4">
        <v>1253</v>
      </c>
      <c r="B1257" s="5" t="s">
        <v>4845</v>
      </c>
      <c r="C1257" s="5" t="s">
        <v>4925</v>
      </c>
      <c r="D1257" s="5" t="s">
        <v>5034</v>
      </c>
      <c r="E1257" s="6" t="s">
        <v>5035</v>
      </c>
      <c r="F1257" s="7" t="s">
        <v>21</v>
      </c>
      <c r="G1257" s="5" t="s">
        <v>22</v>
      </c>
      <c r="H1257" s="8"/>
      <c r="I1257" s="9"/>
      <c r="J1257" s="9" t="s">
        <v>23</v>
      </c>
      <c r="K1257" s="8"/>
      <c r="L1257" s="9"/>
      <c r="M1257" s="10" t="s">
        <v>3611</v>
      </c>
      <c r="N1257" s="11" t="s">
        <v>5036</v>
      </c>
      <c r="O1257" s="12" t="s">
        <v>26</v>
      </c>
    </row>
    <row r="1258" spans="1:15">
      <c r="A1258" s="4">
        <v>1254</v>
      </c>
      <c r="B1258" s="5" t="s">
        <v>4845</v>
      </c>
      <c r="C1258" s="5" t="s">
        <v>4976</v>
      </c>
      <c r="D1258" s="5" t="s">
        <v>5037</v>
      </c>
      <c r="E1258" s="6" t="s">
        <v>5038</v>
      </c>
      <c r="F1258" s="7" t="s">
        <v>21</v>
      </c>
      <c r="G1258" s="5" t="s">
        <v>22</v>
      </c>
      <c r="H1258" s="8"/>
      <c r="I1258" s="9"/>
      <c r="J1258" s="9" t="s">
        <v>23</v>
      </c>
      <c r="K1258" s="8"/>
      <c r="L1258" s="9"/>
      <c r="M1258" s="10"/>
      <c r="N1258" s="11" t="s">
        <v>5039</v>
      </c>
      <c r="O1258" s="12" t="s">
        <v>26</v>
      </c>
    </row>
    <row r="1259" spans="1:15">
      <c r="A1259" s="4">
        <v>1255</v>
      </c>
      <c r="B1259" s="5" t="s">
        <v>4845</v>
      </c>
      <c r="C1259" s="5" t="s">
        <v>5040</v>
      </c>
      <c r="D1259" s="5" t="s">
        <v>5041</v>
      </c>
      <c r="E1259" s="6" t="s">
        <v>5042</v>
      </c>
      <c r="F1259" s="7" t="s">
        <v>21</v>
      </c>
      <c r="G1259" s="5" t="s">
        <v>29</v>
      </c>
      <c r="H1259" s="8"/>
      <c r="I1259" s="9"/>
      <c r="J1259" s="9" t="s">
        <v>23</v>
      </c>
      <c r="K1259" s="8"/>
      <c r="L1259" s="9"/>
      <c r="M1259" s="10"/>
      <c r="N1259" s="11" t="s">
        <v>5043</v>
      </c>
      <c r="O1259" s="12" t="s">
        <v>26</v>
      </c>
    </row>
    <row r="1260" spans="1:15">
      <c r="A1260" s="4">
        <v>1256</v>
      </c>
      <c r="B1260" s="5" t="s">
        <v>4845</v>
      </c>
      <c r="C1260" s="5" t="s">
        <v>4901</v>
      </c>
      <c r="D1260" s="5" t="s">
        <v>5044</v>
      </c>
      <c r="E1260" s="6" t="s">
        <v>5045</v>
      </c>
      <c r="F1260" s="7" t="s">
        <v>21</v>
      </c>
      <c r="G1260" s="5" t="s">
        <v>29</v>
      </c>
      <c r="H1260" s="8"/>
      <c r="I1260" s="9"/>
      <c r="J1260" s="9" t="s">
        <v>23</v>
      </c>
      <c r="K1260" s="8"/>
      <c r="L1260" s="9"/>
      <c r="M1260" s="10"/>
      <c r="N1260" s="11" t="s">
        <v>5046</v>
      </c>
      <c r="O1260" s="12" t="s">
        <v>26</v>
      </c>
    </row>
    <row r="1261" spans="1:15">
      <c r="A1261" s="4">
        <v>1257</v>
      </c>
      <c r="B1261" s="5" t="s">
        <v>4845</v>
      </c>
      <c r="C1261" s="5" t="s">
        <v>4905</v>
      </c>
      <c r="D1261" s="5" t="s">
        <v>5047</v>
      </c>
      <c r="E1261" s="6" t="s">
        <v>5048</v>
      </c>
      <c r="F1261" s="7" t="s">
        <v>21</v>
      </c>
      <c r="G1261" s="5" t="s">
        <v>29</v>
      </c>
      <c r="H1261" s="8"/>
      <c r="I1261" s="9"/>
      <c r="J1261" s="9" t="s">
        <v>23</v>
      </c>
      <c r="K1261" s="8"/>
      <c r="L1261" s="9"/>
      <c r="M1261" s="10"/>
      <c r="N1261" s="11" t="s">
        <v>5049</v>
      </c>
      <c r="O1261" s="12" t="s">
        <v>26</v>
      </c>
    </row>
    <row r="1262" spans="1:15">
      <c r="A1262" s="4">
        <v>1258</v>
      </c>
      <c r="B1262" s="5" t="s">
        <v>4845</v>
      </c>
      <c r="C1262" s="5" t="s">
        <v>4850</v>
      </c>
      <c r="D1262" s="5" t="s">
        <v>5050</v>
      </c>
      <c r="E1262" s="6" t="s">
        <v>5051</v>
      </c>
      <c r="F1262" s="7" t="s">
        <v>21</v>
      </c>
      <c r="G1262" s="5" t="s">
        <v>22</v>
      </c>
      <c r="H1262" s="8"/>
      <c r="I1262" s="9"/>
      <c r="J1262" s="9" t="s">
        <v>23</v>
      </c>
      <c r="K1262" s="8"/>
      <c r="L1262" s="9"/>
      <c r="M1262" s="10"/>
      <c r="N1262" s="11" t="s">
        <v>5052</v>
      </c>
      <c r="O1262" s="12" t="s">
        <v>26</v>
      </c>
    </row>
    <row r="1263" spans="1:15">
      <c r="A1263" s="4">
        <v>1259</v>
      </c>
      <c r="B1263" s="5" t="s">
        <v>4845</v>
      </c>
      <c r="C1263" s="5" t="s">
        <v>5053</v>
      </c>
      <c r="D1263" s="5" t="s">
        <v>5054</v>
      </c>
      <c r="E1263" s="6" t="s">
        <v>5055</v>
      </c>
      <c r="F1263" s="7" t="s">
        <v>21</v>
      </c>
      <c r="G1263" s="5" t="s">
        <v>22</v>
      </c>
      <c r="H1263" s="8"/>
      <c r="I1263" s="9"/>
      <c r="J1263" s="9" t="s">
        <v>23</v>
      </c>
      <c r="K1263" s="8"/>
      <c r="L1263" s="9"/>
      <c r="M1263" s="10" t="s">
        <v>3611</v>
      </c>
      <c r="N1263" s="11" t="s">
        <v>5056</v>
      </c>
      <c r="O1263" s="12" t="s">
        <v>26</v>
      </c>
    </row>
    <row r="1264" spans="1:15">
      <c r="A1264" s="4">
        <v>1260</v>
      </c>
      <c r="B1264" s="5" t="s">
        <v>4845</v>
      </c>
      <c r="C1264" s="5" t="s">
        <v>5057</v>
      </c>
      <c r="D1264" s="5" t="s">
        <v>5058</v>
      </c>
      <c r="E1264" s="6" t="s">
        <v>5059</v>
      </c>
      <c r="F1264" s="7" t="s">
        <v>21</v>
      </c>
      <c r="G1264" s="5" t="s">
        <v>22</v>
      </c>
      <c r="H1264" s="8"/>
      <c r="I1264" s="9"/>
      <c r="J1264" s="9" t="s">
        <v>23</v>
      </c>
      <c r="K1264" s="8"/>
      <c r="L1264" s="9"/>
      <c r="M1264" s="10" t="s">
        <v>5060</v>
      </c>
      <c r="N1264" s="11" t="s">
        <v>5061</v>
      </c>
      <c r="O1264" s="12" t="s">
        <v>26</v>
      </c>
    </row>
    <row r="1265" spans="1:15">
      <c r="A1265" s="4">
        <v>1261</v>
      </c>
      <c r="B1265" s="5" t="s">
        <v>4845</v>
      </c>
      <c r="C1265" s="5" t="s">
        <v>5002</v>
      </c>
      <c r="D1265" s="5" t="s">
        <v>5062</v>
      </c>
      <c r="E1265" s="6" t="s">
        <v>5063</v>
      </c>
      <c r="F1265" s="7" t="s">
        <v>21</v>
      </c>
      <c r="G1265" s="5" t="s">
        <v>29</v>
      </c>
      <c r="H1265" s="8"/>
      <c r="I1265" s="9"/>
      <c r="J1265" s="9" t="s">
        <v>23</v>
      </c>
      <c r="K1265" s="8"/>
      <c r="L1265" s="9"/>
      <c r="M1265" s="10"/>
      <c r="N1265" s="11" t="s">
        <v>5064</v>
      </c>
      <c r="O1265" s="12" t="s">
        <v>26</v>
      </c>
    </row>
    <row r="1266" spans="1:15">
      <c r="A1266" s="4">
        <v>1262</v>
      </c>
      <c r="B1266" s="5" t="s">
        <v>4845</v>
      </c>
      <c r="C1266" s="5" t="s">
        <v>5065</v>
      </c>
      <c r="D1266" s="5" t="s">
        <v>5066</v>
      </c>
      <c r="E1266" s="6" t="s">
        <v>5067</v>
      </c>
      <c r="F1266" s="7" t="s">
        <v>21</v>
      </c>
      <c r="G1266" s="5" t="s">
        <v>29</v>
      </c>
      <c r="H1266" s="8"/>
      <c r="I1266" s="9"/>
      <c r="J1266" s="9" t="s">
        <v>23</v>
      </c>
      <c r="K1266" s="8"/>
      <c r="L1266" s="9"/>
      <c r="M1266" s="10"/>
      <c r="N1266" s="11" t="s">
        <v>5068</v>
      </c>
      <c r="O1266" s="12" t="s">
        <v>26</v>
      </c>
    </row>
    <row r="1267" spans="1:15">
      <c r="A1267" s="4">
        <v>1263</v>
      </c>
      <c r="B1267" s="5" t="s">
        <v>4845</v>
      </c>
      <c r="C1267" s="5" t="s">
        <v>4981</v>
      </c>
      <c r="D1267" s="5" t="s">
        <v>5069</v>
      </c>
      <c r="E1267" s="6" t="s">
        <v>5070</v>
      </c>
      <c r="F1267" s="7" t="s">
        <v>21</v>
      </c>
      <c r="G1267" s="5" t="s">
        <v>22</v>
      </c>
      <c r="H1267" s="8"/>
      <c r="I1267" s="9"/>
      <c r="J1267" s="9" t="s">
        <v>23</v>
      </c>
      <c r="K1267" s="8"/>
      <c r="L1267" s="9"/>
      <c r="M1267" s="10"/>
      <c r="N1267" s="11" t="s">
        <v>5071</v>
      </c>
      <c r="O1267" s="12" t="s">
        <v>26</v>
      </c>
    </row>
    <row r="1268" spans="1:15">
      <c r="A1268" s="4">
        <v>1264</v>
      </c>
      <c r="B1268" s="5" t="s">
        <v>4845</v>
      </c>
      <c r="C1268" s="5" t="s">
        <v>4889</v>
      </c>
      <c r="D1268" s="5" t="s">
        <v>5072</v>
      </c>
      <c r="E1268" s="6" t="s">
        <v>5073</v>
      </c>
      <c r="F1268" s="7" t="s">
        <v>21</v>
      </c>
      <c r="G1268" s="5" t="s">
        <v>29</v>
      </c>
      <c r="H1268" s="8"/>
      <c r="I1268" s="9"/>
      <c r="J1268" s="9" t="s">
        <v>23</v>
      </c>
      <c r="K1268" s="8"/>
      <c r="L1268" s="9"/>
      <c r="M1268" s="10"/>
      <c r="N1268" s="11" t="s">
        <v>5074</v>
      </c>
      <c r="O1268" s="12" t="s">
        <v>26</v>
      </c>
    </row>
    <row r="1269" spans="1:15">
      <c r="A1269" s="4">
        <v>1265</v>
      </c>
      <c r="B1269" s="5" t="s">
        <v>5075</v>
      </c>
      <c r="C1269" s="5" t="s">
        <v>5076</v>
      </c>
      <c r="D1269" s="5" t="s">
        <v>5077</v>
      </c>
      <c r="E1269" s="6" t="s">
        <v>5078</v>
      </c>
      <c r="F1269" s="7" t="s">
        <v>21</v>
      </c>
      <c r="G1269" s="5" t="s">
        <v>29</v>
      </c>
      <c r="H1269" s="8"/>
      <c r="I1269" s="9"/>
      <c r="J1269" s="9" t="s">
        <v>23</v>
      </c>
      <c r="K1269" s="8"/>
      <c r="L1269" s="9"/>
      <c r="M1269" s="10" t="s">
        <v>5079</v>
      </c>
      <c r="N1269" s="11" t="s">
        <v>5080</v>
      </c>
      <c r="O1269" s="12" t="s">
        <v>26</v>
      </c>
    </row>
    <row r="1270" spans="1:15">
      <c r="A1270" s="4">
        <v>1266</v>
      </c>
      <c r="B1270" s="5" t="s">
        <v>5075</v>
      </c>
      <c r="C1270" s="5" t="s">
        <v>5081</v>
      </c>
      <c r="D1270" s="5" t="s">
        <v>5082</v>
      </c>
      <c r="E1270" s="6" t="s">
        <v>5083</v>
      </c>
      <c r="F1270" s="7" t="s">
        <v>21</v>
      </c>
      <c r="G1270" s="5" t="s">
        <v>22</v>
      </c>
      <c r="H1270" s="8"/>
      <c r="I1270" s="9"/>
      <c r="J1270" s="9" t="s">
        <v>23</v>
      </c>
      <c r="K1270" s="8"/>
      <c r="L1270" s="9"/>
      <c r="M1270" s="10" t="s">
        <v>5084</v>
      </c>
      <c r="N1270" s="11" t="s">
        <v>5085</v>
      </c>
      <c r="O1270" s="12" t="s">
        <v>26</v>
      </c>
    </row>
    <row r="1271" spans="1:15">
      <c r="A1271" s="4">
        <v>1267</v>
      </c>
      <c r="B1271" s="5" t="s">
        <v>5075</v>
      </c>
      <c r="C1271" s="5" t="s">
        <v>5081</v>
      </c>
      <c r="D1271" s="5" t="s">
        <v>5086</v>
      </c>
      <c r="E1271" s="6" t="s">
        <v>5087</v>
      </c>
      <c r="F1271" s="7" t="s">
        <v>21</v>
      </c>
      <c r="G1271" s="5" t="s">
        <v>29</v>
      </c>
      <c r="H1271" s="8"/>
      <c r="I1271" s="9"/>
      <c r="J1271" s="9" t="s">
        <v>23</v>
      </c>
      <c r="K1271" s="8"/>
      <c r="L1271" s="9"/>
      <c r="M1271" s="10" t="s">
        <v>5088</v>
      </c>
      <c r="N1271" s="11" t="s">
        <v>5089</v>
      </c>
      <c r="O1271" s="12" t="s">
        <v>26</v>
      </c>
    </row>
    <row r="1272" spans="1:15">
      <c r="A1272" s="4">
        <v>1268</v>
      </c>
      <c r="B1272" s="5" t="s">
        <v>5075</v>
      </c>
      <c r="C1272" s="5" t="s">
        <v>5081</v>
      </c>
      <c r="D1272" s="5" t="s">
        <v>5090</v>
      </c>
      <c r="E1272" s="6" t="s">
        <v>5091</v>
      </c>
      <c r="F1272" s="7" t="s">
        <v>21</v>
      </c>
      <c r="G1272" s="5" t="s">
        <v>29</v>
      </c>
      <c r="H1272" s="8"/>
      <c r="I1272" s="9"/>
      <c r="J1272" s="9" t="s">
        <v>23</v>
      </c>
      <c r="K1272" s="8"/>
      <c r="L1272" s="9"/>
      <c r="M1272" s="10" t="s">
        <v>5092</v>
      </c>
      <c r="N1272" s="11" t="s">
        <v>5093</v>
      </c>
      <c r="O1272" s="12" t="s">
        <v>26</v>
      </c>
    </row>
    <row r="1273" spans="1:15">
      <c r="A1273" s="4">
        <v>1269</v>
      </c>
      <c r="B1273" s="5" t="s">
        <v>5075</v>
      </c>
      <c r="C1273" s="5" t="s">
        <v>5081</v>
      </c>
      <c r="D1273" s="5" t="s">
        <v>5094</v>
      </c>
      <c r="E1273" s="6" t="s">
        <v>5095</v>
      </c>
      <c r="F1273" s="7" t="s">
        <v>21</v>
      </c>
      <c r="G1273" s="5" t="s">
        <v>29</v>
      </c>
      <c r="H1273" s="8"/>
      <c r="I1273" s="9"/>
      <c r="J1273" s="9" t="s">
        <v>23</v>
      </c>
      <c r="K1273" s="8"/>
      <c r="L1273" s="9"/>
      <c r="M1273" s="10" t="s">
        <v>3611</v>
      </c>
      <c r="N1273" s="11" t="s">
        <v>5096</v>
      </c>
      <c r="O1273" s="12" t="s">
        <v>26</v>
      </c>
    </row>
    <row r="1274" spans="1:15">
      <c r="A1274" s="4">
        <v>1270</v>
      </c>
      <c r="B1274" s="5" t="s">
        <v>5075</v>
      </c>
      <c r="C1274" s="5" t="s">
        <v>5097</v>
      </c>
      <c r="D1274" s="5" t="s">
        <v>5098</v>
      </c>
      <c r="E1274" s="6" t="s">
        <v>5099</v>
      </c>
      <c r="F1274" s="7" t="s">
        <v>21</v>
      </c>
      <c r="G1274" s="5" t="s">
        <v>22</v>
      </c>
      <c r="H1274" s="8"/>
      <c r="I1274" s="9"/>
      <c r="J1274" s="9" t="s">
        <v>23</v>
      </c>
      <c r="K1274" s="8"/>
      <c r="L1274" s="9"/>
      <c r="M1274" s="10" t="s">
        <v>3611</v>
      </c>
      <c r="N1274" s="11" t="s">
        <v>5100</v>
      </c>
      <c r="O1274" s="12" t="s">
        <v>26</v>
      </c>
    </row>
    <row r="1275" spans="1:15">
      <c r="A1275" s="4">
        <v>1271</v>
      </c>
      <c r="B1275" s="5" t="s">
        <v>5075</v>
      </c>
      <c r="C1275" s="5" t="s">
        <v>5081</v>
      </c>
      <c r="D1275" s="5" t="s">
        <v>5101</v>
      </c>
      <c r="E1275" s="6" t="s">
        <v>5102</v>
      </c>
      <c r="F1275" s="7" t="s">
        <v>21</v>
      </c>
      <c r="G1275" s="5" t="s">
        <v>156</v>
      </c>
      <c r="H1275" s="8"/>
      <c r="I1275" s="9"/>
      <c r="J1275" s="9" t="s">
        <v>23</v>
      </c>
      <c r="K1275" s="8"/>
      <c r="L1275" s="9"/>
      <c r="M1275" s="10" t="s">
        <v>5103</v>
      </c>
      <c r="N1275" s="11" t="s">
        <v>5104</v>
      </c>
      <c r="O1275" s="12" t="s">
        <v>26</v>
      </c>
    </row>
    <row r="1276" spans="1:15">
      <c r="A1276" s="4">
        <v>1272</v>
      </c>
      <c r="B1276" s="5" t="s">
        <v>5075</v>
      </c>
      <c r="C1276" s="5" t="s">
        <v>5081</v>
      </c>
      <c r="D1276" s="5" t="s">
        <v>5105</v>
      </c>
      <c r="E1276" s="6" t="s">
        <v>5106</v>
      </c>
      <c r="F1276" s="7" t="s">
        <v>21</v>
      </c>
      <c r="G1276" s="5" t="s">
        <v>22</v>
      </c>
      <c r="H1276" s="8"/>
      <c r="I1276" s="9"/>
      <c r="J1276" s="9" t="s">
        <v>23</v>
      </c>
      <c r="K1276" s="8"/>
      <c r="L1276" s="9"/>
      <c r="M1276" s="10" t="s">
        <v>3611</v>
      </c>
      <c r="N1276" s="11" t="s">
        <v>5107</v>
      </c>
      <c r="O1276" s="12" t="s">
        <v>26</v>
      </c>
    </row>
    <row r="1277" spans="1:15">
      <c r="A1277" s="4">
        <v>1273</v>
      </c>
      <c r="B1277" s="5" t="s">
        <v>5075</v>
      </c>
      <c r="C1277" s="5" t="s">
        <v>5108</v>
      </c>
      <c r="D1277" s="5" t="s">
        <v>5109</v>
      </c>
      <c r="E1277" s="6" t="s">
        <v>5110</v>
      </c>
      <c r="F1277" s="7" t="s">
        <v>21</v>
      </c>
      <c r="G1277" s="5" t="s">
        <v>22</v>
      </c>
      <c r="H1277" s="8"/>
      <c r="I1277" s="9"/>
      <c r="J1277" s="9" t="s">
        <v>23</v>
      </c>
      <c r="K1277" s="8"/>
      <c r="L1277" s="9"/>
      <c r="M1277" s="10" t="s">
        <v>5111</v>
      </c>
      <c r="N1277" s="11" t="s">
        <v>5112</v>
      </c>
      <c r="O1277" s="12" t="s">
        <v>26</v>
      </c>
    </row>
    <row r="1278" spans="1:15">
      <c r="A1278" s="4">
        <v>1274</v>
      </c>
      <c r="B1278" s="5" t="s">
        <v>5113</v>
      </c>
      <c r="C1278" s="5" t="s">
        <v>5114</v>
      </c>
      <c r="D1278" s="5" t="s">
        <v>5115</v>
      </c>
      <c r="E1278" s="6" t="s">
        <v>5116</v>
      </c>
      <c r="F1278" s="7" t="s">
        <v>21</v>
      </c>
      <c r="G1278" s="5" t="s">
        <v>22</v>
      </c>
      <c r="H1278" s="8"/>
      <c r="I1278" s="9"/>
      <c r="J1278" s="9" t="s">
        <v>23</v>
      </c>
      <c r="K1278" s="8"/>
      <c r="L1278" s="9"/>
      <c r="M1278" s="10" t="s">
        <v>5117</v>
      </c>
      <c r="N1278" s="11" t="s">
        <v>5118</v>
      </c>
      <c r="O1278" s="12" t="s">
        <v>26</v>
      </c>
    </row>
    <row r="1279" spans="1:15">
      <c r="A1279" s="4">
        <v>1275</v>
      </c>
      <c r="B1279" s="5" t="s">
        <v>5113</v>
      </c>
      <c r="C1279" s="5" t="s">
        <v>5114</v>
      </c>
      <c r="D1279" s="5" t="s">
        <v>5119</v>
      </c>
      <c r="E1279" s="6" t="s">
        <v>5120</v>
      </c>
      <c r="F1279" s="7" t="s">
        <v>21</v>
      </c>
      <c r="G1279" s="5" t="s">
        <v>29</v>
      </c>
      <c r="H1279" s="8"/>
      <c r="I1279" s="9"/>
      <c r="J1279" s="9" t="s">
        <v>23</v>
      </c>
      <c r="K1279" s="8"/>
      <c r="L1279" s="9"/>
      <c r="M1279" s="10"/>
      <c r="N1279" s="11" t="s">
        <v>5121</v>
      </c>
      <c r="O1279" s="12" t="s">
        <v>26</v>
      </c>
    </row>
    <row r="1280" spans="1:15">
      <c r="A1280" s="4">
        <v>1276</v>
      </c>
      <c r="B1280" s="5" t="s">
        <v>5113</v>
      </c>
      <c r="C1280" s="5" t="s">
        <v>5122</v>
      </c>
      <c r="D1280" s="5" t="s">
        <v>5123</v>
      </c>
      <c r="E1280" s="6" t="s">
        <v>5124</v>
      </c>
      <c r="F1280" s="7" t="s">
        <v>21</v>
      </c>
      <c r="G1280" s="5" t="s">
        <v>29</v>
      </c>
      <c r="H1280" s="8"/>
      <c r="I1280" s="9"/>
      <c r="J1280" s="9" t="s">
        <v>23</v>
      </c>
      <c r="K1280" s="8"/>
      <c r="L1280" s="9"/>
      <c r="M1280" s="10" t="s">
        <v>5125</v>
      </c>
      <c r="N1280" s="11" t="s">
        <v>5126</v>
      </c>
      <c r="O1280" s="12" t="s">
        <v>26</v>
      </c>
    </row>
    <row r="1281" spans="1:15">
      <c r="A1281" s="4">
        <v>1277</v>
      </c>
      <c r="B1281" s="5" t="s">
        <v>5113</v>
      </c>
      <c r="C1281" s="5" t="s">
        <v>5114</v>
      </c>
      <c r="D1281" s="5" t="s">
        <v>5127</v>
      </c>
      <c r="E1281" s="6" t="s">
        <v>5128</v>
      </c>
      <c r="F1281" s="13" t="s">
        <v>34</v>
      </c>
      <c r="G1281" s="5" t="s">
        <v>29</v>
      </c>
      <c r="H1281" s="8"/>
      <c r="I1281" s="9"/>
      <c r="J1281" s="9" t="s">
        <v>23</v>
      </c>
      <c r="K1281" s="8"/>
      <c r="L1281" s="9"/>
      <c r="M1281" s="10" t="s">
        <v>4184</v>
      </c>
      <c r="N1281" s="11" t="s">
        <v>5129</v>
      </c>
      <c r="O1281" s="12" t="s">
        <v>26</v>
      </c>
    </row>
    <row r="1282" spans="1:15">
      <c r="A1282" s="4">
        <v>1278</v>
      </c>
      <c r="B1282" s="5" t="s">
        <v>5113</v>
      </c>
      <c r="C1282" s="5" t="s">
        <v>5130</v>
      </c>
      <c r="D1282" s="5" t="s">
        <v>5131</v>
      </c>
      <c r="E1282" s="6" t="s">
        <v>5132</v>
      </c>
      <c r="F1282" s="7" t="s">
        <v>21</v>
      </c>
      <c r="G1282" s="5" t="s">
        <v>29</v>
      </c>
      <c r="H1282" s="8"/>
      <c r="I1282" s="9"/>
      <c r="J1282" s="9" t="s">
        <v>23</v>
      </c>
      <c r="K1282" s="8"/>
      <c r="L1282" s="9"/>
      <c r="M1282" s="10" t="s">
        <v>5133</v>
      </c>
      <c r="N1282" s="11" t="s">
        <v>5134</v>
      </c>
      <c r="O1282" s="12" t="s">
        <v>26</v>
      </c>
    </row>
    <row r="1283" spans="1:15">
      <c r="A1283" s="4">
        <v>1279</v>
      </c>
      <c r="B1283" s="5" t="s">
        <v>5113</v>
      </c>
      <c r="C1283" s="5" t="s">
        <v>5122</v>
      </c>
      <c r="D1283" s="5" t="s">
        <v>5135</v>
      </c>
      <c r="E1283" s="6" t="s">
        <v>5136</v>
      </c>
      <c r="F1283" s="7" t="s">
        <v>21</v>
      </c>
      <c r="G1283" s="5" t="s">
        <v>22</v>
      </c>
      <c r="H1283" s="8"/>
      <c r="I1283" s="9"/>
      <c r="J1283" s="9" t="s">
        <v>23</v>
      </c>
      <c r="K1283" s="8"/>
      <c r="L1283" s="9"/>
      <c r="M1283" s="10"/>
      <c r="N1283" s="11" t="s">
        <v>5137</v>
      </c>
      <c r="O1283" s="12" t="s">
        <v>26</v>
      </c>
    </row>
    <row r="1284" spans="1:15">
      <c r="A1284" s="4">
        <v>1280</v>
      </c>
      <c r="B1284" s="5" t="s">
        <v>5113</v>
      </c>
      <c r="C1284" s="5" t="s">
        <v>5122</v>
      </c>
      <c r="D1284" s="5" t="s">
        <v>5138</v>
      </c>
      <c r="E1284" s="6" t="s">
        <v>5139</v>
      </c>
      <c r="F1284" s="7" t="s">
        <v>21</v>
      </c>
      <c r="G1284" s="5" t="s">
        <v>156</v>
      </c>
      <c r="H1284" s="8"/>
      <c r="I1284" s="9"/>
      <c r="J1284" s="9" t="s">
        <v>23</v>
      </c>
      <c r="K1284" s="8"/>
      <c r="L1284" s="9"/>
      <c r="M1284" s="10" t="s">
        <v>5140</v>
      </c>
      <c r="N1284" s="11" t="s">
        <v>5141</v>
      </c>
      <c r="O1284" s="12" t="s">
        <v>26</v>
      </c>
    </row>
    <row r="1285" spans="1:15">
      <c r="A1285" s="4">
        <v>1281</v>
      </c>
      <c r="B1285" s="5" t="s">
        <v>5113</v>
      </c>
      <c r="C1285" s="5" t="s">
        <v>5122</v>
      </c>
      <c r="D1285" s="5" t="s">
        <v>5142</v>
      </c>
      <c r="E1285" s="6" t="s">
        <v>5143</v>
      </c>
      <c r="F1285" s="13" t="s">
        <v>34</v>
      </c>
      <c r="G1285" s="5" t="s">
        <v>22</v>
      </c>
      <c r="H1285" s="8"/>
      <c r="I1285" s="9"/>
      <c r="J1285" s="9" t="s">
        <v>23</v>
      </c>
      <c r="K1285" s="8"/>
      <c r="L1285" s="9"/>
      <c r="M1285" s="10" t="s">
        <v>5144</v>
      </c>
      <c r="N1285" s="11" t="s">
        <v>5145</v>
      </c>
      <c r="O1285" s="12" t="s">
        <v>26</v>
      </c>
    </row>
    <row r="1286" spans="1:15">
      <c r="A1286" s="4">
        <v>1282</v>
      </c>
      <c r="B1286" s="5" t="s">
        <v>5113</v>
      </c>
      <c r="C1286" s="5" t="s">
        <v>5146</v>
      </c>
      <c r="D1286" s="5" t="s">
        <v>5147</v>
      </c>
      <c r="E1286" s="6" t="s">
        <v>5148</v>
      </c>
      <c r="F1286" s="7" t="s">
        <v>21</v>
      </c>
      <c r="G1286" s="5" t="s">
        <v>22</v>
      </c>
      <c r="H1286" s="8"/>
      <c r="I1286" s="9"/>
      <c r="J1286" s="9" t="s">
        <v>23</v>
      </c>
      <c r="K1286" s="8"/>
      <c r="L1286" s="9"/>
      <c r="M1286" s="10"/>
      <c r="N1286" s="11" t="s">
        <v>5149</v>
      </c>
      <c r="O1286" s="12" t="s">
        <v>26</v>
      </c>
    </row>
    <row r="1287" spans="1:15">
      <c r="A1287" s="4">
        <v>1283</v>
      </c>
      <c r="B1287" s="5" t="s">
        <v>5113</v>
      </c>
      <c r="C1287" s="5" t="s">
        <v>5114</v>
      </c>
      <c r="D1287" s="5" t="s">
        <v>5150</v>
      </c>
      <c r="E1287" s="6" t="s">
        <v>5151</v>
      </c>
      <c r="F1287" s="7" t="s">
        <v>21</v>
      </c>
      <c r="G1287" s="5" t="s">
        <v>22</v>
      </c>
      <c r="H1287" s="8"/>
      <c r="I1287" s="9"/>
      <c r="J1287" s="9" t="s">
        <v>23</v>
      </c>
      <c r="K1287" s="8"/>
      <c r="L1287" s="9"/>
      <c r="M1287" s="10" t="s">
        <v>180</v>
      </c>
      <c r="N1287" s="11" t="s">
        <v>5152</v>
      </c>
      <c r="O1287" s="12" t="s">
        <v>26</v>
      </c>
    </row>
    <row r="1288" spans="1:15">
      <c r="A1288" s="4">
        <v>1284</v>
      </c>
      <c r="B1288" s="5" t="s">
        <v>5113</v>
      </c>
      <c r="C1288" s="5" t="s">
        <v>5153</v>
      </c>
      <c r="D1288" s="5" t="s">
        <v>5154</v>
      </c>
      <c r="E1288" s="6" t="s">
        <v>5155</v>
      </c>
      <c r="F1288" s="7" t="s">
        <v>21</v>
      </c>
      <c r="G1288" s="5" t="s">
        <v>22</v>
      </c>
      <c r="H1288" s="8"/>
      <c r="I1288" s="9"/>
      <c r="J1288" s="9" t="s">
        <v>23</v>
      </c>
      <c r="K1288" s="8"/>
      <c r="L1288" s="9"/>
      <c r="M1288" s="10" t="s">
        <v>180</v>
      </c>
      <c r="N1288" s="11" t="s">
        <v>5156</v>
      </c>
      <c r="O1288" s="12" t="s">
        <v>26</v>
      </c>
    </row>
    <row r="1289" spans="1:15">
      <c r="A1289" s="4">
        <v>1285</v>
      </c>
      <c r="B1289" s="5" t="s">
        <v>5113</v>
      </c>
      <c r="C1289" s="5" t="s">
        <v>5114</v>
      </c>
      <c r="D1289" s="5" t="s">
        <v>5157</v>
      </c>
      <c r="E1289" s="6" t="s">
        <v>5158</v>
      </c>
      <c r="F1289" s="7" t="s">
        <v>21</v>
      </c>
      <c r="G1289" s="5" t="s">
        <v>22</v>
      </c>
      <c r="H1289" s="8"/>
      <c r="I1289" s="9"/>
      <c r="J1289" s="9" t="s">
        <v>23</v>
      </c>
      <c r="K1289" s="8"/>
      <c r="L1289" s="9"/>
      <c r="M1289" s="10" t="s">
        <v>5159</v>
      </c>
      <c r="N1289" s="11" t="s">
        <v>5160</v>
      </c>
      <c r="O1289" s="12" t="s">
        <v>26</v>
      </c>
    </row>
    <row r="1290" spans="1:15">
      <c r="A1290" s="4">
        <v>1286</v>
      </c>
      <c r="B1290" s="5" t="s">
        <v>5113</v>
      </c>
      <c r="C1290" s="5" t="s">
        <v>5114</v>
      </c>
      <c r="D1290" s="5" t="s">
        <v>5161</v>
      </c>
      <c r="E1290" s="6" t="s">
        <v>5162</v>
      </c>
      <c r="F1290" s="7" t="s">
        <v>21</v>
      </c>
      <c r="G1290" s="5" t="s">
        <v>22</v>
      </c>
      <c r="H1290" s="8"/>
      <c r="I1290" s="9"/>
      <c r="J1290" s="9" t="s">
        <v>23</v>
      </c>
      <c r="K1290" s="8"/>
      <c r="L1290" s="9"/>
      <c r="M1290" s="10"/>
      <c r="N1290" s="11" t="s">
        <v>5163</v>
      </c>
      <c r="O1290" s="12" t="s">
        <v>26</v>
      </c>
    </row>
    <row r="1291" spans="1:15">
      <c r="A1291" s="4">
        <v>1287</v>
      </c>
      <c r="B1291" s="5" t="s">
        <v>5113</v>
      </c>
      <c r="C1291" s="5" t="s">
        <v>5122</v>
      </c>
      <c r="D1291" s="5" t="s">
        <v>5164</v>
      </c>
      <c r="E1291" s="6" t="s">
        <v>5165</v>
      </c>
      <c r="F1291" s="7" t="s">
        <v>21</v>
      </c>
      <c r="G1291" s="5" t="s">
        <v>29</v>
      </c>
      <c r="H1291" s="8"/>
      <c r="I1291" s="9"/>
      <c r="J1291" s="9" t="s">
        <v>23</v>
      </c>
      <c r="K1291" s="8"/>
      <c r="L1291" s="9"/>
      <c r="M1291" s="10" t="s">
        <v>5166</v>
      </c>
      <c r="N1291" s="11" t="s">
        <v>5167</v>
      </c>
      <c r="O1291" s="12" t="s">
        <v>26</v>
      </c>
    </row>
    <row r="1292" spans="1:15">
      <c r="A1292" s="4">
        <v>1288</v>
      </c>
      <c r="B1292" s="5" t="s">
        <v>5113</v>
      </c>
      <c r="C1292" s="5" t="s">
        <v>5168</v>
      </c>
      <c r="D1292" s="5" t="s">
        <v>5169</v>
      </c>
      <c r="E1292" s="6" t="s">
        <v>5170</v>
      </c>
      <c r="F1292" s="7" t="s">
        <v>21</v>
      </c>
      <c r="G1292" s="5" t="s">
        <v>29</v>
      </c>
      <c r="H1292" s="8"/>
      <c r="I1292" s="9"/>
      <c r="J1292" s="9" t="s">
        <v>23</v>
      </c>
      <c r="K1292" s="8"/>
      <c r="L1292" s="9"/>
      <c r="M1292" s="10" t="s">
        <v>5171</v>
      </c>
      <c r="N1292" s="11" t="s">
        <v>5172</v>
      </c>
      <c r="O1292" s="12" t="s">
        <v>26</v>
      </c>
    </row>
    <row r="1293" spans="1:15">
      <c r="A1293" s="4">
        <v>1289</v>
      </c>
      <c r="B1293" s="5" t="s">
        <v>5113</v>
      </c>
      <c r="C1293" s="5" t="s">
        <v>5168</v>
      </c>
      <c r="D1293" s="5" t="s">
        <v>5173</v>
      </c>
      <c r="E1293" s="6" t="s">
        <v>5174</v>
      </c>
      <c r="F1293" s="7" t="s">
        <v>21</v>
      </c>
      <c r="G1293" s="5" t="s">
        <v>29</v>
      </c>
      <c r="H1293" s="8"/>
      <c r="I1293" s="9"/>
      <c r="J1293" s="9" t="s">
        <v>23</v>
      </c>
      <c r="K1293" s="8"/>
      <c r="L1293" s="9"/>
      <c r="M1293" s="10"/>
      <c r="N1293" s="11" t="s">
        <v>5175</v>
      </c>
      <c r="O1293" s="12" t="s">
        <v>26</v>
      </c>
    </row>
    <row r="1294" spans="1:15">
      <c r="A1294" s="4">
        <v>1290</v>
      </c>
      <c r="B1294" s="5" t="s">
        <v>5113</v>
      </c>
      <c r="C1294" s="5" t="s">
        <v>5114</v>
      </c>
      <c r="D1294" s="5" t="s">
        <v>5176</v>
      </c>
      <c r="E1294" s="6" t="s">
        <v>5177</v>
      </c>
      <c r="F1294" s="7" t="s">
        <v>21</v>
      </c>
      <c r="G1294" s="5" t="s">
        <v>29</v>
      </c>
      <c r="H1294" s="8"/>
      <c r="I1294" s="9"/>
      <c r="J1294" s="9" t="s">
        <v>23</v>
      </c>
      <c r="K1294" s="8"/>
      <c r="L1294" s="9"/>
      <c r="M1294" s="10" t="s">
        <v>5178</v>
      </c>
      <c r="N1294" s="11" t="s">
        <v>5179</v>
      </c>
      <c r="O1294" s="12" t="s">
        <v>26</v>
      </c>
    </row>
    <row r="1295" spans="1:15">
      <c r="A1295" s="4">
        <v>1291</v>
      </c>
      <c r="B1295" s="5" t="s">
        <v>5113</v>
      </c>
      <c r="C1295" s="5" t="s">
        <v>5114</v>
      </c>
      <c r="D1295" s="5" t="s">
        <v>5180</v>
      </c>
      <c r="E1295" s="6" t="s">
        <v>5181</v>
      </c>
      <c r="F1295" s="7" t="s">
        <v>21</v>
      </c>
      <c r="G1295" s="5" t="s">
        <v>22</v>
      </c>
      <c r="H1295" s="8"/>
      <c r="I1295" s="9"/>
      <c r="J1295" s="9" t="s">
        <v>23</v>
      </c>
      <c r="K1295" s="8"/>
      <c r="L1295" s="9"/>
      <c r="M1295" s="10" t="s">
        <v>5182</v>
      </c>
      <c r="N1295" s="11" t="s">
        <v>5183</v>
      </c>
      <c r="O1295" s="12" t="s">
        <v>26</v>
      </c>
    </row>
    <row r="1296" spans="1:15">
      <c r="A1296" s="4">
        <v>1292</v>
      </c>
      <c r="B1296" s="5" t="s">
        <v>5113</v>
      </c>
      <c r="C1296" s="5" t="s">
        <v>5114</v>
      </c>
      <c r="D1296" s="5" t="s">
        <v>5184</v>
      </c>
      <c r="E1296" s="6" t="s">
        <v>5185</v>
      </c>
      <c r="F1296" s="7" t="s">
        <v>21</v>
      </c>
      <c r="G1296" s="5" t="s">
        <v>156</v>
      </c>
      <c r="H1296" s="8"/>
      <c r="I1296" s="9"/>
      <c r="J1296" s="9" t="s">
        <v>23</v>
      </c>
      <c r="K1296" s="8"/>
      <c r="L1296" s="9"/>
      <c r="M1296" s="10"/>
      <c r="N1296" s="11" t="s">
        <v>5186</v>
      </c>
      <c r="O1296" s="12" t="s">
        <v>26</v>
      </c>
    </row>
    <row r="1297" spans="1:15">
      <c r="A1297" s="4">
        <v>1293</v>
      </c>
      <c r="B1297" s="5" t="s">
        <v>5113</v>
      </c>
      <c r="C1297" s="5" t="s">
        <v>5114</v>
      </c>
      <c r="D1297" s="5" t="s">
        <v>5187</v>
      </c>
      <c r="E1297" s="6" t="s">
        <v>5188</v>
      </c>
      <c r="F1297" s="13" t="s">
        <v>34</v>
      </c>
      <c r="G1297" s="5" t="s">
        <v>22</v>
      </c>
      <c r="H1297" s="8"/>
      <c r="I1297" s="9"/>
      <c r="J1297" s="9" t="s">
        <v>23</v>
      </c>
      <c r="K1297" s="8"/>
      <c r="L1297" s="9"/>
      <c r="M1297" s="10" t="s">
        <v>5189</v>
      </c>
      <c r="N1297" s="11" t="s">
        <v>5190</v>
      </c>
      <c r="O1297" s="12" t="s">
        <v>26</v>
      </c>
    </row>
    <row r="1298" spans="1:15">
      <c r="A1298" s="4">
        <v>1294</v>
      </c>
      <c r="B1298" s="5" t="s">
        <v>5113</v>
      </c>
      <c r="C1298" s="5" t="s">
        <v>5114</v>
      </c>
      <c r="D1298" s="5" t="s">
        <v>5191</v>
      </c>
      <c r="E1298" s="6" t="s">
        <v>5192</v>
      </c>
      <c r="F1298" s="7" t="s">
        <v>21</v>
      </c>
      <c r="G1298" s="5" t="s">
        <v>22</v>
      </c>
      <c r="H1298" s="8"/>
      <c r="I1298" s="9"/>
      <c r="J1298" s="9" t="s">
        <v>23</v>
      </c>
      <c r="K1298" s="8"/>
      <c r="L1298" s="9"/>
      <c r="M1298" s="10"/>
      <c r="N1298" s="11" t="s">
        <v>5193</v>
      </c>
      <c r="O1298" s="12" t="s">
        <v>26</v>
      </c>
    </row>
    <row r="1299" spans="1:15">
      <c r="A1299" s="4">
        <v>1295</v>
      </c>
      <c r="B1299" s="5" t="s">
        <v>5113</v>
      </c>
      <c r="C1299" s="5" t="s">
        <v>5168</v>
      </c>
      <c r="D1299" s="5" t="s">
        <v>5194</v>
      </c>
      <c r="E1299" s="6" t="s">
        <v>5195</v>
      </c>
      <c r="F1299" s="7" t="s">
        <v>21</v>
      </c>
      <c r="G1299" s="5" t="s">
        <v>29</v>
      </c>
      <c r="H1299" s="8"/>
      <c r="I1299" s="9"/>
      <c r="J1299" s="9" t="s">
        <v>23</v>
      </c>
      <c r="K1299" s="8"/>
      <c r="L1299" s="9"/>
      <c r="M1299" s="10"/>
      <c r="N1299" s="11" t="s">
        <v>5196</v>
      </c>
      <c r="O1299" s="12" t="s">
        <v>26</v>
      </c>
    </row>
    <row r="1300" spans="1:15">
      <c r="A1300" s="4">
        <v>1296</v>
      </c>
      <c r="B1300" s="5" t="s">
        <v>5197</v>
      </c>
      <c r="C1300" s="5" t="s">
        <v>5198</v>
      </c>
      <c r="D1300" s="5" t="s">
        <v>5199</v>
      </c>
      <c r="E1300" s="6" t="s">
        <v>5200</v>
      </c>
      <c r="F1300" s="7" t="s">
        <v>21</v>
      </c>
      <c r="G1300" s="5" t="s">
        <v>29</v>
      </c>
      <c r="H1300" s="8"/>
      <c r="I1300" s="9"/>
      <c r="J1300" s="9" t="s">
        <v>23</v>
      </c>
      <c r="K1300" s="8"/>
      <c r="L1300" s="9"/>
      <c r="M1300" s="10" t="s">
        <v>5201</v>
      </c>
      <c r="N1300" s="11" t="s">
        <v>5202</v>
      </c>
      <c r="O1300" s="12" t="s">
        <v>26</v>
      </c>
    </row>
    <row r="1301" spans="1:15">
      <c r="A1301" s="4">
        <v>1297</v>
      </c>
      <c r="B1301" s="5" t="s">
        <v>5197</v>
      </c>
      <c r="C1301" s="5" t="s">
        <v>5203</v>
      </c>
      <c r="D1301" s="5" t="s">
        <v>5204</v>
      </c>
      <c r="E1301" s="6" t="s">
        <v>5205</v>
      </c>
      <c r="F1301" s="7" t="s">
        <v>21</v>
      </c>
      <c r="G1301" s="5" t="s">
        <v>4774</v>
      </c>
      <c r="H1301" s="8"/>
      <c r="I1301" s="9"/>
      <c r="J1301" s="9" t="s">
        <v>23</v>
      </c>
      <c r="K1301" s="8"/>
      <c r="L1301" s="9"/>
      <c r="M1301" s="10"/>
      <c r="N1301" s="11" t="s">
        <v>5206</v>
      </c>
      <c r="O1301" s="12" t="s">
        <v>26</v>
      </c>
    </row>
    <row r="1302" spans="1:15">
      <c r="A1302" s="4">
        <v>1298</v>
      </c>
      <c r="B1302" s="5" t="s">
        <v>5197</v>
      </c>
      <c r="C1302" s="5" t="s">
        <v>5207</v>
      </c>
      <c r="D1302" s="5" t="s">
        <v>5208</v>
      </c>
      <c r="E1302" s="6" t="s">
        <v>5209</v>
      </c>
      <c r="F1302" s="7" t="s">
        <v>21</v>
      </c>
      <c r="G1302" s="5" t="s">
        <v>29</v>
      </c>
      <c r="H1302" s="8"/>
      <c r="I1302" s="9"/>
      <c r="J1302" s="9" t="s">
        <v>23</v>
      </c>
      <c r="K1302" s="8"/>
      <c r="L1302" s="9"/>
      <c r="M1302" s="10" t="s">
        <v>5210</v>
      </c>
      <c r="N1302" s="11" t="s">
        <v>5211</v>
      </c>
      <c r="O1302" s="12" t="s">
        <v>26</v>
      </c>
    </row>
    <row r="1303" spans="1:15">
      <c r="A1303" s="4">
        <v>1299</v>
      </c>
      <c r="B1303" s="5" t="s">
        <v>5197</v>
      </c>
      <c r="C1303" s="5" t="s">
        <v>5203</v>
      </c>
      <c r="D1303" s="5" t="s">
        <v>5212</v>
      </c>
      <c r="E1303" s="6" t="s">
        <v>5213</v>
      </c>
      <c r="F1303" s="7" t="s">
        <v>21</v>
      </c>
      <c r="G1303" s="5" t="s">
        <v>22</v>
      </c>
      <c r="H1303" s="8"/>
      <c r="I1303" s="9"/>
      <c r="J1303" s="9" t="s">
        <v>23</v>
      </c>
      <c r="K1303" s="8"/>
      <c r="L1303" s="9"/>
      <c r="M1303" s="10"/>
      <c r="N1303" s="11" t="s">
        <v>5214</v>
      </c>
      <c r="O1303" s="12" t="s">
        <v>26</v>
      </c>
    </row>
    <row r="1304" spans="1:15">
      <c r="A1304" s="4">
        <v>1300</v>
      </c>
      <c r="B1304" s="5" t="s">
        <v>5197</v>
      </c>
      <c r="C1304" s="5" t="s">
        <v>5203</v>
      </c>
      <c r="D1304" s="5" t="s">
        <v>5215</v>
      </c>
      <c r="E1304" s="6" t="s">
        <v>5216</v>
      </c>
      <c r="F1304" s="7" t="s">
        <v>21</v>
      </c>
      <c r="G1304" s="5" t="s">
        <v>22</v>
      </c>
      <c r="H1304" s="8"/>
      <c r="I1304" s="9"/>
      <c r="J1304" s="9" t="s">
        <v>23</v>
      </c>
      <c r="K1304" s="8"/>
      <c r="L1304" s="9"/>
      <c r="M1304" s="10" t="s">
        <v>5217</v>
      </c>
      <c r="N1304" s="11" t="s">
        <v>5218</v>
      </c>
      <c r="O1304" s="12" t="s">
        <v>26</v>
      </c>
    </row>
    <row r="1305" spans="1:15">
      <c r="A1305" s="4">
        <v>1301</v>
      </c>
      <c r="B1305" s="5" t="s">
        <v>5197</v>
      </c>
      <c r="C1305" s="5" t="s">
        <v>5203</v>
      </c>
      <c r="D1305" s="5" t="s">
        <v>5219</v>
      </c>
      <c r="E1305" s="6" t="s">
        <v>5220</v>
      </c>
      <c r="F1305" s="7" t="s">
        <v>21</v>
      </c>
      <c r="G1305" s="5" t="s">
        <v>29</v>
      </c>
      <c r="H1305" s="8"/>
      <c r="I1305" s="9"/>
      <c r="J1305" s="9" t="s">
        <v>23</v>
      </c>
      <c r="K1305" s="8"/>
      <c r="L1305" s="9"/>
      <c r="M1305" s="10"/>
      <c r="N1305" s="11" t="s">
        <v>5221</v>
      </c>
      <c r="O1305" s="12" t="s">
        <v>26</v>
      </c>
    </row>
    <row r="1306" spans="1:15">
      <c r="A1306" s="4">
        <v>1302</v>
      </c>
      <c r="B1306" s="5" t="s">
        <v>5197</v>
      </c>
      <c r="C1306" s="5" t="s">
        <v>5203</v>
      </c>
      <c r="D1306" s="5" t="s">
        <v>5222</v>
      </c>
      <c r="E1306" s="6" t="s">
        <v>5223</v>
      </c>
      <c r="F1306" s="7" t="s">
        <v>21</v>
      </c>
      <c r="G1306" s="5" t="s">
        <v>22</v>
      </c>
      <c r="H1306" s="8"/>
      <c r="I1306" s="9"/>
      <c r="J1306" s="9" t="s">
        <v>23</v>
      </c>
      <c r="K1306" s="8"/>
      <c r="L1306" s="9"/>
      <c r="M1306" s="10"/>
      <c r="N1306" s="11" t="s">
        <v>5224</v>
      </c>
      <c r="O1306" s="12" t="s">
        <v>26</v>
      </c>
    </row>
    <row r="1307" spans="1:15">
      <c r="A1307" s="4">
        <v>1303</v>
      </c>
      <c r="B1307" s="5" t="s">
        <v>5197</v>
      </c>
      <c r="C1307" s="5" t="s">
        <v>5225</v>
      </c>
      <c r="D1307" s="5" t="s">
        <v>5226</v>
      </c>
      <c r="E1307" s="6" t="s">
        <v>5227</v>
      </c>
      <c r="F1307" s="7" t="s">
        <v>21</v>
      </c>
      <c r="G1307" s="5" t="s">
        <v>22</v>
      </c>
      <c r="H1307" s="8"/>
      <c r="I1307" s="9"/>
      <c r="J1307" s="9" t="s">
        <v>23</v>
      </c>
      <c r="K1307" s="8"/>
      <c r="L1307" s="9"/>
      <c r="M1307" s="10" t="s">
        <v>5228</v>
      </c>
      <c r="N1307" s="11" t="s">
        <v>5229</v>
      </c>
      <c r="O1307" s="12" t="s">
        <v>26</v>
      </c>
    </row>
    <row r="1308" spans="1:15">
      <c r="A1308" s="4">
        <v>1304</v>
      </c>
      <c r="B1308" s="5" t="s">
        <v>5197</v>
      </c>
      <c r="C1308" s="5" t="s">
        <v>5203</v>
      </c>
      <c r="D1308" s="5" t="s">
        <v>5230</v>
      </c>
      <c r="E1308" s="6" t="s">
        <v>5231</v>
      </c>
      <c r="F1308" s="7" t="s">
        <v>21</v>
      </c>
      <c r="G1308" s="5" t="s">
        <v>29</v>
      </c>
      <c r="H1308" s="8"/>
      <c r="I1308" s="9"/>
      <c r="J1308" s="9" t="s">
        <v>23</v>
      </c>
      <c r="K1308" s="8"/>
      <c r="L1308" s="9"/>
      <c r="M1308" s="10" t="s">
        <v>5232</v>
      </c>
      <c r="N1308" s="11" t="s">
        <v>5233</v>
      </c>
      <c r="O1308" s="12" t="s">
        <v>26</v>
      </c>
    </row>
    <row r="1309" spans="1:15">
      <c r="A1309" s="4">
        <v>1305</v>
      </c>
      <c r="B1309" s="5" t="s">
        <v>5197</v>
      </c>
      <c r="C1309" s="5" t="s">
        <v>5234</v>
      </c>
      <c r="D1309" s="5" t="s">
        <v>5235</v>
      </c>
      <c r="E1309" s="6" t="s">
        <v>5236</v>
      </c>
      <c r="F1309" s="7" t="s">
        <v>21</v>
      </c>
      <c r="G1309" s="5" t="s">
        <v>22</v>
      </c>
      <c r="H1309" s="8"/>
      <c r="I1309" s="9"/>
      <c r="J1309" s="9" t="s">
        <v>23</v>
      </c>
      <c r="K1309" s="8"/>
      <c r="L1309" s="9"/>
      <c r="M1309" s="10" t="s">
        <v>3611</v>
      </c>
      <c r="N1309" s="11" t="s">
        <v>5237</v>
      </c>
      <c r="O1309" s="12" t="s">
        <v>26</v>
      </c>
    </row>
    <row r="1310" spans="1:15">
      <c r="A1310" s="4">
        <v>1306</v>
      </c>
      <c r="B1310" s="5" t="s">
        <v>5197</v>
      </c>
      <c r="C1310" s="5" t="s">
        <v>5203</v>
      </c>
      <c r="D1310" s="5" t="s">
        <v>5238</v>
      </c>
      <c r="E1310" s="6" t="s">
        <v>5239</v>
      </c>
      <c r="F1310" s="7" t="s">
        <v>21</v>
      </c>
      <c r="G1310" s="5" t="s">
        <v>29</v>
      </c>
      <c r="H1310" s="8"/>
      <c r="I1310" s="9"/>
      <c r="J1310" s="9" t="s">
        <v>23</v>
      </c>
      <c r="K1310" s="8"/>
      <c r="L1310" s="9"/>
      <c r="M1310" s="10"/>
      <c r="N1310" s="11" t="s">
        <v>5240</v>
      </c>
      <c r="O1310" s="12" t="s">
        <v>26</v>
      </c>
    </row>
    <row r="1311" spans="1:15">
      <c r="A1311" s="4">
        <v>1307</v>
      </c>
      <c r="B1311" s="5" t="s">
        <v>5197</v>
      </c>
      <c r="C1311" s="5" t="s">
        <v>5241</v>
      </c>
      <c r="D1311" s="5" t="s">
        <v>5242</v>
      </c>
      <c r="E1311" s="6" t="s">
        <v>5243</v>
      </c>
      <c r="F1311" s="7" t="s">
        <v>21</v>
      </c>
      <c r="G1311" s="5" t="s">
        <v>29</v>
      </c>
      <c r="H1311" s="8"/>
      <c r="I1311" s="9"/>
      <c r="J1311" s="9" t="s">
        <v>23</v>
      </c>
      <c r="K1311" s="8"/>
      <c r="L1311" s="9"/>
      <c r="M1311" s="10"/>
      <c r="N1311" s="11" t="s">
        <v>5244</v>
      </c>
      <c r="O1311" s="12" t="s">
        <v>26</v>
      </c>
    </row>
    <row r="1312" spans="1:15">
      <c r="A1312" s="4">
        <v>1308</v>
      </c>
      <c r="B1312" s="5" t="s">
        <v>5197</v>
      </c>
      <c r="C1312" s="5" t="s">
        <v>5203</v>
      </c>
      <c r="D1312" s="5" t="s">
        <v>5245</v>
      </c>
      <c r="E1312" s="6" t="s">
        <v>5246</v>
      </c>
      <c r="F1312" s="7" t="s">
        <v>21</v>
      </c>
      <c r="G1312" s="5" t="s">
        <v>22</v>
      </c>
      <c r="H1312" s="8"/>
      <c r="I1312" s="9"/>
      <c r="J1312" s="9" t="s">
        <v>23</v>
      </c>
      <c r="K1312" s="8"/>
      <c r="L1312" s="9"/>
      <c r="M1312" s="10" t="s">
        <v>5247</v>
      </c>
      <c r="N1312" s="11" t="s">
        <v>5248</v>
      </c>
      <c r="O1312" s="12" t="s">
        <v>26</v>
      </c>
    </row>
    <row r="1313" spans="1:15">
      <c r="A1313" s="4">
        <v>1309</v>
      </c>
      <c r="B1313" s="5" t="s">
        <v>5197</v>
      </c>
      <c r="C1313" s="5" t="s">
        <v>5203</v>
      </c>
      <c r="D1313" s="5" t="s">
        <v>5249</v>
      </c>
      <c r="E1313" s="6" t="s">
        <v>5250</v>
      </c>
      <c r="F1313" s="7" t="s">
        <v>21</v>
      </c>
      <c r="G1313" s="5" t="s">
        <v>22</v>
      </c>
      <c r="H1313" s="8"/>
      <c r="I1313" s="9"/>
      <c r="J1313" s="9" t="s">
        <v>23</v>
      </c>
      <c r="K1313" s="8"/>
      <c r="L1313" s="9"/>
      <c r="M1313" s="10" t="s">
        <v>5251</v>
      </c>
      <c r="N1313" s="11" t="s">
        <v>5252</v>
      </c>
      <c r="O1313" s="12" t="s">
        <v>26</v>
      </c>
    </row>
    <row r="1314" spans="1:15">
      <c r="A1314" s="4">
        <v>1310</v>
      </c>
      <c r="B1314" s="5" t="s">
        <v>5197</v>
      </c>
      <c r="C1314" s="5" t="s">
        <v>5253</v>
      </c>
      <c r="D1314" s="5" t="s">
        <v>5254</v>
      </c>
      <c r="E1314" s="6" t="s">
        <v>5255</v>
      </c>
      <c r="F1314" s="7" t="s">
        <v>21</v>
      </c>
      <c r="G1314" s="5" t="s">
        <v>29</v>
      </c>
      <c r="H1314" s="8"/>
      <c r="I1314" s="9"/>
      <c r="J1314" s="9" t="s">
        <v>23</v>
      </c>
      <c r="K1314" s="8"/>
      <c r="L1314" s="9"/>
      <c r="M1314" s="10"/>
      <c r="N1314" s="11" t="s">
        <v>5256</v>
      </c>
      <c r="O1314" s="12" t="s">
        <v>26</v>
      </c>
    </row>
    <row r="1315" spans="1:15">
      <c r="A1315" s="4">
        <v>1311</v>
      </c>
      <c r="B1315" s="5" t="s">
        <v>5197</v>
      </c>
      <c r="C1315" s="5" t="s">
        <v>5257</v>
      </c>
      <c r="D1315" s="5" t="s">
        <v>5258</v>
      </c>
      <c r="E1315" s="6" t="s">
        <v>5259</v>
      </c>
      <c r="F1315" s="7" t="s">
        <v>21</v>
      </c>
      <c r="G1315" s="5" t="s">
        <v>29</v>
      </c>
      <c r="H1315" s="8"/>
      <c r="I1315" s="9"/>
      <c r="J1315" s="9" t="s">
        <v>23</v>
      </c>
      <c r="K1315" s="8"/>
      <c r="L1315" s="9"/>
      <c r="M1315" s="10"/>
      <c r="N1315" s="11" t="s">
        <v>5260</v>
      </c>
      <c r="O1315" s="12" t="s">
        <v>26</v>
      </c>
    </row>
    <row r="1316" spans="1:15">
      <c r="A1316" s="4">
        <v>1312</v>
      </c>
      <c r="B1316" s="5" t="s">
        <v>5197</v>
      </c>
      <c r="C1316" s="5" t="s">
        <v>5257</v>
      </c>
      <c r="D1316" s="5" t="s">
        <v>5261</v>
      </c>
      <c r="E1316" s="6" t="s">
        <v>5262</v>
      </c>
      <c r="F1316" s="7" t="s">
        <v>21</v>
      </c>
      <c r="G1316" s="5" t="s">
        <v>29</v>
      </c>
      <c r="H1316" s="8"/>
      <c r="I1316" s="9"/>
      <c r="J1316" s="9" t="s">
        <v>23</v>
      </c>
      <c r="K1316" s="8"/>
      <c r="L1316" s="9"/>
      <c r="M1316" s="10"/>
      <c r="N1316" s="11" t="s">
        <v>5263</v>
      </c>
      <c r="O1316" s="12" t="s">
        <v>26</v>
      </c>
    </row>
    <row r="1317" spans="1:15">
      <c r="A1317" s="4">
        <v>1313</v>
      </c>
      <c r="B1317" s="5" t="s">
        <v>5197</v>
      </c>
      <c r="C1317" s="5" t="s">
        <v>5203</v>
      </c>
      <c r="D1317" s="5" t="s">
        <v>5264</v>
      </c>
      <c r="E1317" s="6" t="s">
        <v>5250</v>
      </c>
      <c r="F1317" s="7" t="s">
        <v>21</v>
      </c>
      <c r="G1317" s="5" t="s">
        <v>22</v>
      </c>
      <c r="H1317" s="8"/>
      <c r="I1317" s="9"/>
      <c r="J1317" s="9" t="s">
        <v>23</v>
      </c>
      <c r="K1317" s="8"/>
      <c r="L1317" s="9"/>
      <c r="M1317" s="10" t="s">
        <v>5265</v>
      </c>
      <c r="N1317" s="11" t="s">
        <v>5266</v>
      </c>
      <c r="O1317" s="12" t="s">
        <v>26</v>
      </c>
    </row>
    <row r="1318" spans="1:15">
      <c r="A1318" s="4">
        <v>1314</v>
      </c>
      <c r="B1318" s="5" t="s">
        <v>5197</v>
      </c>
      <c r="C1318" s="5" t="s">
        <v>5234</v>
      </c>
      <c r="D1318" s="5" t="s">
        <v>5267</v>
      </c>
      <c r="E1318" s="6" t="s">
        <v>5268</v>
      </c>
      <c r="F1318" s="7" t="s">
        <v>21</v>
      </c>
      <c r="G1318" s="5" t="s">
        <v>22</v>
      </c>
      <c r="H1318" s="8"/>
      <c r="I1318" s="9"/>
      <c r="J1318" s="9" t="s">
        <v>23</v>
      </c>
      <c r="K1318" s="8"/>
      <c r="L1318" s="9"/>
      <c r="M1318" s="10"/>
      <c r="N1318" s="11" t="s">
        <v>5269</v>
      </c>
      <c r="O1318" s="12" t="s">
        <v>26</v>
      </c>
    </row>
    <row r="1319" spans="1:15">
      <c r="A1319" s="4">
        <v>1315</v>
      </c>
      <c r="B1319" s="5" t="s">
        <v>5197</v>
      </c>
      <c r="C1319" s="5" t="s">
        <v>5270</v>
      </c>
      <c r="D1319" s="5" t="s">
        <v>5271</v>
      </c>
      <c r="E1319" s="6" t="s">
        <v>5272</v>
      </c>
      <c r="F1319" s="7" t="s">
        <v>21</v>
      </c>
      <c r="G1319" s="5" t="s">
        <v>22</v>
      </c>
      <c r="H1319" s="8"/>
      <c r="I1319" s="9"/>
      <c r="J1319" s="9" t="s">
        <v>23</v>
      </c>
      <c r="K1319" s="8"/>
      <c r="L1319" s="9"/>
      <c r="M1319" s="10" t="s">
        <v>5273</v>
      </c>
      <c r="N1319" s="11" t="s">
        <v>5274</v>
      </c>
      <c r="O1319" s="12" t="s">
        <v>26</v>
      </c>
    </row>
    <row r="1320" spans="1:15">
      <c r="A1320" s="4">
        <v>1316</v>
      </c>
      <c r="B1320" s="5" t="s">
        <v>5197</v>
      </c>
      <c r="C1320" s="5" t="s">
        <v>5275</v>
      </c>
      <c r="D1320" s="5" t="s">
        <v>5276</v>
      </c>
      <c r="E1320" s="6" t="s">
        <v>5277</v>
      </c>
      <c r="F1320" s="7" t="s">
        <v>21</v>
      </c>
      <c r="G1320" s="5" t="s">
        <v>29</v>
      </c>
      <c r="H1320" s="8"/>
      <c r="I1320" s="9"/>
      <c r="J1320" s="9" t="s">
        <v>23</v>
      </c>
      <c r="K1320" s="8"/>
      <c r="L1320" s="9"/>
      <c r="M1320" s="10" t="s">
        <v>5278</v>
      </c>
      <c r="N1320" s="11" t="s">
        <v>5279</v>
      </c>
      <c r="O1320" s="12" t="s">
        <v>26</v>
      </c>
    </row>
    <row r="1321" spans="1:15">
      <c r="A1321" s="4">
        <v>1317</v>
      </c>
      <c r="B1321" s="5" t="s">
        <v>5197</v>
      </c>
      <c r="C1321" s="5" t="s">
        <v>5241</v>
      </c>
      <c r="D1321" s="5" t="s">
        <v>5280</v>
      </c>
      <c r="E1321" s="6" t="s">
        <v>5281</v>
      </c>
      <c r="F1321" s="7" t="s">
        <v>21</v>
      </c>
      <c r="G1321" s="5" t="s">
        <v>22</v>
      </c>
      <c r="H1321" s="8"/>
      <c r="I1321" s="9"/>
      <c r="J1321" s="9" t="s">
        <v>23</v>
      </c>
      <c r="K1321" s="8"/>
      <c r="L1321" s="9"/>
      <c r="M1321" s="10"/>
      <c r="N1321" s="11" t="s">
        <v>5282</v>
      </c>
      <c r="O1321" s="12" t="s">
        <v>26</v>
      </c>
    </row>
    <row r="1322" spans="1:15">
      <c r="A1322" s="4">
        <v>1318</v>
      </c>
      <c r="B1322" s="5" t="s">
        <v>5197</v>
      </c>
      <c r="C1322" s="5" t="s">
        <v>5283</v>
      </c>
      <c r="D1322" s="5" t="s">
        <v>5284</v>
      </c>
      <c r="E1322" s="6" t="s">
        <v>5285</v>
      </c>
      <c r="F1322" s="13" t="s">
        <v>34</v>
      </c>
      <c r="G1322" s="5" t="s">
        <v>22</v>
      </c>
      <c r="H1322" s="8"/>
      <c r="I1322" s="9"/>
      <c r="J1322" s="9" t="s">
        <v>23</v>
      </c>
      <c r="K1322" s="8"/>
      <c r="L1322" s="9"/>
      <c r="M1322" s="10" t="s">
        <v>5286</v>
      </c>
      <c r="N1322" s="11" t="s">
        <v>5287</v>
      </c>
      <c r="O1322" s="12" t="s">
        <v>26</v>
      </c>
    </row>
    <row r="1323" spans="1:15">
      <c r="A1323" s="4">
        <v>1319</v>
      </c>
      <c r="B1323" s="5" t="s">
        <v>5197</v>
      </c>
      <c r="C1323" s="5" t="s">
        <v>5203</v>
      </c>
      <c r="D1323" s="5" t="s">
        <v>5288</v>
      </c>
      <c r="E1323" s="6" t="s">
        <v>5289</v>
      </c>
      <c r="F1323" s="7" t="s">
        <v>21</v>
      </c>
      <c r="G1323" s="5" t="s">
        <v>22</v>
      </c>
      <c r="H1323" s="8"/>
      <c r="I1323" s="9"/>
      <c r="J1323" s="9" t="s">
        <v>23</v>
      </c>
      <c r="K1323" s="8"/>
      <c r="L1323" s="9"/>
      <c r="M1323" s="10" t="s">
        <v>5290</v>
      </c>
      <c r="N1323" s="11" t="s">
        <v>5291</v>
      </c>
      <c r="O1323" s="12" t="s">
        <v>26</v>
      </c>
    </row>
    <row r="1324" spans="1:15">
      <c r="A1324" s="4">
        <v>1320</v>
      </c>
      <c r="B1324" s="5" t="s">
        <v>5292</v>
      </c>
      <c r="C1324" s="5" t="s">
        <v>5293</v>
      </c>
      <c r="D1324" s="5" t="s">
        <v>5294</v>
      </c>
      <c r="E1324" s="6" t="s">
        <v>5295</v>
      </c>
      <c r="F1324" s="7" t="s">
        <v>21</v>
      </c>
      <c r="G1324" s="5" t="s">
        <v>22</v>
      </c>
      <c r="H1324" s="8"/>
      <c r="I1324" s="9"/>
      <c r="J1324" s="9" t="s">
        <v>23</v>
      </c>
      <c r="K1324" s="8"/>
      <c r="L1324" s="9"/>
      <c r="M1324" s="10" t="s">
        <v>5296</v>
      </c>
      <c r="N1324" s="11" t="s">
        <v>5297</v>
      </c>
      <c r="O1324" s="12" t="s">
        <v>26</v>
      </c>
    </row>
    <row r="1325" spans="1:15">
      <c r="A1325" s="4">
        <v>1321</v>
      </c>
      <c r="B1325" s="5" t="s">
        <v>5292</v>
      </c>
      <c r="C1325" s="5" t="s">
        <v>5298</v>
      </c>
      <c r="D1325" s="5" t="s">
        <v>5299</v>
      </c>
      <c r="E1325" s="6" t="s">
        <v>5300</v>
      </c>
      <c r="F1325" s="7" t="s">
        <v>21</v>
      </c>
      <c r="G1325" s="5" t="s">
        <v>22</v>
      </c>
      <c r="H1325" s="8"/>
      <c r="I1325" s="9"/>
      <c r="J1325" s="9" t="s">
        <v>23</v>
      </c>
      <c r="K1325" s="8"/>
      <c r="L1325" s="9"/>
      <c r="M1325" s="10" t="s">
        <v>3611</v>
      </c>
      <c r="N1325" s="11" t="s">
        <v>5301</v>
      </c>
      <c r="O1325" s="12" t="s">
        <v>26</v>
      </c>
    </row>
    <row r="1326" spans="1:15">
      <c r="A1326" s="4">
        <v>1322</v>
      </c>
      <c r="B1326" s="5" t="s">
        <v>5292</v>
      </c>
      <c r="C1326" s="5" t="s">
        <v>5298</v>
      </c>
      <c r="D1326" s="5" t="s">
        <v>5302</v>
      </c>
      <c r="E1326" s="6" t="s">
        <v>5303</v>
      </c>
      <c r="F1326" s="7" t="s">
        <v>21</v>
      </c>
      <c r="G1326" s="5" t="s">
        <v>29</v>
      </c>
      <c r="H1326" s="8"/>
      <c r="I1326" s="9"/>
      <c r="J1326" s="9" t="s">
        <v>23</v>
      </c>
      <c r="K1326" s="8"/>
      <c r="L1326" s="9"/>
      <c r="M1326" s="10" t="s">
        <v>5304</v>
      </c>
      <c r="N1326" s="11" t="s">
        <v>5305</v>
      </c>
      <c r="O1326" s="12" t="s">
        <v>26</v>
      </c>
    </row>
    <row r="1327" spans="1:15">
      <c r="A1327" s="4">
        <v>1323</v>
      </c>
      <c r="B1327" s="5" t="s">
        <v>5292</v>
      </c>
      <c r="C1327" s="5" t="s">
        <v>5298</v>
      </c>
      <c r="D1327" s="5" t="s">
        <v>5306</v>
      </c>
      <c r="E1327" s="6" t="s">
        <v>5307</v>
      </c>
      <c r="F1327" s="7" t="s">
        <v>21</v>
      </c>
      <c r="G1327" s="5" t="s">
        <v>22</v>
      </c>
      <c r="H1327" s="8"/>
      <c r="I1327" s="9"/>
      <c r="J1327" s="9" t="s">
        <v>23</v>
      </c>
      <c r="K1327" s="8"/>
      <c r="L1327" s="9"/>
      <c r="M1327" s="10"/>
      <c r="N1327" s="11" t="s">
        <v>5308</v>
      </c>
      <c r="O1327" s="12" t="s">
        <v>26</v>
      </c>
    </row>
    <row r="1328" spans="1:15">
      <c r="A1328" s="4">
        <v>1324</v>
      </c>
      <c r="B1328" s="5" t="s">
        <v>5292</v>
      </c>
      <c r="C1328" s="5" t="s">
        <v>5298</v>
      </c>
      <c r="D1328" s="5" t="s">
        <v>5309</v>
      </c>
      <c r="E1328" s="6" t="s">
        <v>5310</v>
      </c>
      <c r="F1328" s="7" t="s">
        <v>21</v>
      </c>
      <c r="G1328" s="5" t="s">
        <v>29</v>
      </c>
      <c r="H1328" s="8"/>
      <c r="I1328" s="9"/>
      <c r="J1328" s="9" t="s">
        <v>23</v>
      </c>
      <c r="K1328" s="8"/>
      <c r="L1328" s="9"/>
      <c r="M1328" s="10" t="s">
        <v>5311</v>
      </c>
      <c r="N1328" s="11" t="s">
        <v>5312</v>
      </c>
      <c r="O1328" s="12" t="s">
        <v>26</v>
      </c>
    </row>
    <row r="1329" spans="1:15">
      <c r="A1329" s="4">
        <v>1325</v>
      </c>
      <c r="B1329" s="5" t="s">
        <v>5292</v>
      </c>
      <c r="C1329" s="5" t="s">
        <v>5313</v>
      </c>
      <c r="D1329" s="5" t="s">
        <v>5314</v>
      </c>
      <c r="E1329" s="6" t="s">
        <v>5315</v>
      </c>
      <c r="F1329" s="7" t="s">
        <v>21</v>
      </c>
      <c r="G1329" s="5" t="s">
        <v>29</v>
      </c>
      <c r="H1329" s="8"/>
      <c r="I1329" s="9"/>
      <c r="J1329" s="9" t="s">
        <v>23</v>
      </c>
      <c r="K1329" s="8"/>
      <c r="L1329" s="9"/>
      <c r="M1329" s="10" t="s">
        <v>5032</v>
      </c>
      <c r="N1329" s="11" t="s">
        <v>5316</v>
      </c>
      <c r="O1329" s="12" t="s">
        <v>26</v>
      </c>
    </row>
    <row r="1330" spans="1:15">
      <c r="A1330" s="4">
        <v>1326</v>
      </c>
      <c r="B1330" s="5" t="s">
        <v>5292</v>
      </c>
      <c r="C1330" s="5" t="s">
        <v>5313</v>
      </c>
      <c r="D1330" s="5" t="s">
        <v>5317</v>
      </c>
      <c r="E1330" s="6" t="s">
        <v>5318</v>
      </c>
      <c r="F1330" s="7" t="s">
        <v>21</v>
      </c>
      <c r="G1330" s="5" t="s">
        <v>29</v>
      </c>
      <c r="H1330" s="8"/>
      <c r="I1330" s="9"/>
      <c r="J1330" s="9" t="s">
        <v>23</v>
      </c>
      <c r="K1330" s="8"/>
      <c r="L1330" s="9"/>
      <c r="M1330" s="10" t="s">
        <v>5319</v>
      </c>
      <c r="N1330" s="11" t="s">
        <v>5320</v>
      </c>
      <c r="O1330" s="12" t="s">
        <v>26</v>
      </c>
    </row>
    <row r="1331" spans="1:15">
      <c r="A1331" s="4">
        <v>1327</v>
      </c>
      <c r="B1331" s="5" t="s">
        <v>5292</v>
      </c>
      <c r="C1331" s="5" t="s">
        <v>5321</v>
      </c>
      <c r="D1331" s="5" t="s">
        <v>5322</v>
      </c>
      <c r="E1331" s="6" t="s">
        <v>5323</v>
      </c>
      <c r="F1331" s="7" t="s">
        <v>21</v>
      </c>
      <c r="G1331" s="5" t="s">
        <v>29</v>
      </c>
      <c r="H1331" s="8"/>
      <c r="I1331" s="9"/>
      <c r="J1331" s="9" t="s">
        <v>23</v>
      </c>
      <c r="K1331" s="8"/>
      <c r="L1331" s="9"/>
      <c r="M1331" s="10"/>
      <c r="N1331" s="11" t="s">
        <v>5324</v>
      </c>
      <c r="O1331" s="12" t="s">
        <v>26</v>
      </c>
    </row>
    <row r="1332" spans="1:15">
      <c r="A1332" s="4">
        <v>1328</v>
      </c>
      <c r="B1332" s="5" t="s">
        <v>5292</v>
      </c>
      <c r="C1332" s="5" t="s">
        <v>5325</v>
      </c>
      <c r="D1332" s="5" t="s">
        <v>5326</v>
      </c>
      <c r="E1332" s="6" t="s">
        <v>5327</v>
      </c>
      <c r="F1332" s="7" t="s">
        <v>21</v>
      </c>
      <c r="G1332" s="5" t="s">
        <v>29</v>
      </c>
      <c r="H1332" s="8"/>
      <c r="I1332" s="9"/>
      <c r="J1332" s="9" t="s">
        <v>23</v>
      </c>
      <c r="K1332" s="8"/>
      <c r="L1332" s="9"/>
      <c r="M1332" s="10" t="s">
        <v>5328</v>
      </c>
      <c r="N1332" s="11" t="s">
        <v>5329</v>
      </c>
      <c r="O1332" s="12" t="s">
        <v>26</v>
      </c>
    </row>
    <row r="1333" spans="1:15">
      <c r="A1333" s="4">
        <v>1329</v>
      </c>
      <c r="B1333" s="5" t="s">
        <v>5292</v>
      </c>
      <c r="C1333" s="5" t="s">
        <v>5298</v>
      </c>
      <c r="D1333" s="5" t="s">
        <v>5330</v>
      </c>
      <c r="E1333" s="6" t="s">
        <v>5331</v>
      </c>
      <c r="F1333" s="7" t="s">
        <v>21</v>
      </c>
      <c r="G1333" s="5" t="s">
        <v>29</v>
      </c>
      <c r="H1333" s="8"/>
      <c r="I1333" s="9"/>
      <c r="J1333" s="9" t="s">
        <v>23</v>
      </c>
      <c r="K1333" s="8"/>
      <c r="L1333" s="9"/>
      <c r="M1333" s="10"/>
      <c r="N1333" s="11" t="s">
        <v>5332</v>
      </c>
      <c r="O1333" s="12" t="s">
        <v>26</v>
      </c>
    </row>
    <row r="1334" spans="1:15">
      <c r="A1334" s="4">
        <v>1330</v>
      </c>
      <c r="B1334" s="5" t="s">
        <v>5292</v>
      </c>
      <c r="C1334" s="5" t="s">
        <v>5333</v>
      </c>
      <c r="D1334" s="5" t="s">
        <v>5334</v>
      </c>
      <c r="E1334" s="6" t="s">
        <v>5335</v>
      </c>
      <c r="F1334" s="7" t="s">
        <v>21</v>
      </c>
      <c r="G1334" s="5" t="s">
        <v>29</v>
      </c>
      <c r="H1334" s="8"/>
      <c r="I1334" s="9"/>
      <c r="J1334" s="9" t="s">
        <v>23</v>
      </c>
      <c r="K1334" s="8"/>
      <c r="L1334" s="9"/>
      <c r="M1334" s="10" t="s">
        <v>5336</v>
      </c>
      <c r="N1334" s="11" t="s">
        <v>5337</v>
      </c>
      <c r="O1334" s="12" t="s">
        <v>26</v>
      </c>
    </row>
    <row r="1335" spans="1:15">
      <c r="A1335" s="4">
        <v>1331</v>
      </c>
      <c r="B1335" s="5" t="s">
        <v>5292</v>
      </c>
      <c r="C1335" s="5" t="s">
        <v>5333</v>
      </c>
      <c r="D1335" s="5" t="s">
        <v>5338</v>
      </c>
      <c r="E1335" s="6" t="s">
        <v>5339</v>
      </c>
      <c r="F1335" s="7" t="s">
        <v>21</v>
      </c>
      <c r="G1335" s="5" t="s">
        <v>29</v>
      </c>
      <c r="H1335" s="8"/>
      <c r="I1335" s="9"/>
      <c r="J1335" s="9" t="s">
        <v>23</v>
      </c>
      <c r="K1335" s="8"/>
      <c r="L1335" s="9"/>
      <c r="M1335" s="10"/>
      <c r="N1335" s="11" t="s">
        <v>5340</v>
      </c>
      <c r="O1335" s="12" t="s">
        <v>26</v>
      </c>
    </row>
    <row r="1336" spans="1:15">
      <c r="A1336" s="4">
        <v>1332</v>
      </c>
      <c r="B1336" s="5" t="s">
        <v>5292</v>
      </c>
      <c r="C1336" s="5" t="s">
        <v>5341</v>
      </c>
      <c r="D1336" s="5" t="s">
        <v>5342</v>
      </c>
      <c r="E1336" s="6" t="s">
        <v>5343</v>
      </c>
      <c r="F1336" s="7" t="s">
        <v>21</v>
      </c>
      <c r="G1336" s="5" t="s">
        <v>29</v>
      </c>
      <c r="H1336" s="8"/>
      <c r="I1336" s="9"/>
      <c r="J1336" s="9" t="s">
        <v>23</v>
      </c>
      <c r="K1336" s="8"/>
      <c r="L1336" s="9"/>
      <c r="M1336" s="10" t="s">
        <v>5344</v>
      </c>
      <c r="N1336" s="11" t="s">
        <v>5345</v>
      </c>
      <c r="O1336" s="12" t="s">
        <v>26</v>
      </c>
    </row>
    <row r="1337" spans="1:15">
      <c r="A1337" s="4">
        <v>1333</v>
      </c>
      <c r="B1337" s="5" t="s">
        <v>5292</v>
      </c>
      <c r="C1337" s="5" t="s">
        <v>5298</v>
      </c>
      <c r="D1337" s="5" t="s">
        <v>5346</v>
      </c>
      <c r="E1337" s="6" t="s">
        <v>5347</v>
      </c>
      <c r="F1337" s="7" t="s">
        <v>21</v>
      </c>
      <c r="G1337" s="5" t="s">
        <v>29</v>
      </c>
      <c r="H1337" s="8"/>
      <c r="I1337" s="9"/>
      <c r="J1337" s="9" t="s">
        <v>23</v>
      </c>
      <c r="K1337" s="8"/>
      <c r="L1337" s="9"/>
      <c r="M1337" s="10" t="s">
        <v>5348</v>
      </c>
      <c r="N1337" s="11" t="s">
        <v>5349</v>
      </c>
      <c r="O1337" s="12" t="s">
        <v>26</v>
      </c>
    </row>
    <row r="1338" spans="1:15">
      <c r="A1338" s="4">
        <v>1334</v>
      </c>
      <c r="B1338" s="5" t="s">
        <v>5350</v>
      </c>
      <c r="C1338" s="5" t="s">
        <v>5351</v>
      </c>
      <c r="D1338" s="5" t="s">
        <v>5352</v>
      </c>
      <c r="E1338" s="6" t="s">
        <v>5353</v>
      </c>
      <c r="F1338" s="7" t="s">
        <v>21</v>
      </c>
      <c r="G1338" s="5" t="s">
        <v>29</v>
      </c>
      <c r="H1338" s="8"/>
      <c r="I1338" s="9"/>
      <c r="J1338" s="9" t="s">
        <v>23</v>
      </c>
      <c r="K1338" s="8"/>
      <c r="L1338" s="9"/>
      <c r="M1338" s="10" t="s">
        <v>5354</v>
      </c>
      <c r="N1338" s="11" t="s">
        <v>5355</v>
      </c>
      <c r="O1338" s="12" t="s">
        <v>26</v>
      </c>
    </row>
    <row r="1339" spans="1:15">
      <c r="A1339" s="4">
        <v>1335</v>
      </c>
      <c r="B1339" s="5" t="s">
        <v>5350</v>
      </c>
      <c r="C1339" s="5" t="s">
        <v>5356</v>
      </c>
      <c r="D1339" s="5" t="s">
        <v>5357</v>
      </c>
      <c r="E1339" s="6" t="s">
        <v>5358</v>
      </c>
      <c r="F1339" s="7" t="s">
        <v>21</v>
      </c>
      <c r="G1339" s="5" t="s">
        <v>29</v>
      </c>
      <c r="H1339" s="8"/>
      <c r="I1339" s="9"/>
      <c r="J1339" s="9" t="s">
        <v>23</v>
      </c>
      <c r="K1339" s="8"/>
      <c r="L1339" s="9"/>
      <c r="M1339" s="10" t="s">
        <v>5359</v>
      </c>
      <c r="N1339" s="11" t="s">
        <v>5360</v>
      </c>
      <c r="O1339" s="12" t="s">
        <v>26</v>
      </c>
    </row>
    <row r="1340" spans="1:15">
      <c r="A1340" s="4">
        <v>1336</v>
      </c>
      <c r="B1340" s="5" t="s">
        <v>5350</v>
      </c>
      <c r="C1340" s="5" t="s">
        <v>5361</v>
      </c>
      <c r="D1340" s="5" t="s">
        <v>5362</v>
      </c>
      <c r="E1340" s="6" t="s">
        <v>5363</v>
      </c>
      <c r="F1340" s="7" t="s">
        <v>21</v>
      </c>
      <c r="G1340" s="5" t="s">
        <v>29</v>
      </c>
      <c r="H1340" s="8"/>
      <c r="I1340" s="9"/>
      <c r="J1340" s="9" t="s">
        <v>23</v>
      </c>
      <c r="K1340" s="8"/>
      <c r="L1340" s="9"/>
      <c r="M1340" s="10" t="s">
        <v>5364</v>
      </c>
      <c r="N1340" s="11" t="s">
        <v>5365</v>
      </c>
      <c r="O1340" s="12" t="s">
        <v>26</v>
      </c>
    </row>
    <row r="1341" spans="1:15">
      <c r="A1341" s="4">
        <v>1337</v>
      </c>
      <c r="B1341" s="5" t="s">
        <v>5350</v>
      </c>
      <c r="C1341" s="5" t="s">
        <v>5366</v>
      </c>
      <c r="D1341" s="5" t="s">
        <v>5367</v>
      </c>
      <c r="E1341" s="6" t="s">
        <v>5368</v>
      </c>
      <c r="F1341" s="7" t="s">
        <v>21</v>
      </c>
      <c r="G1341" s="5" t="s">
        <v>29</v>
      </c>
      <c r="H1341" s="8"/>
      <c r="I1341" s="9"/>
      <c r="J1341" s="9" t="s">
        <v>23</v>
      </c>
      <c r="K1341" s="8"/>
      <c r="L1341" s="9"/>
      <c r="M1341" s="10" t="s">
        <v>5369</v>
      </c>
      <c r="N1341" s="11" t="s">
        <v>5370</v>
      </c>
      <c r="O1341" s="12" t="s">
        <v>26</v>
      </c>
    </row>
    <row r="1342" spans="1:15">
      <c r="A1342" s="4">
        <v>1338</v>
      </c>
      <c r="B1342" s="5" t="s">
        <v>5350</v>
      </c>
      <c r="C1342" s="5" t="s">
        <v>5371</v>
      </c>
      <c r="D1342" s="5" t="s">
        <v>5372</v>
      </c>
      <c r="E1342" s="6" t="s">
        <v>5373</v>
      </c>
      <c r="F1342" s="7" t="s">
        <v>21</v>
      </c>
      <c r="G1342" s="5" t="s">
        <v>156</v>
      </c>
      <c r="H1342" s="8"/>
      <c r="I1342" s="9"/>
      <c r="J1342" s="9" t="s">
        <v>23</v>
      </c>
      <c r="K1342" s="8"/>
      <c r="L1342" s="9"/>
      <c r="M1342" s="10" t="s">
        <v>5374</v>
      </c>
      <c r="N1342" s="11" t="s">
        <v>5375</v>
      </c>
      <c r="O1342" s="12" t="s">
        <v>26</v>
      </c>
    </row>
    <row r="1343" spans="1:15">
      <c r="A1343" s="4">
        <v>1339</v>
      </c>
      <c r="B1343" s="5" t="s">
        <v>5350</v>
      </c>
      <c r="C1343" s="5" t="s">
        <v>5376</v>
      </c>
      <c r="D1343" s="5" t="s">
        <v>5377</v>
      </c>
      <c r="E1343" s="6" t="s">
        <v>5378</v>
      </c>
      <c r="F1343" s="13" t="s">
        <v>34</v>
      </c>
      <c r="G1343" s="5" t="s">
        <v>22</v>
      </c>
      <c r="H1343" s="8"/>
      <c r="I1343" s="9"/>
      <c r="J1343" s="9" t="s">
        <v>23</v>
      </c>
      <c r="K1343" s="8"/>
      <c r="L1343" s="9"/>
      <c r="M1343" s="10" t="s">
        <v>5379</v>
      </c>
      <c r="N1343" s="11" t="s">
        <v>5380</v>
      </c>
      <c r="O1343" s="12" t="s">
        <v>26</v>
      </c>
    </row>
    <row r="1344" spans="1:15">
      <c r="A1344" s="4">
        <v>1340</v>
      </c>
      <c r="B1344" s="5" t="s">
        <v>5350</v>
      </c>
      <c r="C1344" s="5" t="s">
        <v>5371</v>
      </c>
      <c r="D1344" s="5" t="s">
        <v>5381</v>
      </c>
      <c r="E1344" s="6" t="s">
        <v>5382</v>
      </c>
      <c r="F1344" s="7" t="s">
        <v>21</v>
      </c>
      <c r="G1344" s="5" t="s">
        <v>29</v>
      </c>
      <c r="H1344" s="8"/>
      <c r="I1344" s="9"/>
      <c r="J1344" s="9" t="s">
        <v>23</v>
      </c>
      <c r="K1344" s="8"/>
      <c r="L1344" s="9"/>
      <c r="M1344" s="10" t="s">
        <v>5383</v>
      </c>
      <c r="N1344" s="11" t="s">
        <v>5384</v>
      </c>
      <c r="O1344" s="12" t="s">
        <v>26</v>
      </c>
    </row>
    <row r="1345" spans="1:15">
      <c r="A1345" s="4">
        <v>1341</v>
      </c>
      <c r="B1345" s="5" t="s">
        <v>5350</v>
      </c>
      <c r="C1345" s="5" t="s">
        <v>5361</v>
      </c>
      <c r="D1345" s="5" t="s">
        <v>5385</v>
      </c>
      <c r="E1345" s="6" t="s">
        <v>5386</v>
      </c>
      <c r="F1345" s="7" t="s">
        <v>21</v>
      </c>
      <c r="G1345" s="5" t="s">
        <v>29</v>
      </c>
      <c r="H1345" s="8"/>
      <c r="I1345" s="9"/>
      <c r="J1345" s="9" t="s">
        <v>23</v>
      </c>
      <c r="K1345" s="8"/>
      <c r="L1345" s="9"/>
      <c r="M1345" s="10" t="s">
        <v>3943</v>
      </c>
      <c r="N1345" s="11" t="s">
        <v>5387</v>
      </c>
      <c r="O1345" s="12" t="s">
        <v>26</v>
      </c>
    </row>
    <row r="1346" spans="1:15">
      <c r="A1346" s="4">
        <v>1342</v>
      </c>
      <c r="B1346" s="5" t="s">
        <v>5350</v>
      </c>
      <c r="C1346" s="5" t="s">
        <v>5371</v>
      </c>
      <c r="D1346" s="5" t="s">
        <v>5388</v>
      </c>
      <c r="E1346" s="6" t="s">
        <v>5389</v>
      </c>
      <c r="F1346" s="7" t="s">
        <v>21</v>
      </c>
      <c r="G1346" s="5" t="s">
        <v>22</v>
      </c>
      <c r="H1346" s="8"/>
      <c r="I1346" s="9"/>
      <c r="J1346" s="9" t="s">
        <v>23</v>
      </c>
      <c r="K1346" s="8"/>
      <c r="L1346" s="9"/>
      <c r="M1346" s="10" t="s">
        <v>3943</v>
      </c>
      <c r="N1346" s="11" t="s">
        <v>5390</v>
      </c>
      <c r="O1346" s="12" t="s">
        <v>26</v>
      </c>
    </row>
    <row r="1347" spans="1:15">
      <c r="A1347" s="4">
        <v>1343</v>
      </c>
      <c r="B1347" s="5" t="s">
        <v>5350</v>
      </c>
      <c r="C1347" s="5" t="s">
        <v>5371</v>
      </c>
      <c r="D1347" s="5" t="s">
        <v>5391</v>
      </c>
      <c r="E1347" s="6" t="s">
        <v>5392</v>
      </c>
      <c r="F1347" s="7" t="s">
        <v>21</v>
      </c>
      <c r="G1347" s="5" t="s">
        <v>156</v>
      </c>
      <c r="H1347" s="8"/>
      <c r="I1347" s="9"/>
      <c r="J1347" s="9" t="s">
        <v>23</v>
      </c>
      <c r="K1347" s="8"/>
      <c r="L1347" s="9"/>
      <c r="M1347" s="10" t="s">
        <v>5393</v>
      </c>
      <c r="N1347" s="11" t="s">
        <v>5394</v>
      </c>
      <c r="O1347" s="12" t="s">
        <v>26</v>
      </c>
    </row>
    <row r="1348" spans="1:15">
      <c r="A1348" s="4">
        <v>1344</v>
      </c>
      <c r="B1348" s="5" t="s">
        <v>5350</v>
      </c>
      <c r="C1348" s="5" t="s">
        <v>5395</v>
      </c>
      <c r="D1348" s="5" t="s">
        <v>5396</v>
      </c>
      <c r="E1348" s="6" t="s">
        <v>5397</v>
      </c>
      <c r="F1348" s="7" t="s">
        <v>21</v>
      </c>
      <c r="G1348" s="5" t="s">
        <v>29</v>
      </c>
      <c r="H1348" s="8"/>
      <c r="I1348" s="9"/>
      <c r="J1348" s="9" t="s">
        <v>23</v>
      </c>
      <c r="K1348" s="8"/>
      <c r="L1348" s="9"/>
      <c r="M1348" s="10" t="s">
        <v>5359</v>
      </c>
      <c r="N1348" s="11" t="s">
        <v>5398</v>
      </c>
      <c r="O1348" s="12" t="s">
        <v>26</v>
      </c>
    </row>
    <row r="1349" spans="1:15">
      <c r="A1349" s="4">
        <v>1345</v>
      </c>
      <c r="B1349" s="5" t="s">
        <v>5350</v>
      </c>
      <c r="C1349" s="5" t="s">
        <v>5395</v>
      </c>
      <c r="D1349" s="5" t="s">
        <v>5399</v>
      </c>
      <c r="E1349" s="6" t="s">
        <v>5400</v>
      </c>
      <c r="F1349" s="7" t="s">
        <v>21</v>
      </c>
      <c r="G1349" s="5" t="s">
        <v>22</v>
      </c>
      <c r="H1349" s="8"/>
      <c r="I1349" s="9"/>
      <c r="J1349" s="9" t="s">
        <v>23</v>
      </c>
      <c r="K1349" s="8"/>
      <c r="L1349" s="9"/>
      <c r="M1349" s="10" t="s">
        <v>5401</v>
      </c>
      <c r="N1349" s="11" t="s">
        <v>5402</v>
      </c>
      <c r="O1349" s="12" t="s">
        <v>26</v>
      </c>
    </row>
    <row r="1350" spans="1:15">
      <c r="A1350" s="4">
        <v>1346</v>
      </c>
      <c r="B1350" s="5" t="s">
        <v>5350</v>
      </c>
      <c r="C1350" s="5" t="s">
        <v>5371</v>
      </c>
      <c r="D1350" s="5" t="s">
        <v>5403</v>
      </c>
      <c r="E1350" s="6" t="s">
        <v>5404</v>
      </c>
      <c r="F1350" s="7" t="s">
        <v>21</v>
      </c>
      <c r="G1350" s="5" t="s">
        <v>29</v>
      </c>
      <c r="H1350" s="8"/>
      <c r="I1350" s="9"/>
      <c r="J1350" s="9" t="s">
        <v>23</v>
      </c>
      <c r="K1350" s="8"/>
      <c r="L1350" s="9"/>
      <c r="M1350" s="10" t="s">
        <v>5405</v>
      </c>
      <c r="N1350" s="11" t="s">
        <v>5406</v>
      </c>
      <c r="O1350" s="12" t="s">
        <v>26</v>
      </c>
    </row>
    <row r="1351" spans="1:15">
      <c r="A1351" s="4">
        <v>1347</v>
      </c>
      <c r="B1351" s="5" t="s">
        <v>5350</v>
      </c>
      <c r="C1351" s="5" t="s">
        <v>5371</v>
      </c>
      <c r="D1351" s="5" t="s">
        <v>5407</v>
      </c>
      <c r="E1351" s="6" t="s">
        <v>5408</v>
      </c>
      <c r="F1351" s="13" t="s">
        <v>34</v>
      </c>
      <c r="G1351" s="5" t="s">
        <v>29</v>
      </c>
      <c r="H1351" s="8"/>
      <c r="I1351" s="9"/>
      <c r="J1351" s="9" t="s">
        <v>23</v>
      </c>
      <c r="K1351" s="8"/>
      <c r="L1351" s="9"/>
      <c r="M1351" s="10" t="s">
        <v>5409</v>
      </c>
      <c r="N1351" s="11" t="s">
        <v>5410</v>
      </c>
      <c r="O1351" s="12" t="s">
        <v>26</v>
      </c>
    </row>
    <row r="1352" spans="1:15">
      <c r="A1352" s="4">
        <v>1348</v>
      </c>
      <c r="B1352" s="5" t="s">
        <v>5350</v>
      </c>
      <c r="C1352" s="5" t="s">
        <v>5371</v>
      </c>
      <c r="D1352" s="5" t="s">
        <v>5411</v>
      </c>
      <c r="E1352" s="6" t="s">
        <v>5412</v>
      </c>
      <c r="F1352" s="7" t="s">
        <v>21</v>
      </c>
      <c r="G1352" s="5" t="s">
        <v>156</v>
      </c>
      <c r="H1352" s="8"/>
      <c r="I1352" s="9"/>
      <c r="J1352" s="9" t="s">
        <v>23</v>
      </c>
      <c r="K1352" s="8"/>
      <c r="L1352" s="9"/>
      <c r="M1352" s="10" t="s">
        <v>5413</v>
      </c>
      <c r="N1352" s="11" t="s">
        <v>5414</v>
      </c>
      <c r="O1352" s="12" t="s">
        <v>26</v>
      </c>
    </row>
    <row r="1353" spans="1:15">
      <c r="A1353" s="4">
        <v>1349</v>
      </c>
      <c r="B1353" s="5" t="s">
        <v>5415</v>
      </c>
      <c r="C1353" s="5" t="s">
        <v>5416</v>
      </c>
      <c r="D1353" s="5" t="s">
        <v>5417</v>
      </c>
      <c r="E1353" s="6" t="s">
        <v>5418</v>
      </c>
      <c r="F1353" s="7" t="s">
        <v>21</v>
      </c>
      <c r="G1353" s="5" t="s">
        <v>22</v>
      </c>
      <c r="H1353" s="8"/>
      <c r="I1353" s="9"/>
      <c r="J1353" s="9" t="s">
        <v>23</v>
      </c>
      <c r="K1353" s="8"/>
      <c r="L1353" s="9"/>
      <c r="M1353" s="10" t="s">
        <v>5419</v>
      </c>
      <c r="N1353" s="11" t="s">
        <v>5420</v>
      </c>
      <c r="O1353" s="12" t="s">
        <v>26</v>
      </c>
    </row>
    <row r="1354" spans="1:15">
      <c r="A1354" s="4">
        <v>1350</v>
      </c>
      <c r="B1354" s="5" t="s">
        <v>5415</v>
      </c>
      <c r="C1354" s="5" t="s">
        <v>5421</v>
      </c>
      <c r="D1354" s="5" t="s">
        <v>5422</v>
      </c>
      <c r="E1354" s="6" t="s">
        <v>5423</v>
      </c>
      <c r="F1354" s="7" t="s">
        <v>21</v>
      </c>
      <c r="G1354" s="5" t="s">
        <v>29</v>
      </c>
      <c r="H1354" s="8"/>
      <c r="I1354" s="9"/>
      <c r="J1354" s="9" t="s">
        <v>23</v>
      </c>
      <c r="K1354" s="8"/>
      <c r="L1354" s="9"/>
      <c r="M1354" s="10" t="s">
        <v>5424</v>
      </c>
      <c r="N1354" s="11" t="s">
        <v>5425</v>
      </c>
      <c r="O1354" s="12" t="s">
        <v>26</v>
      </c>
    </row>
    <row r="1355" spans="1:15">
      <c r="A1355" s="4">
        <v>1351</v>
      </c>
      <c r="B1355" s="5" t="s">
        <v>5415</v>
      </c>
      <c r="C1355" s="5" t="s">
        <v>5426</v>
      </c>
      <c r="D1355" s="5" t="s">
        <v>5427</v>
      </c>
      <c r="E1355" s="6" t="s">
        <v>5428</v>
      </c>
      <c r="F1355" s="7" t="s">
        <v>21</v>
      </c>
      <c r="G1355" s="5" t="s">
        <v>22</v>
      </c>
      <c r="H1355" s="8"/>
      <c r="I1355" s="9"/>
      <c r="J1355" s="9" t="s">
        <v>23</v>
      </c>
      <c r="K1355" s="8"/>
      <c r="L1355" s="9"/>
      <c r="M1355" s="10" t="s">
        <v>5429</v>
      </c>
      <c r="N1355" s="11" t="s">
        <v>5430</v>
      </c>
      <c r="O1355" s="12" t="s">
        <v>26</v>
      </c>
    </row>
    <row r="1356" spans="1:15">
      <c r="A1356" s="4">
        <v>1352</v>
      </c>
      <c r="B1356" s="5" t="s">
        <v>5415</v>
      </c>
      <c r="C1356" s="5" t="s">
        <v>5431</v>
      </c>
      <c r="D1356" s="5" t="s">
        <v>5432</v>
      </c>
      <c r="E1356" s="6" t="s">
        <v>5433</v>
      </c>
      <c r="F1356" s="7" t="s">
        <v>21</v>
      </c>
      <c r="G1356" s="5" t="s">
        <v>22</v>
      </c>
      <c r="H1356" s="8"/>
      <c r="I1356" s="9"/>
      <c r="J1356" s="9" t="s">
        <v>23</v>
      </c>
      <c r="K1356" s="8"/>
      <c r="L1356" s="9"/>
      <c r="M1356" s="10" t="s">
        <v>5434</v>
      </c>
      <c r="N1356" s="11" t="s">
        <v>5435</v>
      </c>
      <c r="O1356" s="12" t="s">
        <v>26</v>
      </c>
    </row>
    <row r="1357" spans="1:15">
      <c r="A1357" s="4">
        <v>1353</v>
      </c>
      <c r="B1357" s="5" t="s">
        <v>5415</v>
      </c>
      <c r="C1357" s="5" t="s">
        <v>5416</v>
      </c>
      <c r="D1357" s="5" t="s">
        <v>5436</v>
      </c>
      <c r="E1357" s="6" t="s">
        <v>5437</v>
      </c>
      <c r="F1357" s="7" t="s">
        <v>21</v>
      </c>
      <c r="G1357" s="5" t="s">
        <v>29</v>
      </c>
      <c r="H1357" s="8"/>
      <c r="I1357" s="9"/>
      <c r="J1357" s="9" t="s">
        <v>23</v>
      </c>
      <c r="K1357" s="8"/>
      <c r="L1357" s="9"/>
      <c r="M1357" s="10"/>
      <c r="N1357" s="11" t="s">
        <v>5438</v>
      </c>
      <c r="O1357" s="12" t="s">
        <v>26</v>
      </c>
    </row>
    <row r="1358" spans="1:15">
      <c r="A1358" s="4">
        <v>1354</v>
      </c>
      <c r="B1358" s="5" t="s">
        <v>5415</v>
      </c>
      <c r="C1358" s="5" t="s">
        <v>5416</v>
      </c>
      <c r="D1358" s="5" t="s">
        <v>5439</v>
      </c>
      <c r="E1358" s="6" t="s">
        <v>5440</v>
      </c>
      <c r="F1358" s="7" t="s">
        <v>21</v>
      </c>
      <c r="G1358" s="5" t="s">
        <v>22</v>
      </c>
      <c r="H1358" s="8"/>
      <c r="I1358" s="9"/>
      <c r="J1358" s="9" t="s">
        <v>23</v>
      </c>
      <c r="K1358" s="8"/>
      <c r="L1358" s="9"/>
      <c r="M1358" s="10"/>
      <c r="N1358" s="11" t="s">
        <v>5441</v>
      </c>
      <c r="O1358" s="12" t="s">
        <v>26</v>
      </c>
    </row>
    <row r="1359" spans="1:15">
      <c r="A1359" s="4">
        <v>1355</v>
      </c>
      <c r="B1359" s="5" t="s">
        <v>5415</v>
      </c>
      <c r="C1359" s="5" t="s">
        <v>5416</v>
      </c>
      <c r="D1359" s="5" t="s">
        <v>5442</v>
      </c>
      <c r="E1359" s="6" t="s">
        <v>5443</v>
      </c>
      <c r="F1359" s="7" t="s">
        <v>21</v>
      </c>
      <c r="G1359" s="5" t="s">
        <v>4774</v>
      </c>
      <c r="H1359" s="8"/>
      <c r="I1359" s="9"/>
      <c r="J1359" s="9" t="s">
        <v>23</v>
      </c>
      <c r="K1359" s="8"/>
      <c r="L1359" s="9"/>
      <c r="M1359" s="10" t="s">
        <v>5444</v>
      </c>
      <c r="N1359" s="11" t="s">
        <v>5445</v>
      </c>
      <c r="O1359" s="12" t="s">
        <v>26</v>
      </c>
    </row>
    <row r="1360" spans="1:15">
      <c r="A1360" s="4">
        <v>1356</v>
      </c>
      <c r="B1360" s="5" t="s">
        <v>5415</v>
      </c>
      <c r="C1360" s="5" t="s">
        <v>5416</v>
      </c>
      <c r="D1360" s="5" t="s">
        <v>5446</v>
      </c>
      <c r="E1360" s="6" t="s">
        <v>5447</v>
      </c>
      <c r="F1360" s="7" t="s">
        <v>21</v>
      </c>
      <c r="G1360" s="5" t="s">
        <v>22</v>
      </c>
      <c r="H1360" s="8"/>
      <c r="I1360" s="9"/>
      <c r="J1360" s="9" t="s">
        <v>23</v>
      </c>
      <c r="K1360" s="8"/>
      <c r="L1360" s="9"/>
      <c r="M1360" s="10" t="s">
        <v>5448</v>
      </c>
      <c r="N1360" s="11" t="s">
        <v>5449</v>
      </c>
      <c r="O1360" s="12" t="s">
        <v>26</v>
      </c>
    </row>
    <row r="1361" spans="1:15">
      <c r="A1361" s="4">
        <v>1357</v>
      </c>
      <c r="B1361" s="5" t="s">
        <v>5415</v>
      </c>
      <c r="C1361" s="5" t="s">
        <v>5431</v>
      </c>
      <c r="D1361" s="5" t="s">
        <v>5450</v>
      </c>
      <c r="E1361" s="6" t="s">
        <v>5451</v>
      </c>
      <c r="F1361" s="7" t="s">
        <v>21</v>
      </c>
      <c r="G1361" s="5" t="s">
        <v>29</v>
      </c>
      <c r="H1361" s="8"/>
      <c r="I1361" s="9"/>
      <c r="J1361" s="9" t="s">
        <v>23</v>
      </c>
      <c r="K1361" s="8"/>
      <c r="L1361" s="9"/>
      <c r="M1361" s="10"/>
      <c r="N1361" s="11" t="s">
        <v>5452</v>
      </c>
      <c r="O1361" s="12" t="s">
        <v>26</v>
      </c>
    </row>
    <row r="1362" spans="1:15">
      <c r="A1362" s="4">
        <v>1358</v>
      </c>
      <c r="B1362" s="5" t="s">
        <v>5415</v>
      </c>
      <c r="C1362" s="5" t="s">
        <v>5416</v>
      </c>
      <c r="D1362" s="5" t="s">
        <v>5453</v>
      </c>
      <c r="E1362" s="6" t="s">
        <v>5454</v>
      </c>
      <c r="F1362" s="7" t="s">
        <v>21</v>
      </c>
      <c r="G1362" s="5" t="s">
        <v>29</v>
      </c>
      <c r="H1362" s="8"/>
      <c r="I1362" s="9"/>
      <c r="J1362" s="9" t="s">
        <v>23</v>
      </c>
      <c r="K1362" s="8"/>
      <c r="L1362" s="9"/>
      <c r="M1362" s="10"/>
      <c r="N1362" s="11" t="s">
        <v>5455</v>
      </c>
      <c r="O1362" s="12" t="s">
        <v>26</v>
      </c>
    </row>
    <row r="1363" spans="1:15">
      <c r="A1363" s="4">
        <v>1359</v>
      </c>
      <c r="B1363" s="5" t="s">
        <v>5415</v>
      </c>
      <c r="C1363" s="5" t="s">
        <v>5456</v>
      </c>
      <c r="D1363" s="5" t="s">
        <v>5457</v>
      </c>
      <c r="E1363" s="6" t="s">
        <v>5458</v>
      </c>
      <c r="F1363" s="7" t="s">
        <v>21</v>
      </c>
      <c r="G1363" s="5" t="s">
        <v>22</v>
      </c>
      <c r="H1363" s="8"/>
      <c r="I1363" s="9"/>
      <c r="J1363" s="9" t="s">
        <v>23</v>
      </c>
      <c r="K1363" s="8"/>
      <c r="L1363" s="9"/>
      <c r="M1363" s="10" t="s">
        <v>5459</v>
      </c>
      <c r="N1363" s="11" t="s">
        <v>5460</v>
      </c>
      <c r="O1363" s="12" t="s">
        <v>26</v>
      </c>
    </row>
    <row r="1364" spans="1:15">
      <c r="A1364" s="4">
        <v>1360</v>
      </c>
      <c r="B1364" s="5" t="s">
        <v>5415</v>
      </c>
      <c r="C1364" s="5" t="s">
        <v>5461</v>
      </c>
      <c r="D1364" s="5" t="s">
        <v>5462</v>
      </c>
      <c r="E1364" s="6" t="s">
        <v>5463</v>
      </c>
      <c r="F1364" s="7" t="s">
        <v>21</v>
      </c>
      <c r="G1364" s="5" t="s">
        <v>156</v>
      </c>
      <c r="H1364" s="8"/>
      <c r="I1364" s="9"/>
      <c r="J1364" s="9" t="s">
        <v>23</v>
      </c>
      <c r="K1364" s="8"/>
      <c r="L1364" s="9"/>
      <c r="M1364" s="10" t="s">
        <v>5464</v>
      </c>
      <c r="N1364" s="11" t="s">
        <v>5465</v>
      </c>
      <c r="O1364" s="12" t="s">
        <v>26</v>
      </c>
    </row>
    <row r="1365" spans="1:15">
      <c r="A1365" s="4">
        <v>1361</v>
      </c>
      <c r="B1365" s="5" t="s">
        <v>5415</v>
      </c>
      <c r="C1365" s="5" t="s">
        <v>5466</v>
      </c>
      <c r="D1365" s="5" t="s">
        <v>5467</v>
      </c>
      <c r="E1365" s="6" t="s">
        <v>5468</v>
      </c>
      <c r="F1365" s="7" t="s">
        <v>21</v>
      </c>
      <c r="G1365" s="5" t="s">
        <v>29</v>
      </c>
      <c r="H1365" s="8"/>
      <c r="I1365" s="9"/>
      <c r="J1365" s="9" t="s">
        <v>23</v>
      </c>
      <c r="K1365" s="8"/>
      <c r="L1365" s="9"/>
      <c r="M1365" s="10" t="s">
        <v>5469</v>
      </c>
      <c r="N1365" s="11" t="s">
        <v>5470</v>
      </c>
      <c r="O1365" s="12" t="s">
        <v>26</v>
      </c>
    </row>
    <row r="1366" spans="1:15">
      <c r="A1366" s="4">
        <v>1362</v>
      </c>
      <c r="B1366" s="5" t="s">
        <v>5415</v>
      </c>
      <c r="C1366" s="5" t="s">
        <v>5416</v>
      </c>
      <c r="D1366" s="5" t="s">
        <v>5471</v>
      </c>
      <c r="E1366" s="6" t="s">
        <v>5472</v>
      </c>
      <c r="F1366" s="7" t="s">
        <v>21</v>
      </c>
      <c r="G1366" s="5" t="s">
        <v>22</v>
      </c>
      <c r="H1366" s="8"/>
      <c r="I1366" s="9"/>
      <c r="J1366" s="9" t="s">
        <v>23</v>
      </c>
      <c r="K1366" s="8"/>
      <c r="L1366" s="9"/>
      <c r="M1366" s="10" t="s">
        <v>5473</v>
      </c>
      <c r="N1366" s="11" t="s">
        <v>5474</v>
      </c>
      <c r="O1366" s="12" t="s">
        <v>26</v>
      </c>
    </row>
    <row r="1367" spans="1:15">
      <c r="A1367" s="4">
        <v>1363</v>
      </c>
      <c r="B1367" s="5" t="s">
        <v>5415</v>
      </c>
      <c r="C1367" s="5" t="s">
        <v>5475</v>
      </c>
      <c r="D1367" s="5" t="s">
        <v>5476</v>
      </c>
      <c r="E1367" s="6" t="s">
        <v>5477</v>
      </c>
      <c r="F1367" s="7" t="s">
        <v>21</v>
      </c>
      <c r="G1367" s="5" t="s">
        <v>29</v>
      </c>
      <c r="H1367" s="8"/>
      <c r="I1367" s="9"/>
      <c r="J1367" s="9" t="s">
        <v>23</v>
      </c>
      <c r="K1367" s="8"/>
      <c r="L1367" s="9"/>
      <c r="M1367" s="10"/>
      <c r="N1367" s="11" t="s">
        <v>5478</v>
      </c>
      <c r="O1367" s="12" t="s">
        <v>26</v>
      </c>
    </row>
    <row r="1368" spans="1:15">
      <c r="A1368" s="4">
        <v>1364</v>
      </c>
      <c r="B1368" s="5" t="s">
        <v>5415</v>
      </c>
      <c r="C1368" s="5" t="s">
        <v>5416</v>
      </c>
      <c r="D1368" s="5" t="s">
        <v>5479</v>
      </c>
      <c r="E1368" s="6" t="s">
        <v>5480</v>
      </c>
      <c r="F1368" s="7" t="s">
        <v>21</v>
      </c>
      <c r="G1368" s="5" t="s">
        <v>29</v>
      </c>
      <c r="H1368" s="8"/>
      <c r="I1368" s="9"/>
      <c r="J1368" s="9" t="s">
        <v>23</v>
      </c>
      <c r="K1368" s="8"/>
      <c r="L1368" s="9"/>
      <c r="M1368" s="10" t="s">
        <v>5481</v>
      </c>
      <c r="N1368" s="11" t="s">
        <v>5482</v>
      </c>
      <c r="O1368" s="12" t="s">
        <v>26</v>
      </c>
    </row>
    <row r="1369" spans="1:15">
      <c r="A1369" s="4">
        <v>1365</v>
      </c>
      <c r="B1369" s="5" t="s">
        <v>5415</v>
      </c>
      <c r="C1369" s="5" t="s">
        <v>5483</v>
      </c>
      <c r="D1369" s="5" t="s">
        <v>5484</v>
      </c>
      <c r="E1369" s="6" t="s">
        <v>5485</v>
      </c>
      <c r="F1369" s="7" t="s">
        <v>21</v>
      </c>
      <c r="G1369" s="5" t="s">
        <v>29</v>
      </c>
      <c r="H1369" s="8"/>
      <c r="I1369" s="9"/>
      <c r="J1369" s="9" t="s">
        <v>23</v>
      </c>
      <c r="K1369" s="8"/>
      <c r="L1369" s="9"/>
      <c r="M1369" s="10"/>
      <c r="N1369" s="11" t="s">
        <v>5486</v>
      </c>
      <c r="O1369" s="12" t="s">
        <v>26</v>
      </c>
    </row>
    <row r="1370" spans="1:15">
      <c r="A1370" s="4">
        <v>1366</v>
      </c>
      <c r="B1370" s="5" t="s">
        <v>5415</v>
      </c>
      <c r="C1370" s="5" t="s">
        <v>5487</v>
      </c>
      <c r="D1370" s="5" t="s">
        <v>5488</v>
      </c>
      <c r="E1370" s="6" t="s">
        <v>5489</v>
      </c>
      <c r="F1370" s="7" t="s">
        <v>21</v>
      </c>
      <c r="G1370" s="5" t="s">
        <v>29</v>
      </c>
      <c r="H1370" s="8"/>
      <c r="I1370" s="9"/>
      <c r="J1370" s="9" t="s">
        <v>23</v>
      </c>
      <c r="K1370" s="8"/>
      <c r="L1370" s="9"/>
      <c r="M1370" s="10"/>
      <c r="N1370" s="11" t="s">
        <v>5490</v>
      </c>
      <c r="O1370" s="12" t="s">
        <v>26</v>
      </c>
    </row>
    <row r="1371" spans="1:15">
      <c r="A1371" s="4">
        <v>1367</v>
      </c>
      <c r="B1371" s="5" t="s">
        <v>5415</v>
      </c>
      <c r="C1371" s="5" t="s">
        <v>5491</v>
      </c>
      <c r="D1371" s="5" t="s">
        <v>5492</v>
      </c>
      <c r="E1371" s="6" t="s">
        <v>5493</v>
      </c>
      <c r="F1371" s="13" t="s">
        <v>34</v>
      </c>
      <c r="G1371" s="5" t="s">
        <v>22</v>
      </c>
      <c r="H1371" s="8"/>
      <c r="I1371" s="9"/>
      <c r="J1371" s="9" t="s">
        <v>23</v>
      </c>
      <c r="K1371" s="8"/>
      <c r="L1371" s="9"/>
      <c r="M1371" s="10" t="s">
        <v>5494</v>
      </c>
      <c r="N1371" s="11" t="s">
        <v>5495</v>
      </c>
      <c r="O1371" s="12" t="s">
        <v>26</v>
      </c>
    </row>
    <row r="1372" spans="1:15">
      <c r="A1372" s="4">
        <v>1368</v>
      </c>
      <c r="B1372" s="5" t="s">
        <v>5415</v>
      </c>
      <c r="C1372" s="5" t="s">
        <v>5416</v>
      </c>
      <c r="D1372" s="5" t="s">
        <v>5496</v>
      </c>
      <c r="E1372" s="6" t="s">
        <v>5497</v>
      </c>
      <c r="F1372" s="7" t="s">
        <v>21</v>
      </c>
      <c r="G1372" s="5" t="s">
        <v>22</v>
      </c>
      <c r="H1372" s="8"/>
      <c r="I1372" s="9"/>
      <c r="J1372" s="9" t="s">
        <v>23</v>
      </c>
      <c r="K1372" s="8"/>
      <c r="L1372" s="9"/>
      <c r="M1372" s="10" t="s">
        <v>5498</v>
      </c>
      <c r="N1372" s="11" t="s">
        <v>5499</v>
      </c>
      <c r="O1372" s="12" t="s">
        <v>26</v>
      </c>
    </row>
    <row r="1373" spans="1:15">
      <c r="A1373" s="4">
        <v>1369</v>
      </c>
      <c r="B1373" s="5" t="s">
        <v>5415</v>
      </c>
      <c r="C1373" s="5" t="s">
        <v>5500</v>
      </c>
      <c r="D1373" s="5" t="s">
        <v>5501</v>
      </c>
      <c r="E1373" s="6" t="s">
        <v>5502</v>
      </c>
      <c r="F1373" s="7" t="s">
        <v>21</v>
      </c>
      <c r="G1373" s="5" t="s">
        <v>156</v>
      </c>
      <c r="H1373" s="8"/>
      <c r="I1373" s="9"/>
      <c r="J1373" s="9" t="s">
        <v>23</v>
      </c>
      <c r="K1373" s="8"/>
      <c r="L1373" s="9"/>
      <c r="M1373" s="10" t="s">
        <v>5503</v>
      </c>
      <c r="N1373" s="11" t="s">
        <v>5504</v>
      </c>
      <c r="O1373" s="12" t="s">
        <v>26</v>
      </c>
    </row>
    <row r="1374" spans="1:15">
      <c r="A1374" s="4">
        <v>1370</v>
      </c>
      <c r="B1374" s="5" t="s">
        <v>5415</v>
      </c>
      <c r="C1374" s="5" t="s">
        <v>5505</v>
      </c>
      <c r="D1374" s="5" t="s">
        <v>5506</v>
      </c>
      <c r="E1374" s="6" t="s">
        <v>5507</v>
      </c>
      <c r="F1374" s="7" t="s">
        <v>21</v>
      </c>
      <c r="G1374" s="5" t="s">
        <v>29</v>
      </c>
      <c r="H1374" s="8"/>
      <c r="I1374" s="9"/>
      <c r="J1374" s="9" t="s">
        <v>23</v>
      </c>
      <c r="K1374" s="8"/>
      <c r="L1374" s="9"/>
      <c r="M1374" s="10" t="s">
        <v>5508</v>
      </c>
      <c r="N1374" s="11" t="s">
        <v>5509</v>
      </c>
      <c r="O1374" s="12" t="s">
        <v>26</v>
      </c>
    </row>
    <row r="1375" spans="1:15">
      <c r="A1375" s="4">
        <v>1371</v>
      </c>
      <c r="B1375" s="5" t="s">
        <v>5510</v>
      </c>
      <c r="C1375" s="5" t="s">
        <v>5511</v>
      </c>
      <c r="D1375" s="5" t="s">
        <v>5512</v>
      </c>
      <c r="E1375" s="6" t="s">
        <v>5513</v>
      </c>
      <c r="F1375" s="7" t="s">
        <v>21</v>
      </c>
      <c r="G1375" s="5" t="s">
        <v>22</v>
      </c>
      <c r="H1375" s="8"/>
      <c r="I1375" s="9"/>
      <c r="J1375" s="9" t="s">
        <v>23</v>
      </c>
      <c r="K1375" s="8"/>
      <c r="L1375" s="9"/>
      <c r="M1375" s="10" t="s">
        <v>5514</v>
      </c>
      <c r="N1375" s="11" t="s">
        <v>5515</v>
      </c>
      <c r="O1375" s="12" t="s">
        <v>26</v>
      </c>
    </row>
    <row r="1376" spans="1:15">
      <c r="A1376" s="4">
        <v>1372</v>
      </c>
      <c r="B1376" s="5" t="s">
        <v>5510</v>
      </c>
      <c r="C1376" s="5" t="s">
        <v>5516</v>
      </c>
      <c r="D1376" s="5" t="s">
        <v>5517</v>
      </c>
      <c r="E1376" s="6" t="s">
        <v>5518</v>
      </c>
      <c r="F1376" s="13" t="s">
        <v>34</v>
      </c>
      <c r="G1376" s="5" t="s">
        <v>22</v>
      </c>
      <c r="H1376" s="8"/>
      <c r="I1376" s="9"/>
      <c r="J1376" s="9" t="s">
        <v>23</v>
      </c>
      <c r="K1376" s="8"/>
      <c r="L1376" s="9"/>
      <c r="M1376" s="10" t="s">
        <v>5519</v>
      </c>
      <c r="N1376" s="11" t="s">
        <v>5520</v>
      </c>
      <c r="O1376" s="12" t="s">
        <v>26</v>
      </c>
    </row>
    <row r="1377" spans="1:15">
      <c r="A1377" s="4">
        <v>1373</v>
      </c>
      <c r="B1377" s="5" t="s">
        <v>5510</v>
      </c>
      <c r="C1377" s="5" t="s">
        <v>5521</v>
      </c>
      <c r="D1377" s="5" t="s">
        <v>5522</v>
      </c>
      <c r="E1377" s="6" t="s">
        <v>5523</v>
      </c>
      <c r="F1377" s="7" t="s">
        <v>21</v>
      </c>
      <c r="G1377" s="5" t="s">
        <v>22</v>
      </c>
      <c r="H1377" s="8"/>
      <c r="I1377" s="9"/>
      <c r="J1377" s="9" t="s">
        <v>23</v>
      </c>
      <c r="K1377" s="8"/>
      <c r="L1377" s="9"/>
      <c r="M1377" s="10" t="s">
        <v>5524</v>
      </c>
      <c r="N1377" s="11" t="s">
        <v>5525</v>
      </c>
      <c r="O1377" s="12" t="s">
        <v>26</v>
      </c>
    </row>
    <row r="1378" spans="1:15">
      <c r="A1378" s="4">
        <v>1374</v>
      </c>
      <c r="B1378" s="5" t="s">
        <v>5510</v>
      </c>
      <c r="C1378" s="5" t="s">
        <v>5526</v>
      </c>
      <c r="D1378" s="5" t="s">
        <v>5527</v>
      </c>
      <c r="E1378" s="6" t="s">
        <v>5528</v>
      </c>
      <c r="F1378" s="7" t="s">
        <v>21</v>
      </c>
      <c r="G1378" s="5" t="s">
        <v>22</v>
      </c>
      <c r="H1378" s="8"/>
      <c r="I1378" s="9"/>
      <c r="J1378" s="9" t="s">
        <v>23</v>
      </c>
      <c r="K1378" s="8"/>
      <c r="L1378" s="9"/>
      <c r="M1378" s="10" t="s">
        <v>5529</v>
      </c>
      <c r="N1378" s="11" t="s">
        <v>5530</v>
      </c>
      <c r="O1378" s="12" t="s">
        <v>26</v>
      </c>
    </row>
    <row r="1379" spans="1:15">
      <c r="A1379" s="4">
        <v>1375</v>
      </c>
      <c r="B1379" s="5" t="s">
        <v>5510</v>
      </c>
      <c r="C1379" s="5" t="s">
        <v>5526</v>
      </c>
      <c r="D1379" s="5" t="s">
        <v>5531</v>
      </c>
      <c r="E1379" s="6" t="s">
        <v>5532</v>
      </c>
      <c r="F1379" s="7" t="s">
        <v>21</v>
      </c>
      <c r="G1379" s="5" t="s">
        <v>22</v>
      </c>
      <c r="H1379" s="8"/>
      <c r="I1379" s="9"/>
      <c r="J1379" s="9" t="s">
        <v>23</v>
      </c>
      <c r="K1379" s="8"/>
      <c r="L1379" s="9"/>
      <c r="M1379" s="10" t="s">
        <v>5533</v>
      </c>
      <c r="N1379" s="11" t="s">
        <v>5534</v>
      </c>
      <c r="O1379" s="12" t="s">
        <v>26</v>
      </c>
    </row>
    <row r="1380" spans="1:15">
      <c r="A1380" s="4">
        <v>1376</v>
      </c>
      <c r="B1380" s="5" t="s">
        <v>5510</v>
      </c>
      <c r="C1380" s="5" t="s">
        <v>5535</v>
      </c>
      <c r="D1380" s="5" t="s">
        <v>5536</v>
      </c>
      <c r="E1380" s="6" t="s">
        <v>5537</v>
      </c>
      <c r="F1380" s="7" t="s">
        <v>21</v>
      </c>
      <c r="G1380" s="5" t="s">
        <v>22</v>
      </c>
      <c r="H1380" s="8"/>
      <c r="I1380" s="9"/>
      <c r="J1380" s="9" t="s">
        <v>23</v>
      </c>
      <c r="K1380" s="8"/>
      <c r="L1380" s="9"/>
      <c r="M1380" s="10" t="s">
        <v>5538</v>
      </c>
      <c r="N1380" s="11" t="s">
        <v>5539</v>
      </c>
      <c r="O1380" s="12" t="s">
        <v>26</v>
      </c>
    </row>
    <row r="1381" spans="1:15">
      <c r="A1381" s="4">
        <v>1377</v>
      </c>
      <c r="B1381" s="5" t="s">
        <v>5510</v>
      </c>
      <c r="C1381" s="5" t="s">
        <v>5540</v>
      </c>
      <c r="D1381" s="5" t="s">
        <v>5541</v>
      </c>
      <c r="E1381" s="6" t="s">
        <v>5542</v>
      </c>
      <c r="F1381" s="7" t="s">
        <v>21</v>
      </c>
      <c r="G1381" s="5" t="s">
        <v>22</v>
      </c>
      <c r="H1381" s="8"/>
      <c r="I1381" s="9"/>
      <c r="J1381" s="9" t="s">
        <v>23</v>
      </c>
      <c r="K1381" s="8"/>
      <c r="L1381" s="9"/>
      <c r="M1381" s="10" t="s">
        <v>5543</v>
      </c>
      <c r="N1381" s="11" t="s">
        <v>5544</v>
      </c>
      <c r="O1381" s="12" t="s">
        <v>26</v>
      </c>
    </row>
    <row r="1382" spans="1:15">
      <c r="A1382" s="4">
        <v>1378</v>
      </c>
      <c r="B1382" s="5" t="s">
        <v>5510</v>
      </c>
      <c r="C1382" s="5" t="s">
        <v>5545</v>
      </c>
      <c r="D1382" s="5" t="s">
        <v>5546</v>
      </c>
      <c r="E1382" s="6" t="s">
        <v>5547</v>
      </c>
      <c r="F1382" s="7" t="s">
        <v>21</v>
      </c>
      <c r="G1382" s="5" t="s">
        <v>22</v>
      </c>
      <c r="H1382" s="8"/>
      <c r="I1382" s="9"/>
      <c r="J1382" s="9" t="s">
        <v>23</v>
      </c>
      <c r="K1382" s="8"/>
      <c r="L1382" s="9"/>
      <c r="M1382" s="10" t="s">
        <v>5548</v>
      </c>
      <c r="N1382" s="11" t="s">
        <v>5549</v>
      </c>
      <c r="O1382" s="12" t="s">
        <v>26</v>
      </c>
    </row>
  </sheetData>
  <autoFilter ref="A4:O1382"/>
  <conditionalFormatting sqref="A5:O1382">
    <cfRule type="expression" dxfId="0" priority="1">
      <formula>$J5="アポ獲得"</formula>
    </cfRule>
    <cfRule type="expression" dxfId="1" priority="2">
      <formula>$J5="NG"</formula>
    </cfRule>
  </conditionalFormatting>
  <dataValidations count="3">
    <dataValidation type="list" allowBlank="1" showInputMessage="1" showErrorMessage="1" sqref="J5:J1382">
      <formula1>"未架電,不在・折返し待ち,担当者不在,資料送付,アポ獲得,検討中,NG,番号不明"</formula1>
    </dataValidation>
    <dataValidation type="date" operator="greaterThan" allowBlank="1" showInputMessage="1" showErrorMessage="1" errorTitle="日付" error="日付で入力してください（例：2026/10/9）" sqref="H5:H1382">
      <formula1>36526</formula1>
    </dataValidation>
    <dataValidation type="date" operator="greaterThan" allowBlank="1" showInputMessage="1" showErrorMessage="1" errorTitle="日付" error="日付で入力してください（例：2026/10/9）" sqref="K5:K1382">
      <formula1>36526</formula1>
    </dataValidation>
  </dataValidations>
  <hyperlinks>
    <hyperlink ref="N5" r:id="rId1"/>
    <hyperlink ref="O5" r:id="rId2"/>
    <hyperlink ref="N6" r:id="rId3"/>
    <hyperlink ref="O6" r:id="rId4"/>
    <hyperlink ref="N7" r:id="rId5"/>
    <hyperlink ref="O7" r:id="rId6"/>
    <hyperlink ref="N8" r:id="rId7"/>
    <hyperlink ref="O8" r:id="rId8"/>
    <hyperlink ref="N9" r:id="rId9"/>
    <hyperlink ref="O9" r:id="rId10"/>
    <hyperlink ref="N10" r:id="rId11"/>
    <hyperlink ref="O10" r:id="rId12"/>
    <hyperlink ref="N11" r:id="rId13"/>
    <hyperlink ref="O11" r:id="rId14"/>
    <hyperlink ref="N12" r:id="rId15"/>
    <hyperlink ref="O12" r:id="rId16"/>
    <hyperlink ref="N13" r:id="rId17"/>
    <hyperlink ref="O13" r:id="rId18"/>
    <hyperlink ref="N14" r:id="rId19"/>
    <hyperlink ref="O14" r:id="rId20"/>
    <hyperlink ref="N15" r:id="rId21"/>
    <hyperlink ref="O15" r:id="rId22"/>
    <hyperlink ref="N16" r:id="rId23"/>
    <hyperlink ref="O16" r:id="rId24"/>
    <hyperlink ref="N17" r:id="rId25"/>
    <hyperlink ref="O17" r:id="rId26"/>
    <hyperlink ref="N18" r:id="rId27"/>
    <hyperlink ref="O18" r:id="rId28"/>
    <hyperlink ref="N19" r:id="rId29"/>
    <hyperlink ref="O19" r:id="rId30"/>
    <hyperlink ref="N20" r:id="rId31"/>
    <hyperlink ref="O20" r:id="rId32"/>
    <hyperlink ref="N21" r:id="rId33"/>
    <hyperlink ref="O21" r:id="rId34"/>
    <hyperlink ref="N22" r:id="rId35"/>
    <hyperlink ref="O22" r:id="rId36"/>
    <hyperlink ref="N23" r:id="rId37"/>
    <hyperlink ref="O23" r:id="rId38"/>
    <hyperlink ref="N24" r:id="rId39"/>
    <hyperlink ref="O24" r:id="rId40"/>
    <hyperlink ref="N25" r:id="rId41"/>
    <hyperlink ref="O25" r:id="rId42"/>
    <hyperlink ref="N26" r:id="rId43"/>
    <hyperlink ref="O26" r:id="rId44"/>
    <hyperlink ref="N27" r:id="rId45"/>
    <hyperlink ref="O27" r:id="rId46"/>
    <hyperlink ref="N28" r:id="rId47"/>
    <hyperlink ref="O28" r:id="rId48"/>
    <hyperlink ref="N29" r:id="rId49"/>
    <hyperlink ref="O29" r:id="rId50"/>
    <hyperlink ref="N30" r:id="rId51"/>
    <hyperlink ref="O30" r:id="rId52"/>
    <hyperlink ref="N31" r:id="rId53"/>
    <hyperlink ref="O31" r:id="rId54"/>
    <hyperlink ref="N32" r:id="rId55"/>
    <hyperlink ref="O32" r:id="rId56"/>
    <hyperlink ref="N33" r:id="rId57"/>
    <hyperlink ref="O33" r:id="rId58"/>
    <hyperlink ref="N34" r:id="rId59"/>
    <hyperlink ref="O34" r:id="rId60"/>
    <hyperlink ref="N35" r:id="rId61"/>
    <hyperlink ref="O35" r:id="rId62"/>
    <hyperlink ref="N36" r:id="rId63"/>
    <hyperlink ref="O36" r:id="rId64"/>
    <hyperlink ref="N37" r:id="rId65"/>
    <hyperlink ref="O37" r:id="rId66"/>
    <hyperlink ref="N38" r:id="rId67"/>
    <hyperlink ref="O38" r:id="rId68"/>
    <hyperlink ref="N39" r:id="rId69"/>
    <hyperlink ref="O39" r:id="rId70"/>
    <hyperlink ref="N40" r:id="rId71"/>
    <hyperlink ref="O40" r:id="rId72"/>
    <hyperlink ref="N41" r:id="rId73"/>
    <hyperlink ref="O41" r:id="rId74"/>
    <hyperlink ref="N42" r:id="rId75"/>
    <hyperlink ref="O42" r:id="rId76"/>
    <hyperlink ref="N43" r:id="rId77"/>
    <hyperlink ref="O43" r:id="rId78"/>
    <hyperlink ref="N44" r:id="rId79"/>
    <hyperlink ref="O44" r:id="rId80"/>
    <hyperlink ref="N45" r:id="rId81"/>
    <hyperlink ref="O45" r:id="rId82"/>
    <hyperlink ref="N46" r:id="rId83"/>
    <hyperlink ref="O46" r:id="rId84"/>
    <hyperlink ref="N47" r:id="rId85"/>
    <hyperlink ref="O47" r:id="rId86"/>
    <hyperlink ref="N48" r:id="rId87"/>
    <hyperlink ref="O48" r:id="rId88"/>
    <hyperlink ref="N49" r:id="rId89"/>
    <hyperlink ref="O49" r:id="rId90"/>
    <hyperlink ref="N50" r:id="rId91"/>
    <hyperlink ref="O50" r:id="rId92"/>
    <hyperlink ref="N51" r:id="rId93"/>
    <hyperlink ref="O51" r:id="rId94"/>
    <hyperlink ref="N52" r:id="rId95"/>
    <hyperlink ref="O52" r:id="rId96"/>
    <hyperlink ref="N53" r:id="rId97"/>
    <hyperlink ref="O53" r:id="rId98"/>
    <hyperlink ref="N54" r:id="rId99"/>
    <hyperlink ref="O54" r:id="rId100"/>
    <hyperlink ref="N55" r:id="rId101"/>
    <hyperlink ref="O55" r:id="rId102"/>
    <hyperlink ref="N56" r:id="rId103"/>
    <hyperlink ref="O56" r:id="rId104"/>
    <hyperlink ref="N57" r:id="rId105"/>
    <hyperlink ref="O57" r:id="rId106"/>
    <hyperlink ref="N58" r:id="rId107"/>
    <hyperlink ref="O58" r:id="rId108"/>
    <hyperlink ref="N59" r:id="rId109"/>
    <hyperlink ref="O59" r:id="rId110"/>
    <hyperlink ref="N60" r:id="rId111"/>
    <hyperlink ref="O60" r:id="rId112"/>
    <hyperlink ref="N61" r:id="rId113"/>
    <hyperlink ref="O61" r:id="rId114"/>
    <hyperlink ref="N62" r:id="rId115"/>
    <hyperlink ref="O62" r:id="rId116"/>
    <hyperlink ref="N63" r:id="rId117"/>
    <hyperlink ref="O63" r:id="rId118"/>
    <hyperlink ref="N64" r:id="rId119"/>
    <hyperlink ref="O64" r:id="rId120"/>
    <hyperlink ref="N65" r:id="rId121"/>
    <hyperlink ref="O65" r:id="rId122"/>
    <hyperlink ref="N66" r:id="rId123"/>
    <hyperlink ref="O66" r:id="rId124"/>
    <hyperlink ref="N67" r:id="rId125"/>
    <hyperlink ref="O67" r:id="rId126"/>
    <hyperlink ref="N68" r:id="rId127"/>
    <hyperlink ref="O68" r:id="rId128"/>
    <hyperlink ref="N69" r:id="rId129"/>
    <hyperlink ref="O69" r:id="rId130"/>
    <hyperlink ref="N70" r:id="rId131"/>
    <hyperlink ref="O70" r:id="rId132"/>
    <hyperlink ref="N71" r:id="rId133"/>
    <hyperlink ref="O71" r:id="rId134"/>
    <hyperlink ref="N72" r:id="rId135"/>
    <hyperlink ref="O72" r:id="rId136"/>
    <hyperlink ref="N73" r:id="rId137"/>
    <hyperlink ref="O73" r:id="rId138"/>
    <hyperlink ref="N74" r:id="rId139"/>
    <hyperlink ref="O74" r:id="rId140"/>
    <hyperlink ref="N75" r:id="rId141"/>
    <hyperlink ref="O75" r:id="rId142"/>
    <hyperlink ref="N76" r:id="rId143"/>
    <hyperlink ref="O76" r:id="rId144"/>
    <hyperlink ref="N77" r:id="rId145"/>
    <hyperlink ref="O77" r:id="rId146"/>
    <hyperlink ref="N78" r:id="rId147"/>
    <hyperlink ref="O78" r:id="rId148"/>
    <hyperlink ref="N79" r:id="rId149"/>
    <hyperlink ref="O79" r:id="rId150"/>
    <hyperlink ref="N80" r:id="rId151"/>
    <hyperlink ref="O80" r:id="rId152"/>
    <hyperlink ref="N81" r:id="rId153"/>
    <hyperlink ref="O81" r:id="rId154"/>
    <hyperlink ref="N82" r:id="rId155"/>
    <hyperlink ref="O82" r:id="rId156"/>
    <hyperlink ref="N83" r:id="rId157"/>
    <hyperlink ref="O83" r:id="rId158"/>
    <hyperlink ref="N84" r:id="rId159"/>
    <hyperlink ref="O84" r:id="rId160"/>
    <hyperlink ref="N85" r:id="rId161"/>
    <hyperlink ref="O85" r:id="rId162"/>
    <hyperlink ref="N86" r:id="rId163"/>
    <hyperlink ref="O86" r:id="rId164"/>
    <hyperlink ref="N87" r:id="rId165"/>
    <hyperlink ref="O87" r:id="rId166"/>
    <hyperlink ref="N88" r:id="rId167"/>
    <hyperlink ref="O88" r:id="rId168"/>
    <hyperlink ref="N89" r:id="rId169"/>
    <hyperlink ref="O89" r:id="rId170"/>
    <hyperlink ref="N90" r:id="rId171"/>
    <hyperlink ref="O90" r:id="rId172"/>
    <hyperlink ref="N91" r:id="rId173"/>
    <hyperlink ref="O91" r:id="rId174"/>
    <hyperlink ref="N92" r:id="rId175"/>
    <hyperlink ref="O92" r:id="rId176"/>
    <hyperlink ref="N93" r:id="rId177"/>
    <hyperlink ref="O93" r:id="rId178"/>
    <hyperlink ref="N94" r:id="rId179"/>
    <hyperlink ref="O94" r:id="rId180"/>
    <hyperlink ref="N95" r:id="rId181"/>
    <hyperlink ref="O95" r:id="rId182"/>
    <hyperlink ref="N96" r:id="rId183"/>
    <hyperlink ref="O96" r:id="rId184"/>
    <hyperlink ref="N97" r:id="rId185"/>
    <hyperlink ref="O97" r:id="rId186"/>
    <hyperlink ref="N98" r:id="rId187"/>
    <hyperlink ref="O98" r:id="rId188"/>
    <hyperlink ref="N99" r:id="rId189"/>
    <hyperlink ref="O99" r:id="rId190"/>
    <hyperlink ref="N100" r:id="rId191"/>
    <hyperlink ref="O100" r:id="rId192"/>
    <hyperlink ref="N101" r:id="rId193"/>
    <hyperlink ref="O101" r:id="rId194"/>
    <hyperlink ref="N102" r:id="rId195"/>
    <hyperlink ref="O102" r:id="rId196"/>
    <hyperlink ref="N103" r:id="rId197"/>
    <hyperlink ref="O103" r:id="rId198"/>
    <hyperlink ref="N104" r:id="rId199"/>
    <hyperlink ref="O104" r:id="rId200"/>
    <hyperlink ref="N105" r:id="rId201"/>
    <hyperlink ref="O105" r:id="rId202"/>
    <hyperlink ref="N106" r:id="rId203"/>
    <hyperlink ref="O106" r:id="rId204"/>
    <hyperlink ref="N107" r:id="rId205"/>
    <hyperlink ref="O107" r:id="rId206"/>
    <hyperlink ref="N108" r:id="rId207"/>
    <hyperlink ref="O108" r:id="rId208"/>
    <hyperlink ref="N109" r:id="rId209"/>
    <hyperlink ref="O109" r:id="rId210"/>
    <hyperlink ref="N110" r:id="rId211"/>
    <hyperlink ref="O110" r:id="rId212"/>
    <hyperlink ref="N111" r:id="rId213"/>
    <hyperlink ref="O111" r:id="rId214"/>
    <hyperlink ref="N112" r:id="rId215"/>
    <hyperlink ref="O112" r:id="rId216"/>
    <hyperlink ref="N113" r:id="rId217"/>
    <hyperlink ref="O113" r:id="rId218"/>
    <hyperlink ref="N114" r:id="rId219"/>
    <hyperlink ref="O114" r:id="rId220"/>
    <hyperlink ref="N115" r:id="rId221"/>
    <hyperlink ref="O115" r:id="rId222"/>
    <hyperlink ref="N116" r:id="rId223"/>
    <hyperlink ref="O116" r:id="rId224"/>
    <hyperlink ref="N117" r:id="rId225"/>
    <hyperlink ref="O117" r:id="rId226"/>
    <hyperlink ref="N118" r:id="rId227"/>
    <hyperlink ref="O118" r:id="rId228"/>
    <hyperlink ref="N119" r:id="rId229"/>
    <hyperlink ref="O119" r:id="rId230"/>
    <hyperlink ref="N120" r:id="rId231"/>
    <hyperlink ref="O120" r:id="rId232"/>
    <hyperlink ref="N121" r:id="rId233"/>
    <hyperlink ref="O121" r:id="rId234"/>
    <hyperlink ref="N122" r:id="rId235"/>
    <hyperlink ref="O122" r:id="rId236"/>
    <hyperlink ref="N123" r:id="rId237"/>
    <hyperlink ref="O123" r:id="rId238"/>
    <hyperlink ref="N124" r:id="rId239"/>
    <hyperlink ref="O124" r:id="rId240"/>
    <hyperlink ref="N125" r:id="rId241"/>
    <hyperlink ref="O125" r:id="rId242"/>
    <hyperlink ref="N126" r:id="rId243"/>
    <hyperlink ref="O126" r:id="rId244"/>
    <hyperlink ref="N127" r:id="rId245"/>
    <hyperlink ref="O127" r:id="rId246"/>
    <hyperlink ref="N128" r:id="rId247"/>
    <hyperlink ref="O128" r:id="rId248"/>
    <hyperlink ref="N129" r:id="rId249"/>
    <hyperlink ref="O129" r:id="rId250"/>
    <hyperlink ref="N130" r:id="rId251"/>
    <hyperlink ref="O130" r:id="rId252"/>
    <hyperlink ref="N131" r:id="rId253"/>
    <hyperlink ref="O131" r:id="rId254"/>
    <hyperlink ref="N132" r:id="rId255"/>
    <hyperlink ref="O132" r:id="rId256"/>
    <hyperlink ref="N133" r:id="rId257"/>
    <hyperlink ref="O133" r:id="rId258"/>
    <hyperlink ref="N134" r:id="rId259"/>
    <hyperlink ref="O134" r:id="rId260"/>
    <hyperlink ref="N135" r:id="rId261"/>
    <hyperlink ref="O135" r:id="rId262"/>
    <hyperlink ref="N136" r:id="rId263"/>
    <hyperlink ref="O136" r:id="rId264"/>
    <hyperlink ref="N137" r:id="rId265"/>
    <hyperlink ref="O137" r:id="rId266"/>
    <hyperlink ref="N138" r:id="rId267"/>
    <hyperlink ref="O138" r:id="rId268"/>
    <hyperlink ref="N139" r:id="rId269"/>
    <hyperlink ref="O139" r:id="rId270"/>
    <hyperlink ref="N140" r:id="rId271"/>
    <hyperlink ref="O140" r:id="rId272"/>
    <hyperlink ref="N141" r:id="rId273"/>
    <hyperlink ref="O141" r:id="rId274"/>
    <hyperlink ref="N142" r:id="rId275"/>
    <hyperlink ref="O142" r:id="rId276"/>
    <hyperlink ref="N143" r:id="rId277"/>
    <hyperlink ref="O143" r:id="rId278"/>
    <hyperlink ref="N144" r:id="rId279"/>
    <hyperlink ref="O144" r:id="rId280"/>
    <hyperlink ref="N145" r:id="rId281"/>
    <hyperlink ref="O145" r:id="rId282"/>
    <hyperlink ref="N146" r:id="rId283"/>
    <hyperlink ref="O146" r:id="rId284"/>
    <hyperlink ref="N147" r:id="rId285"/>
    <hyperlink ref="O147" r:id="rId286"/>
    <hyperlink ref="N148" r:id="rId287"/>
    <hyperlink ref="O148" r:id="rId288"/>
    <hyperlink ref="N149" r:id="rId289"/>
    <hyperlink ref="O149" r:id="rId290"/>
    <hyperlink ref="N150" r:id="rId291"/>
    <hyperlink ref="O150" r:id="rId292"/>
    <hyperlink ref="N151" r:id="rId293"/>
    <hyperlink ref="O151" r:id="rId294"/>
    <hyperlink ref="N152" r:id="rId295"/>
    <hyperlink ref="O152" r:id="rId296"/>
    <hyperlink ref="N153" r:id="rId297"/>
    <hyperlink ref="O153" r:id="rId298"/>
    <hyperlink ref="N154" r:id="rId299"/>
    <hyperlink ref="O154" r:id="rId300"/>
    <hyperlink ref="N155" r:id="rId301"/>
    <hyperlink ref="O155" r:id="rId302"/>
    <hyperlink ref="N156" r:id="rId303"/>
    <hyperlink ref="O156" r:id="rId304"/>
    <hyperlink ref="N157" r:id="rId305"/>
    <hyperlink ref="O157" r:id="rId306"/>
    <hyperlink ref="N158" r:id="rId307"/>
    <hyperlink ref="O158" r:id="rId308"/>
    <hyperlink ref="N159" r:id="rId309"/>
    <hyperlink ref="O159" r:id="rId310"/>
    <hyperlink ref="N160" r:id="rId311"/>
    <hyperlink ref="O160" r:id="rId312"/>
    <hyperlink ref="N161" r:id="rId313"/>
    <hyperlink ref="O161" r:id="rId314"/>
    <hyperlink ref="N162" r:id="rId315"/>
    <hyperlink ref="O162" r:id="rId316"/>
    <hyperlink ref="N163" r:id="rId317"/>
    <hyperlink ref="O163" r:id="rId318"/>
    <hyperlink ref="N164" r:id="rId319"/>
    <hyperlink ref="O164" r:id="rId320"/>
    <hyperlink ref="N165" r:id="rId321"/>
    <hyperlink ref="O165" r:id="rId322"/>
    <hyperlink ref="N166" r:id="rId323"/>
    <hyperlink ref="O166" r:id="rId324"/>
    <hyperlink ref="N167" r:id="rId325"/>
    <hyperlink ref="O167" r:id="rId326"/>
    <hyperlink ref="N168" r:id="rId327"/>
    <hyperlink ref="O168" r:id="rId328"/>
    <hyperlink ref="N169" r:id="rId329"/>
    <hyperlink ref="O169" r:id="rId330"/>
    <hyperlink ref="N170" r:id="rId331"/>
    <hyperlink ref="O170" r:id="rId332"/>
    <hyperlink ref="N171" r:id="rId333"/>
    <hyperlink ref="O171" r:id="rId334"/>
    <hyperlink ref="N172" r:id="rId335"/>
    <hyperlink ref="O172" r:id="rId336"/>
    <hyperlink ref="N173" r:id="rId337"/>
    <hyperlink ref="O173" r:id="rId338"/>
    <hyperlink ref="N174" r:id="rId339"/>
    <hyperlink ref="O174" r:id="rId340"/>
    <hyperlink ref="N175" r:id="rId341"/>
    <hyperlink ref="O175" r:id="rId342"/>
    <hyperlink ref="N176" r:id="rId343"/>
    <hyperlink ref="O176" r:id="rId344"/>
    <hyperlink ref="N177" r:id="rId345"/>
    <hyperlink ref="O177" r:id="rId346"/>
    <hyperlink ref="N178" r:id="rId347"/>
    <hyperlink ref="O178" r:id="rId348"/>
    <hyperlink ref="N179" r:id="rId349"/>
    <hyperlink ref="O179" r:id="rId350"/>
    <hyperlink ref="N180" r:id="rId351"/>
    <hyperlink ref="O180" r:id="rId352"/>
    <hyperlink ref="N181" r:id="rId353"/>
    <hyperlink ref="O181" r:id="rId354"/>
    <hyperlink ref="N182" r:id="rId355"/>
    <hyperlink ref="O182" r:id="rId356"/>
    <hyperlink ref="N183" r:id="rId357"/>
    <hyperlink ref="O183" r:id="rId358"/>
    <hyperlink ref="N184" r:id="rId359"/>
    <hyperlink ref="O184" r:id="rId360"/>
    <hyperlink ref="N185" r:id="rId361"/>
    <hyperlink ref="O185" r:id="rId362"/>
    <hyperlink ref="N186" r:id="rId363"/>
    <hyperlink ref="O186" r:id="rId364"/>
    <hyperlink ref="N187" r:id="rId365"/>
    <hyperlink ref="O187" r:id="rId366"/>
    <hyperlink ref="N188" r:id="rId367"/>
    <hyperlink ref="O188" r:id="rId368"/>
    <hyperlink ref="N189" r:id="rId369"/>
    <hyperlink ref="O189" r:id="rId370"/>
    <hyperlink ref="N190" r:id="rId371"/>
    <hyperlink ref="O190" r:id="rId372"/>
    <hyperlink ref="N191" r:id="rId373"/>
    <hyperlink ref="O191" r:id="rId374"/>
    <hyperlink ref="N192" r:id="rId375"/>
    <hyperlink ref="O192" r:id="rId376"/>
    <hyperlink ref="N193" r:id="rId377"/>
    <hyperlink ref="O193" r:id="rId378"/>
    <hyperlink ref="N194" r:id="rId379"/>
    <hyperlink ref="O194" r:id="rId380"/>
    <hyperlink ref="N195" r:id="rId381"/>
    <hyperlink ref="O195" r:id="rId382"/>
    <hyperlink ref="N196" r:id="rId383"/>
    <hyperlink ref="O196" r:id="rId384"/>
    <hyperlink ref="N197" r:id="rId385"/>
    <hyperlink ref="O197" r:id="rId386"/>
    <hyperlink ref="N198" r:id="rId387"/>
    <hyperlink ref="O198" r:id="rId388"/>
    <hyperlink ref="N199" r:id="rId389"/>
    <hyperlink ref="O199" r:id="rId390"/>
    <hyperlink ref="N200" r:id="rId391"/>
    <hyperlink ref="O200" r:id="rId392"/>
    <hyperlink ref="N201" r:id="rId393"/>
    <hyperlink ref="O201" r:id="rId394"/>
    <hyperlink ref="N202" r:id="rId395"/>
    <hyperlink ref="O202" r:id="rId396"/>
    <hyperlink ref="N203" r:id="rId397"/>
    <hyperlink ref="O203" r:id="rId398"/>
    <hyperlink ref="N204" r:id="rId399"/>
    <hyperlink ref="O204" r:id="rId400"/>
    <hyperlink ref="N205" r:id="rId401"/>
    <hyperlink ref="O205" r:id="rId402"/>
    <hyperlink ref="N206" r:id="rId403"/>
    <hyperlink ref="O206" r:id="rId404"/>
    <hyperlink ref="N207" r:id="rId405"/>
    <hyperlink ref="O207" r:id="rId406"/>
    <hyperlink ref="N208" r:id="rId407"/>
    <hyperlink ref="O208" r:id="rId408"/>
    <hyperlink ref="N209" r:id="rId409"/>
    <hyperlink ref="O209" r:id="rId410"/>
    <hyperlink ref="N210" r:id="rId411"/>
    <hyperlink ref="O210" r:id="rId412"/>
    <hyperlink ref="N211" r:id="rId413"/>
    <hyperlink ref="O211" r:id="rId414"/>
    <hyperlink ref="N212" r:id="rId415"/>
    <hyperlink ref="O212" r:id="rId416"/>
    <hyperlink ref="N213" r:id="rId417"/>
    <hyperlink ref="O213" r:id="rId418"/>
    <hyperlink ref="N214" r:id="rId419"/>
    <hyperlink ref="O214" r:id="rId420"/>
    <hyperlink ref="N215" r:id="rId421"/>
    <hyperlink ref="O215" r:id="rId422"/>
    <hyperlink ref="N216" r:id="rId423"/>
    <hyperlink ref="O216" r:id="rId424"/>
    <hyperlink ref="N217" r:id="rId425"/>
    <hyperlink ref="O217" r:id="rId426"/>
    <hyperlink ref="N218" r:id="rId427"/>
    <hyperlink ref="O218" r:id="rId428"/>
    <hyperlink ref="N219" r:id="rId429"/>
    <hyperlink ref="O219" r:id="rId430"/>
    <hyperlink ref="N220" r:id="rId431"/>
    <hyperlink ref="O220" r:id="rId432"/>
    <hyperlink ref="N221" r:id="rId433"/>
    <hyperlink ref="O221" r:id="rId434"/>
    <hyperlink ref="N222" r:id="rId435"/>
    <hyperlink ref="O222" r:id="rId436"/>
    <hyperlink ref="N223" r:id="rId437"/>
    <hyperlink ref="O223" r:id="rId438"/>
    <hyperlink ref="N224" r:id="rId439"/>
    <hyperlink ref="O224" r:id="rId440"/>
    <hyperlink ref="N225" r:id="rId441"/>
    <hyperlink ref="O225" r:id="rId442"/>
    <hyperlink ref="N226" r:id="rId443"/>
    <hyperlink ref="O226" r:id="rId444"/>
    <hyperlink ref="N227" r:id="rId445"/>
    <hyperlink ref="O227" r:id="rId446"/>
    <hyperlink ref="N228" r:id="rId447"/>
    <hyperlink ref="O228" r:id="rId448"/>
    <hyperlink ref="N229" r:id="rId449"/>
    <hyperlink ref="O229" r:id="rId450"/>
    <hyperlink ref="N230" r:id="rId451"/>
    <hyperlink ref="O230" r:id="rId452"/>
    <hyperlink ref="N231" r:id="rId453"/>
    <hyperlink ref="O231" r:id="rId454"/>
    <hyperlink ref="N232" r:id="rId455"/>
    <hyperlink ref="O232" r:id="rId456"/>
    <hyperlink ref="N233" r:id="rId457"/>
    <hyperlink ref="O233" r:id="rId458"/>
    <hyperlink ref="N234" r:id="rId459"/>
    <hyperlink ref="O234" r:id="rId460"/>
    <hyperlink ref="N235" r:id="rId461"/>
    <hyperlink ref="O235" r:id="rId462"/>
    <hyperlink ref="N236" r:id="rId463"/>
    <hyperlink ref="O236" r:id="rId464"/>
    <hyperlink ref="N237" r:id="rId465"/>
    <hyperlink ref="O237" r:id="rId466"/>
    <hyperlink ref="N238" r:id="rId467"/>
    <hyperlink ref="O238" r:id="rId468"/>
    <hyperlink ref="N239" r:id="rId469"/>
    <hyperlink ref="O239" r:id="rId470"/>
    <hyperlink ref="N240" r:id="rId471"/>
    <hyperlink ref="O240" r:id="rId472"/>
    <hyperlink ref="N241" r:id="rId473"/>
    <hyperlink ref="O241" r:id="rId474"/>
    <hyperlink ref="N242" r:id="rId475"/>
    <hyperlink ref="O242" r:id="rId476"/>
    <hyperlink ref="N243" r:id="rId477"/>
    <hyperlink ref="O243" r:id="rId478"/>
    <hyperlink ref="N244" r:id="rId479"/>
    <hyperlink ref="O244" r:id="rId480"/>
    <hyperlink ref="N245" r:id="rId481"/>
    <hyperlink ref="O245" r:id="rId482"/>
    <hyperlink ref="N246" r:id="rId483"/>
    <hyperlink ref="O246" r:id="rId484"/>
    <hyperlink ref="N247" r:id="rId485"/>
    <hyperlink ref="O247" r:id="rId486"/>
    <hyperlink ref="N248" r:id="rId487"/>
    <hyperlink ref="O248" r:id="rId488"/>
    <hyperlink ref="N249" r:id="rId489"/>
    <hyperlink ref="O249" r:id="rId490"/>
    <hyperlink ref="N250" r:id="rId491"/>
    <hyperlink ref="O250" r:id="rId492"/>
    <hyperlink ref="N251" r:id="rId493"/>
    <hyperlink ref="O251" r:id="rId494"/>
    <hyperlink ref="N252" r:id="rId495"/>
    <hyperlink ref="O252" r:id="rId496"/>
    <hyperlink ref="N253" r:id="rId497"/>
    <hyperlink ref="O253" r:id="rId498"/>
    <hyperlink ref="N254" r:id="rId499"/>
    <hyperlink ref="O254" r:id="rId500"/>
    <hyperlink ref="N255" r:id="rId501"/>
    <hyperlink ref="O255" r:id="rId502"/>
    <hyperlink ref="N256" r:id="rId503"/>
    <hyperlink ref="O256" r:id="rId504"/>
    <hyperlink ref="N257" r:id="rId505"/>
    <hyperlink ref="O257" r:id="rId506"/>
    <hyperlink ref="N258" r:id="rId507"/>
    <hyperlink ref="O258" r:id="rId508"/>
    <hyperlink ref="N259" r:id="rId509"/>
    <hyperlink ref="O259" r:id="rId510"/>
    <hyperlink ref="N260" r:id="rId511"/>
    <hyperlink ref="O260" r:id="rId512"/>
    <hyperlink ref="N261" r:id="rId513"/>
    <hyperlink ref="O261" r:id="rId514"/>
    <hyperlink ref="N262" r:id="rId515"/>
    <hyperlink ref="O262" r:id="rId516"/>
    <hyperlink ref="N263" r:id="rId517"/>
    <hyperlink ref="O263" r:id="rId518"/>
    <hyperlink ref="N264" r:id="rId519"/>
    <hyperlink ref="O264" r:id="rId520"/>
    <hyperlink ref="N265" r:id="rId521"/>
    <hyperlink ref="O265" r:id="rId522"/>
    <hyperlink ref="N266" r:id="rId523"/>
    <hyperlink ref="O266" r:id="rId524"/>
    <hyperlink ref="N267" r:id="rId525"/>
    <hyperlink ref="O267" r:id="rId526"/>
    <hyperlink ref="N268" r:id="rId527"/>
    <hyperlink ref="O268" r:id="rId528"/>
    <hyperlink ref="N269" r:id="rId529"/>
    <hyperlink ref="O269" r:id="rId530"/>
    <hyperlink ref="N270" r:id="rId531"/>
    <hyperlink ref="O270" r:id="rId532"/>
    <hyperlink ref="N271" r:id="rId533"/>
    <hyperlink ref="O271" r:id="rId534"/>
    <hyperlink ref="N272" r:id="rId535"/>
    <hyperlink ref="O272" r:id="rId536"/>
    <hyperlink ref="N273" r:id="rId537"/>
    <hyperlink ref="O273" r:id="rId538"/>
    <hyperlink ref="N274" r:id="rId539"/>
    <hyperlink ref="O274" r:id="rId540"/>
    <hyperlink ref="N275" r:id="rId541"/>
    <hyperlink ref="O275" r:id="rId542"/>
    <hyperlink ref="N276" r:id="rId543"/>
    <hyperlink ref="O276" r:id="rId544"/>
    <hyperlink ref="N277" r:id="rId545"/>
    <hyperlink ref="O277" r:id="rId546"/>
    <hyperlink ref="N278" r:id="rId547"/>
    <hyperlink ref="O278" r:id="rId548"/>
    <hyperlink ref="N279" r:id="rId549"/>
    <hyperlink ref="O279" r:id="rId550"/>
    <hyperlink ref="N280" r:id="rId551"/>
    <hyperlink ref="O280" r:id="rId552"/>
    <hyperlink ref="N281" r:id="rId553"/>
    <hyperlink ref="O281" r:id="rId554"/>
    <hyperlink ref="N282" r:id="rId555"/>
    <hyperlink ref="O282" r:id="rId556"/>
    <hyperlink ref="N283" r:id="rId557"/>
    <hyperlink ref="O283" r:id="rId558"/>
    <hyperlink ref="N284" r:id="rId559"/>
    <hyperlink ref="O284" r:id="rId560"/>
    <hyperlink ref="N285" r:id="rId561"/>
    <hyperlink ref="O285" r:id="rId562"/>
    <hyperlink ref="N286" r:id="rId563"/>
    <hyperlink ref="O286" r:id="rId564"/>
    <hyperlink ref="N287" r:id="rId565"/>
    <hyperlink ref="O287" r:id="rId566"/>
    <hyperlink ref="N288" r:id="rId567"/>
    <hyperlink ref="O288" r:id="rId568"/>
    <hyperlink ref="N289" r:id="rId569"/>
    <hyperlink ref="O289" r:id="rId570"/>
    <hyperlink ref="N290" r:id="rId571"/>
    <hyperlink ref="O290" r:id="rId572"/>
    <hyperlink ref="N291" r:id="rId573"/>
    <hyperlink ref="O291" r:id="rId574"/>
    <hyperlink ref="N292" r:id="rId575"/>
    <hyperlink ref="O292" r:id="rId576"/>
    <hyperlink ref="N293" r:id="rId577"/>
    <hyperlink ref="O293" r:id="rId578"/>
    <hyperlink ref="N294" r:id="rId579"/>
    <hyperlink ref="O294" r:id="rId580"/>
    <hyperlink ref="N295" r:id="rId581"/>
    <hyperlink ref="O295" r:id="rId582"/>
    <hyperlink ref="N296" r:id="rId583"/>
    <hyperlink ref="O296" r:id="rId584"/>
    <hyperlink ref="N297" r:id="rId585"/>
    <hyperlink ref="O297" r:id="rId586"/>
    <hyperlink ref="N298" r:id="rId587"/>
    <hyperlink ref="O298" r:id="rId588"/>
    <hyperlink ref="N299" r:id="rId589"/>
    <hyperlink ref="O299" r:id="rId590"/>
    <hyperlink ref="N300" r:id="rId591"/>
    <hyperlink ref="O300" r:id="rId592"/>
    <hyperlink ref="N301" r:id="rId593"/>
    <hyperlink ref="O301" r:id="rId594"/>
    <hyperlink ref="N302" r:id="rId595"/>
    <hyperlink ref="O302" r:id="rId596"/>
    <hyperlink ref="N303" r:id="rId597"/>
    <hyperlink ref="O303" r:id="rId598"/>
    <hyperlink ref="N304" r:id="rId599"/>
    <hyperlink ref="O304" r:id="rId600"/>
    <hyperlink ref="N305" r:id="rId601"/>
    <hyperlink ref="O305" r:id="rId602"/>
    <hyperlink ref="N306" r:id="rId603"/>
    <hyperlink ref="O306" r:id="rId604"/>
    <hyperlink ref="N307" r:id="rId605"/>
    <hyperlink ref="O307" r:id="rId606"/>
    <hyperlink ref="N308" r:id="rId607"/>
    <hyperlink ref="O308" r:id="rId608"/>
    <hyperlink ref="N309" r:id="rId609"/>
    <hyperlink ref="O309" r:id="rId610"/>
    <hyperlink ref="N310" r:id="rId611"/>
    <hyperlink ref="O310" r:id="rId612"/>
    <hyperlink ref="N311" r:id="rId613"/>
    <hyperlink ref="O311" r:id="rId614"/>
    <hyperlink ref="N312" r:id="rId615"/>
    <hyperlink ref="O312" r:id="rId616"/>
    <hyperlink ref="N313" r:id="rId617"/>
    <hyperlink ref="O313" r:id="rId618"/>
    <hyperlink ref="N314" r:id="rId619"/>
    <hyperlink ref="O314" r:id="rId620"/>
    <hyperlink ref="N315" r:id="rId621"/>
    <hyperlink ref="O315" r:id="rId622"/>
    <hyperlink ref="N316" r:id="rId623"/>
    <hyperlink ref="O316" r:id="rId624"/>
    <hyperlink ref="N317" r:id="rId625"/>
    <hyperlink ref="O317" r:id="rId626"/>
    <hyperlink ref="N318" r:id="rId627"/>
    <hyperlink ref="O318" r:id="rId628"/>
    <hyperlink ref="N319" r:id="rId629"/>
    <hyperlink ref="O319" r:id="rId630"/>
    <hyperlink ref="N320" r:id="rId631"/>
    <hyperlink ref="O320" r:id="rId632"/>
    <hyperlink ref="N321" r:id="rId633"/>
    <hyperlink ref="O321" r:id="rId634"/>
    <hyperlink ref="N322" r:id="rId635"/>
    <hyperlink ref="O322" r:id="rId636"/>
    <hyperlink ref="N323" r:id="rId637"/>
    <hyperlink ref="O323" r:id="rId638"/>
    <hyperlink ref="N324" r:id="rId639"/>
    <hyperlink ref="O324" r:id="rId640"/>
    <hyperlink ref="N325" r:id="rId641"/>
    <hyperlink ref="O325" r:id="rId642"/>
    <hyperlink ref="N326" r:id="rId643"/>
    <hyperlink ref="O326" r:id="rId644"/>
    <hyperlink ref="N327" r:id="rId645"/>
    <hyperlink ref="O327" r:id="rId646"/>
    <hyperlink ref="N328" r:id="rId647"/>
    <hyperlink ref="O328" r:id="rId648"/>
    <hyperlink ref="N329" r:id="rId649"/>
    <hyperlink ref="O329" r:id="rId650"/>
    <hyperlink ref="N330" r:id="rId651"/>
    <hyperlink ref="O330" r:id="rId652"/>
    <hyperlink ref="N331" r:id="rId653"/>
    <hyperlink ref="O331" r:id="rId654"/>
    <hyperlink ref="N332" r:id="rId655"/>
    <hyperlink ref="O332" r:id="rId656"/>
    <hyperlink ref="N333" r:id="rId657"/>
    <hyperlink ref="O333" r:id="rId658"/>
    <hyperlink ref="N334" r:id="rId659"/>
    <hyperlink ref="O334" r:id="rId660"/>
    <hyperlink ref="N335" r:id="rId661"/>
    <hyperlink ref="O335" r:id="rId662"/>
    <hyperlink ref="N336" r:id="rId663"/>
    <hyperlink ref="O336" r:id="rId664"/>
    <hyperlink ref="N337" r:id="rId665"/>
    <hyperlink ref="O337" r:id="rId666"/>
    <hyperlink ref="N338" r:id="rId667"/>
    <hyperlink ref="O338" r:id="rId668"/>
    <hyperlink ref="N339" r:id="rId669"/>
    <hyperlink ref="O339" r:id="rId670"/>
    <hyperlink ref="N340" r:id="rId671"/>
    <hyperlink ref="O340" r:id="rId672"/>
    <hyperlink ref="N341" r:id="rId673"/>
    <hyperlink ref="O341" r:id="rId674"/>
    <hyperlink ref="N342" r:id="rId675"/>
    <hyperlink ref="O342" r:id="rId676"/>
    <hyperlink ref="N343" r:id="rId677"/>
    <hyperlink ref="O343" r:id="rId678"/>
    <hyperlink ref="N344" r:id="rId679"/>
    <hyperlink ref="O344" r:id="rId680"/>
    <hyperlink ref="N345" r:id="rId681"/>
    <hyperlink ref="O345" r:id="rId682"/>
    <hyperlink ref="N346" r:id="rId683"/>
    <hyperlink ref="O346" r:id="rId684"/>
    <hyperlink ref="N347" r:id="rId685"/>
    <hyperlink ref="O347" r:id="rId686"/>
    <hyperlink ref="N348" r:id="rId687"/>
    <hyperlink ref="O348" r:id="rId688"/>
    <hyperlink ref="N349" r:id="rId689"/>
    <hyperlink ref="O349" r:id="rId690"/>
    <hyperlink ref="N350" r:id="rId691"/>
    <hyperlink ref="O350" r:id="rId692"/>
    <hyperlink ref="N351" r:id="rId693"/>
    <hyperlink ref="O351" r:id="rId694"/>
    <hyperlink ref="N352" r:id="rId695"/>
    <hyperlink ref="O352" r:id="rId696"/>
    <hyperlink ref="N353" r:id="rId697"/>
    <hyperlink ref="O353" r:id="rId698"/>
    <hyperlink ref="N354" r:id="rId699"/>
    <hyperlink ref="O354" r:id="rId700"/>
    <hyperlink ref="N355" r:id="rId701"/>
    <hyperlink ref="O355" r:id="rId702"/>
    <hyperlink ref="N356" r:id="rId703"/>
    <hyperlink ref="O356" r:id="rId704"/>
    <hyperlink ref="N357" r:id="rId705"/>
    <hyperlink ref="O357" r:id="rId706"/>
    <hyperlink ref="N358" r:id="rId707"/>
    <hyperlink ref="O358" r:id="rId708"/>
    <hyperlink ref="N359" r:id="rId709"/>
    <hyperlink ref="O359" r:id="rId710"/>
    <hyperlink ref="N360" r:id="rId711"/>
    <hyperlink ref="O360" r:id="rId712"/>
    <hyperlink ref="N361" r:id="rId713"/>
    <hyperlink ref="O361" r:id="rId714"/>
    <hyperlink ref="N362" r:id="rId715"/>
    <hyperlink ref="O362" r:id="rId716"/>
    <hyperlink ref="N363" r:id="rId717"/>
    <hyperlink ref="O363" r:id="rId718"/>
    <hyperlink ref="N364" r:id="rId719"/>
    <hyperlink ref="O364" r:id="rId720"/>
    <hyperlink ref="N365" r:id="rId721"/>
    <hyperlink ref="O365" r:id="rId722"/>
    <hyperlink ref="N366" r:id="rId723"/>
    <hyperlink ref="O366" r:id="rId724"/>
    <hyperlink ref="N367" r:id="rId725"/>
    <hyperlink ref="O367" r:id="rId726"/>
    <hyperlink ref="N368" r:id="rId727"/>
    <hyperlink ref="O368" r:id="rId728"/>
    <hyperlink ref="N369" r:id="rId729"/>
    <hyperlink ref="O369" r:id="rId730"/>
    <hyperlink ref="N370" r:id="rId731"/>
    <hyperlink ref="O370" r:id="rId732"/>
    <hyperlink ref="N371" r:id="rId733"/>
    <hyperlink ref="O371" r:id="rId734"/>
    <hyperlink ref="N372" r:id="rId735"/>
    <hyperlink ref="O372" r:id="rId736"/>
    <hyperlink ref="N373" r:id="rId737"/>
    <hyperlink ref="O373" r:id="rId738"/>
    <hyperlink ref="N374" r:id="rId739"/>
    <hyperlink ref="O374" r:id="rId740"/>
    <hyperlink ref="N375" r:id="rId741"/>
    <hyperlink ref="O375" r:id="rId742"/>
    <hyperlink ref="N376" r:id="rId743"/>
    <hyperlink ref="O376" r:id="rId744"/>
    <hyperlink ref="N377" r:id="rId745"/>
    <hyperlink ref="O377" r:id="rId746"/>
    <hyperlink ref="N378" r:id="rId747"/>
    <hyperlink ref="O378" r:id="rId748"/>
    <hyperlink ref="N379" r:id="rId749"/>
    <hyperlink ref="O379" r:id="rId750"/>
    <hyperlink ref="N380" r:id="rId751"/>
    <hyperlink ref="O380" r:id="rId752"/>
    <hyperlink ref="N381" r:id="rId753"/>
    <hyperlink ref="O381" r:id="rId754"/>
    <hyperlink ref="N382" r:id="rId755"/>
    <hyperlink ref="O382" r:id="rId756"/>
    <hyperlink ref="N383" r:id="rId757"/>
    <hyperlink ref="O383" r:id="rId758"/>
    <hyperlink ref="N384" r:id="rId759"/>
    <hyperlink ref="O384" r:id="rId760"/>
    <hyperlink ref="N385" r:id="rId761"/>
    <hyperlink ref="O385" r:id="rId762"/>
    <hyperlink ref="N386" r:id="rId763"/>
    <hyperlink ref="O386" r:id="rId764"/>
    <hyperlink ref="N387" r:id="rId765"/>
    <hyperlink ref="O387" r:id="rId766"/>
    <hyperlink ref="N388" r:id="rId767"/>
    <hyperlink ref="O388" r:id="rId768"/>
    <hyperlink ref="N389" r:id="rId769"/>
    <hyperlink ref="O389" r:id="rId770"/>
    <hyperlink ref="N390" r:id="rId771"/>
    <hyperlink ref="O390" r:id="rId772"/>
    <hyperlink ref="N391" r:id="rId773"/>
    <hyperlink ref="O391" r:id="rId774"/>
    <hyperlink ref="N392" r:id="rId775"/>
    <hyperlink ref="O392" r:id="rId776"/>
    <hyperlink ref="N393" r:id="rId777"/>
    <hyperlink ref="O393" r:id="rId778"/>
    <hyperlink ref="N394" r:id="rId779"/>
    <hyperlink ref="O394" r:id="rId780"/>
    <hyperlink ref="N395" r:id="rId781"/>
    <hyperlink ref="O395" r:id="rId782"/>
    <hyperlink ref="N396" r:id="rId783"/>
    <hyperlink ref="O396" r:id="rId784"/>
    <hyperlink ref="N397" r:id="rId785"/>
    <hyperlink ref="O397" r:id="rId786"/>
    <hyperlink ref="N398" r:id="rId787"/>
    <hyperlink ref="O398" r:id="rId788"/>
    <hyperlink ref="N399" r:id="rId789"/>
    <hyperlink ref="O399" r:id="rId790"/>
    <hyperlink ref="N400" r:id="rId791"/>
    <hyperlink ref="O400" r:id="rId792"/>
    <hyperlink ref="N401" r:id="rId793"/>
    <hyperlink ref="O401" r:id="rId794"/>
    <hyperlink ref="N402" r:id="rId795"/>
    <hyperlink ref="O402" r:id="rId796"/>
    <hyperlink ref="N403" r:id="rId797"/>
    <hyperlink ref="O403" r:id="rId798"/>
    <hyperlink ref="N404" r:id="rId799"/>
    <hyperlink ref="O404" r:id="rId800"/>
    <hyperlink ref="N405" r:id="rId801"/>
    <hyperlink ref="O405" r:id="rId802"/>
    <hyperlink ref="N406" r:id="rId803"/>
    <hyperlink ref="O406" r:id="rId804"/>
    <hyperlink ref="N407" r:id="rId805"/>
    <hyperlink ref="O407" r:id="rId806"/>
    <hyperlink ref="N408" r:id="rId807"/>
    <hyperlink ref="O408" r:id="rId808"/>
    <hyperlink ref="N409" r:id="rId809"/>
    <hyperlink ref="O409" r:id="rId810"/>
    <hyperlink ref="N410" r:id="rId811"/>
    <hyperlink ref="O410" r:id="rId812"/>
    <hyperlink ref="N411" r:id="rId813"/>
    <hyperlink ref="O411" r:id="rId814"/>
    <hyperlink ref="N412" r:id="rId815"/>
    <hyperlink ref="O412" r:id="rId816"/>
    <hyperlink ref="N413" r:id="rId817"/>
    <hyperlink ref="O413" r:id="rId818"/>
    <hyperlink ref="N414" r:id="rId819"/>
    <hyperlink ref="O414" r:id="rId820"/>
    <hyperlink ref="N415" r:id="rId821"/>
    <hyperlink ref="O415" r:id="rId822"/>
    <hyperlink ref="N416" r:id="rId823"/>
    <hyperlink ref="O416" r:id="rId824"/>
    <hyperlink ref="N417" r:id="rId825"/>
    <hyperlink ref="O417" r:id="rId826"/>
    <hyperlink ref="N418" r:id="rId827"/>
    <hyperlink ref="O418" r:id="rId828"/>
    <hyperlink ref="N419" r:id="rId829"/>
    <hyperlink ref="O419" r:id="rId830"/>
    <hyperlink ref="N420" r:id="rId831"/>
    <hyperlink ref="O420" r:id="rId832"/>
    <hyperlink ref="N421" r:id="rId833"/>
    <hyperlink ref="O421" r:id="rId834"/>
    <hyperlink ref="N422" r:id="rId835"/>
    <hyperlink ref="O422" r:id="rId836"/>
    <hyperlink ref="N423" r:id="rId837"/>
    <hyperlink ref="O423" r:id="rId838"/>
    <hyperlink ref="N424" r:id="rId839"/>
    <hyperlink ref="O424" r:id="rId840"/>
    <hyperlink ref="N425" r:id="rId841"/>
    <hyperlink ref="O425" r:id="rId842"/>
    <hyperlink ref="N426" r:id="rId843"/>
    <hyperlink ref="O426" r:id="rId844"/>
    <hyperlink ref="N427" r:id="rId845"/>
    <hyperlink ref="O427" r:id="rId846"/>
    <hyperlink ref="N428" r:id="rId847"/>
    <hyperlink ref="O428" r:id="rId848"/>
    <hyperlink ref="N429" r:id="rId849"/>
    <hyperlink ref="O429" r:id="rId850"/>
    <hyperlink ref="N430" r:id="rId851"/>
    <hyperlink ref="O430" r:id="rId852"/>
    <hyperlink ref="N431" r:id="rId853"/>
    <hyperlink ref="O431" r:id="rId854"/>
    <hyperlink ref="N432" r:id="rId855"/>
    <hyperlink ref="O432" r:id="rId856"/>
    <hyperlink ref="N433" r:id="rId857"/>
    <hyperlink ref="O433" r:id="rId858"/>
    <hyperlink ref="N434" r:id="rId859"/>
    <hyperlink ref="O434" r:id="rId860"/>
    <hyperlink ref="N435" r:id="rId861"/>
    <hyperlink ref="O435" r:id="rId862"/>
    <hyperlink ref="N436" r:id="rId863"/>
    <hyperlink ref="O436" r:id="rId864"/>
    <hyperlink ref="N437" r:id="rId865"/>
    <hyperlink ref="O437" r:id="rId866"/>
    <hyperlink ref="N438" r:id="rId867"/>
    <hyperlink ref="O438" r:id="rId868"/>
    <hyperlink ref="N439" r:id="rId869"/>
    <hyperlink ref="O439" r:id="rId870"/>
    <hyperlink ref="N440" r:id="rId871"/>
    <hyperlink ref="O440" r:id="rId872"/>
    <hyperlink ref="N441" r:id="rId873"/>
    <hyperlink ref="O441" r:id="rId874"/>
    <hyperlink ref="N442" r:id="rId875"/>
    <hyperlink ref="O442" r:id="rId876"/>
    <hyperlink ref="N443" r:id="rId877"/>
    <hyperlink ref="O443" r:id="rId878"/>
    <hyperlink ref="N444" r:id="rId879"/>
    <hyperlink ref="O444" r:id="rId880"/>
    <hyperlink ref="N445" r:id="rId881"/>
    <hyperlink ref="O445" r:id="rId882"/>
    <hyperlink ref="N446" r:id="rId883"/>
    <hyperlink ref="O446" r:id="rId884"/>
    <hyperlink ref="N447" r:id="rId885"/>
    <hyperlink ref="O447" r:id="rId886"/>
    <hyperlink ref="N448" r:id="rId887"/>
    <hyperlink ref="O448" r:id="rId888"/>
    <hyperlink ref="N449" r:id="rId889"/>
    <hyperlink ref="O449" r:id="rId890"/>
    <hyperlink ref="N450" r:id="rId891"/>
    <hyperlink ref="O450" r:id="rId892"/>
    <hyperlink ref="N451" r:id="rId893"/>
    <hyperlink ref="O451" r:id="rId894"/>
    <hyperlink ref="N452" r:id="rId895"/>
    <hyperlink ref="O452" r:id="rId896"/>
    <hyperlink ref="N453" r:id="rId897"/>
    <hyperlink ref="O453" r:id="rId898"/>
    <hyperlink ref="N454" r:id="rId899"/>
    <hyperlink ref="O454" r:id="rId900"/>
    <hyperlink ref="N455" r:id="rId901"/>
    <hyperlink ref="O455" r:id="rId902"/>
    <hyperlink ref="N456" r:id="rId903"/>
    <hyperlink ref="O456" r:id="rId904"/>
    <hyperlink ref="N457" r:id="rId905"/>
    <hyperlink ref="O457" r:id="rId906"/>
    <hyperlink ref="N458" r:id="rId907"/>
    <hyperlink ref="O458" r:id="rId908"/>
    <hyperlink ref="N459" r:id="rId909"/>
    <hyperlink ref="O459" r:id="rId910"/>
    <hyperlink ref="N460" r:id="rId911"/>
    <hyperlink ref="O460" r:id="rId912"/>
    <hyperlink ref="N461" r:id="rId913"/>
    <hyperlink ref="O461" r:id="rId914"/>
    <hyperlink ref="N462" r:id="rId915"/>
    <hyperlink ref="O462" r:id="rId916"/>
    <hyperlink ref="N463" r:id="rId917"/>
    <hyperlink ref="O463" r:id="rId918"/>
    <hyperlink ref="N464" r:id="rId919"/>
    <hyperlink ref="O464" r:id="rId920"/>
    <hyperlink ref="N465" r:id="rId921"/>
    <hyperlink ref="O465" r:id="rId922"/>
    <hyperlink ref="N466" r:id="rId923"/>
    <hyperlink ref="O466" r:id="rId924"/>
    <hyperlink ref="N467" r:id="rId925"/>
    <hyperlink ref="O467" r:id="rId926"/>
    <hyperlink ref="N468" r:id="rId927"/>
    <hyperlink ref="O468" r:id="rId928"/>
    <hyperlink ref="N469" r:id="rId929"/>
    <hyperlink ref="O469" r:id="rId930"/>
    <hyperlink ref="N470" r:id="rId931"/>
    <hyperlink ref="O470" r:id="rId932"/>
    <hyperlink ref="N471" r:id="rId933"/>
    <hyperlink ref="O471" r:id="rId934"/>
    <hyperlink ref="N472" r:id="rId935"/>
    <hyperlink ref="O472" r:id="rId936"/>
    <hyperlink ref="N473" r:id="rId937"/>
    <hyperlink ref="O473" r:id="rId938"/>
    <hyperlink ref="N474" r:id="rId939"/>
    <hyperlink ref="O474" r:id="rId940"/>
    <hyperlink ref="N475" r:id="rId941"/>
    <hyperlink ref="O475" r:id="rId942"/>
    <hyperlink ref="N476" r:id="rId943"/>
    <hyperlink ref="O476" r:id="rId944"/>
    <hyperlink ref="N477" r:id="rId945"/>
    <hyperlink ref="O477" r:id="rId946"/>
    <hyperlink ref="N478" r:id="rId947"/>
    <hyperlink ref="O478" r:id="rId948"/>
    <hyperlink ref="N479" r:id="rId949"/>
    <hyperlink ref="O479" r:id="rId950"/>
    <hyperlink ref="N480" r:id="rId951"/>
    <hyperlink ref="O480" r:id="rId952"/>
    <hyperlink ref="N481" r:id="rId953"/>
    <hyperlink ref="O481" r:id="rId954"/>
    <hyperlink ref="N482" r:id="rId955"/>
    <hyperlink ref="O482" r:id="rId956"/>
    <hyperlink ref="N483" r:id="rId957"/>
    <hyperlink ref="O483" r:id="rId958"/>
    <hyperlink ref="N484" r:id="rId959"/>
    <hyperlink ref="O484" r:id="rId960"/>
    <hyperlink ref="N485" r:id="rId961"/>
    <hyperlink ref="O485" r:id="rId962"/>
    <hyperlink ref="N486" r:id="rId963"/>
    <hyperlink ref="O486" r:id="rId964"/>
    <hyperlink ref="N487" r:id="rId965"/>
    <hyperlink ref="O487" r:id="rId966"/>
    <hyperlink ref="N488" r:id="rId967"/>
    <hyperlink ref="O488" r:id="rId968"/>
    <hyperlink ref="N489" r:id="rId969"/>
    <hyperlink ref="O489" r:id="rId970"/>
    <hyperlink ref="N490" r:id="rId971"/>
    <hyperlink ref="O490" r:id="rId972"/>
    <hyperlink ref="N491" r:id="rId973"/>
    <hyperlink ref="O491" r:id="rId974"/>
    <hyperlink ref="N492" r:id="rId975"/>
    <hyperlink ref="O492" r:id="rId976"/>
    <hyperlink ref="N493" r:id="rId977"/>
    <hyperlink ref="O493" r:id="rId978"/>
    <hyperlink ref="N494" r:id="rId979"/>
    <hyperlink ref="O494" r:id="rId980"/>
    <hyperlink ref="N495" r:id="rId981"/>
    <hyperlink ref="O495" r:id="rId982"/>
    <hyperlink ref="N496" r:id="rId983"/>
    <hyperlink ref="O496" r:id="rId984"/>
    <hyperlink ref="N497" r:id="rId985"/>
    <hyperlink ref="O497" r:id="rId986"/>
    <hyperlink ref="N498" r:id="rId987"/>
    <hyperlink ref="O498" r:id="rId988"/>
    <hyperlink ref="N499" r:id="rId989"/>
    <hyperlink ref="O499" r:id="rId990"/>
    <hyperlink ref="N500" r:id="rId991"/>
    <hyperlink ref="O500" r:id="rId992"/>
    <hyperlink ref="N501" r:id="rId993"/>
    <hyperlink ref="O501" r:id="rId994"/>
    <hyperlink ref="N502" r:id="rId995"/>
    <hyperlink ref="O502" r:id="rId996"/>
    <hyperlink ref="N503" r:id="rId997"/>
    <hyperlink ref="O503" r:id="rId998"/>
    <hyperlink ref="N504" r:id="rId999"/>
    <hyperlink ref="O504" r:id="rId1000"/>
    <hyperlink ref="N505" r:id="rId1001"/>
    <hyperlink ref="O505" r:id="rId1002"/>
    <hyperlink ref="N506" r:id="rId1003"/>
    <hyperlink ref="O506" r:id="rId1004"/>
    <hyperlink ref="N507" r:id="rId1005"/>
    <hyperlink ref="O507" r:id="rId1006"/>
    <hyperlink ref="N508" r:id="rId1007"/>
    <hyperlink ref="O508" r:id="rId1008"/>
    <hyperlink ref="N509" r:id="rId1009"/>
    <hyperlink ref="O509" r:id="rId1010"/>
    <hyperlink ref="N510" r:id="rId1011"/>
    <hyperlink ref="O510" r:id="rId1012"/>
    <hyperlink ref="N511" r:id="rId1013"/>
    <hyperlink ref="O511" r:id="rId1014"/>
    <hyperlink ref="N512" r:id="rId1015"/>
    <hyperlink ref="O512" r:id="rId1016"/>
    <hyperlink ref="N513" r:id="rId1017"/>
    <hyperlink ref="O513" r:id="rId1018"/>
    <hyperlink ref="N514" r:id="rId1019"/>
    <hyperlink ref="O514" r:id="rId1020"/>
    <hyperlink ref="N515" r:id="rId1021"/>
    <hyperlink ref="O515" r:id="rId1022"/>
    <hyperlink ref="N516" r:id="rId1023"/>
    <hyperlink ref="O516" r:id="rId1024"/>
    <hyperlink ref="N517" r:id="rId1025"/>
    <hyperlink ref="O517" r:id="rId1026"/>
    <hyperlink ref="N518" r:id="rId1027"/>
    <hyperlink ref="O518" r:id="rId1028"/>
    <hyperlink ref="N519" r:id="rId1029"/>
    <hyperlink ref="O519" r:id="rId1030"/>
    <hyperlink ref="N520" r:id="rId1031"/>
    <hyperlink ref="O520" r:id="rId1032"/>
    <hyperlink ref="N521" r:id="rId1033"/>
    <hyperlink ref="O521" r:id="rId1034"/>
    <hyperlink ref="N522" r:id="rId1035"/>
    <hyperlink ref="O522" r:id="rId1036"/>
    <hyperlink ref="N523" r:id="rId1037"/>
    <hyperlink ref="O523" r:id="rId1038"/>
    <hyperlink ref="N524" r:id="rId1039"/>
    <hyperlink ref="O524" r:id="rId1040"/>
    <hyperlink ref="N525" r:id="rId1041"/>
    <hyperlink ref="O525" r:id="rId1042"/>
    <hyperlink ref="N526" r:id="rId1043"/>
    <hyperlink ref="O526" r:id="rId1044"/>
    <hyperlink ref="N527" r:id="rId1045"/>
    <hyperlink ref="O527" r:id="rId1046"/>
    <hyperlink ref="N528" r:id="rId1047"/>
    <hyperlink ref="O528" r:id="rId1048"/>
    <hyperlink ref="N529" r:id="rId1049"/>
    <hyperlink ref="O529" r:id="rId1050"/>
    <hyperlink ref="N530" r:id="rId1051"/>
    <hyperlink ref="O530" r:id="rId1052"/>
    <hyperlink ref="N531" r:id="rId1053"/>
    <hyperlink ref="O531" r:id="rId1054"/>
    <hyperlink ref="N532" r:id="rId1055"/>
    <hyperlink ref="O532" r:id="rId1056"/>
    <hyperlink ref="N533" r:id="rId1057"/>
    <hyperlink ref="O533" r:id="rId1058"/>
    <hyperlink ref="N534" r:id="rId1059"/>
    <hyperlink ref="O534" r:id="rId1060"/>
    <hyperlink ref="N535" r:id="rId1061"/>
    <hyperlink ref="O535" r:id="rId1062"/>
    <hyperlink ref="N536" r:id="rId1063"/>
    <hyperlink ref="O536" r:id="rId1064"/>
    <hyperlink ref="N537" r:id="rId1065"/>
    <hyperlink ref="O537" r:id="rId1066"/>
    <hyperlink ref="N538" r:id="rId1067"/>
    <hyperlink ref="O538" r:id="rId1068"/>
    <hyperlink ref="N539" r:id="rId1069"/>
    <hyperlink ref="O539" r:id="rId1070"/>
    <hyperlink ref="N540" r:id="rId1071"/>
    <hyperlink ref="O540" r:id="rId1072"/>
    <hyperlink ref="N541" r:id="rId1073"/>
    <hyperlink ref="O541" r:id="rId1074"/>
    <hyperlink ref="N542" r:id="rId1075"/>
    <hyperlink ref="O542" r:id="rId1076"/>
    <hyperlink ref="N543" r:id="rId1077"/>
    <hyperlink ref="O543" r:id="rId1078"/>
    <hyperlink ref="N544" r:id="rId1079"/>
    <hyperlink ref="O544" r:id="rId1080"/>
    <hyperlink ref="N545" r:id="rId1081"/>
    <hyperlink ref="O545" r:id="rId1082"/>
    <hyperlink ref="N546" r:id="rId1083"/>
    <hyperlink ref="O546" r:id="rId1084"/>
    <hyperlink ref="N547" r:id="rId1085"/>
    <hyperlink ref="O547" r:id="rId1086"/>
    <hyperlink ref="N548" r:id="rId1087"/>
    <hyperlink ref="O548" r:id="rId1088"/>
    <hyperlink ref="N549" r:id="rId1089"/>
    <hyperlink ref="O549" r:id="rId1090"/>
    <hyperlink ref="N550" r:id="rId1091"/>
    <hyperlink ref="O550" r:id="rId1092"/>
    <hyperlink ref="N551" r:id="rId1093"/>
    <hyperlink ref="O551" r:id="rId1094"/>
    <hyperlink ref="N552" r:id="rId1095"/>
    <hyperlink ref="O552" r:id="rId1096"/>
    <hyperlink ref="N553" r:id="rId1097"/>
    <hyperlink ref="O553" r:id="rId1098"/>
    <hyperlink ref="N554" r:id="rId1099"/>
    <hyperlink ref="O554" r:id="rId1100"/>
    <hyperlink ref="N555" r:id="rId1101"/>
    <hyperlink ref="O555" r:id="rId1102"/>
    <hyperlink ref="N556" r:id="rId1103"/>
    <hyperlink ref="O556" r:id="rId1104"/>
    <hyperlink ref="N557" r:id="rId1105"/>
    <hyperlink ref="O557" r:id="rId1106"/>
    <hyperlink ref="N558" r:id="rId1107"/>
    <hyperlink ref="O558" r:id="rId1108"/>
    <hyperlink ref="N559" r:id="rId1109"/>
    <hyperlink ref="O559" r:id="rId1110"/>
    <hyperlink ref="N560" r:id="rId1111"/>
    <hyperlink ref="O560" r:id="rId1112"/>
    <hyperlink ref="N561" r:id="rId1113"/>
    <hyperlink ref="O561" r:id="rId1114"/>
    <hyperlink ref="N562" r:id="rId1115"/>
    <hyperlink ref="O562" r:id="rId1116"/>
    <hyperlink ref="N563" r:id="rId1117"/>
    <hyperlink ref="O563" r:id="rId1118"/>
    <hyperlink ref="N564" r:id="rId1119"/>
    <hyperlink ref="O564" r:id="rId1120"/>
    <hyperlink ref="N565" r:id="rId1121"/>
    <hyperlink ref="O565" r:id="rId1122"/>
    <hyperlink ref="N566" r:id="rId1123"/>
    <hyperlink ref="O566" r:id="rId1124"/>
    <hyperlink ref="N567" r:id="rId1125"/>
    <hyperlink ref="O567" r:id="rId1126"/>
    <hyperlink ref="N568" r:id="rId1127"/>
    <hyperlink ref="O568" r:id="rId1128"/>
    <hyperlink ref="N569" r:id="rId1129"/>
    <hyperlink ref="O569" r:id="rId1130"/>
    <hyperlink ref="N570" r:id="rId1131"/>
    <hyperlink ref="O570" r:id="rId1132"/>
    <hyperlink ref="N571" r:id="rId1133"/>
    <hyperlink ref="O571" r:id="rId1134"/>
    <hyperlink ref="N572" r:id="rId1135"/>
    <hyperlink ref="O572" r:id="rId1136"/>
    <hyperlink ref="N573" r:id="rId1137"/>
    <hyperlink ref="O573" r:id="rId1138"/>
    <hyperlink ref="N574" r:id="rId1139"/>
    <hyperlink ref="O574" r:id="rId1140"/>
    <hyperlink ref="N575" r:id="rId1141"/>
    <hyperlink ref="O575" r:id="rId1142"/>
    <hyperlink ref="N576" r:id="rId1143"/>
    <hyperlink ref="O576" r:id="rId1144"/>
    <hyperlink ref="N577" r:id="rId1145"/>
    <hyperlink ref="O577" r:id="rId1146"/>
    <hyperlink ref="N578" r:id="rId1147"/>
    <hyperlink ref="O578" r:id="rId1148"/>
    <hyperlink ref="N579" r:id="rId1149"/>
    <hyperlink ref="O579" r:id="rId1150"/>
    <hyperlink ref="N580" r:id="rId1151"/>
    <hyperlink ref="O580" r:id="rId1152"/>
    <hyperlink ref="N581" r:id="rId1153"/>
    <hyperlink ref="O581" r:id="rId1154"/>
    <hyperlink ref="N582" r:id="rId1155"/>
    <hyperlink ref="O582" r:id="rId1156"/>
    <hyperlink ref="N583" r:id="rId1157"/>
    <hyperlink ref="O583" r:id="rId1158"/>
    <hyperlink ref="N584" r:id="rId1159"/>
    <hyperlink ref="O584" r:id="rId1160"/>
    <hyperlink ref="N585" r:id="rId1161"/>
    <hyperlink ref="O585" r:id="rId1162"/>
    <hyperlink ref="N586" r:id="rId1163"/>
    <hyperlink ref="O586" r:id="rId1164"/>
    <hyperlink ref="N587" r:id="rId1165"/>
    <hyperlink ref="O587" r:id="rId1166"/>
    <hyperlink ref="N588" r:id="rId1167"/>
    <hyperlink ref="O588" r:id="rId1168"/>
    <hyperlink ref="N589" r:id="rId1169"/>
    <hyperlink ref="O589" r:id="rId1170"/>
    <hyperlink ref="N590" r:id="rId1171"/>
    <hyperlink ref="O590" r:id="rId1172"/>
    <hyperlink ref="N591" r:id="rId1173"/>
    <hyperlink ref="O591" r:id="rId1174"/>
    <hyperlink ref="N592" r:id="rId1175"/>
    <hyperlink ref="O592" r:id="rId1176"/>
    <hyperlink ref="N593" r:id="rId1177"/>
    <hyperlink ref="O593" r:id="rId1178"/>
    <hyperlink ref="N594" r:id="rId1179"/>
    <hyperlink ref="O594" r:id="rId1180"/>
    <hyperlink ref="N595" r:id="rId1181"/>
    <hyperlink ref="O595" r:id="rId1182"/>
    <hyperlink ref="N596" r:id="rId1183"/>
    <hyperlink ref="O596" r:id="rId1184"/>
    <hyperlink ref="N597" r:id="rId1185"/>
    <hyperlink ref="O597" r:id="rId1186"/>
    <hyperlink ref="N598" r:id="rId1187"/>
    <hyperlink ref="O598" r:id="rId1188"/>
    <hyperlink ref="N599" r:id="rId1189"/>
    <hyperlink ref="O599" r:id="rId1190"/>
    <hyperlink ref="N600" r:id="rId1191"/>
    <hyperlink ref="O600" r:id="rId1192"/>
    <hyperlink ref="N601" r:id="rId1193"/>
    <hyperlink ref="O601" r:id="rId1194"/>
    <hyperlink ref="N602" r:id="rId1195"/>
    <hyperlink ref="O602" r:id="rId1196"/>
    <hyperlink ref="N603" r:id="rId1197"/>
    <hyperlink ref="O603" r:id="rId1198"/>
    <hyperlink ref="N604" r:id="rId1199"/>
    <hyperlink ref="O604" r:id="rId1200"/>
    <hyperlink ref="N605" r:id="rId1201"/>
    <hyperlink ref="O605" r:id="rId1202"/>
    <hyperlink ref="N606" r:id="rId1203"/>
    <hyperlink ref="O606" r:id="rId1204"/>
    <hyperlink ref="N607" r:id="rId1205"/>
    <hyperlink ref="O607" r:id="rId1206"/>
    <hyperlink ref="N608" r:id="rId1207"/>
    <hyperlink ref="O608" r:id="rId1208"/>
    <hyperlink ref="N609" r:id="rId1209"/>
    <hyperlink ref="O609" r:id="rId1210"/>
    <hyperlink ref="N610" r:id="rId1211"/>
    <hyperlink ref="O610" r:id="rId1212"/>
    <hyperlink ref="N611" r:id="rId1213"/>
    <hyperlink ref="O611" r:id="rId1214"/>
    <hyperlink ref="N612" r:id="rId1215"/>
    <hyperlink ref="O612" r:id="rId1216"/>
    <hyperlink ref="N613" r:id="rId1217"/>
    <hyperlink ref="O613" r:id="rId1218"/>
    <hyperlink ref="N614" r:id="rId1219"/>
    <hyperlink ref="O614" r:id="rId1220"/>
    <hyperlink ref="N615" r:id="rId1221"/>
    <hyperlink ref="O615" r:id="rId1222"/>
    <hyperlink ref="N616" r:id="rId1223"/>
    <hyperlink ref="O616" r:id="rId1224"/>
    <hyperlink ref="N617" r:id="rId1225"/>
    <hyperlink ref="O617" r:id="rId1226"/>
    <hyperlink ref="N618" r:id="rId1227"/>
    <hyperlink ref="O618" r:id="rId1228"/>
    <hyperlink ref="N619" r:id="rId1229"/>
    <hyperlink ref="O619" r:id="rId1230"/>
    <hyperlink ref="N620" r:id="rId1231"/>
    <hyperlink ref="O620" r:id="rId1232"/>
    <hyperlink ref="N621" r:id="rId1233"/>
    <hyperlink ref="O621" r:id="rId1234"/>
    <hyperlink ref="N622" r:id="rId1235"/>
    <hyperlink ref="O622" r:id="rId1236"/>
    <hyperlink ref="N623" r:id="rId1237"/>
    <hyperlink ref="O623" r:id="rId1238"/>
    <hyperlink ref="N624" r:id="rId1239"/>
    <hyperlink ref="O624" r:id="rId1240"/>
    <hyperlink ref="N625" r:id="rId1241"/>
    <hyperlink ref="O625" r:id="rId1242"/>
    <hyperlink ref="N626" r:id="rId1243"/>
    <hyperlink ref="O626" r:id="rId1244"/>
    <hyperlink ref="N627" r:id="rId1245"/>
    <hyperlink ref="O627" r:id="rId1246"/>
    <hyperlink ref="N628" r:id="rId1247"/>
    <hyperlink ref="O628" r:id="rId1248"/>
    <hyperlink ref="N629" r:id="rId1249"/>
    <hyperlink ref="O629" r:id="rId1250"/>
    <hyperlink ref="N630" r:id="rId1251"/>
    <hyperlink ref="O630" r:id="rId1252"/>
    <hyperlink ref="N631" r:id="rId1253"/>
    <hyperlink ref="O631" r:id="rId1254"/>
    <hyperlink ref="N632" r:id="rId1255"/>
    <hyperlink ref="O632" r:id="rId1256"/>
    <hyperlink ref="N633" r:id="rId1257"/>
    <hyperlink ref="O633" r:id="rId1258"/>
    <hyperlink ref="N634" r:id="rId1259"/>
    <hyperlink ref="O634" r:id="rId1260"/>
    <hyperlink ref="N635" r:id="rId1261"/>
    <hyperlink ref="O635" r:id="rId1262"/>
    <hyperlink ref="N636" r:id="rId1263"/>
    <hyperlink ref="O636" r:id="rId1264"/>
    <hyperlink ref="N637" r:id="rId1265"/>
    <hyperlink ref="O637" r:id="rId1266"/>
    <hyperlink ref="N638" r:id="rId1267"/>
    <hyperlink ref="O638" r:id="rId1268"/>
    <hyperlink ref="N639" r:id="rId1269"/>
    <hyperlink ref="O639" r:id="rId1270"/>
    <hyperlink ref="N640" r:id="rId1271"/>
    <hyperlink ref="O640" r:id="rId1272"/>
    <hyperlink ref="N641" r:id="rId1273"/>
    <hyperlink ref="O641" r:id="rId1274"/>
    <hyperlink ref="N642" r:id="rId1275"/>
    <hyperlink ref="O642" r:id="rId1276"/>
    <hyperlink ref="N643" r:id="rId1277"/>
    <hyperlink ref="O643" r:id="rId1278"/>
    <hyperlink ref="N644" r:id="rId1279"/>
    <hyperlink ref="O644" r:id="rId1280"/>
    <hyperlink ref="N645" r:id="rId1281"/>
    <hyperlink ref="O645" r:id="rId1282"/>
    <hyperlink ref="N646" r:id="rId1283"/>
    <hyperlink ref="O646" r:id="rId1284"/>
    <hyperlink ref="N647" r:id="rId1285"/>
    <hyperlink ref="O647" r:id="rId1286"/>
    <hyperlink ref="N648" r:id="rId1287"/>
    <hyperlink ref="O648" r:id="rId1288"/>
    <hyperlink ref="N649" r:id="rId1289"/>
    <hyperlink ref="O649" r:id="rId1290"/>
    <hyperlink ref="N650" r:id="rId1291"/>
    <hyperlink ref="O650" r:id="rId1292"/>
    <hyperlink ref="N651" r:id="rId1293"/>
    <hyperlink ref="O651" r:id="rId1294"/>
    <hyperlink ref="N652" r:id="rId1295"/>
    <hyperlink ref="O652" r:id="rId1296"/>
    <hyperlink ref="N653" r:id="rId1297"/>
    <hyperlink ref="O653" r:id="rId1298"/>
    <hyperlink ref="N654" r:id="rId1299"/>
    <hyperlink ref="O654" r:id="rId1300"/>
    <hyperlink ref="N655" r:id="rId1301"/>
    <hyperlink ref="O655" r:id="rId1302"/>
    <hyperlink ref="N656" r:id="rId1303"/>
    <hyperlink ref="O656" r:id="rId1304"/>
    <hyperlink ref="N657" r:id="rId1305"/>
    <hyperlink ref="O657" r:id="rId1306"/>
    <hyperlink ref="N658" r:id="rId1307"/>
    <hyperlink ref="O658" r:id="rId1308"/>
    <hyperlink ref="N659" r:id="rId1309"/>
    <hyperlink ref="O659" r:id="rId1310"/>
    <hyperlink ref="N660" r:id="rId1311"/>
    <hyperlink ref="O660" r:id="rId1312"/>
    <hyperlink ref="N661" r:id="rId1313"/>
    <hyperlink ref="O661" r:id="rId1314"/>
    <hyperlink ref="N662" r:id="rId1315"/>
    <hyperlink ref="O662" r:id="rId1316"/>
    <hyperlink ref="N663" r:id="rId1317"/>
    <hyperlink ref="O663" r:id="rId1318"/>
    <hyperlink ref="N664" r:id="rId1319"/>
    <hyperlink ref="O664" r:id="rId1320"/>
    <hyperlink ref="N665" r:id="rId1321"/>
    <hyperlink ref="O665" r:id="rId1322"/>
    <hyperlink ref="N666" r:id="rId1323"/>
    <hyperlink ref="O666" r:id="rId1324"/>
    <hyperlink ref="N667" r:id="rId1325"/>
    <hyperlink ref="O667" r:id="rId1326"/>
    <hyperlink ref="N668" r:id="rId1327"/>
    <hyperlink ref="O668" r:id="rId1328"/>
    <hyperlink ref="N669" r:id="rId1329"/>
    <hyperlink ref="O669" r:id="rId1330"/>
    <hyperlink ref="N670" r:id="rId1331"/>
    <hyperlink ref="O670" r:id="rId1332"/>
    <hyperlink ref="N671" r:id="rId1333"/>
    <hyperlink ref="O671" r:id="rId1334"/>
    <hyperlink ref="N672" r:id="rId1335"/>
    <hyperlink ref="O672" r:id="rId1336"/>
    <hyperlink ref="N673" r:id="rId1337"/>
    <hyperlink ref="O673" r:id="rId1338"/>
    <hyperlink ref="N674" r:id="rId1339"/>
    <hyperlink ref="O674" r:id="rId1340"/>
    <hyperlink ref="N675" r:id="rId1341"/>
    <hyperlink ref="O675" r:id="rId1342"/>
    <hyperlink ref="N676" r:id="rId1343"/>
    <hyperlink ref="O676" r:id="rId1344"/>
    <hyperlink ref="N677" r:id="rId1345"/>
    <hyperlink ref="O677" r:id="rId1346"/>
    <hyperlink ref="N678" r:id="rId1347"/>
    <hyperlink ref="O678" r:id="rId1348"/>
    <hyperlink ref="N679" r:id="rId1349"/>
    <hyperlink ref="O679" r:id="rId1350"/>
    <hyperlink ref="N680" r:id="rId1351"/>
    <hyperlink ref="O680" r:id="rId1352"/>
    <hyperlink ref="N681" r:id="rId1353"/>
    <hyperlink ref="O681" r:id="rId1354"/>
    <hyperlink ref="N682" r:id="rId1355"/>
    <hyperlink ref="O682" r:id="rId1356"/>
    <hyperlink ref="N683" r:id="rId1357"/>
    <hyperlink ref="O683" r:id="rId1358"/>
    <hyperlink ref="N684" r:id="rId1359"/>
    <hyperlink ref="O684" r:id="rId1360"/>
    <hyperlink ref="N685" r:id="rId1361"/>
    <hyperlink ref="O685" r:id="rId1362"/>
    <hyperlink ref="N686" r:id="rId1363"/>
    <hyperlink ref="O686" r:id="rId1364"/>
    <hyperlink ref="N687" r:id="rId1365"/>
    <hyperlink ref="O687" r:id="rId1366"/>
    <hyperlink ref="N688" r:id="rId1367"/>
    <hyperlink ref="O688" r:id="rId1368"/>
    <hyperlink ref="N689" r:id="rId1369"/>
    <hyperlink ref="O689" r:id="rId1370"/>
    <hyperlink ref="N690" r:id="rId1371"/>
    <hyperlink ref="O690" r:id="rId1372"/>
    <hyperlink ref="N691" r:id="rId1373"/>
    <hyperlink ref="O691" r:id="rId1374"/>
    <hyperlink ref="N692" r:id="rId1375"/>
    <hyperlink ref="O692" r:id="rId1376"/>
    <hyperlink ref="N693" r:id="rId1377"/>
    <hyperlink ref="O693" r:id="rId1378"/>
    <hyperlink ref="N694" r:id="rId1379"/>
    <hyperlink ref="O694" r:id="rId1380"/>
    <hyperlink ref="N695" r:id="rId1381"/>
    <hyperlink ref="O695" r:id="rId1382"/>
    <hyperlink ref="N696" r:id="rId1383"/>
    <hyperlink ref="O696" r:id="rId1384"/>
    <hyperlink ref="N697" r:id="rId1385"/>
    <hyperlink ref="O697" r:id="rId1386"/>
    <hyperlink ref="N698" r:id="rId1387"/>
    <hyperlink ref="O698" r:id="rId1388"/>
    <hyperlink ref="N699" r:id="rId1389"/>
    <hyperlink ref="O699" r:id="rId1390"/>
    <hyperlink ref="N700" r:id="rId1391"/>
    <hyperlink ref="O700" r:id="rId1392"/>
    <hyperlink ref="N701" r:id="rId1393"/>
    <hyperlink ref="O701" r:id="rId1394"/>
    <hyperlink ref="N702" r:id="rId1395"/>
    <hyperlink ref="O702" r:id="rId1396"/>
    <hyperlink ref="N703" r:id="rId1397"/>
    <hyperlink ref="O703" r:id="rId1398"/>
    <hyperlink ref="N704" r:id="rId1399"/>
    <hyperlink ref="O704" r:id="rId1400"/>
    <hyperlink ref="N705" r:id="rId1401"/>
    <hyperlink ref="O705" r:id="rId1402"/>
    <hyperlink ref="N706" r:id="rId1403"/>
    <hyperlink ref="O706" r:id="rId1404"/>
    <hyperlink ref="N707" r:id="rId1405"/>
    <hyperlink ref="O707" r:id="rId1406"/>
    <hyperlink ref="N708" r:id="rId1407"/>
    <hyperlink ref="O708" r:id="rId1408"/>
    <hyperlink ref="N709" r:id="rId1409"/>
    <hyperlink ref="O709" r:id="rId1410"/>
    <hyperlink ref="N710" r:id="rId1411"/>
    <hyperlink ref="O710" r:id="rId1412"/>
    <hyperlink ref="N711" r:id="rId1413"/>
    <hyperlink ref="O711" r:id="rId1414"/>
    <hyperlink ref="N712" r:id="rId1415"/>
    <hyperlink ref="O712" r:id="rId1416"/>
    <hyperlink ref="N713" r:id="rId1417"/>
    <hyperlink ref="O713" r:id="rId1418"/>
    <hyperlink ref="N714" r:id="rId1419"/>
    <hyperlink ref="O714" r:id="rId1420"/>
    <hyperlink ref="N715" r:id="rId1421"/>
    <hyperlink ref="O715" r:id="rId1422"/>
    <hyperlink ref="N716" r:id="rId1423"/>
    <hyperlink ref="O716" r:id="rId1424"/>
    <hyperlink ref="N717" r:id="rId1425"/>
    <hyperlink ref="O717" r:id="rId1426"/>
    <hyperlink ref="N718" r:id="rId1427"/>
    <hyperlink ref="O718" r:id="rId1428"/>
    <hyperlink ref="N719" r:id="rId1429"/>
    <hyperlink ref="O719" r:id="rId1430"/>
    <hyperlink ref="N720" r:id="rId1431"/>
    <hyperlink ref="O720" r:id="rId1432"/>
    <hyperlink ref="N721" r:id="rId1433"/>
    <hyperlink ref="O721" r:id="rId1434"/>
    <hyperlink ref="N722" r:id="rId1435"/>
    <hyperlink ref="O722" r:id="rId1436"/>
    <hyperlink ref="N723" r:id="rId1437"/>
    <hyperlink ref="O723" r:id="rId1438"/>
    <hyperlink ref="N724" r:id="rId1439"/>
    <hyperlink ref="O724" r:id="rId1440"/>
    <hyperlink ref="N725" r:id="rId1441"/>
    <hyperlink ref="O725" r:id="rId1442"/>
    <hyperlink ref="N726" r:id="rId1443"/>
    <hyperlink ref="O726" r:id="rId1444"/>
    <hyperlink ref="N727" r:id="rId1445"/>
    <hyperlink ref="O727" r:id="rId1446"/>
    <hyperlink ref="N728" r:id="rId1447"/>
    <hyperlink ref="O728" r:id="rId1448"/>
    <hyperlink ref="N729" r:id="rId1449"/>
    <hyperlink ref="O729" r:id="rId1450"/>
    <hyperlink ref="N730" r:id="rId1451"/>
    <hyperlink ref="O730" r:id="rId1452"/>
    <hyperlink ref="N731" r:id="rId1453"/>
    <hyperlink ref="O731" r:id="rId1454"/>
    <hyperlink ref="N732" r:id="rId1455"/>
    <hyperlink ref="O732" r:id="rId1456"/>
    <hyperlink ref="N733" r:id="rId1457"/>
    <hyperlink ref="O733" r:id="rId1458"/>
    <hyperlink ref="N734" r:id="rId1459"/>
    <hyperlink ref="O734" r:id="rId1460"/>
    <hyperlink ref="N735" r:id="rId1461"/>
    <hyperlink ref="O735" r:id="rId1462"/>
    <hyperlink ref="N736" r:id="rId1463"/>
    <hyperlink ref="O736" r:id="rId1464"/>
    <hyperlink ref="N737" r:id="rId1465"/>
    <hyperlink ref="O737" r:id="rId1466"/>
    <hyperlink ref="N738" r:id="rId1467"/>
    <hyperlink ref="O738" r:id="rId1468"/>
    <hyperlink ref="N739" r:id="rId1469"/>
    <hyperlink ref="O739" r:id="rId1470"/>
    <hyperlink ref="N740" r:id="rId1471"/>
    <hyperlink ref="O740" r:id="rId1472"/>
    <hyperlink ref="N741" r:id="rId1473"/>
    <hyperlink ref="O741" r:id="rId1474"/>
    <hyperlink ref="N742" r:id="rId1475"/>
    <hyperlink ref="O742" r:id="rId1476"/>
    <hyperlink ref="N743" r:id="rId1477"/>
    <hyperlink ref="O743" r:id="rId1478"/>
    <hyperlink ref="N744" r:id="rId1479"/>
    <hyperlink ref="O744" r:id="rId1480"/>
    <hyperlink ref="N745" r:id="rId1481"/>
    <hyperlink ref="O745" r:id="rId1482"/>
    <hyperlink ref="N746" r:id="rId1483"/>
    <hyperlink ref="O746" r:id="rId1484"/>
    <hyperlink ref="N747" r:id="rId1485"/>
    <hyperlink ref="O747" r:id="rId1486"/>
    <hyperlink ref="N748" r:id="rId1487"/>
    <hyperlink ref="O748" r:id="rId1488"/>
    <hyperlink ref="N749" r:id="rId1489"/>
    <hyperlink ref="O749" r:id="rId1490"/>
    <hyperlink ref="N750" r:id="rId1491"/>
    <hyperlink ref="O750" r:id="rId1492"/>
    <hyperlink ref="N751" r:id="rId1493"/>
    <hyperlink ref="O751" r:id="rId1494"/>
    <hyperlink ref="N752" r:id="rId1495"/>
    <hyperlink ref="O752" r:id="rId1496"/>
    <hyperlink ref="N753" r:id="rId1497"/>
    <hyperlink ref="O753" r:id="rId1498"/>
    <hyperlink ref="N754" r:id="rId1499"/>
    <hyperlink ref="O754" r:id="rId1500"/>
    <hyperlink ref="N755" r:id="rId1501"/>
    <hyperlink ref="O755" r:id="rId1502"/>
    <hyperlink ref="N756" r:id="rId1503"/>
    <hyperlink ref="O756" r:id="rId1504"/>
    <hyperlink ref="N757" r:id="rId1505"/>
    <hyperlink ref="O757" r:id="rId1506"/>
    <hyperlink ref="N758" r:id="rId1507"/>
    <hyperlink ref="O758" r:id="rId1508"/>
    <hyperlink ref="N759" r:id="rId1509"/>
    <hyperlink ref="O759" r:id="rId1510"/>
    <hyperlink ref="N760" r:id="rId1511"/>
    <hyperlink ref="O760" r:id="rId1512"/>
    <hyperlink ref="N761" r:id="rId1513"/>
    <hyperlink ref="O761" r:id="rId1514"/>
    <hyperlink ref="N762" r:id="rId1515"/>
    <hyperlink ref="O762" r:id="rId1516"/>
    <hyperlink ref="N763" r:id="rId1517"/>
    <hyperlink ref="O763" r:id="rId1518"/>
    <hyperlink ref="N764" r:id="rId1519"/>
    <hyperlink ref="O764" r:id="rId1520"/>
    <hyperlink ref="N765" r:id="rId1521"/>
    <hyperlink ref="O765" r:id="rId1522"/>
    <hyperlink ref="N766" r:id="rId1523"/>
    <hyperlink ref="O766" r:id="rId1524"/>
    <hyperlink ref="N767" r:id="rId1525"/>
    <hyperlink ref="O767" r:id="rId1526"/>
    <hyperlink ref="N768" r:id="rId1527"/>
    <hyperlink ref="O768" r:id="rId1528"/>
    <hyperlink ref="N769" r:id="rId1529"/>
    <hyperlink ref="O769" r:id="rId1530"/>
    <hyperlink ref="N770" r:id="rId1531"/>
    <hyperlink ref="O770" r:id="rId1532"/>
    <hyperlink ref="N771" r:id="rId1533"/>
    <hyperlink ref="O771" r:id="rId1534"/>
    <hyperlink ref="N772" r:id="rId1535"/>
    <hyperlink ref="O772" r:id="rId1536"/>
    <hyperlink ref="N773" r:id="rId1537"/>
    <hyperlink ref="O773" r:id="rId1538"/>
    <hyperlink ref="N774" r:id="rId1539"/>
    <hyperlink ref="O774" r:id="rId1540"/>
    <hyperlink ref="N775" r:id="rId1541"/>
    <hyperlink ref="O775" r:id="rId1542"/>
    <hyperlink ref="N776" r:id="rId1543"/>
    <hyperlink ref="O776" r:id="rId1544"/>
    <hyperlink ref="N777" r:id="rId1545"/>
    <hyperlink ref="O777" r:id="rId1546"/>
    <hyperlink ref="N778" r:id="rId1547"/>
    <hyperlink ref="O778" r:id="rId1548"/>
    <hyperlink ref="N779" r:id="rId1549"/>
    <hyperlink ref="O779" r:id="rId1550"/>
    <hyperlink ref="N780" r:id="rId1551"/>
    <hyperlink ref="O780" r:id="rId1552"/>
    <hyperlink ref="N781" r:id="rId1553"/>
    <hyperlink ref="O781" r:id="rId1554"/>
    <hyperlink ref="N782" r:id="rId1555"/>
    <hyperlink ref="O782" r:id="rId1556"/>
    <hyperlink ref="N783" r:id="rId1557"/>
    <hyperlink ref="O783" r:id="rId1558"/>
    <hyperlink ref="N784" r:id="rId1559"/>
    <hyperlink ref="O784" r:id="rId1560"/>
    <hyperlink ref="N785" r:id="rId1561"/>
    <hyperlink ref="O785" r:id="rId1562"/>
    <hyperlink ref="N786" r:id="rId1563"/>
    <hyperlink ref="O786" r:id="rId1564"/>
    <hyperlink ref="N787" r:id="rId1565"/>
    <hyperlink ref="O787" r:id="rId1566"/>
    <hyperlink ref="N788" r:id="rId1567"/>
    <hyperlink ref="O788" r:id="rId1568"/>
    <hyperlink ref="N789" r:id="rId1569"/>
    <hyperlink ref="O789" r:id="rId1570"/>
    <hyperlink ref="N790" r:id="rId1571"/>
    <hyperlink ref="O790" r:id="rId1572"/>
    <hyperlink ref="N791" r:id="rId1573"/>
    <hyperlink ref="O791" r:id="rId1574"/>
    <hyperlink ref="N792" r:id="rId1575"/>
    <hyperlink ref="O792" r:id="rId1576"/>
    <hyperlink ref="N793" r:id="rId1577"/>
    <hyperlink ref="O793" r:id="rId1578"/>
    <hyperlink ref="N794" r:id="rId1579"/>
    <hyperlink ref="O794" r:id="rId1580"/>
    <hyperlink ref="N795" r:id="rId1581"/>
    <hyperlink ref="O795" r:id="rId1582"/>
    <hyperlink ref="N796" r:id="rId1583"/>
    <hyperlink ref="O796" r:id="rId1584"/>
    <hyperlink ref="N797" r:id="rId1585"/>
    <hyperlink ref="O797" r:id="rId1586"/>
    <hyperlink ref="N798" r:id="rId1587"/>
    <hyperlink ref="O798" r:id="rId1588"/>
    <hyperlink ref="N799" r:id="rId1589"/>
    <hyperlink ref="O799" r:id="rId1590"/>
    <hyperlink ref="N800" r:id="rId1591"/>
    <hyperlink ref="O800" r:id="rId1592"/>
    <hyperlink ref="N801" r:id="rId1593"/>
    <hyperlink ref="O801" r:id="rId1594"/>
    <hyperlink ref="N802" r:id="rId1595"/>
    <hyperlink ref="O802" r:id="rId1596"/>
    <hyperlink ref="N803" r:id="rId1597"/>
    <hyperlink ref="O803" r:id="rId1598"/>
    <hyperlink ref="N804" r:id="rId1599"/>
    <hyperlink ref="O804" r:id="rId1600"/>
    <hyperlink ref="N805" r:id="rId1601"/>
    <hyperlink ref="O805" r:id="rId1602"/>
    <hyperlink ref="N806" r:id="rId1603"/>
    <hyperlink ref="O806" r:id="rId1604"/>
    <hyperlink ref="N807" r:id="rId1605"/>
    <hyperlink ref="O807" r:id="rId1606"/>
    <hyperlink ref="N808" r:id="rId1607"/>
    <hyperlink ref="O808" r:id="rId1608"/>
    <hyperlink ref="N809" r:id="rId1609"/>
    <hyperlink ref="O809" r:id="rId1610"/>
    <hyperlink ref="N810" r:id="rId1611"/>
    <hyperlink ref="O810" r:id="rId1612"/>
    <hyperlink ref="N811" r:id="rId1613"/>
    <hyperlink ref="O811" r:id="rId1614"/>
    <hyperlink ref="N812" r:id="rId1615"/>
    <hyperlink ref="O812" r:id="rId1616"/>
    <hyperlink ref="N813" r:id="rId1617"/>
    <hyperlink ref="O813" r:id="rId1618"/>
    <hyperlink ref="N814" r:id="rId1619"/>
    <hyperlink ref="O814" r:id="rId1620"/>
    <hyperlink ref="N815" r:id="rId1621"/>
    <hyperlink ref="O815" r:id="rId1622"/>
    <hyperlink ref="N816" r:id="rId1623"/>
    <hyperlink ref="O816" r:id="rId1624"/>
    <hyperlink ref="N817" r:id="rId1625"/>
    <hyperlink ref="O817" r:id="rId1626"/>
    <hyperlink ref="N818" r:id="rId1627"/>
    <hyperlink ref="O818" r:id="rId1628"/>
    <hyperlink ref="N819" r:id="rId1629"/>
    <hyperlink ref="O819" r:id="rId1630"/>
    <hyperlink ref="N820" r:id="rId1631"/>
    <hyperlink ref="O820" r:id="rId1632"/>
    <hyperlink ref="N821" r:id="rId1633"/>
    <hyperlink ref="O821" r:id="rId1634"/>
    <hyperlink ref="N822" r:id="rId1635"/>
    <hyperlink ref="O822" r:id="rId1636"/>
    <hyperlink ref="N823" r:id="rId1637"/>
    <hyperlink ref="O823" r:id="rId1638"/>
    <hyperlink ref="N824" r:id="rId1639"/>
    <hyperlink ref="O824" r:id="rId1640"/>
    <hyperlink ref="N825" r:id="rId1641"/>
    <hyperlink ref="O825" r:id="rId1642"/>
    <hyperlink ref="N826" r:id="rId1643"/>
    <hyperlink ref="O826" r:id="rId1644"/>
    <hyperlink ref="N827" r:id="rId1645"/>
    <hyperlink ref="O827" r:id="rId1646"/>
    <hyperlink ref="N828" r:id="rId1647"/>
    <hyperlink ref="O828" r:id="rId1648"/>
    <hyperlink ref="N829" r:id="rId1649"/>
    <hyperlink ref="O829" r:id="rId1650"/>
    <hyperlink ref="N830" r:id="rId1651"/>
    <hyperlink ref="O830" r:id="rId1652"/>
    <hyperlink ref="N831" r:id="rId1653"/>
    <hyperlink ref="O831" r:id="rId1654"/>
    <hyperlink ref="N832" r:id="rId1655"/>
    <hyperlink ref="O832" r:id="rId1656"/>
    <hyperlink ref="N833" r:id="rId1657"/>
    <hyperlink ref="O833" r:id="rId1658"/>
    <hyperlink ref="N834" r:id="rId1659"/>
    <hyperlink ref="O834" r:id="rId1660"/>
    <hyperlink ref="N835" r:id="rId1661"/>
    <hyperlink ref="O835" r:id="rId1662"/>
    <hyperlink ref="N836" r:id="rId1663"/>
    <hyperlink ref="O836" r:id="rId1664"/>
    <hyperlink ref="N837" r:id="rId1665"/>
    <hyperlink ref="O837" r:id="rId1666"/>
    <hyperlink ref="N838" r:id="rId1667"/>
    <hyperlink ref="O838" r:id="rId1668"/>
    <hyperlink ref="N839" r:id="rId1669"/>
    <hyperlink ref="O839" r:id="rId1670"/>
    <hyperlink ref="N840" r:id="rId1671"/>
    <hyperlink ref="O840" r:id="rId1672"/>
    <hyperlink ref="N841" r:id="rId1673"/>
    <hyperlink ref="O841" r:id="rId1674"/>
    <hyperlink ref="N842" r:id="rId1675"/>
    <hyperlink ref="O842" r:id="rId1676"/>
    <hyperlink ref="N843" r:id="rId1677"/>
    <hyperlink ref="O843" r:id="rId1678"/>
    <hyperlink ref="N844" r:id="rId1679"/>
    <hyperlink ref="O844" r:id="rId1680"/>
    <hyperlink ref="N845" r:id="rId1681"/>
    <hyperlink ref="O845" r:id="rId1682"/>
    <hyperlink ref="N846" r:id="rId1683"/>
    <hyperlink ref="O846" r:id="rId1684"/>
    <hyperlink ref="N847" r:id="rId1685"/>
    <hyperlink ref="O847" r:id="rId1686"/>
    <hyperlink ref="N848" r:id="rId1687"/>
    <hyperlink ref="O848" r:id="rId1688"/>
    <hyperlink ref="N849" r:id="rId1689"/>
    <hyperlink ref="O849" r:id="rId1690"/>
    <hyperlink ref="N850" r:id="rId1691"/>
    <hyperlink ref="O850" r:id="rId1692"/>
    <hyperlink ref="N851" r:id="rId1693"/>
    <hyperlink ref="O851" r:id="rId1694"/>
    <hyperlink ref="N852" r:id="rId1695"/>
    <hyperlink ref="O852" r:id="rId1696"/>
    <hyperlink ref="N853" r:id="rId1697"/>
    <hyperlink ref="O853" r:id="rId1698"/>
    <hyperlink ref="N854" r:id="rId1699"/>
    <hyperlink ref="O854" r:id="rId1700"/>
    <hyperlink ref="N855" r:id="rId1701"/>
    <hyperlink ref="O855" r:id="rId1702"/>
    <hyperlink ref="N856" r:id="rId1703"/>
    <hyperlink ref="O856" r:id="rId1704"/>
    <hyperlink ref="N857" r:id="rId1705"/>
    <hyperlink ref="O857" r:id="rId1706"/>
    <hyperlink ref="N858" r:id="rId1707"/>
    <hyperlink ref="O858" r:id="rId1708"/>
    <hyperlink ref="N859" r:id="rId1709"/>
    <hyperlink ref="O859" r:id="rId1710"/>
    <hyperlink ref="N860" r:id="rId1711"/>
    <hyperlink ref="O860" r:id="rId1712"/>
    <hyperlink ref="N861" r:id="rId1713"/>
    <hyperlink ref="O861" r:id="rId1714"/>
    <hyperlink ref="N862" r:id="rId1715"/>
    <hyperlink ref="O862" r:id="rId1716"/>
    <hyperlink ref="N863" r:id="rId1717"/>
    <hyperlink ref="O863" r:id="rId1718"/>
    <hyperlink ref="N864" r:id="rId1719"/>
    <hyperlink ref="O864" r:id="rId1720"/>
    <hyperlink ref="N865" r:id="rId1721"/>
    <hyperlink ref="O865" r:id="rId1722"/>
    <hyperlink ref="N866" r:id="rId1723"/>
    <hyperlink ref="O866" r:id="rId1724"/>
    <hyperlink ref="N867" r:id="rId1725"/>
    <hyperlink ref="O867" r:id="rId1726"/>
    <hyperlink ref="N868" r:id="rId1727"/>
    <hyperlink ref="O868" r:id="rId1728"/>
    <hyperlink ref="N869" r:id="rId1729"/>
    <hyperlink ref="O869" r:id="rId1730"/>
    <hyperlink ref="N870" r:id="rId1731"/>
    <hyperlink ref="O870" r:id="rId1732"/>
    <hyperlink ref="N871" r:id="rId1733"/>
    <hyperlink ref="O871" r:id="rId1734"/>
    <hyperlink ref="N872" r:id="rId1735"/>
    <hyperlink ref="O872" r:id="rId1736"/>
    <hyperlink ref="N873" r:id="rId1737"/>
    <hyperlink ref="O873" r:id="rId1738"/>
    <hyperlink ref="N874" r:id="rId1739"/>
    <hyperlink ref="O874" r:id="rId1740"/>
    <hyperlink ref="N875" r:id="rId1741"/>
    <hyperlink ref="O875" r:id="rId1742"/>
    <hyperlink ref="N876" r:id="rId1743"/>
    <hyperlink ref="O876" r:id="rId1744"/>
    <hyperlink ref="N877" r:id="rId1745"/>
    <hyperlink ref="O877" r:id="rId1746"/>
    <hyperlink ref="N878" r:id="rId1747"/>
    <hyperlink ref="O878" r:id="rId1748"/>
    <hyperlink ref="N879" r:id="rId1749"/>
    <hyperlink ref="O879" r:id="rId1750"/>
    <hyperlink ref="N880" r:id="rId1751"/>
    <hyperlink ref="O880" r:id="rId1752"/>
    <hyperlink ref="N881" r:id="rId1753"/>
    <hyperlink ref="O881" r:id="rId1754"/>
    <hyperlink ref="N882" r:id="rId1755"/>
    <hyperlink ref="O882" r:id="rId1756"/>
    <hyperlink ref="N883" r:id="rId1757"/>
    <hyperlink ref="O883" r:id="rId1758"/>
    <hyperlink ref="N884" r:id="rId1759"/>
    <hyperlink ref="O884" r:id="rId1760"/>
    <hyperlink ref="N885" r:id="rId1761"/>
    <hyperlink ref="O885" r:id="rId1762"/>
    <hyperlink ref="N886" r:id="rId1763"/>
    <hyperlink ref="O886" r:id="rId1764"/>
    <hyperlink ref="N887" r:id="rId1765"/>
    <hyperlink ref="O887" r:id="rId1766"/>
    <hyperlink ref="N888" r:id="rId1767"/>
    <hyperlink ref="O888" r:id="rId1768"/>
    <hyperlink ref="N889" r:id="rId1769"/>
    <hyperlink ref="O889" r:id="rId1770"/>
    <hyperlink ref="N890" r:id="rId1771"/>
    <hyperlink ref="O890" r:id="rId1772"/>
    <hyperlink ref="N891" r:id="rId1773"/>
    <hyperlink ref="O891" r:id="rId1774"/>
    <hyperlink ref="N892" r:id="rId1775"/>
    <hyperlink ref="O892" r:id="rId1776"/>
    <hyperlink ref="N893" r:id="rId1777"/>
    <hyperlink ref="O893" r:id="rId1778"/>
    <hyperlink ref="N894" r:id="rId1779"/>
    <hyperlink ref="O894" r:id="rId1780"/>
    <hyperlink ref="N895" r:id="rId1781"/>
    <hyperlink ref="O895" r:id="rId1782"/>
    <hyperlink ref="N896" r:id="rId1783"/>
    <hyperlink ref="O896" r:id="rId1784"/>
    <hyperlink ref="N897" r:id="rId1785"/>
    <hyperlink ref="O897" r:id="rId1786"/>
    <hyperlink ref="N898" r:id="rId1787"/>
    <hyperlink ref="O898" r:id="rId1788"/>
    <hyperlink ref="N899" r:id="rId1789"/>
    <hyperlink ref="O899" r:id="rId1790"/>
    <hyperlink ref="N900" r:id="rId1791"/>
    <hyperlink ref="O900" r:id="rId1792"/>
    <hyperlink ref="N901" r:id="rId1793"/>
    <hyperlink ref="O901" r:id="rId1794"/>
    <hyperlink ref="N902" r:id="rId1795"/>
    <hyperlink ref="O902" r:id="rId1796"/>
    <hyperlink ref="N903" r:id="rId1797"/>
    <hyperlink ref="O903" r:id="rId1798"/>
    <hyperlink ref="N904" r:id="rId1799"/>
    <hyperlink ref="O904" r:id="rId1800"/>
    <hyperlink ref="N905" r:id="rId1801"/>
    <hyperlink ref="O905" r:id="rId1802"/>
    <hyperlink ref="N906" r:id="rId1803"/>
    <hyperlink ref="O906" r:id="rId1804"/>
    <hyperlink ref="N907" r:id="rId1805"/>
    <hyperlink ref="O907" r:id="rId1806"/>
    <hyperlink ref="N908" r:id="rId1807"/>
    <hyperlink ref="O908" r:id="rId1808"/>
    <hyperlink ref="N909" r:id="rId1809"/>
    <hyperlink ref="O909" r:id="rId1810"/>
    <hyperlink ref="N910" r:id="rId1811"/>
    <hyperlink ref="O910" r:id="rId1812"/>
    <hyperlink ref="N911" r:id="rId1813"/>
    <hyperlink ref="O911" r:id="rId1814"/>
    <hyperlink ref="N912" r:id="rId1815"/>
    <hyperlink ref="O912" r:id="rId1816"/>
    <hyperlink ref="N913" r:id="rId1817"/>
    <hyperlink ref="O913" r:id="rId1818"/>
    <hyperlink ref="N914" r:id="rId1819"/>
    <hyperlink ref="O914" r:id="rId1820"/>
    <hyperlink ref="N915" r:id="rId1821"/>
    <hyperlink ref="O915" r:id="rId1822"/>
    <hyperlink ref="N916" r:id="rId1823"/>
    <hyperlink ref="O916" r:id="rId1824"/>
    <hyperlink ref="N917" r:id="rId1825"/>
    <hyperlink ref="O917" r:id="rId1826"/>
    <hyperlink ref="N918" r:id="rId1827"/>
    <hyperlink ref="O918" r:id="rId1828"/>
    <hyperlink ref="N919" r:id="rId1829"/>
    <hyperlink ref="O919" r:id="rId1830"/>
    <hyperlink ref="N920" r:id="rId1831"/>
    <hyperlink ref="O920" r:id="rId1832"/>
    <hyperlink ref="N921" r:id="rId1833"/>
    <hyperlink ref="O921" r:id="rId1834"/>
    <hyperlink ref="N922" r:id="rId1835"/>
    <hyperlink ref="O922" r:id="rId1836"/>
    <hyperlink ref="N923" r:id="rId1837"/>
    <hyperlink ref="O923" r:id="rId1838"/>
    <hyperlink ref="N924" r:id="rId1839"/>
    <hyperlink ref="O924" r:id="rId1840"/>
    <hyperlink ref="N925" r:id="rId1841"/>
    <hyperlink ref="O925" r:id="rId1842"/>
    <hyperlink ref="N926" r:id="rId1843"/>
    <hyperlink ref="O926" r:id="rId1844"/>
    <hyperlink ref="N927" r:id="rId1845"/>
    <hyperlink ref="O927" r:id="rId1846"/>
    <hyperlink ref="N928" r:id="rId1847"/>
    <hyperlink ref="O928" r:id="rId1848"/>
    <hyperlink ref="N929" r:id="rId1849"/>
    <hyperlink ref="O929" r:id="rId1850"/>
    <hyperlink ref="N930" r:id="rId1851"/>
    <hyperlink ref="O930" r:id="rId1852"/>
    <hyperlink ref="N931" r:id="rId1853"/>
    <hyperlink ref="O931" r:id="rId1854"/>
    <hyperlink ref="N932" r:id="rId1855"/>
    <hyperlink ref="O932" r:id="rId1856"/>
    <hyperlink ref="N933" r:id="rId1857"/>
    <hyperlink ref="O933" r:id="rId1858"/>
    <hyperlink ref="N934" r:id="rId1859"/>
    <hyperlink ref="O934" r:id="rId1860"/>
    <hyperlink ref="N935" r:id="rId1861"/>
    <hyperlink ref="O935" r:id="rId1862"/>
    <hyperlink ref="N936" r:id="rId1863"/>
    <hyperlink ref="O936" r:id="rId1864"/>
    <hyperlink ref="N937" r:id="rId1865"/>
    <hyperlink ref="O937" r:id="rId1866"/>
    <hyperlink ref="N938" r:id="rId1867"/>
    <hyperlink ref="O938" r:id="rId1868"/>
    <hyperlink ref="N939" r:id="rId1869"/>
    <hyperlink ref="O939" r:id="rId1870"/>
    <hyperlink ref="N940" r:id="rId1871"/>
    <hyperlink ref="O940" r:id="rId1872"/>
    <hyperlink ref="N941" r:id="rId1873"/>
    <hyperlink ref="O941" r:id="rId1874"/>
    <hyperlink ref="N942" r:id="rId1875"/>
    <hyperlink ref="O942" r:id="rId1876"/>
    <hyperlink ref="N943" r:id="rId1877"/>
    <hyperlink ref="O943" r:id="rId1878"/>
    <hyperlink ref="N944" r:id="rId1879"/>
    <hyperlink ref="O944" r:id="rId1880"/>
    <hyperlink ref="N945" r:id="rId1881"/>
    <hyperlink ref="O945" r:id="rId1882"/>
    <hyperlink ref="N946" r:id="rId1883"/>
    <hyperlink ref="O946" r:id="rId1884"/>
    <hyperlink ref="N947" r:id="rId1885"/>
    <hyperlink ref="O947" r:id="rId1886"/>
    <hyperlink ref="N948" r:id="rId1887"/>
    <hyperlink ref="O948" r:id="rId1888"/>
    <hyperlink ref="N949" r:id="rId1889"/>
    <hyperlink ref="O949" r:id="rId1890"/>
    <hyperlink ref="N950" r:id="rId1891"/>
    <hyperlink ref="O950" r:id="rId1892"/>
    <hyperlink ref="N951" r:id="rId1893"/>
    <hyperlink ref="O951" r:id="rId1894"/>
    <hyperlink ref="N952" r:id="rId1895"/>
    <hyperlink ref="O952" r:id="rId1896"/>
    <hyperlink ref="N953" r:id="rId1897"/>
    <hyperlink ref="O953" r:id="rId1898"/>
    <hyperlink ref="N954" r:id="rId1899"/>
    <hyperlink ref="O954" r:id="rId1900"/>
    <hyperlink ref="N955" r:id="rId1901"/>
    <hyperlink ref="O955" r:id="rId1902"/>
    <hyperlink ref="N956" r:id="rId1903"/>
    <hyperlink ref="O956" r:id="rId1904"/>
    <hyperlink ref="N957" r:id="rId1905"/>
    <hyperlink ref="O957" r:id="rId1906"/>
    <hyperlink ref="N958" r:id="rId1907"/>
    <hyperlink ref="O958" r:id="rId1908"/>
    <hyperlink ref="N959" r:id="rId1909"/>
    <hyperlink ref="O959" r:id="rId1910"/>
    <hyperlink ref="N960" r:id="rId1911"/>
    <hyperlink ref="O960" r:id="rId1912"/>
    <hyperlink ref="N961" r:id="rId1913"/>
    <hyperlink ref="O961" r:id="rId1914"/>
    <hyperlink ref="N962" r:id="rId1915"/>
    <hyperlink ref="O962" r:id="rId1916"/>
    <hyperlink ref="N963" r:id="rId1917"/>
    <hyperlink ref="O963" r:id="rId1918"/>
    <hyperlink ref="N964" r:id="rId1919"/>
    <hyperlink ref="O964" r:id="rId1920"/>
    <hyperlink ref="N965" r:id="rId1921"/>
    <hyperlink ref="O965" r:id="rId1922"/>
    <hyperlink ref="N966" r:id="rId1923"/>
    <hyperlink ref="O966" r:id="rId1924"/>
    <hyperlink ref="N967" r:id="rId1925"/>
    <hyperlink ref="O967" r:id="rId1926"/>
    <hyperlink ref="N968" r:id="rId1927"/>
    <hyperlink ref="O968" r:id="rId1928"/>
    <hyperlink ref="N969" r:id="rId1929"/>
    <hyperlink ref="O969" r:id="rId1930"/>
    <hyperlink ref="N970" r:id="rId1931"/>
    <hyperlink ref="O970" r:id="rId1932"/>
    <hyperlink ref="N971" r:id="rId1933"/>
    <hyperlink ref="O971" r:id="rId1934"/>
    <hyperlink ref="N972" r:id="rId1935"/>
    <hyperlink ref="O972" r:id="rId1936"/>
    <hyperlink ref="N973" r:id="rId1937"/>
    <hyperlink ref="O973" r:id="rId1938"/>
    <hyperlink ref="N974" r:id="rId1939"/>
    <hyperlink ref="O974" r:id="rId1940"/>
    <hyperlink ref="N975" r:id="rId1941"/>
    <hyperlink ref="O975" r:id="rId1942"/>
    <hyperlink ref="N976" r:id="rId1943"/>
    <hyperlink ref="O976" r:id="rId1944"/>
    <hyperlink ref="N977" r:id="rId1945"/>
    <hyperlink ref="O977" r:id="rId1946"/>
    <hyperlink ref="N978" r:id="rId1947"/>
    <hyperlink ref="O978" r:id="rId1948"/>
    <hyperlink ref="N979" r:id="rId1949"/>
    <hyperlink ref="O979" r:id="rId1950"/>
    <hyperlink ref="N980" r:id="rId1951"/>
    <hyperlink ref="O980" r:id="rId1952"/>
    <hyperlink ref="N981" r:id="rId1953"/>
    <hyperlink ref="O981" r:id="rId1954"/>
    <hyperlink ref="N982" r:id="rId1955"/>
    <hyperlink ref="O982" r:id="rId1956"/>
    <hyperlink ref="N983" r:id="rId1957"/>
    <hyperlink ref="O983" r:id="rId1958"/>
    <hyperlink ref="N984" r:id="rId1959"/>
    <hyperlink ref="O984" r:id="rId1960"/>
    <hyperlink ref="N985" r:id="rId1961"/>
    <hyperlink ref="O985" r:id="rId1962"/>
    <hyperlink ref="N986" r:id="rId1963"/>
    <hyperlink ref="O986" r:id="rId1964"/>
    <hyperlink ref="N987" r:id="rId1965"/>
    <hyperlink ref="O987" r:id="rId1966"/>
    <hyperlink ref="N988" r:id="rId1967"/>
    <hyperlink ref="O988" r:id="rId1968"/>
    <hyperlink ref="N989" r:id="rId1969"/>
    <hyperlink ref="O989" r:id="rId1970"/>
    <hyperlink ref="N990" r:id="rId1971"/>
    <hyperlink ref="O990" r:id="rId1972"/>
    <hyperlink ref="N991" r:id="rId1973"/>
    <hyperlink ref="O991" r:id="rId1974"/>
    <hyperlink ref="N992" r:id="rId1975"/>
    <hyperlink ref="O992" r:id="rId1976"/>
    <hyperlink ref="N993" r:id="rId1977"/>
    <hyperlink ref="O993" r:id="rId1978"/>
    <hyperlink ref="N994" r:id="rId1979"/>
    <hyperlink ref="O994" r:id="rId1980"/>
    <hyperlink ref="N995" r:id="rId1981"/>
    <hyperlink ref="O995" r:id="rId1982"/>
    <hyperlink ref="N996" r:id="rId1983"/>
    <hyperlink ref="O996" r:id="rId1984"/>
    <hyperlink ref="N997" r:id="rId1985"/>
    <hyperlink ref="O997" r:id="rId1986"/>
    <hyperlink ref="N998" r:id="rId1987"/>
    <hyperlink ref="O998" r:id="rId1988"/>
    <hyperlink ref="N999" r:id="rId1989"/>
    <hyperlink ref="O999" r:id="rId1990"/>
    <hyperlink ref="N1000" r:id="rId1991"/>
    <hyperlink ref="O1000" r:id="rId1992"/>
    <hyperlink ref="N1001" r:id="rId1993"/>
    <hyperlink ref="O1001" r:id="rId1994"/>
    <hyperlink ref="N1002" r:id="rId1995"/>
    <hyperlink ref="O1002" r:id="rId1996"/>
    <hyperlink ref="N1003" r:id="rId1997"/>
    <hyperlink ref="O1003" r:id="rId1998"/>
    <hyperlink ref="N1004" r:id="rId1999"/>
    <hyperlink ref="O1004" r:id="rId2000"/>
    <hyperlink ref="N1005" r:id="rId2001"/>
    <hyperlink ref="O1005" r:id="rId2002"/>
    <hyperlink ref="N1006" r:id="rId2003"/>
    <hyperlink ref="O1006" r:id="rId2004"/>
    <hyperlink ref="N1007" r:id="rId2005"/>
    <hyperlink ref="O1007" r:id="rId2006"/>
    <hyperlink ref="N1008" r:id="rId2007"/>
    <hyperlink ref="O1008" r:id="rId2008"/>
    <hyperlink ref="N1009" r:id="rId2009"/>
    <hyperlink ref="O1009" r:id="rId2010"/>
    <hyperlink ref="N1010" r:id="rId2011"/>
    <hyperlink ref="O1010" r:id="rId2012"/>
    <hyperlink ref="N1011" r:id="rId2013"/>
    <hyperlink ref="O1011" r:id="rId2014"/>
    <hyperlink ref="N1012" r:id="rId2015"/>
    <hyperlink ref="O1012" r:id="rId2016"/>
    <hyperlink ref="N1013" r:id="rId2017"/>
    <hyperlink ref="O1013" r:id="rId2018"/>
    <hyperlink ref="N1014" r:id="rId2019"/>
    <hyperlink ref="O1014" r:id="rId2020"/>
    <hyperlink ref="N1015" r:id="rId2021"/>
    <hyperlink ref="O1015" r:id="rId2022"/>
    <hyperlink ref="N1016" r:id="rId2023"/>
    <hyperlink ref="O1016" r:id="rId2024"/>
    <hyperlink ref="N1017" r:id="rId2025"/>
    <hyperlink ref="O1017" r:id="rId2026"/>
    <hyperlink ref="N1018" r:id="rId2027"/>
    <hyperlink ref="O1018" r:id="rId2028"/>
    <hyperlink ref="N1019" r:id="rId2029"/>
    <hyperlink ref="O1019" r:id="rId2030"/>
    <hyperlink ref="N1020" r:id="rId2031"/>
    <hyperlink ref="O1020" r:id="rId2032"/>
    <hyperlink ref="N1021" r:id="rId2033"/>
    <hyperlink ref="O1021" r:id="rId2034"/>
    <hyperlink ref="N1022" r:id="rId2035"/>
    <hyperlink ref="O1022" r:id="rId2036"/>
    <hyperlink ref="N1023" r:id="rId2037"/>
    <hyperlink ref="O1023" r:id="rId2038"/>
    <hyperlink ref="N1024" r:id="rId2039"/>
    <hyperlink ref="O1024" r:id="rId2040"/>
    <hyperlink ref="N1025" r:id="rId2041"/>
    <hyperlink ref="O1025" r:id="rId2042"/>
    <hyperlink ref="N1026" r:id="rId2043"/>
    <hyperlink ref="O1026" r:id="rId2044"/>
    <hyperlink ref="N1027" r:id="rId2045"/>
    <hyperlink ref="O1027" r:id="rId2046"/>
    <hyperlink ref="N1028" r:id="rId2047"/>
    <hyperlink ref="O1028" r:id="rId2048"/>
    <hyperlink ref="N1029" r:id="rId2049"/>
    <hyperlink ref="O1029" r:id="rId2050"/>
    <hyperlink ref="N1030" r:id="rId2051"/>
    <hyperlink ref="O1030" r:id="rId2052"/>
    <hyperlink ref="N1031" r:id="rId2053"/>
    <hyperlink ref="O1031" r:id="rId2054"/>
    <hyperlink ref="N1032" r:id="rId2055"/>
    <hyperlink ref="O1032" r:id="rId2056"/>
    <hyperlink ref="N1033" r:id="rId2057"/>
    <hyperlink ref="O1033" r:id="rId2058"/>
    <hyperlink ref="N1034" r:id="rId2059"/>
    <hyperlink ref="O1034" r:id="rId2060"/>
    <hyperlink ref="N1035" r:id="rId2061"/>
    <hyperlink ref="O1035" r:id="rId2062"/>
    <hyperlink ref="N1036" r:id="rId2063"/>
    <hyperlink ref="O1036" r:id="rId2064"/>
    <hyperlink ref="N1037" r:id="rId2065"/>
    <hyperlink ref="O1037" r:id="rId2066"/>
    <hyperlink ref="N1038" r:id="rId2067"/>
    <hyperlink ref="O1038" r:id="rId2068"/>
    <hyperlink ref="N1039" r:id="rId2069"/>
    <hyperlink ref="O1039" r:id="rId2070"/>
    <hyperlink ref="N1040" r:id="rId2071"/>
    <hyperlink ref="O1040" r:id="rId2072"/>
    <hyperlink ref="N1041" r:id="rId2073"/>
    <hyperlink ref="O1041" r:id="rId2074"/>
    <hyperlink ref="N1042" r:id="rId2075"/>
    <hyperlink ref="O1042" r:id="rId2076"/>
    <hyperlink ref="N1043" r:id="rId2077"/>
    <hyperlink ref="O1043" r:id="rId2078"/>
    <hyperlink ref="N1044" r:id="rId2079"/>
    <hyperlink ref="O1044" r:id="rId2080"/>
    <hyperlink ref="N1045" r:id="rId2081"/>
    <hyperlink ref="O1045" r:id="rId2082"/>
    <hyperlink ref="N1046" r:id="rId2083"/>
    <hyperlink ref="O1046" r:id="rId2084"/>
    <hyperlink ref="N1047" r:id="rId2085"/>
    <hyperlink ref="O1047" r:id="rId2086"/>
    <hyperlink ref="N1048" r:id="rId2087"/>
    <hyperlink ref="O1048" r:id="rId2088"/>
    <hyperlink ref="N1049" r:id="rId2089"/>
    <hyperlink ref="O1049" r:id="rId2090"/>
    <hyperlink ref="N1050" r:id="rId2091"/>
    <hyperlink ref="O1050" r:id="rId2092"/>
    <hyperlink ref="N1051" r:id="rId2093"/>
    <hyperlink ref="O1051" r:id="rId2094"/>
    <hyperlink ref="N1052" r:id="rId2095"/>
    <hyperlink ref="O1052" r:id="rId2096"/>
    <hyperlink ref="N1053" r:id="rId2097"/>
    <hyperlink ref="O1053" r:id="rId2098"/>
    <hyperlink ref="N1054" r:id="rId2099"/>
    <hyperlink ref="O1054" r:id="rId2100"/>
    <hyperlink ref="N1055" r:id="rId2101"/>
    <hyperlink ref="O1055" r:id="rId2102"/>
    <hyperlink ref="N1056" r:id="rId2103"/>
    <hyperlink ref="O1056" r:id="rId2104"/>
    <hyperlink ref="N1057" r:id="rId2105"/>
    <hyperlink ref="O1057" r:id="rId2106"/>
    <hyperlink ref="N1058" r:id="rId2107"/>
    <hyperlink ref="O1058" r:id="rId2108"/>
    <hyperlink ref="N1059" r:id="rId2109"/>
    <hyperlink ref="O1059" r:id="rId2110"/>
    <hyperlink ref="N1060" r:id="rId2111"/>
    <hyperlink ref="O1060" r:id="rId2112"/>
    <hyperlink ref="N1061" r:id="rId2113"/>
    <hyperlink ref="O1061" r:id="rId2114"/>
    <hyperlink ref="N1062" r:id="rId2115"/>
    <hyperlink ref="O1062" r:id="rId2116"/>
    <hyperlink ref="N1063" r:id="rId2117"/>
    <hyperlink ref="O1063" r:id="rId2118"/>
    <hyperlink ref="N1064" r:id="rId2119"/>
    <hyperlink ref="O1064" r:id="rId2120"/>
    <hyperlink ref="N1065" r:id="rId2121"/>
    <hyperlink ref="O1065" r:id="rId2122"/>
    <hyperlink ref="N1066" r:id="rId2123"/>
    <hyperlink ref="O1066" r:id="rId2124"/>
    <hyperlink ref="N1067" r:id="rId2125"/>
    <hyperlink ref="O1067" r:id="rId2126"/>
    <hyperlink ref="N1068" r:id="rId2127"/>
    <hyperlink ref="O1068" r:id="rId2128"/>
    <hyperlink ref="N1069" r:id="rId2129"/>
    <hyperlink ref="O1069" r:id="rId2130"/>
    <hyperlink ref="N1070" r:id="rId2131"/>
    <hyperlink ref="O1070" r:id="rId2132"/>
    <hyperlink ref="N1071" r:id="rId2133"/>
    <hyperlink ref="O1071" r:id="rId2134"/>
    <hyperlink ref="N1072" r:id="rId2135"/>
    <hyperlink ref="O1072" r:id="rId2136"/>
    <hyperlink ref="N1073" r:id="rId2137"/>
    <hyperlink ref="O1073" r:id="rId2138"/>
    <hyperlink ref="N1074" r:id="rId2139"/>
    <hyperlink ref="O1074" r:id="rId2140"/>
    <hyperlink ref="N1075" r:id="rId2141"/>
    <hyperlink ref="O1075" r:id="rId2142"/>
    <hyperlink ref="N1076" r:id="rId2143"/>
    <hyperlink ref="O1076" r:id="rId2144"/>
    <hyperlink ref="N1077" r:id="rId2145"/>
    <hyperlink ref="O1077" r:id="rId2146"/>
    <hyperlink ref="N1078" r:id="rId2147"/>
    <hyperlink ref="O1078" r:id="rId2148"/>
    <hyperlink ref="N1079" r:id="rId2149"/>
    <hyperlink ref="O1079" r:id="rId2150"/>
    <hyperlink ref="N1080" r:id="rId2151"/>
    <hyperlink ref="O1080" r:id="rId2152"/>
    <hyperlink ref="N1081" r:id="rId2153"/>
    <hyperlink ref="O1081" r:id="rId2154"/>
    <hyperlink ref="N1082" r:id="rId2155"/>
    <hyperlink ref="O1082" r:id="rId2156"/>
    <hyperlink ref="N1083" r:id="rId2157"/>
    <hyperlink ref="O1083" r:id="rId2158"/>
    <hyperlink ref="N1084" r:id="rId2159"/>
    <hyperlink ref="O1084" r:id="rId2160"/>
    <hyperlink ref="N1085" r:id="rId2161"/>
    <hyperlink ref="O1085" r:id="rId2162"/>
    <hyperlink ref="N1086" r:id="rId2163"/>
    <hyperlink ref="O1086" r:id="rId2164"/>
    <hyperlink ref="N1087" r:id="rId2165"/>
    <hyperlink ref="O1087" r:id="rId2166"/>
    <hyperlink ref="N1088" r:id="rId2167"/>
    <hyperlink ref="O1088" r:id="rId2168"/>
    <hyperlink ref="N1089" r:id="rId2169"/>
    <hyperlink ref="O1089" r:id="rId2170"/>
    <hyperlink ref="N1090" r:id="rId2171"/>
    <hyperlink ref="O1090" r:id="rId2172"/>
    <hyperlink ref="N1091" r:id="rId2173"/>
    <hyperlink ref="O1091" r:id="rId2174"/>
    <hyperlink ref="N1092" r:id="rId2175"/>
    <hyperlink ref="O1092" r:id="rId2176"/>
    <hyperlink ref="N1093" r:id="rId2177"/>
    <hyperlink ref="O1093" r:id="rId2178"/>
    <hyperlink ref="N1094" r:id="rId2179"/>
    <hyperlink ref="O1094" r:id="rId2180"/>
    <hyperlink ref="N1095" r:id="rId2181"/>
    <hyperlink ref="O1095" r:id="rId2182"/>
    <hyperlink ref="N1096" r:id="rId2183"/>
    <hyperlink ref="O1096" r:id="rId2184"/>
    <hyperlink ref="N1097" r:id="rId2185"/>
    <hyperlink ref="O1097" r:id="rId2186"/>
    <hyperlink ref="N1098" r:id="rId2187"/>
    <hyperlink ref="O1098" r:id="rId2188"/>
    <hyperlink ref="N1099" r:id="rId2189"/>
    <hyperlink ref="O1099" r:id="rId2190"/>
    <hyperlink ref="N1100" r:id="rId2191"/>
    <hyperlink ref="O1100" r:id="rId2192"/>
    <hyperlink ref="N1101" r:id="rId2193"/>
    <hyperlink ref="O1101" r:id="rId2194"/>
    <hyperlink ref="N1102" r:id="rId2195"/>
    <hyperlink ref="O1102" r:id="rId2196"/>
    <hyperlink ref="N1103" r:id="rId2197"/>
    <hyperlink ref="O1103" r:id="rId2198"/>
    <hyperlink ref="N1104" r:id="rId2199"/>
    <hyperlink ref="O1104" r:id="rId2200"/>
    <hyperlink ref="N1105" r:id="rId2201"/>
    <hyperlink ref="O1105" r:id="rId2202"/>
    <hyperlink ref="N1106" r:id="rId2203"/>
    <hyperlink ref="O1106" r:id="rId2204"/>
    <hyperlink ref="N1107" r:id="rId2205"/>
    <hyperlink ref="O1107" r:id="rId2206"/>
    <hyperlink ref="N1108" r:id="rId2207"/>
    <hyperlink ref="O1108" r:id="rId2208"/>
    <hyperlink ref="N1109" r:id="rId2209"/>
    <hyperlink ref="O1109" r:id="rId2210"/>
    <hyperlink ref="N1110" r:id="rId2211"/>
    <hyperlink ref="O1110" r:id="rId2212"/>
    <hyperlink ref="N1111" r:id="rId2213"/>
    <hyperlink ref="O1111" r:id="rId2214"/>
    <hyperlink ref="N1112" r:id="rId2215"/>
    <hyperlink ref="O1112" r:id="rId2216"/>
    <hyperlink ref="N1113" r:id="rId2217"/>
    <hyperlink ref="O1113" r:id="rId2218"/>
    <hyperlink ref="N1114" r:id="rId2219"/>
    <hyperlink ref="O1114" r:id="rId2220"/>
    <hyperlink ref="N1115" r:id="rId2221"/>
    <hyperlink ref="O1115" r:id="rId2222"/>
    <hyperlink ref="N1116" r:id="rId2223"/>
    <hyperlink ref="O1116" r:id="rId2224"/>
    <hyperlink ref="N1117" r:id="rId2225"/>
    <hyperlink ref="O1117" r:id="rId2226"/>
    <hyperlink ref="N1118" r:id="rId2227"/>
    <hyperlink ref="O1118" r:id="rId2228"/>
    <hyperlink ref="N1119" r:id="rId2229"/>
    <hyperlink ref="O1119" r:id="rId2230"/>
    <hyperlink ref="N1120" r:id="rId2231"/>
    <hyperlink ref="O1120" r:id="rId2232"/>
    <hyperlink ref="N1121" r:id="rId2233"/>
    <hyperlink ref="O1121" r:id="rId2234"/>
    <hyperlink ref="N1122" r:id="rId2235"/>
    <hyperlink ref="O1122" r:id="rId2236"/>
    <hyperlink ref="N1123" r:id="rId2237"/>
    <hyperlink ref="O1123" r:id="rId2238"/>
    <hyperlink ref="N1124" r:id="rId2239"/>
    <hyperlink ref="O1124" r:id="rId2240"/>
    <hyperlink ref="N1125" r:id="rId2241"/>
    <hyperlink ref="O1125" r:id="rId2242"/>
    <hyperlink ref="N1126" r:id="rId2243"/>
    <hyperlink ref="O1126" r:id="rId2244"/>
    <hyperlink ref="N1127" r:id="rId2245"/>
    <hyperlink ref="O1127" r:id="rId2246"/>
    <hyperlink ref="N1128" r:id="rId2247"/>
    <hyperlink ref="O1128" r:id="rId2248"/>
    <hyperlink ref="N1129" r:id="rId2249"/>
    <hyperlink ref="O1129" r:id="rId2250"/>
    <hyperlink ref="N1130" r:id="rId2251"/>
    <hyperlink ref="O1130" r:id="rId2252"/>
    <hyperlink ref="N1131" r:id="rId2253"/>
    <hyperlink ref="O1131" r:id="rId2254"/>
    <hyperlink ref="N1132" r:id="rId2255"/>
    <hyperlink ref="O1132" r:id="rId2256"/>
    <hyperlink ref="N1133" r:id="rId2257"/>
    <hyperlink ref="O1133" r:id="rId2258"/>
    <hyperlink ref="N1134" r:id="rId2259"/>
    <hyperlink ref="O1134" r:id="rId2260"/>
    <hyperlink ref="N1135" r:id="rId2261"/>
    <hyperlink ref="O1135" r:id="rId2262"/>
    <hyperlink ref="N1136" r:id="rId2263"/>
    <hyperlink ref="O1136" r:id="rId2264"/>
    <hyperlink ref="N1137" r:id="rId2265"/>
    <hyperlink ref="O1137" r:id="rId2266"/>
    <hyperlink ref="N1138" r:id="rId2267"/>
    <hyperlink ref="O1138" r:id="rId2268"/>
    <hyperlink ref="N1139" r:id="rId2269"/>
    <hyperlink ref="O1139" r:id="rId2270"/>
    <hyperlink ref="N1140" r:id="rId2271"/>
    <hyperlink ref="O1140" r:id="rId2272"/>
    <hyperlink ref="N1141" r:id="rId2273"/>
    <hyperlink ref="O1141" r:id="rId2274"/>
    <hyperlink ref="N1142" r:id="rId2275"/>
    <hyperlink ref="O1142" r:id="rId2276"/>
    <hyperlink ref="N1143" r:id="rId2277"/>
    <hyperlink ref="O1143" r:id="rId2278"/>
    <hyperlink ref="N1144" r:id="rId2279"/>
    <hyperlink ref="O1144" r:id="rId2280"/>
    <hyperlink ref="N1145" r:id="rId2281"/>
    <hyperlink ref="O1145" r:id="rId2282"/>
    <hyperlink ref="N1146" r:id="rId2283"/>
    <hyperlink ref="O1146" r:id="rId2284"/>
    <hyperlink ref="N1147" r:id="rId2285"/>
    <hyperlink ref="O1147" r:id="rId2286"/>
    <hyperlink ref="N1148" r:id="rId2287"/>
    <hyperlink ref="O1148" r:id="rId2288"/>
    <hyperlink ref="N1149" r:id="rId2289"/>
    <hyperlink ref="O1149" r:id="rId2290"/>
    <hyperlink ref="N1150" r:id="rId2291"/>
    <hyperlink ref="O1150" r:id="rId2292"/>
    <hyperlink ref="N1151" r:id="rId2293"/>
    <hyperlink ref="O1151" r:id="rId2294"/>
    <hyperlink ref="N1152" r:id="rId2295"/>
    <hyperlink ref="O1152" r:id="rId2296"/>
    <hyperlink ref="N1153" r:id="rId2297"/>
    <hyperlink ref="O1153" r:id="rId2298"/>
    <hyperlink ref="N1154" r:id="rId2299"/>
    <hyperlink ref="O1154" r:id="rId2300"/>
    <hyperlink ref="N1155" r:id="rId2301"/>
    <hyperlink ref="O1155" r:id="rId2302"/>
    <hyperlink ref="N1156" r:id="rId2303"/>
    <hyperlink ref="O1156" r:id="rId2304"/>
    <hyperlink ref="N1157" r:id="rId2305"/>
    <hyperlink ref="O1157" r:id="rId2306"/>
    <hyperlink ref="N1158" r:id="rId2307"/>
    <hyperlink ref="O1158" r:id="rId2308"/>
    <hyperlink ref="N1159" r:id="rId2309"/>
    <hyperlink ref="O1159" r:id="rId2310"/>
    <hyperlink ref="N1160" r:id="rId2311"/>
    <hyperlink ref="O1160" r:id="rId2312"/>
    <hyperlink ref="N1161" r:id="rId2313"/>
    <hyperlink ref="O1161" r:id="rId2314"/>
    <hyperlink ref="N1162" r:id="rId2315"/>
    <hyperlink ref="O1162" r:id="rId2316"/>
    <hyperlink ref="N1163" r:id="rId2317"/>
    <hyperlink ref="O1163" r:id="rId2318"/>
    <hyperlink ref="N1164" r:id="rId2319"/>
    <hyperlink ref="O1164" r:id="rId2320"/>
    <hyperlink ref="N1165" r:id="rId2321"/>
    <hyperlink ref="O1165" r:id="rId2322"/>
    <hyperlink ref="N1166" r:id="rId2323"/>
    <hyperlink ref="O1166" r:id="rId2324"/>
    <hyperlink ref="N1167" r:id="rId2325"/>
    <hyperlink ref="O1167" r:id="rId2326"/>
    <hyperlink ref="N1168" r:id="rId2327"/>
    <hyperlink ref="O1168" r:id="rId2328"/>
    <hyperlink ref="N1169" r:id="rId2329"/>
    <hyperlink ref="O1169" r:id="rId2330"/>
    <hyperlink ref="N1170" r:id="rId2331"/>
    <hyperlink ref="O1170" r:id="rId2332"/>
    <hyperlink ref="N1171" r:id="rId2333"/>
    <hyperlink ref="O1171" r:id="rId2334"/>
    <hyperlink ref="N1172" r:id="rId2335"/>
    <hyperlink ref="O1172" r:id="rId2336"/>
    <hyperlink ref="N1173" r:id="rId2337"/>
    <hyperlink ref="O1173" r:id="rId2338"/>
    <hyperlink ref="N1174" r:id="rId2339"/>
    <hyperlink ref="O1174" r:id="rId2340"/>
    <hyperlink ref="N1175" r:id="rId2341"/>
    <hyperlink ref="O1175" r:id="rId2342"/>
    <hyperlink ref="N1176" r:id="rId2343"/>
    <hyperlink ref="O1176" r:id="rId2344"/>
    <hyperlink ref="N1177" r:id="rId2345"/>
    <hyperlink ref="O1177" r:id="rId2346"/>
    <hyperlink ref="N1178" r:id="rId2347"/>
    <hyperlink ref="O1178" r:id="rId2348"/>
    <hyperlink ref="N1179" r:id="rId2349"/>
    <hyperlink ref="O1179" r:id="rId2350"/>
    <hyperlink ref="N1180" r:id="rId2351"/>
    <hyperlink ref="O1180" r:id="rId2352"/>
    <hyperlink ref="N1181" r:id="rId2353"/>
    <hyperlink ref="O1181" r:id="rId2354"/>
    <hyperlink ref="N1182" r:id="rId2355"/>
    <hyperlink ref="O1182" r:id="rId2356"/>
    <hyperlink ref="N1183" r:id="rId2357"/>
    <hyperlink ref="O1183" r:id="rId2358"/>
    <hyperlink ref="N1184" r:id="rId2359"/>
    <hyperlink ref="O1184" r:id="rId2360"/>
    <hyperlink ref="N1185" r:id="rId2361"/>
    <hyperlink ref="O1185" r:id="rId2362"/>
    <hyperlink ref="N1186" r:id="rId2363"/>
    <hyperlink ref="O1186" r:id="rId2364"/>
    <hyperlink ref="N1187" r:id="rId2365"/>
    <hyperlink ref="O1187" r:id="rId2366"/>
    <hyperlink ref="N1188" r:id="rId2367"/>
    <hyperlink ref="O1188" r:id="rId2368"/>
    <hyperlink ref="N1189" r:id="rId2369"/>
    <hyperlink ref="O1189" r:id="rId2370"/>
    <hyperlink ref="N1190" r:id="rId2371"/>
    <hyperlink ref="O1190" r:id="rId2372"/>
    <hyperlink ref="N1191" r:id="rId2373"/>
    <hyperlink ref="O1191" r:id="rId2374"/>
    <hyperlink ref="N1192" r:id="rId2375"/>
    <hyperlink ref="O1192" r:id="rId2376"/>
    <hyperlink ref="N1193" r:id="rId2377"/>
    <hyperlink ref="O1193" r:id="rId2378"/>
    <hyperlink ref="N1194" r:id="rId2379"/>
    <hyperlink ref="O1194" r:id="rId2380"/>
    <hyperlink ref="N1195" r:id="rId2381"/>
    <hyperlink ref="O1195" r:id="rId2382"/>
    <hyperlink ref="N1196" r:id="rId2383"/>
    <hyperlink ref="O1196" r:id="rId2384"/>
    <hyperlink ref="N1197" r:id="rId2385"/>
    <hyperlink ref="O1197" r:id="rId2386"/>
    <hyperlink ref="N1198" r:id="rId2387"/>
    <hyperlink ref="O1198" r:id="rId2388"/>
    <hyperlink ref="N1199" r:id="rId2389"/>
    <hyperlink ref="O1199" r:id="rId2390"/>
    <hyperlink ref="N1200" r:id="rId2391"/>
    <hyperlink ref="O1200" r:id="rId2392"/>
    <hyperlink ref="N1201" r:id="rId2393"/>
    <hyperlink ref="O1201" r:id="rId2394"/>
    <hyperlink ref="N1202" r:id="rId2395"/>
    <hyperlink ref="O1202" r:id="rId2396"/>
    <hyperlink ref="N1203" r:id="rId2397"/>
    <hyperlink ref="O1203" r:id="rId2398"/>
    <hyperlink ref="N1204" r:id="rId2399"/>
    <hyperlink ref="O1204" r:id="rId2400"/>
    <hyperlink ref="N1205" r:id="rId2401"/>
    <hyperlink ref="O1205" r:id="rId2402"/>
    <hyperlink ref="N1206" r:id="rId2403"/>
    <hyperlink ref="O1206" r:id="rId2404"/>
    <hyperlink ref="N1207" r:id="rId2405"/>
    <hyperlink ref="O1207" r:id="rId2406"/>
    <hyperlink ref="N1208" r:id="rId2407"/>
    <hyperlink ref="O1208" r:id="rId2408"/>
    <hyperlink ref="N1209" r:id="rId2409"/>
    <hyperlink ref="O1209" r:id="rId2410"/>
    <hyperlink ref="N1210" r:id="rId2411"/>
    <hyperlink ref="O1210" r:id="rId2412"/>
    <hyperlink ref="N1211" r:id="rId2413"/>
    <hyperlink ref="O1211" r:id="rId2414"/>
    <hyperlink ref="N1212" r:id="rId2415"/>
    <hyperlink ref="O1212" r:id="rId2416"/>
    <hyperlink ref="N1213" r:id="rId2417"/>
    <hyperlink ref="O1213" r:id="rId2418"/>
    <hyperlink ref="N1214" r:id="rId2419"/>
    <hyperlink ref="O1214" r:id="rId2420"/>
    <hyperlink ref="N1215" r:id="rId2421"/>
    <hyperlink ref="O1215" r:id="rId2422"/>
    <hyperlink ref="N1216" r:id="rId2423"/>
    <hyperlink ref="O1216" r:id="rId2424"/>
    <hyperlink ref="N1217" r:id="rId2425"/>
    <hyperlink ref="O1217" r:id="rId2426"/>
    <hyperlink ref="N1218" r:id="rId2427"/>
    <hyperlink ref="O1218" r:id="rId2428"/>
    <hyperlink ref="N1219" r:id="rId2429"/>
    <hyperlink ref="O1219" r:id="rId2430"/>
    <hyperlink ref="N1220" r:id="rId2431"/>
    <hyperlink ref="O1220" r:id="rId2432"/>
    <hyperlink ref="N1221" r:id="rId2433"/>
    <hyperlink ref="O1221" r:id="rId2434"/>
    <hyperlink ref="N1222" r:id="rId2435"/>
    <hyperlink ref="O1222" r:id="rId2436"/>
    <hyperlink ref="N1223" r:id="rId2437"/>
    <hyperlink ref="O1223" r:id="rId2438"/>
    <hyperlink ref="N1224" r:id="rId2439"/>
    <hyperlink ref="O1224" r:id="rId2440"/>
    <hyperlink ref="N1225" r:id="rId2441"/>
    <hyperlink ref="O1225" r:id="rId2442"/>
    <hyperlink ref="N1226" r:id="rId2443"/>
    <hyperlink ref="O1226" r:id="rId2444"/>
    <hyperlink ref="N1227" r:id="rId2445"/>
    <hyperlink ref="O1227" r:id="rId2446"/>
    <hyperlink ref="N1228" r:id="rId2447"/>
    <hyperlink ref="O1228" r:id="rId2448"/>
    <hyperlink ref="N1229" r:id="rId2449"/>
    <hyperlink ref="O1229" r:id="rId2450"/>
    <hyperlink ref="N1230" r:id="rId2451"/>
    <hyperlink ref="O1230" r:id="rId2452"/>
    <hyperlink ref="N1231" r:id="rId2453"/>
    <hyperlink ref="O1231" r:id="rId2454"/>
    <hyperlink ref="N1232" r:id="rId2455"/>
    <hyperlink ref="O1232" r:id="rId2456"/>
    <hyperlink ref="N1233" r:id="rId2457"/>
    <hyperlink ref="O1233" r:id="rId2458"/>
    <hyperlink ref="N1234" r:id="rId2459"/>
    <hyperlink ref="O1234" r:id="rId2460"/>
    <hyperlink ref="N1235" r:id="rId2461"/>
    <hyperlink ref="O1235" r:id="rId2462"/>
    <hyperlink ref="N1236" r:id="rId2463"/>
    <hyperlink ref="O1236" r:id="rId2464"/>
    <hyperlink ref="N1237" r:id="rId2465"/>
    <hyperlink ref="O1237" r:id="rId2466"/>
    <hyperlink ref="N1238" r:id="rId2467"/>
    <hyperlink ref="O1238" r:id="rId2468"/>
    <hyperlink ref="N1239" r:id="rId2469"/>
    <hyperlink ref="O1239" r:id="rId2470"/>
    <hyperlink ref="N1240" r:id="rId2471"/>
    <hyperlink ref="O1240" r:id="rId2472"/>
    <hyperlink ref="N1241" r:id="rId2473"/>
    <hyperlink ref="O1241" r:id="rId2474"/>
    <hyperlink ref="N1242" r:id="rId2475"/>
    <hyperlink ref="O1242" r:id="rId2476"/>
    <hyperlink ref="N1243" r:id="rId2477"/>
    <hyperlink ref="O1243" r:id="rId2478"/>
    <hyperlink ref="N1244" r:id="rId2479"/>
    <hyperlink ref="O1244" r:id="rId2480"/>
    <hyperlink ref="N1245" r:id="rId2481"/>
    <hyperlink ref="O1245" r:id="rId2482"/>
    <hyperlink ref="N1246" r:id="rId2483"/>
    <hyperlink ref="O1246" r:id="rId2484"/>
    <hyperlink ref="N1247" r:id="rId2485"/>
    <hyperlink ref="O1247" r:id="rId2486"/>
    <hyperlink ref="N1248" r:id="rId2487"/>
    <hyperlink ref="O1248" r:id="rId2488"/>
    <hyperlink ref="N1249" r:id="rId2489"/>
    <hyperlink ref="O1249" r:id="rId2490"/>
    <hyperlink ref="N1250" r:id="rId2491"/>
    <hyperlink ref="O1250" r:id="rId2492"/>
    <hyperlink ref="N1251" r:id="rId2493"/>
    <hyperlink ref="O1251" r:id="rId2494"/>
    <hyperlink ref="N1252" r:id="rId2495"/>
    <hyperlink ref="O1252" r:id="rId2496"/>
    <hyperlink ref="N1253" r:id="rId2497"/>
    <hyperlink ref="O1253" r:id="rId2498"/>
    <hyperlink ref="N1254" r:id="rId2499"/>
    <hyperlink ref="O1254" r:id="rId2500"/>
    <hyperlink ref="N1255" r:id="rId2501"/>
    <hyperlink ref="O1255" r:id="rId2502"/>
    <hyperlink ref="N1256" r:id="rId2503"/>
    <hyperlink ref="O1256" r:id="rId2504"/>
    <hyperlink ref="N1257" r:id="rId2505"/>
    <hyperlink ref="O1257" r:id="rId2506"/>
    <hyperlink ref="N1258" r:id="rId2507"/>
    <hyperlink ref="O1258" r:id="rId2508"/>
    <hyperlink ref="N1259" r:id="rId2509"/>
    <hyperlink ref="O1259" r:id="rId2510"/>
    <hyperlink ref="N1260" r:id="rId2511"/>
    <hyperlink ref="O1260" r:id="rId2512"/>
    <hyperlink ref="N1261" r:id="rId2513"/>
    <hyperlink ref="O1261" r:id="rId2514"/>
    <hyperlink ref="N1262" r:id="rId2515"/>
    <hyperlink ref="O1262" r:id="rId2516"/>
    <hyperlink ref="N1263" r:id="rId2517"/>
    <hyperlink ref="O1263" r:id="rId2518"/>
    <hyperlink ref="N1264" r:id="rId2519"/>
    <hyperlink ref="O1264" r:id="rId2520"/>
    <hyperlink ref="N1265" r:id="rId2521"/>
    <hyperlink ref="O1265" r:id="rId2522"/>
    <hyperlink ref="N1266" r:id="rId2523"/>
    <hyperlink ref="O1266" r:id="rId2524"/>
    <hyperlink ref="N1267" r:id="rId2525"/>
    <hyperlink ref="O1267" r:id="rId2526"/>
    <hyperlink ref="N1268" r:id="rId2527"/>
    <hyperlink ref="O1268" r:id="rId2528"/>
    <hyperlink ref="N1269" r:id="rId2529"/>
    <hyperlink ref="O1269" r:id="rId2530"/>
    <hyperlink ref="N1270" r:id="rId2531"/>
    <hyperlink ref="O1270" r:id="rId2532"/>
    <hyperlink ref="N1271" r:id="rId2533"/>
    <hyperlink ref="O1271" r:id="rId2534"/>
    <hyperlink ref="N1272" r:id="rId2535"/>
    <hyperlink ref="O1272" r:id="rId2536"/>
    <hyperlink ref="N1273" r:id="rId2537"/>
    <hyperlink ref="O1273" r:id="rId2538"/>
    <hyperlink ref="N1274" r:id="rId2539"/>
    <hyperlink ref="O1274" r:id="rId2540"/>
    <hyperlink ref="N1275" r:id="rId2541"/>
    <hyperlink ref="O1275" r:id="rId2542"/>
    <hyperlink ref="N1276" r:id="rId2543"/>
    <hyperlink ref="O1276" r:id="rId2544"/>
    <hyperlink ref="N1277" r:id="rId2545"/>
    <hyperlink ref="O1277" r:id="rId2546"/>
    <hyperlink ref="N1278" r:id="rId2547"/>
    <hyperlink ref="O1278" r:id="rId2548"/>
    <hyperlink ref="N1279" r:id="rId2549"/>
    <hyperlink ref="O1279" r:id="rId2550"/>
    <hyperlink ref="N1280" r:id="rId2551"/>
    <hyperlink ref="O1280" r:id="rId2552"/>
    <hyperlink ref="N1281" r:id="rId2553"/>
    <hyperlink ref="O1281" r:id="rId2554"/>
    <hyperlink ref="N1282" r:id="rId2555"/>
    <hyperlink ref="O1282" r:id="rId2556"/>
    <hyperlink ref="N1283" r:id="rId2557"/>
    <hyperlink ref="O1283" r:id="rId2558"/>
    <hyperlink ref="N1284" r:id="rId2559"/>
    <hyperlink ref="O1284" r:id="rId2560"/>
    <hyperlink ref="N1285" r:id="rId2561"/>
    <hyperlink ref="O1285" r:id="rId2562"/>
    <hyperlink ref="N1286" r:id="rId2563"/>
    <hyperlink ref="O1286" r:id="rId2564"/>
    <hyperlink ref="N1287" r:id="rId2565"/>
    <hyperlink ref="O1287" r:id="rId2566"/>
    <hyperlink ref="N1288" r:id="rId2567"/>
    <hyperlink ref="O1288" r:id="rId2568"/>
    <hyperlink ref="N1289" r:id="rId2569"/>
    <hyperlink ref="O1289" r:id="rId2570"/>
    <hyperlink ref="N1290" r:id="rId2571"/>
    <hyperlink ref="O1290" r:id="rId2572"/>
    <hyperlink ref="N1291" r:id="rId2573"/>
    <hyperlink ref="O1291" r:id="rId2574"/>
    <hyperlink ref="N1292" r:id="rId2575"/>
    <hyperlink ref="O1292" r:id="rId2576"/>
    <hyperlink ref="N1293" r:id="rId2577"/>
    <hyperlink ref="O1293" r:id="rId2578"/>
    <hyperlink ref="N1294" r:id="rId2579"/>
    <hyperlink ref="O1294" r:id="rId2580"/>
    <hyperlink ref="N1295" r:id="rId2581"/>
    <hyperlink ref="O1295" r:id="rId2582"/>
    <hyperlink ref="N1296" r:id="rId2583"/>
    <hyperlink ref="O1296" r:id="rId2584"/>
    <hyperlink ref="N1297" r:id="rId2585"/>
    <hyperlink ref="O1297" r:id="rId2586"/>
    <hyperlink ref="N1298" r:id="rId2587"/>
    <hyperlink ref="O1298" r:id="rId2588"/>
    <hyperlink ref="N1299" r:id="rId2589"/>
    <hyperlink ref="O1299" r:id="rId2590"/>
    <hyperlink ref="N1300" r:id="rId2591"/>
    <hyperlink ref="O1300" r:id="rId2592"/>
    <hyperlink ref="N1301" r:id="rId2593"/>
    <hyperlink ref="O1301" r:id="rId2594"/>
    <hyperlink ref="N1302" r:id="rId2595"/>
    <hyperlink ref="O1302" r:id="rId2596"/>
    <hyperlink ref="N1303" r:id="rId2597"/>
    <hyperlink ref="O1303" r:id="rId2598"/>
    <hyperlink ref="N1304" r:id="rId2599"/>
    <hyperlink ref="O1304" r:id="rId2600"/>
    <hyperlink ref="N1305" r:id="rId2601"/>
    <hyperlink ref="O1305" r:id="rId2602"/>
    <hyperlink ref="N1306" r:id="rId2603"/>
    <hyperlink ref="O1306" r:id="rId2604"/>
    <hyperlink ref="N1307" r:id="rId2605"/>
    <hyperlink ref="O1307" r:id="rId2606"/>
    <hyperlink ref="N1308" r:id="rId2607"/>
    <hyperlink ref="O1308" r:id="rId2608"/>
    <hyperlink ref="N1309" r:id="rId2609"/>
    <hyperlink ref="O1309" r:id="rId2610"/>
    <hyperlink ref="N1310" r:id="rId2611"/>
    <hyperlink ref="O1310" r:id="rId2612"/>
    <hyperlink ref="N1311" r:id="rId2613"/>
    <hyperlink ref="O1311" r:id="rId2614"/>
    <hyperlink ref="N1312" r:id="rId2615"/>
    <hyperlink ref="O1312" r:id="rId2616"/>
    <hyperlink ref="N1313" r:id="rId2617"/>
    <hyperlink ref="O1313" r:id="rId2618"/>
    <hyperlink ref="N1314" r:id="rId2619"/>
    <hyperlink ref="O1314" r:id="rId2620"/>
    <hyperlink ref="N1315" r:id="rId2621"/>
    <hyperlink ref="O1315" r:id="rId2622"/>
    <hyperlink ref="N1316" r:id="rId2623"/>
    <hyperlink ref="O1316" r:id="rId2624"/>
    <hyperlink ref="N1317" r:id="rId2625"/>
    <hyperlink ref="O1317" r:id="rId2626"/>
    <hyperlink ref="N1318" r:id="rId2627"/>
    <hyperlink ref="O1318" r:id="rId2628"/>
    <hyperlink ref="N1319" r:id="rId2629"/>
    <hyperlink ref="O1319" r:id="rId2630"/>
    <hyperlink ref="N1320" r:id="rId2631"/>
    <hyperlink ref="O1320" r:id="rId2632"/>
    <hyperlink ref="N1321" r:id="rId2633"/>
    <hyperlink ref="O1321" r:id="rId2634"/>
    <hyperlink ref="N1322" r:id="rId2635"/>
    <hyperlink ref="O1322" r:id="rId2636"/>
    <hyperlink ref="N1323" r:id="rId2637"/>
    <hyperlink ref="O1323" r:id="rId2638"/>
    <hyperlink ref="N1324" r:id="rId2639"/>
    <hyperlink ref="O1324" r:id="rId2640"/>
    <hyperlink ref="N1325" r:id="rId2641"/>
    <hyperlink ref="O1325" r:id="rId2642"/>
    <hyperlink ref="N1326" r:id="rId2643"/>
    <hyperlink ref="O1326" r:id="rId2644"/>
    <hyperlink ref="N1327" r:id="rId2645"/>
    <hyperlink ref="O1327" r:id="rId2646"/>
    <hyperlink ref="N1328" r:id="rId2647"/>
    <hyperlink ref="O1328" r:id="rId2648"/>
    <hyperlink ref="N1329" r:id="rId2649"/>
    <hyperlink ref="O1329" r:id="rId2650"/>
    <hyperlink ref="N1330" r:id="rId2651"/>
    <hyperlink ref="O1330" r:id="rId2652"/>
    <hyperlink ref="N1331" r:id="rId2653"/>
    <hyperlink ref="O1331" r:id="rId2654"/>
    <hyperlink ref="N1332" r:id="rId2655"/>
    <hyperlink ref="O1332" r:id="rId2656"/>
    <hyperlink ref="N1333" r:id="rId2657"/>
    <hyperlink ref="O1333" r:id="rId2658"/>
    <hyperlink ref="N1334" r:id="rId2659"/>
    <hyperlink ref="O1334" r:id="rId2660"/>
    <hyperlink ref="N1335" r:id="rId2661"/>
    <hyperlink ref="O1335" r:id="rId2662"/>
    <hyperlink ref="N1336" r:id="rId2663"/>
    <hyperlink ref="O1336" r:id="rId2664"/>
    <hyperlink ref="N1337" r:id="rId2665"/>
    <hyperlink ref="O1337" r:id="rId2666"/>
    <hyperlink ref="N1338" r:id="rId2667"/>
    <hyperlink ref="O1338" r:id="rId2668"/>
    <hyperlink ref="N1339" r:id="rId2669"/>
    <hyperlink ref="O1339" r:id="rId2670"/>
    <hyperlink ref="N1340" r:id="rId2671"/>
    <hyperlink ref="O1340" r:id="rId2672"/>
    <hyperlink ref="N1341" r:id="rId2673"/>
    <hyperlink ref="O1341" r:id="rId2674"/>
    <hyperlink ref="N1342" r:id="rId2675"/>
    <hyperlink ref="O1342" r:id="rId2676"/>
    <hyperlink ref="N1343" r:id="rId2677"/>
    <hyperlink ref="O1343" r:id="rId2678"/>
    <hyperlink ref="N1344" r:id="rId2679"/>
    <hyperlink ref="O1344" r:id="rId2680"/>
    <hyperlink ref="N1345" r:id="rId2681"/>
    <hyperlink ref="O1345" r:id="rId2682"/>
    <hyperlink ref="N1346" r:id="rId2683"/>
    <hyperlink ref="O1346" r:id="rId2684"/>
    <hyperlink ref="N1347" r:id="rId2685"/>
    <hyperlink ref="O1347" r:id="rId2686"/>
    <hyperlink ref="N1348" r:id="rId2687"/>
    <hyperlink ref="O1348" r:id="rId2688"/>
    <hyperlink ref="N1349" r:id="rId2689"/>
    <hyperlink ref="O1349" r:id="rId2690"/>
    <hyperlink ref="N1350" r:id="rId2691"/>
    <hyperlink ref="O1350" r:id="rId2692"/>
    <hyperlink ref="N1351" r:id="rId2693"/>
    <hyperlink ref="O1351" r:id="rId2694"/>
    <hyperlink ref="N1352" r:id="rId2695"/>
    <hyperlink ref="O1352" r:id="rId2696"/>
    <hyperlink ref="N1353" r:id="rId2697"/>
    <hyperlink ref="O1353" r:id="rId2698"/>
    <hyperlink ref="N1354" r:id="rId2699"/>
    <hyperlink ref="O1354" r:id="rId2700"/>
    <hyperlink ref="N1355" r:id="rId2701"/>
    <hyperlink ref="O1355" r:id="rId2702"/>
    <hyperlink ref="N1356" r:id="rId2703"/>
    <hyperlink ref="O1356" r:id="rId2704"/>
    <hyperlink ref="N1357" r:id="rId2705"/>
    <hyperlink ref="O1357" r:id="rId2706"/>
    <hyperlink ref="N1358" r:id="rId2707"/>
    <hyperlink ref="O1358" r:id="rId2708"/>
    <hyperlink ref="N1359" r:id="rId2709"/>
    <hyperlink ref="O1359" r:id="rId2710"/>
    <hyperlink ref="N1360" r:id="rId2711"/>
    <hyperlink ref="O1360" r:id="rId2712"/>
    <hyperlink ref="N1361" r:id="rId2713"/>
    <hyperlink ref="O1361" r:id="rId2714"/>
    <hyperlink ref="N1362" r:id="rId2715"/>
    <hyperlink ref="O1362" r:id="rId2716"/>
    <hyperlink ref="N1363" r:id="rId2717"/>
    <hyperlink ref="O1363" r:id="rId2718"/>
    <hyperlink ref="N1364" r:id="rId2719"/>
    <hyperlink ref="O1364" r:id="rId2720"/>
    <hyperlink ref="N1365" r:id="rId2721"/>
    <hyperlink ref="O1365" r:id="rId2722"/>
    <hyperlink ref="N1366" r:id="rId2723"/>
    <hyperlink ref="O1366" r:id="rId2724"/>
    <hyperlink ref="N1367" r:id="rId2725"/>
    <hyperlink ref="O1367" r:id="rId2726"/>
    <hyperlink ref="N1368" r:id="rId2727"/>
    <hyperlink ref="O1368" r:id="rId2728"/>
    <hyperlink ref="N1369" r:id="rId2729"/>
    <hyperlink ref="O1369" r:id="rId2730"/>
    <hyperlink ref="N1370" r:id="rId2731"/>
    <hyperlink ref="O1370" r:id="rId2732"/>
    <hyperlink ref="N1371" r:id="rId2733"/>
    <hyperlink ref="O1371" r:id="rId2734"/>
    <hyperlink ref="N1372" r:id="rId2735"/>
    <hyperlink ref="O1372" r:id="rId2736"/>
    <hyperlink ref="N1373" r:id="rId2737"/>
    <hyperlink ref="O1373" r:id="rId2738"/>
    <hyperlink ref="N1374" r:id="rId2739"/>
    <hyperlink ref="O1374" r:id="rId2740"/>
    <hyperlink ref="N1375" r:id="rId2741"/>
    <hyperlink ref="O1375" r:id="rId2742"/>
    <hyperlink ref="N1376" r:id="rId2743"/>
    <hyperlink ref="O1376" r:id="rId2744"/>
    <hyperlink ref="N1377" r:id="rId2745"/>
    <hyperlink ref="O1377" r:id="rId2746"/>
    <hyperlink ref="N1378" r:id="rId2747"/>
    <hyperlink ref="O1378" r:id="rId2748"/>
    <hyperlink ref="N1379" r:id="rId2749"/>
    <hyperlink ref="O1379" r:id="rId2750"/>
    <hyperlink ref="N1380" r:id="rId2751"/>
    <hyperlink ref="O1380" r:id="rId2752"/>
    <hyperlink ref="N1381" r:id="rId2753"/>
    <hyperlink ref="O1381" r:id="rId2754"/>
    <hyperlink ref="N1382" r:id="rId2755"/>
    <hyperlink ref="O1382" r:id="rId2756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W1383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18.7109375" customWidth="1"/>
    <col min="4" max="4" width="34.7109375" customWidth="1"/>
    <col min="5" max="5" width="15.7109375" customWidth="1"/>
    <col min="6" max="6" width="10.7109375" customWidth="1"/>
    <col min="7" max="7" width="16.7109375" customWidth="1"/>
    <col min="8" max="12" width="7.7109375" customWidth="1"/>
    <col min="13" max="13" width="15.7109375" customWidth="1"/>
    <col min="14" max="14" width="8.7109375" customWidth="1"/>
    <col min="15" max="15" width="12.7109375" customWidth="1"/>
    <col min="16" max="16" width="13.7109375" customWidth="1"/>
    <col min="17" max="17" width="52.7109375" customWidth="1"/>
    <col min="18" max="18" width="34.7109375" customWidth="1"/>
    <col min="19" max="19" width="10.7109375" customWidth="1"/>
    <col min="20" max="20" width="7.7109375" customWidth="1"/>
    <col min="21" max="21" width="8.7109375" customWidth="1"/>
    <col min="22" max="22" width="40.7109375" customWidth="1"/>
    <col min="23" max="23" width="11.7109375" customWidth="1"/>
  </cols>
  <sheetData>
    <row r="2" spans="1:23">
      <c r="B2" s="16" t="s">
        <v>5550</v>
      </c>
    </row>
    <row r="3" spans="1:23">
      <c r="B3" s="2" t="s">
        <v>5551</v>
      </c>
    </row>
    <row r="5" spans="1:23" ht="20" customHeight="1">
      <c r="A5" s="17" t="s">
        <v>5552</v>
      </c>
      <c r="B5" s="17" t="s">
        <v>5553</v>
      </c>
      <c r="C5" s="17" t="s">
        <v>5554</v>
      </c>
      <c r="D5" s="17" t="s">
        <v>5</v>
      </c>
      <c r="E5" s="17" t="s">
        <v>6</v>
      </c>
      <c r="F5" s="17" t="s">
        <v>5555</v>
      </c>
      <c r="G5" s="17" t="s">
        <v>8</v>
      </c>
      <c r="H5" s="18" t="s">
        <v>5556</v>
      </c>
      <c r="I5" s="18" t="s">
        <v>5557</v>
      </c>
      <c r="J5" s="18" t="s">
        <v>5558</v>
      </c>
      <c r="K5" s="18" t="s">
        <v>5559</v>
      </c>
      <c r="L5" s="18" t="s">
        <v>5560</v>
      </c>
      <c r="M5" s="17" t="s">
        <v>5561</v>
      </c>
      <c r="N5" s="17" t="s">
        <v>5562</v>
      </c>
      <c r="O5" s="17" t="s">
        <v>5563</v>
      </c>
      <c r="P5" s="17" t="s">
        <v>5564</v>
      </c>
      <c r="Q5" s="17" t="s">
        <v>5565</v>
      </c>
      <c r="R5" s="17" t="s">
        <v>5566</v>
      </c>
      <c r="S5" s="17" t="s">
        <v>10</v>
      </c>
      <c r="T5" s="17" t="s">
        <v>5567</v>
      </c>
      <c r="U5" s="17" t="s">
        <v>7</v>
      </c>
      <c r="V5" s="17" t="s">
        <v>14</v>
      </c>
      <c r="W5" s="17" t="s">
        <v>16</v>
      </c>
    </row>
    <row r="6" spans="1:23" ht="30" customHeight="1">
      <c r="A6" s="19" t="s">
        <v>5568</v>
      </c>
      <c r="B6" s="19" t="s">
        <v>5569</v>
      </c>
      <c r="C6" s="19"/>
      <c r="D6" s="19" t="s">
        <v>19</v>
      </c>
      <c r="E6" s="20" t="s">
        <v>20</v>
      </c>
      <c r="F6" s="19"/>
      <c r="G6" s="21" t="s">
        <v>22</v>
      </c>
      <c r="H6" s="22" t="b">
        <v>0</v>
      </c>
      <c r="I6" s="22" t="b">
        <v>0</v>
      </c>
      <c r="J6" s="22" t="b">
        <v>0</v>
      </c>
      <c r="K6" s="22" t="b">
        <v>0</v>
      </c>
      <c r="L6" s="22" t="b">
        <v>0</v>
      </c>
      <c r="M6" s="21"/>
      <c r="N6" s="23">
        <v>0</v>
      </c>
      <c r="O6" s="24"/>
      <c r="P6" s="19"/>
      <c r="Q6" s="25"/>
      <c r="R6" s="25"/>
      <c r="S6" s="19"/>
      <c r="T6" s="26"/>
      <c r="U6" s="27" t="s">
        <v>21</v>
      </c>
      <c r="V6" s="28" t="s">
        <v>24</v>
      </c>
      <c r="W6" s="29" t="s">
        <v>26</v>
      </c>
    </row>
    <row r="7" spans="1:23" ht="30" customHeight="1">
      <c r="A7" s="19" t="s">
        <v>5568</v>
      </c>
      <c r="B7" s="19" t="s">
        <v>5569</v>
      </c>
      <c r="C7" s="19"/>
      <c r="D7" s="19" t="s">
        <v>27</v>
      </c>
      <c r="E7" s="20" t="s">
        <v>28</v>
      </c>
      <c r="F7" s="19"/>
      <c r="G7" s="21" t="s">
        <v>29</v>
      </c>
      <c r="H7" s="22" t="b">
        <v>0</v>
      </c>
      <c r="I7" s="22" t="b">
        <v>0</v>
      </c>
      <c r="J7" s="22" t="b">
        <v>0</v>
      </c>
      <c r="K7" s="22" t="b">
        <v>0</v>
      </c>
      <c r="L7" s="22" t="b">
        <v>0</v>
      </c>
      <c r="M7" s="21"/>
      <c r="N7" s="23">
        <v>0</v>
      </c>
      <c r="O7" s="24"/>
      <c r="P7" s="19"/>
      <c r="Q7" s="25"/>
      <c r="R7" s="25"/>
      <c r="S7" s="19"/>
      <c r="T7" s="26"/>
      <c r="U7" s="27" t="s">
        <v>21</v>
      </c>
      <c r="V7" s="28" t="s">
        <v>30</v>
      </c>
      <c r="W7" s="29" t="s">
        <v>26</v>
      </c>
    </row>
    <row r="8" spans="1:23" ht="30" customHeight="1">
      <c r="A8" s="19" t="s">
        <v>5568</v>
      </c>
      <c r="B8" s="19" t="s">
        <v>5569</v>
      </c>
      <c r="C8" s="19"/>
      <c r="D8" s="19" t="s">
        <v>32</v>
      </c>
      <c r="E8" s="20" t="s">
        <v>33</v>
      </c>
      <c r="F8" s="19"/>
      <c r="G8" s="21" t="s">
        <v>22</v>
      </c>
      <c r="H8" s="22" t="b">
        <v>0</v>
      </c>
      <c r="I8" s="22" t="b">
        <v>0</v>
      </c>
      <c r="J8" s="22" t="b">
        <v>0</v>
      </c>
      <c r="K8" s="22" t="b">
        <v>0</v>
      </c>
      <c r="L8" s="22" t="b">
        <v>0</v>
      </c>
      <c r="M8" s="21"/>
      <c r="N8" s="23">
        <v>0</v>
      </c>
      <c r="O8" s="24"/>
      <c r="P8" s="19"/>
      <c r="Q8" s="25"/>
      <c r="R8" s="25"/>
      <c r="S8" s="19"/>
      <c r="T8" s="26"/>
      <c r="U8" s="30" t="s">
        <v>34</v>
      </c>
      <c r="V8" s="28" t="s">
        <v>35</v>
      </c>
      <c r="W8" s="29" t="s">
        <v>26</v>
      </c>
    </row>
    <row r="9" spans="1:23" ht="30" customHeight="1">
      <c r="A9" s="19" t="s">
        <v>5568</v>
      </c>
      <c r="B9" s="19" t="s">
        <v>5569</v>
      </c>
      <c r="C9" s="19"/>
      <c r="D9" s="19" t="s">
        <v>37</v>
      </c>
      <c r="E9" s="20" t="s">
        <v>38</v>
      </c>
      <c r="F9" s="19"/>
      <c r="G9" s="21" t="s">
        <v>39</v>
      </c>
      <c r="H9" s="22" t="b">
        <v>0</v>
      </c>
      <c r="I9" s="22" t="b">
        <v>0</v>
      </c>
      <c r="J9" s="22" t="b">
        <v>0</v>
      </c>
      <c r="K9" s="22" t="b">
        <v>0</v>
      </c>
      <c r="L9" s="22" t="b">
        <v>0</v>
      </c>
      <c r="M9" s="21"/>
      <c r="N9" s="23">
        <v>0</v>
      </c>
      <c r="O9" s="24"/>
      <c r="P9" s="19"/>
      <c r="Q9" s="25"/>
      <c r="R9" s="25"/>
      <c r="S9" s="19"/>
      <c r="T9" s="26"/>
      <c r="U9" s="27" t="s">
        <v>21</v>
      </c>
      <c r="V9" s="28" t="s">
        <v>40</v>
      </c>
      <c r="W9" s="29" t="s">
        <v>26</v>
      </c>
    </row>
    <row r="10" spans="1:23" ht="30" customHeight="1">
      <c r="A10" s="19" t="s">
        <v>5568</v>
      </c>
      <c r="B10" s="19" t="s">
        <v>5569</v>
      </c>
      <c r="C10" s="19"/>
      <c r="D10" s="19" t="s">
        <v>42</v>
      </c>
      <c r="E10" s="20" t="s">
        <v>43</v>
      </c>
      <c r="F10" s="19"/>
      <c r="G10" s="21" t="s">
        <v>22</v>
      </c>
      <c r="H10" s="22" t="b">
        <v>0</v>
      </c>
      <c r="I10" s="22" t="b">
        <v>0</v>
      </c>
      <c r="J10" s="22" t="b">
        <v>0</v>
      </c>
      <c r="K10" s="22" t="b">
        <v>0</v>
      </c>
      <c r="L10" s="22" t="b">
        <v>0</v>
      </c>
      <c r="M10" s="21"/>
      <c r="N10" s="23">
        <v>0</v>
      </c>
      <c r="O10" s="24"/>
      <c r="P10" s="19"/>
      <c r="Q10" s="25"/>
      <c r="R10" s="25"/>
      <c r="S10" s="19"/>
      <c r="T10" s="26"/>
      <c r="U10" s="27" t="s">
        <v>21</v>
      </c>
      <c r="V10" s="28" t="s">
        <v>44</v>
      </c>
      <c r="W10" s="29" t="s">
        <v>26</v>
      </c>
    </row>
    <row r="11" spans="1:23" ht="30" customHeight="1">
      <c r="A11" s="19" t="s">
        <v>5568</v>
      </c>
      <c r="B11" s="19" t="s">
        <v>5569</v>
      </c>
      <c r="C11" s="19"/>
      <c r="D11" s="19" t="s">
        <v>47</v>
      </c>
      <c r="E11" s="20" t="s">
        <v>48</v>
      </c>
      <c r="F11" s="19"/>
      <c r="G11" s="21" t="s">
        <v>29</v>
      </c>
      <c r="H11" s="22" t="b">
        <v>0</v>
      </c>
      <c r="I11" s="22" t="b">
        <v>0</v>
      </c>
      <c r="J11" s="22" t="b">
        <v>0</v>
      </c>
      <c r="K11" s="22" t="b">
        <v>0</v>
      </c>
      <c r="L11" s="22" t="b">
        <v>0</v>
      </c>
      <c r="M11" s="21"/>
      <c r="N11" s="23">
        <v>0</v>
      </c>
      <c r="O11" s="24"/>
      <c r="P11" s="19"/>
      <c r="Q11" s="25"/>
      <c r="R11" s="25"/>
      <c r="S11" s="19"/>
      <c r="T11" s="26"/>
      <c r="U11" s="27" t="s">
        <v>21</v>
      </c>
      <c r="V11" s="28" t="s">
        <v>49</v>
      </c>
      <c r="W11" s="29" t="s">
        <v>26</v>
      </c>
    </row>
    <row r="12" spans="1:23" ht="30" customHeight="1">
      <c r="A12" s="19" t="s">
        <v>5568</v>
      </c>
      <c r="B12" s="19" t="s">
        <v>5569</v>
      </c>
      <c r="C12" s="19"/>
      <c r="D12" s="19" t="s">
        <v>52</v>
      </c>
      <c r="E12" s="20" t="s">
        <v>53</v>
      </c>
      <c r="F12" s="19"/>
      <c r="G12" s="21" t="s">
        <v>22</v>
      </c>
      <c r="H12" s="22" t="b">
        <v>0</v>
      </c>
      <c r="I12" s="22" t="b">
        <v>0</v>
      </c>
      <c r="J12" s="22" t="b">
        <v>0</v>
      </c>
      <c r="K12" s="22" t="b">
        <v>0</v>
      </c>
      <c r="L12" s="22" t="b">
        <v>0</v>
      </c>
      <c r="M12" s="21"/>
      <c r="N12" s="23">
        <v>0</v>
      </c>
      <c r="O12" s="24"/>
      <c r="P12" s="19"/>
      <c r="Q12" s="25"/>
      <c r="R12" s="25"/>
      <c r="S12" s="19"/>
      <c r="T12" s="26"/>
      <c r="U12" s="30" t="s">
        <v>34</v>
      </c>
      <c r="V12" s="28" t="s">
        <v>54</v>
      </c>
      <c r="W12" s="29" t="s">
        <v>26</v>
      </c>
    </row>
    <row r="13" spans="1:23" ht="30" customHeight="1">
      <c r="A13" s="19" t="s">
        <v>5568</v>
      </c>
      <c r="B13" s="19" t="s">
        <v>5569</v>
      </c>
      <c r="C13" s="19"/>
      <c r="D13" s="19" t="s">
        <v>57</v>
      </c>
      <c r="E13" s="20" t="s">
        <v>58</v>
      </c>
      <c r="F13" s="19"/>
      <c r="G13" s="21" t="s">
        <v>22</v>
      </c>
      <c r="H13" s="22" t="b">
        <v>0</v>
      </c>
      <c r="I13" s="22" t="b">
        <v>0</v>
      </c>
      <c r="J13" s="22" t="b">
        <v>0</v>
      </c>
      <c r="K13" s="22" t="b">
        <v>0</v>
      </c>
      <c r="L13" s="22" t="b">
        <v>0</v>
      </c>
      <c r="M13" s="21"/>
      <c r="N13" s="23">
        <v>0</v>
      </c>
      <c r="O13" s="24"/>
      <c r="P13" s="19"/>
      <c r="Q13" s="25"/>
      <c r="R13" s="25"/>
      <c r="S13" s="19"/>
      <c r="T13" s="26"/>
      <c r="U13" s="27" t="s">
        <v>21</v>
      </c>
      <c r="V13" s="28" t="s">
        <v>59</v>
      </c>
      <c r="W13" s="29" t="s">
        <v>26</v>
      </c>
    </row>
    <row r="14" spans="1:23" ht="30" customHeight="1">
      <c r="A14" s="19" t="s">
        <v>5568</v>
      </c>
      <c r="B14" s="19" t="s">
        <v>5569</v>
      </c>
      <c r="C14" s="19"/>
      <c r="D14" s="19" t="s">
        <v>61</v>
      </c>
      <c r="E14" s="20" t="s">
        <v>62</v>
      </c>
      <c r="F14" s="19"/>
      <c r="G14" s="21" t="s">
        <v>22</v>
      </c>
      <c r="H14" s="22" t="b">
        <v>0</v>
      </c>
      <c r="I14" s="22" t="b">
        <v>0</v>
      </c>
      <c r="J14" s="22" t="b">
        <v>0</v>
      </c>
      <c r="K14" s="22" t="b">
        <v>0</v>
      </c>
      <c r="L14" s="22" t="b">
        <v>0</v>
      </c>
      <c r="M14" s="21"/>
      <c r="N14" s="23">
        <v>0</v>
      </c>
      <c r="O14" s="24"/>
      <c r="P14" s="19"/>
      <c r="Q14" s="25"/>
      <c r="R14" s="25"/>
      <c r="S14" s="19"/>
      <c r="T14" s="26"/>
      <c r="U14" s="27" t="s">
        <v>21</v>
      </c>
      <c r="V14" s="28" t="s">
        <v>63</v>
      </c>
      <c r="W14" s="29" t="s">
        <v>26</v>
      </c>
    </row>
    <row r="15" spans="1:23" ht="30" customHeight="1">
      <c r="A15" s="19" t="s">
        <v>5568</v>
      </c>
      <c r="B15" s="19" t="s">
        <v>5569</v>
      </c>
      <c r="C15" s="19"/>
      <c r="D15" s="19" t="s">
        <v>66</v>
      </c>
      <c r="E15" s="20" t="s">
        <v>67</v>
      </c>
      <c r="F15" s="19"/>
      <c r="G15" s="21" t="s">
        <v>22</v>
      </c>
      <c r="H15" s="22" t="b">
        <v>0</v>
      </c>
      <c r="I15" s="22" t="b">
        <v>0</v>
      </c>
      <c r="J15" s="22" t="b">
        <v>0</v>
      </c>
      <c r="K15" s="22" t="b">
        <v>0</v>
      </c>
      <c r="L15" s="22" t="b">
        <v>0</v>
      </c>
      <c r="M15" s="21"/>
      <c r="N15" s="23">
        <v>0</v>
      </c>
      <c r="O15" s="24"/>
      <c r="P15" s="19"/>
      <c r="Q15" s="25"/>
      <c r="R15" s="25"/>
      <c r="S15" s="19"/>
      <c r="T15" s="26"/>
      <c r="U15" s="30" t="s">
        <v>34</v>
      </c>
      <c r="V15" s="28" t="s">
        <v>68</v>
      </c>
      <c r="W15" s="29" t="s">
        <v>26</v>
      </c>
    </row>
    <row r="16" spans="1:23" ht="30" customHeight="1">
      <c r="A16" s="19" t="s">
        <v>5568</v>
      </c>
      <c r="B16" s="19" t="s">
        <v>5569</v>
      </c>
      <c r="C16" s="19"/>
      <c r="D16" s="19" t="s">
        <v>70</v>
      </c>
      <c r="E16" s="20" t="s">
        <v>71</v>
      </c>
      <c r="F16" s="19"/>
      <c r="G16" s="21" t="s">
        <v>22</v>
      </c>
      <c r="H16" s="22" t="b">
        <v>0</v>
      </c>
      <c r="I16" s="22" t="b">
        <v>0</v>
      </c>
      <c r="J16" s="22" t="b">
        <v>0</v>
      </c>
      <c r="K16" s="22" t="b">
        <v>0</v>
      </c>
      <c r="L16" s="22" t="b">
        <v>0</v>
      </c>
      <c r="M16" s="21"/>
      <c r="N16" s="23">
        <v>0</v>
      </c>
      <c r="O16" s="24"/>
      <c r="P16" s="19"/>
      <c r="Q16" s="25"/>
      <c r="R16" s="25"/>
      <c r="S16" s="19"/>
      <c r="T16" s="26"/>
      <c r="U16" s="27" t="s">
        <v>21</v>
      </c>
      <c r="V16" s="28" t="s">
        <v>72</v>
      </c>
      <c r="W16" s="29" t="s">
        <v>26</v>
      </c>
    </row>
    <row r="17" spans="1:23" ht="30" customHeight="1">
      <c r="A17" s="19" t="s">
        <v>5568</v>
      </c>
      <c r="B17" s="19" t="s">
        <v>5569</v>
      </c>
      <c r="C17" s="19"/>
      <c r="D17" s="19" t="s">
        <v>75</v>
      </c>
      <c r="E17" s="20" t="s">
        <v>76</v>
      </c>
      <c r="F17" s="19"/>
      <c r="G17" s="21" t="s">
        <v>22</v>
      </c>
      <c r="H17" s="22" t="b">
        <v>0</v>
      </c>
      <c r="I17" s="22" t="b">
        <v>0</v>
      </c>
      <c r="J17" s="22" t="b">
        <v>0</v>
      </c>
      <c r="K17" s="22" t="b">
        <v>0</v>
      </c>
      <c r="L17" s="22" t="b">
        <v>0</v>
      </c>
      <c r="M17" s="21"/>
      <c r="N17" s="23">
        <v>0</v>
      </c>
      <c r="O17" s="24"/>
      <c r="P17" s="19"/>
      <c r="Q17" s="25"/>
      <c r="R17" s="25"/>
      <c r="S17" s="19"/>
      <c r="T17" s="26"/>
      <c r="U17" s="30" t="s">
        <v>34</v>
      </c>
      <c r="V17" s="28" t="s">
        <v>77</v>
      </c>
      <c r="W17" s="29" t="s">
        <v>26</v>
      </c>
    </row>
    <row r="18" spans="1:23" ht="30" customHeight="1">
      <c r="A18" s="19" t="s">
        <v>5568</v>
      </c>
      <c r="B18" s="19" t="s">
        <v>5569</v>
      </c>
      <c r="C18" s="19"/>
      <c r="D18" s="19" t="s">
        <v>80</v>
      </c>
      <c r="E18" s="20" t="s">
        <v>81</v>
      </c>
      <c r="F18" s="19"/>
      <c r="G18" s="21" t="s">
        <v>22</v>
      </c>
      <c r="H18" s="22" t="b">
        <v>0</v>
      </c>
      <c r="I18" s="22" t="b">
        <v>0</v>
      </c>
      <c r="J18" s="22" t="b">
        <v>0</v>
      </c>
      <c r="K18" s="22" t="b">
        <v>0</v>
      </c>
      <c r="L18" s="22" t="b">
        <v>0</v>
      </c>
      <c r="M18" s="21"/>
      <c r="N18" s="23">
        <v>0</v>
      </c>
      <c r="O18" s="24"/>
      <c r="P18" s="19"/>
      <c r="Q18" s="25"/>
      <c r="R18" s="25"/>
      <c r="S18" s="19"/>
      <c r="T18" s="26"/>
      <c r="U18" s="27" t="s">
        <v>21</v>
      </c>
      <c r="V18" s="28" t="s">
        <v>82</v>
      </c>
      <c r="W18" s="29" t="s">
        <v>26</v>
      </c>
    </row>
    <row r="19" spans="1:23" ht="30" customHeight="1">
      <c r="A19" s="19" t="s">
        <v>5568</v>
      </c>
      <c r="B19" s="19" t="s">
        <v>5569</v>
      </c>
      <c r="C19" s="19"/>
      <c r="D19" s="19" t="s">
        <v>85</v>
      </c>
      <c r="E19" s="20" t="s">
        <v>86</v>
      </c>
      <c r="F19" s="19"/>
      <c r="G19" s="21" t="s">
        <v>22</v>
      </c>
      <c r="H19" s="22" t="b">
        <v>0</v>
      </c>
      <c r="I19" s="22" t="b">
        <v>0</v>
      </c>
      <c r="J19" s="22" t="b">
        <v>0</v>
      </c>
      <c r="K19" s="22" t="b">
        <v>0</v>
      </c>
      <c r="L19" s="22" t="b">
        <v>0</v>
      </c>
      <c r="M19" s="21"/>
      <c r="N19" s="23">
        <v>0</v>
      </c>
      <c r="O19" s="24"/>
      <c r="P19" s="19"/>
      <c r="Q19" s="25"/>
      <c r="R19" s="25"/>
      <c r="S19" s="19"/>
      <c r="T19" s="26"/>
      <c r="U19" s="30" t="s">
        <v>34</v>
      </c>
      <c r="V19" s="28" t="s">
        <v>87</v>
      </c>
      <c r="W19" s="29" t="s">
        <v>26</v>
      </c>
    </row>
    <row r="20" spans="1:23" ht="30" customHeight="1">
      <c r="A20" s="19" t="s">
        <v>5568</v>
      </c>
      <c r="B20" s="19" t="s">
        <v>5569</v>
      </c>
      <c r="C20" s="19"/>
      <c r="D20" s="19" t="s">
        <v>90</v>
      </c>
      <c r="E20" s="20" t="s">
        <v>91</v>
      </c>
      <c r="F20" s="19"/>
      <c r="G20" s="21" t="s">
        <v>22</v>
      </c>
      <c r="H20" s="22" t="b">
        <v>0</v>
      </c>
      <c r="I20" s="22" t="b">
        <v>0</v>
      </c>
      <c r="J20" s="22" t="b">
        <v>0</v>
      </c>
      <c r="K20" s="22" t="b">
        <v>0</v>
      </c>
      <c r="L20" s="22" t="b">
        <v>0</v>
      </c>
      <c r="M20" s="21"/>
      <c r="N20" s="23">
        <v>0</v>
      </c>
      <c r="O20" s="24"/>
      <c r="P20" s="19"/>
      <c r="Q20" s="25"/>
      <c r="R20" s="25"/>
      <c r="S20" s="19"/>
      <c r="T20" s="26"/>
      <c r="U20" s="30" t="s">
        <v>34</v>
      </c>
      <c r="V20" s="28" t="s">
        <v>77</v>
      </c>
      <c r="W20" s="29" t="s">
        <v>26</v>
      </c>
    </row>
    <row r="21" spans="1:23" ht="30" customHeight="1">
      <c r="A21" s="19" t="s">
        <v>5568</v>
      </c>
      <c r="B21" s="19" t="s">
        <v>5569</v>
      </c>
      <c r="C21" s="19"/>
      <c r="D21" s="19" t="s">
        <v>94</v>
      </c>
      <c r="E21" s="20" t="s">
        <v>95</v>
      </c>
      <c r="F21" s="19"/>
      <c r="G21" s="21" t="s">
        <v>29</v>
      </c>
      <c r="H21" s="22" t="b">
        <v>0</v>
      </c>
      <c r="I21" s="22" t="b">
        <v>0</v>
      </c>
      <c r="J21" s="22" t="b">
        <v>0</v>
      </c>
      <c r="K21" s="22" t="b">
        <v>0</v>
      </c>
      <c r="L21" s="22" t="b">
        <v>0</v>
      </c>
      <c r="M21" s="21"/>
      <c r="N21" s="23">
        <v>0</v>
      </c>
      <c r="O21" s="24"/>
      <c r="P21" s="19"/>
      <c r="Q21" s="25"/>
      <c r="R21" s="25"/>
      <c r="S21" s="19"/>
      <c r="T21" s="26"/>
      <c r="U21" s="27" t="s">
        <v>21</v>
      </c>
      <c r="V21" s="28" t="s">
        <v>96</v>
      </c>
      <c r="W21" s="29" t="s">
        <v>26</v>
      </c>
    </row>
    <row r="22" spans="1:23" ht="30" customHeight="1">
      <c r="A22" s="19" t="s">
        <v>5568</v>
      </c>
      <c r="B22" s="19" t="s">
        <v>5569</v>
      </c>
      <c r="C22" s="19"/>
      <c r="D22" s="19" t="s">
        <v>98</v>
      </c>
      <c r="E22" s="20" t="s">
        <v>99</v>
      </c>
      <c r="F22" s="19"/>
      <c r="G22" s="21" t="s">
        <v>22</v>
      </c>
      <c r="H22" s="22" t="b">
        <v>0</v>
      </c>
      <c r="I22" s="22" t="b">
        <v>0</v>
      </c>
      <c r="J22" s="22" t="b">
        <v>0</v>
      </c>
      <c r="K22" s="22" t="b">
        <v>0</v>
      </c>
      <c r="L22" s="22" t="b">
        <v>0</v>
      </c>
      <c r="M22" s="21"/>
      <c r="N22" s="23">
        <v>0</v>
      </c>
      <c r="O22" s="24"/>
      <c r="P22" s="19"/>
      <c r="Q22" s="25"/>
      <c r="R22" s="25"/>
      <c r="S22" s="19"/>
      <c r="T22" s="26"/>
      <c r="U22" s="27" t="s">
        <v>21</v>
      </c>
      <c r="V22" s="28" t="s">
        <v>100</v>
      </c>
      <c r="W22" s="29" t="s">
        <v>26</v>
      </c>
    </row>
    <row r="23" spans="1:23" ht="30" customHeight="1">
      <c r="A23" s="19" t="s">
        <v>5568</v>
      </c>
      <c r="B23" s="19" t="s">
        <v>5569</v>
      </c>
      <c r="C23" s="19"/>
      <c r="D23" s="19" t="s">
        <v>103</v>
      </c>
      <c r="E23" s="20" t="s">
        <v>104</v>
      </c>
      <c r="F23" s="19"/>
      <c r="G23" s="21" t="s">
        <v>22</v>
      </c>
      <c r="H23" s="22" t="b">
        <v>0</v>
      </c>
      <c r="I23" s="22" t="b">
        <v>0</v>
      </c>
      <c r="J23" s="22" t="b">
        <v>0</v>
      </c>
      <c r="K23" s="22" t="b">
        <v>0</v>
      </c>
      <c r="L23" s="22" t="b">
        <v>0</v>
      </c>
      <c r="M23" s="21"/>
      <c r="N23" s="23">
        <v>0</v>
      </c>
      <c r="O23" s="24"/>
      <c r="P23" s="19"/>
      <c r="Q23" s="25"/>
      <c r="R23" s="25"/>
      <c r="S23" s="19"/>
      <c r="T23" s="26"/>
      <c r="U23" s="27" t="s">
        <v>21</v>
      </c>
      <c r="V23" s="28" t="s">
        <v>105</v>
      </c>
      <c r="W23" s="29" t="s">
        <v>26</v>
      </c>
    </row>
    <row r="24" spans="1:23" ht="30" customHeight="1">
      <c r="A24" s="19" t="s">
        <v>5568</v>
      </c>
      <c r="B24" s="19" t="s">
        <v>5569</v>
      </c>
      <c r="C24" s="19"/>
      <c r="D24" s="19" t="s">
        <v>108</v>
      </c>
      <c r="E24" s="20" t="s">
        <v>109</v>
      </c>
      <c r="F24" s="19"/>
      <c r="G24" s="21" t="s">
        <v>22</v>
      </c>
      <c r="H24" s="22" t="b">
        <v>0</v>
      </c>
      <c r="I24" s="22" t="b">
        <v>0</v>
      </c>
      <c r="J24" s="22" t="b">
        <v>0</v>
      </c>
      <c r="K24" s="22" t="b">
        <v>0</v>
      </c>
      <c r="L24" s="22" t="b">
        <v>0</v>
      </c>
      <c r="M24" s="21"/>
      <c r="N24" s="23">
        <v>0</v>
      </c>
      <c r="O24" s="24"/>
      <c r="P24" s="19"/>
      <c r="Q24" s="25"/>
      <c r="R24" s="25"/>
      <c r="S24" s="19"/>
      <c r="T24" s="26"/>
      <c r="U24" s="31" t="s">
        <v>110</v>
      </c>
      <c r="V24" s="28" t="s">
        <v>111</v>
      </c>
      <c r="W24" s="29" t="s">
        <v>26</v>
      </c>
    </row>
    <row r="25" spans="1:23" ht="30" customHeight="1">
      <c r="A25" s="19" t="s">
        <v>5568</v>
      </c>
      <c r="B25" s="19" t="s">
        <v>5569</v>
      </c>
      <c r="C25" s="19"/>
      <c r="D25" s="19" t="s">
        <v>114</v>
      </c>
      <c r="E25" s="20" t="s">
        <v>115</v>
      </c>
      <c r="F25" s="19"/>
      <c r="G25" s="21" t="s">
        <v>29</v>
      </c>
      <c r="H25" s="22" t="b">
        <v>0</v>
      </c>
      <c r="I25" s="22" t="b">
        <v>0</v>
      </c>
      <c r="J25" s="22" t="b">
        <v>0</v>
      </c>
      <c r="K25" s="22" t="b">
        <v>0</v>
      </c>
      <c r="L25" s="22" t="b">
        <v>0</v>
      </c>
      <c r="M25" s="21"/>
      <c r="N25" s="23">
        <v>0</v>
      </c>
      <c r="O25" s="24"/>
      <c r="P25" s="19"/>
      <c r="Q25" s="25"/>
      <c r="R25" s="25"/>
      <c r="S25" s="19"/>
      <c r="T25" s="26"/>
      <c r="U25" s="30" t="s">
        <v>34</v>
      </c>
      <c r="V25" s="28" t="s">
        <v>77</v>
      </c>
      <c r="W25" s="29" t="s">
        <v>26</v>
      </c>
    </row>
    <row r="26" spans="1:23" ht="30" customHeight="1">
      <c r="A26" s="19" t="s">
        <v>5568</v>
      </c>
      <c r="B26" s="19" t="s">
        <v>5569</v>
      </c>
      <c r="C26" s="19"/>
      <c r="D26" s="19" t="s">
        <v>118</v>
      </c>
      <c r="E26" s="20" t="s">
        <v>119</v>
      </c>
      <c r="F26" s="19"/>
      <c r="G26" s="21" t="s">
        <v>22</v>
      </c>
      <c r="H26" s="22" t="b">
        <v>0</v>
      </c>
      <c r="I26" s="22" t="b">
        <v>0</v>
      </c>
      <c r="J26" s="22" t="b">
        <v>0</v>
      </c>
      <c r="K26" s="22" t="b">
        <v>0</v>
      </c>
      <c r="L26" s="22" t="b">
        <v>0</v>
      </c>
      <c r="M26" s="21"/>
      <c r="N26" s="23">
        <v>0</v>
      </c>
      <c r="O26" s="24"/>
      <c r="P26" s="19"/>
      <c r="Q26" s="25"/>
      <c r="R26" s="25"/>
      <c r="S26" s="19"/>
      <c r="T26" s="26"/>
      <c r="U26" s="27" t="s">
        <v>21</v>
      </c>
      <c r="V26" s="28" t="s">
        <v>120</v>
      </c>
      <c r="W26" s="29" t="s">
        <v>26</v>
      </c>
    </row>
    <row r="27" spans="1:23" ht="30" customHeight="1">
      <c r="A27" s="19" t="s">
        <v>5568</v>
      </c>
      <c r="B27" s="19" t="s">
        <v>5569</v>
      </c>
      <c r="C27" s="19"/>
      <c r="D27" s="19" t="s">
        <v>122</v>
      </c>
      <c r="E27" s="20" t="s">
        <v>123</v>
      </c>
      <c r="F27" s="19"/>
      <c r="G27" s="21" t="s">
        <v>22</v>
      </c>
      <c r="H27" s="22" t="b">
        <v>0</v>
      </c>
      <c r="I27" s="22" t="b">
        <v>0</v>
      </c>
      <c r="J27" s="22" t="b">
        <v>0</v>
      </c>
      <c r="K27" s="22" t="b">
        <v>0</v>
      </c>
      <c r="L27" s="22" t="b">
        <v>0</v>
      </c>
      <c r="M27" s="21"/>
      <c r="N27" s="23">
        <v>0</v>
      </c>
      <c r="O27" s="24"/>
      <c r="P27" s="19"/>
      <c r="Q27" s="25"/>
      <c r="R27" s="25"/>
      <c r="S27" s="19"/>
      <c r="T27" s="26"/>
      <c r="U27" s="27" t="s">
        <v>21</v>
      </c>
      <c r="V27" s="28" t="s">
        <v>124</v>
      </c>
      <c r="W27" s="29" t="s">
        <v>26</v>
      </c>
    </row>
    <row r="28" spans="1:23" ht="30" customHeight="1">
      <c r="A28" s="19" t="s">
        <v>5568</v>
      </c>
      <c r="B28" s="19" t="s">
        <v>5569</v>
      </c>
      <c r="C28" s="19"/>
      <c r="D28" s="19" t="s">
        <v>127</v>
      </c>
      <c r="E28" s="20" t="s">
        <v>128</v>
      </c>
      <c r="F28" s="19"/>
      <c r="G28" s="21" t="s">
        <v>22</v>
      </c>
      <c r="H28" s="22" t="b">
        <v>0</v>
      </c>
      <c r="I28" s="22" t="b">
        <v>0</v>
      </c>
      <c r="J28" s="22" t="b">
        <v>0</v>
      </c>
      <c r="K28" s="22" t="b">
        <v>0</v>
      </c>
      <c r="L28" s="22" t="b">
        <v>0</v>
      </c>
      <c r="M28" s="21"/>
      <c r="N28" s="23">
        <v>0</v>
      </c>
      <c r="O28" s="24"/>
      <c r="P28" s="19"/>
      <c r="Q28" s="25"/>
      <c r="R28" s="25"/>
      <c r="S28" s="19"/>
      <c r="T28" s="26"/>
      <c r="U28" s="27" t="s">
        <v>21</v>
      </c>
      <c r="V28" s="28" t="s">
        <v>129</v>
      </c>
      <c r="W28" s="29" t="s">
        <v>26</v>
      </c>
    </row>
    <row r="29" spans="1:23" ht="30" customHeight="1">
      <c r="A29" s="19" t="s">
        <v>5568</v>
      </c>
      <c r="B29" s="19" t="s">
        <v>5569</v>
      </c>
      <c r="C29" s="19"/>
      <c r="D29" s="19" t="s">
        <v>131</v>
      </c>
      <c r="E29" s="20" t="s">
        <v>132</v>
      </c>
      <c r="F29" s="19"/>
      <c r="G29" s="21" t="s">
        <v>22</v>
      </c>
      <c r="H29" s="22" t="b">
        <v>0</v>
      </c>
      <c r="I29" s="22" t="b">
        <v>0</v>
      </c>
      <c r="J29" s="22" t="b">
        <v>0</v>
      </c>
      <c r="K29" s="22" t="b">
        <v>0</v>
      </c>
      <c r="L29" s="22" t="b">
        <v>0</v>
      </c>
      <c r="M29" s="21"/>
      <c r="N29" s="23">
        <v>0</v>
      </c>
      <c r="O29" s="24"/>
      <c r="P29" s="19"/>
      <c r="Q29" s="25"/>
      <c r="R29" s="25"/>
      <c r="S29" s="19"/>
      <c r="T29" s="26"/>
      <c r="U29" s="27" t="s">
        <v>21</v>
      </c>
      <c r="V29" s="28" t="s">
        <v>133</v>
      </c>
      <c r="W29" s="29" t="s">
        <v>26</v>
      </c>
    </row>
    <row r="30" spans="1:23" ht="30" customHeight="1">
      <c r="A30" s="19" t="s">
        <v>5568</v>
      </c>
      <c r="B30" s="19" t="s">
        <v>5569</v>
      </c>
      <c r="C30" s="19"/>
      <c r="D30" s="19" t="s">
        <v>136</v>
      </c>
      <c r="E30" s="20" t="s">
        <v>137</v>
      </c>
      <c r="F30" s="19"/>
      <c r="G30" s="21" t="s">
        <v>22</v>
      </c>
      <c r="H30" s="22" t="b">
        <v>0</v>
      </c>
      <c r="I30" s="22" t="b">
        <v>0</v>
      </c>
      <c r="J30" s="22" t="b">
        <v>0</v>
      </c>
      <c r="K30" s="22" t="b">
        <v>0</v>
      </c>
      <c r="L30" s="22" t="b">
        <v>0</v>
      </c>
      <c r="M30" s="21"/>
      <c r="N30" s="23">
        <v>0</v>
      </c>
      <c r="O30" s="24"/>
      <c r="P30" s="19"/>
      <c r="Q30" s="25"/>
      <c r="R30" s="25"/>
      <c r="S30" s="19"/>
      <c r="T30" s="26"/>
      <c r="U30" s="27" t="s">
        <v>21</v>
      </c>
      <c r="V30" s="28" t="s">
        <v>138</v>
      </c>
      <c r="W30" s="29" t="s">
        <v>26</v>
      </c>
    </row>
    <row r="31" spans="1:23" ht="30" customHeight="1">
      <c r="A31" s="19" t="s">
        <v>5568</v>
      </c>
      <c r="B31" s="19" t="s">
        <v>5569</v>
      </c>
      <c r="C31" s="19"/>
      <c r="D31" s="19" t="s">
        <v>140</v>
      </c>
      <c r="E31" s="20" t="s">
        <v>141</v>
      </c>
      <c r="F31" s="19"/>
      <c r="G31" s="21" t="s">
        <v>22</v>
      </c>
      <c r="H31" s="22" t="b">
        <v>0</v>
      </c>
      <c r="I31" s="22" t="b">
        <v>0</v>
      </c>
      <c r="J31" s="22" t="b">
        <v>0</v>
      </c>
      <c r="K31" s="22" t="b">
        <v>0</v>
      </c>
      <c r="L31" s="22" t="b">
        <v>0</v>
      </c>
      <c r="M31" s="21"/>
      <c r="N31" s="23">
        <v>0</v>
      </c>
      <c r="O31" s="24"/>
      <c r="P31" s="19"/>
      <c r="Q31" s="25"/>
      <c r="R31" s="25"/>
      <c r="S31" s="19"/>
      <c r="T31" s="26"/>
      <c r="U31" s="30" t="s">
        <v>34</v>
      </c>
      <c r="V31" s="28" t="s">
        <v>142</v>
      </c>
      <c r="W31" s="29" t="s">
        <v>26</v>
      </c>
    </row>
    <row r="32" spans="1:23" ht="30" customHeight="1">
      <c r="A32" s="19" t="s">
        <v>5568</v>
      </c>
      <c r="B32" s="19" t="s">
        <v>5569</v>
      </c>
      <c r="C32" s="19"/>
      <c r="D32" s="19" t="s">
        <v>145</v>
      </c>
      <c r="E32" s="20" t="s">
        <v>146</v>
      </c>
      <c r="F32" s="19"/>
      <c r="G32" s="21" t="s">
        <v>22</v>
      </c>
      <c r="H32" s="22" t="b">
        <v>0</v>
      </c>
      <c r="I32" s="22" t="b">
        <v>0</v>
      </c>
      <c r="J32" s="22" t="b">
        <v>0</v>
      </c>
      <c r="K32" s="22" t="b">
        <v>0</v>
      </c>
      <c r="L32" s="22" t="b">
        <v>0</v>
      </c>
      <c r="M32" s="21"/>
      <c r="N32" s="23">
        <v>0</v>
      </c>
      <c r="O32" s="24"/>
      <c r="P32" s="19"/>
      <c r="Q32" s="25"/>
      <c r="R32" s="25"/>
      <c r="S32" s="19"/>
      <c r="T32" s="26"/>
      <c r="U32" s="27" t="s">
        <v>21</v>
      </c>
      <c r="V32" s="28" t="s">
        <v>147</v>
      </c>
      <c r="W32" s="29" t="s">
        <v>26</v>
      </c>
    </row>
    <row r="33" spans="1:23" ht="30" customHeight="1">
      <c r="A33" s="19" t="s">
        <v>5568</v>
      </c>
      <c r="B33" s="19" t="s">
        <v>5569</v>
      </c>
      <c r="C33" s="19"/>
      <c r="D33" s="19" t="s">
        <v>150</v>
      </c>
      <c r="E33" s="20" t="s">
        <v>151</v>
      </c>
      <c r="F33" s="19"/>
      <c r="G33" s="21" t="s">
        <v>22</v>
      </c>
      <c r="H33" s="22" t="b">
        <v>0</v>
      </c>
      <c r="I33" s="22" t="b">
        <v>0</v>
      </c>
      <c r="J33" s="22" t="b">
        <v>0</v>
      </c>
      <c r="K33" s="22" t="b">
        <v>0</v>
      </c>
      <c r="L33" s="22" t="b">
        <v>0</v>
      </c>
      <c r="M33" s="21"/>
      <c r="N33" s="23">
        <v>0</v>
      </c>
      <c r="O33" s="24"/>
      <c r="P33" s="19"/>
      <c r="Q33" s="25"/>
      <c r="R33" s="25"/>
      <c r="S33" s="19"/>
      <c r="T33" s="26"/>
      <c r="U33" s="27" t="s">
        <v>21</v>
      </c>
      <c r="V33" s="28" t="s">
        <v>152</v>
      </c>
      <c r="W33" s="29" t="s">
        <v>26</v>
      </c>
    </row>
    <row r="34" spans="1:23" ht="30" customHeight="1">
      <c r="A34" s="19" t="s">
        <v>5568</v>
      </c>
      <c r="B34" s="19" t="s">
        <v>5569</v>
      </c>
      <c r="C34" s="19"/>
      <c r="D34" s="19" t="s">
        <v>154</v>
      </c>
      <c r="E34" s="20" t="s">
        <v>155</v>
      </c>
      <c r="F34" s="19"/>
      <c r="G34" s="21" t="s">
        <v>156</v>
      </c>
      <c r="H34" s="22" t="b">
        <v>0</v>
      </c>
      <c r="I34" s="22" t="b">
        <v>0</v>
      </c>
      <c r="J34" s="22" t="b">
        <v>0</v>
      </c>
      <c r="K34" s="22" t="b">
        <v>0</v>
      </c>
      <c r="L34" s="22" t="b">
        <v>0</v>
      </c>
      <c r="M34" s="21"/>
      <c r="N34" s="23">
        <v>0</v>
      </c>
      <c r="O34" s="24"/>
      <c r="P34" s="19"/>
      <c r="Q34" s="25"/>
      <c r="R34" s="25"/>
      <c r="S34" s="19"/>
      <c r="T34" s="26"/>
      <c r="U34" s="30" t="s">
        <v>34</v>
      </c>
      <c r="V34" s="28" t="s">
        <v>77</v>
      </c>
      <c r="W34" s="29" t="s">
        <v>26</v>
      </c>
    </row>
    <row r="35" spans="1:23" ht="30" customHeight="1">
      <c r="A35" s="19" t="s">
        <v>5568</v>
      </c>
      <c r="B35" s="19" t="s">
        <v>5569</v>
      </c>
      <c r="C35" s="19"/>
      <c r="D35" s="19" t="s">
        <v>158</v>
      </c>
      <c r="E35" s="20" t="s">
        <v>159</v>
      </c>
      <c r="F35" s="19"/>
      <c r="G35" s="21" t="s">
        <v>22</v>
      </c>
      <c r="H35" s="22" t="b">
        <v>0</v>
      </c>
      <c r="I35" s="22" t="b">
        <v>0</v>
      </c>
      <c r="J35" s="22" t="b">
        <v>0</v>
      </c>
      <c r="K35" s="22" t="b">
        <v>0</v>
      </c>
      <c r="L35" s="22" t="b">
        <v>0</v>
      </c>
      <c r="M35" s="21"/>
      <c r="N35" s="23">
        <v>0</v>
      </c>
      <c r="O35" s="24"/>
      <c r="P35" s="19"/>
      <c r="Q35" s="25"/>
      <c r="R35" s="25"/>
      <c r="S35" s="19"/>
      <c r="T35" s="26"/>
      <c r="U35" s="27" t="s">
        <v>21</v>
      </c>
      <c r="V35" s="28" t="s">
        <v>160</v>
      </c>
      <c r="W35" s="29" t="s">
        <v>26</v>
      </c>
    </row>
    <row r="36" spans="1:23" ht="30" customHeight="1">
      <c r="A36" s="19" t="s">
        <v>5568</v>
      </c>
      <c r="B36" s="19" t="s">
        <v>5569</v>
      </c>
      <c r="C36" s="19"/>
      <c r="D36" s="19" t="s">
        <v>162</v>
      </c>
      <c r="E36" s="20" t="s">
        <v>163</v>
      </c>
      <c r="F36" s="19"/>
      <c r="G36" s="21" t="s">
        <v>22</v>
      </c>
      <c r="H36" s="22" t="b">
        <v>0</v>
      </c>
      <c r="I36" s="22" t="b">
        <v>0</v>
      </c>
      <c r="J36" s="22" t="b">
        <v>0</v>
      </c>
      <c r="K36" s="22" t="b">
        <v>0</v>
      </c>
      <c r="L36" s="22" t="b">
        <v>0</v>
      </c>
      <c r="M36" s="21"/>
      <c r="N36" s="23">
        <v>0</v>
      </c>
      <c r="O36" s="24"/>
      <c r="P36" s="19"/>
      <c r="Q36" s="25"/>
      <c r="R36" s="25"/>
      <c r="S36" s="19"/>
      <c r="T36" s="26"/>
      <c r="U36" s="27" t="s">
        <v>21</v>
      </c>
      <c r="V36" s="28" t="s">
        <v>164</v>
      </c>
      <c r="W36" s="29" t="s">
        <v>26</v>
      </c>
    </row>
    <row r="37" spans="1:23" ht="30" customHeight="1">
      <c r="A37" s="19" t="s">
        <v>5568</v>
      </c>
      <c r="B37" s="19" t="s">
        <v>5569</v>
      </c>
      <c r="C37" s="19"/>
      <c r="D37" s="19" t="s">
        <v>167</v>
      </c>
      <c r="E37" s="20" t="s">
        <v>168</v>
      </c>
      <c r="F37" s="19"/>
      <c r="G37" s="21" t="s">
        <v>156</v>
      </c>
      <c r="H37" s="22" t="b">
        <v>0</v>
      </c>
      <c r="I37" s="22" t="b">
        <v>0</v>
      </c>
      <c r="J37" s="22" t="b">
        <v>0</v>
      </c>
      <c r="K37" s="22" t="b">
        <v>0</v>
      </c>
      <c r="L37" s="22" t="b">
        <v>0</v>
      </c>
      <c r="M37" s="21"/>
      <c r="N37" s="23">
        <v>0</v>
      </c>
      <c r="O37" s="24"/>
      <c r="P37" s="19"/>
      <c r="Q37" s="25"/>
      <c r="R37" s="25"/>
      <c r="S37" s="19"/>
      <c r="T37" s="26"/>
      <c r="U37" s="27" t="s">
        <v>21</v>
      </c>
      <c r="V37" s="28" t="s">
        <v>169</v>
      </c>
      <c r="W37" s="29" t="s">
        <v>26</v>
      </c>
    </row>
    <row r="38" spans="1:23" ht="30" customHeight="1">
      <c r="A38" s="19" t="s">
        <v>5568</v>
      </c>
      <c r="B38" s="19" t="s">
        <v>5569</v>
      </c>
      <c r="C38" s="19"/>
      <c r="D38" s="19" t="s">
        <v>171</v>
      </c>
      <c r="E38" s="20" t="s">
        <v>172</v>
      </c>
      <c r="F38" s="19"/>
      <c r="G38" s="21" t="s">
        <v>22</v>
      </c>
      <c r="H38" s="22" t="b">
        <v>0</v>
      </c>
      <c r="I38" s="22" t="b">
        <v>0</v>
      </c>
      <c r="J38" s="22" t="b">
        <v>0</v>
      </c>
      <c r="K38" s="22" t="b">
        <v>0</v>
      </c>
      <c r="L38" s="22" t="b">
        <v>0</v>
      </c>
      <c r="M38" s="21"/>
      <c r="N38" s="23">
        <v>0</v>
      </c>
      <c r="O38" s="24"/>
      <c r="P38" s="19"/>
      <c r="Q38" s="25"/>
      <c r="R38" s="25"/>
      <c r="S38" s="19"/>
      <c r="T38" s="26"/>
      <c r="U38" s="30" t="s">
        <v>34</v>
      </c>
      <c r="V38" s="28" t="s">
        <v>77</v>
      </c>
      <c r="W38" s="29" t="s">
        <v>26</v>
      </c>
    </row>
    <row r="39" spans="1:23" ht="30" customHeight="1">
      <c r="A39" s="19" t="s">
        <v>5568</v>
      </c>
      <c r="B39" s="19" t="s">
        <v>5569</v>
      </c>
      <c r="C39" s="19"/>
      <c r="D39" s="19" t="s">
        <v>174</v>
      </c>
      <c r="E39" s="20" t="s">
        <v>175</v>
      </c>
      <c r="F39" s="19"/>
      <c r="G39" s="21" t="s">
        <v>29</v>
      </c>
      <c r="H39" s="22" t="b">
        <v>0</v>
      </c>
      <c r="I39" s="22" t="b">
        <v>0</v>
      </c>
      <c r="J39" s="22" t="b">
        <v>0</v>
      </c>
      <c r="K39" s="22" t="b">
        <v>0</v>
      </c>
      <c r="L39" s="22" t="b">
        <v>0</v>
      </c>
      <c r="M39" s="21"/>
      <c r="N39" s="23">
        <v>0</v>
      </c>
      <c r="O39" s="24"/>
      <c r="P39" s="19"/>
      <c r="Q39" s="25"/>
      <c r="R39" s="25"/>
      <c r="S39" s="19"/>
      <c r="T39" s="26"/>
      <c r="U39" s="30" t="s">
        <v>34</v>
      </c>
      <c r="V39" s="28" t="s">
        <v>176</v>
      </c>
      <c r="W39" s="29" t="s">
        <v>26</v>
      </c>
    </row>
    <row r="40" spans="1:23" ht="30" customHeight="1">
      <c r="A40" s="19" t="s">
        <v>5568</v>
      </c>
      <c r="B40" s="19" t="s">
        <v>5569</v>
      </c>
      <c r="C40" s="19"/>
      <c r="D40" s="19" t="s">
        <v>178</v>
      </c>
      <c r="E40" s="20" t="s">
        <v>179</v>
      </c>
      <c r="F40" s="19"/>
      <c r="G40" s="21" t="s">
        <v>22</v>
      </c>
      <c r="H40" s="22" t="b">
        <v>0</v>
      </c>
      <c r="I40" s="22" t="b">
        <v>0</v>
      </c>
      <c r="J40" s="22" t="b">
        <v>0</v>
      </c>
      <c r="K40" s="22" t="b">
        <v>0</v>
      </c>
      <c r="L40" s="22" t="b">
        <v>0</v>
      </c>
      <c r="M40" s="21"/>
      <c r="N40" s="23">
        <v>0</v>
      </c>
      <c r="O40" s="24"/>
      <c r="P40" s="19"/>
      <c r="Q40" s="25"/>
      <c r="R40" s="25"/>
      <c r="S40" s="19"/>
      <c r="T40" s="26"/>
      <c r="U40" s="27" t="s">
        <v>21</v>
      </c>
      <c r="V40" s="28" t="s">
        <v>180</v>
      </c>
      <c r="W40" s="29" t="s">
        <v>26</v>
      </c>
    </row>
    <row r="41" spans="1:23" ht="30" customHeight="1">
      <c r="A41" s="19" t="s">
        <v>5568</v>
      </c>
      <c r="B41" s="19" t="s">
        <v>5569</v>
      </c>
      <c r="C41" s="19"/>
      <c r="D41" s="19" t="s">
        <v>182</v>
      </c>
      <c r="E41" s="20" t="s">
        <v>183</v>
      </c>
      <c r="F41" s="19"/>
      <c r="G41" s="21" t="s">
        <v>29</v>
      </c>
      <c r="H41" s="22" t="b">
        <v>0</v>
      </c>
      <c r="I41" s="22" t="b">
        <v>0</v>
      </c>
      <c r="J41" s="22" t="b">
        <v>0</v>
      </c>
      <c r="K41" s="22" t="b">
        <v>0</v>
      </c>
      <c r="L41" s="22" t="b">
        <v>0</v>
      </c>
      <c r="M41" s="21"/>
      <c r="N41" s="23">
        <v>0</v>
      </c>
      <c r="O41" s="24"/>
      <c r="P41" s="19"/>
      <c r="Q41" s="25"/>
      <c r="R41" s="25"/>
      <c r="S41" s="19"/>
      <c r="T41" s="26"/>
      <c r="U41" s="27" t="s">
        <v>21</v>
      </c>
      <c r="V41" s="28" t="s">
        <v>184</v>
      </c>
      <c r="W41" s="29" t="s">
        <v>26</v>
      </c>
    </row>
    <row r="42" spans="1:23" ht="30" customHeight="1">
      <c r="A42" s="19" t="s">
        <v>5568</v>
      </c>
      <c r="B42" s="19" t="s">
        <v>5569</v>
      </c>
      <c r="C42" s="19"/>
      <c r="D42" s="19" t="s">
        <v>186</v>
      </c>
      <c r="E42" s="20" t="s">
        <v>187</v>
      </c>
      <c r="F42" s="19"/>
      <c r="G42" s="21" t="s">
        <v>22</v>
      </c>
      <c r="H42" s="22" t="b">
        <v>0</v>
      </c>
      <c r="I42" s="22" t="b">
        <v>0</v>
      </c>
      <c r="J42" s="22" t="b">
        <v>0</v>
      </c>
      <c r="K42" s="22" t="b">
        <v>0</v>
      </c>
      <c r="L42" s="22" t="b">
        <v>0</v>
      </c>
      <c r="M42" s="21"/>
      <c r="N42" s="23">
        <v>0</v>
      </c>
      <c r="O42" s="24"/>
      <c r="P42" s="19"/>
      <c r="Q42" s="25"/>
      <c r="R42" s="25"/>
      <c r="S42" s="19"/>
      <c r="T42" s="26"/>
      <c r="U42" s="27" t="s">
        <v>21</v>
      </c>
      <c r="V42" s="28" t="s">
        <v>188</v>
      </c>
      <c r="W42" s="29" t="s">
        <v>26</v>
      </c>
    </row>
    <row r="43" spans="1:23" ht="30" customHeight="1">
      <c r="A43" s="19" t="s">
        <v>5568</v>
      </c>
      <c r="B43" s="19" t="s">
        <v>5569</v>
      </c>
      <c r="C43" s="19"/>
      <c r="D43" s="19" t="s">
        <v>190</v>
      </c>
      <c r="E43" s="20" t="s">
        <v>191</v>
      </c>
      <c r="F43" s="19"/>
      <c r="G43" s="21" t="s">
        <v>22</v>
      </c>
      <c r="H43" s="22" t="b">
        <v>0</v>
      </c>
      <c r="I43" s="22" t="b">
        <v>0</v>
      </c>
      <c r="J43" s="22" t="b">
        <v>0</v>
      </c>
      <c r="K43" s="22" t="b">
        <v>0</v>
      </c>
      <c r="L43" s="22" t="b">
        <v>0</v>
      </c>
      <c r="M43" s="21"/>
      <c r="N43" s="23">
        <v>0</v>
      </c>
      <c r="O43" s="24"/>
      <c r="P43" s="19"/>
      <c r="Q43" s="25"/>
      <c r="R43" s="25"/>
      <c r="S43" s="19"/>
      <c r="T43" s="26"/>
      <c r="U43" s="27" t="s">
        <v>21</v>
      </c>
      <c r="V43" s="28" t="s">
        <v>192</v>
      </c>
      <c r="W43" s="29" t="s">
        <v>26</v>
      </c>
    </row>
    <row r="44" spans="1:23" ht="30" customHeight="1">
      <c r="A44" s="19" t="s">
        <v>5568</v>
      </c>
      <c r="B44" s="19" t="s">
        <v>5569</v>
      </c>
      <c r="C44" s="19"/>
      <c r="D44" s="19" t="s">
        <v>194</v>
      </c>
      <c r="E44" s="20" t="s">
        <v>195</v>
      </c>
      <c r="F44" s="19"/>
      <c r="G44" s="21" t="s">
        <v>22</v>
      </c>
      <c r="H44" s="22" t="b">
        <v>0</v>
      </c>
      <c r="I44" s="22" t="b">
        <v>0</v>
      </c>
      <c r="J44" s="22" t="b">
        <v>0</v>
      </c>
      <c r="K44" s="22" t="b">
        <v>0</v>
      </c>
      <c r="L44" s="22" t="b">
        <v>0</v>
      </c>
      <c r="M44" s="21"/>
      <c r="N44" s="23">
        <v>0</v>
      </c>
      <c r="O44" s="24"/>
      <c r="P44" s="19"/>
      <c r="Q44" s="25"/>
      <c r="R44" s="25"/>
      <c r="S44" s="19"/>
      <c r="T44" s="26"/>
      <c r="U44" s="27" t="s">
        <v>21</v>
      </c>
      <c r="V44" s="28" t="s">
        <v>196</v>
      </c>
      <c r="W44" s="29" t="s">
        <v>26</v>
      </c>
    </row>
    <row r="45" spans="1:23" ht="30" customHeight="1">
      <c r="A45" s="19" t="s">
        <v>5568</v>
      </c>
      <c r="B45" s="19" t="s">
        <v>5569</v>
      </c>
      <c r="C45" s="19"/>
      <c r="D45" s="19" t="s">
        <v>199</v>
      </c>
      <c r="E45" s="20" t="s">
        <v>200</v>
      </c>
      <c r="F45" s="19"/>
      <c r="G45" s="21" t="s">
        <v>22</v>
      </c>
      <c r="H45" s="22" t="b">
        <v>0</v>
      </c>
      <c r="I45" s="22" t="b">
        <v>0</v>
      </c>
      <c r="J45" s="22" t="b">
        <v>0</v>
      </c>
      <c r="K45" s="22" t="b">
        <v>0</v>
      </c>
      <c r="L45" s="22" t="b">
        <v>0</v>
      </c>
      <c r="M45" s="21"/>
      <c r="N45" s="23">
        <v>0</v>
      </c>
      <c r="O45" s="24"/>
      <c r="P45" s="19"/>
      <c r="Q45" s="25"/>
      <c r="R45" s="25"/>
      <c r="S45" s="19"/>
      <c r="T45" s="26"/>
      <c r="U45" s="27" t="s">
        <v>21</v>
      </c>
      <c r="V45" s="28" t="s">
        <v>201</v>
      </c>
      <c r="W45" s="29" t="s">
        <v>26</v>
      </c>
    </row>
    <row r="46" spans="1:23" ht="30" customHeight="1">
      <c r="A46" s="19" t="s">
        <v>5568</v>
      </c>
      <c r="B46" s="19" t="s">
        <v>5569</v>
      </c>
      <c r="C46" s="19"/>
      <c r="D46" s="19" t="s">
        <v>203</v>
      </c>
      <c r="E46" s="20" t="s">
        <v>204</v>
      </c>
      <c r="F46" s="19"/>
      <c r="G46" s="21" t="s">
        <v>22</v>
      </c>
      <c r="H46" s="22" t="b">
        <v>0</v>
      </c>
      <c r="I46" s="22" t="b">
        <v>0</v>
      </c>
      <c r="J46" s="22" t="b">
        <v>0</v>
      </c>
      <c r="K46" s="22" t="b">
        <v>0</v>
      </c>
      <c r="L46" s="22" t="b">
        <v>0</v>
      </c>
      <c r="M46" s="21"/>
      <c r="N46" s="23">
        <v>0</v>
      </c>
      <c r="O46" s="24"/>
      <c r="P46" s="19"/>
      <c r="Q46" s="25"/>
      <c r="R46" s="25"/>
      <c r="S46" s="19"/>
      <c r="T46" s="26"/>
      <c r="U46" s="27" t="s">
        <v>21</v>
      </c>
      <c r="V46" s="28" t="s">
        <v>205</v>
      </c>
      <c r="W46" s="29" t="s">
        <v>26</v>
      </c>
    </row>
    <row r="47" spans="1:23" ht="30" customHeight="1">
      <c r="A47" s="19" t="s">
        <v>5568</v>
      </c>
      <c r="B47" s="19" t="s">
        <v>5569</v>
      </c>
      <c r="C47" s="19"/>
      <c r="D47" s="19" t="s">
        <v>207</v>
      </c>
      <c r="E47" s="20" t="s">
        <v>208</v>
      </c>
      <c r="F47" s="19"/>
      <c r="G47" s="21" t="s">
        <v>29</v>
      </c>
      <c r="H47" s="22" t="b">
        <v>0</v>
      </c>
      <c r="I47" s="22" t="b">
        <v>0</v>
      </c>
      <c r="J47" s="22" t="b">
        <v>0</v>
      </c>
      <c r="K47" s="22" t="b">
        <v>0</v>
      </c>
      <c r="L47" s="22" t="b">
        <v>0</v>
      </c>
      <c r="M47" s="21"/>
      <c r="N47" s="23">
        <v>0</v>
      </c>
      <c r="O47" s="24"/>
      <c r="P47" s="19"/>
      <c r="Q47" s="25"/>
      <c r="R47" s="25"/>
      <c r="S47" s="19"/>
      <c r="T47" s="26"/>
      <c r="U47" s="27" t="s">
        <v>21</v>
      </c>
      <c r="V47" s="28" t="s">
        <v>209</v>
      </c>
      <c r="W47" s="29" t="s">
        <v>26</v>
      </c>
    </row>
    <row r="48" spans="1:23" ht="30" customHeight="1">
      <c r="A48" s="19" t="s">
        <v>5568</v>
      </c>
      <c r="B48" s="19" t="s">
        <v>5569</v>
      </c>
      <c r="C48" s="19"/>
      <c r="D48" s="19" t="s">
        <v>212</v>
      </c>
      <c r="E48" s="20" t="s">
        <v>213</v>
      </c>
      <c r="F48" s="19"/>
      <c r="G48" s="21" t="s">
        <v>22</v>
      </c>
      <c r="H48" s="22" t="b">
        <v>0</v>
      </c>
      <c r="I48" s="22" t="b">
        <v>0</v>
      </c>
      <c r="J48" s="22" t="b">
        <v>0</v>
      </c>
      <c r="K48" s="22" t="b">
        <v>0</v>
      </c>
      <c r="L48" s="22" t="b">
        <v>0</v>
      </c>
      <c r="M48" s="21"/>
      <c r="N48" s="23">
        <v>0</v>
      </c>
      <c r="O48" s="24"/>
      <c r="P48" s="19"/>
      <c r="Q48" s="25"/>
      <c r="R48" s="25"/>
      <c r="S48" s="19"/>
      <c r="T48" s="26"/>
      <c r="U48" s="27" t="s">
        <v>21</v>
      </c>
      <c r="V48" s="28" t="s">
        <v>184</v>
      </c>
      <c r="W48" s="29" t="s">
        <v>26</v>
      </c>
    </row>
    <row r="49" spans="1:23" ht="30" customHeight="1">
      <c r="A49" s="19" t="s">
        <v>5568</v>
      </c>
      <c r="B49" s="19" t="s">
        <v>5569</v>
      </c>
      <c r="C49" s="19"/>
      <c r="D49" s="19" t="s">
        <v>216</v>
      </c>
      <c r="E49" s="20" t="s">
        <v>217</v>
      </c>
      <c r="F49" s="19"/>
      <c r="G49" s="21" t="s">
        <v>22</v>
      </c>
      <c r="H49" s="22" t="b">
        <v>0</v>
      </c>
      <c r="I49" s="22" t="b">
        <v>0</v>
      </c>
      <c r="J49" s="22" t="b">
        <v>0</v>
      </c>
      <c r="K49" s="22" t="b">
        <v>0</v>
      </c>
      <c r="L49" s="22" t="b">
        <v>0</v>
      </c>
      <c r="M49" s="21"/>
      <c r="N49" s="23">
        <v>0</v>
      </c>
      <c r="O49" s="24"/>
      <c r="P49" s="19"/>
      <c r="Q49" s="25"/>
      <c r="R49" s="25"/>
      <c r="S49" s="19"/>
      <c r="T49" s="26"/>
      <c r="U49" s="30" t="s">
        <v>34</v>
      </c>
      <c r="V49" s="28" t="s">
        <v>218</v>
      </c>
      <c r="W49" s="29" t="s">
        <v>26</v>
      </c>
    </row>
    <row r="50" spans="1:23" ht="30" customHeight="1">
      <c r="A50" s="19" t="s">
        <v>5568</v>
      </c>
      <c r="B50" s="19" t="s">
        <v>5569</v>
      </c>
      <c r="C50" s="19"/>
      <c r="D50" s="19" t="s">
        <v>221</v>
      </c>
      <c r="E50" s="20" t="s">
        <v>222</v>
      </c>
      <c r="F50" s="19"/>
      <c r="G50" s="21" t="s">
        <v>22</v>
      </c>
      <c r="H50" s="22" t="b">
        <v>0</v>
      </c>
      <c r="I50" s="22" t="b">
        <v>0</v>
      </c>
      <c r="J50" s="22" t="b">
        <v>0</v>
      </c>
      <c r="K50" s="22" t="b">
        <v>0</v>
      </c>
      <c r="L50" s="22" t="b">
        <v>0</v>
      </c>
      <c r="M50" s="21"/>
      <c r="N50" s="23">
        <v>0</v>
      </c>
      <c r="O50" s="24"/>
      <c r="P50" s="19"/>
      <c r="Q50" s="25"/>
      <c r="R50" s="25"/>
      <c r="S50" s="19"/>
      <c r="T50" s="26"/>
      <c r="U50" s="27" t="s">
        <v>21</v>
      </c>
      <c r="V50" s="28" t="s">
        <v>192</v>
      </c>
      <c r="W50" s="29" t="s">
        <v>26</v>
      </c>
    </row>
    <row r="51" spans="1:23" ht="30" customHeight="1">
      <c r="A51" s="19" t="s">
        <v>5568</v>
      </c>
      <c r="B51" s="19" t="s">
        <v>5569</v>
      </c>
      <c r="C51" s="19"/>
      <c r="D51" s="19" t="s">
        <v>224</v>
      </c>
      <c r="E51" s="20" t="s">
        <v>225</v>
      </c>
      <c r="F51" s="19"/>
      <c r="G51" s="21" t="s">
        <v>22</v>
      </c>
      <c r="H51" s="22" t="b">
        <v>0</v>
      </c>
      <c r="I51" s="22" t="b">
        <v>0</v>
      </c>
      <c r="J51" s="22" t="b">
        <v>0</v>
      </c>
      <c r="K51" s="22" t="b">
        <v>0</v>
      </c>
      <c r="L51" s="22" t="b">
        <v>0</v>
      </c>
      <c r="M51" s="21"/>
      <c r="N51" s="23">
        <v>0</v>
      </c>
      <c r="O51" s="24"/>
      <c r="P51" s="19"/>
      <c r="Q51" s="25"/>
      <c r="R51" s="25"/>
      <c r="S51" s="19"/>
      <c r="T51" s="26"/>
      <c r="U51" s="27" t="s">
        <v>21</v>
      </c>
      <c r="V51" s="28" t="s">
        <v>226</v>
      </c>
      <c r="W51" s="29" t="s">
        <v>26</v>
      </c>
    </row>
    <row r="52" spans="1:23" ht="30" customHeight="1">
      <c r="A52" s="19" t="s">
        <v>5568</v>
      </c>
      <c r="B52" s="19" t="s">
        <v>5569</v>
      </c>
      <c r="C52" s="19"/>
      <c r="D52" s="19" t="s">
        <v>228</v>
      </c>
      <c r="E52" s="20" t="s">
        <v>225</v>
      </c>
      <c r="F52" s="19"/>
      <c r="G52" s="21" t="s">
        <v>22</v>
      </c>
      <c r="H52" s="22" t="b">
        <v>0</v>
      </c>
      <c r="I52" s="22" t="b">
        <v>0</v>
      </c>
      <c r="J52" s="22" t="b">
        <v>0</v>
      </c>
      <c r="K52" s="22" t="b">
        <v>0</v>
      </c>
      <c r="L52" s="22" t="b">
        <v>0</v>
      </c>
      <c r="M52" s="21"/>
      <c r="N52" s="23">
        <v>0</v>
      </c>
      <c r="O52" s="24"/>
      <c r="P52" s="19"/>
      <c r="Q52" s="25"/>
      <c r="R52" s="25"/>
      <c r="S52" s="19"/>
      <c r="T52" s="26"/>
      <c r="U52" s="30" t="s">
        <v>34</v>
      </c>
      <c r="V52" s="28" t="s">
        <v>229</v>
      </c>
      <c r="W52" s="29" t="s">
        <v>26</v>
      </c>
    </row>
    <row r="53" spans="1:23" ht="30" customHeight="1">
      <c r="A53" s="19" t="s">
        <v>5568</v>
      </c>
      <c r="B53" s="19" t="s">
        <v>5569</v>
      </c>
      <c r="C53" s="19"/>
      <c r="D53" s="19" t="s">
        <v>231</v>
      </c>
      <c r="E53" s="20" t="s">
        <v>232</v>
      </c>
      <c r="F53" s="19"/>
      <c r="G53" s="21" t="s">
        <v>22</v>
      </c>
      <c r="H53" s="22" t="b">
        <v>0</v>
      </c>
      <c r="I53" s="22" t="b">
        <v>0</v>
      </c>
      <c r="J53" s="22" t="b">
        <v>0</v>
      </c>
      <c r="K53" s="22" t="b">
        <v>0</v>
      </c>
      <c r="L53" s="22" t="b">
        <v>0</v>
      </c>
      <c r="M53" s="21"/>
      <c r="N53" s="23">
        <v>0</v>
      </c>
      <c r="O53" s="24"/>
      <c r="P53" s="19"/>
      <c r="Q53" s="25"/>
      <c r="R53" s="25"/>
      <c r="S53" s="19"/>
      <c r="T53" s="26"/>
      <c r="U53" s="30" t="s">
        <v>34</v>
      </c>
      <c r="V53" s="28" t="s">
        <v>233</v>
      </c>
      <c r="W53" s="29" t="s">
        <v>26</v>
      </c>
    </row>
    <row r="54" spans="1:23" ht="30" customHeight="1">
      <c r="A54" s="19" t="s">
        <v>5568</v>
      </c>
      <c r="B54" s="19" t="s">
        <v>5569</v>
      </c>
      <c r="C54" s="19"/>
      <c r="D54" s="19" t="s">
        <v>236</v>
      </c>
      <c r="E54" s="20" t="s">
        <v>237</v>
      </c>
      <c r="F54" s="19"/>
      <c r="G54" s="21" t="s">
        <v>29</v>
      </c>
      <c r="H54" s="22" t="b">
        <v>0</v>
      </c>
      <c r="I54" s="22" t="b">
        <v>0</v>
      </c>
      <c r="J54" s="22" t="b">
        <v>0</v>
      </c>
      <c r="K54" s="22" t="b">
        <v>0</v>
      </c>
      <c r="L54" s="22" t="b">
        <v>0</v>
      </c>
      <c r="M54" s="21"/>
      <c r="N54" s="23">
        <v>0</v>
      </c>
      <c r="O54" s="24"/>
      <c r="P54" s="19"/>
      <c r="Q54" s="25"/>
      <c r="R54" s="25"/>
      <c r="S54" s="19"/>
      <c r="T54" s="26"/>
      <c r="U54" s="27" t="s">
        <v>21</v>
      </c>
      <c r="V54" s="28" t="s">
        <v>238</v>
      </c>
      <c r="W54" s="29" t="s">
        <v>26</v>
      </c>
    </row>
    <row r="55" spans="1:23" ht="30" customHeight="1">
      <c r="A55" s="19" t="s">
        <v>5568</v>
      </c>
      <c r="B55" s="19" t="s">
        <v>5569</v>
      </c>
      <c r="C55" s="19"/>
      <c r="D55" s="19" t="s">
        <v>241</v>
      </c>
      <c r="E55" s="20" t="s">
        <v>242</v>
      </c>
      <c r="F55" s="19"/>
      <c r="G55" s="21" t="s">
        <v>22</v>
      </c>
      <c r="H55" s="22" t="b">
        <v>0</v>
      </c>
      <c r="I55" s="22" t="b">
        <v>0</v>
      </c>
      <c r="J55" s="22" t="b">
        <v>0</v>
      </c>
      <c r="K55" s="22" t="b">
        <v>0</v>
      </c>
      <c r="L55" s="22" t="b">
        <v>0</v>
      </c>
      <c r="M55" s="21"/>
      <c r="N55" s="23">
        <v>0</v>
      </c>
      <c r="O55" s="24"/>
      <c r="P55" s="19"/>
      <c r="Q55" s="25"/>
      <c r="R55" s="25"/>
      <c r="S55" s="19"/>
      <c r="T55" s="26"/>
      <c r="U55" s="30" t="s">
        <v>34</v>
      </c>
      <c r="V55" s="28" t="s">
        <v>243</v>
      </c>
      <c r="W55" s="29" t="s">
        <v>26</v>
      </c>
    </row>
    <row r="56" spans="1:23" ht="30" customHeight="1">
      <c r="A56" s="19" t="s">
        <v>5568</v>
      </c>
      <c r="B56" s="19" t="s">
        <v>5569</v>
      </c>
      <c r="C56" s="19"/>
      <c r="D56" s="19" t="s">
        <v>246</v>
      </c>
      <c r="E56" s="20" t="s">
        <v>247</v>
      </c>
      <c r="F56" s="19"/>
      <c r="G56" s="21" t="s">
        <v>22</v>
      </c>
      <c r="H56" s="22" t="b">
        <v>0</v>
      </c>
      <c r="I56" s="22" t="b">
        <v>0</v>
      </c>
      <c r="J56" s="22" t="b">
        <v>0</v>
      </c>
      <c r="K56" s="22" t="b">
        <v>0</v>
      </c>
      <c r="L56" s="22" t="b">
        <v>0</v>
      </c>
      <c r="M56" s="21"/>
      <c r="N56" s="23">
        <v>0</v>
      </c>
      <c r="O56" s="24"/>
      <c r="P56" s="19"/>
      <c r="Q56" s="25"/>
      <c r="R56" s="25"/>
      <c r="S56" s="19"/>
      <c r="T56" s="26"/>
      <c r="U56" s="30" t="s">
        <v>34</v>
      </c>
      <c r="V56" s="28" t="s">
        <v>248</v>
      </c>
      <c r="W56" s="29" t="s">
        <v>26</v>
      </c>
    </row>
    <row r="57" spans="1:23" ht="30" customHeight="1">
      <c r="A57" s="19" t="s">
        <v>5568</v>
      </c>
      <c r="B57" s="19" t="s">
        <v>5569</v>
      </c>
      <c r="C57" s="19"/>
      <c r="D57" s="19" t="s">
        <v>251</v>
      </c>
      <c r="E57" s="20" t="s">
        <v>252</v>
      </c>
      <c r="F57" s="19"/>
      <c r="G57" s="21" t="s">
        <v>29</v>
      </c>
      <c r="H57" s="22" t="b">
        <v>0</v>
      </c>
      <c r="I57" s="22" t="b">
        <v>0</v>
      </c>
      <c r="J57" s="22" t="b">
        <v>0</v>
      </c>
      <c r="K57" s="22" t="b">
        <v>0</v>
      </c>
      <c r="L57" s="22" t="b">
        <v>0</v>
      </c>
      <c r="M57" s="21"/>
      <c r="N57" s="23">
        <v>0</v>
      </c>
      <c r="O57" s="24"/>
      <c r="P57" s="19"/>
      <c r="Q57" s="25"/>
      <c r="R57" s="25"/>
      <c r="S57" s="19"/>
      <c r="T57" s="26"/>
      <c r="U57" s="27" t="s">
        <v>21</v>
      </c>
      <c r="V57" s="28" t="s">
        <v>253</v>
      </c>
      <c r="W57" s="29" t="s">
        <v>26</v>
      </c>
    </row>
    <row r="58" spans="1:23" ht="30" customHeight="1">
      <c r="A58" s="19" t="s">
        <v>5568</v>
      </c>
      <c r="B58" s="19" t="s">
        <v>5569</v>
      </c>
      <c r="C58" s="19"/>
      <c r="D58" s="19" t="s">
        <v>256</v>
      </c>
      <c r="E58" s="20" t="s">
        <v>257</v>
      </c>
      <c r="F58" s="19"/>
      <c r="G58" s="21" t="s">
        <v>29</v>
      </c>
      <c r="H58" s="22" t="b">
        <v>0</v>
      </c>
      <c r="I58" s="22" t="b">
        <v>0</v>
      </c>
      <c r="J58" s="22" t="b">
        <v>0</v>
      </c>
      <c r="K58" s="22" t="b">
        <v>0</v>
      </c>
      <c r="L58" s="22" t="b">
        <v>0</v>
      </c>
      <c r="M58" s="21"/>
      <c r="N58" s="23">
        <v>0</v>
      </c>
      <c r="O58" s="24"/>
      <c r="P58" s="19"/>
      <c r="Q58" s="25"/>
      <c r="R58" s="25"/>
      <c r="S58" s="19"/>
      <c r="T58" s="26"/>
      <c r="U58" s="30" t="s">
        <v>34</v>
      </c>
      <c r="V58" s="28" t="s">
        <v>258</v>
      </c>
      <c r="W58" s="29" t="s">
        <v>26</v>
      </c>
    </row>
    <row r="59" spans="1:23" ht="30" customHeight="1">
      <c r="A59" s="19" t="s">
        <v>5568</v>
      </c>
      <c r="B59" s="19" t="s">
        <v>5569</v>
      </c>
      <c r="C59" s="19"/>
      <c r="D59" s="19" t="s">
        <v>260</v>
      </c>
      <c r="E59" s="20" t="s">
        <v>261</v>
      </c>
      <c r="F59" s="19"/>
      <c r="G59" s="21" t="s">
        <v>22</v>
      </c>
      <c r="H59" s="22" t="b">
        <v>0</v>
      </c>
      <c r="I59" s="22" t="b">
        <v>0</v>
      </c>
      <c r="J59" s="22" t="b">
        <v>0</v>
      </c>
      <c r="K59" s="22" t="b">
        <v>0</v>
      </c>
      <c r="L59" s="22" t="b">
        <v>0</v>
      </c>
      <c r="M59" s="21"/>
      <c r="N59" s="23">
        <v>0</v>
      </c>
      <c r="O59" s="24"/>
      <c r="P59" s="19"/>
      <c r="Q59" s="25"/>
      <c r="R59" s="25"/>
      <c r="S59" s="19"/>
      <c r="T59" s="26"/>
      <c r="U59" s="27" t="s">
        <v>21</v>
      </c>
      <c r="V59" s="28" t="s">
        <v>262</v>
      </c>
      <c r="W59" s="29" t="s">
        <v>26</v>
      </c>
    </row>
    <row r="60" spans="1:23" ht="30" customHeight="1">
      <c r="A60" s="19" t="s">
        <v>5568</v>
      </c>
      <c r="B60" s="19" t="s">
        <v>5569</v>
      </c>
      <c r="C60" s="19"/>
      <c r="D60" s="19" t="s">
        <v>265</v>
      </c>
      <c r="E60" s="20" t="s">
        <v>266</v>
      </c>
      <c r="F60" s="19"/>
      <c r="G60" s="21" t="s">
        <v>22</v>
      </c>
      <c r="H60" s="22" t="b">
        <v>0</v>
      </c>
      <c r="I60" s="22" t="b">
        <v>0</v>
      </c>
      <c r="J60" s="22" t="b">
        <v>0</v>
      </c>
      <c r="K60" s="22" t="b">
        <v>0</v>
      </c>
      <c r="L60" s="22" t="b">
        <v>0</v>
      </c>
      <c r="M60" s="21"/>
      <c r="N60" s="23">
        <v>0</v>
      </c>
      <c r="O60" s="24"/>
      <c r="P60" s="19"/>
      <c r="Q60" s="25"/>
      <c r="R60" s="25"/>
      <c r="S60" s="19"/>
      <c r="T60" s="26"/>
      <c r="U60" s="30" t="s">
        <v>34</v>
      </c>
      <c r="V60" s="28" t="s">
        <v>233</v>
      </c>
      <c r="W60" s="29" t="s">
        <v>26</v>
      </c>
    </row>
    <row r="61" spans="1:23" ht="30" customHeight="1">
      <c r="A61" s="19" t="s">
        <v>5570</v>
      </c>
      <c r="B61" s="19" t="s">
        <v>5569</v>
      </c>
      <c r="C61" s="19"/>
      <c r="D61" s="19" t="s">
        <v>270</v>
      </c>
      <c r="E61" s="20" t="s">
        <v>271</v>
      </c>
      <c r="F61" s="19"/>
      <c r="G61" s="21" t="s">
        <v>29</v>
      </c>
      <c r="H61" s="22" t="b">
        <v>0</v>
      </c>
      <c r="I61" s="22" t="b">
        <v>0</v>
      </c>
      <c r="J61" s="22" t="b">
        <v>0</v>
      </c>
      <c r="K61" s="22" t="b">
        <v>0</v>
      </c>
      <c r="L61" s="22" t="b">
        <v>0</v>
      </c>
      <c r="M61" s="21"/>
      <c r="N61" s="23">
        <v>0</v>
      </c>
      <c r="O61" s="24"/>
      <c r="P61" s="19"/>
      <c r="Q61" s="25"/>
      <c r="R61" s="25"/>
      <c r="S61" s="19"/>
      <c r="T61" s="26"/>
      <c r="U61" s="27" t="s">
        <v>21</v>
      </c>
      <c r="V61" s="28" t="s">
        <v>272</v>
      </c>
      <c r="W61" s="29" t="s">
        <v>26</v>
      </c>
    </row>
    <row r="62" spans="1:23" ht="30" customHeight="1">
      <c r="A62" s="19" t="s">
        <v>5570</v>
      </c>
      <c r="B62" s="19" t="s">
        <v>5569</v>
      </c>
      <c r="C62" s="19"/>
      <c r="D62" s="19" t="s">
        <v>274</v>
      </c>
      <c r="E62" s="20" t="s">
        <v>275</v>
      </c>
      <c r="F62" s="19"/>
      <c r="G62" s="21" t="s">
        <v>29</v>
      </c>
      <c r="H62" s="22" t="b">
        <v>0</v>
      </c>
      <c r="I62" s="22" t="b">
        <v>0</v>
      </c>
      <c r="J62" s="22" t="b">
        <v>0</v>
      </c>
      <c r="K62" s="22" t="b">
        <v>0</v>
      </c>
      <c r="L62" s="22" t="b">
        <v>0</v>
      </c>
      <c r="M62" s="21"/>
      <c r="N62" s="23">
        <v>0</v>
      </c>
      <c r="O62" s="24"/>
      <c r="P62" s="19"/>
      <c r="Q62" s="25"/>
      <c r="R62" s="25"/>
      <c r="S62" s="19"/>
      <c r="T62" s="26"/>
      <c r="U62" s="27" t="s">
        <v>21</v>
      </c>
      <c r="V62" s="28" t="s">
        <v>276</v>
      </c>
      <c r="W62" s="29" t="s">
        <v>26</v>
      </c>
    </row>
    <row r="63" spans="1:23" ht="30" customHeight="1">
      <c r="A63" s="19" t="s">
        <v>5570</v>
      </c>
      <c r="B63" s="19" t="s">
        <v>5569</v>
      </c>
      <c r="C63" s="19"/>
      <c r="D63" s="19" t="s">
        <v>279</v>
      </c>
      <c r="E63" s="20" t="s">
        <v>280</v>
      </c>
      <c r="F63" s="19"/>
      <c r="G63" s="21" t="s">
        <v>22</v>
      </c>
      <c r="H63" s="22" t="b">
        <v>0</v>
      </c>
      <c r="I63" s="22" t="b">
        <v>0</v>
      </c>
      <c r="J63" s="22" t="b">
        <v>0</v>
      </c>
      <c r="K63" s="22" t="b">
        <v>0</v>
      </c>
      <c r="L63" s="22" t="b">
        <v>0</v>
      </c>
      <c r="M63" s="21"/>
      <c r="N63" s="23">
        <v>0</v>
      </c>
      <c r="O63" s="24"/>
      <c r="P63" s="19"/>
      <c r="Q63" s="25"/>
      <c r="R63" s="25"/>
      <c r="S63" s="19"/>
      <c r="T63" s="26"/>
      <c r="U63" s="30" t="s">
        <v>34</v>
      </c>
      <c r="V63" s="28" t="s">
        <v>281</v>
      </c>
      <c r="W63" s="29" t="s">
        <v>26</v>
      </c>
    </row>
    <row r="64" spans="1:23" ht="30" customHeight="1">
      <c r="A64" s="19" t="s">
        <v>5570</v>
      </c>
      <c r="B64" s="19" t="s">
        <v>5569</v>
      </c>
      <c r="C64" s="19"/>
      <c r="D64" s="19" t="s">
        <v>284</v>
      </c>
      <c r="E64" s="20" t="s">
        <v>285</v>
      </c>
      <c r="F64" s="19"/>
      <c r="G64" s="21" t="s">
        <v>22</v>
      </c>
      <c r="H64" s="22" t="b">
        <v>0</v>
      </c>
      <c r="I64" s="22" t="b">
        <v>0</v>
      </c>
      <c r="J64" s="22" t="b">
        <v>0</v>
      </c>
      <c r="K64" s="22" t="b">
        <v>0</v>
      </c>
      <c r="L64" s="22" t="b">
        <v>0</v>
      </c>
      <c r="M64" s="21"/>
      <c r="N64" s="23">
        <v>0</v>
      </c>
      <c r="O64" s="24"/>
      <c r="P64" s="19"/>
      <c r="Q64" s="25"/>
      <c r="R64" s="25"/>
      <c r="S64" s="19"/>
      <c r="T64" s="26"/>
      <c r="U64" s="27" t="s">
        <v>21</v>
      </c>
      <c r="V64" s="28" t="s">
        <v>286</v>
      </c>
      <c r="W64" s="29" t="s">
        <v>26</v>
      </c>
    </row>
    <row r="65" spans="1:23" ht="30" customHeight="1">
      <c r="A65" s="19" t="s">
        <v>5570</v>
      </c>
      <c r="B65" s="19" t="s">
        <v>5569</v>
      </c>
      <c r="C65" s="19"/>
      <c r="D65" s="19" t="s">
        <v>289</v>
      </c>
      <c r="E65" s="20" t="s">
        <v>290</v>
      </c>
      <c r="F65" s="19"/>
      <c r="G65" s="21" t="s">
        <v>29</v>
      </c>
      <c r="H65" s="22" t="b">
        <v>0</v>
      </c>
      <c r="I65" s="22" t="b">
        <v>0</v>
      </c>
      <c r="J65" s="22" t="b">
        <v>0</v>
      </c>
      <c r="K65" s="22" t="b">
        <v>0</v>
      </c>
      <c r="L65" s="22" t="b">
        <v>0</v>
      </c>
      <c r="M65" s="21"/>
      <c r="N65" s="23">
        <v>0</v>
      </c>
      <c r="O65" s="24"/>
      <c r="P65" s="19"/>
      <c r="Q65" s="25"/>
      <c r="R65" s="25"/>
      <c r="S65" s="19"/>
      <c r="T65" s="26"/>
      <c r="U65" s="27" t="s">
        <v>21</v>
      </c>
      <c r="V65" s="28" t="s">
        <v>291</v>
      </c>
      <c r="W65" s="29" t="s">
        <v>26</v>
      </c>
    </row>
    <row r="66" spans="1:23" ht="30" customHeight="1">
      <c r="A66" s="19" t="s">
        <v>5570</v>
      </c>
      <c r="B66" s="19" t="s">
        <v>5569</v>
      </c>
      <c r="C66" s="19"/>
      <c r="D66" s="19" t="s">
        <v>294</v>
      </c>
      <c r="E66" s="20" t="s">
        <v>295</v>
      </c>
      <c r="F66" s="19"/>
      <c r="G66" s="21" t="s">
        <v>29</v>
      </c>
      <c r="H66" s="22" t="b">
        <v>0</v>
      </c>
      <c r="I66" s="22" t="b">
        <v>0</v>
      </c>
      <c r="J66" s="22" t="b">
        <v>0</v>
      </c>
      <c r="K66" s="22" t="b">
        <v>0</v>
      </c>
      <c r="L66" s="22" t="b">
        <v>0</v>
      </c>
      <c r="M66" s="21"/>
      <c r="N66" s="23">
        <v>0</v>
      </c>
      <c r="O66" s="24"/>
      <c r="P66" s="19"/>
      <c r="Q66" s="25"/>
      <c r="R66" s="25"/>
      <c r="S66" s="19"/>
      <c r="T66" s="26"/>
      <c r="U66" s="27" t="s">
        <v>21</v>
      </c>
      <c r="V66" s="28" t="s">
        <v>296</v>
      </c>
      <c r="W66" s="29" t="s">
        <v>26</v>
      </c>
    </row>
    <row r="67" spans="1:23" ht="30" customHeight="1">
      <c r="A67" s="19" t="s">
        <v>5570</v>
      </c>
      <c r="B67" s="19" t="s">
        <v>5569</v>
      </c>
      <c r="C67" s="19"/>
      <c r="D67" s="19" t="s">
        <v>299</v>
      </c>
      <c r="E67" s="20" t="s">
        <v>300</v>
      </c>
      <c r="F67" s="19"/>
      <c r="G67" s="21" t="s">
        <v>22</v>
      </c>
      <c r="H67" s="22" t="b">
        <v>0</v>
      </c>
      <c r="I67" s="22" t="b">
        <v>0</v>
      </c>
      <c r="J67" s="22" t="b">
        <v>0</v>
      </c>
      <c r="K67" s="22" t="b">
        <v>0</v>
      </c>
      <c r="L67" s="22" t="b">
        <v>0</v>
      </c>
      <c r="M67" s="21"/>
      <c r="N67" s="23">
        <v>0</v>
      </c>
      <c r="O67" s="24"/>
      <c r="P67" s="19"/>
      <c r="Q67" s="25"/>
      <c r="R67" s="25"/>
      <c r="S67" s="19"/>
      <c r="T67" s="26"/>
      <c r="U67" s="27" t="s">
        <v>21</v>
      </c>
      <c r="V67" s="28" t="s">
        <v>301</v>
      </c>
      <c r="W67" s="29" t="s">
        <v>26</v>
      </c>
    </row>
    <row r="68" spans="1:23" ht="30" customHeight="1">
      <c r="A68" s="19" t="s">
        <v>5570</v>
      </c>
      <c r="B68" s="19" t="s">
        <v>5569</v>
      </c>
      <c r="C68" s="19"/>
      <c r="D68" s="19" t="s">
        <v>303</v>
      </c>
      <c r="E68" s="20" t="s">
        <v>304</v>
      </c>
      <c r="F68" s="19"/>
      <c r="G68" s="21" t="s">
        <v>156</v>
      </c>
      <c r="H68" s="22" t="b">
        <v>0</v>
      </c>
      <c r="I68" s="22" t="b">
        <v>0</v>
      </c>
      <c r="J68" s="22" t="b">
        <v>0</v>
      </c>
      <c r="K68" s="22" t="b">
        <v>0</v>
      </c>
      <c r="L68" s="22" t="b">
        <v>0</v>
      </c>
      <c r="M68" s="21"/>
      <c r="N68" s="23">
        <v>0</v>
      </c>
      <c r="O68" s="24"/>
      <c r="P68" s="19"/>
      <c r="Q68" s="25"/>
      <c r="R68" s="25"/>
      <c r="S68" s="19"/>
      <c r="T68" s="26"/>
      <c r="U68" s="27" t="s">
        <v>21</v>
      </c>
      <c r="V68" s="28" t="s">
        <v>305</v>
      </c>
      <c r="W68" s="29" t="s">
        <v>26</v>
      </c>
    </row>
    <row r="69" spans="1:23" ht="30" customHeight="1">
      <c r="A69" s="19" t="s">
        <v>5570</v>
      </c>
      <c r="B69" s="19" t="s">
        <v>5569</v>
      </c>
      <c r="C69" s="19"/>
      <c r="D69" s="19" t="s">
        <v>307</v>
      </c>
      <c r="E69" s="20" t="s">
        <v>308</v>
      </c>
      <c r="F69" s="19"/>
      <c r="G69" s="21" t="s">
        <v>29</v>
      </c>
      <c r="H69" s="22" t="b">
        <v>0</v>
      </c>
      <c r="I69" s="22" t="b">
        <v>0</v>
      </c>
      <c r="J69" s="22" t="b">
        <v>0</v>
      </c>
      <c r="K69" s="22" t="b">
        <v>0</v>
      </c>
      <c r="L69" s="22" t="b">
        <v>0</v>
      </c>
      <c r="M69" s="21"/>
      <c r="N69" s="23">
        <v>0</v>
      </c>
      <c r="O69" s="24"/>
      <c r="P69" s="19"/>
      <c r="Q69" s="25"/>
      <c r="R69" s="25"/>
      <c r="S69" s="19"/>
      <c r="T69" s="26"/>
      <c r="U69" s="27" t="s">
        <v>21</v>
      </c>
      <c r="V69" s="28" t="s">
        <v>309</v>
      </c>
      <c r="W69" s="29" t="s">
        <v>26</v>
      </c>
    </row>
    <row r="70" spans="1:23" ht="30" customHeight="1">
      <c r="A70" s="19" t="s">
        <v>5570</v>
      </c>
      <c r="B70" s="19" t="s">
        <v>5569</v>
      </c>
      <c r="C70" s="19"/>
      <c r="D70" s="19" t="s">
        <v>311</v>
      </c>
      <c r="E70" s="20" t="s">
        <v>312</v>
      </c>
      <c r="F70" s="19"/>
      <c r="G70" s="21" t="s">
        <v>22</v>
      </c>
      <c r="H70" s="22" t="b">
        <v>0</v>
      </c>
      <c r="I70" s="22" t="b">
        <v>0</v>
      </c>
      <c r="J70" s="22" t="b">
        <v>0</v>
      </c>
      <c r="K70" s="22" t="b">
        <v>0</v>
      </c>
      <c r="L70" s="22" t="b">
        <v>0</v>
      </c>
      <c r="M70" s="21"/>
      <c r="N70" s="23">
        <v>0</v>
      </c>
      <c r="O70" s="24"/>
      <c r="P70" s="19"/>
      <c r="Q70" s="25"/>
      <c r="R70" s="25"/>
      <c r="S70" s="19"/>
      <c r="T70" s="26"/>
      <c r="U70" s="27" t="s">
        <v>21</v>
      </c>
      <c r="V70" s="28" t="s">
        <v>313</v>
      </c>
      <c r="W70" s="29" t="s">
        <v>26</v>
      </c>
    </row>
    <row r="71" spans="1:23" ht="30" customHeight="1">
      <c r="A71" s="19" t="s">
        <v>5570</v>
      </c>
      <c r="B71" s="19" t="s">
        <v>5569</v>
      </c>
      <c r="C71" s="19"/>
      <c r="D71" s="19" t="s">
        <v>315</v>
      </c>
      <c r="E71" s="20" t="s">
        <v>316</v>
      </c>
      <c r="F71" s="19"/>
      <c r="G71" s="21" t="s">
        <v>29</v>
      </c>
      <c r="H71" s="22" t="b">
        <v>0</v>
      </c>
      <c r="I71" s="22" t="b">
        <v>0</v>
      </c>
      <c r="J71" s="22" t="b">
        <v>0</v>
      </c>
      <c r="K71" s="22" t="b">
        <v>0</v>
      </c>
      <c r="L71" s="22" t="b">
        <v>0</v>
      </c>
      <c r="M71" s="21"/>
      <c r="N71" s="23">
        <v>0</v>
      </c>
      <c r="O71" s="24"/>
      <c r="P71" s="19"/>
      <c r="Q71" s="25"/>
      <c r="R71" s="25"/>
      <c r="S71" s="19"/>
      <c r="T71" s="26"/>
      <c r="U71" s="27" t="s">
        <v>21</v>
      </c>
      <c r="V71" s="28" t="s">
        <v>317</v>
      </c>
      <c r="W71" s="29" t="s">
        <v>26</v>
      </c>
    </row>
    <row r="72" spans="1:23" ht="30" customHeight="1">
      <c r="A72" s="19" t="s">
        <v>5570</v>
      </c>
      <c r="B72" s="19" t="s">
        <v>5569</v>
      </c>
      <c r="C72" s="19"/>
      <c r="D72" s="19" t="s">
        <v>320</v>
      </c>
      <c r="E72" s="20" t="s">
        <v>321</v>
      </c>
      <c r="F72" s="19"/>
      <c r="G72" s="21" t="s">
        <v>39</v>
      </c>
      <c r="H72" s="22" t="b">
        <v>0</v>
      </c>
      <c r="I72" s="22" t="b">
        <v>0</v>
      </c>
      <c r="J72" s="22" t="b">
        <v>0</v>
      </c>
      <c r="K72" s="22" t="b">
        <v>0</v>
      </c>
      <c r="L72" s="22" t="b">
        <v>0</v>
      </c>
      <c r="M72" s="21"/>
      <c r="N72" s="23">
        <v>0</v>
      </c>
      <c r="O72" s="24"/>
      <c r="P72" s="19"/>
      <c r="Q72" s="25"/>
      <c r="R72" s="25"/>
      <c r="S72" s="19"/>
      <c r="T72" s="26"/>
      <c r="U72" s="30" t="s">
        <v>34</v>
      </c>
      <c r="V72" s="28" t="s">
        <v>322</v>
      </c>
      <c r="W72" s="29" t="s">
        <v>26</v>
      </c>
    </row>
    <row r="73" spans="1:23" ht="30" customHeight="1">
      <c r="A73" s="19" t="s">
        <v>5570</v>
      </c>
      <c r="B73" s="19" t="s">
        <v>5569</v>
      </c>
      <c r="C73" s="19"/>
      <c r="D73" s="19" t="s">
        <v>324</v>
      </c>
      <c r="E73" s="20" t="s">
        <v>325</v>
      </c>
      <c r="F73" s="19"/>
      <c r="G73" s="21" t="s">
        <v>29</v>
      </c>
      <c r="H73" s="22" t="b">
        <v>0</v>
      </c>
      <c r="I73" s="22" t="b">
        <v>0</v>
      </c>
      <c r="J73" s="22" t="b">
        <v>0</v>
      </c>
      <c r="K73" s="22" t="b">
        <v>0</v>
      </c>
      <c r="L73" s="22" t="b">
        <v>0</v>
      </c>
      <c r="M73" s="21"/>
      <c r="N73" s="23">
        <v>0</v>
      </c>
      <c r="O73" s="24"/>
      <c r="P73" s="19"/>
      <c r="Q73" s="25"/>
      <c r="R73" s="25"/>
      <c r="S73" s="19"/>
      <c r="T73" s="26"/>
      <c r="U73" s="27" t="s">
        <v>21</v>
      </c>
      <c r="V73" s="28" t="s">
        <v>326</v>
      </c>
      <c r="W73" s="29" t="s">
        <v>26</v>
      </c>
    </row>
    <row r="74" spans="1:23" ht="30" customHeight="1">
      <c r="A74" s="19" t="s">
        <v>5570</v>
      </c>
      <c r="B74" s="19" t="s">
        <v>5569</v>
      </c>
      <c r="C74" s="19"/>
      <c r="D74" s="19" t="s">
        <v>328</v>
      </c>
      <c r="E74" s="20" t="s">
        <v>329</v>
      </c>
      <c r="F74" s="19"/>
      <c r="G74" s="21" t="s">
        <v>22</v>
      </c>
      <c r="H74" s="22" t="b">
        <v>0</v>
      </c>
      <c r="I74" s="22" t="b">
        <v>0</v>
      </c>
      <c r="J74" s="22" t="b">
        <v>0</v>
      </c>
      <c r="K74" s="22" t="b">
        <v>0</v>
      </c>
      <c r="L74" s="22" t="b">
        <v>0</v>
      </c>
      <c r="M74" s="21"/>
      <c r="N74" s="23">
        <v>0</v>
      </c>
      <c r="O74" s="24"/>
      <c r="P74" s="19"/>
      <c r="Q74" s="25"/>
      <c r="R74" s="25"/>
      <c r="S74" s="19"/>
      <c r="T74" s="26"/>
      <c r="U74" s="27" t="s">
        <v>21</v>
      </c>
      <c r="V74" s="28" t="s">
        <v>330</v>
      </c>
      <c r="W74" s="29" t="s">
        <v>26</v>
      </c>
    </row>
    <row r="75" spans="1:23" ht="30" customHeight="1">
      <c r="A75" s="19" t="s">
        <v>5570</v>
      </c>
      <c r="B75" s="19" t="s">
        <v>5569</v>
      </c>
      <c r="C75" s="19"/>
      <c r="D75" s="19" t="s">
        <v>332</v>
      </c>
      <c r="E75" s="20" t="s">
        <v>333</v>
      </c>
      <c r="F75" s="19"/>
      <c r="G75" s="21" t="s">
        <v>29</v>
      </c>
      <c r="H75" s="22" t="b">
        <v>0</v>
      </c>
      <c r="I75" s="22" t="b">
        <v>0</v>
      </c>
      <c r="J75" s="22" t="b">
        <v>0</v>
      </c>
      <c r="K75" s="22" t="b">
        <v>0</v>
      </c>
      <c r="L75" s="22" t="b">
        <v>0</v>
      </c>
      <c r="M75" s="21"/>
      <c r="N75" s="23">
        <v>0</v>
      </c>
      <c r="O75" s="24"/>
      <c r="P75" s="19"/>
      <c r="Q75" s="25"/>
      <c r="R75" s="25"/>
      <c r="S75" s="19"/>
      <c r="T75" s="26"/>
      <c r="U75" s="27" t="s">
        <v>21</v>
      </c>
      <c r="V75" s="28" t="s">
        <v>334</v>
      </c>
      <c r="W75" s="29" t="s">
        <v>26</v>
      </c>
    </row>
    <row r="76" spans="1:23" ht="30" customHeight="1">
      <c r="A76" s="19" t="s">
        <v>5570</v>
      </c>
      <c r="B76" s="19" t="s">
        <v>5569</v>
      </c>
      <c r="C76" s="19"/>
      <c r="D76" s="19" t="s">
        <v>336</v>
      </c>
      <c r="E76" s="20" t="s">
        <v>337</v>
      </c>
      <c r="F76" s="19"/>
      <c r="G76" s="21" t="s">
        <v>22</v>
      </c>
      <c r="H76" s="22" t="b">
        <v>0</v>
      </c>
      <c r="I76" s="22" t="b">
        <v>0</v>
      </c>
      <c r="J76" s="22" t="b">
        <v>0</v>
      </c>
      <c r="K76" s="22" t="b">
        <v>0</v>
      </c>
      <c r="L76" s="22" t="b">
        <v>0</v>
      </c>
      <c r="M76" s="21"/>
      <c r="N76" s="23">
        <v>0</v>
      </c>
      <c r="O76" s="24"/>
      <c r="P76" s="19"/>
      <c r="Q76" s="25"/>
      <c r="R76" s="25"/>
      <c r="S76" s="19"/>
      <c r="T76" s="26"/>
      <c r="U76" s="27" t="s">
        <v>21</v>
      </c>
      <c r="V76" s="28" t="s">
        <v>338</v>
      </c>
      <c r="W76" s="29" t="s">
        <v>26</v>
      </c>
    </row>
    <row r="77" spans="1:23" ht="30" customHeight="1">
      <c r="A77" s="19" t="s">
        <v>5570</v>
      </c>
      <c r="B77" s="19" t="s">
        <v>5569</v>
      </c>
      <c r="C77" s="19"/>
      <c r="D77" s="19" t="s">
        <v>340</v>
      </c>
      <c r="E77" s="20" t="s">
        <v>341</v>
      </c>
      <c r="F77" s="19"/>
      <c r="G77" s="21" t="s">
        <v>29</v>
      </c>
      <c r="H77" s="22" t="b">
        <v>0</v>
      </c>
      <c r="I77" s="22" t="b">
        <v>0</v>
      </c>
      <c r="J77" s="22" t="b">
        <v>0</v>
      </c>
      <c r="K77" s="22" t="b">
        <v>0</v>
      </c>
      <c r="L77" s="22" t="b">
        <v>0</v>
      </c>
      <c r="M77" s="21"/>
      <c r="N77" s="23">
        <v>0</v>
      </c>
      <c r="O77" s="24"/>
      <c r="P77" s="19"/>
      <c r="Q77" s="25"/>
      <c r="R77" s="25"/>
      <c r="S77" s="19"/>
      <c r="T77" s="26"/>
      <c r="U77" s="27" t="s">
        <v>21</v>
      </c>
      <c r="V77" s="28" t="s">
        <v>342</v>
      </c>
      <c r="W77" s="29" t="s">
        <v>26</v>
      </c>
    </row>
    <row r="78" spans="1:23" ht="30" customHeight="1">
      <c r="A78" s="19" t="s">
        <v>5571</v>
      </c>
      <c r="B78" s="19" t="s">
        <v>5569</v>
      </c>
      <c r="C78" s="19"/>
      <c r="D78" s="19" t="s">
        <v>346</v>
      </c>
      <c r="E78" s="20" t="s">
        <v>347</v>
      </c>
      <c r="F78" s="19"/>
      <c r="G78" s="21" t="s">
        <v>22</v>
      </c>
      <c r="H78" s="22" t="b">
        <v>0</v>
      </c>
      <c r="I78" s="22" t="b">
        <v>0</v>
      </c>
      <c r="J78" s="22" t="b">
        <v>0</v>
      </c>
      <c r="K78" s="22" t="b">
        <v>0</v>
      </c>
      <c r="L78" s="22" t="b">
        <v>0</v>
      </c>
      <c r="M78" s="21"/>
      <c r="N78" s="23">
        <v>0</v>
      </c>
      <c r="O78" s="24"/>
      <c r="P78" s="19"/>
      <c r="Q78" s="25"/>
      <c r="R78" s="25"/>
      <c r="S78" s="19"/>
      <c r="T78" s="26"/>
      <c r="U78" s="27" t="s">
        <v>21</v>
      </c>
      <c r="V78" s="28" t="s">
        <v>348</v>
      </c>
      <c r="W78" s="29" t="s">
        <v>26</v>
      </c>
    </row>
    <row r="79" spans="1:23" ht="30" customHeight="1">
      <c r="A79" s="19" t="s">
        <v>5571</v>
      </c>
      <c r="B79" s="19" t="s">
        <v>5569</v>
      </c>
      <c r="C79" s="19"/>
      <c r="D79" s="19" t="s">
        <v>350</v>
      </c>
      <c r="E79" s="20" t="s">
        <v>351</v>
      </c>
      <c r="F79" s="19"/>
      <c r="G79" s="21" t="s">
        <v>22</v>
      </c>
      <c r="H79" s="22" t="b">
        <v>0</v>
      </c>
      <c r="I79" s="22" t="b">
        <v>0</v>
      </c>
      <c r="J79" s="22" t="b">
        <v>0</v>
      </c>
      <c r="K79" s="22" t="b">
        <v>0</v>
      </c>
      <c r="L79" s="22" t="b">
        <v>0</v>
      </c>
      <c r="M79" s="21"/>
      <c r="N79" s="23">
        <v>0</v>
      </c>
      <c r="O79" s="24"/>
      <c r="P79" s="19"/>
      <c r="Q79" s="25"/>
      <c r="R79" s="25"/>
      <c r="S79" s="19"/>
      <c r="T79" s="26"/>
      <c r="U79" s="27" t="s">
        <v>21</v>
      </c>
      <c r="V79" s="28" t="s">
        <v>352</v>
      </c>
      <c r="W79" s="29" t="s">
        <v>26</v>
      </c>
    </row>
    <row r="80" spans="1:23" ht="30" customHeight="1">
      <c r="A80" s="19" t="s">
        <v>5571</v>
      </c>
      <c r="B80" s="19" t="s">
        <v>5569</v>
      </c>
      <c r="C80" s="19"/>
      <c r="D80" s="19" t="s">
        <v>355</v>
      </c>
      <c r="E80" s="20" t="s">
        <v>356</v>
      </c>
      <c r="F80" s="19"/>
      <c r="G80" s="21" t="s">
        <v>22</v>
      </c>
      <c r="H80" s="22" t="b">
        <v>0</v>
      </c>
      <c r="I80" s="22" t="b">
        <v>0</v>
      </c>
      <c r="J80" s="22" t="b">
        <v>0</v>
      </c>
      <c r="K80" s="22" t="b">
        <v>0</v>
      </c>
      <c r="L80" s="22" t="b">
        <v>0</v>
      </c>
      <c r="M80" s="21"/>
      <c r="N80" s="23">
        <v>0</v>
      </c>
      <c r="O80" s="24"/>
      <c r="P80" s="19"/>
      <c r="Q80" s="25"/>
      <c r="R80" s="25"/>
      <c r="S80" s="19"/>
      <c r="T80" s="26"/>
      <c r="U80" s="27" t="s">
        <v>21</v>
      </c>
      <c r="V80" s="28" t="s">
        <v>357</v>
      </c>
      <c r="W80" s="29" t="s">
        <v>26</v>
      </c>
    </row>
    <row r="81" spans="1:23" ht="30" customHeight="1">
      <c r="A81" s="19" t="s">
        <v>5571</v>
      </c>
      <c r="B81" s="19" t="s">
        <v>5569</v>
      </c>
      <c r="C81" s="19"/>
      <c r="D81" s="19" t="s">
        <v>359</v>
      </c>
      <c r="E81" s="20" t="s">
        <v>360</v>
      </c>
      <c r="F81" s="19"/>
      <c r="G81" s="21" t="s">
        <v>29</v>
      </c>
      <c r="H81" s="22" t="b">
        <v>0</v>
      </c>
      <c r="I81" s="22" t="b">
        <v>0</v>
      </c>
      <c r="J81" s="22" t="b">
        <v>0</v>
      </c>
      <c r="K81" s="22" t="b">
        <v>0</v>
      </c>
      <c r="L81" s="22" t="b">
        <v>0</v>
      </c>
      <c r="M81" s="21"/>
      <c r="N81" s="23">
        <v>0</v>
      </c>
      <c r="O81" s="24"/>
      <c r="P81" s="19"/>
      <c r="Q81" s="25"/>
      <c r="R81" s="25"/>
      <c r="S81" s="19"/>
      <c r="T81" s="26"/>
      <c r="U81" s="27" t="s">
        <v>21</v>
      </c>
      <c r="V81" s="28" t="s">
        <v>361</v>
      </c>
      <c r="W81" s="29" t="s">
        <v>26</v>
      </c>
    </row>
    <row r="82" spans="1:23" ht="30" customHeight="1">
      <c r="A82" s="19" t="s">
        <v>5571</v>
      </c>
      <c r="B82" s="19" t="s">
        <v>5569</v>
      </c>
      <c r="C82" s="19"/>
      <c r="D82" s="19" t="s">
        <v>363</v>
      </c>
      <c r="E82" s="20" t="s">
        <v>364</v>
      </c>
      <c r="F82" s="19"/>
      <c r="G82" s="21" t="s">
        <v>22</v>
      </c>
      <c r="H82" s="22" t="b">
        <v>0</v>
      </c>
      <c r="I82" s="22" t="b">
        <v>0</v>
      </c>
      <c r="J82" s="22" t="b">
        <v>0</v>
      </c>
      <c r="K82" s="22" t="b">
        <v>0</v>
      </c>
      <c r="L82" s="22" t="b">
        <v>0</v>
      </c>
      <c r="M82" s="21"/>
      <c r="N82" s="23">
        <v>0</v>
      </c>
      <c r="O82" s="24"/>
      <c r="P82" s="19"/>
      <c r="Q82" s="25"/>
      <c r="R82" s="25"/>
      <c r="S82" s="19"/>
      <c r="T82" s="26"/>
      <c r="U82" s="27" t="s">
        <v>21</v>
      </c>
      <c r="V82" s="28" t="s">
        <v>365</v>
      </c>
      <c r="W82" s="29" t="s">
        <v>26</v>
      </c>
    </row>
    <row r="83" spans="1:23" ht="30" customHeight="1">
      <c r="A83" s="19" t="s">
        <v>5571</v>
      </c>
      <c r="B83" s="19" t="s">
        <v>5569</v>
      </c>
      <c r="C83" s="19"/>
      <c r="D83" s="19" t="s">
        <v>368</v>
      </c>
      <c r="E83" s="20" t="s">
        <v>369</v>
      </c>
      <c r="F83" s="19"/>
      <c r="G83" s="21" t="s">
        <v>29</v>
      </c>
      <c r="H83" s="22" t="b">
        <v>0</v>
      </c>
      <c r="I83" s="22" t="b">
        <v>0</v>
      </c>
      <c r="J83" s="22" t="b">
        <v>0</v>
      </c>
      <c r="K83" s="22" t="b">
        <v>0</v>
      </c>
      <c r="L83" s="22" t="b">
        <v>0</v>
      </c>
      <c r="M83" s="21"/>
      <c r="N83" s="23">
        <v>0</v>
      </c>
      <c r="O83" s="24"/>
      <c r="P83" s="19"/>
      <c r="Q83" s="25"/>
      <c r="R83" s="25"/>
      <c r="S83" s="19"/>
      <c r="T83" s="26"/>
      <c r="U83" s="27" t="s">
        <v>21</v>
      </c>
      <c r="V83" s="28" t="s">
        <v>370</v>
      </c>
      <c r="W83" s="29" t="s">
        <v>26</v>
      </c>
    </row>
    <row r="84" spans="1:23" ht="30" customHeight="1">
      <c r="A84" s="19" t="s">
        <v>5571</v>
      </c>
      <c r="B84" s="19" t="s">
        <v>5569</v>
      </c>
      <c r="C84" s="19"/>
      <c r="D84" s="19" t="s">
        <v>373</v>
      </c>
      <c r="E84" s="20" t="s">
        <v>374</v>
      </c>
      <c r="F84" s="19"/>
      <c r="G84" s="21" t="s">
        <v>22</v>
      </c>
      <c r="H84" s="22" t="b">
        <v>0</v>
      </c>
      <c r="I84" s="22" t="b">
        <v>0</v>
      </c>
      <c r="J84" s="22" t="b">
        <v>0</v>
      </c>
      <c r="K84" s="22" t="b">
        <v>0</v>
      </c>
      <c r="L84" s="22" t="b">
        <v>0</v>
      </c>
      <c r="M84" s="21"/>
      <c r="N84" s="23">
        <v>0</v>
      </c>
      <c r="O84" s="24"/>
      <c r="P84" s="19"/>
      <c r="Q84" s="25"/>
      <c r="R84" s="25"/>
      <c r="S84" s="19"/>
      <c r="T84" s="26"/>
      <c r="U84" s="27" t="s">
        <v>21</v>
      </c>
      <c r="V84" s="28" t="s">
        <v>375</v>
      </c>
      <c r="W84" s="29" t="s">
        <v>26</v>
      </c>
    </row>
    <row r="85" spans="1:23" ht="30" customHeight="1">
      <c r="A85" s="19" t="s">
        <v>5571</v>
      </c>
      <c r="B85" s="19" t="s">
        <v>5569</v>
      </c>
      <c r="C85" s="19"/>
      <c r="D85" s="19" t="s">
        <v>378</v>
      </c>
      <c r="E85" s="20" t="s">
        <v>379</v>
      </c>
      <c r="F85" s="19"/>
      <c r="G85" s="21" t="s">
        <v>29</v>
      </c>
      <c r="H85" s="22" t="b">
        <v>0</v>
      </c>
      <c r="I85" s="22" t="b">
        <v>0</v>
      </c>
      <c r="J85" s="22" t="b">
        <v>0</v>
      </c>
      <c r="K85" s="22" t="b">
        <v>0</v>
      </c>
      <c r="L85" s="22" t="b">
        <v>0</v>
      </c>
      <c r="M85" s="21"/>
      <c r="N85" s="23">
        <v>0</v>
      </c>
      <c r="O85" s="24"/>
      <c r="P85" s="19"/>
      <c r="Q85" s="25"/>
      <c r="R85" s="25"/>
      <c r="S85" s="19"/>
      <c r="T85" s="26"/>
      <c r="U85" s="27" t="s">
        <v>21</v>
      </c>
      <c r="V85" s="28" t="s">
        <v>380</v>
      </c>
      <c r="W85" s="29" t="s">
        <v>26</v>
      </c>
    </row>
    <row r="86" spans="1:23" ht="30" customHeight="1">
      <c r="A86" s="19" t="s">
        <v>5571</v>
      </c>
      <c r="B86" s="19" t="s">
        <v>5569</v>
      </c>
      <c r="C86" s="19"/>
      <c r="D86" s="19" t="s">
        <v>382</v>
      </c>
      <c r="E86" s="20" t="s">
        <v>383</v>
      </c>
      <c r="F86" s="19"/>
      <c r="G86" s="21" t="s">
        <v>22</v>
      </c>
      <c r="H86" s="22" t="b">
        <v>0</v>
      </c>
      <c r="I86" s="22" t="b">
        <v>0</v>
      </c>
      <c r="J86" s="22" t="b">
        <v>0</v>
      </c>
      <c r="K86" s="22" t="b">
        <v>0</v>
      </c>
      <c r="L86" s="22" t="b">
        <v>0</v>
      </c>
      <c r="M86" s="21"/>
      <c r="N86" s="23">
        <v>0</v>
      </c>
      <c r="O86" s="24"/>
      <c r="P86" s="19"/>
      <c r="Q86" s="25"/>
      <c r="R86" s="25"/>
      <c r="S86" s="19"/>
      <c r="T86" s="26"/>
      <c r="U86" s="27" t="s">
        <v>21</v>
      </c>
      <c r="V86" s="28" t="s">
        <v>384</v>
      </c>
      <c r="W86" s="29" t="s">
        <v>26</v>
      </c>
    </row>
    <row r="87" spans="1:23" ht="30" customHeight="1">
      <c r="A87" s="19" t="s">
        <v>5571</v>
      </c>
      <c r="B87" s="19" t="s">
        <v>5569</v>
      </c>
      <c r="C87" s="19"/>
      <c r="D87" s="19" t="s">
        <v>386</v>
      </c>
      <c r="E87" s="20" t="s">
        <v>387</v>
      </c>
      <c r="F87" s="19"/>
      <c r="G87" s="21" t="s">
        <v>39</v>
      </c>
      <c r="H87" s="22" t="b">
        <v>0</v>
      </c>
      <c r="I87" s="22" t="b">
        <v>0</v>
      </c>
      <c r="J87" s="22" t="b">
        <v>0</v>
      </c>
      <c r="K87" s="22" t="b">
        <v>0</v>
      </c>
      <c r="L87" s="22" t="b">
        <v>0</v>
      </c>
      <c r="M87" s="21"/>
      <c r="N87" s="23">
        <v>0</v>
      </c>
      <c r="O87" s="24"/>
      <c r="P87" s="19"/>
      <c r="Q87" s="25"/>
      <c r="R87" s="25"/>
      <c r="S87" s="19"/>
      <c r="T87" s="26"/>
      <c r="U87" s="30" t="s">
        <v>34</v>
      </c>
      <c r="V87" s="28" t="s">
        <v>388</v>
      </c>
      <c r="W87" s="29" t="s">
        <v>26</v>
      </c>
    </row>
    <row r="88" spans="1:23" ht="30" customHeight="1">
      <c r="A88" s="19" t="s">
        <v>5571</v>
      </c>
      <c r="B88" s="19" t="s">
        <v>5569</v>
      </c>
      <c r="C88" s="19"/>
      <c r="D88" s="19" t="s">
        <v>390</v>
      </c>
      <c r="E88" s="20" t="s">
        <v>391</v>
      </c>
      <c r="F88" s="19"/>
      <c r="G88" s="21" t="s">
        <v>29</v>
      </c>
      <c r="H88" s="22" t="b">
        <v>0</v>
      </c>
      <c r="I88" s="22" t="b">
        <v>0</v>
      </c>
      <c r="J88" s="22" t="b">
        <v>0</v>
      </c>
      <c r="K88" s="22" t="b">
        <v>0</v>
      </c>
      <c r="L88" s="22" t="b">
        <v>0</v>
      </c>
      <c r="M88" s="21"/>
      <c r="N88" s="23">
        <v>0</v>
      </c>
      <c r="O88" s="24"/>
      <c r="P88" s="19"/>
      <c r="Q88" s="25"/>
      <c r="R88" s="25"/>
      <c r="S88" s="19"/>
      <c r="T88" s="26"/>
      <c r="U88" s="27" t="s">
        <v>21</v>
      </c>
      <c r="V88" s="28" t="s">
        <v>361</v>
      </c>
      <c r="W88" s="29" t="s">
        <v>26</v>
      </c>
    </row>
    <row r="89" spans="1:23" ht="30" customHeight="1">
      <c r="A89" s="19" t="s">
        <v>5571</v>
      </c>
      <c r="B89" s="19" t="s">
        <v>5569</v>
      </c>
      <c r="C89" s="19"/>
      <c r="D89" s="19" t="s">
        <v>393</v>
      </c>
      <c r="E89" s="20" t="s">
        <v>394</v>
      </c>
      <c r="F89" s="19"/>
      <c r="G89" s="21" t="s">
        <v>22</v>
      </c>
      <c r="H89" s="22" t="b">
        <v>0</v>
      </c>
      <c r="I89" s="22" t="b">
        <v>0</v>
      </c>
      <c r="J89" s="22" t="b">
        <v>0</v>
      </c>
      <c r="K89" s="22" t="b">
        <v>0</v>
      </c>
      <c r="L89" s="22" t="b">
        <v>0</v>
      </c>
      <c r="M89" s="21"/>
      <c r="N89" s="23">
        <v>0</v>
      </c>
      <c r="O89" s="24"/>
      <c r="P89" s="19"/>
      <c r="Q89" s="25"/>
      <c r="R89" s="25"/>
      <c r="S89" s="19"/>
      <c r="T89" s="26"/>
      <c r="U89" s="30" t="s">
        <v>34</v>
      </c>
      <c r="V89" s="28" t="s">
        <v>395</v>
      </c>
      <c r="W89" s="29" t="s">
        <v>26</v>
      </c>
    </row>
    <row r="90" spans="1:23" ht="30" customHeight="1">
      <c r="A90" s="19" t="s">
        <v>5571</v>
      </c>
      <c r="B90" s="19" t="s">
        <v>5569</v>
      </c>
      <c r="C90" s="19"/>
      <c r="D90" s="19" t="s">
        <v>397</v>
      </c>
      <c r="E90" s="20" t="s">
        <v>398</v>
      </c>
      <c r="F90" s="19"/>
      <c r="G90" s="21" t="s">
        <v>22</v>
      </c>
      <c r="H90" s="22" t="b">
        <v>0</v>
      </c>
      <c r="I90" s="22" t="b">
        <v>0</v>
      </c>
      <c r="J90" s="22" t="b">
        <v>0</v>
      </c>
      <c r="K90" s="22" t="b">
        <v>0</v>
      </c>
      <c r="L90" s="22" t="b">
        <v>0</v>
      </c>
      <c r="M90" s="21"/>
      <c r="N90" s="23">
        <v>0</v>
      </c>
      <c r="O90" s="24"/>
      <c r="P90" s="19"/>
      <c r="Q90" s="25"/>
      <c r="R90" s="25"/>
      <c r="S90" s="19"/>
      <c r="T90" s="26"/>
      <c r="U90" s="27" t="s">
        <v>21</v>
      </c>
      <c r="V90" s="28" t="s">
        <v>399</v>
      </c>
      <c r="W90" s="29" t="s">
        <v>26</v>
      </c>
    </row>
    <row r="91" spans="1:23" ht="30" customHeight="1">
      <c r="A91" s="19" t="s">
        <v>5572</v>
      </c>
      <c r="B91" s="19" t="s">
        <v>5569</v>
      </c>
      <c r="C91" s="19"/>
      <c r="D91" s="19" t="s">
        <v>403</v>
      </c>
      <c r="E91" s="20" t="s">
        <v>404</v>
      </c>
      <c r="F91" s="19"/>
      <c r="G91" s="21" t="s">
        <v>22</v>
      </c>
      <c r="H91" s="22" t="b">
        <v>0</v>
      </c>
      <c r="I91" s="22" t="b">
        <v>0</v>
      </c>
      <c r="J91" s="22" t="b">
        <v>0</v>
      </c>
      <c r="K91" s="22" t="b">
        <v>0</v>
      </c>
      <c r="L91" s="22" t="b">
        <v>0</v>
      </c>
      <c r="M91" s="21"/>
      <c r="N91" s="23">
        <v>0</v>
      </c>
      <c r="O91" s="24"/>
      <c r="P91" s="19"/>
      <c r="Q91" s="25"/>
      <c r="R91" s="25"/>
      <c r="S91" s="19"/>
      <c r="T91" s="26"/>
      <c r="U91" s="27" t="s">
        <v>21</v>
      </c>
      <c r="V91" s="28" t="s">
        <v>361</v>
      </c>
      <c r="W91" s="29" t="s">
        <v>26</v>
      </c>
    </row>
    <row r="92" spans="1:23" ht="30" customHeight="1">
      <c r="A92" s="19" t="s">
        <v>5572</v>
      </c>
      <c r="B92" s="19" t="s">
        <v>5569</v>
      </c>
      <c r="C92" s="19"/>
      <c r="D92" s="19" t="s">
        <v>407</v>
      </c>
      <c r="E92" s="20" t="s">
        <v>408</v>
      </c>
      <c r="F92" s="19"/>
      <c r="G92" s="21" t="s">
        <v>22</v>
      </c>
      <c r="H92" s="22" t="b">
        <v>0</v>
      </c>
      <c r="I92" s="22" t="b">
        <v>0</v>
      </c>
      <c r="J92" s="22" t="b">
        <v>0</v>
      </c>
      <c r="K92" s="22" t="b">
        <v>0</v>
      </c>
      <c r="L92" s="22" t="b">
        <v>0</v>
      </c>
      <c r="M92" s="21"/>
      <c r="N92" s="23">
        <v>0</v>
      </c>
      <c r="O92" s="24"/>
      <c r="P92" s="19"/>
      <c r="Q92" s="25"/>
      <c r="R92" s="25"/>
      <c r="S92" s="19"/>
      <c r="T92" s="26"/>
      <c r="U92" s="27" t="s">
        <v>21</v>
      </c>
      <c r="V92" s="28" t="s">
        <v>409</v>
      </c>
      <c r="W92" s="29" t="s">
        <v>26</v>
      </c>
    </row>
    <row r="93" spans="1:23" ht="30" customHeight="1">
      <c r="A93" s="19" t="s">
        <v>5572</v>
      </c>
      <c r="B93" s="19" t="s">
        <v>5569</v>
      </c>
      <c r="C93" s="19"/>
      <c r="D93" s="19" t="s">
        <v>412</v>
      </c>
      <c r="E93" s="20" t="s">
        <v>413</v>
      </c>
      <c r="F93" s="19"/>
      <c r="G93" s="21" t="s">
        <v>22</v>
      </c>
      <c r="H93" s="22" t="b">
        <v>0</v>
      </c>
      <c r="I93" s="22" t="b">
        <v>0</v>
      </c>
      <c r="J93" s="22" t="b">
        <v>0</v>
      </c>
      <c r="K93" s="22" t="b">
        <v>0</v>
      </c>
      <c r="L93" s="22" t="b">
        <v>0</v>
      </c>
      <c r="M93" s="21"/>
      <c r="N93" s="23">
        <v>0</v>
      </c>
      <c r="O93" s="24"/>
      <c r="P93" s="19"/>
      <c r="Q93" s="25"/>
      <c r="R93" s="25"/>
      <c r="S93" s="19"/>
      <c r="T93" s="26"/>
      <c r="U93" s="27" t="s">
        <v>21</v>
      </c>
      <c r="V93" s="28" t="s">
        <v>414</v>
      </c>
      <c r="W93" s="29" t="s">
        <v>26</v>
      </c>
    </row>
    <row r="94" spans="1:23" ht="30" customHeight="1">
      <c r="A94" s="19" t="s">
        <v>5572</v>
      </c>
      <c r="B94" s="19" t="s">
        <v>5569</v>
      </c>
      <c r="C94" s="19"/>
      <c r="D94" s="19" t="s">
        <v>416</v>
      </c>
      <c r="E94" s="20" t="s">
        <v>417</v>
      </c>
      <c r="F94" s="19"/>
      <c r="G94" s="21" t="s">
        <v>22</v>
      </c>
      <c r="H94" s="22" t="b">
        <v>0</v>
      </c>
      <c r="I94" s="22" t="b">
        <v>0</v>
      </c>
      <c r="J94" s="22" t="b">
        <v>0</v>
      </c>
      <c r="K94" s="22" t="b">
        <v>0</v>
      </c>
      <c r="L94" s="22" t="b">
        <v>0</v>
      </c>
      <c r="M94" s="21"/>
      <c r="N94" s="23">
        <v>0</v>
      </c>
      <c r="O94" s="24"/>
      <c r="P94" s="19"/>
      <c r="Q94" s="25"/>
      <c r="R94" s="25"/>
      <c r="S94" s="19"/>
      <c r="T94" s="26"/>
      <c r="U94" s="30" t="s">
        <v>34</v>
      </c>
      <c r="V94" s="28" t="s">
        <v>418</v>
      </c>
      <c r="W94" s="29" t="s">
        <v>26</v>
      </c>
    </row>
    <row r="95" spans="1:23" ht="30" customHeight="1">
      <c r="A95" s="19" t="s">
        <v>5572</v>
      </c>
      <c r="B95" s="19" t="s">
        <v>5569</v>
      </c>
      <c r="C95" s="19"/>
      <c r="D95" s="19" t="s">
        <v>420</v>
      </c>
      <c r="E95" s="20" t="s">
        <v>421</v>
      </c>
      <c r="F95" s="19"/>
      <c r="G95" s="21" t="s">
        <v>22</v>
      </c>
      <c r="H95" s="22" t="b">
        <v>0</v>
      </c>
      <c r="I95" s="22" t="b">
        <v>0</v>
      </c>
      <c r="J95" s="22" t="b">
        <v>0</v>
      </c>
      <c r="K95" s="22" t="b">
        <v>0</v>
      </c>
      <c r="L95" s="22" t="b">
        <v>0</v>
      </c>
      <c r="M95" s="21"/>
      <c r="N95" s="23">
        <v>0</v>
      </c>
      <c r="O95" s="24"/>
      <c r="P95" s="19"/>
      <c r="Q95" s="25"/>
      <c r="R95" s="25"/>
      <c r="S95" s="19"/>
      <c r="T95" s="26"/>
      <c r="U95" s="27" t="s">
        <v>21</v>
      </c>
      <c r="V95" s="28" t="s">
        <v>422</v>
      </c>
      <c r="W95" s="29" t="s">
        <v>26</v>
      </c>
    </row>
    <row r="96" spans="1:23" ht="30" customHeight="1">
      <c r="A96" s="19" t="s">
        <v>5572</v>
      </c>
      <c r="B96" s="19" t="s">
        <v>5569</v>
      </c>
      <c r="C96" s="19"/>
      <c r="D96" s="19" t="s">
        <v>425</v>
      </c>
      <c r="E96" s="20" t="s">
        <v>426</v>
      </c>
      <c r="F96" s="19"/>
      <c r="G96" s="21" t="s">
        <v>22</v>
      </c>
      <c r="H96" s="22" t="b">
        <v>0</v>
      </c>
      <c r="I96" s="22" t="b">
        <v>0</v>
      </c>
      <c r="J96" s="22" t="b">
        <v>0</v>
      </c>
      <c r="K96" s="22" t="b">
        <v>0</v>
      </c>
      <c r="L96" s="22" t="b">
        <v>0</v>
      </c>
      <c r="M96" s="21"/>
      <c r="N96" s="23">
        <v>0</v>
      </c>
      <c r="O96" s="24"/>
      <c r="P96" s="19"/>
      <c r="Q96" s="25"/>
      <c r="R96" s="25"/>
      <c r="S96" s="19"/>
      <c r="T96" s="26"/>
      <c r="U96" s="27" t="s">
        <v>21</v>
      </c>
      <c r="V96" s="28" t="s">
        <v>427</v>
      </c>
      <c r="W96" s="29" t="s">
        <v>26</v>
      </c>
    </row>
    <row r="97" spans="1:23" ht="30" customHeight="1">
      <c r="A97" s="19" t="s">
        <v>5572</v>
      </c>
      <c r="B97" s="19" t="s">
        <v>5569</v>
      </c>
      <c r="C97" s="19"/>
      <c r="D97" s="19" t="s">
        <v>430</v>
      </c>
      <c r="E97" s="20" t="s">
        <v>431</v>
      </c>
      <c r="F97" s="19"/>
      <c r="G97" s="21" t="s">
        <v>22</v>
      </c>
      <c r="H97" s="22" t="b">
        <v>0</v>
      </c>
      <c r="I97" s="22" t="b">
        <v>0</v>
      </c>
      <c r="J97" s="22" t="b">
        <v>0</v>
      </c>
      <c r="K97" s="22" t="b">
        <v>0</v>
      </c>
      <c r="L97" s="22" t="b">
        <v>0</v>
      </c>
      <c r="M97" s="21"/>
      <c r="N97" s="23">
        <v>0</v>
      </c>
      <c r="O97" s="24"/>
      <c r="P97" s="19"/>
      <c r="Q97" s="25"/>
      <c r="R97" s="25"/>
      <c r="S97" s="19"/>
      <c r="T97" s="26"/>
      <c r="U97" s="27" t="s">
        <v>21</v>
      </c>
      <c r="V97" s="28" t="s">
        <v>432</v>
      </c>
      <c r="W97" s="29" t="s">
        <v>26</v>
      </c>
    </row>
    <row r="98" spans="1:23" ht="30" customHeight="1">
      <c r="A98" s="19" t="s">
        <v>5572</v>
      </c>
      <c r="B98" s="19" t="s">
        <v>5569</v>
      </c>
      <c r="C98" s="19"/>
      <c r="D98" s="19" t="s">
        <v>435</v>
      </c>
      <c r="E98" s="20" t="s">
        <v>436</v>
      </c>
      <c r="F98" s="19"/>
      <c r="G98" s="21" t="s">
        <v>29</v>
      </c>
      <c r="H98" s="22" t="b">
        <v>0</v>
      </c>
      <c r="I98" s="22" t="b">
        <v>0</v>
      </c>
      <c r="J98" s="22" t="b">
        <v>0</v>
      </c>
      <c r="K98" s="22" t="b">
        <v>0</v>
      </c>
      <c r="L98" s="22" t="b">
        <v>0</v>
      </c>
      <c r="M98" s="21"/>
      <c r="N98" s="23">
        <v>0</v>
      </c>
      <c r="O98" s="24"/>
      <c r="P98" s="19"/>
      <c r="Q98" s="25"/>
      <c r="R98" s="25"/>
      <c r="S98" s="19"/>
      <c r="T98" s="26"/>
      <c r="U98" s="27" t="s">
        <v>21</v>
      </c>
      <c r="V98" s="28" t="s">
        <v>437</v>
      </c>
      <c r="W98" s="29" t="s">
        <v>26</v>
      </c>
    </row>
    <row r="99" spans="1:23" ht="30" customHeight="1">
      <c r="A99" s="19" t="s">
        <v>5572</v>
      </c>
      <c r="B99" s="19" t="s">
        <v>5569</v>
      </c>
      <c r="C99" s="19"/>
      <c r="D99" s="19" t="s">
        <v>439</v>
      </c>
      <c r="E99" s="20" t="s">
        <v>440</v>
      </c>
      <c r="F99" s="19"/>
      <c r="G99" s="21" t="s">
        <v>29</v>
      </c>
      <c r="H99" s="22" t="b">
        <v>0</v>
      </c>
      <c r="I99" s="22" t="b">
        <v>0</v>
      </c>
      <c r="J99" s="22" t="b">
        <v>0</v>
      </c>
      <c r="K99" s="22" t="b">
        <v>0</v>
      </c>
      <c r="L99" s="22" t="b">
        <v>0</v>
      </c>
      <c r="M99" s="21"/>
      <c r="N99" s="23">
        <v>0</v>
      </c>
      <c r="O99" s="24"/>
      <c r="P99" s="19"/>
      <c r="Q99" s="25"/>
      <c r="R99" s="25"/>
      <c r="S99" s="19"/>
      <c r="T99" s="26"/>
      <c r="U99" s="27" t="s">
        <v>21</v>
      </c>
      <c r="V99" s="28" t="s">
        <v>441</v>
      </c>
      <c r="W99" s="29" t="s">
        <v>26</v>
      </c>
    </row>
    <row r="100" spans="1:23" ht="30" customHeight="1">
      <c r="A100" s="19" t="s">
        <v>5572</v>
      </c>
      <c r="B100" s="19" t="s">
        <v>5569</v>
      </c>
      <c r="C100" s="19"/>
      <c r="D100" s="19" t="s">
        <v>443</v>
      </c>
      <c r="E100" s="20" t="s">
        <v>444</v>
      </c>
      <c r="F100" s="19"/>
      <c r="G100" s="21" t="s">
        <v>22</v>
      </c>
      <c r="H100" s="22" t="b">
        <v>0</v>
      </c>
      <c r="I100" s="22" t="b">
        <v>0</v>
      </c>
      <c r="J100" s="22" t="b">
        <v>0</v>
      </c>
      <c r="K100" s="22" t="b">
        <v>0</v>
      </c>
      <c r="L100" s="22" t="b">
        <v>0</v>
      </c>
      <c r="M100" s="21"/>
      <c r="N100" s="23">
        <v>0</v>
      </c>
      <c r="O100" s="24"/>
      <c r="P100" s="19"/>
      <c r="Q100" s="25"/>
      <c r="R100" s="25"/>
      <c r="S100" s="19"/>
      <c r="T100" s="26"/>
      <c r="U100" s="27" t="s">
        <v>21</v>
      </c>
      <c r="V100" s="28" t="s">
        <v>445</v>
      </c>
      <c r="W100" s="29" t="s">
        <v>26</v>
      </c>
    </row>
    <row r="101" spans="1:23" ht="30" customHeight="1">
      <c r="A101" s="19" t="s">
        <v>5572</v>
      </c>
      <c r="B101" s="19" t="s">
        <v>5569</v>
      </c>
      <c r="C101" s="19"/>
      <c r="D101" s="19" t="s">
        <v>447</v>
      </c>
      <c r="E101" s="20" t="s">
        <v>448</v>
      </c>
      <c r="F101" s="19"/>
      <c r="G101" s="21" t="s">
        <v>22</v>
      </c>
      <c r="H101" s="22" t="b">
        <v>0</v>
      </c>
      <c r="I101" s="22" t="b">
        <v>0</v>
      </c>
      <c r="J101" s="22" t="b">
        <v>0</v>
      </c>
      <c r="K101" s="22" t="b">
        <v>0</v>
      </c>
      <c r="L101" s="22" t="b">
        <v>0</v>
      </c>
      <c r="M101" s="21"/>
      <c r="N101" s="23">
        <v>0</v>
      </c>
      <c r="O101" s="24"/>
      <c r="P101" s="19"/>
      <c r="Q101" s="25"/>
      <c r="R101" s="25"/>
      <c r="S101" s="19"/>
      <c r="T101" s="26"/>
      <c r="U101" s="27" t="s">
        <v>21</v>
      </c>
      <c r="V101" s="28" t="s">
        <v>449</v>
      </c>
      <c r="W101" s="29" t="s">
        <v>26</v>
      </c>
    </row>
    <row r="102" spans="1:23" ht="30" customHeight="1">
      <c r="A102" s="19" t="s">
        <v>5572</v>
      </c>
      <c r="B102" s="19" t="s">
        <v>5569</v>
      </c>
      <c r="C102" s="19"/>
      <c r="D102" s="19" t="s">
        <v>451</v>
      </c>
      <c r="E102" s="20" t="s">
        <v>452</v>
      </c>
      <c r="F102" s="19"/>
      <c r="G102" s="21" t="s">
        <v>22</v>
      </c>
      <c r="H102" s="22" t="b">
        <v>0</v>
      </c>
      <c r="I102" s="22" t="b">
        <v>0</v>
      </c>
      <c r="J102" s="22" t="b">
        <v>0</v>
      </c>
      <c r="K102" s="22" t="b">
        <v>0</v>
      </c>
      <c r="L102" s="22" t="b">
        <v>0</v>
      </c>
      <c r="M102" s="21"/>
      <c r="N102" s="23">
        <v>0</v>
      </c>
      <c r="O102" s="24"/>
      <c r="P102" s="19"/>
      <c r="Q102" s="25"/>
      <c r="R102" s="25"/>
      <c r="S102" s="19"/>
      <c r="T102" s="26"/>
      <c r="U102" s="27" t="s">
        <v>21</v>
      </c>
      <c r="V102" s="28" t="s">
        <v>453</v>
      </c>
      <c r="W102" s="29" t="s">
        <v>26</v>
      </c>
    </row>
    <row r="103" spans="1:23" ht="30" customHeight="1">
      <c r="A103" s="19" t="s">
        <v>5572</v>
      </c>
      <c r="B103" s="19" t="s">
        <v>5569</v>
      </c>
      <c r="C103" s="19"/>
      <c r="D103" s="19" t="s">
        <v>455</v>
      </c>
      <c r="E103" s="20" t="s">
        <v>456</v>
      </c>
      <c r="F103" s="19"/>
      <c r="G103" s="21" t="s">
        <v>29</v>
      </c>
      <c r="H103" s="22" t="b">
        <v>0</v>
      </c>
      <c r="I103" s="22" t="b">
        <v>0</v>
      </c>
      <c r="J103" s="22" t="b">
        <v>0</v>
      </c>
      <c r="K103" s="22" t="b">
        <v>0</v>
      </c>
      <c r="L103" s="22" t="b">
        <v>0</v>
      </c>
      <c r="M103" s="21"/>
      <c r="N103" s="23">
        <v>0</v>
      </c>
      <c r="O103" s="24"/>
      <c r="P103" s="19"/>
      <c r="Q103" s="25"/>
      <c r="R103" s="25"/>
      <c r="S103" s="19"/>
      <c r="T103" s="26"/>
      <c r="U103" s="27" t="s">
        <v>21</v>
      </c>
      <c r="V103" s="28" t="s">
        <v>457</v>
      </c>
      <c r="W103" s="29" t="s">
        <v>26</v>
      </c>
    </row>
    <row r="104" spans="1:23" ht="30" customHeight="1">
      <c r="A104" s="19" t="s">
        <v>5572</v>
      </c>
      <c r="B104" s="19" t="s">
        <v>5569</v>
      </c>
      <c r="C104" s="19"/>
      <c r="D104" s="19" t="s">
        <v>460</v>
      </c>
      <c r="E104" s="20" t="s">
        <v>461</v>
      </c>
      <c r="F104" s="19"/>
      <c r="G104" s="21" t="s">
        <v>22</v>
      </c>
      <c r="H104" s="22" t="b">
        <v>0</v>
      </c>
      <c r="I104" s="22" t="b">
        <v>0</v>
      </c>
      <c r="J104" s="22" t="b">
        <v>0</v>
      </c>
      <c r="K104" s="22" t="b">
        <v>0</v>
      </c>
      <c r="L104" s="22" t="b">
        <v>0</v>
      </c>
      <c r="M104" s="21"/>
      <c r="N104" s="23">
        <v>0</v>
      </c>
      <c r="O104" s="24"/>
      <c r="P104" s="19"/>
      <c r="Q104" s="25"/>
      <c r="R104" s="25"/>
      <c r="S104" s="19"/>
      <c r="T104" s="26"/>
      <c r="U104" s="27" t="s">
        <v>21</v>
      </c>
      <c r="V104" s="28" t="s">
        <v>462</v>
      </c>
      <c r="W104" s="29" t="s">
        <v>26</v>
      </c>
    </row>
    <row r="105" spans="1:23" ht="30" customHeight="1">
      <c r="A105" s="19" t="s">
        <v>5572</v>
      </c>
      <c r="B105" s="19" t="s">
        <v>5569</v>
      </c>
      <c r="C105" s="19"/>
      <c r="D105" s="19" t="s">
        <v>464</v>
      </c>
      <c r="E105" s="20" t="s">
        <v>465</v>
      </c>
      <c r="F105" s="19"/>
      <c r="G105" s="21" t="s">
        <v>29</v>
      </c>
      <c r="H105" s="22" t="b">
        <v>0</v>
      </c>
      <c r="I105" s="22" t="b">
        <v>0</v>
      </c>
      <c r="J105" s="22" t="b">
        <v>0</v>
      </c>
      <c r="K105" s="22" t="b">
        <v>0</v>
      </c>
      <c r="L105" s="22" t="b">
        <v>0</v>
      </c>
      <c r="M105" s="21"/>
      <c r="N105" s="23">
        <v>0</v>
      </c>
      <c r="O105" s="24"/>
      <c r="P105" s="19"/>
      <c r="Q105" s="25"/>
      <c r="R105" s="25"/>
      <c r="S105" s="19"/>
      <c r="T105" s="26"/>
      <c r="U105" s="30" t="s">
        <v>34</v>
      </c>
      <c r="V105" s="28" t="s">
        <v>466</v>
      </c>
      <c r="W105" s="29" t="s">
        <v>26</v>
      </c>
    </row>
    <row r="106" spans="1:23" ht="30" customHeight="1">
      <c r="A106" s="19" t="s">
        <v>5572</v>
      </c>
      <c r="B106" s="19" t="s">
        <v>5569</v>
      </c>
      <c r="C106" s="19"/>
      <c r="D106" s="19" t="s">
        <v>469</v>
      </c>
      <c r="E106" s="20" t="s">
        <v>470</v>
      </c>
      <c r="F106" s="19"/>
      <c r="G106" s="21" t="s">
        <v>22</v>
      </c>
      <c r="H106" s="22" t="b">
        <v>0</v>
      </c>
      <c r="I106" s="22" t="b">
        <v>0</v>
      </c>
      <c r="J106" s="22" t="b">
        <v>0</v>
      </c>
      <c r="K106" s="22" t="b">
        <v>0</v>
      </c>
      <c r="L106" s="22" t="b">
        <v>0</v>
      </c>
      <c r="M106" s="21"/>
      <c r="N106" s="23">
        <v>0</v>
      </c>
      <c r="O106" s="24"/>
      <c r="P106" s="19"/>
      <c r="Q106" s="25"/>
      <c r="R106" s="25"/>
      <c r="S106" s="19"/>
      <c r="T106" s="26"/>
      <c r="U106" s="30" t="s">
        <v>34</v>
      </c>
      <c r="V106" s="28" t="s">
        <v>471</v>
      </c>
      <c r="W106" s="29" t="s">
        <v>26</v>
      </c>
    </row>
    <row r="107" spans="1:23" ht="30" customHeight="1">
      <c r="A107" s="19" t="s">
        <v>5572</v>
      </c>
      <c r="B107" s="19" t="s">
        <v>5569</v>
      </c>
      <c r="C107" s="19"/>
      <c r="D107" s="19" t="s">
        <v>473</v>
      </c>
      <c r="E107" s="20" t="s">
        <v>474</v>
      </c>
      <c r="F107" s="19"/>
      <c r="G107" s="21" t="s">
        <v>29</v>
      </c>
      <c r="H107" s="22" t="b">
        <v>0</v>
      </c>
      <c r="I107" s="22" t="b">
        <v>0</v>
      </c>
      <c r="J107" s="22" t="b">
        <v>0</v>
      </c>
      <c r="K107" s="22" t="b">
        <v>0</v>
      </c>
      <c r="L107" s="22" t="b">
        <v>0</v>
      </c>
      <c r="M107" s="21"/>
      <c r="N107" s="23">
        <v>0</v>
      </c>
      <c r="O107" s="24"/>
      <c r="P107" s="19"/>
      <c r="Q107" s="25"/>
      <c r="R107" s="25"/>
      <c r="S107" s="19"/>
      <c r="T107" s="26"/>
      <c r="U107" s="30" t="s">
        <v>34</v>
      </c>
      <c r="V107" s="28" t="s">
        <v>475</v>
      </c>
      <c r="W107" s="29" t="s">
        <v>26</v>
      </c>
    </row>
    <row r="108" spans="1:23" ht="30" customHeight="1">
      <c r="A108" s="19" t="s">
        <v>5572</v>
      </c>
      <c r="B108" s="19" t="s">
        <v>5569</v>
      </c>
      <c r="C108" s="19"/>
      <c r="D108" s="19" t="s">
        <v>477</v>
      </c>
      <c r="E108" s="20" t="s">
        <v>478</v>
      </c>
      <c r="F108" s="19"/>
      <c r="G108" s="21" t="s">
        <v>22</v>
      </c>
      <c r="H108" s="22" t="b">
        <v>0</v>
      </c>
      <c r="I108" s="22" t="b">
        <v>0</v>
      </c>
      <c r="J108" s="22" t="b">
        <v>0</v>
      </c>
      <c r="K108" s="22" t="b">
        <v>0</v>
      </c>
      <c r="L108" s="22" t="b">
        <v>0</v>
      </c>
      <c r="M108" s="21"/>
      <c r="N108" s="23">
        <v>0</v>
      </c>
      <c r="O108" s="24"/>
      <c r="P108" s="19"/>
      <c r="Q108" s="25"/>
      <c r="R108" s="25"/>
      <c r="S108" s="19"/>
      <c r="T108" s="26"/>
      <c r="U108" s="27" t="s">
        <v>21</v>
      </c>
      <c r="V108" s="28" t="s">
        <v>479</v>
      </c>
      <c r="W108" s="29" t="s">
        <v>26</v>
      </c>
    </row>
    <row r="109" spans="1:23" ht="30" customHeight="1">
      <c r="A109" s="19" t="s">
        <v>5573</v>
      </c>
      <c r="B109" s="19" t="s">
        <v>5569</v>
      </c>
      <c r="C109" s="19"/>
      <c r="D109" s="19" t="s">
        <v>483</v>
      </c>
      <c r="E109" s="20" t="s">
        <v>484</v>
      </c>
      <c r="F109" s="19"/>
      <c r="G109" s="21" t="s">
        <v>485</v>
      </c>
      <c r="H109" s="22" t="b">
        <v>0</v>
      </c>
      <c r="I109" s="22" t="b">
        <v>0</v>
      </c>
      <c r="J109" s="22" t="b">
        <v>0</v>
      </c>
      <c r="K109" s="22" t="b">
        <v>0</v>
      </c>
      <c r="L109" s="22" t="b">
        <v>0</v>
      </c>
      <c r="M109" s="21"/>
      <c r="N109" s="23">
        <v>0</v>
      </c>
      <c r="O109" s="24"/>
      <c r="P109" s="19"/>
      <c r="Q109" s="25"/>
      <c r="R109" s="25"/>
      <c r="S109" s="19"/>
      <c r="T109" s="26"/>
      <c r="U109" s="27" t="s">
        <v>21</v>
      </c>
      <c r="V109" s="28" t="s">
        <v>486</v>
      </c>
      <c r="W109" s="29" t="s">
        <v>26</v>
      </c>
    </row>
    <row r="110" spans="1:23" ht="30" customHeight="1">
      <c r="A110" s="19" t="s">
        <v>5573</v>
      </c>
      <c r="B110" s="19" t="s">
        <v>5569</v>
      </c>
      <c r="C110" s="19"/>
      <c r="D110" s="19" t="s">
        <v>489</v>
      </c>
      <c r="E110" s="20" t="s">
        <v>490</v>
      </c>
      <c r="F110" s="19"/>
      <c r="G110" s="21" t="s">
        <v>22</v>
      </c>
      <c r="H110" s="22" t="b">
        <v>0</v>
      </c>
      <c r="I110" s="22" t="b">
        <v>0</v>
      </c>
      <c r="J110" s="22" t="b">
        <v>0</v>
      </c>
      <c r="K110" s="22" t="b">
        <v>0</v>
      </c>
      <c r="L110" s="22" t="b">
        <v>0</v>
      </c>
      <c r="M110" s="21"/>
      <c r="N110" s="23">
        <v>0</v>
      </c>
      <c r="O110" s="24"/>
      <c r="P110" s="19"/>
      <c r="Q110" s="25"/>
      <c r="R110" s="25"/>
      <c r="S110" s="19"/>
      <c r="T110" s="26"/>
      <c r="U110" s="30" t="s">
        <v>34</v>
      </c>
      <c r="V110" s="28" t="s">
        <v>491</v>
      </c>
      <c r="W110" s="29" t="s">
        <v>26</v>
      </c>
    </row>
    <row r="111" spans="1:23" ht="30" customHeight="1">
      <c r="A111" s="19" t="s">
        <v>5573</v>
      </c>
      <c r="B111" s="19" t="s">
        <v>5569</v>
      </c>
      <c r="C111" s="19"/>
      <c r="D111" s="19" t="s">
        <v>493</v>
      </c>
      <c r="E111" s="20" t="s">
        <v>494</v>
      </c>
      <c r="F111" s="19"/>
      <c r="G111" s="21" t="s">
        <v>29</v>
      </c>
      <c r="H111" s="22" t="b">
        <v>0</v>
      </c>
      <c r="I111" s="22" t="b">
        <v>0</v>
      </c>
      <c r="J111" s="22" t="b">
        <v>0</v>
      </c>
      <c r="K111" s="22" t="b">
        <v>0</v>
      </c>
      <c r="L111" s="22" t="b">
        <v>0</v>
      </c>
      <c r="M111" s="21"/>
      <c r="N111" s="23">
        <v>0</v>
      </c>
      <c r="O111" s="24"/>
      <c r="P111" s="19"/>
      <c r="Q111" s="25"/>
      <c r="R111" s="25"/>
      <c r="S111" s="19"/>
      <c r="T111" s="26"/>
      <c r="U111" s="27" t="s">
        <v>21</v>
      </c>
      <c r="V111" s="28" t="s">
        <v>495</v>
      </c>
      <c r="W111" s="29" t="s">
        <v>26</v>
      </c>
    </row>
    <row r="112" spans="1:23" ht="30" customHeight="1">
      <c r="A112" s="19" t="s">
        <v>5573</v>
      </c>
      <c r="B112" s="19" t="s">
        <v>5569</v>
      </c>
      <c r="C112" s="19"/>
      <c r="D112" s="19" t="s">
        <v>496</v>
      </c>
      <c r="E112" s="20" t="s">
        <v>497</v>
      </c>
      <c r="F112" s="19"/>
      <c r="G112" s="21" t="s">
        <v>22</v>
      </c>
      <c r="H112" s="22" t="b">
        <v>0</v>
      </c>
      <c r="I112" s="22" t="b">
        <v>0</v>
      </c>
      <c r="J112" s="22" t="b">
        <v>0</v>
      </c>
      <c r="K112" s="22" t="b">
        <v>0</v>
      </c>
      <c r="L112" s="22" t="b">
        <v>0</v>
      </c>
      <c r="M112" s="21"/>
      <c r="N112" s="23">
        <v>0</v>
      </c>
      <c r="O112" s="24"/>
      <c r="P112" s="19"/>
      <c r="Q112" s="25"/>
      <c r="R112" s="25"/>
      <c r="S112" s="19"/>
      <c r="T112" s="26"/>
      <c r="U112" s="27" t="s">
        <v>21</v>
      </c>
      <c r="V112" s="28" t="s">
        <v>498</v>
      </c>
      <c r="W112" s="29" t="s">
        <v>26</v>
      </c>
    </row>
    <row r="113" spans="1:23" ht="30" customHeight="1">
      <c r="A113" s="19" t="s">
        <v>5573</v>
      </c>
      <c r="B113" s="19" t="s">
        <v>5569</v>
      </c>
      <c r="C113" s="19"/>
      <c r="D113" s="19" t="s">
        <v>500</v>
      </c>
      <c r="E113" s="20" t="s">
        <v>501</v>
      </c>
      <c r="F113" s="19"/>
      <c r="G113" s="21" t="s">
        <v>22</v>
      </c>
      <c r="H113" s="22" t="b">
        <v>0</v>
      </c>
      <c r="I113" s="22" t="b">
        <v>0</v>
      </c>
      <c r="J113" s="22" t="b">
        <v>0</v>
      </c>
      <c r="K113" s="22" t="b">
        <v>0</v>
      </c>
      <c r="L113" s="22" t="b">
        <v>0</v>
      </c>
      <c r="M113" s="21"/>
      <c r="N113" s="23">
        <v>0</v>
      </c>
      <c r="O113" s="24"/>
      <c r="P113" s="19"/>
      <c r="Q113" s="25"/>
      <c r="R113" s="25"/>
      <c r="S113" s="19"/>
      <c r="T113" s="26"/>
      <c r="U113" s="27" t="s">
        <v>21</v>
      </c>
      <c r="V113" s="28" t="s">
        <v>502</v>
      </c>
      <c r="W113" s="29" t="s">
        <v>26</v>
      </c>
    </row>
    <row r="114" spans="1:23" ht="30" customHeight="1">
      <c r="A114" s="19" t="s">
        <v>5574</v>
      </c>
      <c r="B114" s="19" t="s">
        <v>5569</v>
      </c>
      <c r="C114" s="19"/>
      <c r="D114" s="19" t="s">
        <v>505</v>
      </c>
      <c r="E114" s="20" t="s">
        <v>506</v>
      </c>
      <c r="F114" s="19"/>
      <c r="G114" s="21" t="s">
        <v>22</v>
      </c>
      <c r="H114" s="22" t="b">
        <v>0</v>
      </c>
      <c r="I114" s="22" t="b">
        <v>0</v>
      </c>
      <c r="J114" s="22" t="b">
        <v>0</v>
      </c>
      <c r="K114" s="22" t="b">
        <v>0</v>
      </c>
      <c r="L114" s="22" t="b">
        <v>0</v>
      </c>
      <c r="M114" s="21"/>
      <c r="N114" s="23">
        <v>0</v>
      </c>
      <c r="O114" s="24"/>
      <c r="P114" s="19"/>
      <c r="Q114" s="25"/>
      <c r="R114" s="25"/>
      <c r="S114" s="19"/>
      <c r="T114" s="26"/>
      <c r="U114" s="27" t="s">
        <v>21</v>
      </c>
      <c r="V114" s="28" t="s">
        <v>507</v>
      </c>
      <c r="W114" s="29" t="s">
        <v>26</v>
      </c>
    </row>
    <row r="115" spans="1:23" ht="30" customHeight="1">
      <c r="A115" s="19" t="s">
        <v>5574</v>
      </c>
      <c r="B115" s="19" t="s">
        <v>5569</v>
      </c>
      <c r="C115" s="19"/>
      <c r="D115" s="19" t="s">
        <v>510</v>
      </c>
      <c r="E115" s="20" t="s">
        <v>511</v>
      </c>
      <c r="F115" s="19"/>
      <c r="G115" s="21" t="s">
        <v>22</v>
      </c>
      <c r="H115" s="22" t="b">
        <v>0</v>
      </c>
      <c r="I115" s="22" t="b">
        <v>0</v>
      </c>
      <c r="J115" s="22" t="b">
        <v>0</v>
      </c>
      <c r="K115" s="22" t="b">
        <v>0</v>
      </c>
      <c r="L115" s="22" t="b">
        <v>0</v>
      </c>
      <c r="M115" s="21"/>
      <c r="N115" s="23">
        <v>0</v>
      </c>
      <c r="O115" s="24"/>
      <c r="P115" s="19"/>
      <c r="Q115" s="25"/>
      <c r="R115" s="25"/>
      <c r="S115" s="19"/>
      <c r="T115" s="26"/>
      <c r="U115" s="27" t="s">
        <v>21</v>
      </c>
      <c r="V115" s="28" t="s">
        <v>512</v>
      </c>
      <c r="W115" s="29" t="s">
        <v>26</v>
      </c>
    </row>
    <row r="116" spans="1:23" ht="30" customHeight="1">
      <c r="A116" s="19" t="s">
        <v>5574</v>
      </c>
      <c r="B116" s="19" t="s">
        <v>5569</v>
      </c>
      <c r="C116" s="19"/>
      <c r="D116" s="19" t="s">
        <v>515</v>
      </c>
      <c r="E116" s="20" t="s">
        <v>516</v>
      </c>
      <c r="F116" s="19"/>
      <c r="G116" s="21" t="s">
        <v>29</v>
      </c>
      <c r="H116" s="22" t="b">
        <v>0</v>
      </c>
      <c r="I116" s="22" t="b">
        <v>0</v>
      </c>
      <c r="J116" s="22" t="b">
        <v>0</v>
      </c>
      <c r="K116" s="22" t="b">
        <v>0</v>
      </c>
      <c r="L116" s="22" t="b">
        <v>0</v>
      </c>
      <c r="M116" s="21"/>
      <c r="N116" s="23">
        <v>0</v>
      </c>
      <c r="O116" s="24"/>
      <c r="P116" s="19"/>
      <c r="Q116" s="25"/>
      <c r="R116" s="25"/>
      <c r="S116" s="19"/>
      <c r="T116" s="26"/>
      <c r="U116" s="30" t="s">
        <v>34</v>
      </c>
      <c r="V116" s="28" t="s">
        <v>517</v>
      </c>
      <c r="W116" s="29" t="s">
        <v>26</v>
      </c>
    </row>
    <row r="117" spans="1:23" ht="30" customHeight="1">
      <c r="A117" s="19" t="s">
        <v>5574</v>
      </c>
      <c r="B117" s="19" t="s">
        <v>5569</v>
      </c>
      <c r="C117" s="19"/>
      <c r="D117" s="19" t="s">
        <v>520</v>
      </c>
      <c r="E117" s="20" t="s">
        <v>521</v>
      </c>
      <c r="F117" s="19"/>
      <c r="G117" s="21" t="s">
        <v>22</v>
      </c>
      <c r="H117" s="22" t="b">
        <v>0</v>
      </c>
      <c r="I117" s="22" t="b">
        <v>0</v>
      </c>
      <c r="J117" s="22" t="b">
        <v>0</v>
      </c>
      <c r="K117" s="22" t="b">
        <v>0</v>
      </c>
      <c r="L117" s="22" t="b">
        <v>0</v>
      </c>
      <c r="M117" s="21"/>
      <c r="N117" s="23">
        <v>0</v>
      </c>
      <c r="O117" s="24"/>
      <c r="P117" s="19"/>
      <c r="Q117" s="25"/>
      <c r="R117" s="25"/>
      <c r="S117" s="19"/>
      <c r="T117" s="26"/>
      <c r="U117" s="27" t="s">
        <v>21</v>
      </c>
      <c r="V117" s="28" t="s">
        <v>370</v>
      </c>
      <c r="W117" s="29" t="s">
        <v>26</v>
      </c>
    </row>
    <row r="118" spans="1:23" ht="30" customHeight="1">
      <c r="A118" s="19" t="s">
        <v>5574</v>
      </c>
      <c r="B118" s="19" t="s">
        <v>5569</v>
      </c>
      <c r="C118" s="19"/>
      <c r="D118" s="19" t="s">
        <v>524</v>
      </c>
      <c r="E118" s="20" t="s">
        <v>525</v>
      </c>
      <c r="F118" s="19"/>
      <c r="G118" s="21" t="s">
        <v>156</v>
      </c>
      <c r="H118" s="22" t="b">
        <v>0</v>
      </c>
      <c r="I118" s="22" t="b">
        <v>0</v>
      </c>
      <c r="J118" s="22" t="b">
        <v>0</v>
      </c>
      <c r="K118" s="22" t="b">
        <v>0</v>
      </c>
      <c r="L118" s="22" t="b">
        <v>0</v>
      </c>
      <c r="M118" s="21"/>
      <c r="N118" s="23">
        <v>0</v>
      </c>
      <c r="O118" s="24"/>
      <c r="P118" s="19"/>
      <c r="Q118" s="25"/>
      <c r="R118" s="25"/>
      <c r="S118" s="19"/>
      <c r="T118" s="26"/>
      <c r="U118" s="27" t="s">
        <v>21</v>
      </c>
      <c r="V118" s="28" t="s">
        <v>526</v>
      </c>
      <c r="W118" s="29" t="s">
        <v>26</v>
      </c>
    </row>
    <row r="119" spans="1:23" ht="30" customHeight="1">
      <c r="A119" s="19" t="s">
        <v>5574</v>
      </c>
      <c r="B119" s="19" t="s">
        <v>5569</v>
      </c>
      <c r="C119" s="19"/>
      <c r="D119" s="19" t="s">
        <v>529</v>
      </c>
      <c r="E119" s="20" t="s">
        <v>530</v>
      </c>
      <c r="F119" s="19"/>
      <c r="G119" s="21" t="s">
        <v>22</v>
      </c>
      <c r="H119" s="22" t="b">
        <v>0</v>
      </c>
      <c r="I119" s="22" t="b">
        <v>0</v>
      </c>
      <c r="J119" s="22" t="b">
        <v>0</v>
      </c>
      <c r="K119" s="22" t="b">
        <v>0</v>
      </c>
      <c r="L119" s="22" t="b">
        <v>0</v>
      </c>
      <c r="M119" s="21"/>
      <c r="N119" s="23">
        <v>0</v>
      </c>
      <c r="O119" s="24"/>
      <c r="P119" s="19"/>
      <c r="Q119" s="25"/>
      <c r="R119" s="25"/>
      <c r="S119" s="19"/>
      <c r="T119" s="26"/>
      <c r="U119" s="27" t="s">
        <v>21</v>
      </c>
      <c r="V119" s="28" t="s">
        <v>531</v>
      </c>
      <c r="W119" s="29" t="s">
        <v>26</v>
      </c>
    </row>
    <row r="120" spans="1:23" ht="30" customHeight="1">
      <c r="A120" s="19" t="s">
        <v>5574</v>
      </c>
      <c r="B120" s="19" t="s">
        <v>5569</v>
      </c>
      <c r="C120" s="19"/>
      <c r="D120" s="19" t="s">
        <v>534</v>
      </c>
      <c r="E120" s="20" t="s">
        <v>535</v>
      </c>
      <c r="F120" s="19"/>
      <c r="G120" s="21" t="s">
        <v>22</v>
      </c>
      <c r="H120" s="22" t="b">
        <v>0</v>
      </c>
      <c r="I120" s="22" t="b">
        <v>0</v>
      </c>
      <c r="J120" s="22" t="b">
        <v>0</v>
      </c>
      <c r="K120" s="22" t="b">
        <v>0</v>
      </c>
      <c r="L120" s="22" t="b">
        <v>0</v>
      </c>
      <c r="M120" s="21"/>
      <c r="N120" s="23">
        <v>0</v>
      </c>
      <c r="O120" s="24"/>
      <c r="P120" s="19"/>
      <c r="Q120" s="25"/>
      <c r="R120" s="25"/>
      <c r="S120" s="19"/>
      <c r="T120" s="26"/>
      <c r="U120" s="27" t="s">
        <v>21</v>
      </c>
      <c r="V120" s="28" t="s">
        <v>512</v>
      </c>
      <c r="W120" s="29" t="s">
        <v>26</v>
      </c>
    </row>
    <row r="121" spans="1:23" ht="30" customHeight="1">
      <c r="A121" s="19" t="s">
        <v>5574</v>
      </c>
      <c r="B121" s="19" t="s">
        <v>5569</v>
      </c>
      <c r="C121" s="19"/>
      <c r="D121" s="19" t="s">
        <v>537</v>
      </c>
      <c r="E121" s="20" t="s">
        <v>538</v>
      </c>
      <c r="F121" s="19"/>
      <c r="G121" s="21" t="s">
        <v>22</v>
      </c>
      <c r="H121" s="22" t="b">
        <v>0</v>
      </c>
      <c r="I121" s="22" t="b">
        <v>0</v>
      </c>
      <c r="J121" s="22" t="b">
        <v>0</v>
      </c>
      <c r="K121" s="22" t="b">
        <v>0</v>
      </c>
      <c r="L121" s="22" t="b">
        <v>0</v>
      </c>
      <c r="M121" s="21"/>
      <c r="N121" s="23">
        <v>0</v>
      </c>
      <c r="O121" s="24"/>
      <c r="P121" s="19"/>
      <c r="Q121" s="25"/>
      <c r="R121" s="25"/>
      <c r="S121" s="19"/>
      <c r="T121" s="26"/>
      <c r="U121" s="27" t="s">
        <v>21</v>
      </c>
      <c r="V121" s="28" t="s">
        <v>539</v>
      </c>
      <c r="W121" s="29" t="s">
        <v>26</v>
      </c>
    </row>
    <row r="122" spans="1:23" ht="30" customHeight="1">
      <c r="A122" s="19" t="s">
        <v>5574</v>
      </c>
      <c r="B122" s="19" t="s">
        <v>5569</v>
      </c>
      <c r="C122" s="19"/>
      <c r="D122" s="19" t="s">
        <v>541</v>
      </c>
      <c r="E122" s="20" t="s">
        <v>542</v>
      </c>
      <c r="F122" s="19"/>
      <c r="G122" s="21" t="s">
        <v>22</v>
      </c>
      <c r="H122" s="22" t="b">
        <v>0</v>
      </c>
      <c r="I122" s="22" t="b">
        <v>0</v>
      </c>
      <c r="J122" s="22" t="b">
        <v>0</v>
      </c>
      <c r="K122" s="22" t="b">
        <v>0</v>
      </c>
      <c r="L122" s="22" t="b">
        <v>0</v>
      </c>
      <c r="M122" s="21"/>
      <c r="N122" s="23">
        <v>0</v>
      </c>
      <c r="O122" s="24"/>
      <c r="P122" s="19"/>
      <c r="Q122" s="25"/>
      <c r="R122" s="25"/>
      <c r="S122" s="19"/>
      <c r="T122" s="26"/>
      <c r="U122" s="27" t="s">
        <v>21</v>
      </c>
      <c r="V122" s="28" t="s">
        <v>100</v>
      </c>
      <c r="W122" s="29" t="s">
        <v>26</v>
      </c>
    </row>
    <row r="123" spans="1:23" ht="30" customHeight="1">
      <c r="A123" s="19" t="s">
        <v>5574</v>
      </c>
      <c r="B123" s="19" t="s">
        <v>5569</v>
      </c>
      <c r="C123" s="19"/>
      <c r="D123" s="19" t="s">
        <v>544</v>
      </c>
      <c r="E123" s="20" t="s">
        <v>545</v>
      </c>
      <c r="F123" s="19"/>
      <c r="G123" s="21" t="s">
        <v>29</v>
      </c>
      <c r="H123" s="22" t="b">
        <v>0</v>
      </c>
      <c r="I123" s="22" t="b">
        <v>0</v>
      </c>
      <c r="J123" s="22" t="b">
        <v>0</v>
      </c>
      <c r="K123" s="22" t="b">
        <v>0</v>
      </c>
      <c r="L123" s="22" t="b">
        <v>0</v>
      </c>
      <c r="M123" s="21"/>
      <c r="N123" s="23">
        <v>0</v>
      </c>
      <c r="O123" s="24"/>
      <c r="P123" s="19"/>
      <c r="Q123" s="25"/>
      <c r="R123" s="25"/>
      <c r="S123" s="19"/>
      <c r="T123" s="26"/>
      <c r="U123" s="27" t="s">
        <v>21</v>
      </c>
      <c r="V123" s="28" t="s">
        <v>546</v>
      </c>
      <c r="W123" s="29" t="s">
        <v>26</v>
      </c>
    </row>
    <row r="124" spans="1:23" ht="30" customHeight="1">
      <c r="A124" s="19" t="s">
        <v>5574</v>
      </c>
      <c r="B124" s="19" t="s">
        <v>5569</v>
      </c>
      <c r="C124" s="19"/>
      <c r="D124" s="19" t="s">
        <v>548</v>
      </c>
      <c r="E124" s="20" t="s">
        <v>549</v>
      </c>
      <c r="F124" s="19"/>
      <c r="G124" s="21" t="s">
        <v>29</v>
      </c>
      <c r="H124" s="22" t="b">
        <v>0</v>
      </c>
      <c r="I124" s="22" t="b">
        <v>0</v>
      </c>
      <c r="J124" s="22" t="b">
        <v>0</v>
      </c>
      <c r="K124" s="22" t="b">
        <v>0</v>
      </c>
      <c r="L124" s="22" t="b">
        <v>0</v>
      </c>
      <c r="M124" s="21"/>
      <c r="N124" s="23">
        <v>0</v>
      </c>
      <c r="O124" s="24"/>
      <c r="P124" s="19"/>
      <c r="Q124" s="25"/>
      <c r="R124" s="25"/>
      <c r="S124" s="19"/>
      <c r="T124" s="26"/>
      <c r="U124" s="27" t="s">
        <v>21</v>
      </c>
      <c r="V124" s="28" t="s">
        <v>550</v>
      </c>
      <c r="W124" s="29" t="s">
        <v>26</v>
      </c>
    </row>
    <row r="125" spans="1:23" ht="30" customHeight="1">
      <c r="A125" s="19" t="s">
        <v>5574</v>
      </c>
      <c r="B125" s="19" t="s">
        <v>5569</v>
      </c>
      <c r="C125" s="19"/>
      <c r="D125" s="19" t="s">
        <v>552</v>
      </c>
      <c r="E125" s="20" t="s">
        <v>553</v>
      </c>
      <c r="F125" s="19"/>
      <c r="G125" s="21" t="s">
        <v>29</v>
      </c>
      <c r="H125" s="22" t="b">
        <v>0</v>
      </c>
      <c r="I125" s="22" t="b">
        <v>0</v>
      </c>
      <c r="J125" s="22" t="b">
        <v>0</v>
      </c>
      <c r="K125" s="22" t="b">
        <v>0</v>
      </c>
      <c r="L125" s="22" t="b">
        <v>0</v>
      </c>
      <c r="M125" s="21"/>
      <c r="N125" s="23">
        <v>0</v>
      </c>
      <c r="O125" s="24"/>
      <c r="P125" s="19"/>
      <c r="Q125" s="25"/>
      <c r="R125" s="25"/>
      <c r="S125" s="19"/>
      <c r="T125" s="26"/>
      <c r="U125" s="27" t="s">
        <v>21</v>
      </c>
      <c r="V125" s="28" t="s">
        <v>554</v>
      </c>
      <c r="W125" s="29" t="s">
        <v>26</v>
      </c>
    </row>
    <row r="126" spans="1:23" ht="30" customHeight="1">
      <c r="A126" s="19" t="s">
        <v>5574</v>
      </c>
      <c r="B126" s="19" t="s">
        <v>5569</v>
      </c>
      <c r="C126" s="19"/>
      <c r="D126" s="19" t="s">
        <v>556</v>
      </c>
      <c r="E126" s="20" t="s">
        <v>557</v>
      </c>
      <c r="F126" s="19"/>
      <c r="G126" s="21" t="s">
        <v>29</v>
      </c>
      <c r="H126" s="22" t="b">
        <v>0</v>
      </c>
      <c r="I126" s="22" t="b">
        <v>0</v>
      </c>
      <c r="J126" s="22" t="b">
        <v>0</v>
      </c>
      <c r="K126" s="22" t="b">
        <v>0</v>
      </c>
      <c r="L126" s="22" t="b">
        <v>0</v>
      </c>
      <c r="M126" s="21"/>
      <c r="N126" s="23">
        <v>0</v>
      </c>
      <c r="O126" s="24"/>
      <c r="P126" s="19"/>
      <c r="Q126" s="25"/>
      <c r="R126" s="25"/>
      <c r="S126" s="19"/>
      <c r="T126" s="26"/>
      <c r="U126" s="27" t="s">
        <v>21</v>
      </c>
      <c r="V126" s="28" t="s">
        <v>558</v>
      </c>
      <c r="W126" s="29" t="s">
        <v>26</v>
      </c>
    </row>
    <row r="127" spans="1:23" ht="30" customHeight="1">
      <c r="A127" s="19" t="s">
        <v>5574</v>
      </c>
      <c r="B127" s="19" t="s">
        <v>5569</v>
      </c>
      <c r="C127" s="19"/>
      <c r="D127" s="19" t="s">
        <v>560</v>
      </c>
      <c r="E127" s="20" t="s">
        <v>561</v>
      </c>
      <c r="F127" s="19"/>
      <c r="G127" s="21" t="s">
        <v>22</v>
      </c>
      <c r="H127" s="22" t="b">
        <v>0</v>
      </c>
      <c r="I127" s="22" t="b">
        <v>0</v>
      </c>
      <c r="J127" s="22" t="b">
        <v>0</v>
      </c>
      <c r="K127" s="22" t="b">
        <v>0</v>
      </c>
      <c r="L127" s="22" t="b">
        <v>0</v>
      </c>
      <c r="M127" s="21"/>
      <c r="N127" s="23">
        <v>0</v>
      </c>
      <c r="O127" s="24"/>
      <c r="P127" s="19"/>
      <c r="Q127" s="25"/>
      <c r="R127" s="25"/>
      <c r="S127" s="19"/>
      <c r="T127" s="26"/>
      <c r="U127" s="30" t="s">
        <v>34</v>
      </c>
      <c r="V127" s="28" t="s">
        <v>562</v>
      </c>
      <c r="W127" s="29" t="s">
        <v>26</v>
      </c>
    </row>
    <row r="128" spans="1:23" ht="30" customHeight="1">
      <c r="A128" s="19" t="s">
        <v>5574</v>
      </c>
      <c r="B128" s="19" t="s">
        <v>5569</v>
      </c>
      <c r="C128" s="19"/>
      <c r="D128" s="19" t="s">
        <v>564</v>
      </c>
      <c r="E128" s="20" t="s">
        <v>565</v>
      </c>
      <c r="F128" s="19"/>
      <c r="G128" s="21" t="s">
        <v>22</v>
      </c>
      <c r="H128" s="22" t="b">
        <v>0</v>
      </c>
      <c r="I128" s="22" t="b">
        <v>0</v>
      </c>
      <c r="J128" s="22" t="b">
        <v>0</v>
      </c>
      <c r="K128" s="22" t="b">
        <v>0</v>
      </c>
      <c r="L128" s="22" t="b">
        <v>0</v>
      </c>
      <c r="M128" s="21"/>
      <c r="N128" s="23">
        <v>0</v>
      </c>
      <c r="O128" s="24"/>
      <c r="P128" s="19"/>
      <c r="Q128" s="25"/>
      <c r="R128" s="25"/>
      <c r="S128" s="19"/>
      <c r="T128" s="26"/>
      <c r="U128" s="27" t="s">
        <v>21</v>
      </c>
      <c r="V128" s="28" t="s">
        <v>566</v>
      </c>
      <c r="W128" s="29" t="s">
        <v>26</v>
      </c>
    </row>
    <row r="129" spans="1:23" ht="30" customHeight="1">
      <c r="A129" s="19" t="s">
        <v>5575</v>
      </c>
      <c r="B129" s="19" t="s">
        <v>5569</v>
      </c>
      <c r="C129" s="19"/>
      <c r="D129" s="19" t="s">
        <v>570</v>
      </c>
      <c r="E129" s="20" t="s">
        <v>571</v>
      </c>
      <c r="F129" s="19"/>
      <c r="G129" s="21" t="s">
        <v>29</v>
      </c>
      <c r="H129" s="22" t="b">
        <v>0</v>
      </c>
      <c r="I129" s="22" t="b">
        <v>0</v>
      </c>
      <c r="J129" s="22" t="b">
        <v>0</v>
      </c>
      <c r="K129" s="22" t="b">
        <v>0</v>
      </c>
      <c r="L129" s="22" t="b">
        <v>0</v>
      </c>
      <c r="M129" s="21"/>
      <c r="N129" s="23">
        <v>0</v>
      </c>
      <c r="O129" s="24"/>
      <c r="P129" s="19"/>
      <c r="Q129" s="25"/>
      <c r="R129" s="25"/>
      <c r="S129" s="19"/>
      <c r="T129" s="26"/>
      <c r="U129" s="27" t="s">
        <v>21</v>
      </c>
      <c r="V129" s="28" t="s">
        <v>572</v>
      </c>
      <c r="W129" s="29" t="s">
        <v>26</v>
      </c>
    </row>
    <row r="130" spans="1:23" ht="30" customHeight="1">
      <c r="A130" s="19" t="s">
        <v>5575</v>
      </c>
      <c r="B130" s="19" t="s">
        <v>5569</v>
      </c>
      <c r="C130" s="19"/>
      <c r="D130" s="19" t="s">
        <v>574</v>
      </c>
      <c r="E130" s="20" t="s">
        <v>575</v>
      </c>
      <c r="F130" s="19"/>
      <c r="G130" s="21" t="s">
        <v>22</v>
      </c>
      <c r="H130" s="22" t="b">
        <v>0</v>
      </c>
      <c r="I130" s="22" t="b">
        <v>0</v>
      </c>
      <c r="J130" s="22" t="b">
        <v>0</v>
      </c>
      <c r="K130" s="22" t="b">
        <v>0</v>
      </c>
      <c r="L130" s="22" t="b">
        <v>0</v>
      </c>
      <c r="M130" s="21"/>
      <c r="N130" s="23">
        <v>0</v>
      </c>
      <c r="O130" s="24"/>
      <c r="P130" s="19"/>
      <c r="Q130" s="25"/>
      <c r="R130" s="25"/>
      <c r="S130" s="19"/>
      <c r="T130" s="26"/>
      <c r="U130" s="27" t="s">
        <v>21</v>
      </c>
      <c r="V130" s="28" t="s">
        <v>576</v>
      </c>
      <c r="W130" s="29" t="s">
        <v>26</v>
      </c>
    </row>
    <row r="131" spans="1:23" ht="30" customHeight="1">
      <c r="A131" s="19" t="s">
        <v>5575</v>
      </c>
      <c r="B131" s="19" t="s">
        <v>5569</v>
      </c>
      <c r="C131" s="19"/>
      <c r="D131" s="19" t="s">
        <v>579</v>
      </c>
      <c r="E131" s="20" t="s">
        <v>580</v>
      </c>
      <c r="F131" s="19"/>
      <c r="G131" s="21" t="s">
        <v>22</v>
      </c>
      <c r="H131" s="22" t="b">
        <v>0</v>
      </c>
      <c r="I131" s="22" t="b">
        <v>0</v>
      </c>
      <c r="J131" s="22" t="b">
        <v>0</v>
      </c>
      <c r="K131" s="22" t="b">
        <v>0</v>
      </c>
      <c r="L131" s="22" t="b">
        <v>0</v>
      </c>
      <c r="M131" s="21"/>
      <c r="N131" s="23">
        <v>0</v>
      </c>
      <c r="O131" s="24"/>
      <c r="P131" s="19"/>
      <c r="Q131" s="25"/>
      <c r="R131" s="25"/>
      <c r="S131" s="19"/>
      <c r="T131" s="26"/>
      <c r="U131" s="27" t="s">
        <v>21</v>
      </c>
      <c r="V131" s="28" t="s">
        <v>581</v>
      </c>
      <c r="W131" s="29" t="s">
        <v>26</v>
      </c>
    </row>
    <row r="132" spans="1:23" ht="30" customHeight="1">
      <c r="A132" s="19" t="s">
        <v>5575</v>
      </c>
      <c r="B132" s="19" t="s">
        <v>5569</v>
      </c>
      <c r="C132" s="19"/>
      <c r="D132" s="19" t="s">
        <v>584</v>
      </c>
      <c r="E132" s="20" t="s">
        <v>585</v>
      </c>
      <c r="F132" s="19"/>
      <c r="G132" s="21" t="s">
        <v>22</v>
      </c>
      <c r="H132" s="22" t="b">
        <v>0</v>
      </c>
      <c r="I132" s="22" t="b">
        <v>0</v>
      </c>
      <c r="J132" s="22" t="b">
        <v>0</v>
      </c>
      <c r="K132" s="22" t="b">
        <v>0</v>
      </c>
      <c r="L132" s="22" t="b">
        <v>0</v>
      </c>
      <c r="M132" s="21"/>
      <c r="N132" s="23">
        <v>0</v>
      </c>
      <c r="O132" s="24"/>
      <c r="P132" s="19"/>
      <c r="Q132" s="25"/>
      <c r="R132" s="25"/>
      <c r="S132" s="19"/>
      <c r="T132" s="26"/>
      <c r="U132" s="27" t="s">
        <v>21</v>
      </c>
      <c r="V132" s="28" t="s">
        <v>586</v>
      </c>
      <c r="W132" s="29" t="s">
        <v>26</v>
      </c>
    </row>
    <row r="133" spans="1:23" ht="30" customHeight="1">
      <c r="A133" s="19" t="s">
        <v>5575</v>
      </c>
      <c r="B133" s="19" t="s">
        <v>5569</v>
      </c>
      <c r="C133" s="19"/>
      <c r="D133" s="19" t="s">
        <v>588</v>
      </c>
      <c r="E133" s="20" t="s">
        <v>589</v>
      </c>
      <c r="F133" s="19"/>
      <c r="G133" s="21" t="s">
        <v>22</v>
      </c>
      <c r="H133" s="22" t="b">
        <v>0</v>
      </c>
      <c r="I133" s="22" t="b">
        <v>0</v>
      </c>
      <c r="J133" s="22" t="b">
        <v>0</v>
      </c>
      <c r="K133" s="22" t="b">
        <v>0</v>
      </c>
      <c r="L133" s="22" t="b">
        <v>0</v>
      </c>
      <c r="M133" s="21"/>
      <c r="N133" s="23">
        <v>0</v>
      </c>
      <c r="O133" s="24"/>
      <c r="P133" s="19"/>
      <c r="Q133" s="25"/>
      <c r="R133" s="25"/>
      <c r="S133" s="19"/>
      <c r="T133" s="26"/>
      <c r="U133" s="27" t="s">
        <v>21</v>
      </c>
      <c r="V133" s="28" t="s">
        <v>590</v>
      </c>
      <c r="W133" s="29" t="s">
        <v>26</v>
      </c>
    </row>
    <row r="134" spans="1:23" ht="30" customHeight="1">
      <c r="A134" s="19" t="s">
        <v>5575</v>
      </c>
      <c r="B134" s="19" t="s">
        <v>5569</v>
      </c>
      <c r="C134" s="19"/>
      <c r="D134" s="19" t="s">
        <v>592</v>
      </c>
      <c r="E134" s="20" t="s">
        <v>593</v>
      </c>
      <c r="F134" s="19"/>
      <c r="G134" s="21" t="s">
        <v>22</v>
      </c>
      <c r="H134" s="22" t="b">
        <v>0</v>
      </c>
      <c r="I134" s="22" t="b">
        <v>0</v>
      </c>
      <c r="J134" s="22" t="b">
        <v>0</v>
      </c>
      <c r="K134" s="22" t="b">
        <v>0</v>
      </c>
      <c r="L134" s="22" t="b">
        <v>0</v>
      </c>
      <c r="M134" s="21"/>
      <c r="N134" s="23">
        <v>0</v>
      </c>
      <c r="O134" s="24"/>
      <c r="P134" s="19"/>
      <c r="Q134" s="25"/>
      <c r="R134" s="25"/>
      <c r="S134" s="19"/>
      <c r="T134" s="26"/>
      <c r="U134" s="27" t="s">
        <v>21</v>
      </c>
      <c r="V134" s="28" t="s">
        <v>586</v>
      </c>
      <c r="W134" s="29" t="s">
        <v>26</v>
      </c>
    </row>
    <row r="135" spans="1:23" ht="30" customHeight="1">
      <c r="A135" s="19" t="s">
        <v>5575</v>
      </c>
      <c r="B135" s="19" t="s">
        <v>5569</v>
      </c>
      <c r="C135" s="19"/>
      <c r="D135" s="19" t="s">
        <v>596</v>
      </c>
      <c r="E135" s="20" t="s">
        <v>597</v>
      </c>
      <c r="F135" s="19"/>
      <c r="G135" s="21" t="s">
        <v>29</v>
      </c>
      <c r="H135" s="22" t="b">
        <v>0</v>
      </c>
      <c r="I135" s="22" t="b">
        <v>0</v>
      </c>
      <c r="J135" s="22" t="b">
        <v>0</v>
      </c>
      <c r="K135" s="22" t="b">
        <v>0</v>
      </c>
      <c r="L135" s="22" t="b">
        <v>0</v>
      </c>
      <c r="M135" s="21"/>
      <c r="N135" s="23">
        <v>0</v>
      </c>
      <c r="O135" s="24"/>
      <c r="P135" s="19"/>
      <c r="Q135" s="25"/>
      <c r="R135" s="25"/>
      <c r="S135" s="19"/>
      <c r="T135" s="26"/>
      <c r="U135" s="30" t="s">
        <v>34</v>
      </c>
      <c r="V135" s="28" t="s">
        <v>598</v>
      </c>
      <c r="W135" s="29" t="s">
        <v>26</v>
      </c>
    </row>
    <row r="136" spans="1:23" ht="30" customHeight="1">
      <c r="A136" s="19" t="s">
        <v>5575</v>
      </c>
      <c r="B136" s="19" t="s">
        <v>5569</v>
      </c>
      <c r="C136" s="19"/>
      <c r="D136" s="19" t="s">
        <v>601</v>
      </c>
      <c r="E136" s="20" t="s">
        <v>602</v>
      </c>
      <c r="F136" s="19"/>
      <c r="G136" s="21" t="s">
        <v>29</v>
      </c>
      <c r="H136" s="22" t="b">
        <v>0</v>
      </c>
      <c r="I136" s="22" t="b">
        <v>0</v>
      </c>
      <c r="J136" s="22" t="b">
        <v>0</v>
      </c>
      <c r="K136" s="22" t="b">
        <v>0</v>
      </c>
      <c r="L136" s="22" t="b">
        <v>0</v>
      </c>
      <c r="M136" s="21"/>
      <c r="N136" s="23">
        <v>0</v>
      </c>
      <c r="O136" s="24"/>
      <c r="P136" s="19"/>
      <c r="Q136" s="25"/>
      <c r="R136" s="25"/>
      <c r="S136" s="19"/>
      <c r="T136" s="26"/>
      <c r="U136" s="27" t="s">
        <v>21</v>
      </c>
      <c r="V136" s="28" t="s">
        <v>586</v>
      </c>
      <c r="W136" s="29" t="s">
        <v>26</v>
      </c>
    </row>
    <row r="137" spans="1:23" ht="30" customHeight="1">
      <c r="A137" s="19" t="s">
        <v>5575</v>
      </c>
      <c r="B137" s="19" t="s">
        <v>5569</v>
      </c>
      <c r="C137" s="19"/>
      <c r="D137" s="19" t="s">
        <v>604</v>
      </c>
      <c r="E137" s="20" t="s">
        <v>605</v>
      </c>
      <c r="F137" s="19"/>
      <c r="G137" s="21" t="s">
        <v>22</v>
      </c>
      <c r="H137" s="22" t="b">
        <v>0</v>
      </c>
      <c r="I137" s="22" t="b">
        <v>0</v>
      </c>
      <c r="J137" s="22" t="b">
        <v>0</v>
      </c>
      <c r="K137" s="22" t="b">
        <v>0</v>
      </c>
      <c r="L137" s="22" t="b">
        <v>0</v>
      </c>
      <c r="M137" s="21"/>
      <c r="N137" s="23">
        <v>0</v>
      </c>
      <c r="O137" s="24"/>
      <c r="P137" s="19"/>
      <c r="Q137" s="25"/>
      <c r="R137" s="25"/>
      <c r="S137" s="19"/>
      <c r="T137" s="26"/>
      <c r="U137" s="27" t="s">
        <v>21</v>
      </c>
      <c r="V137" s="28" t="s">
        <v>586</v>
      </c>
      <c r="W137" s="29" t="s">
        <v>26</v>
      </c>
    </row>
    <row r="138" spans="1:23" ht="30" customHeight="1">
      <c r="A138" s="19" t="s">
        <v>5575</v>
      </c>
      <c r="B138" s="19" t="s">
        <v>5569</v>
      </c>
      <c r="C138" s="19"/>
      <c r="D138" s="19" t="s">
        <v>607</v>
      </c>
      <c r="E138" s="20" t="s">
        <v>608</v>
      </c>
      <c r="F138" s="19"/>
      <c r="G138" s="21" t="s">
        <v>29</v>
      </c>
      <c r="H138" s="22" t="b">
        <v>0</v>
      </c>
      <c r="I138" s="22" t="b">
        <v>0</v>
      </c>
      <c r="J138" s="22" t="b">
        <v>0</v>
      </c>
      <c r="K138" s="22" t="b">
        <v>0</v>
      </c>
      <c r="L138" s="22" t="b">
        <v>0</v>
      </c>
      <c r="M138" s="21"/>
      <c r="N138" s="23">
        <v>0</v>
      </c>
      <c r="O138" s="24"/>
      <c r="P138" s="19"/>
      <c r="Q138" s="25"/>
      <c r="R138" s="25"/>
      <c r="S138" s="19"/>
      <c r="T138" s="26"/>
      <c r="U138" s="27" t="s">
        <v>21</v>
      </c>
      <c r="V138" s="28" t="s">
        <v>609</v>
      </c>
      <c r="W138" s="29" t="s">
        <v>26</v>
      </c>
    </row>
    <row r="139" spans="1:23" ht="30" customHeight="1">
      <c r="A139" s="19" t="s">
        <v>5575</v>
      </c>
      <c r="B139" s="19" t="s">
        <v>5569</v>
      </c>
      <c r="C139" s="19"/>
      <c r="D139" s="19" t="s">
        <v>611</v>
      </c>
      <c r="E139" s="20" t="s">
        <v>612</v>
      </c>
      <c r="F139" s="19"/>
      <c r="G139" s="21" t="s">
        <v>156</v>
      </c>
      <c r="H139" s="22" t="b">
        <v>0</v>
      </c>
      <c r="I139" s="22" t="b">
        <v>0</v>
      </c>
      <c r="J139" s="22" t="b">
        <v>0</v>
      </c>
      <c r="K139" s="22" t="b">
        <v>0</v>
      </c>
      <c r="L139" s="22" t="b">
        <v>0</v>
      </c>
      <c r="M139" s="21"/>
      <c r="N139" s="23">
        <v>0</v>
      </c>
      <c r="O139" s="24"/>
      <c r="P139" s="19"/>
      <c r="Q139" s="25"/>
      <c r="R139" s="25"/>
      <c r="S139" s="19"/>
      <c r="T139" s="26"/>
      <c r="U139" s="27" t="s">
        <v>21</v>
      </c>
      <c r="V139" s="28" t="s">
        <v>586</v>
      </c>
      <c r="W139" s="29" t="s">
        <v>26</v>
      </c>
    </row>
    <row r="140" spans="1:23" ht="30" customHeight="1">
      <c r="A140" s="19" t="s">
        <v>5575</v>
      </c>
      <c r="B140" s="19" t="s">
        <v>5569</v>
      </c>
      <c r="C140" s="19"/>
      <c r="D140" s="19" t="s">
        <v>615</v>
      </c>
      <c r="E140" s="20" t="s">
        <v>616</v>
      </c>
      <c r="F140" s="19"/>
      <c r="G140" s="21" t="s">
        <v>29</v>
      </c>
      <c r="H140" s="22" t="b">
        <v>0</v>
      </c>
      <c r="I140" s="22" t="b">
        <v>0</v>
      </c>
      <c r="J140" s="22" t="b">
        <v>0</v>
      </c>
      <c r="K140" s="22" t="b">
        <v>0</v>
      </c>
      <c r="L140" s="22" t="b">
        <v>0</v>
      </c>
      <c r="M140" s="21"/>
      <c r="N140" s="23">
        <v>0</v>
      </c>
      <c r="O140" s="24"/>
      <c r="P140" s="19"/>
      <c r="Q140" s="25"/>
      <c r="R140" s="25"/>
      <c r="S140" s="19"/>
      <c r="T140" s="26"/>
      <c r="U140" s="27" t="s">
        <v>21</v>
      </c>
      <c r="V140" s="28" t="s">
        <v>617</v>
      </c>
      <c r="W140" s="29" t="s">
        <v>26</v>
      </c>
    </row>
    <row r="141" spans="1:23" ht="30" customHeight="1">
      <c r="A141" s="19" t="s">
        <v>5575</v>
      </c>
      <c r="B141" s="19" t="s">
        <v>5569</v>
      </c>
      <c r="C141" s="19"/>
      <c r="D141" s="19" t="s">
        <v>619</v>
      </c>
      <c r="E141" s="20" t="s">
        <v>620</v>
      </c>
      <c r="F141" s="19"/>
      <c r="G141" s="21" t="s">
        <v>29</v>
      </c>
      <c r="H141" s="22" t="b">
        <v>0</v>
      </c>
      <c r="I141" s="22" t="b">
        <v>0</v>
      </c>
      <c r="J141" s="22" t="b">
        <v>0</v>
      </c>
      <c r="K141" s="22" t="b">
        <v>0</v>
      </c>
      <c r="L141" s="22" t="b">
        <v>0</v>
      </c>
      <c r="M141" s="21"/>
      <c r="N141" s="23">
        <v>0</v>
      </c>
      <c r="O141" s="24"/>
      <c r="P141" s="19"/>
      <c r="Q141" s="25"/>
      <c r="R141" s="25"/>
      <c r="S141" s="19"/>
      <c r="T141" s="26"/>
      <c r="U141" s="27" t="s">
        <v>21</v>
      </c>
      <c r="V141" s="28" t="s">
        <v>437</v>
      </c>
      <c r="W141" s="29" t="s">
        <v>26</v>
      </c>
    </row>
    <row r="142" spans="1:23" ht="30" customHeight="1">
      <c r="A142" s="19" t="s">
        <v>5575</v>
      </c>
      <c r="B142" s="19" t="s">
        <v>5569</v>
      </c>
      <c r="C142" s="19"/>
      <c r="D142" s="19" t="s">
        <v>622</v>
      </c>
      <c r="E142" s="20" t="s">
        <v>623</v>
      </c>
      <c r="F142" s="19"/>
      <c r="G142" s="21" t="s">
        <v>22</v>
      </c>
      <c r="H142" s="22" t="b">
        <v>0</v>
      </c>
      <c r="I142" s="22" t="b">
        <v>0</v>
      </c>
      <c r="J142" s="22" t="b">
        <v>0</v>
      </c>
      <c r="K142" s="22" t="b">
        <v>0</v>
      </c>
      <c r="L142" s="22" t="b">
        <v>0</v>
      </c>
      <c r="M142" s="21"/>
      <c r="N142" s="23">
        <v>0</v>
      </c>
      <c r="O142" s="24"/>
      <c r="P142" s="19"/>
      <c r="Q142" s="25"/>
      <c r="R142" s="25"/>
      <c r="S142" s="19"/>
      <c r="T142" s="26"/>
      <c r="U142" s="30" t="s">
        <v>34</v>
      </c>
      <c r="V142" s="28" t="s">
        <v>624</v>
      </c>
      <c r="W142" s="29" t="s">
        <v>26</v>
      </c>
    </row>
    <row r="143" spans="1:23" ht="30" customHeight="1">
      <c r="A143" s="19" t="s">
        <v>5575</v>
      </c>
      <c r="B143" s="19" t="s">
        <v>5569</v>
      </c>
      <c r="C143" s="19"/>
      <c r="D143" s="19" t="s">
        <v>626</v>
      </c>
      <c r="E143" s="20" t="s">
        <v>627</v>
      </c>
      <c r="F143" s="19"/>
      <c r="G143" s="21" t="s">
        <v>29</v>
      </c>
      <c r="H143" s="22" t="b">
        <v>0</v>
      </c>
      <c r="I143" s="22" t="b">
        <v>0</v>
      </c>
      <c r="J143" s="22" t="b">
        <v>0</v>
      </c>
      <c r="K143" s="22" t="b">
        <v>0</v>
      </c>
      <c r="L143" s="22" t="b">
        <v>0</v>
      </c>
      <c r="M143" s="21"/>
      <c r="N143" s="23">
        <v>0</v>
      </c>
      <c r="O143" s="24"/>
      <c r="P143" s="19"/>
      <c r="Q143" s="25"/>
      <c r="R143" s="25"/>
      <c r="S143" s="19"/>
      <c r="T143" s="26"/>
      <c r="U143" s="27" t="s">
        <v>21</v>
      </c>
      <c r="V143" s="28" t="s">
        <v>628</v>
      </c>
      <c r="W143" s="29" t="s">
        <v>26</v>
      </c>
    </row>
    <row r="144" spans="1:23" ht="30" customHeight="1">
      <c r="A144" s="19" t="s">
        <v>5575</v>
      </c>
      <c r="B144" s="19" t="s">
        <v>5569</v>
      </c>
      <c r="C144" s="19"/>
      <c r="D144" s="19" t="s">
        <v>630</v>
      </c>
      <c r="E144" s="20" t="s">
        <v>631</v>
      </c>
      <c r="F144" s="19"/>
      <c r="G144" s="21" t="s">
        <v>22</v>
      </c>
      <c r="H144" s="22" t="b">
        <v>0</v>
      </c>
      <c r="I144" s="22" t="b">
        <v>0</v>
      </c>
      <c r="J144" s="22" t="b">
        <v>0</v>
      </c>
      <c r="K144" s="22" t="b">
        <v>0</v>
      </c>
      <c r="L144" s="22" t="b">
        <v>0</v>
      </c>
      <c r="M144" s="21"/>
      <c r="N144" s="23">
        <v>0</v>
      </c>
      <c r="O144" s="24"/>
      <c r="P144" s="19"/>
      <c r="Q144" s="25"/>
      <c r="R144" s="25"/>
      <c r="S144" s="19"/>
      <c r="T144" s="26"/>
      <c r="U144" s="27" t="s">
        <v>21</v>
      </c>
      <c r="V144" s="28" t="s">
        <v>632</v>
      </c>
      <c r="W144" s="29" t="s">
        <v>26</v>
      </c>
    </row>
    <row r="145" spans="1:23" ht="30" customHeight="1">
      <c r="A145" s="19" t="s">
        <v>5575</v>
      </c>
      <c r="B145" s="19" t="s">
        <v>5569</v>
      </c>
      <c r="C145" s="19"/>
      <c r="D145" s="19" t="s">
        <v>634</v>
      </c>
      <c r="E145" s="20" t="s">
        <v>635</v>
      </c>
      <c r="F145" s="19"/>
      <c r="G145" s="21" t="s">
        <v>29</v>
      </c>
      <c r="H145" s="22" t="b">
        <v>0</v>
      </c>
      <c r="I145" s="22" t="b">
        <v>0</v>
      </c>
      <c r="J145" s="22" t="b">
        <v>0</v>
      </c>
      <c r="K145" s="22" t="b">
        <v>0</v>
      </c>
      <c r="L145" s="22" t="b">
        <v>0</v>
      </c>
      <c r="M145" s="21"/>
      <c r="N145" s="23">
        <v>0</v>
      </c>
      <c r="O145" s="24"/>
      <c r="P145" s="19"/>
      <c r="Q145" s="25"/>
      <c r="R145" s="25"/>
      <c r="S145" s="19"/>
      <c r="T145" s="26"/>
      <c r="U145" s="27" t="s">
        <v>21</v>
      </c>
      <c r="V145" s="28" t="s">
        <v>361</v>
      </c>
      <c r="W145" s="29" t="s">
        <v>26</v>
      </c>
    </row>
    <row r="146" spans="1:23" ht="30" customHeight="1">
      <c r="A146" s="19" t="s">
        <v>5576</v>
      </c>
      <c r="B146" s="19" t="s">
        <v>5569</v>
      </c>
      <c r="C146" s="19"/>
      <c r="D146" s="19" t="s">
        <v>639</v>
      </c>
      <c r="E146" s="20" t="s">
        <v>640</v>
      </c>
      <c r="F146" s="19"/>
      <c r="G146" s="21" t="s">
        <v>22</v>
      </c>
      <c r="H146" s="22" t="b">
        <v>0</v>
      </c>
      <c r="I146" s="22" t="b">
        <v>0</v>
      </c>
      <c r="J146" s="22" t="b">
        <v>0</v>
      </c>
      <c r="K146" s="22" t="b">
        <v>0</v>
      </c>
      <c r="L146" s="22" t="b">
        <v>0</v>
      </c>
      <c r="M146" s="21"/>
      <c r="N146" s="23">
        <v>0</v>
      </c>
      <c r="O146" s="24"/>
      <c r="P146" s="19"/>
      <c r="Q146" s="25"/>
      <c r="R146" s="25"/>
      <c r="S146" s="19"/>
      <c r="T146" s="26"/>
      <c r="U146" s="27" t="s">
        <v>21</v>
      </c>
      <c r="V146" s="28" t="s">
        <v>641</v>
      </c>
      <c r="W146" s="29" t="s">
        <v>26</v>
      </c>
    </row>
    <row r="147" spans="1:23" ht="30" customHeight="1">
      <c r="A147" s="19" t="s">
        <v>5576</v>
      </c>
      <c r="B147" s="19" t="s">
        <v>5569</v>
      </c>
      <c r="C147" s="19"/>
      <c r="D147" s="19" t="s">
        <v>644</v>
      </c>
      <c r="E147" s="20" t="s">
        <v>645</v>
      </c>
      <c r="F147" s="19"/>
      <c r="G147" s="21" t="s">
        <v>22</v>
      </c>
      <c r="H147" s="22" t="b">
        <v>0</v>
      </c>
      <c r="I147" s="22" t="b">
        <v>0</v>
      </c>
      <c r="J147" s="22" t="b">
        <v>0</v>
      </c>
      <c r="K147" s="22" t="b">
        <v>0</v>
      </c>
      <c r="L147" s="22" t="b">
        <v>0</v>
      </c>
      <c r="M147" s="21"/>
      <c r="N147" s="23">
        <v>0</v>
      </c>
      <c r="O147" s="24"/>
      <c r="P147" s="19"/>
      <c r="Q147" s="25"/>
      <c r="R147" s="25"/>
      <c r="S147" s="19"/>
      <c r="T147" s="26"/>
      <c r="U147" s="27" t="s">
        <v>21</v>
      </c>
      <c r="V147" s="28" t="s">
        <v>646</v>
      </c>
      <c r="W147" s="29" t="s">
        <v>26</v>
      </c>
    </row>
    <row r="148" spans="1:23" ht="30" customHeight="1">
      <c r="A148" s="19" t="s">
        <v>5576</v>
      </c>
      <c r="B148" s="19" t="s">
        <v>5569</v>
      </c>
      <c r="C148" s="19"/>
      <c r="D148" s="19" t="s">
        <v>649</v>
      </c>
      <c r="E148" s="20" t="s">
        <v>650</v>
      </c>
      <c r="F148" s="19"/>
      <c r="G148" s="21" t="s">
        <v>22</v>
      </c>
      <c r="H148" s="22" t="b">
        <v>0</v>
      </c>
      <c r="I148" s="22" t="b">
        <v>0</v>
      </c>
      <c r="J148" s="22" t="b">
        <v>0</v>
      </c>
      <c r="K148" s="22" t="b">
        <v>0</v>
      </c>
      <c r="L148" s="22" t="b">
        <v>0</v>
      </c>
      <c r="M148" s="21"/>
      <c r="N148" s="23">
        <v>0</v>
      </c>
      <c r="O148" s="24"/>
      <c r="P148" s="19"/>
      <c r="Q148" s="25"/>
      <c r="R148" s="25"/>
      <c r="S148" s="19"/>
      <c r="T148" s="26"/>
      <c r="U148" s="27" t="s">
        <v>21</v>
      </c>
      <c r="V148" s="28" t="s">
        <v>651</v>
      </c>
      <c r="W148" s="29" t="s">
        <v>26</v>
      </c>
    </row>
    <row r="149" spans="1:23" ht="30" customHeight="1">
      <c r="A149" s="19" t="s">
        <v>5576</v>
      </c>
      <c r="B149" s="19" t="s">
        <v>5569</v>
      </c>
      <c r="C149" s="19"/>
      <c r="D149" s="19" t="s">
        <v>654</v>
      </c>
      <c r="E149" s="20" t="s">
        <v>655</v>
      </c>
      <c r="F149" s="19"/>
      <c r="G149" s="21" t="s">
        <v>22</v>
      </c>
      <c r="H149" s="22" t="b">
        <v>0</v>
      </c>
      <c r="I149" s="22" t="b">
        <v>0</v>
      </c>
      <c r="J149" s="22" t="b">
        <v>0</v>
      </c>
      <c r="K149" s="22" t="b">
        <v>0</v>
      </c>
      <c r="L149" s="22" t="b">
        <v>0</v>
      </c>
      <c r="M149" s="21"/>
      <c r="N149" s="23">
        <v>0</v>
      </c>
      <c r="O149" s="24"/>
      <c r="P149" s="19"/>
      <c r="Q149" s="25"/>
      <c r="R149" s="25"/>
      <c r="S149" s="19"/>
      <c r="T149" s="26"/>
      <c r="U149" s="27" t="s">
        <v>21</v>
      </c>
      <c r="V149" s="28" t="s">
        <v>656</v>
      </c>
      <c r="W149" s="29" t="s">
        <v>26</v>
      </c>
    </row>
    <row r="150" spans="1:23" ht="30" customHeight="1">
      <c r="A150" s="19" t="s">
        <v>5576</v>
      </c>
      <c r="B150" s="19" t="s">
        <v>5569</v>
      </c>
      <c r="C150" s="19"/>
      <c r="D150" s="19" t="s">
        <v>659</v>
      </c>
      <c r="E150" s="20" t="s">
        <v>660</v>
      </c>
      <c r="F150" s="19"/>
      <c r="G150" s="21" t="s">
        <v>22</v>
      </c>
      <c r="H150" s="22" t="b">
        <v>0</v>
      </c>
      <c r="I150" s="22" t="b">
        <v>0</v>
      </c>
      <c r="J150" s="22" t="b">
        <v>0</v>
      </c>
      <c r="K150" s="22" t="b">
        <v>0</v>
      </c>
      <c r="L150" s="22" t="b">
        <v>0</v>
      </c>
      <c r="M150" s="21"/>
      <c r="N150" s="23">
        <v>0</v>
      </c>
      <c r="O150" s="24"/>
      <c r="P150" s="19"/>
      <c r="Q150" s="25"/>
      <c r="R150" s="25"/>
      <c r="S150" s="19"/>
      <c r="T150" s="26"/>
      <c r="U150" s="30" t="s">
        <v>34</v>
      </c>
      <c r="V150" s="28" t="s">
        <v>661</v>
      </c>
      <c r="W150" s="29" t="s">
        <v>26</v>
      </c>
    </row>
    <row r="151" spans="1:23" ht="30" customHeight="1">
      <c r="A151" s="19" t="s">
        <v>5576</v>
      </c>
      <c r="B151" s="19" t="s">
        <v>5569</v>
      </c>
      <c r="C151" s="19"/>
      <c r="D151" s="19" t="s">
        <v>664</v>
      </c>
      <c r="E151" s="20" t="s">
        <v>665</v>
      </c>
      <c r="F151" s="19"/>
      <c r="G151" s="21" t="s">
        <v>22</v>
      </c>
      <c r="H151" s="22" t="b">
        <v>0</v>
      </c>
      <c r="I151" s="22" t="b">
        <v>0</v>
      </c>
      <c r="J151" s="22" t="b">
        <v>0</v>
      </c>
      <c r="K151" s="22" t="b">
        <v>0</v>
      </c>
      <c r="L151" s="22" t="b">
        <v>0</v>
      </c>
      <c r="M151" s="21"/>
      <c r="N151" s="23">
        <v>0</v>
      </c>
      <c r="O151" s="24"/>
      <c r="P151" s="19"/>
      <c r="Q151" s="25"/>
      <c r="R151" s="25"/>
      <c r="S151" s="19"/>
      <c r="T151" s="26"/>
      <c r="U151" s="27" t="s">
        <v>21</v>
      </c>
      <c r="V151" s="28" t="s">
        <v>666</v>
      </c>
      <c r="W151" s="29" t="s">
        <v>26</v>
      </c>
    </row>
    <row r="152" spans="1:23" ht="30" customHeight="1">
      <c r="A152" s="19" t="s">
        <v>5576</v>
      </c>
      <c r="B152" s="19" t="s">
        <v>5569</v>
      </c>
      <c r="C152" s="19"/>
      <c r="D152" s="19" t="s">
        <v>669</v>
      </c>
      <c r="E152" s="20" t="s">
        <v>670</v>
      </c>
      <c r="F152" s="19"/>
      <c r="G152" s="21" t="s">
        <v>22</v>
      </c>
      <c r="H152" s="22" t="b">
        <v>0</v>
      </c>
      <c r="I152" s="22" t="b">
        <v>0</v>
      </c>
      <c r="J152" s="22" t="b">
        <v>0</v>
      </c>
      <c r="K152" s="22" t="b">
        <v>0</v>
      </c>
      <c r="L152" s="22" t="b">
        <v>0</v>
      </c>
      <c r="M152" s="21"/>
      <c r="N152" s="23">
        <v>0</v>
      </c>
      <c r="O152" s="24"/>
      <c r="P152" s="19"/>
      <c r="Q152" s="25"/>
      <c r="R152" s="25"/>
      <c r="S152" s="19"/>
      <c r="T152" s="26"/>
      <c r="U152" s="27" t="s">
        <v>21</v>
      </c>
      <c r="V152" s="28" t="s">
        <v>671</v>
      </c>
      <c r="W152" s="29" t="s">
        <v>26</v>
      </c>
    </row>
    <row r="153" spans="1:23" ht="30" customHeight="1">
      <c r="A153" s="19" t="s">
        <v>5576</v>
      </c>
      <c r="B153" s="19" t="s">
        <v>5569</v>
      </c>
      <c r="C153" s="19"/>
      <c r="D153" s="19" t="s">
        <v>674</v>
      </c>
      <c r="E153" s="20" t="s">
        <v>675</v>
      </c>
      <c r="F153" s="19"/>
      <c r="G153" s="21" t="s">
        <v>22</v>
      </c>
      <c r="H153" s="22" t="b">
        <v>0</v>
      </c>
      <c r="I153" s="22" t="b">
        <v>0</v>
      </c>
      <c r="J153" s="22" t="b">
        <v>0</v>
      </c>
      <c r="K153" s="22" t="b">
        <v>0</v>
      </c>
      <c r="L153" s="22" t="b">
        <v>0</v>
      </c>
      <c r="M153" s="21"/>
      <c r="N153" s="23">
        <v>0</v>
      </c>
      <c r="O153" s="24"/>
      <c r="P153" s="19"/>
      <c r="Q153" s="25"/>
      <c r="R153" s="25"/>
      <c r="S153" s="19"/>
      <c r="T153" s="26"/>
      <c r="U153" s="27" t="s">
        <v>21</v>
      </c>
      <c r="V153" s="28" t="s">
        <v>676</v>
      </c>
      <c r="W153" s="29" t="s">
        <v>26</v>
      </c>
    </row>
    <row r="154" spans="1:23" ht="30" customHeight="1">
      <c r="A154" s="19" t="s">
        <v>5576</v>
      </c>
      <c r="B154" s="19" t="s">
        <v>5569</v>
      </c>
      <c r="C154" s="19"/>
      <c r="D154" s="19" t="s">
        <v>679</v>
      </c>
      <c r="E154" s="20" t="s">
        <v>680</v>
      </c>
      <c r="F154" s="19"/>
      <c r="G154" s="21" t="s">
        <v>22</v>
      </c>
      <c r="H154" s="22" t="b">
        <v>0</v>
      </c>
      <c r="I154" s="22" t="b">
        <v>0</v>
      </c>
      <c r="J154" s="22" t="b">
        <v>0</v>
      </c>
      <c r="K154" s="22" t="b">
        <v>0</v>
      </c>
      <c r="L154" s="22" t="b">
        <v>0</v>
      </c>
      <c r="M154" s="21"/>
      <c r="N154" s="23">
        <v>0</v>
      </c>
      <c r="O154" s="24"/>
      <c r="P154" s="19"/>
      <c r="Q154" s="25"/>
      <c r="R154" s="25"/>
      <c r="S154" s="19"/>
      <c r="T154" s="26"/>
      <c r="U154" s="27" t="s">
        <v>21</v>
      </c>
      <c r="V154" s="28" t="s">
        <v>681</v>
      </c>
      <c r="W154" s="29" t="s">
        <v>26</v>
      </c>
    </row>
    <row r="155" spans="1:23" ht="30" customHeight="1">
      <c r="A155" s="19" t="s">
        <v>5576</v>
      </c>
      <c r="B155" s="19" t="s">
        <v>5569</v>
      </c>
      <c r="C155" s="19"/>
      <c r="D155" s="19" t="s">
        <v>683</v>
      </c>
      <c r="E155" s="20" t="s">
        <v>684</v>
      </c>
      <c r="F155" s="19"/>
      <c r="G155" s="21" t="s">
        <v>22</v>
      </c>
      <c r="H155" s="22" t="b">
        <v>0</v>
      </c>
      <c r="I155" s="22" t="b">
        <v>0</v>
      </c>
      <c r="J155" s="22" t="b">
        <v>0</v>
      </c>
      <c r="K155" s="22" t="b">
        <v>0</v>
      </c>
      <c r="L155" s="22" t="b">
        <v>0</v>
      </c>
      <c r="M155" s="21"/>
      <c r="N155" s="23">
        <v>0</v>
      </c>
      <c r="O155" s="24"/>
      <c r="P155" s="19"/>
      <c r="Q155" s="25"/>
      <c r="R155" s="25"/>
      <c r="S155" s="19"/>
      <c r="T155" s="26"/>
      <c r="U155" s="27" t="s">
        <v>21</v>
      </c>
      <c r="V155" s="28" t="s">
        <v>685</v>
      </c>
      <c r="W155" s="29" t="s">
        <v>26</v>
      </c>
    </row>
    <row r="156" spans="1:23" ht="30" customHeight="1">
      <c r="A156" s="19" t="s">
        <v>5576</v>
      </c>
      <c r="B156" s="19" t="s">
        <v>5569</v>
      </c>
      <c r="C156" s="19"/>
      <c r="D156" s="19" t="s">
        <v>688</v>
      </c>
      <c r="E156" s="20" t="s">
        <v>689</v>
      </c>
      <c r="F156" s="19"/>
      <c r="G156" s="21" t="s">
        <v>22</v>
      </c>
      <c r="H156" s="22" t="b">
        <v>0</v>
      </c>
      <c r="I156" s="22" t="b">
        <v>0</v>
      </c>
      <c r="J156" s="22" t="b">
        <v>0</v>
      </c>
      <c r="K156" s="22" t="b">
        <v>0</v>
      </c>
      <c r="L156" s="22" t="b">
        <v>0</v>
      </c>
      <c r="M156" s="21"/>
      <c r="N156" s="23">
        <v>0</v>
      </c>
      <c r="O156" s="24"/>
      <c r="P156" s="19"/>
      <c r="Q156" s="25"/>
      <c r="R156" s="25"/>
      <c r="S156" s="19"/>
      <c r="T156" s="26"/>
      <c r="U156" s="27" t="s">
        <v>21</v>
      </c>
      <c r="V156" s="28" t="s">
        <v>690</v>
      </c>
      <c r="W156" s="29" t="s">
        <v>26</v>
      </c>
    </row>
    <row r="157" spans="1:23" ht="30" customHeight="1">
      <c r="A157" s="19" t="s">
        <v>5576</v>
      </c>
      <c r="B157" s="19" t="s">
        <v>5569</v>
      </c>
      <c r="C157" s="19"/>
      <c r="D157" s="19" t="s">
        <v>692</v>
      </c>
      <c r="E157" s="20" t="s">
        <v>693</v>
      </c>
      <c r="F157" s="19"/>
      <c r="G157" s="21" t="s">
        <v>22</v>
      </c>
      <c r="H157" s="22" t="b">
        <v>0</v>
      </c>
      <c r="I157" s="22" t="b">
        <v>0</v>
      </c>
      <c r="J157" s="22" t="b">
        <v>0</v>
      </c>
      <c r="K157" s="22" t="b">
        <v>0</v>
      </c>
      <c r="L157" s="22" t="b">
        <v>0</v>
      </c>
      <c r="M157" s="21"/>
      <c r="N157" s="23">
        <v>0</v>
      </c>
      <c r="O157" s="24"/>
      <c r="P157" s="19"/>
      <c r="Q157" s="25"/>
      <c r="R157" s="25"/>
      <c r="S157" s="19"/>
      <c r="T157" s="26"/>
      <c r="U157" s="27" t="s">
        <v>21</v>
      </c>
      <c r="V157" s="28" t="s">
        <v>694</v>
      </c>
      <c r="W157" s="29" t="s">
        <v>26</v>
      </c>
    </row>
    <row r="158" spans="1:23" ht="30" customHeight="1">
      <c r="A158" s="19" t="s">
        <v>5576</v>
      </c>
      <c r="B158" s="19" t="s">
        <v>5569</v>
      </c>
      <c r="C158" s="19"/>
      <c r="D158" s="19" t="s">
        <v>696</v>
      </c>
      <c r="E158" s="20" t="s">
        <v>697</v>
      </c>
      <c r="F158" s="19"/>
      <c r="G158" s="21" t="s">
        <v>22</v>
      </c>
      <c r="H158" s="22" t="b">
        <v>0</v>
      </c>
      <c r="I158" s="22" t="b">
        <v>0</v>
      </c>
      <c r="J158" s="22" t="b">
        <v>0</v>
      </c>
      <c r="K158" s="22" t="b">
        <v>0</v>
      </c>
      <c r="L158" s="22" t="b">
        <v>0</v>
      </c>
      <c r="M158" s="21"/>
      <c r="N158" s="23">
        <v>0</v>
      </c>
      <c r="O158" s="24"/>
      <c r="P158" s="19"/>
      <c r="Q158" s="25"/>
      <c r="R158" s="25"/>
      <c r="S158" s="19"/>
      <c r="T158" s="26"/>
      <c r="U158" s="27" t="s">
        <v>21</v>
      </c>
      <c r="V158" s="28" t="s">
        <v>698</v>
      </c>
      <c r="W158" s="29" t="s">
        <v>26</v>
      </c>
    </row>
    <row r="159" spans="1:23" ht="30" customHeight="1">
      <c r="A159" s="19" t="s">
        <v>5576</v>
      </c>
      <c r="B159" s="19" t="s">
        <v>5569</v>
      </c>
      <c r="C159" s="19"/>
      <c r="D159" s="19" t="s">
        <v>700</v>
      </c>
      <c r="E159" s="20" t="s">
        <v>701</v>
      </c>
      <c r="F159" s="19"/>
      <c r="G159" s="21" t="s">
        <v>29</v>
      </c>
      <c r="H159" s="22" t="b">
        <v>0</v>
      </c>
      <c r="I159" s="22" t="b">
        <v>0</v>
      </c>
      <c r="J159" s="22" t="b">
        <v>0</v>
      </c>
      <c r="K159" s="22" t="b">
        <v>0</v>
      </c>
      <c r="L159" s="22" t="b">
        <v>0</v>
      </c>
      <c r="M159" s="21"/>
      <c r="N159" s="23">
        <v>0</v>
      </c>
      <c r="O159" s="24"/>
      <c r="P159" s="19"/>
      <c r="Q159" s="25"/>
      <c r="R159" s="25"/>
      <c r="S159" s="19"/>
      <c r="T159" s="26"/>
      <c r="U159" s="27" t="s">
        <v>21</v>
      </c>
      <c r="V159" s="28" t="s">
        <v>702</v>
      </c>
      <c r="W159" s="29" t="s">
        <v>26</v>
      </c>
    </row>
    <row r="160" spans="1:23" ht="30" customHeight="1">
      <c r="A160" s="19" t="s">
        <v>5576</v>
      </c>
      <c r="B160" s="19" t="s">
        <v>5569</v>
      </c>
      <c r="C160" s="19"/>
      <c r="D160" s="19" t="s">
        <v>704</v>
      </c>
      <c r="E160" s="20" t="s">
        <v>705</v>
      </c>
      <c r="F160" s="19"/>
      <c r="G160" s="21" t="s">
        <v>29</v>
      </c>
      <c r="H160" s="22" t="b">
        <v>0</v>
      </c>
      <c r="I160" s="22" t="b">
        <v>0</v>
      </c>
      <c r="J160" s="22" t="b">
        <v>0</v>
      </c>
      <c r="K160" s="22" t="b">
        <v>0</v>
      </c>
      <c r="L160" s="22" t="b">
        <v>0</v>
      </c>
      <c r="M160" s="21"/>
      <c r="N160" s="23">
        <v>0</v>
      </c>
      <c r="O160" s="24"/>
      <c r="P160" s="19"/>
      <c r="Q160" s="25"/>
      <c r="R160" s="25"/>
      <c r="S160" s="19"/>
      <c r="T160" s="26"/>
      <c r="U160" s="27" t="s">
        <v>21</v>
      </c>
      <c r="V160" s="28" t="s">
        <v>706</v>
      </c>
      <c r="W160" s="29" t="s">
        <v>26</v>
      </c>
    </row>
    <row r="161" spans="1:23" ht="30" customHeight="1">
      <c r="A161" s="19" t="s">
        <v>5576</v>
      </c>
      <c r="B161" s="19" t="s">
        <v>5569</v>
      </c>
      <c r="C161" s="19"/>
      <c r="D161" s="19" t="s">
        <v>709</v>
      </c>
      <c r="E161" s="20" t="s">
        <v>710</v>
      </c>
      <c r="F161" s="19"/>
      <c r="G161" s="21" t="s">
        <v>39</v>
      </c>
      <c r="H161" s="22" t="b">
        <v>0</v>
      </c>
      <c r="I161" s="22" t="b">
        <v>0</v>
      </c>
      <c r="J161" s="22" t="b">
        <v>0</v>
      </c>
      <c r="K161" s="22" t="b">
        <v>0</v>
      </c>
      <c r="L161" s="22" t="b">
        <v>0</v>
      </c>
      <c r="M161" s="21"/>
      <c r="N161" s="23">
        <v>0</v>
      </c>
      <c r="O161" s="24"/>
      <c r="P161" s="19"/>
      <c r="Q161" s="25"/>
      <c r="R161" s="25"/>
      <c r="S161" s="19"/>
      <c r="T161" s="26"/>
      <c r="U161" s="27" t="s">
        <v>21</v>
      </c>
      <c r="V161" s="28" t="s">
        <v>711</v>
      </c>
      <c r="W161" s="29" t="s">
        <v>26</v>
      </c>
    </row>
    <row r="162" spans="1:23" ht="30" customHeight="1">
      <c r="A162" s="19" t="s">
        <v>5576</v>
      </c>
      <c r="B162" s="19" t="s">
        <v>5569</v>
      </c>
      <c r="C162" s="19"/>
      <c r="D162" s="19" t="s">
        <v>714</v>
      </c>
      <c r="E162" s="20" t="s">
        <v>715</v>
      </c>
      <c r="F162" s="19"/>
      <c r="G162" s="21" t="s">
        <v>22</v>
      </c>
      <c r="H162" s="22" t="b">
        <v>0</v>
      </c>
      <c r="I162" s="22" t="b">
        <v>0</v>
      </c>
      <c r="J162" s="22" t="b">
        <v>0</v>
      </c>
      <c r="K162" s="22" t="b">
        <v>0</v>
      </c>
      <c r="L162" s="22" t="b">
        <v>0</v>
      </c>
      <c r="M162" s="21"/>
      <c r="N162" s="23">
        <v>0</v>
      </c>
      <c r="O162" s="24"/>
      <c r="P162" s="19"/>
      <c r="Q162" s="25"/>
      <c r="R162" s="25"/>
      <c r="S162" s="19"/>
      <c r="T162" s="26"/>
      <c r="U162" s="27" t="s">
        <v>21</v>
      </c>
      <c r="V162" s="28" t="s">
        <v>716</v>
      </c>
      <c r="W162" s="29" t="s">
        <v>26</v>
      </c>
    </row>
    <row r="163" spans="1:23" ht="30" customHeight="1">
      <c r="A163" s="19" t="s">
        <v>5576</v>
      </c>
      <c r="B163" s="19" t="s">
        <v>5569</v>
      </c>
      <c r="C163" s="19"/>
      <c r="D163" s="19" t="s">
        <v>718</v>
      </c>
      <c r="E163" s="20" t="s">
        <v>719</v>
      </c>
      <c r="F163" s="19"/>
      <c r="G163" s="21" t="s">
        <v>22</v>
      </c>
      <c r="H163" s="22" t="b">
        <v>0</v>
      </c>
      <c r="I163" s="22" t="b">
        <v>0</v>
      </c>
      <c r="J163" s="22" t="b">
        <v>0</v>
      </c>
      <c r="K163" s="22" t="b">
        <v>0</v>
      </c>
      <c r="L163" s="22" t="b">
        <v>0</v>
      </c>
      <c r="M163" s="21"/>
      <c r="N163" s="23">
        <v>0</v>
      </c>
      <c r="O163" s="24"/>
      <c r="P163" s="19"/>
      <c r="Q163" s="25"/>
      <c r="R163" s="25"/>
      <c r="S163" s="19"/>
      <c r="T163" s="26"/>
      <c r="U163" s="27" t="s">
        <v>21</v>
      </c>
      <c r="V163" s="28" t="s">
        <v>720</v>
      </c>
      <c r="W163" s="29" t="s">
        <v>26</v>
      </c>
    </row>
    <row r="164" spans="1:23" ht="30" customHeight="1">
      <c r="A164" s="19" t="s">
        <v>5576</v>
      </c>
      <c r="B164" s="19" t="s">
        <v>5569</v>
      </c>
      <c r="C164" s="19"/>
      <c r="D164" s="19" t="s">
        <v>723</v>
      </c>
      <c r="E164" s="20" t="s">
        <v>724</v>
      </c>
      <c r="F164" s="19"/>
      <c r="G164" s="21" t="s">
        <v>22</v>
      </c>
      <c r="H164" s="22" t="b">
        <v>0</v>
      </c>
      <c r="I164" s="22" t="b">
        <v>0</v>
      </c>
      <c r="J164" s="22" t="b">
        <v>0</v>
      </c>
      <c r="K164" s="22" t="b">
        <v>0</v>
      </c>
      <c r="L164" s="22" t="b">
        <v>0</v>
      </c>
      <c r="M164" s="21"/>
      <c r="N164" s="23">
        <v>0</v>
      </c>
      <c r="O164" s="24"/>
      <c r="P164" s="19"/>
      <c r="Q164" s="25"/>
      <c r="R164" s="25"/>
      <c r="S164" s="19"/>
      <c r="T164" s="26"/>
      <c r="U164" s="27" t="s">
        <v>21</v>
      </c>
      <c r="V164" s="28" t="s">
        <v>361</v>
      </c>
      <c r="W164" s="29" t="s">
        <v>26</v>
      </c>
    </row>
    <row r="165" spans="1:23" ht="30" customHeight="1">
      <c r="A165" s="19" t="s">
        <v>5576</v>
      </c>
      <c r="B165" s="19" t="s">
        <v>5569</v>
      </c>
      <c r="C165" s="19"/>
      <c r="D165" s="19" t="s">
        <v>726</v>
      </c>
      <c r="E165" s="20" t="s">
        <v>727</v>
      </c>
      <c r="F165" s="19"/>
      <c r="G165" s="21" t="s">
        <v>22</v>
      </c>
      <c r="H165" s="22" t="b">
        <v>0</v>
      </c>
      <c r="I165" s="22" t="b">
        <v>0</v>
      </c>
      <c r="J165" s="22" t="b">
        <v>0</v>
      </c>
      <c r="K165" s="22" t="b">
        <v>0</v>
      </c>
      <c r="L165" s="22" t="b">
        <v>0</v>
      </c>
      <c r="M165" s="21"/>
      <c r="N165" s="23">
        <v>0</v>
      </c>
      <c r="O165" s="24"/>
      <c r="P165" s="19"/>
      <c r="Q165" s="25"/>
      <c r="R165" s="25"/>
      <c r="S165" s="19"/>
      <c r="T165" s="26"/>
      <c r="U165" s="27" t="s">
        <v>21</v>
      </c>
      <c r="V165" s="28" t="s">
        <v>361</v>
      </c>
      <c r="W165" s="29" t="s">
        <v>26</v>
      </c>
    </row>
    <row r="166" spans="1:23" ht="30" customHeight="1">
      <c r="A166" s="19" t="s">
        <v>5576</v>
      </c>
      <c r="B166" s="19" t="s">
        <v>5569</v>
      </c>
      <c r="C166" s="19"/>
      <c r="D166" s="19" t="s">
        <v>729</v>
      </c>
      <c r="E166" s="20" t="s">
        <v>730</v>
      </c>
      <c r="F166" s="19"/>
      <c r="G166" s="21" t="s">
        <v>22</v>
      </c>
      <c r="H166" s="22" t="b">
        <v>0</v>
      </c>
      <c r="I166" s="22" t="b">
        <v>0</v>
      </c>
      <c r="J166" s="22" t="b">
        <v>0</v>
      </c>
      <c r="K166" s="22" t="b">
        <v>0</v>
      </c>
      <c r="L166" s="22" t="b">
        <v>0</v>
      </c>
      <c r="M166" s="21"/>
      <c r="N166" s="23">
        <v>0</v>
      </c>
      <c r="O166" s="24"/>
      <c r="P166" s="19"/>
      <c r="Q166" s="25"/>
      <c r="R166" s="25"/>
      <c r="S166" s="19"/>
      <c r="T166" s="26"/>
      <c r="U166" s="27" t="s">
        <v>21</v>
      </c>
      <c r="V166" s="28" t="s">
        <v>731</v>
      </c>
      <c r="W166" s="29" t="s">
        <v>26</v>
      </c>
    </row>
    <row r="167" spans="1:23" ht="30" customHeight="1">
      <c r="A167" s="19" t="s">
        <v>5576</v>
      </c>
      <c r="B167" s="19" t="s">
        <v>5569</v>
      </c>
      <c r="C167" s="19"/>
      <c r="D167" s="19" t="s">
        <v>733</v>
      </c>
      <c r="E167" s="20" t="s">
        <v>734</v>
      </c>
      <c r="F167" s="19"/>
      <c r="G167" s="21" t="s">
        <v>22</v>
      </c>
      <c r="H167" s="22" t="b">
        <v>0</v>
      </c>
      <c r="I167" s="22" t="b">
        <v>0</v>
      </c>
      <c r="J167" s="22" t="b">
        <v>0</v>
      </c>
      <c r="K167" s="22" t="b">
        <v>0</v>
      </c>
      <c r="L167" s="22" t="b">
        <v>0</v>
      </c>
      <c r="M167" s="21"/>
      <c r="N167" s="23">
        <v>0</v>
      </c>
      <c r="O167" s="24"/>
      <c r="P167" s="19"/>
      <c r="Q167" s="25"/>
      <c r="R167" s="25"/>
      <c r="S167" s="19"/>
      <c r="T167" s="26"/>
      <c r="U167" s="27" t="s">
        <v>21</v>
      </c>
      <c r="V167" s="28" t="s">
        <v>735</v>
      </c>
      <c r="W167" s="29" t="s">
        <v>26</v>
      </c>
    </row>
    <row r="168" spans="1:23" ht="30" customHeight="1">
      <c r="A168" s="19" t="s">
        <v>5576</v>
      </c>
      <c r="B168" s="19" t="s">
        <v>5569</v>
      </c>
      <c r="C168" s="19"/>
      <c r="D168" s="19" t="s">
        <v>737</v>
      </c>
      <c r="E168" s="20" t="s">
        <v>738</v>
      </c>
      <c r="F168" s="19"/>
      <c r="G168" s="21" t="s">
        <v>22</v>
      </c>
      <c r="H168" s="22" t="b">
        <v>0</v>
      </c>
      <c r="I168" s="22" t="b">
        <v>0</v>
      </c>
      <c r="J168" s="22" t="b">
        <v>0</v>
      </c>
      <c r="K168" s="22" t="b">
        <v>0</v>
      </c>
      <c r="L168" s="22" t="b">
        <v>0</v>
      </c>
      <c r="M168" s="21"/>
      <c r="N168" s="23">
        <v>0</v>
      </c>
      <c r="O168" s="24"/>
      <c r="P168" s="19"/>
      <c r="Q168" s="25"/>
      <c r="R168" s="25"/>
      <c r="S168" s="19"/>
      <c r="T168" s="26"/>
      <c r="U168" s="27" t="s">
        <v>21</v>
      </c>
      <c r="V168" s="28" t="s">
        <v>739</v>
      </c>
      <c r="W168" s="29" t="s">
        <v>26</v>
      </c>
    </row>
    <row r="169" spans="1:23" ht="30" customHeight="1">
      <c r="A169" s="19" t="s">
        <v>5576</v>
      </c>
      <c r="B169" s="19" t="s">
        <v>5569</v>
      </c>
      <c r="C169" s="19"/>
      <c r="D169" s="19" t="s">
        <v>741</v>
      </c>
      <c r="E169" s="20" t="s">
        <v>742</v>
      </c>
      <c r="F169" s="19"/>
      <c r="G169" s="21" t="s">
        <v>22</v>
      </c>
      <c r="H169" s="22" t="b">
        <v>0</v>
      </c>
      <c r="I169" s="22" t="b">
        <v>0</v>
      </c>
      <c r="J169" s="22" t="b">
        <v>0</v>
      </c>
      <c r="K169" s="22" t="b">
        <v>0</v>
      </c>
      <c r="L169" s="22" t="b">
        <v>0</v>
      </c>
      <c r="M169" s="21"/>
      <c r="N169" s="23">
        <v>0</v>
      </c>
      <c r="O169" s="24"/>
      <c r="P169" s="19"/>
      <c r="Q169" s="25"/>
      <c r="R169" s="25"/>
      <c r="S169" s="19"/>
      <c r="T169" s="26"/>
      <c r="U169" s="27" t="s">
        <v>21</v>
      </c>
      <c r="V169" s="28" t="s">
        <v>743</v>
      </c>
      <c r="W169" s="29" t="s">
        <v>26</v>
      </c>
    </row>
    <row r="170" spans="1:23" ht="30" customHeight="1">
      <c r="A170" s="19" t="s">
        <v>5576</v>
      </c>
      <c r="B170" s="19" t="s">
        <v>5569</v>
      </c>
      <c r="C170" s="19"/>
      <c r="D170" s="19" t="s">
        <v>745</v>
      </c>
      <c r="E170" s="20" t="s">
        <v>746</v>
      </c>
      <c r="F170" s="19"/>
      <c r="G170" s="21" t="s">
        <v>29</v>
      </c>
      <c r="H170" s="22" t="b">
        <v>0</v>
      </c>
      <c r="I170" s="22" t="b">
        <v>0</v>
      </c>
      <c r="J170" s="22" t="b">
        <v>0</v>
      </c>
      <c r="K170" s="22" t="b">
        <v>0</v>
      </c>
      <c r="L170" s="22" t="b">
        <v>0</v>
      </c>
      <c r="M170" s="21"/>
      <c r="N170" s="23">
        <v>0</v>
      </c>
      <c r="O170" s="24"/>
      <c r="P170" s="19"/>
      <c r="Q170" s="25"/>
      <c r="R170" s="25"/>
      <c r="S170" s="19"/>
      <c r="T170" s="26"/>
      <c r="U170" s="27" t="s">
        <v>21</v>
      </c>
      <c r="V170" s="28" t="s">
        <v>747</v>
      </c>
      <c r="W170" s="29" t="s">
        <v>26</v>
      </c>
    </row>
    <row r="171" spans="1:23" ht="30" customHeight="1">
      <c r="A171" s="19" t="s">
        <v>5576</v>
      </c>
      <c r="B171" s="19" t="s">
        <v>5569</v>
      </c>
      <c r="C171" s="19"/>
      <c r="D171" s="19" t="s">
        <v>749</v>
      </c>
      <c r="E171" s="20" t="s">
        <v>750</v>
      </c>
      <c r="F171" s="19"/>
      <c r="G171" s="21" t="s">
        <v>29</v>
      </c>
      <c r="H171" s="22" t="b">
        <v>0</v>
      </c>
      <c r="I171" s="22" t="b">
        <v>0</v>
      </c>
      <c r="J171" s="22" t="b">
        <v>0</v>
      </c>
      <c r="K171" s="22" t="b">
        <v>0</v>
      </c>
      <c r="L171" s="22" t="b">
        <v>0</v>
      </c>
      <c r="M171" s="21"/>
      <c r="N171" s="23">
        <v>0</v>
      </c>
      <c r="O171" s="24"/>
      <c r="P171" s="19"/>
      <c r="Q171" s="25"/>
      <c r="R171" s="25"/>
      <c r="S171" s="19"/>
      <c r="T171" s="26"/>
      <c r="U171" s="27" t="s">
        <v>21</v>
      </c>
      <c r="V171" s="28" t="s">
        <v>751</v>
      </c>
      <c r="W171" s="29" t="s">
        <v>26</v>
      </c>
    </row>
    <row r="172" spans="1:23" ht="30" customHeight="1">
      <c r="A172" s="19" t="s">
        <v>5576</v>
      </c>
      <c r="B172" s="19" t="s">
        <v>5569</v>
      </c>
      <c r="C172" s="19"/>
      <c r="D172" s="19" t="s">
        <v>753</v>
      </c>
      <c r="E172" s="20" t="s">
        <v>754</v>
      </c>
      <c r="F172" s="19"/>
      <c r="G172" s="21" t="s">
        <v>22</v>
      </c>
      <c r="H172" s="22" t="b">
        <v>0</v>
      </c>
      <c r="I172" s="22" t="b">
        <v>0</v>
      </c>
      <c r="J172" s="22" t="b">
        <v>0</v>
      </c>
      <c r="K172" s="22" t="b">
        <v>0</v>
      </c>
      <c r="L172" s="22" t="b">
        <v>0</v>
      </c>
      <c r="M172" s="21"/>
      <c r="N172" s="23">
        <v>0</v>
      </c>
      <c r="O172" s="24"/>
      <c r="P172" s="19"/>
      <c r="Q172" s="25"/>
      <c r="R172" s="25"/>
      <c r="S172" s="19"/>
      <c r="T172" s="26"/>
      <c r="U172" s="27" t="s">
        <v>21</v>
      </c>
      <c r="V172" s="28" t="s">
        <v>755</v>
      </c>
      <c r="W172" s="29" t="s">
        <v>26</v>
      </c>
    </row>
    <row r="173" spans="1:23" ht="30" customHeight="1">
      <c r="A173" s="19" t="s">
        <v>5576</v>
      </c>
      <c r="B173" s="19" t="s">
        <v>5569</v>
      </c>
      <c r="C173" s="19"/>
      <c r="D173" s="19" t="s">
        <v>757</v>
      </c>
      <c r="E173" s="20" t="s">
        <v>758</v>
      </c>
      <c r="F173" s="19"/>
      <c r="G173" s="21" t="s">
        <v>22</v>
      </c>
      <c r="H173" s="22" t="b">
        <v>0</v>
      </c>
      <c r="I173" s="22" t="b">
        <v>0</v>
      </c>
      <c r="J173" s="22" t="b">
        <v>0</v>
      </c>
      <c r="K173" s="22" t="b">
        <v>0</v>
      </c>
      <c r="L173" s="22" t="b">
        <v>0</v>
      </c>
      <c r="M173" s="21"/>
      <c r="N173" s="23">
        <v>0</v>
      </c>
      <c r="O173" s="24"/>
      <c r="P173" s="19"/>
      <c r="Q173" s="25"/>
      <c r="R173" s="25"/>
      <c r="S173" s="19"/>
      <c r="T173" s="26"/>
      <c r="U173" s="27" t="s">
        <v>21</v>
      </c>
      <c r="V173" s="28" t="s">
        <v>180</v>
      </c>
      <c r="W173" s="29" t="s">
        <v>26</v>
      </c>
    </row>
    <row r="174" spans="1:23" ht="30" customHeight="1">
      <c r="A174" s="19" t="s">
        <v>5576</v>
      </c>
      <c r="B174" s="19" t="s">
        <v>5569</v>
      </c>
      <c r="C174" s="19"/>
      <c r="D174" s="19" t="s">
        <v>760</v>
      </c>
      <c r="E174" s="20" t="s">
        <v>761</v>
      </c>
      <c r="F174" s="19"/>
      <c r="G174" s="21" t="s">
        <v>22</v>
      </c>
      <c r="H174" s="22" t="b">
        <v>0</v>
      </c>
      <c r="I174" s="22" t="b">
        <v>0</v>
      </c>
      <c r="J174" s="22" t="b">
        <v>0</v>
      </c>
      <c r="K174" s="22" t="b">
        <v>0</v>
      </c>
      <c r="L174" s="22" t="b">
        <v>0</v>
      </c>
      <c r="M174" s="21"/>
      <c r="N174" s="23">
        <v>0</v>
      </c>
      <c r="O174" s="24"/>
      <c r="P174" s="19"/>
      <c r="Q174" s="25"/>
      <c r="R174" s="25"/>
      <c r="S174" s="19"/>
      <c r="T174" s="26"/>
      <c r="U174" s="30" t="s">
        <v>34</v>
      </c>
      <c r="V174" s="28" t="s">
        <v>762</v>
      </c>
      <c r="W174" s="29" t="s">
        <v>26</v>
      </c>
    </row>
    <row r="175" spans="1:23" ht="30" customHeight="1">
      <c r="A175" s="19" t="s">
        <v>5576</v>
      </c>
      <c r="B175" s="19" t="s">
        <v>5569</v>
      </c>
      <c r="C175" s="19"/>
      <c r="D175" s="19" t="s">
        <v>765</v>
      </c>
      <c r="E175" s="20" t="s">
        <v>766</v>
      </c>
      <c r="F175" s="19"/>
      <c r="G175" s="21" t="s">
        <v>22</v>
      </c>
      <c r="H175" s="22" t="b">
        <v>0</v>
      </c>
      <c r="I175" s="22" t="b">
        <v>0</v>
      </c>
      <c r="J175" s="22" t="b">
        <v>0</v>
      </c>
      <c r="K175" s="22" t="b">
        <v>0</v>
      </c>
      <c r="L175" s="22" t="b">
        <v>0</v>
      </c>
      <c r="M175" s="21"/>
      <c r="N175" s="23">
        <v>0</v>
      </c>
      <c r="O175" s="24"/>
      <c r="P175" s="19"/>
      <c r="Q175" s="25"/>
      <c r="R175" s="25"/>
      <c r="S175" s="19"/>
      <c r="T175" s="26"/>
      <c r="U175" s="27" t="s">
        <v>21</v>
      </c>
      <c r="V175" s="28" t="s">
        <v>767</v>
      </c>
      <c r="W175" s="29" t="s">
        <v>26</v>
      </c>
    </row>
    <row r="176" spans="1:23" ht="30" customHeight="1">
      <c r="A176" s="19" t="s">
        <v>5577</v>
      </c>
      <c r="B176" s="19" t="s">
        <v>5569</v>
      </c>
      <c r="C176" s="19"/>
      <c r="D176" s="19" t="s">
        <v>771</v>
      </c>
      <c r="E176" s="20" t="s">
        <v>772</v>
      </c>
      <c r="F176" s="19"/>
      <c r="G176" s="21" t="s">
        <v>22</v>
      </c>
      <c r="H176" s="22" t="b">
        <v>0</v>
      </c>
      <c r="I176" s="22" t="b">
        <v>0</v>
      </c>
      <c r="J176" s="22" t="b">
        <v>0</v>
      </c>
      <c r="K176" s="22" t="b">
        <v>0</v>
      </c>
      <c r="L176" s="22" t="b">
        <v>0</v>
      </c>
      <c r="M176" s="21"/>
      <c r="N176" s="23">
        <v>0</v>
      </c>
      <c r="O176" s="24"/>
      <c r="P176" s="19"/>
      <c r="Q176" s="25"/>
      <c r="R176" s="25"/>
      <c r="S176" s="19"/>
      <c r="T176" s="26"/>
      <c r="U176" s="27" t="s">
        <v>21</v>
      </c>
      <c r="V176" s="28" t="s">
        <v>773</v>
      </c>
      <c r="W176" s="29" t="s">
        <v>26</v>
      </c>
    </row>
    <row r="177" spans="1:23" ht="30" customHeight="1">
      <c r="A177" s="19" t="s">
        <v>5577</v>
      </c>
      <c r="B177" s="19" t="s">
        <v>5569</v>
      </c>
      <c r="C177" s="19"/>
      <c r="D177" s="19" t="s">
        <v>775</v>
      </c>
      <c r="E177" s="20" t="s">
        <v>776</v>
      </c>
      <c r="F177" s="19"/>
      <c r="G177" s="21" t="s">
        <v>29</v>
      </c>
      <c r="H177" s="22" t="b">
        <v>0</v>
      </c>
      <c r="I177" s="22" t="b">
        <v>0</v>
      </c>
      <c r="J177" s="22" t="b">
        <v>0</v>
      </c>
      <c r="K177" s="22" t="b">
        <v>0</v>
      </c>
      <c r="L177" s="22" t="b">
        <v>0</v>
      </c>
      <c r="M177" s="21"/>
      <c r="N177" s="23">
        <v>0</v>
      </c>
      <c r="O177" s="24"/>
      <c r="P177" s="19"/>
      <c r="Q177" s="25"/>
      <c r="R177" s="25"/>
      <c r="S177" s="19"/>
      <c r="T177" s="26"/>
      <c r="U177" s="27" t="s">
        <v>21</v>
      </c>
      <c r="V177" s="28" t="s">
        <v>777</v>
      </c>
      <c r="W177" s="29" t="s">
        <v>26</v>
      </c>
    </row>
    <row r="178" spans="1:23" ht="30" customHeight="1">
      <c r="A178" s="19" t="s">
        <v>5577</v>
      </c>
      <c r="B178" s="19" t="s">
        <v>5569</v>
      </c>
      <c r="C178" s="19"/>
      <c r="D178" s="19" t="s">
        <v>780</v>
      </c>
      <c r="E178" s="20" t="s">
        <v>781</v>
      </c>
      <c r="F178" s="19"/>
      <c r="G178" s="21" t="s">
        <v>29</v>
      </c>
      <c r="H178" s="22" t="b">
        <v>0</v>
      </c>
      <c r="I178" s="22" t="b">
        <v>0</v>
      </c>
      <c r="J178" s="22" t="b">
        <v>0</v>
      </c>
      <c r="K178" s="22" t="b">
        <v>0</v>
      </c>
      <c r="L178" s="22" t="b">
        <v>0</v>
      </c>
      <c r="M178" s="21"/>
      <c r="N178" s="23">
        <v>0</v>
      </c>
      <c r="O178" s="24"/>
      <c r="P178" s="19"/>
      <c r="Q178" s="25"/>
      <c r="R178" s="25"/>
      <c r="S178" s="19"/>
      <c r="T178" s="26"/>
      <c r="U178" s="27" t="s">
        <v>21</v>
      </c>
      <c r="V178" s="28" t="s">
        <v>782</v>
      </c>
      <c r="W178" s="29" t="s">
        <v>26</v>
      </c>
    </row>
    <row r="179" spans="1:23" ht="30" customHeight="1">
      <c r="A179" s="19" t="s">
        <v>5577</v>
      </c>
      <c r="B179" s="19" t="s">
        <v>5569</v>
      </c>
      <c r="C179" s="19"/>
      <c r="D179" s="19" t="s">
        <v>784</v>
      </c>
      <c r="E179" s="20" t="s">
        <v>785</v>
      </c>
      <c r="F179" s="19"/>
      <c r="G179" s="21" t="s">
        <v>29</v>
      </c>
      <c r="H179" s="22" t="b">
        <v>0</v>
      </c>
      <c r="I179" s="22" t="b">
        <v>0</v>
      </c>
      <c r="J179" s="22" t="b">
        <v>0</v>
      </c>
      <c r="K179" s="22" t="b">
        <v>0</v>
      </c>
      <c r="L179" s="22" t="b">
        <v>0</v>
      </c>
      <c r="M179" s="21"/>
      <c r="N179" s="23">
        <v>0</v>
      </c>
      <c r="O179" s="24"/>
      <c r="P179" s="19"/>
      <c r="Q179" s="25"/>
      <c r="R179" s="25"/>
      <c r="S179" s="19"/>
      <c r="T179" s="26"/>
      <c r="U179" s="27" t="s">
        <v>21</v>
      </c>
      <c r="V179" s="28" t="s">
        <v>486</v>
      </c>
      <c r="W179" s="29" t="s">
        <v>26</v>
      </c>
    </row>
    <row r="180" spans="1:23" ht="30" customHeight="1">
      <c r="A180" s="19" t="s">
        <v>5577</v>
      </c>
      <c r="B180" s="19" t="s">
        <v>5569</v>
      </c>
      <c r="C180" s="19"/>
      <c r="D180" s="19" t="s">
        <v>788</v>
      </c>
      <c r="E180" s="20" t="s">
        <v>789</v>
      </c>
      <c r="F180" s="19"/>
      <c r="G180" s="21" t="s">
        <v>22</v>
      </c>
      <c r="H180" s="22" t="b">
        <v>0</v>
      </c>
      <c r="I180" s="22" t="b">
        <v>0</v>
      </c>
      <c r="J180" s="22" t="b">
        <v>0</v>
      </c>
      <c r="K180" s="22" t="b">
        <v>0</v>
      </c>
      <c r="L180" s="22" t="b">
        <v>0</v>
      </c>
      <c r="M180" s="21"/>
      <c r="N180" s="23">
        <v>0</v>
      </c>
      <c r="O180" s="24"/>
      <c r="P180" s="19"/>
      <c r="Q180" s="25"/>
      <c r="R180" s="25"/>
      <c r="S180" s="19"/>
      <c r="T180" s="26"/>
      <c r="U180" s="27" t="s">
        <v>21</v>
      </c>
      <c r="V180" s="28" t="s">
        <v>790</v>
      </c>
      <c r="W180" s="29" t="s">
        <v>26</v>
      </c>
    </row>
    <row r="181" spans="1:23" ht="30" customHeight="1">
      <c r="A181" s="19" t="s">
        <v>5577</v>
      </c>
      <c r="B181" s="19" t="s">
        <v>5569</v>
      </c>
      <c r="C181" s="19"/>
      <c r="D181" s="19" t="s">
        <v>793</v>
      </c>
      <c r="E181" s="20" t="s">
        <v>794</v>
      </c>
      <c r="F181" s="19"/>
      <c r="G181" s="21" t="s">
        <v>22</v>
      </c>
      <c r="H181" s="22" t="b">
        <v>0</v>
      </c>
      <c r="I181" s="22" t="b">
        <v>0</v>
      </c>
      <c r="J181" s="22" t="b">
        <v>0</v>
      </c>
      <c r="K181" s="22" t="b">
        <v>0</v>
      </c>
      <c r="L181" s="22" t="b">
        <v>0</v>
      </c>
      <c r="M181" s="21"/>
      <c r="N181" s="23">
        <v>0</v>
      </c>
      <c r="O181" s="24"/>
      <c r="P181" s="19"/>
      <c r="Q181" s="25"/>
      <c r="R181" s="25"/>
      <c r="S181" s="19"/>
      <c r="T181" s="26"/>
      <c r="U181" s="27" t="s">
        <v>21</v>
      </c>
      <c r="V181" s="28" t="s">
        <v>795</v>
      </c>
      <c r="W181" s="29" t="s">
        <v>26</v>
      </c>
    </row>
    <row r="182" spans="1:23" ht="30" customHeight="1">
      <c r="A182" s="19" t="s">
        <v>5577</v>
      </c>
      <c r="B182" s="19" t="s">
        <v>5569</v>
      </c>
      <c r="C182" s="19"/>
      <c r="D182" s="19" t="s">
        <v>797</v>
      </c>
      <c r="E182" s="20" t="s">
        <v>798</v>
      </c>
      <c r="F182" s="19"/>
      <c r="G182" s="21" t="s">
        <v>22</v>
      </c>
      <c r="H182" s="22" t="b">
        <v>0</v>
      </c>
      <c r="I182" s="22" t="b">
        <v>0</v>
      </c>
      <c r="J182" s="22" t="b">
        <v>0</v>
      </c>
      <c r="K182" s="22" t="b">
        <v>0</v>
      </c>
      <c r="L182" s="22" t="b">
        <v>0</v>
      </c>
      <c r="M182" s="21"/>
      <c r="N182" s="23">
        <v>0</v>
      </c>
      <c r="O182" s="24"/>
      <c r="P182" s="19"/>
      <c r="Q182" s="25"/>
      <c r="R182" s="25"/>
      <c r="S182" s="19"/>
      <c r="T182" s="26"/>
      <c r="U182" s="27" t="s">
        <v>21</v>
      </c>
      <c r="V182" s="28" t="s">
        <v>799</v>
      </c>
      <c r="W182" s="29" t="s">
        <v>26</v>
      </c>
    </row>
    <row r="183" spans="1:23" ht="30" customHeight="1">
      <c r="A183" s="19" t="s">
        <v>5577</v>
      </c>
      <c r="B183" s="19" t="s">
        <v>5569</v>
      </c>
      <c r="C183" s="19"/>
      <c r="D183" s="19" t="s">
        <v>802</v>
      </c>
      <c r="E183" s="20" t="s">
        <v>803</v>
      </c>
      <c r="F183" s="19"/>
      <c r="G183" s="21" t="s">
        <v>29</v>
      </c>
      <c r="H183" s="22" t="b">
        <v>0</v>
      </c>
      <c r="I183" s="22" t="b">
        <v>0</v>
      </c>
      <c r="J183" s="22" t="b">
        <v>0</v>
      </c>
      <c r="K183" s="22" t="b">
        <v>0</v>
      </c>
      <c r="L183" s="22" t="b">
        <v>0</v>
      </c>
      <c r="M183" s="21"/>
      <c r="N183" s="23">
        <v>0</v>
      </c>
      <c r="O183" s="24"/>
      <c r="P183" s="19"/>
      <c r="Q183" s="25"/>
      <c r="R183" s="25"/>
      <c r="S183" s="19"/>
      <c r="T183" s="26"/>
      <c r="U183" s="27" t="s">
        <v>21</v>
      </c>
      <c r="V183" s="28" t="s">
        <v>804</v>
      </c>
      <c r="W183" s="29" t="s">
        <v>26</v>
      </c>
    </row>
    <row r="184" spans="1:23" ht="30" customHeight="1">
      <c r="A184" s="19" t="s">
        <v>5577</v>
      </c>
      <c r="B184" s="19" t="s">
        <v>5569</v>
      </c>
      <c r="C184" s="19"/>
      <c r="D184" s="19" t="s">
        <v>806</v>
      </c>
      <c r="E184" s="20" t="s">
        <v>807</v>
      </c>
      <c r="F184" s="19"/>
      <c r="G184" s="21" t="s">
        <v>22</v>
      </c>
      <c r="H184" s="22" t="b">
        <v>0</v>
      </c>
      <c r="I184" s="22" t="b">
        <v>0</v>
      </c>
      <c r="J184" s="22" t="b">
        <v>0</v>
      </c>
      <c r="K184" s="22" t="b">
        <v>0</v>
      </c>
      <c r="L184" s="22" t="b">
        <v>0</v>
      </c>
      <c r="M184" s="21"/>
      <c r="N184" s="23">
        <v>0</v>
      </c>
      <c r="O184" s="24"/>
      <c r="P184" s="19"/>
      <c r="Q184" s="25"/>
      <c r="R184" s="25"/>
      <c r="S184" s="19"/>
      <c r="T184" s="26"/>
      <c r="U184" s="27" t="s">
        <v>21</v>
      </c>
      <c r="V184" s="28" t="s">
        <v>808</v>
      </c>
      <c r="W184" s="29" t="s">
        <v>26</v>
      </c>
    </row>
    <row r="185" spans="1:23" ht="30" customHeight="1">
      <c r="A185" s="19" t="s">
        <v>5577</v>
      </c>
      <c r="B185" s="19" t="s">
        <v>5569</v>
      </c>
      <c r="C185" s="19"/>
      <c r="D185" s="19" t="s">
        <v>810</v>
      </c>
      <c r="E185" s="20" t="s">
        <v>811</v>
      </c>
      <c r="F185" s="19"/>
      <c r="G185" s="21" t="s">
        <v>29</v>
      </c>
      <c r="H185" s="22" t="b">
        <v>0</v>
      </c>
      <c r="I185" s="22" t="b">
        <v>0</v>
      </c>
      <c r="J185" s="22" t="b">
        <v>0</v>
      </c>
      <c r="K185" s="22" t="b">
        <v>0</v>
      </c>
      <c r="L185" s="22" t="b">
        <v>0</v>
      </c>
      <c r="M185" s="21"/>
      <c r="N185" s="23">
        <v>0</v>
      </c>
      <c r="O185" s="24"/>
      <c r="P185" s="19"/>
      <c r="Q185" s="25"/>
      <c r="R185" s="25"/>
      <c r="S185" s="19"/>
      <c r="T185" s="26"/>
      <c r="U185" s="27" t="s">
        <v>21</v>
      </c>
      <c r="V185" s="28" t="s">
        <v>812</v>
      </c>
      <c r="W185" s="29" t="s">
        <v>26</v>
      </c>
    </row>
    <row r="186" spans="1:23" ht="30" customHeight="1">
      <c r="A186" s="19" t="s">
        <v>5577</v>
      </c>
      <c r="B186" s="19" t="s">
        <v>5569</v>
      </c>
      <c r="C186" s="19"/>
      <c r="D186" s="19" t="s">
        <v>814</v>
      </c>
      <c r="E186" s="20" t="s">
        <v>815</v>
      </c>
      <c r="F186" s="19"/>
      <c r="G186" s="21" t="s">
        <v>22</v>
      </c>
      <c r="H186" s="22" t="b">
        <v>0</v>
      </c>
      <c r="I186" s="22" t="b">
        <v>0</v>
      </c>
      <c r="J186" s="22" t="b">
        <v>0</v>
      </c>
      <c r="K186" s="22" t="b">
        <v>0</v>
      </c>
      <c r="L186" s="22" t="b">
        <v>0</v>
      </c>
      <c r="M186" s="21"/>
      <c r="N186" s="23">
        <v>0</v>
      </c>
      <c r="O186" s="24"/>
      <c r="P186" s="19"/>
      <c r="Q186" s="25"/>
      <c r="R186" s="25"/>
      <c r="S186" s="19"/>
      <c r="T186" s="26"/>
      <c r="U186" s="27" t="s">
        <v>21</v>
      </c>
      <c r="V186" s="28" t="s">
        <v>816</v>
      </c>
      <c r="W186" s="29" t="s">
        <v>26</v>
      </c>
    </row>
    <row r="187" spans="1:23" ht="30" customHeight="1">
      <c r="A187" s="19" t="s">
        <v>5577</v>
      </c>
      <c r="B187" s="19" t="s">
        <v>5569</v>
      </c>
      <c r="C187" s="19"/>
      <c r="D187" s="19" t="s">
        <v>819</v>
      </c>
      <c r="E187" s="20" t="s">
        <v>820</v>
      </c>
      <c r="F187" s="19"/>
      <c r="G187" s="21" t="s">
        <v>22</v>
      </c>
      <c r="H187" s="22" t="b">
        <v>0</v>
      </c>
      <c r="I187" s="22" t="b">
        <v>0</v>
      </c>
      <c r="J187" s="22" t="b">
        <v>0</v>
      </c>
      <c r="K187" s="22" t="b">
        <v>0</v>
      </c>
      <c r="L187" s="22" t="b">
        <v>0</v>
      </c>
      <c r="M187" s="21"/>
      <c r="N187" s="23">
        <v>0</v>
      </c>
      <c r="O187" s="24"/>
      <c r="P187" s="19"/>
      <c r="Q187" s="25"/>
      <c r="R187" s="25"/>
      <c r="S187" s="19"/>
      <c r="T187" s="26"/>
      <c r="U187" s="27" t="s">
        <v>21</v>
      </c>
      <c r="V187" s="28" t="s">
        <v>821</v>
      </c>
      <c r="W187" s="29" t="s">
        <v>26</v>
      </c>
    </row>
    <row r="188" spans="1:23" ht="30" customHeight="1">
      <c r="A188" s="19" t="s">
        <v>5577</v>
      </c>
      <c r="B188" s="19" t="s">
        <v>5569</v>
      </c>
      <c r="C188" s="19"/>
      <c r="D188" s="19" t="s">
        <v>823</v>
      </c>
      <c r="E188" s="20" t="s">
        <v>824</v>
      </c>
      <c r="F188" s="19"/>
      <c r="G188" s="21" t="s">
        <v>29</v>
      </c>
      <c r="H188" s="22" t="b">
        <v>0</v>
      </c>
      <c r="I188" s="22" t="b">
        <v>0</v>
      </c>
      <c r="J188" s="22" t="b">
        <v>0</v>
      </c>
      <c r="K188" s="22" t="b">
        <v>0</v>
      </c>
      <c r="L188" s="22" t="b">
        <v>0</v>
      </c>
      <c r="M188" s="21"/>
      <c r="N188" s="23">
        <v>0</v>
      </c>
      <c r="O188" s="24"/>
      <c r="P188" s="19"/>
      <c r="Q188" s="25"/>
      <c r="R188" s="25"/>
      <c r="S188" s="19"/>
      <c r="T188" s="26"/>
      <c r="U188" s="27" t="s">
        <v>21</v>
      </c>
      <c r="V188" s="28" t="s">
        <v>825</v>
      </c>
      <c r="W188" s="29" t="s">
        <v>26</v>
      </c>
    </row>
    <row r="189" spans="1:23" ht="30" customHeight="1">
      <c r="A189" s="19" t="s">
        <v>5577</v>
      </c>
      <c r="B189" s="19" t="s">
        <v>5569</v>
      </c>
      <c r="C189" s="19"/>
      <c r="D189" s="19" t="s">
        <v>827</v>
      </c>
      <c r="E189" s="20" t="s">
        <v>828</v>
      </c>
      <c r="F189" s="19"/>
      <c r="G189" s="21" t="s">
        <v>22</v>
      </c>
      <c r="H189" s="22" t="b">
        <v>0</v>
      </c>
      <c r="I189" s="22" t="b">
        <v>0</v>
      </c>
      <c r="J189" s="22" t="b">
        <v>0</v>
      </c>
      <c r="K189" s="22" t="b">
        <v>0</v>
      </c>
      <c r="L189" s="22" t="b">
        <v>0</v>
      </c>
      <c r="M189" s="21"/>
      <c r="N189" s="23">
        <v>0</v>
      </c>
      <c r="O189" s="24"/>
      <c r="P189" s="19"/>
      <c r="Q189" s="25"/>
      <c r="R189" s="25"/>
      <c r="S189" s="19"/>
      <c r="T189" s="26"/>
      <c r="U189" s="30" t="s">
        <v>34</v>
      </c>
      <c r="V189" s="28" t="s">
        <v>829</v>
      </c>
      <c r="W189" s="29" t="s">
        <v>26</v>
      </c>
    </row>
    <row r="190" spans="1:23" ht="30" customHeight="1">
      <c r="A190" s="19" t="s">
        <v>5577</v>
      </c>
      <c r="B190" s="19" t="s">
        <v>5569</v>
      </c>
      <c r="C190" s="19"/>
      <c r="D190" s="19" t="s">
        <v>832</v>
      </c>
      <c r="E190" s="20" t="s">
        <v>833</v>
      </c>
      <c r="F190" s="19"/>
      <c r="G190" s="21" t="s">
        <v>29</v>
      </c>
      <c r="H190" s="22" t="b">
        <v>0</v>
      </c>
      <c r="I190" s="22" t="b">
        <v>0</v>
      </c>
      <c r="J190" s="22" t="b">
        <v>0</v>
      </c>
      <c r="K190" s="22" t="b">
        <v>0</v>
      </c>
      <c r="L190" s="22" t="b">
        <v>0</v>
      </c>
      <c r="M190" s="21"/>
      <c r="N190" s="23">
        <v>0</v>
      </c>
      <c r="O190" s="24"/>
      <c r="P190" s="19"/>
      <c r="Q190" s="25"/>
      <c r="R190" s="25"/>
      <c r="S190" s="19"/>
      <c r="T190" s="26"/>
      <c r="U190" s="27" t="s">
        <v>21</v>
      </c>
      <c r="V190" s="28" t="s">
        <v>507</v>
      </c>
      <c r="W190" s="29" t="s">
        <v>26</v>
      </c>
    </row>
    <row r="191" spans="1:23" ht="30" customHeight="1">
      <c r="A191" s="19" t="s">
        <v>5578</v>
      </c>
      <c r="B191" s="19" t="s">
        <v>5569</v>
      </c>
      <c r="C191" s="19"/>
      <c r="D191" s="19" t="s">
        <v>837</v>
      </c>
      <c r="E191" s="20" t="s">
        <v>838</v>
      </c>
      <c r="F191" s="19"/>
      <c r="G191" s="21" t="s">
        <v>22</v>
      </c>
      <c r="H191" s="22" t="b">
        <v>0</v>
      </c>
      <c r="I191" s="22" t="b">
        <v>0</v>
      </c>
      <c r="J191" s="22" t="b">
        <v>0</v>
      </c>
      <c r="K191" s="22" t="b">
        <v>0</v>
      </c>
      <c r="L191" s="22" t="b">
        <v>0</v>
      </c>
      <c r="M191" s="21"/>
      <c r="N191" s="23">
        <v>0</v>
      </c>
      <c r="O191" s="24"/>
      <c r="P191" s="19"/>
      <c r="Q191" s="25"/>
      <c r="R191" s="25"/>
      <c r="S191" s="19"/>
      <c r="T191" s="26"/>
      <c r="U191" s="30" t="s">
        <v>34</v>
      </c>
      <c r="V191" s="28" t="s">
        <v>839</v>
      </c>
      <c r="W191" s="29" t="s">
        <v>26</v>
      </c>
    </row>
    <row r="192" spans="1:23" ht="30" customHeight="1">
      <c r="A192" s="19" t="s">
        <v>5578</v>
      </c>
      <c r="B192" s="19" t="s">
        <v>5569</v>
      </c>
      <c r="C192" s="19"/>
      <c r="D192" s="19" t="s">
        <v>842</v>
      </c>
      <c r="E192" s="20" t="s">
        <v>843</v>
      </c>
      <c r="F192" s="19"/>
      <c r="G192" s="21" t="s">
        <v>22</v>
      </c>
      <c r="H192" s="22" t="b">
        <v>0</v>
      </c>
      <c r="I192" s="22" t="b">
        <v>0</v>
      </c>
      <c r="J192" s="22" t="b">
        <v>0</v>
      </c>
      <c r="K192" s="22" t="b">
        <v>0</v>
      </c>
      <c r="L192" s="22" t="b">
        <v>0</v>
      </c>
      <c r="M192" s="21"/>
      <c r="N192" s="23">
        <v>0</v>
      </c>
      <c r="O192" s="24"/>
      <c r="P192" s="19"/>
      <c r="Q192" s="25"/>
      <c r="R192" s="25"/>
      <c r="S192" s="19"/>
      <c r="T192" s="26"/>
      <c r="U192" s="27" t="s">
        <v>21</v>
      </c>
      <c r="V192" s="28" t="s">
        <v>844</v>
      </c>
      <c r="W192" s="29" t="s">
        <v>26</v>
      </c>
    </row>
    <row r="193" spans="1:23" ht="30" customHeight="1">
      <c r="A193" s="19" t="s">
        <v>5578</v>
      </c>
      <c r="B193" s="19" t="s">
        <v>5569</v>
      </c>
      <c r="C193" s="19"/>
      <c r="D193" s="19" t="s">
        <v>847</v>
      </c>
      <c r="E193" s="20" t="s">
        <v>848</v>
      </c>
      <c r="F193" s="19"/>
      <c r="G193" s="21" t="s">
        <v>29</v>
      </c>
      <c r="H193" s="22" t="b">
        <v>0</v>
      </c>
      <c r="I193" s="22" t="b">
        <v>0</v>
      </c>
      <c r="J193" s="22" t="b">
        <v>0</v>
      </c>
      <c r="K193" s="22" t="b">
        <v>0</v>
      </c>
      <c r="L193" s="22" t="b">
        <v>0</v>
      </c>
      <c r="M193" s="21"/>
      <c r="N193" s="23">
        <v>0</v>
      </c>
      <c r="O193" s="24"/>
      <c r="P193" s="19"/>
      <c r="Q193" s="25"/>
      <c r="R193" s="25"/>
      <c r="S193" s="19"/>
      <c r="T193" s="26"/>
      <c r="U193" s="27" t="s">
        <v>21</v>
      </c>
      <c r="V193" s="28" t="s">
        <v>849</v>
      </c>
      <c r="W193" s="29" t="s">
        <v>26</v>
      </c>
    </row>
    <row r="194" spans="1:23" ht="30" customHeight="1">
      <c r="A194" s="19" t="s">
        <v>5578</v>
      </c>
      <c r="B194" s="19" t="s">
        <v>5569</v>
      </c>
      <c r="C194" s="19"/>
      <c r="D194" s="19" t="s">
        <v>851</v>
      </c>
      <c r="E194" s="20" t="s">
        <v>852</v>
      </c>
      <c r="F194" s="19"/>
      <c r="G194" s="21" t="s">
        <v>29</v>
      </c>
      <c r="H194" s="22" t="b">
        <v>0</v>
      </c>
      <c r="I194" s="22" t="b">
        <v>0</v>
      </c>
      <c r="J194" s="22" t="b">
        <v>0</v>
      </c>
      <c r="K194" s="22" t="b">
        <v>0</v>
      </c>
      <c r="L194" s="22" t="b">
        <v>0</v>
      </c>
      <c r="M194" s="21"/>
      <c r="N194" s="23">
        <v>0</v>
      </c>
      <c r="O194" s="24"/>
      <c r="P194" s="19"/>
      <c r="Q194" s="25"/>
      <c r="R194" s="25"/>
      <c r="S194" s="19"/>
      <c r="T194" s="26"/>
      <c r="U194" s="27" t="s">
        <v>21</v>
      </c>
      <c r="V194" s="28" t="s">
        <v>853</v>
      </c>
      <c r="W194" s="29" t="s">
        <v>26</v>
      </c>
    </row>
    <row r="195" spans="1:23" ht="30" customHeight="1">
      <c r="A195" s="19" t="s">
        <v>5578</v>
      </c>
      <c r="B195" s="19" t="s">
        <v>5569</v>
      </c>
      <c r="C195" s="19"/>
      <c r="D195" s="19" t="s">
        <v>856</v>
      </c>
      <c r="E195" s="20" t="s">
        <v>857</v>
      </c>
      <c r="F195" s="19"/>
      <c r="G195" s="21" t="s">
        <v>22</v>
      </c>
      <c r="H195" s="22" t="b">
        <v>0</v>
      </c>
      <c r="I195" s="22" t="b">
        <v>0</v>
      </c>
      <c r="J195" s="22" t="b">
        <v>0</v>
      </c>
      <c r="K195" s="22" t="b">
        <v>0</v>
      </c>
      <c r="L195" s="22" t="b">
        <v>0</v>
      </c>
      <c r="M195" s="21"/>
      <c r="N195" s="23">
        <v>0</v>
      </c>
      <c r="O195" s="24"/>
      <c r="P195" s="19"/>
      <c r="Q195" s="25"/>
      <c r="R195" s="25"/>
      <c r="S195" s="19"/>
      <c r="T195" s="26"/>
      <c r="U195" s="27" t="s">
        <v>21</v>
      </c>
      <c r="V195" s="28" t="s">
        <v>858</v>
      </c>
      <c r="W195" s="29" t="s">
        <v>26</v>
      </c>
    </row>
    <row r="196" spans="1:23" ht="30" customHeight="1">
      <c r="A196" s="19" t="s">
        <v>5578</v>
      </c>
      <c r="B196" s="19" t="s">
        <v>5569</v>
      </c>
      <c r="C196" s="19"/>
      <c r="D196" s="19" t="s">
        <v>860</v>
      </c>
      <c r="E196" s="20" t="s">
        <v>861</v>
      </c>
      <c r="F196" s="19"/>
      <c r="G196" s="21" t="s">
        <v>22</v>
      </c>
      <c r="H196" s="22" t="b">
        <v>0</v>
      </c>
      <c r="I196" s="22" t="b">
        <v>0</v>
      </c>
      <c r="J196" s="22" t="b">
        <v>0</v>
      </c>
      <c r="K196" s="22" t="b">
        <v>0</v>
      </c>
      <c r="L196" s="22" t="b">
        <v>0</v>
      </c>
      <c r="M196" s="21"/>
      <c r="N196" s="23">
        <v>0</v>
      </c>
      <c r="O196" s="24"/>
      <c r="P196" s="19"/>
      <c r="Q196" s="25"/>
      <c r="R196" s="25"/>
      <c r="S196" s="19"/>
      <c r="T196" s="26"/>
      <c r="U196" s="27" t="s">
        <v>21</v>
      </c>
      <c r="V196" s="28" t="s">
        <v>862</v>
      </c>
      <c r="W196" s="29" t="s">
        <v>26</v>
      </c>
    </row>
    <row r="197" spans="1:23" ht="30" customHeight="1">
      <c r="A197" s="19" t="s">
        <v>5578</v>
      </c>
      <c r="B197" s="19" t="s">
        <v>5569</v>
      </c>
      <c r="C197" s="19"/>
      <c r="D197" s="19" t="s">
        <v>865</v>
      </c>
      <c r="E197" s="20" t="s">
        <v>866</v>
      </c>
      <c r="F197" s="19"/>
      <c r="G197" s="21" t="s">
        <v>22</v>
      </c>
      <c r="H197" s="22" t="b">
        <v>0</v>
      </c>
      <c r="I197" s="22" t="b">
        <v>0</v>
      </c>
      <c r="J197" s="22" t="b">
        <v>0</v>
      </c>
      <c r="K197" s="22" t="b">
        <v>0</v>
      </c>
      <c r="L197" s="22" t="b">
        <v>0</v>
      </c>
      <c r="M197" s="21"/>
      <c r="N197" s="23">
        <v>0</v>
      </c>
      <c r="O197" s="24"/>
      <c r="P197" s="19"/>
      <c r="Q197" s="25"/>
      <c r="R197" s="25"/>
      <c r="S197" s="19"/>
      <c r="T197" s="26"/>
      <c r="U197" s="27" t="s">
        <v>21</v>
      </c>
      <c r="V197" s="28" t="s">
        <v>370</v>
      </c>
      <c r="W197" s="29" t="s">
        <v>26</v>
      </c>
    </row>
    <row r="198" spans="1:23" ht="30" customHeight="1">
      <c r="A198" s="19" t="s">
        <v>5578</v>
      </c>
      <c r="B198" s="19" t="s">
        <v>5569</v>
      </c>
      <c r="C198" s="19"/>
      <c r="D198" s="19" t="s">
        <v>868</v>
      </c>
      <c r="E198" s="20" t="s">
        <v>869</v>
      </c>
      <c r="F198" s="19"/>
      <c r="G198" s="21" t="s">
        <v>29</v>
      </c>
      <c r="H198" s="22" t="b">
        <v>0</v>
      </c>
      <c r="I198" s="22" t="b">
        <v>0</v>
      </c>
      <c r="J198" s="22" t="b">
        <v>0</v>
      </c>
      <c r="K198" s="22" t="b">
        <v>0</v>
      </c>
      <c r="L198" s="22" t="b">
        <v>0</v>
      </c>
      <c r="M198" s="21"/>
      <c r="N198" s="23">
        <v>0</v>
      </c>
      <c r="O198" s="24"/>
      <c r="P198" s="19"/>
      <c r="Q198" s="25"/>
      <c r="R198" s="25"/>
      <c r="S198" s="19"/>
      <c r="T198" s="26"/>
      <c r="U198" s="27" t="s">
        <v>21</v>
      </c>
      <c r="V198" s="28" t="s">
        <v>870</v>
      </c>
      <c r="W198" s="29" t="s">
        <v>26</v>
      </c>
    </row>
    <row r="199" spans="1:23" ht="30" customHeight="1">
      <c r="A199" s="19" t="s">
        <v>5578</v>
      </c>
      <c r="B199" s="19" t="s">
        <v>5569</v>
      </c>
      <c r="C199" s="19"/>
      <c r="D199" s="19" t="s">
        <v>872</v>
      </c>
      <c r="E199" s="20" t="s">
        <v>873</v>
      </c>
      <c r="F199" s="19"/>
      <c r="G199" s="21" t="s">
        <v>22</v>
      </c>
      <c r="H199" s="22" t="b">
        <v>0</v>
      </c>
      <c r="I199" s="22" t="b">
        <v>0</v>
      </c>
      <c r="J199" s="22" t="b">
        <v>0</v>
      </c>
      <c r="K199" s="22" t="b">
        <v>0</v>
      </c>
      <c r="L199" s="22" t="b">
        <v>0</v>
      </c>
      <c r="M199" s="21"/>
      <c r="N199" s="23">
        <v>0</v>
      </c>
      <c r="O199" s="24"/>
      <c r="P199" s="19"/>
      <c r="Q199" s="25"/>
      <c r="R199" s="25"/>
      <c r="S199" s="19"/>
      <c r="T199" s="26"/>
      <c r="U199" s="27" t="s">
        <v>21</v>
      </c>
      <c r="V199" s="28" t="s">
        <v>874</v>
      </c>
      <c r="W199" s="29" t="s">
        <v>26</v>
      </c>
    </row>
    <row r="200" spans="1:23" ht="30" customHeight="1">
      <c r="A200" s="19" t="s">
        <v>5578</v>
      </c>
      <c r="B200" s="19" t="s">
        <v>5569</v>
      </c>
      <c r="C200" s="19"/>
      <c r="D200" s="19" t="s">
        <v>877</v>
      </c>
      <c r="E200" s="20" t="s">
        <v>878</v>
      </c>
      <c r="F200" s="19"/>
      <c r="G200" s="21" t="s">
        <v>22</v>
      </c>
      <c r="H200" s="22" t="b">
        <v>0</v>
      </c>
      <c r="I200" s="22" t="b">
        <v>0</v>
      </c>
      <c r="J200" s="22" t="b">
        <v>0</v>
      </c>
      <c r="K200" s="22" t="b">
        <v>0</v>
      </c>
      <c r="L200" s="22" t="b">
        <v>0</v>
      </c>
      <c r="M200" s="21"/>
      <c r="N200" s="23">
        <v>0</v>
      </c>
      <c r="O200" s="24"/>
      <c r="P200" s="19"/>
      <c r="Q200" s="25"/>
      <c r="R200" s="25"/>
      <c r="S200" s="19"/>
      <c r="T200" s="26"/>
      <c r="U200" s="27" t="s">
        <v>21</v>
      </c>
      <c r="V200" s="28" t="s">
        <v>879</v>
      </c>
      <c r="W200" s="29" t="s">
        <v>26</v>
      </c>
    </row>
    <row r="201" spans="1:23" ht="30" customHeight="1">
      <c r="A201" s="19" t="s">
        <v>5578</v>
      </c>
      <c r="B201" s="19" t="s">
        <v>5569</v>
      </c>
      <c r="C201" s="19"/>
      <c r="D201" s="19" t="s">
        <v>882</v>
      </c>
      <c r="E201" s="20" t="s">
        <v>883</v>
      </c>
      <c r="F201" s="19"/>
      <c r="G201" s="21" t="s">
        <v>22</v>
      </c>
      <c r="H201" s="22" t="b">
        <v>0</v>
      </c>
      <c r="I201" s="22" t="b">
        <v>0</v>
      </c>
      <c r="J201" s="22" t="b">
        <v>0</v>
      </c>
      <c r="K201" s="22" t="b">
        <v>0</v>
      </c>
      <c r="L201" s="22" t="b">
        <v>0</v>
      </c>
      <c r="M201" s="21"/>
      <c r="N201" s="23">
        <v>0</v>
      </c>
      <c r="O201" s="24"/>
      <c r="P201" s="19"/>
      <c r="Q201" s="25"/>
      <c r="R201" s="25"/>
      <c r="S201" s="19"/>
      <c r="T201" s="26"/>
      <c r="U201" s="27" t="s">
        <v>21</v>
      </c>
      <c r="V201" s="28" t="s">
        <v>884</v>
      </c>
      <c r="W201" s="29" t="s">
        <v>26</v>
      </c>
    </row>
    <row r="202" spans="1:23" ht="30" customHeight="1">
      <c r="A202" s="19" t="s">
        <v>5578</v>
      </c>
      <c r="B202" s="19" t="s">
        <v>5569</v>
      </c>
      <c r="C202" s="19"/>
      <c r="D202" s="19" t="s">
        <v>886</v>
      </c>
      <c r="E202" s="20" t="s">
        <v>887</v>
      </c>
      <c r="F202" s="19"/>
      <c r="G202" s="21" t="s">
        <v>29</v>
      </c>
      <c r="H202" s="22" t="b">
        <v>0</v>
      </c>
      <c r="I202" s="22" t="b">
        <v>0</v>
      </c>
      <c r="J202" s="22" t="b">
        <v>0</v>
      </c>
      <c r="K202" s="22" t="b">
        <v>0</v>
      </c>
      <c r="L202" s="22" t="b">
        <v>0</v>
      </c>
      <c r="M202" s="21"/>
      <c r="N202" s="23">
        <v>0</v>
      </c>
      <c r="O202" s="24"/>
      <c r="P202" s="19"/>
      <c r="Q202" s="25"/>
      <c r="R202" s="25"/>
      <c r="S202" s="19"/>
      <c r="T202" s="26"/>
      <c r="U202" s="27" t="s">
        <v>21</v>
      </c>
      <c r="V202" s="28" t="s">
        <v>884</v>
      </c>
      <c r="W202" s="29" t="s">
        <v>26</v>
      </c>
    </row>
    <row r="203" spans="1:23" ht="30" customHeight="1">
      <c r="A203" s="19" t="s">
        <v>5578</v>
      </c>
      <c r="B203" s="19" t="s">
        <v>5569</v>
      </c>
      <c r="C203" s="19"/>
      <c r="D203" s="19" t="s">
        <v>889</v>
      </c>
      <c r="E203" s="20" t="s">
        <v>890</v>
      </c>
      <c r="F203" s="19"/>
      <c r="G203" s="21" t="s">
        <v>22</v>
      </c>
      <c r="H203" s="22" t="b">
        <v>0</v>
      </c>
      <c r="I203" s="22" t="b">
        <v>0</v>
      </c>
      <c r="J203" s="22" t="b">
        <v>0</v>
      </c>
      <c r="K203" s="22" t="b">
        <v>0</v>
      </c>
      <c r="L203" s="22" t="b">
        <v>0</v>
      </c>
      <c r="M203" s="21"/>
      <c r="N203" s="23">
        <v>0</v>
      </c>
      <c r="O203" s="24"/>
      <c r="P203" s="19"/>
      <c r="Q203" s="25"/>
      <c r="R203" s="25"/>
      <c r="S203" s="19"/>
      <c r="T203" s="26"/>
      <c r="U203" s="27" t="s">
        <v>21</v>
      </c>
      <c r="V203" s="28" t="s">
        <v>370</v>
      </c>
      <c r="W203" s="29" t="s">
        <v>26</v>
      </c>
    </row>
    <row r="204" spans="1:23" ht="30" customHeight="1">
      <c r="A204" s="19" t="s">
        <v>5579</v>
      </c>
      <c r="B204" s="19" t="s">
        <v>5569</v>
      </c>
      <c r="C204" s="19"/>
      <c r="D204" s="19" t="s">
        <v>894</v>
      </c>
      <c r="E204" s="20" t="s">
        <v>895</v>
      </c>
      <c r="F204" s="19"/>
      <c r="G204" s="21" t="s">
        <v>22</v>
      </c>
      <c r="H204" s="22" t="b">
        <v>0</v>
      </c>
      <c r="I204" s="22" t="b">
        <v>0</v>
      </c>
      <c r="J204" s="22" t="b">
        <v>0</v>
      </c>
      <c r="K204" s="22" t="b">
        <v>0</v>
      </c>
      <c r="L204" s="22" t="b">
        <v>0</v>
      </c>
      <c r="M204" s="21"/>
      <c r="N204" s="23">
        <v>0</v>
      </c>
      <c r="O204" s="24"/>
      <c r="P204" s="19"/>
      <c r="Q204" s="25"/>
      <c r="R204" s="25"/>
      <c r="S204" s="19"/>
      <c r="T204" s="26"/>
      <c r="U204" s="27" t="s">
        <v>21</v>
      </c>
      <c r="V204" s="28" t="s">
        <v>896</v>
      </c>
      <c r="W204" s="29" t="s">
        <v>26</v>
      </c>
    </row>
    <row r="205" spans="1:23" ht="30" customHeight="1">
      <c r="A205" s="19" t="s">
        <v>5579</v>
      </c>
      <c r="B205" s="19" t="s">
        <v>5569</v>
      </c>
      <c r="C205" s="19"/>
      <c r="D205" s="19" t="s">
        <v>899</v>
      </c>
      <c r="E205" s="20" t="s">
        <v>900</v>
      </c>
      <c r="F205" s="19"/>
      <c r="G205" s="21" t="s">
        <v>22</v>
      </c>
      <c r="H205" s="22" t="b">
        <v>0</v>
      </c>
      <c r="I205" s="22" t="b">
        <v>0</v>
      </c>
      <c r="J205" s="22" t="b">
        <v>0</v>
      </c>
      <c r="K205" s="22" t="b">
        <v>0</v>
      </c>
      <c r="L205" s="22" t="b">
        <v>0</v>
      </c>
      <c r="M205" s="21"/>
      <c r="N205" s="23">
        <v>0</v>
      </c>
      <c r="O205" s="24"/>
      <c r="P205" s="19"/>
      <c r="Q205" s="25"/>
      <c r="R205" s="25"/>
      <c r="S205" s="19"/>
      <c r="T205" s="26"/>
      <c r="U205" s="27" t="s">
        <v>21</v>
      </c>
      <c r="V205" s="28" t="s">
        <v>296</v>
      </c>
      <c r="W205" s="29" t="s">
        <v>26</v>
      </c>
    </row>
    <row r="206" spans="1:23" ht="30" customHeight="1">
      <c r="A206" s="19" t="s">
        <v>5579</v>
      </c>
      <c r="B206" s="19" t="s">
        <v>5569</v>
      </c>
      <c r="C206" s="19"/>
      <c r="D206" s="19" t="s">
        <v>902</v>
      </c>
      <c r="E206" s="20" t="s">
        <v>903</v>
      </c>
      <c r="F206" s="19"/>
      <c r="G206" s="21" t="s">
        <v>22</v>
      </c>
      <c r="H206" s="22" t="b">
        <v>0</v>
      </c>
      <c r="I206" s="22" t="b">
        <v>0</v>
      </c>
      <c r="J206" s="22" t="b">
        <v>0</v>
      </c>
      <c r="K206" s="22" t="b">
        <v>0</v>
      </c>
      <c r="L206" s="22" t="b">
        <v>0</v>
      </c>
      <c r="M206" s="21"/>
      <c r="N206" s="23">
        <v>0</v>
      </c>
      <c r="O206" s="24"/>
      <c r="P206" s="19"/>
      <c r="Q206" s="25"/>
      <c r="R206" s="25"/>
      <c r="S206" s="19"/>
      <c r="T206" s="26"/>
      <c r="U206" s="30" t="s">
        <v>34</v>
      </c>
      <c r="V206" s="28" t="s">
        <v>904</v>
      </c>
      <c r="W206" s="29" t="s">
        <v>26</v>
      </c>
    </row>
    <row r="207" spans="1:23" ht="30" customHeight="1">
      <c r="A207" s="19" t="s">
        <v>5579</v>
      </c>
      <c r="B207" s="19" t="s">
        <v>5569</v>
      </c>
      <c r="C207" s="19"/>
      <c r="D207" s="19" t="s">
        <v>906</v>
      </c>
      <c r="E207" s="20" t="s">
        <v>907</v>
      </c>
      <c r="F207" s="19"/>
      <c r="G207" s="21" t="s">
        <v>22</v>
      </c>
      <c r="H207" s="22" t="b">
        <v>0</v>
      </c>
      <c r="I207" s="22" t="b">
        <v>0</v>
      </c>
      <c r="J207" s="22" t="b">
        <v>0</v>
      </c>
      <c r="K207" s="22" t="b">
        <v>0</v>
      </c>
      <c r="L207" s="22" t="b">
        <v>0</v>
      </c>
      <c r="M207" s="21"/>
      <c r="N207" s="23">
        <v>0</v>
      </c>
      <c r="O207" s="24"/>
      <c r="P207" s="19"/>
      <c r="Q207" s="25"/>
      <c r="R207" s="25"/>
      <c r="S207" s="19"/>
      <c r="T207" s="26"/>
      <c r="U207" s="27" t="s">
        <v>21</v>
      </c>
      <c r="V207" s="28" t="s">
        <v>908</v>
      </c>
      <c r="W207" s="29" t="s">
        <v>26</v>
      </c>
    </row>
    <row r="208" spans="1:23" ht="30" customHeight="1">
      <c r="A208" s="19" t="s">
        <v>5579</v>
      </c>
      <c r="B208" s="19" t="s">
        <v>5569</v>
      </c>
      <c r="C208" s="19"/>
      <c r="D208" s="19" t="s">
        <v>911</v>
      </c>
      <c r="E208" s="20" t="s">
        <v>912</v>
      </c>
      <c r="F208" s="19"/>
      <c r="G208" s="21" t="s">
        <v>29</v>
      </c>
      <c r="H208" s="22" t="b">
        <v>0</v>
      </c>
      <c r="I208" s="22" t="b">
        <v>0</v>
      </c>
      <c r="J208" s="22" t="b">
        <v>0</v>
      </c>
      <c r="K208" s="22" t="b">
        <v>0</v>
      </c>
      <c r="L208" s="22" t="b">
        <v>0</v>
      </c>
      <c r="M208" s="21"/>
      <c r="N208" s="23">
        <v>0</v>
      </c>
      <c r="O208" s="24"/>
      <c r="P208" s="19"/>
      <c r="Q208" s="25"/>
      <c r="R208" s="25"/>
      <c r="S208" s="19"/>
      <c r="T208" s="26"/>
      <c r="U208" s="27" t="s">
        <v>21</v>
      </c>
      <c r="V208" s="28" t="s">
        <v>913</v>
      </c>
      <c r="W208" s="29" t="s">
        <v>26</v>
      </c>
    </row>
    <row r="209" spans="1:23" ht="30" customHeight="1">
      <c r="A209" s="19" t="s">
        <v>5579</v>
      </c>
      <c r="B209" s="19" t="s">
        <v>5569</v>
      </c>
      <c r="C209" s="19"/>
      <c r="D209" s="19" t="s">
        <v>916</v>
      </c>
      <c r="E209" s="20" t="s">
        <v>917</v>
      </c>
      <c r="F209" s="19"/>
      <c r="G209" s="21" t="s">
        <v>22</v>
      </c>
      <c r="H209" s="22" t="b">
        <v>0</v>
      </c>
      <c r="I209" s="22" t="b">
        <v>0</v>
      </c>
      <c r="J209" s="22" t="b">
        <v>0</v>
      </c>
      <c r="K209" s="22" t="b">
        <v>0</v>
      </c>
      <c r="L209" s="22" t="b">
        <v>0</v>
      </c>
      <c r="M209" s="21"/>
      <c r="N209" s="23">
        <v>0</v>
      </c>
      <c r="O209" s="24"/>
      <c r="P209" s="19"/>
      <c r="Q209" s="25"/>
      <c r="R209" s="25"/>
      <c r="S209" s="19"/>
      <c r="T209" s="26"/>
      <c r="U209" s="27" t="s">
        <v>21</v>
      </c>
      <c r="V209" s="28" t="s">
        <v>296</v>
      </c>
      <c r="W209" s="29" t="s">
        <v>26</v>
      </c>
    </row>
    <row r="210" spans="1:23" ht="30" customHeight="1">
      <c r="A210" s="19" t="s">
        <v>5579</v>
      </c>
      <c r="B210" s="19" t="s">
        <v>5569</v>
      </c>
      <c r="C210" s="19"/>
      <c r="D210" s="19" t="s">
        <v>920</v>
      </c>
      <c r="E210" s="20" t="s">
        <v>921</v>
      </c>
      <c r="F210" s="19"/>
      <c r="G210" s="21" t="s">
        <v>22</v>
      </c>
      <c r="H210" s="22" t="b">
        <v>0</v>
      </c>
      <c r="I210" s="22" t="b">
        <v>0</v>
      </c>
      <c r="J210" s="22" t="b">
        <v>0</v>
      </c>
      <c r="K210" s="22" t="b">
        <v>0</v>
      </c>
      <c r="L210" s="22" t="b">
        <v>0</v>
      </c>
      <c r="M210" s="21"/>
      <c r="N210" s="23">
        <v>0</v>
      </c>
      <c r="O210" s="24"/>
      <c r="P210" s="19"/>
      <c r="Q210" s="25"/>
      <c r="R210" s="25"/>
      <c r="S210" s="19"/>
      <c r="T210" s="26"/>
      <c r="U210" s="27" t="s">
        <v>21</v>
      </c>
      <c r="V210" s="28" t="s">
        <v>296</v>
      </c>
      <c r="W210" s="29" t="s">
        <v>26</v>
      </c>
    </row>
    <row r="211" spans="1:23" ht="30" customHeight="1">
      <c r="A211" s="19" t="s">
        <v>5579</v>
      </c>
      <c r="B211" s="19" t="s">
        <v>5569</v>
      </c>
      <c r="C211" s="19"/>
      <c r="D211" s="19" t="s">
        <v>924</v>
      </c>
      <c r="E211" s="20" t="s">
        <v>925</v>
      </c>
      <c r="F211" s="19"/>
      <c r="G211" s="21" t="s">
        <v>29</v>
      </c>
      <c r="H211" s="22" t="b">
        <v>0</v>
      </c>
      <c r="I211" s="22" t="b">
        <v>0</v>
      </c>
      <c r="J211" s="22" t="b">
        <v>0</v>
      </c>
      <c r="K211" s="22" t="b">
        <v>0</v>
      </c>
      <c r="L211" s="22" t="b">
        <v>0</v>
      </c>
      <c r="M211" s="21"/>
      <c r="N211" s="23">
        <v>0</v>
      </c>
      <c r="O211" s="24"/>
      <c r="P211" s="19"/>
      <c r="Q211" s="25"/>
      <c r="R211" s="25"/>
      <c r="S211" s="19"/>
      <c r="T211" s="26"/>
      <c r="U211" s="30" t="s">
        <v>34</v>
      </c>
      <c r="V211" s="28" t="s">
        <v>926</v>
      </c>
      <c r="W211" s="29" t="s">
        <v>26</v>
      </c>
    </row>
    <row r="212" spans="1:23" ht="30" customHeight="1">
      <c r="A212" s="19" t="s">
        <v>5579</v>
      </c>
      <c r="B212" s="19" t="s">
        <v>5569</v>
      </c>
      <c r="C212" s="19"/>
      <c r="D212" s="19" t="s">
        <v>929</v>
      </c>
      <c r="E212" s="20" t="s">
        <v>930</v>
      </c>
      <c r="F212" s="19"/>
      <c r="G212" s="21" t="s">
        <v>22</v>
      </c>
      <c r="H212" s="22" t="b">
        <v>0</v>
      </c>
      <c r="I212" s="22" t="b">
        <v>0</v>
      </c>
      <c r="J212" s="22" t="b">
        <v>0</v>
      </c>
      <c r="K212" s="22" t="b">
        <v>0</v>
      </c>
      <c r="L212" s="22" t="b">
        <v>0</v>
      </c>
      <c r="M212" s="21"/>
      <c r="N212" s="23">
        <v>0</v>
      </c>
      <c r="O212" s="24"/>
      <c r="P212" s="19"/>
      <c r="Q212" s="25"/>
      <c r="R212" s="25"/>
      <c r="S212" s="19"/>
      <c r="T212" s="26"/>
      <c r="U212" s="30" t="s">
        <v>34</v>
      </c>
      <c r="V212" s="28" t="s">
        <v>233</v>
      </c>
      <c r="W212" s="29" t="s">
        <v>26</v>
      </c>
    </row>
    <row r="213" spans="1:23" ht="30" customHeight="1">
      <c r="A213" s="19" t="s">
        <v>5579</v>
      </c>
      <c r="B213" s="19" t="s">
        <v>5569</v>
      </c>
      <c r="C213" s="19"/>
      <c r="D213" s="19" t="s">
        <v>933</v>
      </c>
      <c r="E213" s="20" t="s">
        <v>934</v>
      </c>
      <c r="F213" s="19"/>
      <c r="G213" s="21" t="s">
        <v>22</v>
      </c>
      <c r="H213" s="22" t="b">
        <v>0</v>
      </c>
      <c r="I213" s="22" t="b">
        <v>0</v>
      </c>
      <c r="J213" s="22" t="b">
        <v>0</v>
      </c>
      <c r="K213" s="22" t="b">
        <v>0</v>
      </c>
      <c r="L213" s="22" t="b">
        <v>0</v>
      </c>
      <c r="M213" s="21"/>
      <c r="N213" s="23">
        <v>0</v>
      </c>
      <c r="O213" s="24"/>
      <c r="P213" s="19"/>
      <c r="Q213" s="25"/>
      <c r="R213" s="25"/>
      <c r="S213" s="19"/>
      <c r="T213" s="26"/>
      <c r="U213" s="27" t="s">
        <v>21</v>
      </c>
      <c r="V213" s="28" t="s">
        <v>935</v>
      </c>
      <c r="W213" s="29" t="s">
        <v>26</v>
      </c>
    </row>
    <row r="214" spans="1:23" ht="30" customHeight="1">
      <c r="A214" s="19" t="s">
        <v>5579</v>
      </c>
      <c r="B214" s="19" t="s">
        <v>5569</v>
      </c>
      <c r="C214" s="19"/>
      <c r="D214" s="19" t="s">
        <v>938</v>
      </c>
      <c r="E214" s="20" t="s">
        <v>939</v>
      </c>
      <c r="F214" s="19"/>
      <c r="G214" s="21" t="s">
        <v>22</v>
      </c>
      <c r="H214" s="22" t="b">
        <v>0</v>
      </c>
      <c r="I214" s="22" t="b">
        <v>0</v>
      </c>
      <c r="J214" s="22" t="b">
        <v>0</v>
      </c>
      <c r="K214" s="22" t="b">
        <v>0</v>
      </c>
      <c r="L214" s="22" t="b">
        <v>0</v>
      </c>
      <c r="M214" s="21"/>
      <c r="N214" s="23">
        <v>0</v>
      </c>
      <c r="O214" s="24"/>
      <c r="P214" s="19"/>
      <c r="Q214" s="25"/>
      <c r="R214" s="25"/>
      <c r="S214" s="19"/>
      <c r="T214" s="26"/>
      <c r="U214" s="30" t="s">
        <v>34</v>
      </c>
      <c r="V214" s="28" t="s">
        <v>940</v>
      </c>
      <c r="W214" s="29" t="s">
        <v>26</v>
      </c>
    </row>
    <row r="215" spans="1:23" ht="30" customHeight="1">
      <c r="A215" s="19" t="s">
        <v>5579</v>
      </c>
      <c r="B215" s="19" t="s">
        <v>5569</v>
      </c>
      <c r="C215" s="19"/>
      <c r="D215" s="19" t="s">
        <v>943</v>
      </c>
      <c r="E215" s="20" t="s">
        <v>944</v>
      </c>
      <c r="F215" s="19"/>
      <c r="G215" s="21" t="s">
        <v>22</v>
      </c>
      <c r="H215" s="22" t="b">
        <v>0</v>
      </c>
      <c r="I215" s="22" t="b">
        <v>0</v>
      </c>
      <c r="J215" s="22" t="b">
        <v>0</v>
      </c>
      <c r="K215" s="22" t="b">
        <v>0</v>
      </c>
      <c r="L215" s="22" t="b">
        <v>0</v>
      </c>
      <c r="M215" s="21"/>
      <c r="N215" s="23">
        <v>0</v>
      </c>
      <c r="O215" s="24"/>
      <c r="P215" s="19"/>
      <c r="Q215" s="25"/>
      <c r="R215" s="25"/>
      <c r="S215" s="19"/>
      <c r="T215" s="26"/>
      <c r="U215" s="30" t="s">
        <v>34</v>
      </c>
      <c r="V215" s="28" t="s">
        <v>945</v>
      </c>
      <c r="W215" s="29" t="s">
        <v>26</v>
      </c>
    </row>
    <row r="216" spans="1:23" ht="30" customHeight="1">
      <c r="A216" s="19" t="s">
        <v>5579</v>
      </c>
      <c r="B216" s="19" t="s">
        <v>5569</v>
      </c>
      <c r="C216" s="19"/>
      <c r="D216" s="19" t="s">
        <v>948</v>
      </c>
      <c r="E216" s="20" t="s">
        <v>949</v>
      </c>
      <c r="F216" s="19"/>
      <c r="G216" s="21" t="s">
        <v>22</v>
      </c>
      <c r="H216" s="22" t="b">
        <v>0</v>
      </c>
      <c r="I216" s="22" t="b">
        <v>0</v>
      </c>
      <c r="J216" s="22" t="b">
        <v>0</v>
      </c>
      <c r="K216" s="22" t="b">
        <v>0</v>
      </c>
      <c r="L216" s="22" t="b">
        <v>0</v>
      </c>
      <c r="M216" s="21"/>
      <c r="N216" s="23">
        <v>0</v>
      </c>
      <c r="O216" s="24"/>
      <c r="P216" s="19"/>
      <c r="Q216" s="25"/>
      <c r="R216" s="25"/>
      <c r="S216" s="19"/>
      <c r="T216" s="26"/>
      <c r="U216" s="27" t="s">
        <v>21</v>
      </c>
      <c r="V216" s="28" t="s">
        <v>913</v>
      </c>
      <c r="W216" s="29" t="s">
        <v>26</v>
      </c>
    </row>
    <row r="217" spans="1:23" ht="30" customHeight="1">
      <c r="A217" s="19" t="s">
        <v>5579</v>
      </c>
      <c r="B217" s="19" t="s">
        <v>5569</v>
      </c>
      <c r="C217" s="19"/>
      <c r="D217" s="19" t="s">
        <v>952</v>
      </c>
      <c r="E217" s="20" t="s">
        <v>953</v>
      </c>
      <c r="F217" s="19"/>
      <c r="G217" s="21" t="s">
        <v>22</v>
      </c>
      <c r="H217" s="22" t="b">
        <v>0</v>
      </c>
      <c r="I217" s="22" t="b">
        <v>0</v>
      </c>
      <c r="J217" s="22" t="b">
        <v>0</v>
      </c>
      <c r="K217" s="22" t="b">
        <v>0</v>
      </c>
      <c r="L217" s="22" t="b">
        <v>0</v>
      </c>
      <c r="M217" s="21"/>
      <c r="N217" s="23">
        <v>0</v>
      </c>
      <c r="O217" s="24"/>
      <c r="P217" s="19"/>
      <c r="Q217" s="25"/>
      <c r="R217" s="25"/>
      <c r="S217" s="19"/>
      <c r="T217" s="26"/>
      <c r="U217" s="30" t="s">
        <v>34</v>
      </c>
      <c r="V217" s="28" t="s">
        <v>954</v>
      </c>
      <c r="W217" s="29" t="s">
        <v>26</v>
      </c>
    </row>
    <row r="218" spans="1:23" ht="30" customHeight="1">
      <c r="A218" s="19" t="s">
        <v>5579</v>
      </c>
      <c r="B218" s="19" t="s">
        <v>5569</v>
      </c>
      <c r="C218" s="19"/>
      <c r="D218" s="19" t="s">
        <v>956</v>
      </c>
      <c r="E218" s="20" t="s">
        <v>957</v>
      </c>
      <c r="F218" s="19"/>
      <c r="G218" s="21" t="s">
        <v>22</v>
      </c>
      <c r="H218" s="22" t="b">
        <v>0</v>
      </c>
      <c r="I218" s="22" t="b">
        <v>0</v>
      </c>
      <c r="J218" s="22" t="b">
        <v>0</v>
      </c>
      <c r="K218" s="22" t="b">
        <v>0</v>
      </c>
      <c r="L218" s="22" t="b">
        <v>0</v>
      </c>
      <c r="M218" s="21"/>
      <c r="N218" s="23">
        <v>0</v>
      </c>
      <c r="O218" s="24"/>
      <c r="P218" s="19"/>
      <c r="Q218" s="25"/>
      <c r="R218" s="25"/>
      <c r="S218" s="19"/>
      <c r="T218" s="26"/>
      <c r="U218" s="27" t="s">
        <v>21</v>
      </c>
      <c r="V218" s="28" t="s">
        <v>296</v>
      </c>
      <c r="W218" s="29" t="s">
        <v>26</v>
      </c>
    </row>
    <row r="219" spans="1:23" ht="30" customHeight="1">
      <c r="A219" s="19" t="s">
        <v>5579</v>
      </c>
      <c r="B219" s="19" t="s">
        <v>5569</v>
      </c>
      <c r="C219" s="19"/>
      <c r="D219" s="19" t="s">
        <v>960</v>
      </c>
      <c r="E219" s="20" t="s">
        <v>961</v>
      </c>
      <c r="F219" s="19"/>
      <c r="G219" s="21" t="s">
        <v>22</v>
      </c>
      <c r="H219" s="22" t="b">
        <v>0</v>
      </c>
      <c r="I219" s="22" t="b">
        <v>0</v>
      </c>
      <c r="J219" s="22" t="b">
        <v>0</v>
      </c>
      <c r="K219" s="22" t="b">
        <v>0</v>
      </c>
      <c r="L219" s="22" t="b">
        <v>0</v>
      </c>
      <c r="M219" s="21"/>
      <c r="N219" s="23">
        <v>0</v>
      </c>
      <c r="O219" s="24"/>
      <c r="P219" s="19"/>
      <c r="Q219" s="25"/>
      <c r="R219" s="25"/>
      <c r="S219" s="19"/>
      <c r="T219" s="26"/>
      <c r="U219" s="27" t="s">
        <v>21</v>
      </c>
      <c r="V219" s="28" t="s">
        <v>100</v>
      </c>
      <c r="W219" s="29" t="s">
        <v>26</v>
      </c>
    </row>
    <row r="220" spans="1:23" ht="30" customHeight="1">
      <c r="A220" s="19" t="s">
        <v>5579</v>
      </c>
      <c r="B220" s="19" t="s">
        <v>5569</v>
      </c>
      <c r="C220" s="19"/>
      <c r="D220" s="19" t="s">
        <v>964</v>
      </c>
      <c r="E220" s="20" t="s">
        <v>965</v>
      </c>
      <c r="F220" s="19"/>
      <c r="G220" s="21" t="s">
        <v>485</v>
      </c>
      <c r="H220" s="22" t="b">
        <v>0</v>
      </c>
      <c r="I220" s="22" t="b">
        <v>0</v>
      </c>
      <c r="J220" s="22" t="b">
        <v>0</v>
      </c>
      <c r="K220" s="22" t="b">
        <v>0</v>
      </c>
      <c r="L220" s="22" t="b">
        <v>0</v>
      </c>
      <c r="M220" s="21"/>
      <c r="N220" s="23">
        <v>0</v>
      </c>
      <c r="O220" s="24"/>
      <c r="P220" s="19"/>
      <c r="Q220" s="25"/>
      <c r="R220" s="25"/>
      <c r="S220" s="19"/>
      <c r="T220" s="26"/>
      <c r="U220" s="27" t="s">
        <v>21</v>
      </c>
      <c r="V220" s="28" t="s">
        <v>966</v>
      </c>
      <c r="W220" s="29" t="s">
        <v>26</v>
      </c>
    </row>
    <row r="221" spans="1:23" ht="30" customHeight="1">
      <c r="A221" s="19" t="s">
        <v>5579</v>
      </c>
      <c r="B221" s="19" t="s">
        <v>5569</v>
      </c>
      <c r="C221" s="19"/>
      <c r="D221" s="19" t="s">
        <v>969</v>
      </c>
      <c r="E221" s="20" t="s">
        <v>970</v>
      </c>
      <c r="F221" s="19"/>
      <c r="G221" s="21" t="s">
        <v>29</v>
      </c>
      <c r="H221" s="22" t="b">
        <v>0</v>
      </c>
      <c r="I221" s="22" t="b">
        <v>0</v>
      </c>
      <c r="J221" s="22" t="b">
        <v>0</v>
      </c>
      <c r="K221" s="22" t="b">
        <v>0</v>
      </c>
      <c r="L221" s="22" t="b">
        <v>0</v>
      </c>
      <c r="M221" s="21"/>
      <c r="N221" s="23">
        <v>0</v>
      </c>
      <c r="O221" s="24"/>
      <c r="P221" s="19"/>
      <c r="Q221" s="25"/>
      <c r="R221" s="25"/>
      <c r="S221" s="19"/>
      <c r="T221" s="26"/>
      <c r="U221" s="27" t="s">
        <v>21</v>
      </c>
      <c r="V221" s="28" t="s">
        <v>971</v>
      </c>
      <c r="W221" s="29" t="s">
        <v>26</v>
      </c>
    </row>
    <row r="222" spans="1:23" ht="30" customHeight="1">
      <c r="A222" s="19" t="s">
        <v>5579</v>
      </c>
      <c r="B222" s="19" t="s">
        <v>5569</v>
      </c>
      <c r="C222" s="19"/>
      <c r="D222" s="19" t="s">
        <v>974</v>
      </c>
      <c r="E222" s="20" t="s">
        <v>975</v>
      </c>
      <c r="F222" s="19"/>
      <c r="G222" s="21" t="s">
        <v>22</v>
      </c>
      <c r="H222" s="22" t="b">
        <v>0</v>
      </c>
      <c r="I222" s="22" t="b">
        <v>0</v>
      </c>
      <c r="J222" s="22" t="b">
        <v>0</v>
      </c>
      <c r="K222" s="22" t="b">
        <v>0</v>
      </c>
      <c r="L222" s="22" t="b">
        <v>0</v>
      </c>
      <c r="M222" s="21"/>
      <c r="N222" s="23">
        <v>0</v>
      </c>
      <c r="O222" s="24"/>
      <c r="P222" s="19"/>
      <c r="Q222" s="25"/>
      <c r="R222" s="25"/>
      <c r="S222" s="19"/>
      <c r="T222" s="26"/>
      <c r="U222" s="30" t="s">
        <v>34</v>
      </c>
      <c r="V222" s="28" t="s">
        <v>904</v>
      </c>
      <c r="W222" s="29" t="s">
        <v>26</v>
      </c>
    </row>
    <row r="223" spans="1:23" ht="30" customHeight="1">
      <c r="A223" s="19" t="s">
        <v>5579</v>
      </c>
      <c r="B223" s="19" t="s">
        <v>5569</v>
      </c>
      <c r="C223" s="19"/>
      <c r="D223" s="19" t="s">
        <v>977</v>
      </c>
      <c r="E223" s="20" t="s">
        <v>978</v>
      </c>
      <c r="F223" s="19"/>
      <c r="G223" s="21" t="s">
        <v>22</v>
      </c>
      <c r="H223" s="22" t="b">
        <v>0</v>
      </c>
      <c r="I223" s="22" t="b">
        <v>0</v>
      </c>
      <c r="J223" s="22" t="b">
        <v>0</v>
      </c>
      <c r="K223" s="22" t="b">
        <v>0</v>
      </c>
      <c r="L223" s="22" t="b">
        <v>0</v>
      </c>
      <c r="M223" s="21"/>
      <c r="N223" s="23">
        <v>0</v>
      </c>
      <c r="O223" s="24"/>
      <c r="P223" s="19"/>
      <c r="Q223" s="25"/>
      <c r="R223" s="25"/>
      <c r="S223" s="19"/>
      <c r="T223" s="26"/>
      <c r="U223" s="27" t="s">
        <v>21</v>
      </c>
      <c r="V223" s="28" t="s">
        <v>979</v>
      </c>
      <c r="W223" s="29" t="s">
        <v>26</v>
      </c>
    </row>
    <row r="224" spans="1:23" ht="30" customHeight="1">
      <c r="A224" s="19" t="s">
        <v>5579</v>
      </c>
      <c r="B224" s="19" t="s">
        <v>5569</v>
      </c>
      <c r="C224" s="19"/>
      <c r="D224" s="19" t="s">
        <v>982</v>
      </c>
      <c r="E224" s="20" t="s">
        <v>983</v>
      </c>
      <c r="F224" s="19"/>
      <c r="G224" s="21" t="s">
        <v>22</v>
      </c>
      <c r="H224" s="22" t="b">
        <v>0</v>
      </c>
      <c r="I224" s="22" t="b">
        <v>0</v>
      </c>
      <c r="J224" s="22" t="b">
        <v>0</v>
      </c>
      <c r="K224" s="22" t="b">
        <v>0</v>
      </c>
      <c r="L224" s="22" t="b">
        <v>0</v>
      </c>
      <c r="M224" s="21"/>
      <c r="N224" s="23">
        <v>0</v>
      </c>
      <c r="O224" s="24"/>
      <c r="P224" s="19"/>
      <c r="Q224" s="25"/>
      <c r="R224" s="25"/>
      <c r="S224" s="19"/>
      <c r="T224" s="26"/>
      <c r="U224" s="27" t="s">
        <v>21</v>
      </c>
      <c r="V224" s="28" t="s">
        <v>984</v>
      </c>
      <c r="W224" s="29" t="s">
        <v>26</v>
      </c>
    </row>
    <row r="225" spans="1:23" ht="30" customHeight="1">
      <c r="A225" s="19" t="s">
        <v>5579</v>
      </c>
      <c r="B225" s="19" t="s">
        <v>5569</v>
      </c>
      <c r="C225" s="19"/>
      <c r="D225" s="19" t="s">
        <v>987</v>
      </c>
      <c r="E225" s="20" t="s">
        <v>988</v>
      </c>
      <c r="F225" s="19"/>
      <c r="G225" s="21" t="s">
        <v>22</v>
      </c>
      <c r="H225" s="22" t="b">
        <v>0</v>
      </c>
      <c r="I225" s="22" t="b">
        <v>0</v>
      </c>
      <c r="J225" s="22" t="b">
        <v>0</v>
      </c>
      <c r="K225" s="22" t="b">
        <v>0</v>
      </c>
      <c r="L225" s="22" t="b">
        <v>0</v>
      </c>
      <c r="M225" s="21"/>
      <c r="N225" s="23">
        <v>0</v>
      </c>
      <c r="O225" s="24"/>
      <c r="P225" s="19"/>
      <c r="Q225" s="25"/>
      <c r="R225" s="25"/>
      <c r="S225" s="19"/>
      <c r="T225" s="26"/>
      <c r="U225" s="27" t="s">
        <v>21</v>
      </c>
      <c r="V225" s="28" t="s">
        <v>989</v>
      </c>
      <c r="W225" s="29" t="s">
        <v>26</v>
      </c>
    </row>
    <row r="226" spans="1:23" ht="30" customHeight="1">
      <c r="A226" s="19" t="s">
        <v>5579</v>
      </c>
      <c r="B226" s="19" t="s">
        <v>5569</v>
      </c>
      <c r="C226" s="19"/>
      <c r="D226" s="19" t="s">
        <v>992</v>
      </c>
      <c r="E226" s="20" t="s">
        <v>109</v>
      </c>
      <c r="F226" s="19"/>
      <c r="G226" s="21" t="s">
        <v>22</v>
      </c>
      <c r="H226" s="22" t="b">
        <v>0</v>
      </c>
      <c r="I226" s="22" t="b">
        <v>0</v>
      </c>
      <c r="J226" s="22" t="b">
        <v>0</v>
      </c>
      <c r="K226" s="22" t="b">
        <v>0</v>
      </c>
      <c r="L226" s="22" t="b">
        <v>0</v>
      </c>
      <c r="M226" s="21"/>
      <c r="N226" s="23">
        <v>0</v>
      </c>
      <c r="O226" s="24"/>
      <c r="P226" s="19"/>
      <c r="Q226" s="25"/>
      <c r="R226" s="25"/>
      <c r="S226" s="19"/>
      <c r="T226" s="26"/>
      <c r="U226" s="31" t="s">
        <v>110</v>
      </c>
      <c r="V226" s="28" t="s">
        <v>993</v>
      </c>
      <c r="W226" s="29" t="s">
        <v>26</v>
      </c>
    </row>
    <row r="227" spans="1:23" ht="30" customHeight="1">
      <c r="A227" s="19" t="s">
        <v>5579</v>
      </c>
      <c r="B227" s="19" t="s">
        <v>5569</v>
      </c>
      <c r="C227" s="19"/>
      <c r="D227" s="19" t="s">
        <v>996</v>
      </c>
      <c r="E227" s="20" t="s">
        <v>997</v>
      </c>
      <c r="F227" s="19"/>
      <c r="G227" s="21" t="s">
        <v>22</v>
      </c>
      <c r="H227" s="22" t="b">
        <v>0</v>
      </c>
      <c r="I227" s="22" t="b">
        <v>0</v>
      </c>
      <c r="J227" s="22" t="b">
        <v>0</v>
      </c>
      <c r="K227" s="22" t="b">
        <v>0</v>
      </c>
      <c r="L227" s="22" t="b">
        <v>0</v>
      </c>
      <c r="M227" s="21"/>
      <c r="N227" s="23">
        <v>0</v>
      </c>
      <c r="O227" s="24"/>
      <c r="P227" s="19"/>
      <c r="Q227" s="25"/>
      <c r="R227" s="25"/>
      <c r="S227" s="19"/>
      <c r="T227" s="26"/>
      <c r="U227" s="27" t="s">
        <v>21</v>
      </c>
      <c r="V227" s="28" t="s">
        <v>998</v>
      </c>
      <c r="W227" s="29" t="s">
        <v>26</v>
      </c>
    </row>
    <row r="228" spans="1:23" ht="30" customHeight="1">
      <c r="A228" s="19" t="s">
        <v>5579</v>
      </c>
      <c r="B228" s="19" t="s">
        <v>5569</v>
      </c>
      <c r="C228" s="19"/>
      <c r="D228" s="19" t="s">
        <v>1000</v>
      </c>
      <c r="E228" s="20" t="s">
        <v>1001</v>
      </c>
      <c r="F228" s="19"/>
      <c r="G228" s="21" t="s">
        <v>22</v>
      </c>
      <c r="H228" s="22" t="b">
        <v>0</v>
      </c>
      <c r="I228" s="22" t="b">
        <v>0</v>
      </c>
      <c r="J228" s="22" t="b">
        <v>0</v>
      </c>
      <c r="K228" s="22" t="b">
        <v>0</v>
      </c>
      <c r="L228" s="22" t="b">
        <v>0</v>
      </c>
      <c r="M228" s="21"/>
      <c r="N228" s="23">
        <v>0</v>
      </c>
      <c r="O228" s="24"/>
      <c r="P228" s="19"/>
      <c r="Q228" s="25"/>
      <c r="R228" s="25"/>
      <c r="S228" s="19"/>
      <c r="T228" s="26"/>
      <c r="U228" s="30" t="s">
        <v>34</v>
      </c>
      <c r="V228" s="28" t="s">
        <v>904</v>
      </c>
      <c r="W228" s="29" t="s">
        <v>26</v>
      </c>
    </row>
    <row r="229" spans="1:23" ht="30" customHeight="1">
      <c r="A229" s="19" t="s">
        <v>5579</v>
      </c>
      <c r="B229" s="19" t="s">
        <v>5569</v>
      </c>
      <c r="C229" s="19"/>
      <c r="D229" s="19" t="s">
        <v>1004</v>
      </c>
      <c r="E229" s="20" t="s">
        <v>1005</v>
      </c>
      <c r="F229" s="19"/>
      <c r="G229" s="21" t="s">
        <v>22</v>
      </c>
      <c r="H229" s="22" t="b">
        <v>0</v>
      </c>
      <c r="I229" s="22" t="b">
        <v>0</v>
      </c>
      <c r="J229" s="22" t="b">
        <v>0</v>
      </c>
      <c r="K229" s="22" t="b">
        <v>0</v>
      </c>
      <c r="L229" s="22" t="b">
        <v>0</v>
      </c>
      <c r="M229" s="21"/>
      <c r="N229" s="23">
        <v>0</v>
      </c>
      <c r="O229" s="24"/>
      <c r="P229" s="19"/>
      <c r="Q229" s="25"/>
      <c r="R229" s="25"/>
      <c r="S229" s="19"/>
      <c r="T229" s="26"/>
      <c r="U229" s="27" t="s">
        <v>21</v>
      </c>
      <c r="V229" s="28" t="s">
        <v>913</v>
      </c>
      <c r="W229" s="29" t="s">
        <v>26</v>
      </c>
    </row>
    <row r="230" spans="1:23" ht="30" customHeight="1">
      <c r="A230" s="19" t="s">
        <v>5579</v>
      </c>
      <c r="B230" s="19" t="s">
        <v>5569</v>
      </c>
      <c r="C230" s="19"/>
      <c r="D230" s="19" t="s">
        <v>1007</v>
      </c>
      <c r="E230" s="20" t="s">
        <v>1008</v>
      </c>
      <c r="F230" s="19"/>
      <c r="G230" s="21" t="s">
        <v>22</v>
      </c>
      <c r="H230" s="22" t="b">
        <v>0</v>
      </c>
      <c r="I230" s="22" t="b">
        <v>0</v>
      </c>
      <c r="J230" s="22" t="b">
        <v>0</v>
      </c>
      <c r="K230" s="22" t="b">
        <v>0</v>
      </c>
      <c r="L230" s="22" t="b">
        <v>0</v>
      </c>
      <c r="M230" s="21"/>
      <c r="N230" s="23">
        <v>0</v>
      </c>
      <c r="O230" s="24"/>
      <c r="P230" s="19"/>
      <c r="Q230" s="25"/>
      <c r="R230" s="25"/>
      <c r="S230" s="19"/>
      <c r="T230" s="26"/>
      <c r="U230" s="27" t="s">
        <v>21</v>
      </c>
      <c r="V230" s="28" t="s">
        <v>966</v>
      </c>
      <c r="W230" s="29" t="s">
        <v>26</v>
      </c>
    </row>
    <row r="231" spans="1:23" ht="30" customHeight="1">
      <c r="A231" s="19" t="s">
        <v>5579</v>
      </c>
      <c r="B231" s="19" t="s">
        <v>5569</v>
      </c>
      <c r="C231" s="19"/>
      <c r="D231" s="19" t="s">
        <v>1011</v>
      </c>
      <c r="E231" s="20" t="s">
        <v>1012</v>
      </c>
      <c r="F231" s="19"/>
      <c r="G231" s="21" t="s">
        <v>22</v>
      </c>
      <c r="H231" s="22" t="b">
        <v>0</v>
      </c>
      <c r="I231" s="22" t="b">
        <v>0</v>
      </c>
      <c r="J231" s="22" t="b">
        <v>0</v>
      </c>
      <c r="K231" s="22" t="b">
        <v>0</v>
      </c>
      <c r="L231" s="22" t="b">
        <v>0</v>
      </c>
      <c r="M231" s="21"/>
      <c r="N231" s="23">
        <v>0</v>
      </c>
      <c r="O231" s="24"/>
      <c r="P231" s="19"/>
      <c r="Q231" s="25"/>
      <c r="R231" s="25"/>
      <c r="S231" s="19"/>
      <c r="T231" s="26"/>
      <c r="U231" s="30" t="s">
        <v>34</v>
      </c>
      <c r="V231" s="28" t="s">
        <v>233</v>
      </c>
      <c r="W231" s="29" t="s">
        <v>26</v>
      </c>
    </row>
    <row r="232" spans="1:23" ht="30" customHeight="1">
      <c r="A232" s="19" t="s">
        <v>5579</v>
      </c>
      <c r="B232" s="19" t="s">
        <v>5569</v>
      </c>
      <c r="C232" s="19"/>
      <c r="D232" s="19" t="s">
        <v>1014</v>
      </c>
      <c r="E232" s="20" t="s">
        <v>1015</v>
      </c>
      <c r="F232" s="19"/>
      <c r="G232" s="21" t="s">
        <v>22</v>
      </c>
      <c r="H232" s="22" t="b">
        <v>0</v>
      </c>
      <c r="I232" s="22" t="b">
        <v>0</v>
      </c>
      <c r="J232" s="22" t="b">
        <v>0</v>
      </c>
      <c r="K232" s="22" t="b">
        <v>0</v>
      </c>
      <c r="L232" s="22" t="b">
        <v>0</v>
      </c>
      <c r="M232" s="21"/>
      <c r="N232" s="23">
        <v>0</v>
      </c>
      <c r="O232" s="24"/>
      <c r="P232" s="19"/>
      <c r="Q232" s="25"/>
      <c r="R232" s="25"/>
      <c r="S232" s="19"/>
      <c r="T232" s="26"/>
      <c r="U232" s="27" t="s">
        <v>21</v>
      </c>
      <c r="V232" s="28" t="s">
        <v>1016</v>
      </c>
      <c r="W232" s="29" t="s">
        <v>26</v>
      </c>
    </row>
    <row r="233" spans="1:23" ht="30" customHeight="1">
      <c r="A233" s="19" t="s">
        <v>5579</v>
      </c>
      <c r="B233" s="19" t="s">
        <v>5569</v>
      </c>
      <c r="C233" s="19"/>
      <c r="D233" s="19" t="s">
        <v>1018</v>
      </c>
      <c r="E233" s="20" t="s">
        <v>1019</v>
      </c>
      <c r="F233" s="19"/>
      <c r="G233" s="21" t="s">
        <v>22</v>
      </c>
      <c r="H233" s="22" t="b">
        <v>0</v>
      </c>
      <c r="I233" s="22" t="b">
        <v>0</v>
      </c>
      <c r="J233" s="22" t="b">
        <v>0</v>
      </c>
      <c r="K233" s="22" t="b">
        <v>0</v>
      </c>
      <c r="L233" s="22" t="b">
        <v>0</v>
      </c>
      <c r="M233" s="21"/>
      <c r="N233" s="23">
        <v>0</v>
      </c>
      <c r="O233" s="24"/>
      <c r="P233" s="19"/>
      <c r="Q233" s="25"/>
      <c r="R233" s="25"/>
      <c r="S233" s="19"/>
      <c r="T233" s="26"/>
      <c r="U233" s="27" t="s">
        <v>21</v>
      </c>
      <c r="V233" s="28" t="s">
        <v>913</v>
      </c>
      <c r="W233" s="29" t="s">
        <v>26</v>
      </c>
    </row>
    <row r="234" spans="1:23" ht="30" customHeight="1">
      <c r="A234" s="19" t="s">
        <v>5579</v>
      </c>
      <c r="B234" s="19" t="s">
        <v>5569</v>
      </c>
      <c r="C234" s="19"/>
      <c r="D234" s="19" t="s">
        <v>1021</v>
      </c>
      <c r="E234" s="20" t="s">
        <v>1022</v>
      </c>
      <c r="F234" s="19"/>
      <c r="G234" s="21" t="s">
        <v>22</v>
      </c>
      <c r="H234" s="22" t="b">
        <v>0</v>
      </c>
      <c r="I234" s="22" t="b">
        <v>0</v>
      </c>
      <c r="J234" s="22" t="b">
        <v>0</v>
      </c>
      <c r="K234" s="22" t="b">
        <v>0</v>
      </c>
      <c r="L234" s="22" t="b">
        <v>0</v>
      </c>
      <c r="M234" s="21"/>
      <c r="N234" s="23">
        <v>0</v>
      </c>
      <c r="O234" s="24"/>
      <c r="P234" s="19"/>
      <c r="Q234" s="25"/>
      <c r="R234" s="25"/>
      <c r="S234" s="19"/>
      <c r="T234" s="26"/>
      <c r="U234" s="30" t="s">
        <v>34</v>
      </c>
      <c r="V234" s="28" t="s">
        <v>1023</v>
      </c>
      <c r="W234" s="29" t="s">
        <v>26</v>
      </c>
    </row>
    <row r="235" spans="1:23" ht="30" customHeight="1">
      <c r="A235" s="19" t="s">
        <v>5579</v>
      </c>
      <c r="B235" s="19" t="s">
        <v>5569</v>
      </c>
      <c r="C235" s="19"/>
      <c r="D235" s="19" t="s">
        <v>1025</v>
      </c>
      <c r="E235" s="20" t="s">
        <v>1026</v>
      </c>
      <c r="F235" s="19"/>
      <c r="G235" s="21" t="s">
        <v>29</v>
      </c>
      <c r="H235" s="22" t="b">
        <v>0</v>
      </c>
      <c r="I235" s="22" t="b">
        <v>0</v>
      </c>
      <c r="J235" s="22" t="b">
        <v>0</v>
      </c>
      <c r="K235" s="22" t="b">
        <v>0</v>
      </c>
      <c r="L235" s="22" t="b">
        <v>0</v>
      </c>
      <c r="M235" s="21"/>
      <c r="N235" s="23">
        <v>0</v>
      </c>
      <c r="O235" s="24"/>
      <c r="P235" s="19"/>
      <c r="Q235" s="25"/>
      <c r="R235" s="25"/>
      <c r="S235" s="19"/>
      <c r="T235" s="26"/>
      <c r="U235" s="27" t="s">
        <v>21</v>
      </c>
      <c r="V235" s="28" t="s">
        <v>1027</v>
      </c>
      <c r="W235" s="29" t="s">
        <v>26</v>
      </c>
    </row>
    <row r="236" spans="1:23" ht="30" customHeight="1">
      <c r="A236" s="19" t="s">
        <v>5579</v>
      </c>
      <c r="B236" s="19" t="s">
        <v>5569</v>
      </c>
      <c r="C236" s="19"/>
      <c r="D236" s="19" t="s">
        <v>1030</v>
      </c>
      <c r="E236" s="20" t="s">
        <v>1031</v>
      </c>
      <c r="F236" s="19"/>
      <c r="G236" s="21" t="s">
        <v>22</v>
      </c>
      <c r="H236" s="22" t="b">
        <v>0</v>
      </c>
      <c r="I236" s="22" t="b">
        <v>0</v>
      </c>
      <c r="J236" s="22" t="b">
        <v>0</v>
      </c>
      <c r="K236" s="22" t="b">
        <v>0</v>
      </c>
      <c r="L236" s="22" t="b">
        <v>0</v>
      </c>
      <c r="M236" s="21"/>
      <c r="N236" s="23">
        <v>0</v>
      </c>
      <c r="O236" s="24"/>
      <c r="P236" s="19"/>
      <c r="Q236" s="25"/>
      <c r="R236" s="25"/>
      <c r="S236" s="19"/>
      <c r="T236" s="26"/>
      <c r="U236" s="27" t="s">
        <v>21</v>
      </c>
      <c r="V236" s="28" t="s">
        <v>1032</v>
      </c>
      <c r="W236" s="29" t="s">
        <v>26</v>
      </c>
    </row>
    <row r="237" spans="1:23" ht="30" customHeight="1">
      <c r="A237" s="19" t="s">
        <v>5579</v>
      </c>
      <c r="B237" s="19" t="s">
        <v>5569</v>
      </c>
      <c r="C237" s="19"/>
      <c r="D237" s="19" t="s">
        <v>1034</v>
      </c>
      <c r="E237" s="20" t="s">
        <v>1035</v>
      </c>
      <c r="F237" s="19"/>
      <c r="G237" s="21" t="s">
        <v>22</v>
      </c>
      <c r="H237" s="22" t="b">
        <v>0</v>
      </c>
      <c r="I237" s="22" t="b">
        <v>0</v>
      </c>
      <c r="J237" s="22" t="b">
        <v>0</v>
      </c>
      <c r="K237" s="22" t="b">
        <v>0</v>
      </c>
      <c r="L237" s="22" t="b">
        <v>0</v>
      </c>
      <c r="M237" s="21"/>
      <c r="N237" s="23">
        <v>0</v>
      </c>
      <c r="O237" s="24"/>
      <c r="P237" s="19"/>
      <c r="Q237" s="25"/>
      <c r="R237" s="25"/>
      <c r="S237" s="19"/>
      <c r="T237" s="26"/>
      <c r="U237" s="27" t="s">
        <v>21</v>
      </c>
      <c r="V237" s="28" t="s">
        <v>913</v>
      </c>
      <c r="W237" s="29" t="s">
        <v>26</v>
      </c>
    </row>
    <row r="238" spans="1:23" ht="30" customHeight="1">
      <c r="A238" s="19" t="s">
        <v>5579</v>
      </c>
      <c r="B238" s="19" t="s">
        <v>5569</v>
      </c>
      <c r="C238" s="19"/>
      <c r="D238" s="19" t="s">
        <v>1038</v>
      </c>
      <c r="E238" s="20" t="s">
        <v>1039</v>
      </c>
      <c r="F238" s="19"/>
      <c r="G238" s="21" t="s">
        <v>29</v>
      </c>
      <c r="H238" s="22" t="b">
        <v>0</v>
      </c>
      <c r="I238" s="22" t="b">
        <v>0</v>
      </c>
      <c r="J238" s="22" t="b">
        <v>0</v>
      </c>
      <c r="K238" s="22" t="b">
        <v>0</v>
      </c>
      <c r="L238" s="22" t="b">
        <v>0</v>
      </c>
      <c r="M238" s="21"/>
      <c r="N238" s="23">
        <v>0</v>
      </c>
      <c r="O238" s="24"/>
      <c r="P238" s="19"/>
      <c r="Q238" s="25"/>
      <c r="R238" s="25"/>
      <c r="S238" s="19"/>
      <c r="T238" s="26"/>
      <c r="U238" s="30" t="s">
        <v>34</v>
      </c>
      <c r="V238" s="28" t="s">
        <v>954</v>
      </c>
      <c r="W238" s="29" t="s">
        <v>26</v>
      </c>
    </row>
    <row r="239" spans="1:23" ht="30" customHeight="1">
      <c r="A239" s="19" t="s">
        <v>5579</v>
      </c>
      <c r="B239" s="19" t="s">
        <v>5569</v>
      </c>
      <c r="C239" s="19"/>
      <c r="D239" s="19" t="s">
        <v>1041</v>
      </c>
      <c r="E239" s="20" t="s">
        <v>109</v>
      </c>
      <c r="F239" s="19"/>
      <c r="G239" s="21" t="s">
        <v>39</v>
      </c>
      <c r="H239" s="22" t="b">
        <v>0</v>
      </c>
      <c r="I239" s="22" t="b">
        <v>0</v>
      </c>
      <c r="J239" s="22" t="b">
        <v>0</v>
      </c>
      <c r="K239" s="22" t="b">
        <v>0</v>
      </c>
      <c r="L239" s="22" t="b">
        <v>0</v>
      </c>
      <c r="M239" s="21"/>
      <c r="N239" s="23">
        <v>0</v>
      </c>
      <c r="O239" s="24"/>
      <c r="P239" s="19"/>
      <c r="Q239" s="25"/>
      <c r="R239" s="25"/>
      <c r="S239" s="19"/>
      <c r="T239" s="26"/>
      <c r="U239" s="31" t="s">
        <v>110</v>
      </c>
      <c r="V239" s="28" t="s">
        <v>1042</v>
      </c>
      <c r="W239" s="29" t="s">
        <v>26</v>
      </c>
    </row>
    <row r="240" spans="1:23" ht="30" customHeight="1">
      <c r="A240" s="19" t="s">
        <v>5579</v>
      </c>
      <c r="B240" s="19" t="s">
        <v>5569</v>
      </c>
      <c r="C240" s="19"/>
      <c r="D240" s="19" t="s">
        <v>1044</v>
      </c>
      <c r="E240" s="20" t="s">
        <v>1045</v>
      </c>
      <c r="F240" s="19"/>
      <c r="G240" s="21" t="s">
        <v>22</v>
      </c>
      <c r="H240" s="22" t="b">
        <v>0</v>
      </c>
      <c r="I240" s="22" t="b">
        <v>0</v>
      </c>
      <c r="J240" s="22" t="b">
        <v>0</v>
      </c>
      <c r="K240" s="22" t="b">
        <v>0</v>
      </c>
      <c r="L240" s="22" t="b">
        <v>0</v>
      </c>
      <c r="M240" s="21"/>
      <c r="N240" s="23">
        <v>0</v>
      </c>
      <c r="O240" s="24"/>
      <c r="P240" s="19"/>
      <c r="Q240" s="25"/>
      <c r="R240" s="25"/>
      <c r="S240" s="19"/>
      <c r="T240" s="26"/>
      <c r="U240" s="30" t="s">
        <v>34</v>
      </c>
      <c r="V240" s="28" t="s">
        <v>904</v>
      </c>
      <c r="W240" s="29" t="s">
        <v>26</v>
      </c>
    </row>
    <row r="241" spans="1:23" ht="30" customHeight="1">
      <c r="A241" s="19" t="s">
        <v>5579</v>
      </c>
      <c r="B241" s="19" t="s">
        <v>5569</v>
      </c>
      <c r="C241" s="19"/>
      <c r="D241" s="19" t="s">
        <v>1048</v>
      </c>
      <c r="E241" s="20" t="s">
        <v>1049</v>
      </c>
      <c r="F241" s="19"/>
      <c r="G241" s="21" t="s">
        <v>22</v>
      </c>
      <c r="H241" s="22" t="b">
        <v>0</v>
      </c>
      <c r="I241" s="22" t="b">
        <v>0</v>
      </c>
      <c r="J241" s="22" t="b">
        <v>0</v>
      </c>
      <c r="K241" s="22" t="b">
        <v>0</v>
      </c>
      <c r="L241" s="22" t="b">
        <v>0</v>
      </c>
      <c r="M241" s="21"/>
      <c r="N241" s="23">
        <v>0</v>
      </c>
      <c r="O241" s="24"/>
      <c r="P241" s="19"/>
      <c r="Q241" s="25"/>
      <c r="R241" s="25"/>
      <c r="S241" s="19"/>
      <c r="T241" s="26"/>
      <c r="U241" s="30" t="s">
        <v>34</v>
      </c>
      <c r="V241" s="28" t="s">
        <v>904</v>
      </c>
      <c r="W241" s="29" t="s">
        <v>26</v>
      </c>
    </row>
    <row r="242" spans="1:23" ht="30" customHeight="1">
      <c r="A242" s="19" t="s">
        <v>5579</v>
      </c>
      <c r="B242" s="19" t="s">
        <v>5569</v>
      </c>
      <c r="C242" s="19"/>
      <c r="D242" s="19" t="s">
        <v>1051</v>
      </c>
      <c r="E242" s="20" t="s">
        <v>1052</v>
      </c>
      <c r="F242" s="19"/>
      <c r="G242" s="21" t="s">
        <v>156</v>
      </c>
      <c r="H242" s="22" t="b">
        <v>0</v>
      </c>
      <c r="I242" s="22" t="b">
        <v>0</v>
      </c>
      <c r="J242" s="22" t="b">
        <v>0</v>
      </c>
      <c r="K242" s="22" t="b">
        <v>0</v>
      </c>
      <c r="L242" s="22" t="b">
        <v>0</v>
      </c>
      <c r="M242" s="21"/>
      <c r="N242" s="23">
        <v>0</v>
      </c>
      <c r="O242" s="24"/>
      <c r="P242" s="19"/>
      <c r="Q242" s="25"/>
      <c r="R242" s="25"/>
      <c r="S242" s="19"/>
      <c r="T242" s="26"/>
      <c r="U242" s="30" t="s">
        <v>34</v>
      </c>
      <c r="V242" s="28" t="s">
        <v>233</v>
      </c>
      <c r="W242" s="29" t="s">
        <v>26</v>
      </c>
    </row>
    <row r="243" spans="1:23" ht="30" customHeight="1">
      <c r="A243" s="19" t="s">
        <v>5579</v>
      </c>
      <c r="B243" s="19" t="s">
        <v>5569</v>
      </c>
      <c r="C243" s="19"/>
      <c r="D243" s="19" t="s">
        <v>1054</v>
      </c>
      <c r="E243" s="20" t="s">
        <v>1055</v>
      </c>
      <c r="F243" s="19"/>
      <c r="G243" s="21" t="s">
        <v>22</v>
      </c>
      <c r="H243" s="22" t="b">
        <v>0</v>
      </c>
      <c r="I243" s="22" t="b">
        <v>0</v>
      </c>
      <c r="J243" s="22" t="b">
        <v>0</v>
      </c>
      <c r="K243" s="22" t="b">
        <v>0</v>
      </c>
      <c r="L243" s="22" t="b">
        <v>0</v>
      </c>
      <c r="M243" s="21"/>
      <c r="N243" s="23">
        <v>0</v>
      </c>
      <c r="O243" s="24"/>
      <c r="P243" s="19"/>
      <c r="Q243" s="25"/>
      <c r="R243" s="25"/>
      <c r="S243" s="19"/>
      <c r="T243" s="26"/>
      <c r="U243" s="30" t="s">
        <v>34</v>
      </c>
      <c r="V243" s="28" t="s">
        <v>904</v>
      </c>
      <c r="W243" s="29" t="s">
        <v>26</v>
      </c>
    </row>
    <row r="244" spans="1:23" ht="30" customHeight="1">
      <c r="A244" s="19" t="s">
        <v>5579</v>
      </c>
      <c r="B244" s="19" t="s">
        <v>5569</v>
      </c>
      <c r="C244" s="19"/>
      <c r="D244" s="19" t="s">
        <v>1057</v>
      </c>
      <c r="E244" s="20" t="s">
        <v>1058</v>
      </c>
      <c r="F244" s="19"/>
      <c r="G244" s="21" t="s">
        <v>29</v>
      </c>
      <c r="H244" s="22" t="b">
        <v>0</v>
      </c>
      <c r="I244" s="22" t="b">
        <v>0</v>
      </c>
      <c r="J244" s="22" t="b">
        <v>0</v>
      </c>
      <c r="K244" s="22" t="b">
        <v>0</v>
      </c>
      <c r="L244" s="22" t="b">
        <v>0</v>
      </c>
      <c r="M244" s="21"/>
      <c r="N244" s="23">
        <v>0</v>
      </c>
      <c r="O244" s="24"/>
      <c r="P244" s="19"/>
      <c r="Q244" s="25"/>
      <c r="R244" s="25"/>
      <c r="S244" s="19"/>
      <c r="T244" s="26"/>
      <c r="U244" s="30" t="s">
        <v>34</v>
      </c>
      <c r="V244" s="28" t="s">
        <v>233</v>
      </c>
      <c r="W244" s="29" t="s">
        <v>26</v>
      </c>
    </row>
    <row r="245" spans="1:23" ht="30" customHeight="1">
      <c r="A245" s="19" t="s">
        <v>5579</v>
      </c>
      <c r="B245" s="19" t="s">
        <v>5569</v>
      </c>
      <c r="C245" s="19"/>
      <c r="D245" s="19" t="s">
        <v>1060</v>
      </c>
      <c r="E245" s="20" t="s">
        <v>1061</v>
      </c>
      <c r="F245" s="19"/>
      <c r="G245" s="21" t="s">
        <v>22</v>
      </c>
      <c r="H245" s="22" t="b">
        <v>0</v>
      </c>
      <c r="I245" s="22" t="b">
        <v>0</v>
      </c>
      <c r="J245" s="22" t="b">
        <v>0</v>
      </c>
      <c r="K245" s="22" t="b">
        <v>0</v>
      </c>
      <c r="L245" s="22" t="b">
        <v>0</v>
      </c>
      <c r="M245" s="21"/>
      <c r="N245" s="23">
        <v>0</v>
      </c>
      <c r="O245" s="24"/>
      <c r="P245" s="19"/>
      <c r="Q245" s="25"/>
      <c r="R245" s="25"/>
      <c r="S245" s="19"/>
      <c r="T245" s="26"/>
      <c r="U245" s="27" t="s">
        <v>21</v>
      </c>
      <c r="V245" s="28" t="s">
        <v>1062</v>
      </c>
      <c r="W245" s="29" t="s">
        <v>26</v>
      </c>
    </row>
    <row r="246" spans="1:23" ht="30" customHeight="1">
      <c r="A246" s="19" t="s">
        <v>5579</v>
      </c>
      <c r="B246" s="19" t="s">
        <v>5569</v>
      </c>
      <c r="C246" s="19"/>
      <c r="D246" s="19" t="s">
        <v>1065</v>
      </c>
      <c r="E246" s="20" t="s">
        <v>1066</v>
      </c>
      <c r="F246" s="19"/>
      <c r="G246" s="21" t="s">
        <v>22</v>
      </c>
      <c r="H246" s="22" t="b">
        <v>0</v>
      </c>
      <c r="I246" s="22" t="b">
        <v>0</v>
      </c>
      <c r="J246" s="22" t="b">
        <v>0</v>
      </c>
      <c r="K246" s="22" t="b">
        <v>0</v>
      </c>
      <c r="L246" s="22" t="b">
        <v>0</v>
      </c>
      <c r="M246" s="21"/>
      <c r="N246" s="23">
        <v>0</v>
      </c>
      <c r="O246" s="24"/>
      <c r="P246" s="19"/>
      <c r="Q246" s="25"/>
      <c r="R246" s="25"/>
      <c r="S246" s="19"/>
      <c r="T246" s="26"/>
      <c r="U246" s="27" t="s">
        <v>21</v>
      </c>
      <c r="V246" s="28" t="s">
        <v>1067</v>
      </c>
      <c r="W246" s="29" t="s">
        <v>26</v>
      </c>
    </row>
    <row r="247" spans="1:23" ht="30" customHeight="1">
      <c r="A247" s="19" t="s">
        <v>5579</v>
      </c>
      <c r="B247" s="19" t="s">
        <v>5569</v>
      </c>
      <c r="C247" s="19"/>
      <c r="D247" s="19" t="s">
        <v>1069</v>
      </c>
      <c r="E247" s="20" t="s">
        <v>1070</v>
      </c>
      <c r="F247" s="19"/>
      <c r="G247" s="21" t="s">
        <v>22</v>
      </c>
      <c r="H247" s="22" t="b">
        <v>0</v>
      </c>
      <c r="I247" s="22" t="b">
        <v>0</v>
      </c>
      <c r="J247" s="22" t="b">
        <v>0</v>
      </c>
      <c r="K247" s="22" t="b">
        <v>0</v>
      </c>
      <c r="L247" s="22" t="b">
        <v>0</v>
      </c>
      <c r="M247" s="21"/>
      <c r="N247" s="23">
        <v>0</v>
      </c>
      <c r="O247" s="24"/>
      <c r="P247" s="19"/>
      <c r="Q247" s="25"/>
      <c r="R247" s="25"/>
      <c r="S247" s="19"/>
      <c r="T247" s="26"/>
      <c r="U247" s="30" t="s">
        <v>34</v>
      </c>
      <c r="V247" s="28" t="s">
        <v>1071</v>
      </c>
      <c r="W247" s="29" t="s">
        <v>26</v>
      </c>
    </row>
    <row r="248" spans="1:23" ht="30" customHeight="1">
      <c r="A248" s="19" t="s">
        <v>5579</v>
      </c>
      <c r="B248" s="19" t="s">
        <v>5569</v>
      </c>
      <c r="C248" s="19"/>
      <c r="D248" s="19" t="s">
        <v>1073</v>
      </c>
      <c r="E248" s="20" t="s">
        <v>1074</v>
      </c>
      <c r="F248" s="19"/>
      <c r="G248" s="21" t="s">
        <v>22</v>
      </c>
      <c r="H248" s="22" t="b">
        <v>0</v>
      </c>
      <c r="I248" s="22" t="b">
        <v>0</v>
      </c>
      <c r="J248" s="22" t="b">
        <v>0</v>
      </c>
      <c r="K248" s="22" t="b">
        <v>0</v>
      </c>
      <c r="L248" s="22" t="b">
        <v>0</v>
      </c>
      <c r="M248" s="21"/>
      <c r="N248" s="23">
        <v>0</v>
      </c>
      <c r="O248" s="24"/>
      <c r="P248" s="19"/>
      <c r="Q248" s="25"/>
      <c r="R248" s="25"/>
      <c r="S248" s="19"/>
      <c r="T248" s="26"/>
      <c r="U248" s="30" t="s">
        <v>34</v>
      </c>
      <c r="V248" s="28" t="s">
        <v>233</v>
      </c>
      <c r="W248" s="29" t="s">
        <v>26</v>
      </c>
    </row>
    <row r="249" spans="1:23" ht="30" customHeight="1">
      <c r="A249" s="19" t="s">
        <v>5579</v>
      </c>
      <c r="B249" s="19" t="s">
        <v>5569</v>
      </c>
      <c r="C249" s="19"/>
      <c r="D249" s="19" t="s">
        <v>1077</v>
      </c>
      <c r="E249" s="20" t="s">
        <v>1078</v>
      </c>
      <c r="F249" s="19"/>
      <c r="G249" s="21" t="s">
        <v>22</v>
      </c>
      <c r="H249" s="22" t="b">
        <v>0</v>
      </c>
      <c r="I249" s="22" t="b">
        <v>0</v>
      </c>
      <c r="J249" s="22" t="b">
        <v>0</v>
      </c>
      <c r="K249" s="22" t="b">
        <v>0</v>
      </c>
      <c r="L249" s="22" t="b">
        <v>0</v>
      </c>
      <c r="M249" s="21"/>
      <c r="N249" s="23">
        <v>0</v>
      </c>
      <c r="O249" s="24"/>
      <c r="P249" s="19"/>
      <c r="Q249" s="25"/>
      <c r="R249" s="25"/>
      <c r="S249" s="19"/>
      <c r="T249" s="26"/>
      <c r="U249" s="27" t="s">
        <v>21</v>
      </c>
      <c r="V249" s="28" t="s">
        <v>1079</v>
      </c>
      <c r="W249" s="29" t="s">
        <v>26</v>
      </c>
    </row>
    <row r="250" spans="1:23" ht="30" customHeight="1">
      <c r="A250" s="19" t="s">
        <v>5579</v>
      </c>
      <c r="B250" s="19" t="s">
        <v>5569</v>
      </c>
      <c r="C250" s="19"/>
      <c r="D250" s="19" t="s">
        <v>1081</v>
      </c>
      <c r="E250" s="20" t="s">
        <v>1082</v>
      </c>
      <c r="F250" s="19"/>
      <c r="G250" s="21" t="s">
        <v>22</v>
      </c>
      <c r="H250" s="22" t="b">
        <v>0</v>
      </c>
      <c r="I250" s="22" t="b">
        <v>0</v>
      </c>
      <c r="J250" s="22" t="b">
        <v>0</v>
      </c>
      <c r="K250" s="22" t="b">
        <v>0</v>
      </c>
      <c r="L250" s="22" t="b">
        <v>0</v>
      </c>
      <c r="M250" s="21"/>
      <c r="N250" s="23">
        <v>0</v>
      </c>
      <c r="O250" s="24"/>
      <c r="P250" s="19"/>
      <c r="Q250" s="25"/>
      <c r="R250" s="25"/>
      <c r="S250" s="19"/>
      <c r="T250" s="26"/>
      <c r="U250" s="27" t="s">
        <v>21</v>
      </c>
      <c r="V250" s="28" t="s">
        <v>1083</v>
      </c>
      <c r="W250" s="29" t="s">
        <v>26</v>
      </c>
    </row>
    <row r="251" spans="1:23" ht="30" customHeight="1">
      <c r="A251" s="19" t="s">
        <v>5579</v>
      </c>
      <c r="B251" s="19" t="s">
        <v>5569</v>
      </c>
      <c r="C251" s="19"/>
      <c r="D251" s="19" t="s">
        <v>1085</v>
      </c>
      <c r="E251" s="20" t="s">
        <v>109</v>
      </c>
      <c r="F251" s="19"/>
      <c r="G251" s="21" t="s">
        <v>22</v>
      </c>
      <c r="H251" s="22" t="b">
        <v>0</v>
      </c>
      <c r="I251" s="22" t="b">
        <v>0</v>
      </c>
      <c r="J251" s="22" t="b">
        <v>0</v>
      </c>
      <c r="K251" s="22" t="b">
        <v>0</v>
      </c>
      <c r="L251" s="22" t="b">
        <v>0</v>
      </c>
      <c r="M251" s="21"/>
      <c r="N251" s="23">
        <v>0</v>
      </c>
      <c r="O251" s="24"/>
      <c r="P251" s="19"/>
      <c r="Q251" s="25"/>
      <c r="R251" s="25"/>
      <c r="S251" s="19"/>
      <c r="T251" s="26"/>
      <c r="U251" s="31" t="s">
        <v>110</v>
      </c>
      <c r="V251" s="28" t="s">
        <v>1086</v>
      </c>
      <c r="W251" s="29" t="s">
        <v>26</v>
      </c>
    </row>
    <row r="252" spans="1:23" ht="30" customHeight="1">
      <c r="A252" s="19" t="s">
        <v>5579</v>
      </c>
      <c r="B252" s="19" t="s">
        <v>5569</v>
      </c>
      <c r="C252" s="19"/>
      <c r="D252" s="19" t="s">
        <v>1088</v>
      </c>
      <c r="E252" s="20" t="s">
        <v>1089</v>
      </c>
      <c r="F252" s="19"/>
      <c r="G252" s="21" t="s">
        <v>22</v>
      </c>
      <c r="H252" s="22" t="b">
        <v>0</v>
      </c>
      <c r="I252" s="22" t="b">
        <v>0</v>
      </c>
      <c r="J252" s="22" t="b">
        <v>0</v>
      </c>
      <c r="K252" s="22" t="b">
        <v>0</v>
      </c>
      <c r="L252" s="22" t="b">
        <v>0</v>
      </c>
      <c r="M252" s="21"/>
      <c r="N252" s="23">
        <v>0</v>
      </c>
      <c r="O252" s="24"/>
      <c r="P252" s="19"/>
      <c r="Q252" s="25"/>
      <c r="R252" s="25"/>
      <c r="S252" s="19"/>
      <c r="T252" s="26"/>
      <c r="U252" s="30" t="s">
        <v>34</v>
      </c>
      <c r="V252" s="28" t="s">
        <v>233</v>
      </c>
      <c r="W252" s="29" t="s">
        <v>26</v>
      </c>
    </row>
    <row r="253" spans="1:23" ht="30" customHeight="1">
      <c r="A253" s="19" t="s">
        <v>5579</v>
      </c>
      <c r="B253" s="19" t="s">
        <v>5569</v>
      </c>
      <c r="C253" s="19"/>
      <c r="D253" s="19" t="s">
        <v>1091</v>
      </c>
      <c r="E253" s="20" t="s">
        <v>1092</v>
      </c>
      <c r="F253" s="19"/>
      <c r="G253" s="21" t="s">
        <v>156</v>
      </c>
      <c r="H253" s="22" t="b">
        <v>0</v>
      </c>
      <c r="I253" s="22" t="b">
        <v>0</v>
      </c>
      <c r="J253" s="22" t="b">
        <v>0</v>
      </c>
      <c r="K253" s="22" t="b">
        <v>0</v>
      </c>
      <c r="L253" s="22" t="b">
        <v>0</v>
      </c>
      <c r="M253" s="21"/>
      <c r="N253" s="23">
        <v>0</v>
      </c>
      <c r="O253" s="24"/>
      <c r="P253" s="19"/>
      <c r="Q253" s="25"/>
      <c r="R253" s="25"/>
      <c r="S253" s="19"/>
      <c r="T253" s="26"/>
      <c r="U253" s="30" t="s">
        <v>34</v>
      </c>
      <c r="V253" s="28" t="s">
        <v>1093</v>
      </c>
      <c r="W253" s="29" t="s">
        <v>26</v>
      </c>
    </row>
    <row r="254" spans="1:23" ht="30" customHeight="1">
      <c r="A254" s="19" t="s">
        <v>5579</v>
      </c>
      <c r="B254" s="19" t="s">
        <v>5569</v>
      </c>
      <c r="C254" s="19"/>
      <c r="D254" s="19" t="s">
        <v>1095</v>
      </c>
      <c r="E254" s="20" t="s">
        <v>1096</v>
      </c>
      <c r="F254" s="19"/>
      <c r="G254" s="21" t="s">
        <v>22</v>
      </c>
      <c r="H254" s="22" t="b">
        <v>0</v>
      </c>
      <c r="I254" s="22" t="b">
        <v>0</v>
      </c>
      <c r="J254" s="22" t="b">
        <v>0</v>
      </c>
      <c r="K254" s="22" t="b">
        <v>0</v>
      </c>
      <c r="L254" s="22" t="b">
        <v>0</v>
      </c>
      <c r="M254" s="21"/>
      <c r="N254" s="23">
        <v>0</v>
      </c>
      <c r="O254" s="24"/>
      <c r="P254" s="19"/>
      <c r="Q254" s="25"/>
      <c r="R254" s="25"/>
      <c r="S254" s="19"/>
      <c r="T254" s="26"/>
      <c r="U254" s="30" t="s">
        <v>34</v>
      </c>
      <c r="V254" s="28" t="s">
        <v>1097</v>
      </c>
      <c r="W254" s="29" t="s">
        <v>26</v>
      </c>
    </row>
    <row r="255" spans="1:23" ht="30" customHeight="1">
      <c r="A255" s="19" t="s">
        <v>5579</v>
      </c>
      <c r="B255" s="19" t="s">
        <v>5569</v>
      </c>
      <c r="C255" s="19"/>
      <c r="D255" s="19" t="s">
        <v>1099</v>
      </c>
      <c r="E255" s="20" t="s">
        <v>1100</v>
      </c>
      <c r="F255" s="19"/>
      <c r="G255" s="21" t="s">
        <v>22</v>
      </c>
      <c r="H255" s="22" t="b">
        <v>0</v>
      </c>
      <c r="I255" s="22" t="b">
        <v>0</v>
      </c>
      <c r="J255" s="22" t="b">
        <v>0</v>
      </c>
      <c r="K255" s="22" t="b">
        <v>0</v>
      </c>
      <c r="L255" s="22" t="b">
        <v>0</v>
      </c>
      <c r="M255" s="21"/>
      <c r="N255" s="23">
        <v>0</v>
      </c>
      <c r="O255" s="24"/>
      <c r="P255" s="19"/>
      <c r="Q255" s="25"/>
      <c r="R255" s="25"/>
      <c r="S255" s="19"/>
      <c r="T255" s="26"/>
      <c r="U255" s="30" t="s">
        <v>34</v>
      </c>
      <c r="V255" s="28" t="s">
        <v>1101</v>
      </c>
      <c r="W255" s="29" t="s">
        <v>26</v>
      </c>
    </row>
    <row r="256" spans="1:23" ht="30" customHeight="1">
      <c r="A256" s="19" t="s">
        <v>5579</v>
      </c>
      <c r="B256" s="19" t="s">
        <v>5569</v>
      </c>
      <c r="C256" s="19"/>
      <c r="D256" s="19" t="s">
        <v>1104</v>
      </c>
      <c r="E256" s="20" t="s">
        <v>1105</v>
      </c>
      <c r="F256" s="19"/>
      <c r="G256" s="21" t="s">
        <v>22</v>
      </c>
      <c r="H256" s="22" t="b">
        <v>0</v>
      </c>
      <c r="I256" s="22" t="b">
        <v>0</v>
      </c>
      <c r="J256" s="22" t="b">
        <v>0</v>
      </c>
      <c r="K256" s="22" t="b">
        <v>0</v>
      </c>
      <c r="L256" s="22" t="b">
        <v>0</v>
      </c>
      <c r="M256" s="21"/>
      <c r="N256" s="23">
        <v>0</v>
      </c>
      <c r="O256" s="24"/>
      <c r="P256" s="19"/>
      <c r="Q256" s="25"/>
      <c r="R256" s="25"/>
      <c r="S256" s="19"/>
      <c r="T256" s="26"/>
      <c r="U256" s="27" t="s">
        <v>21</v>
      </c>
      <c r="V256" s="28" t="s">
        <v>1106</v>
      </c>
      <c r="W256" s="29" t="s">
        <v>26</v>
      </c>
    </row>
    <row r="257" spans="1:23" ht="30" customHeight="1">
      <c r="A257" s="19" t="s">
        <v>5579</v>
      </c>
      <c r="B257" s="19" t="s">
        <v>5569</v>
      </c>
      <c r="C257" s="19"/>
      <c r="D257" s="19" t="s">
        <v>1108</v>
      </c>
      <c r="E257" s="20" t="s">
        <v>1109</v>
      </c>
      <c r="F257" s="19"/>
      <c r="G257" s="21" t="s">
        <v>22</v>
      </c>
      <c r="H257" s="22" t="b">
        <v>0</v>
      </c>
      <c r="I257" s="22" t="b">
        <v>0</v>
      </c>
      <c r="J257" s="22" t="b">
        <v>0</v>
      </c>
      <c r="K257" s="22" t="b">
        <v>0</v>
      </c>
      <c r="L257" s="22" t="b">
        <v>0</v>
      </c>
      <c r="M257" s="21"/>
      <c r="N257" s="23">
        <v>0</v>
      </c>
      <c r="O257" s="24"/>
      <c r="P257" s="19"/>
      <c r="Q257" s="25"/>
      <c r="R257" s="25"/>
      <c r="S257" s="19"/>
      <c r="T257" s="26"/>
      <c r="U257" s="27" t="s">
        <v>21</v>
      </c>
      <c r="V257" s="28" t="s">
        <v>913</v>
      </c>
      <c r="W257" s="29" t="s">
        <v>26</v>
      </c>
    </row>
    <row r="258" spans="1:23" ht="30" customHeight="1">
      <c r="A258" s="19" t="s">
        <v>5579</v>
      </c>
      <c r="B258" s="19" t="s">
        <v>5569</v>
      </c>
      <c r="C258" s="19"/>
      <c r="D258" s="19" t="s">
        <v>1111</v>
      </c>
      <c r="E258" s="20" t="s">
        <v>1112</v>
      </c>
      <c r="F258" s="19"/>
      <c r="G258" s="21" t="s">
        <v>22</v>
      </c>
      <c r="H258" s="22" t="b">
        <v>0</v>
      </c>
      <c r="I258" s="22" t="b">
        <v>0</v>
      </c>
      <c r="J258" s="22" t="b">
        <v>0</v>
      </c>
      <c r="K258" s="22" t="b">
        <v>0</v>
      </c>
      <c r="L258" s="22" t="b">
        <v>0</v>
      </c>
      <c r="M258" s="21"/>
      <c r="N258" s="23">
        <v>0</v>
      </c>
      <c r="O258" s="24"/>
      <c r="P258" s="19"/>
      <c r="Q258" s="25"/>
      <c r="R258" s="25"/>
      <c r="S258" s="19"/>
      <c r="T258" s="26"/>
      <c r="U258" s="27" t="s">
        <v>21</v>
      </c>
      <c r="V258" s="28" t="s">
        <v>361</v>
      </c>
      <c r="W258" s="29" t="s">
        <v>26</v>
      </c>
    </row>
    <row r="259" spans="1:23" ht="30" customHeight="1">
      <c r="A259" s="19" t="s">
        <v>5580</v>
      </c>
      <c r="B259" s="19" t="s">
        <v>5569</v>
      </c>
      <c r="C259" s="19"/>
      <c r="D259" s="19" t="s">
        <v>1116</v>
      </c>
      <c r="E259" s="20" t="s">
        <v>1117</v>
      </c>
      <c r="F259" s="19"/>
      <c r="G259" s="21" t="s">
        <v>22</v>
      </c>
      <c r="H259" s="22" t="b">
        <v>0</v>
      </c>
      <c r="I259" s="22" t="b">
        <v>0</v>
      </c>
      <c r="J259" s="22" t="b">
        <v>0</v>
      </c>
      <c r="K259" s="22" t="b">
        <v>0</v>
      </c>
      <c r="L259" s="22" t="b">
        <v>0</v>
      </c>
      <c r="M259" s="21"/>
      <c r="N259" s="23">
        <v>0</v>
      </c>
      <c r="O259" s="24"/>
      <c r="P259" s="19"/>
      <c r="Q259" s="25"/>
      <c r="R259" s="25"/>
      <c r="S259" s="19"/>
      <c r="T259" s="26"/>
      <c r="U259" s="30" t="s">
        <v>34</v>
      </c>
      <c r="V259" s="28" t="s">
        <v>1118</v>
      </c>
      <c r="W259" s="29" t="s">
        <v>26</v>
      </c>
    </row>
    <row r="260" spans="1:23" ht="30" customHeight="1">
      <c r="A260" s="19" t="s">
        <v>5580</v>
      </c>
      <c r="B260" s="19" t="s">
        <v>5569</v>
      </c>
      <c r="C260" s="19"/>
      <c r="D260" s="19" t="s">
        <v>1121</v>
      </c>
      <c r="E260" s="20" t="s">
        <v>1122</v>
      </c>
      <c r="F260" s="19"/>
      <c r="G260" s="21" t="s">
        <v>22</v>
      </c>
      <c r="H260" s="22" t="b">
        <v>0</v>
      </c>
      <c r="I260" s="22" t="b">
        <v>0</v>
      </c>
      <c r="J260" s="22" t="b">
        <v>0</v>
      </c>
      <c r="K260" s="22" t="b">
        <v>0</v>
      </c>
      <c r="L260" s="22" t="b">
        <v>0</v>
      </c>
      <c r="M260" s="21"/>
      <c r="N260" s="23">
        <v>0</v>
      </c>
      <c r="O260" s="24"/>
      <c r="P260" s="19"/>
      <c r="Q260" s="25"/>
      <c r="R260" s="25"/>
      <c r="S260" s="19"/>
      <c r="T260" s="26"/>
      <c r="U260" s="27" t="s">
        <v>21</v>
      </c>
      <c r="V260" s="28" t="s">
        <v>253</v>
      </c>
      <c r="W260" s="29" t="s">
        <v>26</v>
      </c>
    </row>
    <row r="261" spans="1:23" ht="30" customHeight="1">
      <c r="A261" s="19" t="s">
        <v>5580</v>
      </c>
      <c r="B261" s="19" t="s">
        <v>5569</v>
      </c>
      <c r="C261" s="19"/>
      <c r="D261" s="19" t="s">
        <v>1125</v>
      </c>
      <c r="E261" s="20" t="s">
        <v>109</v>
      </c>
      <c r="F261" s="19"/>
      <c r="G261" s="21" t="s">
        <v>22</v>
      </c>
      <c r="H261" s="22" t="b">
        <v>0</v>
      </c>
      <c r="I261" s="22" t="b">
        <v>0</v>
      </c>
      <c r="J261" s="22" t="b">
        <v>0</v>
      </c>
      <c r="K261" s="22" t="b">
        <v>0</v>
      </c>
      <c r="L261" s="22" t="b">
        <v>0</v>
      </c>
      <c r="M261" s="21"/>
      <c r="N261" s="23">
        <v>0</v>
      </c>
      <c r="O261" s="24"/>
      <c r="P261" s="19"/>
      <c r="Q261" s="25"/>
      <c r="R261" s="25"/>
      <c r="S261" s="19"/>
      <c r="T261" s="26"/>
      <c r="U261" s="31" t="s">
        <v>110</v>
      </c>
      <c r="V261" s="28" t="s">
        <v>1126</v>
      </c>
      <c r="W261" s="29" t="s">
        <v>26</v>
      </c>
    </row>
    <row r="262" spans="1:23" ht="30" customHeight="1">
      <c r="A262" s="19" t="s">
        <v>5580</v>
      </c>
      <c r="B262" s="19" t="s">
        <v>5569</v>
      </c>
      <c r="C262" s="19"/>
      <c r="D262" s="19" t="s">
        <v>1129</v>
      </c>
      <c r="E262" s="20" t="s">
        <v>1130</v>
      </c>
      <c r="F262" s="19"/>
      <c r="G262" s="21" t="s">
        <v>22</v>
      </c>
      <c r="H262" s="22" t="b">
        <v>0</v>
      </c>
      <c r="I262" s="22" t="b">
        <v>0</v>
      </c>
      <c r="J262" s="22" t="b">
        <v>0</v>
      </c>
      <c r="K262" s="22" t="b">
        <v>0</v>
      </c>
      <c r="L262" s="22" t="b">
        <v>0</v>
      </c>
      <c r="M262" s="21"/>
      <c r="N262" s="23">
        <v>0</v>
      </c>
      <c r="O262" s="24"/>
      <c r="P262" s="19"/>
      <c r="Q262" s="25"/>
      <c r="R262" s="25"/>
      <c r="S262" s="19"/>
      <c r="T262" s="26"/>
      <c r="U262" s="27" t="s">
        <v>21</v>
      </c>
      <c r="V262" s="28" t="s">
        <v>1131</v>
      </c>
      <c r="W262" s="29" t="s">
        <v>26</v>
      </c>
    </row>
    <row r="263" spans="1:23" ht="30" customHeight="1">
      <c r="A263" s="19" t="s">
        <v>5580</v>
      </c>
      <c r="B263" s="19" t="s">
        <v>5569</v>
      </c>
      <c r="C263" s="19"/>
      <c r="D263" s="19" t="s">
        <v>1133</v>
      </c>
      <c r="E263" s="20" t="s">
        <v>1134</v>
      </c>
      <c r="F263" s="19"/>
      <c r="G263" s="21" t="s">
        <v>22</v>
      </c>
      <c r="H263" s="22" t="b">
        <v>0</v>
      </c>
      <c r="I263" s="22" t="b">
        <v>0</v>
      </c>
      <c r="J263" s="22" t="b">
        <v>0</v>
      </c>
      <c r="K263" s="22" t="b">
        <v>0</v>
      </c>
      <c r="L263" s="22" t="b">
        <v>0</v>
      </c>
      <c r="M263" s="21"/>
      <c r="N263" s="23">
        <v>0</v>
      </c>
      <c r="O263" s="24"/>
      <c r="P263" s="19"/>
      <c r="Q263" s="25"/>
      <c r="R263" s="25"/>
      <c r="S263" s="19"/>
      <c r="T263" s="26"/>
      <c r="U263" s="27" t="s">
        <v>21</v>
      </c>
      <c r="V263" s="28" t="s">
        <v>1135</v>
      </c>
      <c r="W263" s="29" t="s">
        <v>26</v>
      </c>
    </row>
    <row r="264" spans="1:23" ht="30" customHeight="1">
      <c r="A264" s="19" t="s">
        <v>5580</v>
      </c>
      <c r="B264" s="19" t="s">
        <v>5569</v>
      </c>
      <c r="C264" s="19"/>
      <c r="D264" s="19" t="s">
        <v>1138</v>
      </c>
      <c r="E264" s="20" t="s">
        <v>1139</v>
      </c>
      <c r="F264" s="19"/>
      <c r="G264" s="21" t="s">
        <v>22</v>
      </c>
      <c r="H264" s="22" t="b">
        <v>0</v>
      </c>
      <c r="I264" s="22" t="b">
        <v>0</v>
      </c>
      <c r="J264" s="22" t="b">
        <v>0</v>
      </c>
      <c r="K264" s="22" t="b">
        <v>0</v>
      </c>
      <c r="L264" s="22" t="b">
        <v>0</v>
      </c>
      <c r="M264" s="21"/>
      <c r="N264" s="23">
        <v>0</v>
      </c>
      <c r="O264" s="24"/>
      <c r="P264" s="19"/>
      <c r="Q264" s="25"/>
      <c r="R264" s="25"/>
      <c r="S264" s="19"/>
      <c r="T264" s="26"/>
      <c r="U264" s="30" t="s">
        <v>34</v>
      </c>
      <c r="V264" s="28" t="s">
        <v>233</v>
      </c>
      <c r="W264" s="29" t="s">
        <v>26</v>
      </c>
    </row>
    <row r="265" spans="1:23" ht="30" customHeight="1">
      <c r="A265" s="19" t="s">
        <v>5580</v>
      </c>
      <c r="B265" s="19" t="s">
        <v>5569</v>
      </c>
      <c r="C265" s="19"/>
      <c r="D265" s="19" t="s">
        <v>1142</v>
      </c>
      <c r="E265" s="20" t="s">
        <v>1143</v>
      </c>
      <c r="F265" s="19"/>
      <c r="G265" s="21" t="s">
        <v>29</v>
      </c>
      <c r="H265" s="22" t="b">
        <v>0</v>
      </c>
      <c r="I265" s="22" t="b">
        <v>0</v>
      </c>
      <c r="J265" s="22" t="b">
        <v>0</v>
      </c>
      <c r="K265" s="22" t="b">
        <v>0</v>
      </c>
      <c r="L265" s="22" t="b">
        <v>0</v>
      </c>
      <c r="M265" s="21"/>
      <c r="N265" s="23">
        <v>0</v>
      </c>
      <c r="O265" s="24"/>
      <c r="P265" s="19"/>
      <c r="Q265" s="25"/>
      <c r="R265" s="25"/>
      <c r="S265" s="19"/>
      <c r="T265" s="26"/>
      <c r="U265" s="27" t="s">
        <v>21</v>
      </c>
      <c r="V265" s="28" t="s">
        <v>296</v>
      </c>
      <c r="W265" s="29" t="s">
        <v>26</v>
      </c>
    </row>
    <row r="266" spans="1:23" ht="30" customHeight="1">
      <c r="A266" s="19" t="s">
        <v>5580</v>
      </c>
      <c r="B266" s="19" t="s">
        <v>5569</v>
      </c>
      <c r="C266" s="19"/>
      <c r="D266" s="19" t="s">
        <v>1146</v>
      </c>
      <c r="E266" s="20" t="s">
        <v>1147</v>
      </c>
      <c r="F266" s="19"/>
      <c r="G266" s="21" t="s">
        <v>22</v>
      </c>
      <c r="H266" s="22" t="b">
        <v>0</v>
      </c>
      <c r="I266" s="22" t="b">
        <v>0</v>
      </c>
      <c r="J266" s="22" t="b">
        <v>0</v>
      </c>
      <c r="K266" s="22" t="b">
        <v>0</v>
      </c>
      <c r="L266" s="22" t="b">
        <v>0</v>
      </c>
      <c r="M266" s="21"/>
      <c r="N266" s="23">
        <v>0</v>
      </c>
      <c r="O266" s="24"/>
      <c r="P266" s="19"/>
      <c r="Q266" s="25"/>
      <c r="R266" s="25"/>
      <c r="S266" s="19"/>
      <c r="T266" s="26"/>
      <c r="U266" s="27" t="s">
        <v>21</v>
      </c>
      <c r="V266" s="28" t="s">
        <v>1016</v>
      </c>
      <c r="W266" s="29" t="s">
        <v>26</v>
      </c>
    </row>
    <row r="267" spans="1:23" ht="30" customHeight="1">
      <c r="A267" s="19" t="s">
        <v>5580</v>
      </c>
      <c r="B267" s="19" t="s">
        <v>5569</v>
      </c>
      <c r="C267" s="19"/>
      <c r="D267" s="19" t="s">
        <v>1150</v>
      </c>
      <c r="E267" s="20" t="s">
        <v>1151</v>
      </c>
      <c r="F267" s="19"/>
      <c r="G267" s="21" t="s">
        <v>22</v>
      </c>
      <c r="H267" s="22" t="b">
        <v>0</v>
      </c>
      <c r="I267" s="22" t="b">
        <v>0</v>
      </c>
      <c r="J267" s="22" t="b">
        <v>0</v>
      </c>
      <c r="K267" s="22" t="b">
        <v>0</v>
      </c>
      <c r="L267" s="22" t="b">
        <v>0</v>
      </c>
      <c r="M267" s="21"/>
      <c r="N267" s="23">
        <v>0</v>
      </c>
      <c r="O267" s="24"/>
      <c r="P267" s="19"/>
      <c r="Q267" s="25"/>
      <c r="R267" s="25"/>
      <c r="S267" s="19"/>
      <c r="T267" s="26"/>
      <c r="U267" s="27" t="s">
        <v>21</v>
      </c>
      <c r="V267" s="28" t="s">
        <v>1152</v>
      </c>
      <c r="W267" s="29" t="s">
        <v>26</v>
      </c>
    </row>
    <row r="268" spans="1:23" ht="30" customHeight="1">
      <c r="A268" s="19" t="s">
        <v>5580</v>
      </c>
      <c r="B268" s="19" t="s">
        <v>5569</v>
      </c>
      <c r="C268" s="19"/>
      <c r="D268" s="19" t="s">
        <v>1155</v>
      </c>
      <c r="E268" s="20" t="s">
        <v>1156</v>
      </c>
      <c r="F268" s="19"/>
      <c r="G268" s="21" t="s">
        <v>22</v>
      </c>
      <c r="H268" s="22" t="b">
        <v>0</v>
      </c>
      <c r="I268" s="22" t="b">
        <v>0</v>
      </c>
      <c r="J268" s="22" t="b">
        <v>0</v>
      </c>
      <c r="K268" s="22" t="b">
        <v>0</v>
      </c>
      <c r="L268" s="22" t="b">
        <v>0</v>
      </c>
      <c r="M268" s="21"/>
      <c r="N268" s="23">
        <v>0</v>
      </c>
      <c r="O268" s="24"/>
      <c r="P268" s="19"/>
      <c r="Q268" s="25"/>
      <c r="R268" s="25"/>
      <c r="S268" s="19"/>
      <c r="T268" s="26"/>
      <c r="U268" s="30" t="s">
        <v>34</v>
      </c>
      <c r="V268" s="28" t="s">
        <v>233</v>
      </c>
      <c r="W268" s="29" t="s">
        <v>26</v>
      </c>
    </row>
    <row r="269" spans="1:23" ht="30" customHeight="1">
      <c r="A269" s="19" t="s">
        <v>5580</v>
      </c>
      <c r="B269" s="19" t="s">
        <v>5569</v>
      </c>
      <c r="C269" s="19"/>
      <c r="D269" s="19" t="s">
        <v>1158</v>
      </c>
      <c r="E269" s="20" t="s">
        <v>1159</v>
      </c>
      <c r="F269" s="19"/>
      <c r="G269" s="21" t="s">
        <v>22</v>
      </c>
      <c r="H269" s="22" t="b">
        <v>0</v>
      </c>
      <c r="I269" s="22" t="b">
        <v>0</v>
      </c>
      <c r="J269" s="22" t="b">
        <v>0</v>
      </c>
      <c r="K269" s="22" t="b">
        <v>0</v>
      </c>
      <c r="L269" s="22" t="b">
        <v>0</v>
      </c>
      <c r="M269" s="21"/>
      <c r="N269" s="23">
        <v>0</v>
      </c>
      <c r="O269" s="24"/>
      <c r="P269" s="19"/>
      <c r="Q269" s="25"/>
      <c r="R269" s="25"/>
      <c r="S269" s="19"/>
      <c r="T269" s="26"/>
      <c r="U269" s="27" t="s">
        <v>21</v>
      </c>
      <c r="V269" s="28" t="s">
        <v>1160</v>
      </c>
      <c r="W269" s="29" t="s">
        <v>26</v>
      </c>
    </row>
    <row r="270" spans="1:23" ht="30" customHeight="1">
      <c r="A270" s="19" t="s">
        <v>5580</v>
      </c>
      <c r="B270" s="19" t="s">
        <v>5569</v>
      </c>
      <c r="C270" s="19"/>
      <c r="D270" s="19" t="s">
        <v>1163</v>
      </c>
      <c r="E270" s="20" t="s">
        <v>1164</v>
      </c>
      <c r="F270" s="19"/>
      <c r="G270" s="21" t="s">
        <v>22</v>
      </c>
      <c r="H270" s="22" t="b">
        <v>0</v>
      </c>
      <c r="I270" s="22" t="b">
        <v>0</v>
      </c>
      <c r="J270" s="22" t="b">
        <v>0</v>
      </c>
      <c r="K270" s="22" t="b">
        <v>0</v>
      </c>
      <c r="L270" s="22" t="b">
        <v>0</v>
      </c>
      <c r="M270" s="21"/>
      <c r="N270" s="23">
        <v>0</v>
      </c>
      <c r="O270" s="24"/>
      <c r="P270" s="19"/>
      <c r="Q270" s="25"/>
      <c r="R270" s="25"/>
      <c r="S270" s="19"/>
      <c r="T270" s="26"/>
      <c r="U270" s="27" t="s">
        <v>21</v>
      </c>
      <c r="V270" s="28" t="s">
        <v>1165</v>
      </c>
      <c r="W270" s="29" t="s">
        <v>26</v>
      </c>
    </row>
    <row r="271" spans="1:23" ht="30" customHeight="1">
      <c r="A271" s="19" t="s">
        <v>5580</v>
      </c>
      <c r="B271" s="19" t="s">
        <v>5569</v>
      </c>
      <c r="C271" s="19"/>
      <c r="D271" s="19" t="s">
        <v>1168</v>
      </c>
      <c r="E271" s="20" t="s">
        <v>1169</v>
      </c>
      <c r="F271" s="19"/>
      <c r="G271" s="21" t="s">
        <v>22</v>
      </c>
      <c r="H271" s="22" t="b">
        <v>0</v>
      </c>
      <c r="I271" s="22" t="b">
        <v>0</v>
      </c>
      <c r="J271" s="22" t="b">
        <v>0</v>
      </c>
      <c r="K271" s="22" t="b">
        <v>0</v>
      </c>
      <c r="L271" s="22" t="b">
        <v>0</v>
      </c>
      <c r="M271" s="21"/>
      <c r="N271" s="23">
        <v>0</v>
      </c>
      <c r="O271" s="24"/>
      <c r="P271" s="19"/>
      <c r="Q271" s="25"/>
      <c r="R271" s="25"/>
      <c r="S271" s="19"/>
      <c r="T271" s="26"/>
      <c r="U271" s="27" t="s">
        <v>21</v>
      </c>
      <c r="V271" s="28" t="s">
        <v>1170</v>
      </c>
      <c r="W271" s="29" t="s">
        <v>26</v>
      </c>
    </row>
    <row r="272" spans="1:23" ht="30" customHeight="1">
      <c r="A272" s="19" t="s">
        <v>5580</v>
      </c>
      <c r="B272" s="19" t="s">
        <v>5569</v>
      </c>
      <c r="C272" s="19"/>
      <c r="D272" s="19" t="s">
        <v>1173</v>
      </c>
      <c r="E272" s="20" t="s">
        <v>1174</v>
      </c>
      <c r="F272" s="19"/>
      <c r="G272" s="21" t="s">
        <v>29</v>
      </c>
      <c r="H272" s="22" t="b">
        <v>0</v>
      </c>
      <c r="I272" s="22" t="b">
        <v>0</v>
      </c>
      <c r="J272" s="22" t="b">
        <v>0</v>
      </c>
      <c r="K272" s="22" t="b">
        <v>0</v>
      </c>
      <c r="L272" s="22" t="b">
        <v>0</v>
      </c>
      <c r="M272" s="21"/>
      <c r="N272" s="23">
        <v>0</v>
      </c>
      <c r="O272" s="24"/>
      <c r="P272" s="19"/>
      <c r="Q272" s="25"/>
      <c r="R272" s="25"/>
      <c r="S272" s="19"/>
      <c r="T272" s="26"/>
      <c r="U272" s="30" t="s">
        <v>34</v>
      </c>
      <c r="V272" s="28" t="s">
        <v>1175</v>
      </c>
      <c r="W272" s="29" t="s">
        <v>26</v>
      </c>
    </row>
    <row r="273" spans="1:23" ht="30" customHeight="1">
      <c r="A273" s="19" t="s">
        <v>5580</v>
      </c>
      <c r="B273" s="19" t="s">
        <v>5569</v>
      </c>
      <c r="C273" s="19"/>
      <c r="D273" s="19" t="s">
        <v>1177</v>
      </c>
      <c r="E273" s="20" t="s">
        <v>1178</v>
      </c>
      <c r="F273" s="19"/>
      <c r="G273" s="21" t="s">
        <v>29</v>
      </c>
      <c r="H273" s="22" t="b">
        <v>0</v>
      </c>
      <c r="I273" s="22" t="b">
        <v>0</v>
      </c>
      <c r="J273" s="22" t="b">
        <v>0</v>
      </c>
      <c r="K273" s="22" t="b">
        <v>0</v>
      </c>
      <c r="L273" s="22" t="b">
        <v>0</v>
      </c>
      <c r="M273" s="21"/>
      <c r="N273" s="23">
        <v>0</v>
      </c>
      <c r="O273" s="24"/>
      <c r="P273" s="19"/>
      <c r="Q273" s="25"/>
      <c r="R273" s="25"/>
      <c r="S273" s="19"/>
      <c r="T273" s="26"/>
      <c r="U273" s="30" t="s">
        <v>34</v>
      </c>
      <c r="V273" s="28" t="s">
        <v>1179</v>
      </c>
      <c r="W273" s="29" t="s">
        <v>26</v>
      </c>
    </row>
    <row r="274" spans="1:23" ht="30" customHeight="1">
      <c r="A274" s="19" t="s">
        <v>5580</v>
      </c>
      <c r="B274" s="19" t="s">
        <v>5569</v>
      </c>
      <c r="C274" s="19"/>
      <c r="D274" s="19" t="s">
        <v>1181</v>
      </c>
      <c r="E274" s="20" t="s">
        <v>1182</v>
      </c>
      <c r="F274" s="19"/>
      <c r="G274" s="21" t="s">
        <v>22</v>
      </c>
      <c r="H274" s="22" t="b">
        <v>0</v>
      </c>
      <c r="I274" s="22" t="b">
        <v>0</v>
      </c>
      <c r="J274" s="22" t="b">
        <v>0</v>
      </c>
      <c r="K274" s="22" t="b">
        <v>0</v>
      </c>
      <c r="L274" s="22" t="b">
        <v>0</v>
      </c>
      <c r="M274" s="21"/>
      <c r="N274" s="23">
        <v>0</v>
      </c>
      <c r="O274" s="24"/>
      <c r="P274" s="19"/>
      <c r="Q274" s="25"/>
      <c r="R274" s="25"/>
      <c r="S274" s="19"/>
      <c r="T274" s="26"/>
      <c r="U274" s="27" t="s">
        <v>21</v>
      </c>
      <c r="V274" s="28" t="s">
        <v>998</v>
      </c>
      <c r="W274" s="29" t="s">
        <v>26</v>
      </c>
    </row>
    <row r="275" spans="1:23" ht="30" customHeight="1">
      <c r="A275" s="19" t="s">
        <v>5580</v>
      </c>
      <c r="B275" s="19" t="s">
        <v>5569</v>
      </c>
      <c r="C275" s="19"/>
      <c r="D275" s="19" t="s">
        <v>1185</v>
      </c>
      <c r="E275" s="20" t="s">
        <v>1186</v>
      </c>
      <c r="F275" s="19"/>
      <c r="G275" s="21" t="s">
        <v>22</v>
      </c>
      <c r="H275" s="22" t="b">
        <v>0</v>
      </c>
      <c r="I275" s="22" t="b">
        <v>0</v>
      </c>
      <c r="J275" s="22" t="b">
        <v>0</v>
      </c>
      <c r="K275" s="22" t="b">
        <v>0</v>
      </c>
      <c r="L275" s="22" t="b">
        <v>0</v>
      </c>
      <c r="M275" s="21"/>
      <c r="N275" s="23">
        <v>0</v>
      </c>
      <c r="O275" s="24"/>
      <c r="P275" s="19"/>
      <c r="Q275" s="25"/>
      <c r="R275" s="25"/>
      <c r="S275" s="19"/>
      <c r="T275" s="26"/>
      <c r="U275" s="27" t="s">
        <v>21</v>
      </c>
      <c r="V275" s="28" t="s">
        <v>935</v>
      </c>
      <c r="W275" s="29" t="s">
        <v>26</v>
      </c>
    </row>
    <row r="276" spans="1:23" ht="30" customHeight="1">
      <c r="A276" s="19" t="s">
        <v>5580</v>
      </c>
      <c r="B276" s="19" t="s">
        <v>5569</v>
      </c>
      <c r="C276" s="19"/>
      <c r="D276" s="19" t="s">
        <v>1189</v>
      </c>
      <c r="E276" s="20" t="s">
        <v>1190</v>
      </c>
      <c r="F276" s="19"/>
      <c r="G276" s="21" t="s">
        <v>22</v>
      </c>
      <c r="H276" s="22" t="b">
        <v>0</v>
      </c>
      <c r="I276" s="22" t="b">
        <v>0</v>
      </c>
      <c r="J276" s="22" t="b">
        <v>0</v>
      </c>
      <c r="K276" s="22" t="b">
        <v>0</v>
      </c>
      <c r="L276" s="22" t="b">
        <v>0</v>
      </c>
      <c r="M276" s="21"/>
      <c r="N276" s="23">
        <v>0</v>
      </c>
      <c r="O276" s="24"/>
      <c r="P276" s="19"/>
      <c r="Q276" s="25"/>
      <c r="R276" s="25"/>
      <c r="S276" s="19"/>
      <c r="T276" s="26"/>
      <c r="U276" s="27" t="s">
        <v>21</v>
      </c>
      <c r="V276" s="28" t="s">
        <v>935</v>
      </c>
      <c r="W276" s="29" t="s">
        <v>26</v>
      </c>
    </row>
    <row r="277" spans="1:23" ht="30" customHeight="1">
      <c r="A277" s="19" t="s">
        <v>5580</v>
      </c>
      <c r="B277" s="19" t="s">
        <v>5569</v>
      </c>
      <c r="C277" s="19"/>
      <c r="D277" s="19" t="s">
        <v>1193</v>
      </c>
      <c r="E277" s="20" t="s">
        <v>1194</v>
      </c>
      <c r="F277" s="19"/>
      <c r="G277" s="21" t="s">
        <v>22</v>
      </c>
      <c r="H277" s="22" t="b">
        <v>0</v>
      </c>
      <c r="I277" s="22" t="b">
        <v>0</v>
      </c>
      <c r="J277" s="22" t="b">
        <v>0</v>
      </c>
      <c r="K277" s="22" t="b">
        <v>0</v>
      </c>
      <c r="L277" s="22" t="b">
        <v>0</v>
      </c>
      <c r="M277" s="21"/>
      <c r="N277" s="23">
        <v>0</v>
      </c>
      <c r="O277" s="24"/>
      <c r="P277" s="19"/>
      <c r="Q277" s="25"/>
      <c r="R277" s="25"/>
      <c r="S277" s="19"/>
      <c r="T277" s="26"/>
      <c r="U277" s="27" t="s">
        <v>21</v>
      </c>
      <c r="V277" s="28" t="s">
        <v>1016</v>
      </c>
      <c r="W277" s="29" t="s">
        <v>26</v>
      </c>
    </row>
    <row r="278" spans="1:23" ht="30" customHeight="1">
      <c r="A278" s="19" t="s">
        <v>5580</v>
      </c>
      <c r="B278" s="19" t="s">
        <v>5569</v>
      </c>
      <c r="C278" s="19"/>
      <c r="D278" s="19" t="s">
        <v>1197</v>
      </c>
      <c r="E278" s="20" t="s">
        <v>1198</v>
      </c>
      <c r="F278" s="19"/>
      <c r="G278" s="21" t="s">
        <v>156</v>
      </c>
      <c r="H278" s="22" t="b">
        <v>0</v>
      </c>
      <c r="I278" s="22" t="b">
        <v>0</v>
      </c>
      <c r="J278" s="22" t="b">
        <v>0</v>
      </c>
      <c r="K278" s="22" t="b">
        <v>0</v>
      </c>
      <c r="L278" s="22" t="b">
        <v>0</v>
      </c>
      <c r="M278" s="21"/>
      <c r="N278" s="23">
        <v>0</v>
      </c>
      <c r="O278" s="24"/>
      <c r="P278" s="19"/>
      <c r="Q278" s="25"/>
      <c r="R278" s="25"/>
      <c r="S278" s="19"/>
      <c r="T278" s="26"/>
      <c r="U278" s="27" t="s">
        <v>21</v>
      </c>
      <c r="V278" s="28" t="s">
        <v>913</v>
      </c>
      <c r="W278" s="29" t="s">
        <v>26</v>
      </c>
    </row>
    <row r="279" spans="1:23" ht="30" customHeight="1">
      <c r="A279" s="19" t="s">
        <v>5580</v>
      </c>
      <c r="B279" s="19" t="s">
        <v>5569</v>
      </c>
      <c r="C279" s="19"/>
      <c r="D279" s="19" t="s">
        <v>1200</v>
      </c>
      <c r="E279" s="20" t="s">
        <v>1201</v>
      </c>
      <c r="F279" s="19"/>
      <c r="G279" s="21" t="s">
        <v>22</v>
      </c>
      <c r="H279" s="22" t="b">
        <v>0</v>
      </c>
      <c r="I279" s="22" t="b">
        <v>0</v>
      </c>
      <c r="J279" s="22" t="b">
        <v>0</v>
      </c>
      <c r="K279" s="22" t="b">
        <v>0</v>
      </c>
      <c r="L279" s="22" t="b">
        <v>0</v>
      </c>
      <c r="M279" s="21"/>
      <c r="N279" s="23">
        <v>0</v>
      </c>
      <c r="O279" s="24"/>
      <c r="P279" s="19"/>
      <c r="Q279" s="25"/>
      <c r="R279" s="25"/>
      <c r="S279" s="19"/>
      <c r="T279" s="26"/>
      <c r="U279" s="27" t="s">
        <v>21</v>
      </c>
      <c r="V279" s="28" t="s">
        <v>1202</v>
      </c>
      <c r="W279" s="29" t="s">
        <v>26</v>
      </c>
    </row>
    <row r="280" spans="1:23" ht="30" customHeight="1">
      <c r="A280" s="19" t="s">
        <v>5580</v>
      </c>
      <c r="B280" s="19" t="s">
        <v>5569</v>
      </c>
      <c r="C280" s="19"/>
      <c r="D280" s="19" t="s">
        <v>1204</v>
      </c>
      <c r="E280" s="20" t="s">
        <v>1205</v>
      </c>
      <c r="F280" s="19"/>
      <c r="G280" s="21" t="s">
        <v>22</v>
      </c>
      <c r="H280" s="22" t="b">
        <v>0</v>
      </c>
      <c r="I280" s="22" t="b">
        <v>0</v>
      </c>
      <c r="J280" s="22" t="b">
        <v>0</v>
      </c>
      <c r="K280" s="22" t="b">
        <v>0</v>
      </c>
      <c r="L280" s="22" t="b">
        <v>0</v>
      </c>
      <c r="M280" s="21"/>
      <c r="N280" s="23">
        <v>0</v>
      </c>
      <c r="O280" s="24"/>
      <c r="P280" s="19"/>
      <c r="Q280" s="25"/>
      <c r="R280" s="25"/>
      <c r="S280" s="19"/>
      <c r="T280" s="26"/>
      <c r="U280" s="27" t="s">
        <v>21</v>
      </c>
      <c r="V280" s="28" t="s">
        <v>192</v>
      </c>
      <c r="W280" s="29" t="s">
        <v>26</v>
      </c>
    </row>
    <row r="281" spans="1:23" ht="30" customHeight="1">
      <c r="A281" s="19" t="s">
        <v>5580</v>
      </c>
      <c r="B281" s="19" t="s">
        <v>5569</v>
      </c>
      <c r="C281" s="19"/>
      <c r="D281" s="19" t="s">
        <v>1207</v>
      </c>
      <c r="E281" s="20" t="s">
        <v>1208</v>
      </c>
      <c r="F281" s="19"/>
      <c r="G281" s="21" t="s">
        <v>22</v>
      </c>
      <c r="H281" s="22" t="b">
        <v>0</v>
      </c>
      <c r="I281" s="22" t="b">
        <v>0</v>
      </c>
      <c r="J281" s="22" t="b">
        <v>0</v>
      </c>
      <c r="K281" s="22" t="b">
        <v>0</v>
      </c>
      <c r="L281" s="22" t="b">
        <v>0</v>
      </c>
      <c r="M281" s="21"/>
      <c r="N281" s="23">
        <v>0</v>
      </c>
      <c r="O281" s="24"/>
      <c r="P281" s="19"/>
      <c r="Q281" s="25"/>
      <c r="R281" s="25"/>
      <c r="S281" s="19"/>
      <c r="T281" s="26"/>
      <c r="U281" s="27" t="s">
        <v>21</v>
      </c>
      <c r="V281" s="28" t="s">
        <v>913</v>
      </c>
      <c r="W281" s="29" t="s">
        <v>26</v>
      </c>
    </row>
    <row r="282" spans="1:23" ht="30" customHeight="1">
      <c r="A282" s="19" t="s">
        <v>5580</v>
      </c>
      <c r="B282" s="19" t="s">
        <v>5569</v>
      </c>
      <c r="C282" s="19"/>
      <c r="D282" s="19" t="s">
        <v>1210</v>
      </c>
      <c r="E282" s="20" t="s">
        <v>1211</v>
      </c>
      <c r="F282" s="19"/>
      <c r="G282" s="21" t="s">
        <v>22</v>
      </c>
      <c r="H282" s="22" t="b">
        <v>0</v>
      </c>
      <c r="I282" s="22" t="b">
        <v>0</v>
      </c>
      <c r="J282" s="22" t="b">
        <v>0</v>
      </c>
      <c r="K282" s="22" t="b">
        <v>0</v>
      </c>
      <c r="L282" s="22" t="b">
        <v>0</v>
      </c>
      <c r="M282" s="21"/>
      <c r="N282" s="23">
        <v>0</v>
      </c>
      <c r="O282" s="24"/>
      <c r="P282" s="19"/>
      <c r="Q282" s="25"/>
      <c r="R282" s="25"/>
      <c r="S282" s="19"/>
      <c r="T282" s="26"/>
      <c r="U282" s="30" t="s">
        <v>34</v>
      </c>
      <c r="V282" s="28" t="s">
        <v>1212</v>
      </c>
      <c r="W282" s="29" t="s">
        <v>26</v>
      </c>
    </row>
    <row r="283" spans="1:23" ht="30" customHeight="1">
      <c r="A283" s="19" t="s">
        <v>5580</v>
      </c>
      <c r="B283" s="19" t="s">
        <v>5569</v>
      </c>
      <c r="C283" s="19"/>
      <c r="D283" s="19" t="s">
        <v>1214</v>
      </c>
      <c r="E283" s="20" t="s">
        <v>1215</v>
      </c>
      <c r="F283" s="19"/>
      <c r="G283" s="21" t="s">
        <v>22</v>
      </c>
      <c r="H283" s="22" t="b">
        <v>0</v>
      </c>
      <c r="I283" s="22" t="b">
        <v>0</v>
      </c>
      <c r="J283" s="22" t="b">
        <v>0</v>
      </c>
      <c r="K283" s="22" t="b">
        <v>0</v>
      </c>
      <c r="L283" s="22" t="b">
        <v>0</v>
      </c>
      <c r="M283" s="21"/>
      <c r="N283" s="23">
        <v>0</v>
      </c>
      <c r="O283" s="24"/>
      <c r="P283" s="19"/>
      <c r="Q283" s="25"/>
      <c r="R283" s="25"/>
      <c r="S283" s="19"/>
      <c r="T283" s="26"/>
      <c r="U283" s="30" t="s">
        <v>34</v>
      </c>
      <c r="V283" s="28" t="s">
        <v>233</v>
      </c>
      <c r="W283" s="29" t="s">
        <v>26</v>
      </c>
    </row>
    <row r="284" spans="1:23" ht="30" customHeight="1">
      <c r="A284" s="19" t="s">
        <v>5580</v>
      </c>
      <c r="B284" s="19" t="s">
        <v>5569</v>
      </c>
      <c r="C284" s="19"/>
      <c r="D284" s="19" t="s">
        <v>1217</v>
      </c>
      <c r="E284" s="20" t="s">
        <v>1218</v>
      </c>
      <c r="F284" s="19"/>
      <c r="G284" s="21" t="s">
        <v>29</v>
      </c>
      <c r="H284" s="22" t="b">
        <v>0</v>
      </c>
      <c r="I284" s="22" t="b">
        <v>0</v>
      </c>
      <c r="J284" s="22" t="b">
        <v>0</v>
      </c>
      <c r="K284" s="22" t="b">
        <v>0</v>
      </c>
      <c r="L284" s="22" t="b">
        <v>0</v>
      </c>
      <c r="M284" s="21"/>
      <c r="N284" s="23">
        <v>0</v>
      </c>
      <c r="O284" s="24"/>
      <c r="P284" s="19"/>
      <c r="Q284" s="25"/>
      <c r="R284" s="25"/>
      <c r="S284" s="19"/>
      <c r="T284" s="26"/>
      <c r="U284" s="27" t="s">
        <v>21</v>
      </c>
      <c r="V284" s="28" t="s">
        <v>1016</v>
      </c>
      <c r="W284" s="29" t="s">
        <v>26</v>
      </c>
    </row>
    <row r="285" spans="1:23" ht="30" customHeight="1">
      <c r="A285" s="19" t="s">
        <v>5580</v>
      </c>
      <c r="B285" s="19" t="s">
        <v>5569</v>
      </c>
      <c r="C285" s="19"/>
      <c r="D285" s="19" t="s">
        <v>1221</v>
      </c>
      <c r="E285" s="20" t="s">
        <v>1222</v>
      </c>
      <c r="F285" s="19"/>
      <c r="G285" s="21" t="s">
        <v>22</v>
      </c>
      <c r="H285" s="22" t="b">
        <v>0</v>
      </c>
      <c r="I285" s="22" t="b">
        <v>0</v>
      </c>
      <c r="J285" s="22" t="b">
        <v>0</v>
      </c>
      <c r="K285" s="22" t="b">
        <v>0</v>
      </c>
      <c r="L285" s="22" t="b">
        <v>0</v>
      </c>
      <c r="M285" s="21"/>
      <c r="N285" s="23">
        <v>0</v>
      </c>
      <c r="O285" s="24"/>
      <c r="P285" s="19"/>
      <c r="Q285" s="25"/>
      <c r="R285" s="25"/>
      <c r="S285" s="19"/>
      <c r="T285" s="26"/>
      <c r="U285" s="27" t="s">
        <v>21</v>
      </c>
      <c r="V285" s="28" t="s">
        <v>1223</v>
      </c>
      <c r="W285" s="29" t="s">
        <v>26</v>
      </c>
    </row>
    <row r="286" spans="1:23" ht="30" customHeight="1">
      <c r="A286" s="19" t="s">
        <v>5580</v>
      </c>
      <c r="B286" s="19" t="s">
        <v>5569</v>
      </c>
      <c r="C286" s="19"/>
      <c r="D286" s="19" t="s">
        <v>1225</v>
      </c>
      <c r="E286" s="20" t="s">
        <v>1226</v>
      </c>
      <c r="F286" s="19"/>
      <c r="G286" s="21" t="s">
        <v>22</v>
      </c>
      <c r="H286" s="22" t="b">
        <v>0</v>
      </c>
      <c r="I286" s="22" t="b">
        <v>0</v>
      </c>
      <c r="J286" s="22" t="b">
        <v>0</v>
      </c>
      <c r="K286" s="22" t="b">
        <v>0</v>
      </c>
      <c r="L286" s="22" t="b">
        <v>0</v>
      </c>
      <c r="M286" s="21"/>
      <c r="N286" s="23">
        <v>0</v>
      </c>
      <c r="O286" s="24"/>
      <c r="P286" s="19"/>
      <c r="Q286" s="25"/>
      <c r="R286" s="25"/>
      <c r="S286" s="19"/>
      <c r="T286" s="26"/>
      <c r="U286" s="27" t="s">
        <v>21</v>
      </c>
      <c r="V286" s="28" t="s">
        <v>1227</v>
      </c>
      <c r="W286" s="29" t="s">
        <v>26</v>
      </c>
    </row>
    <row r="287" spans="1:23" ht="30" customHeight="1">
      <c r="A287" s="19" t="s">
        <v>5580</v>
      </c>
      <c r="B287" s="19" t="s">
        <v>5569</v>
      </c>
      <c r="C287" s="19"/>
      <c r="D287" s="19" t="s">
        <v>1229</v>
      </c>
      <c r="E287" s="20" t="s">
        <v>1230</v>
      </c>
      <c r="F287" s="19"/>
      <c r="G287" s="21" t="s">
        <v>29</v>
      </c>
      <c r="H287" s="22" t="b">
        <v>0</v>
      </c>
      <c r="I287" s="22" t="b">
        <v>0</v>
      </c>
      <c r="J287" s="22" t="b">
        <v>0</v>
      </c>
      <c r="K287" s="22" t="b">
        <v>0</v>
      </c>
      <c r="L287" s="22" t="b">
        <v>0</v>
      </c>
      <c r="M287" s="21"/>
      <c r="N287" s="23">
        <v>0</v>
      </c>
      <c r="O287" s="24"/>
      <c r="P287" s="19"/>
      <c r="Q287" s="25"/>
      <c r="R287" s="25"/>
      <c r="S287" s="19"/>
      <c r="T287" s="26"/>
      <c r="U287" s="27" t="s">
        <v>21</v>
      </c>
      <c r="V287" s="28" t="s">
        <v>1231</v>
      </c>
      <c r="W287" s="29" t="s">
        <v>26</v>
      </c>
    </row>
    <row r="288" spans="1:23" ht="30" customHeight="1">
      <c r="A288" s="19" t="s">
        <v>5580</v>
      </c>
      <c r="B288" s="19" t="s">
        <v>5569</v>
      </c>
      <c r="C288" s="19"/>
      <c r="D288" s="19" t="s">
        <v>1233</v>
      </c>
      <c r="E288" s="20" t="s">
        <v>1234</v>
      </c>
      <c r="F288" s="19"/>
      <c r="G288" s="21" t="s">
        <v>22</v>
      </c>
      <c r="H288" s="22" t="b">
        <v>0</v>
      </c>
      <c r="I288" s="22" t="b">
        <v>0</v>
      </c>
      <c r="J288" s="22" t="b">
        <v>0</v>
      </c>
      <c r="K288" s="22" t="b">
        <v>0</v>
      </c>
      <c r="L288" s="22" t="b">
        <v>0</v>
      </c>
      <c r="M288" s="21"/>
      <c r="N288" s="23">
        <v>0</v>
      </c>
      <c r="O288" s="24"/>
      <c r="P288" s="19"/>
      <c r="Q288" s="25"/>
      <c r="R288" s="25"/>
      <c r="S288" s="19"/>
      <c r="T288" s="26"/>
      <c r="U288" s="30" t="s">
        <v>34</v>
      </c>
      <c r="V288" s="28" t="s">
        <v>1235</v>
      </c>
      <c r="W288" s="29" t="s">
        <v>26</v>
      </c>
    </row>
    <row r="289" spans="1:23" ht="30" customHeight="1">
      <c r="A289" s="19" t="s">
        <v>5580</v>
      </c>
      <c r="B289" s="19" t="s">
        <v>5569</v>
      </c>
      <c r="C289" s="19"/>
      <c r="D289" s="19" t="s">
        <v>1237</v>
      </c>
      <c r="E289" s="20" t="s">
        <v>1238</v>
      </c>
      <c r="F289" s="19"/>
      <c r="G289" s="21" t="s">
        <v>29</v>
      </c>
      <c r="H289" s="22" t="b">
        <v>0</v>
      </c>
      <c r="I289" s="22" t="b">
        <v>0</v>
      </c>
      <c r="J289" s="22" t="b">
        <v>0</v>
      </c>
      <c r="K289" s="22" t="b">
        <v>0</v>
      </c>
      <c r="L289" s="22" t="b">
        <v>0</v>
      </c>
      <c r="M289" s="21"/>
      <c r="N289" s="23">
        <v>0</v>
      </c>
      <c r="O289" s="24"/>
      <c r="P289" s="19"/>
      <c r="Q289" s="25"/>
      <c r="R289" s="25"/>
      <c r="S289" s="19"/>
      <c r="T289" s="26"/>
      <c r="U289" s="27" t="s">
        <v>21</v>
      </c>
      <c r="V289" s="28" t="s">
        <v>296</v>
      </c>
      <c r="W289" s="29" t="s">
        <v>26</v>
      </c>
    </row>
    <row r="290" spans="1:23" ht="30" customHeight="1">
      <c r="A290" s="19" t="s">
        <v>5580</v>
      </c>
      <c r="B290" s="19" t="s">
        <v>5569</v>
      </c>
      <c r="C290" s="19"/>
      <c r="D290" s="19" t="s">
        <v>1240</v>
      </c>
      <c r="E290" s="20" t="s">
        <v>1241</v>
      </c>
      <c r="F290" s="19"/>
      <c r="G290" s="21" t="s">
        <v>22</v>
      </c>
      <c r="H290" s="22" t="b">
        <v>0</v>
      </c>
      <c r="I290" s="22" t="b">
        <v>0</v>
      </c>
      <c r="J290" s="22" t="b">
        <v>0</v>
      </c>
      <c r="K290" s="22" t="b">
        <v>0</v>
      </c>
      <c r="L290" s="22" t="b">
        <v>0</v>
      </c>
      <c r="M290" s="21"/>
      <c r="N290" s="23">
        <v>0</v>
      </c>
      <c r="O290" s="24"/>
      <c r="P290" s="19"/>
      <c r="Q290" s="25"/>
      <c r="R290" s="25"/>
      <c r="S290" s="19"/>
      <c r="T290" s="26"/>
      <c r="U290" s="30" t="s">
        <v>34</v>
      </c>
      <c r="V290" s="28" t="s">
        <v>233</v>
      </c>
      <c r="W290" s="29" t="s">
        <v>26</v>
      </c>
    </row>
    <row r="291" spans="1:23" ht="30" customHeight="1">
      <c r="A291" s="19" t="s">
        <v>5580</v>
      </c>
      <c r="B291" s="19" t="s">
        <v>5569</v>
      </c>
      <c r="C291" s="19"/>
      <c r="D291" s="19" t="s">
        <v>1244</v>
      </c>
      <c r="E291" s="20" t="s">
        <v>1245</v>
      </c>
      <c r="F291" s="19"/>
      <c r="G291" s="21" t="s">
        <v>22</v>
      </c>
      <c r="H291" s="22" t="b">
        <v>0</v>
      </c>
      <c r="I291" s="22" t="b">
        <v>0</v>
      </c>
      <c r="J291" s="22" t="b">
        <v>0</v>
      </c>
      <c r="K291" s="22" t="b">
        <v>0</v>
      </c>
      <c r="L291" s="22" t="b">
        <v>0</v>
      </c>
      <c r="M291" s="21"/>
      <c r="N291" s="23">
        <v>0</v>
      </c>
      <c r="O291" s="24"/>
      <c r="P291" s="19"/>
      <c r="Q291" s="25"/>
      <c r="R291" s="25"/>
      <c r="S291" s="19"/>
      <c r="T291" s="26"/>
      <c r="U291" s="30" t="s">
        <v>34</v>
      </c>
      <c r="V291" s="28" t="s">
        <v>904</v>
      </c>
      <c r="W291" s="29" t="s">
        <v>26</v>
      </c>
    </row>
    <row r="292" spans="1:23" ht="30" customHeight="1">
      <c r="A292" s="19" t="s">
        <v>5580</v>
      </c>
      <c r="B292" s="19" t="s">
        <v>5569</v>
      </c>
      <c r="C292" s="19"/>
      <c r="D292" s="19" t="s">
        <v>1248</v>
      </c>
      <c r="E292" s="20" t="s">
        <v>1249</v>
      </c>
      <c r="F292" s="19"/>
      <c r="G292" s="21" t="s">
        <v>22</v>
      </c>
      <c r="H292" s="22" t="b">
        <v>0</v>
      </c>
      <c r="I292" s="22" t="b">
        <v>0</v>
      </c>
      <c r="J292" s="22" t="b">
        <v>0</v>
      </c>
      <c r="K292" s="22" t="b">
        <v>0</v>
      </c>
      <c r="L292" s="22" t="b">
        <v>0</v>
      </c>
      <c r="M292" s="21"/>
      <c r="N292" s="23">
        <v>0</v>
      </c>
      <c r="O292" s="24"/>
      <c r="P292" s="19"/>
      <c r="Q292" s="25"/>
      <c r="R292" s="25"/>
      <c r="S292" s="19"/>
      <c r="T292" s="26"/>
      <c r="U292" s="30" t="s">
        <v>34</v>
      </c>
      <c r="V292" s="28" t="s">
        <v>233</v>
      </c>
      <c r="W292" s="29" t="s">
        <v>26</v>
      </c>
    </row>
    <row r="293" spans="1:23" ht="30" customHeight="1">
      <c r="A293" s="19" t="s">
        <v>5580</v>
      </c>
      <c r="B293" s="19" t="s">
        <v>5569</v>
      </c>
      <c r="C293" s="19"/>
      <c r="D293" s="19" t="s">
        <v>1251</v>
      </c>
      <c r="E293" s="20" t="s">
        <v>1252</v>
      </c>
      <c r="F293" s="19"/>
      <c r="G293" s="21" t="s">
        <v>22</v>
      </c>
      <c r="H293" s="22" t="b">
        <v>0</v>
      </c>
      <c r="I293" s="22" t="b">
        <v>0</v>
      </c>
      <c r="J293" s="22" t="b">
        <v>0</v>
      </c>
      <c r="K293" s="22" t="b">
        <v>0</v>
      </c>
      <c r="L293" s="22" t="b">
        <v>0</v>
      </c>
      <c r="M293" s="21"/>
      <c r="N293" s="23">
        <v>0</v>
      </c>
      <c r="O293" s="24"/>
      <c r="P293" s="19"/>
      <c r="Q293" s="25"/>
      <c r="R293" s="25"/>
      <c r="S293" s="19"/>
      <c r="T293" s="26"/>
      <c r="U293" s="27" t="s">
        <v>21</v>
      </c>
      <c r="V293" s="28" t="s">
        <v>1253</v>
      </c>
      <c r="W293" s="29" t="s">
        <v>26</v>
      </c>
    </row>
    <row r="294" spans="1:23" ht="30" customHeight="1">
      <c r="A294" s="19" t="s">
        <v>5580</v>
      </c>
      <c r="B294" s="19" t="s">
        <v>5569</v>
      </c>
      <c r="C294" s="19"/>
      <c r="D294" s="19" t="s">
        <v>1256</v>
      </c>
      <c r="E294" s="20" t="s">
        <v>1257</v>
      </c>
      <c r="F294" s="19"/>
      <c r="G294" s="21" t="s">
        <v>29</v>
      </c>
      <c r="H294" s="22" t="b">
        <v>0</v>
      </c>
      <c r="I294" s="22" t="b">
        <v>0</v>
      </c>
      <c r="J294" s="22" t="b">
        <v>0</v>
      </c>
      <c r="K294" s="22" t="b">
        <v>0</v>
      </c>
      <c r="L294" s="22" t="b">
        <v>0</v>
      </c>
      <c r="M294" s="21"/>
      <c r="N294" s="23">
        <v>0</v>
      </c>
      <c r="O294" s="24"/>
      <c r="P294" s="19"/>
      <c r="Q294" s="25"/>
      <c r="R294" s="25"/>
      <c r="S294" s="19"/>
      <c r="T294" s="26"/>
      <c r="U294" s="27" t="s">
        <v>21</v>
      </c>
      <c r="V294" s="28" t="s">
        <v>296</v>
      </c>
      <c r="W294" s="29" t="s">
        <v>26</v>
      </c>
    </row>
    <row r="295" spans="1:23" ht="30" customHeight="1">
      <c r="A295" s="19" t="s">
        <v>5580</v>
      </c>
      <c r="B295" s="19" t="s">
        <v>5569</v>
      </c>
      <c r="C295" s="19"/>
      <c r="D295" s="19" t="s">
        <v>1259</v>
      </c>
      <c r="E295" s="20" t="s">
        <v>1260</v>
      </c>
      <c r="F295" s="19"/>
      <c r="G295" s="21" t="s">
        <v>22</v>
      </c>
      <c r="H295" s="22" t="b">
        <v>0</v>
      </c>
      <c r="I295" s="22" t="b">
        <v>0</v>
      </c>
      <c r="J295" s="22" t="b">
        <v>0</v>
      </c>
      <c r="K295" s="22" t="b">
        <v>0</v>
      </c>
      <c r="L295" s="22" t="b">
        <v>0</v>
      </c>
      <c r="M295" s="21"/>
      <c r="N295" s="23">
        <v>0</v>
      </c>
      <c r="O295" s="24"/>
      <c r="P295" s="19"/>
      <c r="Q295" s="25"/>
      <c r="R295" s="25"/>
      <c r="S295" s="19"/>
      <c r="T295" s="26"/>
      <c r="U295" s="27" t="s">
        <v>21</v>
      </c>
      <c r="V295" s="28" t="s">
        <v>1223</v>
      </c>
      <c r="W295" s="29" t="s">
        <v>26</v>
      </c>
    </row>
    <row r="296" spans="1:23" ht="30" customHeight="1">
      <c r="A296" s="19" t="s">
        <v>5580</v>
      </c>
      <c r="B296" s="19" t="s">
        <v>5569</v>
      </c>
      <c r="C296" s="19"/>
      <c r="D296" s="19" t="s">
        <v>1262</v>
      </c>
      <c r="E296" s="20" t="s">
        <v>1263</v>
      </c>
      <c r="F296" s="19"/>
      <c r="G296" s="21" t="s">
        <v>22</v>
      </c>
      <c r="H296" s="22" t="b">
        <v>0</v>
      </c>
      <c r="I296" s="22" t="b">
        <v>0</v>
      </c>
      <c r="J296" s="22" t="b">
        <v>0</v>
      </c>
      <c r="K296" s="22" t="b">
        <v>0</v>
      </c>
      <c r="L296" s="22" t="b">
        <v>0</v>
      </c>
      <c r="M296" s="21"/>
      <c r="N296" s="23">
        <v>0</v>
      </c>
      <c r="O296" s="24"/>
      <c r="P296" s="19"/>
      <c r="Q296" s="25"/>
      <c r="R296" s="25"/>
      <c r="S296" s="19"/>
      <c r="T296" s="26"/>
      <c r="U296" s="30" t="s">
        <v>34</v>
      </c>
      <c r="V296" s="28" t="s">
        <v>233</v>
      </c>
      <c r="W296" s="29" t="s">
        <v>26</v>
      </c>
    </row>
    <row r="297" spans="1:23" ht="30" customHeight="1">
      <c r="A297" s="19" t="s">
        <v>5580</v>
      </c>
      <c r="B297" s="19" t="s">
        <v>5569</v>
      </c>
      <c r="C297" s="19"/>
      <c r="D297" s="19" t="s">
        <v>1266</v>
      </c>
      <c r="E297" s="20" t="s">
        <v>1267</v>
      </c>
      <c r="F297" s="19"/>
      <c r="G297" s="21" t="s">
        <v>22</v>
      </c>
      <c r="H297" s="22" t="b">
        <v>0</v>
      </c>
      <c r="I297" s="22" t="b">
        <v>0</v>
      </c>
      <c r="J297" s="22" t="b">
        <v>0</v>
      </c>
      <c r="K297" s="22" t="b">
        <v>0</v>
      </c>
      <c r="L297" s="22" t="b">
        <v>0</v>
      </c>
      <c r="M297" s="21"/>
      <c r="N297" s="23">
        <v>0</v>
      </c>
      <c r="O297" s="24"/>
      <c r="P297" s="19"/>
      <c r="Q297" s="25"/>
      <c r="R297" s="25"/>
      <c r="S297" s="19"/>
      <c r="T297" s="26"/>
      <c r="U297" s="27" t="s">
        <v>21</v>
      </c>
      <c r="V297" s="28" t="s">
        <v>1268</v>
      </c>
      <c r="W297" s="29" t="s">
        <v>26</v>
      </c>
    </row>
    <row r="298" spans="1:23" ht="30" customHeight="1">
      <c r="A298" s="19" t="s">
        <v>5580</v>
      </c>
      <c r="B298" s="19" t="s">
        <v>5569</v>
      </c>
      <c r="C298" s="19"/>
      <c r="D298" s="19" t="s">
        <v>1270</v>
      </c>
      <c r="E298" s="20" t="s">
        <v>1271</v>
      </c>
      <c r="F298" s="19"/>
      <c r="G298" s="21" t="s">
        <v>22</v>
      </c>
      <c r="H298" s="22" t="b">
        <v>0</v>
      </c>
      <c r="I298" s="22" t="b">
        <v>0</v>
      </c>
      <c r="J298" s="22" t="b">
        <v>0</v>
      </c>
      <c r="K298" s="22" t="b">
        <v>0</v>
      </c>
      <c r="L298" s="22" t="b">
        <v>0</v>
      </c>
      <c r="M298" s="21"/>
      <c r="N298" s="23">
        <v>0</v>
      </c>
      <c r="O298" s="24"/>
      <c r="P298" s="19"/>
      <c r="Q298" s="25"/>
      <c r="R298" s="25"/>
      <c r="S298" s="19"/>
      <c r="T298" s="26"/>
      <c r="U298" s="27" t="s">
        <v>21</v>
      </c>
      <c r="V298" s="28" t="s">
        <v>1016</v>
      </c>
      <c r="W298" s="29" t="s">
        <v>26</v>
      </c>
    </row>
    <row r="299" spans="1:23" ht="30" customHeight="1">
      <c r="A299" s="19" t="s">
        <v>5580</v>
      </c>
      <c r="B299" s="19" t="s">
        <v>5569</v>
      </c>
      <c r="C299" s="19"/>
      <c r="D299" s="19" t="s">
        <v>1274</v>
      </c>
      <c r="E299" s="20" t="s">
        <v>1275</v>
      </c>
      <c r="F299" s="19"/>
      <c r="G299" s="21" t="s">
        <v>22</v>
      </c>
      <c r="H299" s="22" t="b">
        <v>0</v>
      </c>
      <c r="I299" s="22" t="b">
        <v>0</v>
      </c>
      <c r="J299" s="22" t="b">
        <v>0</v>
      </c>
      <c r="K299" s="22" t="b">
        <v>0</v>
      </c>
      <c r="L299" s="22" t="b">
        <v>0</v>
      </c>
      <c r="M299" s="21"/>
      <c r="N299" s="23">
        <v>0</v>
      </c>
      <c r="O299" s="24"/>
      <c r="P299" s="19"/>
      <c r="Q299" s="25"/>
      <c r="R299" s="25"/>
      <c r="S299" s="19"/>
      <c r="T299" s="26"/>
      <c r="U299" s="30" t="s">
        <v>34</v>
      </c>
      <c r="V299" s="28" t="s">
        <v>1276</v>
      </c>
      <c r="W299" s="29" t="s">
        <v>26</v>
      </c>
    </row>
    <row r="300" spans="1:23" ht="30" customHeight="1">
      <c r="A300" s="19" t="s">
        <v>5580</v>
      </c>
      <c r="B300" s="19" t="s">
        <v>5569</v>
      </c>
      <c r="C300" s="19"/>
      <c r="D300" s="19" t="s">
        <v>1278</v>
      </c>
      <c r="E300" s="20" t="s">
        <v>1279</v>
      </c>
      <c r="F300" s="19"/>
      <c r="G300" s="21" t="s">
        <v>29</v>
      </c>
      <c r="H300" s="22" t="b">
        <v>0</v>
      </c>
      <c r="I300" s="22" t="b">
        <v>0</v>
      </c>
      <c r="J300" s="22" t="b">
        <v>0</v>
      </c>
      <c r="K300" s="22" t="b">
        <v>0</v>
      </c>
      <c r="L300" s="22" t="b">
        <v>0</v>
      </c>
      <c r="M300" s="21"/>
      <c r="N300" s="23">
        <v>0</v>
      </c>
      <c r="O300" s="24"/>
      <c r="P300" s="19"/>
      <c r="Q300" s="25"/>
      <c r="R300" s="25"/>
      <c r="S300" s="19"/>
      <c r="T300" s="26"/>
      <c r="U300" s="30" t="s">
        <v>34</v>
      </c>
      <c r="V300" s="28" t="s">
        <v>1280</v>
      </c>
      <c r="W300" s="29" t="s">
        <v>26</v>
      </c>
    </row>
    <row r="301" spans="1:23" ht="30" customHeight="1">
      <c r="A301" s="19" t="s">
        <v>5580</v>
      </c>
      <c r="B301" s="19" t="s">
        <v>5569</v>
      </c>
      <c r="C301" s="19"/>
      <c r="D301" s="19" t="s">
        <v>1283</v>
      </c>
      <c r="E301" s="20" t="s">
        <v>1284</v>
      </c>
      <c r="F301" s="19"/>
      <c r="G301" s="21" t="s">
        <v>22</v>
      </c>
      <c r="H301" s="22" t="b">
        <v>0</v>
      </c>
      <c r="I301" s="22" t="b">
        <v>0</v>
      </c>
      <c r="J301" s="22" t="b">
        <v>0</v>
      </c>
      <c r="K301" s="22" t="b">
        <v>0</v>
      </c>
      <c r="L301" s="22" t="b">
        <v>0</v>
      </c>
      <c r="M301" s="21"/>
      <c r="N301" s="23">
        <v>0</v>
      </c>
      <c r="O301" s="24"/>
      <c r="P301" s="19"/>
      <c r="Q301" s="25"/>
      <c r="R301" s="25"/>
      <c r="S301" s="19"/>
      <c r="T301" s="26"/>
      <c r="U301" s="30" t="s">
        <v>34</v>
      </c>
      <c r="V301" s="28" t="s">
        <v>1285</v>
      </c>
      <c r="W301" s="29" t="s">
        <v>26</v>
      </c>
    </row>
    <row r="302" spans="1:23" ht="30" customHeight="1">
      <c r="A302" s="19" t="s">
        <v>5580</v>
      </c>
      <c r="B302" s="19" t="s">
        <v>5569</v>
      </c>
      <c r="C302" s="19"/>
      <c r="D302" s="19" t="s">
        <v>1287</v>
      </c>
      <c r="E302" s="20" t="s">
        <v>1288</v>
      </c>
      <c r="F302" s="19"/>
      <c r="G302" s="21" t="s">
        <v>22</v>
      </c>
      <c r="H302" s="22" t="b">
        <v>0</v>
      </c>
      <c r="I302" s="22" t="b">
        <v>0</v>
      </c>
      <c r="J302" s="22" t="b">
        <v>0</v>
      </c>
      <c r="K302" s="22" t="b">
        <v>0</v>
      </c>
      <c r="L302" s="22" t="b">
        <v>0</v>
      </c>
      <c r="M302" s="21"/>
      <c r="N302" s="23">
        <v>0</v>
      </c>
      <c r="O302" s="24"/>
      <c r="P302" s="19"/>
      <c r="Q302" s="25"/>
      <c r="R302" s="25"/>
      <c r="S302" s="19"/>
      <c r="T302" s="26"/>
      <c r="U302" s="30" t="s">
        <v>34</v>
      </c>
      <c r="V302" s="28" t="s">
        <v>233</v>
      </c>
      <c r="W302" s="29" t="s">
        <v>26</v>
      </c>
    </row>
    <row r="303" spans="1:23" ht="30" customHeight="1">
      <c r="A303" s="19" t="s">
        <v>5580</v>
      </c>
      <c r="B303" s="19" t="s">
        <v>5569</v>
      </c>
      <c r="C303" s="19"/>
      <c r="D303" s="19" t="s">
        <v>1290</v>
      </c>
      <c r="E303" s="20" t="s">
        <v>1291</v>
      </c>
      <c r="F303" s="19"/>
      <c r="G303" s="21" t="s">
        <v>22</v>
      </c>
      <c r="H303" s="22" t="b">
        <v>0</v>
      </c>
      <c r="I303" s="22" t="b">
        <v>0</v>
      </c>
      <c r="J303" s="22" t="b">
        <v>0</v>
      </c>
      <c r="K303" s="22" t="b">
        <v>0</v>
      </c>
      <c r="L303" s="22" t="b">
        <v>0</v>
      </c>
      <c r="M303" s="21"/>
      <c r="N303" s="23">
        <v>0</v>
      </c>
      <c r="O303" s="24"/>
      <c r="P303" s="19"/>
      <c r="Q303" s="25"/>
      <c r="R303" s="25"/>
      <c r="S303" s="19"/>
      <c r="T303" s="26"/>
      <c r="U303" s="30" t="s">
        <v>34</v>
      </c>
      <c r="V303" s="28" t="s">
        <v>954</v>
      </c>
      <c r="W303" s="29" t="s">
        <v>26</v>
      </c>
    </row>
    <row r="304" spans="1:23" ht="30" customHeight="1">
      <c r="A304" s="19" t="s">
        <v>5580</v>
      </c>
      <c r="B304" s="19" t="s">
        <v>5569</v>
      </c>
      <c r="C304" s="19"/>
      <c r="D304" s="19" t="s">
        <v>1294</v>
      </c>
      <c r="E304" s="20" t="s">
        <v>1295</v>
      </c>
      <c r="F304" s="19"/>
      <c r="G304" s="21" t="s">
        <v>22</v>
      </c>
      <c r="H304" s="22" t="b">
        <v>0</v>
      </c>
      <c r="I304" s="22" t="b">
        <v>0</v>
      </c>
      <c r="J304" s="22" t="b">
        <v>0</v>
      </c>
      <c r="K304" s="22" t="b">
        <v>0</v>
      </c>
      <c r="L304" s="22" t="b">
        <v>0</v>
      </c>
      <c r="M304" s="21"/>
      <c r="N304" s="23">
        <v>0</v>
      </c>
      <c r="O304" s="24"/>
      <c r="P304" s="19"/>
      <c r="Q304" s="25"/>
      <c r="R304" s="25"/>
      <c r="S304" s="19"/>
      <c r="T304" s="26"/>
      <c r="U304" s="27" t="s">
        <v>21</v>
      </c>
      <c r="V304" s="28" t="s">
        <v>1296</v>
      </c>
      <c r="W304" s="29" t="s">
        <v>26</v>
      </c>
    </row>
    <row r="305" spans="1:23" ht="30" customHeight="1">
      <c r="A305" s="19" t="s">
        <v>5580</v>
      </c>
      <c r="B305" s="19" t="s">
        <v>5569</v>
      </c>
      <c r="C305" s="19"/>
      <c r="D305" s="19" t="s">
        <v>1298</v>
      </c>
      <c r="E305" s="20" t="s">
        <v>1299</v>
      </c>
      <c r="F305" s="19"/>
      <c r="G305" s="21" t="s">
        <v>22</v>
      </c>
      <c r="H305" s="22" t="b">
        <v>0</v>
      </c>
      <c r="I305" s="22" t="b">
        <v>0</v>
      </c>
      <c r="J305" s="22" t="b">
        <v>0</v>
      </c>
      <c r="K305" s="22" t="b">
        <v>0</v>
      </c>
      <c r="L305" s="22" t="b">
        <v>0</v>
      </c>
      <c r="M305" s="21"/>
      <c r="N305" s="23">
        <v>0</v>
      </c>
      <c r="O305" s="24"/>
      <c r="P305" s="19"/>
      <c r="Q305" s="25"/>
      <c r="R305" s="25"/>
      <c r="S305" s="19"/>
      <c r="T305" s="26"/>
      <c r="U305" s="30" t="s">
        <v>34</v>
      </c>
      <c r="V305" s="28" t="s">
        <v>1300</v>
      </c>
      <c r="W305" s="29" t="s">
        <v>26</v>
      </c>
    </row>
    <row r="306" spans="1:23" ht="30" customHeight="1">
      <c r="A306" s="19" t="s">
        <v>5580</v>
      </c>
      <c r="B306" s="19" t="s">
        <v>5569</v>
      </c>
      <c r="C306" s="19"/>
      <c r="D306" s="19" t="s">
        <v>1302</v>
      </c>
      <c r="E306" s="20" t="s">
        <v>1303</v>
      </c>
      <c r="F306" s="19"/>
      <c r="G306" s="21" t="s">
        <v>22</v>
      </c>
      <c r="H306" s="22" t="b">
        <v>0</v>
      </c>
      <c r="I306" s="22" t="b">
        <v>0</v>
      </c>
      <c r="J306" s="22" t="b">
        <v>0</v>
      </c>
      <c r="K306" s="22" t="b">
        <v>0</v>
      </c>
      <c r="L306" s="22" t="b">
        <v>0</v>
      </c>
      <c r="M306" s="21"/>
      <c r="N306" s="23">
        <v>0</v>
      </c>
      <c r="O306" s="24"/>
      <c r="P306" s="19"/>
      <c r="Q306" s="25"/>
      <c r="R306" s="25"/>
      <c r="S306" s="19"/>
      <c r="T306" s="26"/>
      <c r="U306" s="30" t="s">
        <v>34</v>
      </c>
      <c r="V306" s="28" t="s">
        <v>233</v>
      </c>
      <c r="W306" s="29" t="s">
        <v>26</v>
      </c>
    </row>
    <row r="307" spans="1:23" ht="30" customHeight="1">
      <c r="A307" s="19" t="s">
        <v>5580</v>
      </c>
      <c r="B307" s="19" t="s">
        <v>5569</v>
      </c>
      <c r="C307" s="19"/>
      <c r="D307" s="19" t="s">
        <v>1305</v>
      </c>
      <c r="E307" s="20" t="s">
        <v>1306</v>
      </c>
      <c r="F307" s="19"/>
      <c r="G307" s="21" t="s">
        <v>22</v>
      </c>
      <c r="H307" s="22" t="b">
        <v>0</v>
      </c>
      <c r="I307" s="22" t="b">
        <v>0</v>
      </c>
      <c r="J307" s="22" t="b">
        <v>0</v>
      </c>
      <c r="K307" s="22" t="b">
        <v>0</v>
      </c>
      <c r="L307" s="22" t="b">
        <v>0</v>
      </c>
      <c r="M307" s="21"/>
      <c r="N307" s="23">
        <v>0</v>
      </c>
      <c r="O307" s="24"/>
      <c r="P307" s="19"/>
      <c r="Q307" s="25"/>
      <c r="R307" s="25"/>
      <c r="S307" s="19"/>
      <c r="T307" s="26"/>
      <c r="U307" s="27" t="s">
        <v>21</v>
      </c>
      <c r="V307" s="28" t="s">
        <v>100</v>
      </c>
      <c r="W307" s="29" t="s">
        <v>26</v>
      </c>
    </row>
    <row r="308" spans="1:23" ht="30" customHeight="1">
      <c r="A308" s="19" t="s">
        <v>5580</v>
      </c>
      <c r="B308" s="19" t="s">
        <v>5569</v>
      </c>
      <c r="C308" s="19"/>
      <c r="D308" s="19" t="s">
        <v>1308</v>
      </c>
      <c r="E308" s="20" t="s">
        <v>1309</v>
      </c>
      <c r="F308" s="19"/>
      <c r="G308" s="21" t="s">
        <v>22</v>
      </c>
      <c r="H308" s="22" t="b">
        <v>0</v>
      </c>
      <c r="I308" s="22" t="b">
        <v>0</v>
      </c>
      <c r="J308" s="22" t="b">
        <v>0</v>
      </c>
      <c r="K308" s="22" t="b">
        <v>0</v>
      </c>
      <c r="L308" s="22" t="b">
        <v>0</v>
      </c>
      <c r="M308" s="21"/>
      <c r="N308" s="23">
        <v>0</v>
      </c>
      <c r="O308" s="24"/>
      <c r="P308" s="19"/>
      <c r="Q308" s="25"/>
      <c r="R308" s="25"/>
      <c r="S308" s="19"/>
      <c r="T308" s="26"/>
      <c r="U308" s="27" t="s">
        <v>21</v>
      </c>
      <c r="V308" s="28" t="s">
        <v>1016</v>
      </c>
      <c r="W308" s="29" t="s">
        <v>26</v>
      </c>
    </row>
    <row r="309" spans="1:23" ht="30" customHeight="1">
      <c r="A309" s="19" t="s">
        <v>5580</v>
      </c>
      <c r="B309" s="19" t="s">
        <v>5569</v>
      </c>
      <c r="C309" s="19"/>
      <c r="D309" s="19" t="s">
        <v>1311</v>
      </c>
      <c r="E309" s="20" t="s">
        <v>109</v>
      </c>
      <c r="F309" s="19"/>
      <c r="G309" s="21" t="s">
        <v>22</v>
      </c>
      <c r="H309" s="22" t="b">
        <v>0</v>
      </c>
      <c r="I309" s="22" t="b">
        <v>0</v>
      </c>
      <c r="J309" s="22" t="b">
        <v>0</v>
      </c>
      <c r="K309" s="22" t="b">
        <v>0</v>
      </c>
      <c r="L309" s="22" t="b">
        <v>0</v>
      </c>
      <c r="M309" s="21"/>
      <c r="N309" s="23">
        <v>0</v>
      </c>
      <c r="O309" s="24"/>
      <c r="P309" s="19"/>
      <c r="Q309" s="25"/>
      <c r="R309" s="25"/>
      <c r="S309" s="19"/>
      <c r="T309" s="26"/>
      <c r="U309" s="31" t="s">
        <v>110</v>
      </c>
      <c r="V309" s="28" t="s">
        <v>1312</v>
      </c>
      <c r="W309" s="29" t="s">
        <v>26</v>
      </c>
    </row>
    <row r="310" spans="1:23" ht="30" customHeight="1">
      <c r="A310" s="19" t="s">
        <v>5580</v>
      </c>
      <c r="B310" s="19" t="s">
        <v>5569</v>
      </c>
      <c r="C310" s="19"/>
      <c r="D310" s="19" t="s">
        <v>1315</v>
      </c>
      <c r="E310" s="20" t="s">
        <v>1316</v>
      </c>
      <c r="F310" s="19"/>
      <c r="G310" s="21" t="s">
        <v>29</v>
      </c>
      <c r="H310" s="22" t="b">
        <v>0</v>
      </c>
      <c r="I310" s="22" t="b">
        <v>0</v>
      </c>
      <c r="J310" s="22" t="b">
        <v>0</v>
      </c>
      <c r="K310" s="22" t="b">
        <v>0</v>
      </c>
      <c r="L310" s="22" t="b">
        <v>0</v>
      </c>
      <c r="M310" s="21"/>
      <c r="N310" s="23">
        <v>0</v>
      </c>
      <c r="O310" s="24"/>
      <c r="P310" s="19"/>
      <c r="Q310" s="25"/>
      <c r="R310" s="25"/>
      <c r="S310" s="19"/>
      <c r="T310" s="26"/>
      <c r="U310" s="30" t="s">
        <v>34</v>
      </c>
      <c r="V310" s="28" t="s">
        <v>233</v>
      </c>
      <c r="W310" s="29" t="s">
        <v>26</v>
      </c>
    </row>
    <row r="311" spans="1:23" ht="30" customHeight="1">
      <c r="A311" s="19" t="s">
        <v>5580</v>
      </c>
      <c r="B311" s="19" t="s">
        <v>5569</v>
      </c>
      <c r="C311" s="19"/>
      <c r="D311" s="19" t="s">
        <v>1318</v>
      </c>
      <c r="E311" s="20" t="s">
        <v>1319</v>
      </c>
      <c r="F311" s="19"/>
      <c r="G311" s="21" t="s">
        <v>22</v>
      </c>
      <c r="H311" s="22" t="b">
        <v>0</v>
      </c>
      <c r="I311" s="22" t="b">
        <v>0</v>
      </c>
      <c r="J311" s="22" t="b">
        <v>0</v>
      </c>
      <c r="K311" s="22" t="b">
        <v>0</v>
      </c>
      <c r="L311" s="22" t="b">
        <v>0</v>
      </c>
      <c r="M311" s="21"/>
      <c r="N311" s="23">
        <v>0</v>
      </c>
      <c r="O311" s="24"/>
      <c r="P311" s="19"/>
      <c r="Q311" s="25"/>
      <c r="R311" s="25"/>
      <c r="S311" s="19"/>
      <c r="T311" s="26"/>
      <c r="U311" s="27" t="s">
        <v>21</v>
      </c>
      <c r="V311" s="28" t="s">
        <v>1320</v>
      </c>
      <c r="W311" s="29" t="s">
        <v>26</v>
      </c>
    </row>
    <row r="312" spans="1:23" ht="30" customHeight="1">
      <c r="A312" s="19" t="s">
        <v>5580</v>
      </c>
      <c r="B312" s="19" t="s">
        <v>5569</v>
      </c>
      <c r="C312" s="19"/>
      <c r="D312" s="19" t="s">
        <v>1323</v>
      </c>
      <c r="E312" s="20" t="s">
        <v>1324</v>
      </c>
      <c r="F312" s="19"/>
      <c r="G312" s="21" t="s">
        <v>22</v>
      </c>
      <c r="H312" s="22" t="b">
        <v>0</v>
      </c>
      <c r="I312" s="22" t="b">
        <v>0</v>
      </c>
      <c r="J312" s="22" t="b">
        <v>0</v>
      </c>
      <c r="K312" s="22" t="b">
        <v>0</v>
      </c>
      <c r="L312" s="22" t="b">
        <v>0</v>
      </c>
      <c r="M312" s="21"/>
      <c r="N312" s="23">
        <v>0</v>
      </c>
      <c r="O312" s="24"/>
      <c r="P312" s="19"/>
      <c r="Q312" s="25"/>
      <c r="R312" s="25"/>
      <c r="S312" s="19"/>
      <c r="T312" s="26"/>
      <c r="U312" s="30" t="s">
        <v>34</v>
      </c>
      <c r="V312" s="28" t="s">
        <v>233</v>
      </c>
      <c r="W312" s="29" t="s">
        <v>26</v>
      </c>
    </row>
    <row r="313" spans="1:23" ht="30" customHeight="1">
      <c r="A313" s="19" t="s">
        <v>5580</v>
      </c>
      <c r="B313" s="19" t="s">
        <v>5569</v>
      </c>
      <c r="C313" s="19"/>
      <c r="D313" s="19" t="s">
        <v>1326</v>
      </c>
      <c r="E313" s="20" t="s">
        <v>1327</v>
      </c>
      <c r="F313" s="19"/>
      <c r="G313" s="21" t="s">
        <v>22</v>
      </c>
      <c r="H313" s="22" t="b">
        <v>0</v>
      </c>
      <c r="I313" s="22" t="b">
        <v>0</v>
      </c>
      <c r="J313" s="22" t="b">
        <v>0</v>
      </c>
      <c r="K313" s="22" t="b">
        <v>0</v>
      </c>
      <c r="L313" s="22" t="b">
        <v>0</v>
      </c>
      <c r="M313" s="21"/>
      <c r="N313" s="23">
        <v>0</v>
      </c>
      <c r="O313" s="24"/>
      <c r="P313" s="19"/>
      <c r="Q313" s="25"/>
      <c r="R313" s="25"/>
      <c r="S313" s="19"/>
      <c r="T313" s="26"/>
      <c r="U313" s="27" t="s">
        <v>21</v>
      </c>
      <c r="V313" s="28" t="s">
        <v>1016</v>
      </c>
      <c r="W313" s="29" t="s">
        <v>26</v>
      </c>
    </row>
    <row r="314" spans="1:23" ht="30" customHeight="1">
      <c r="A314" s="19" t="s">
        <v>5580</v>
      </c>
      <c r="B314" s="19" t="s">
        <v>5569</v>
      </c>
      <c r="C314" s="19"/>
      <c r="D314" s="19" t="s">
        <v>1329</v>
      </c>
      <c r="E314" s="20" t="s">
        <v>1330</v>
      </c>
      <c r="F314" s="19"/>
      <c r="G314" s="21" t="s">
        <v>22</v>
      </c>
      <c r="H314" s="22" t="b">
        <v>0</v>
      </c>
      <c r="I314" s="22" t="b">
        <v>0</v>
      </c>
      <c r="J314" s="22" t="b">
        <v>0</v>
      </c>
      <c r="K314" s="22" t="b">
        <v>0</v>
      </c>
      <c r="L314" s="22" t="b">
        <v>0</v>
      </c>
      <c r="M314" s="21"/>
      <c r="N314" s="23">
        <v>0</v>
      </c>
      <c r="O314" s="24"/>
      <c r="P314" s="19"/>
      <c r="Q314" s="25"/>
      <c r="R314" s="25"/>
      <c r="S314" s="19"/>
      <c r="T314" s="26"/>
      <c r="U314" s="27" t="s">
        <v>21</v>
      </c>
      <c r="V314" s="28" t="s">
        <v>913</v>
      </c>
      <c r="W314" s="29" t="s">
        <v>26</v>
      </c>
    </row>
    <row r="315" spans="1:23" ht="30" customHeight="1">
      <c r="A315" s="19" t="s">
        <v>5580</v>
      </c>
      <c r="B315" s="19" t="s">
        <v>5569</v>
      </c>
      <c r="C315" s="19"/>
      <c r="D315" s="19" t="s">
        <v>1333</v>
      </c>
      <c r="E315" s="20" t="s">
        <v>1334</v>
      </c>
      <c r="F315" s="19"/>
      <c r="G315" s="21" t="s">
        <v>22</v>
      </c>
      <c r="H315" s="22" t="b">
        <v>0</v>
      </c>
      <c r="I315" s="22" t="b">
        <v>0</v>
      </c>
      <c r="J315" s="22" t="b">
        <v>0</v>
      </c>
      <c r="K315" s="22" t="b">
        <v>0</v>
      </c>
      <c r="L315" s="22" t="b">
        <v>0</v>
      </c>
      <c r="M315" s="21"/>
      <c r="N315" s="23">
        <v>0</v>
      </c>
      <c r="O315" s="24"/>
      <c r="P315" s="19"/>
      <c r="Q315" s="25"/>
      <c r="R315" s="25"/>
      <c r="S315" s="19"/>
      <c r="T315" s="26"/>
      <c r="U315" s="27" t="s">
        <v>21</v>
      </c>
      <c r="V315" s="28" t="s">
        <v>1335</v>
      </c>
      <c r="W315" s="29" t="s">
        <v>26</v>
      </c>
    </row>
    <row r="316" spans="1:23" ht="30" customHeight="1">
      <c r="A316" s="19" t="s">
        <v>5580</v>
      </c>
      <c r="B316" s="19" t="s">
        <v>5569</v>
      </c>
      <c r="C316" s="19"/>
      <c r="D316" s="19" t="s">
        <v>1337</v>
      </c>
      <c r="E316" s="20" t="s">
        <v>1338</v>
      </c>
      <c r="F316" s="19"/>
      <c r="G316" s="21" t="s">
        <v>22</v>
      </c>
      <c r="H316" s="22" t="b">
        <v>0</v>
      </c>
      <c r="I316" s="22" t="b">
        <v>0</v>
      </c>
      <c r="J316" s="22" t="b">
        <v>0</v>
      </c>
      <c r="K316" s="22" t="b">
        <v>0</v>
      </c>
      <c r="L316" s="22" t="b">
        <v>0</v>
      </c>
      <c r="M316" s="21"/>
      <c r="N316" s="23">
        <v>0</v>
      </c>
      <c r="O316" s="24"/>
      <c r="P316" s="19"/>
      <c r="Q316" s="25"/>
      <c r="R316" s="25"/>
      <c r="S316" s="19"/>
      <c r="T316" s="26"/>
      <c r="U316" s="27" t="s">
        <v>21</v>
      </c>
      <c r="V316" s="28" t="s">
        <v>1016</v>
      </c>
      <c r="W316" s="29" t="s">
        <v>26</v>
      </c>
    </row>
    <row r="317" spans="1:23" ht="30" customHeight="1">
      <c r="A317" s="19" t="s">
        <v>5581</v>
      </c>
      <c r="B317" s="19" t="s">
        <v>5569</v>
      </c>
      <c r="C317" s="19"/>
      <c r="D317" s="19" t="s">
        <v>1342</v>
      </c>
      <c r="E317" s="20" t="s">
        <v>1343</v>
      </c>
      <c r="F317" s="19"/>
      <c r="G317" s="21" t="s">
        <v>29</v>
      </c>
      <c r="H317" s="22" t="b">
        <v>0</v>
      </c>
      <c r="I317" s="22" t="b">
        <v>0</v>
      </c>
      <c r="J317" s="22" t="b">
        <v>0</v>
      </c>
      <c r="K317" s="22" t="b">
        <v>0</v>
      </c>
      <c r="L317" s="22" t="b">
        <v>0</v>
      </c>
      <c r="M317" s="21"/>
      <c r="N317" s="23">
        <v>0</v>
      </c>
      <c r="O317" s="24"/>
      <c r="P317" s="19"/>
      <c r="Q317" s="25"/>
      <c r="R317" s="25"/>
      <c r="S317" s="19"/>
      <c r="T317" s="26"/>
      <c r="U317" s="27" t="s">
        <v>21</v>
      </c>
      <c r="V317" s="28" t="s">
        <v>1344</v>
      </c>
      <c r="W317" s="29" t="s">
        <v>26</v>
      </c>
    </row>
    <row r="318" spans="1:23" ht="30" customHeight="1">
      <c r="A318" s="19" t="s">
        <v>5581</v>
      </c>
      <c r="B318" s="19" t="s">
        <v>5569</v>
      </c>
      <c r="C318" s="19"/>
      <c r="D318" s="19" t="s">
        <v>1347</v>
      </c>
      <c r="E318" s="20" t="s">
        <v>1348</v>
      </c>
      <c r="F318" s="19"/>
      <c r="G318" s="21" t="s">
        <v>22</v>
      </c>
      <c r="H318" s="22" t="b">
        <v>0</v>
      </c>
      <c r="I318" s="22" t="b">
        <v>0</v>
      </c>
      <c r="J318" s="22" t="b">
        <v>0</v>
      </c>
      <c r="K318" s="22" t="b">
        <v>0</v>
      </c>
      <c r="L318" s="22" t="b">
        <v>0</v>
      </c>
      <c r="M318" s="21"/>
      <c r="N318" s="23">
        <v>0</v>
      </c>
      <c r="O318" s="24"/>
      <c r="P318" s="19"/>
      <c r="Q318" s="25"/>
      <c r="R318" s="25"/>
      <c r="S318" s="19"/>
      <c r="T318" s="26"/>
      <c r="U318" s="30" t="s">
        <v>34</v>
      </c>
      <c r="V318" s="28" t="s">
        <v>1349</v>
      </c>
      <c r="W318" s="29" t="s">
        <v>26</v>
      </c>
    </row>
    <row r="319" spans="1:23" ht="30" customHeight="1">
      <c r="A319" s="19" t="s">
        <v>5581</v>
      </c>
      <c r="B319" s="19" t="s">
        <v>5569</v>
      </c>
      <c r="C319" s="19"/>
      <c r="D319" s="19" t="s">
        <v>1352</v>
      </c>
      <c r="E319" s="20" t="s">
        <v>1353</v>
      </c>
      <c r="F319" s="19"/>
      <c r="G319" s="21" t="s">
        <v>22</v>
      </c>
      <c r="H319" s="22" t="b">
        <v>0</v>
      </c>
      <c r="I319" s="22" t="b">
        <v>0</v>
      </c>
      <c r="J319" s="22" t="b">
        <v>0</v>
      </c>
      <c r="K319" s="22" t="b">
        <v>0</v>
      </c>
      <c r="L319" s="22" t="b">
        <v>0</v>
      </c>
      <c r="M319" s="21"/>
      <c r="N319" s="23">
        <v>0</v>
      </c>
      <c r="O319" s="24"/>
      <c r="P319" s="19"/>
      <c r="Q319" s="25"/>
      <c r="R319" s="25"/>
      <c r="S319" s="19"/>
      <c r="T319" s="26"/>
      <c r="U319" s="27" t="s">
        <v>21</v>
      </c>
      <c r="V319" s="28" t="s">
        <v>913</v>
      </c>
      <c r="W319" s="29" t="s">
        <v>26</v>
      </c>
    </row>
    <row r="320" spans="1:23" ht="30" customHeight="1">
      <c r="A320" s="19" t="s">
        <v>5581</v>
      </c>
      <c r="B320" s="19" t="s">
        <v>5569</v>
      </c>
      <c r="C320" s="19"/>
      <c r="D320" s="19" t="s">
        <v>1356</v>
      </c>
      <c r="E320" s="20" t="s">
        <v>1357</v>
      </c>
      <c r="F320" s="19"/>
      <c r="G320" s="21" t="s">
        <v>22</v>
      </c>
      <c r="H320" s="22" t="b">
        <v>0</v>
      </c>
      <c r="I320" s="22" t="b">
        <v>0</v>
      </c>
      <c r="J320" s="22" t="b">
        <v>0</v>
      </c>
      <c r="K320" s="22" t="b">
        <v>0</v>
      </c>
      <c r="L320" s="22" t="b">
        <v>0</v>
      </c>
      <c r="M320" s="21"/>
      <c r="N320" s="23">
        <v>0</v>
      </c>
      <c r="O320" s="24"/>
      <c r="P320" s="19"/>
      <c r="Q320" s="25"/>
      <c r="R320" s="25"/>
      <c r="S320" s="19"/>
      <c r="T320" s="26"/>
      <c r="U320" s="27" t="s">
        <v>21</v>
      </c>
      <c r="V320" s="28" t="s">
        <v>1344</v>
      </c>
      <c r="W320" s="29" t="s">
        <v>26</v>
      </c>
    </row>
    <row r="321" spans="1:23" ht="30" customHeight="1">
      <c r="A321" s="19" t="s">
        <v>5581</v>
      </c>
      <c r="B321" s="19" t="s">
        <v>5569</v>
      </c>
      <c r="C321" s="19"/>
      <c r="D321" s="19" t="s">
        <v>1359</v>
      </c>
      <c r="E321" s="20" t="s">
        <v>1360</v>
      </c>
      <c r="F321" s="19"/>
      <c r="G321" s="21" t="s">
        <v>22</v>
      </c>
      <c r="H321" s="22" t="b">
        <v>0</v>
      </c>
      <c r="I321" s="22" t="b">
        <v>0</v>
      </c>
      <c r="J321" s="22" t="b">
        <v>0</v>
      </c>
      <c r="K321" s="22" t="b">
        <v>0</v>
      </c>
      <c r="L321" s="22" t="b">
        <v>0</v>
      </c>
      <c r="M321" s="21"/>
      <c r="N321" s="23">
        <v>0</v>
      </c>
      <c r="O321" s="24"/>
      <c r="P321" s="19"/>
      <c r="Q321" s="25"/>
      <c r="R321" s="25"/>
      <c r="S321" s="19"/>
      <c r="T321" s="26"/>
      <c r="U321" s="27" t="s">
        <v>21</v>
      </c>
      <c r="V321" s="28" t="s">
        <v>1361</v>
      </c>
      <c r="W321" s="29" t="s">
        <v>26</v>
      </c>
    </row>
    <row r="322" spans="1:23" ht="30" customHeight="1">
      <c r="A322" s="19" t="s">
        <v>5581</v>
      </c>
      <c r="B322" s="19" t="s">
        <v>5569</v>
      </c>
      <c r="C322" s="19"/>
      <c r="D322" s="19" t="s">
        <v>1364</v>
      </c>
      <c r="E322" s="20" t="s">
        <v>1365</v>
      </c>
      <c r="F322" s="19"/>
      <c r="G322" s="21" t="s">
        <v>156</v>
      </c>
      <c r="H322" s="22" t="b">
        <v>0</v>
      </c>
      <c r="I322" s="22" t="b">
        <v>0</v>
      </c>
      <c r="J322" s="22" t="b">
        <v>0</v>
      </c>
      <c r="K322" s="22" t="b">
        <v>0</v>
      </c>
      <c r="L322" s="22" t="b">
        <v>0</v>
      </c>
      <c r="M322" s="21"/>
      <c r="N322" s="23">
        <v>0</v>
      </c>
      <c r="O322" s="24"/>
      <c r="P322" s="19"/>
      <c r="Q322" s="25"/>
      <c r="R322" s="25"/>
      <c r="S322" s="19"/>
      <c r="T322" s="26"/>
      <c r="U322" s="27" t="s">
        <v>21</v>
      </c>
      <c r="V322" s="28" t="s">
        <v>1366</v>
      </c>
      <c r="W322" s="29" t="s">
        <v>26</v>
      </c>
    </row>
    <row r="323" spans="1:23" ht="30" customHeight="1">
      <c r="A323" s="19" t="s">
        <v>5581</v>
      </c>
      <c r="B323" s="19" t="s">
        <v>5569</v>
      </c>
      <c r="C323" s="19"/>
      <c r="D323" s="19" t="s">
        <v>1368</v>
      </c>
      <c r="E323" s="20" t="s">
        <v>1369</v>
      </c>
      <c r="F323" s="19"/>
      <c r="G323" s="21" t="s">
        <v>156</v>
      </c>
      <c r="H323" s="22" t="b">
        <v>0</v>
      </c>
      <c r="I323" s="22" t="b">
        <v>0</v>
      </c>
      <c r="J323" s="22" t="b">
        <v>0</v>
      </c>
      <c r="K323" s="22" t="b">
        <v>0</v>
      </c>
      <c r="L323" s="22" t="b">
        <v>0</v>
      </c>
      <c r="M323" s="21"/>
      <c r="N323" s="23">
        <v>0</v>
      </c>
      <c r="O323" s="24"/>
      <c r="P323" s="19"/>
      <c r="Q323" s="25"/>
      <c r="R323" s="25"/>
      <c r="S323" s="19"/>
      <c r="T323" s="26"/>
      <c r="U323" s="27" t="s">
        <v>21</v>
      </c>
      <c r="V323" s="28" t="s">
        <v>1370</v>
      </c>
      <c r="W323" s="29" t="s">
        <v>26</v>
      </c>
    </row>
    <row r="324" spans="1:23" ht="30" customHeight="1">
      <c r="A324" s="19" t="s">
        <v>5581</v>
      </c>
      <c r="B324" s="19" t="s">
        <v>5569</v>
      </c>
      <c r="C324" s="19"/>
      <c r="D324" s="19" t="s">
        <v>1372</v>
      </c>
      <c r="E324" s="20" t="s">
        <v>1369</v>
      </c>
      <c r="F324" s="19"/>
      <c r="G324" s="21" t="s">
        <v>22</v>
      </c>
      <c r="H324" s="22" t="b">
        <v>0</v>
      </c>
      <c r="I324" s="22" t="b">
        <v>0</v>
      </c>
      <c r="J324" s="22" t="b">
        <v>0</v>
      </c>
      <c r="K324" s="22" t="b">
        <v>0</v>
      </c>
      <c r="L324" s="22" t="b">
        <v>0</v>
      </c>
      <c r="M324" s="21"/>
      <c r="N324" s="23">
        <v>0</v>
      </c>
      <c r="O324" s="24"/>
      <c r="P324" s="19"/>
      <c r="Q324" s="25"/>
      <c r="R324" s="25"/>
      <c r="S324" s="19"/>
      <c r="T324" s="26"/>
      <c r="U324" s="27" t="s">
        <v>21</v>
      </c>
      <c r="V324" s="28" t="s">
        <v>1373</v>
      </c>
      <c r="W324" s="29" t="s">
        <v>26</v>
      </c>
    </row>
    <row r="325" spans="1:23" ht="30" customHeight="1">
      <c r="A325" s="19" t="s">
        <v>5581</v>
      </c>
      <c r="B325" s="19" t="s">
        <v>5569</v>
      </c>
      <c r="C325" s="19"/>
      <c r="D325" s="19" t="s">
        <v>1376</v>
      </c>
      <c r="E325" s="20" t="s">
        <v>1377</v>
      </c>
      <c r="F325" s="19"/>
      <c r="G325" s="21" t="s">
        <v>29</v>
      </c>
      <c r="H325" s="22" t="b">
        <v>0</v>
      </c>
      <c r="I325" s="22" t="b">
        <v>0</v>
      </c>
      <c r="J325" s="22" t="b">
        <v>0</v>
      </c>
      <c r="K325" s="22" t="b">
        <v>0</v>
      </c>
      <c r="L325" s="22" t="b">
        <v>0</v>
      </c>
      <c r="M325" s="21"/>
      <c r="N325" s="23">
        <v>0</v>
      </c>
      <c r="O325" s="24"/>
      <c r="P325" s="19"/>
      <c r="Q325" s="25"/>
      <c r="R325" s="25"/>
      <c r="S325" s="19"/>
      <c r="T325" s="26"/>
      <c r="U325" s="27" t="s">
        <v>21</v>
      </c>
      <c r="V325" s="28" t="s">
        <v>1378</v>
      </c>
      <c r="W325" s="29" t="s">
        <v>26</v>
      </c>
    </row>
    <row r="326" spans="1:23" ht="30" customHeight="1">
      <c r="A326" s="19" t="s">
        <v>5581</v>
      </c>
      <c r="B326" s="19" t="s">
        <v>5569</v>
      </c>
      <c r="C326" s="19"/>
      <c r="D326" s="19" t="s">
        <v>1380</v>
      </c>
      <c r="E326" s="20" t="s">
        <v>1381</v>
      </c>
      <c r="F326" s="19"/>
      <c r="G326" s="21" t="s">
        <v>29</v>
      </c>
      <c r="H326" s="22" t="b">
        <v>0</v>
      </c>
      <c r="I326" s="22" t="b">
        <v>0</v>
      </c>
      <c r="J326" s="22" t="b">
        <v>0</v>
      </c>
      <c r="K326" s="22" t="b">
        <v>0</v>
      </c>
      <c r="L326" s="22" t="b">
        <v>0</v>
      </c>
      <c r="M326" s="21"/>
      <c r="N326" s="23">
        <v>0</v>
      </c>
      <c r="O326" s="24"/>
      <c r="P326" s="19"/>
      <c r="Q326" s="25"/>
      <c r="R326" s="25"/>
      <c r="S326" s="19"/>
      <c r="T326" s="26"/>
      <c r="U326" s="27" t="s">
        <v>21</v>
      </c>
      <c r="V326" s="28" t="s">
        <v>913</v>
      </c>
      <c r="W326" s="29" t="s">
        <v>26</v>
      </c>
    </row>
    <row r="327" spans="1:23" ht="30" customHeight="1">
      <c r="A327" s="19" t="s">
        <v>5581</v>
      </c>
      <c r="B327" s="19" t="s">
        <v>5569</v>
      </c>
      <c r="C327" s="19"/>
      <c r="D327" s="19" t="s">
        <v>1384</v>
      </c>
      <c r="E327" s="20" t="s">
        <v>1385</v>
      </c>
      <c r="F327" s="19"/>
      <c r="G327" s="21" t="s">
        <v>22</v>
      </c>
      <c r="H327" s="22" t="b">
        <v>0</v>
      </c>
      <c r="I327" s="22" t="b">
        <v>0</v>
      </c>
      <c r="J327" s="22" t="b">
        <v>0</v>
      </c>
      <c r="K327" s="22" t="b">
        <v>0</v>
      </c>
      <c r="L327" s="22" t="b">
        <v>0</v>
      </c>
      <c r="M327" s="21"/>
      <c r="N327" s="23">
        <v>0</v>
      </c>
      <c r="O327" s="24"/>
      <c r="P327" s="19"/>
      <c r="Q327" s="25"/>
      <c r="R327" s="25"/>
      <c r="S327" s="19"/>
      <c r="T327" s="26"/>
      <c r="U327" s="27" t="s">
        <v>21</v>
      </c>
      <c r="V327" s="28" t="s">
        <v>913</v>
      </c>
      <c r="W327" s="29" t="s">
        <v>26</v>
      </c>
    </row>
    <row r="328" spans="1:23" ht="30" customHeight="1">
      <c r="A328" s="19" t="s">
        <v>5581</v>
      </c>
      <c r="B328" s="19" t="s">
        <v>5569</v>
      </c>
      <c r="C328" s="19"/>
      <c r="D328" s="19" t="s">
        <v>1388</v>
      </c>
      <c r="E328" s="20" t="s">
        <v>1389</v>
      </c>
      <c r="F328" s="19"/>
      <c r="G328" s="21" t="s">
        <v>22</v>
      </c>
      <c r="H328" s="22" t="b">
        <v>0</v>
      </c>
      <c r="I328" s="22" t="b">
        <v>0</v>
      </c>
      <c r="J328" s="22" t="b">
        <v>0</v>
      </c>
      <c r="K328" s="22" t="b">
        <v>0</v>
      </c>
      <c r="L328" s="22" t="b">
        <v>0</v>
      </c>
      <c r="M328" s="21"/>
      <c r="N328" s="23">
        <v>0</v>
      </c>
      <c r="O328" s="24"/>
      <c r="P328" s="19"/>
      <c r="Q328" s="25"/>
      <c r="R328" s="25"/>
      <c r="S328" s="19"/>
      <c r="T328" s="26"/>
      <c r="U328" s="27" t="s">
        <v>21</v>
      </c>
      <c r="V328" s="28" t="s">
        <v>1390</v>
      </c>
      <c r="W328" s="29" t="s">
        <v>26</v>
      </c>
    </row>
    <row r="329" spans="1:23" ht="30" customHeight="1">
      <c r="A329" s="19" t="s">
        <v>5581</v>
      </c>
      <c r="B329" s="19" t="s">
        <v>5569</v>
      </c>
      <c r="C329" s="19"/>
      <c r="D329" s="19" t="s">
        <v>1392</v>
      </c>
      <c r="E329" s="20" t="s">
        <v>1393</v>
      </c>
      <c r="F329" s="19"/>
      <c r="G329" s="21" t="s">
        <v>29</v>
      </c>
      <c r="H329" s="22" t="b">
        <v>0</v>
      </c>
      <c r="I329" s="22" t="b">
        <v>0</v>
      </c>
      <c r="J329" s="22" t="b">
        <v>0</v>
      </c>
      <c r="K329" s="22" t="b">
        <v>0</v>
      </c>
      <c r="L329" s="22" t="b">
        <v>0</v>
      </c>
      <c r="M329" s="21"/>
      <c r="N329" s="23">
        <v>0</v>
      </c>
      <c r="O329" s="24"/>
      <c r="P329" s="19"/>
      <c r="Q329" s="25"/>
      <c r="R329" s="25"/>
      <c r="S329" s="19"/>
      <c r="T329" s="26"/>
      <c r="U329" s="27" t="s">
        <v>21</v>
      </c>
      <c r="V329" s="28" t="s">
        <v>1394</v>
      </c>
      <c r="W329" s="29" t="s">
        <v>26</v>
      </c>
    </row>
    <row r="330" spans="1:23" ht="30" customHeight="1">
      <c r="A330" s="19" t="s">
        <v>5581</v>
      </c>
      <c r="B330" s="19" t="s">
        <v>5569</v>
      </c>
      <c r="C330" s="19"/>
      <c r="D330" s="19" t="s">
        <v>1397</v>
      </c>
      <c r="E330" s="20" t="s">
        <v>1398</v>
      </c>
      <c r="F330" s="19"/>
      <c r="G330" s="21" t="s">
        <v>22</v>
      </c>
      <c r="H330" s="22" t="b">
        <v>0</v>
      </c>
      <c r="I330" s="22" t="b">
        <v>0</v>
      </c>
      <c r="J330" s="22" t="b">
        <v>0</v>
      </c>
      <c r="K330" s="22" t="b">
        <v>0</v>
      </c>
      <c r="L330" s="22" t="b">
        <v>0</v>
      </c>
      <c r="M330" s="21"/>
      <c r="N330" s="23">
        <v>0</v>
      </c>
      <c r="O330" s="24"/>
      <c r="P330" s="19"/>
      <c r="Q330" s="25"/>
      <c r="R330" s="25"/>
      <c r="S330" s="19"/>
      <c r="T330" s="26"/>
      <c r="U330" s="30" t="s">
        <v>34</v>
      </c>
      <c r="V330" s="28" t="s">
        <v>1399</v>
      </c>
      <c r="W330" s="29" t="s">
        <v>26</v>
      </c>
    </row>
    <row r="331" spans="1:23" ht="30" customHeight="1">
      <c r="A331" s="19" t="s">
        <v>5581</v>
      </c>
      <c r="B331" s="19" t="s">
        <v>5569</v>
      </c>
      <c r="C331" s="19"/>
      <c r="D331" s="19" t="s">
        <v>1401</v>
      </c>
      <c r="E331" s="20" t="s">
        <v>1402</v>
      </c>
      <c r="F331" s="19"/>
      <c r="G331" s="21" t="s">
        <v>22</v>
      </c>
      <c r="H331" s="22" t="b">
        <v>0</v>
      </c>
      <c r="I331" s="22" t="b">
        <v>0</v>
      </c>
      <c r="J331" s="22" t="b">
        <v>0</v>
      </c>
      <c r="K331" s="22" t="b">
        <v>0</v>
      </c>
      <c r="L331" s="22" t="b">
        <v>0</v>
      </c>
      <c r="M331" s="21"/>
      <c r="N331" s="23">
        <v>0</v>
      </c>
      <c r="O331" s="24"/>
      <c r="P331" s="19"/>
      <c r="Q331" s="25"/>
      <c r="R331" s="25"/>
      <c r="S331" s="19"/>
      <c r="T331" s="26"/>
      <c r="U331" s="27" t="s">
        <v>21</v>
      </c>
      <c r="V331" s="28" t="s">
        <v>1366</v>
      </c>
      <c r="W331" s="29" t="s">
        <v>26</v>
      </c>
    </row>
    <row r="332" spans="1:23" ht="30" customHeight="1">
      <c r="A332" s="19" t="s">
        <v>5581</v>
      </c>
      <c r="B332" s="19" t="s">
        <v>5569</v>
      </c>
      <c r="C332" s="19"/>
      <c r="D332" s="19" t="s">
        <v>1405</v>
      </c>
      <c r="E332" s="20" t="s">
        <v>1406</v>
      </c>
      <c r="F332" s="19"/>
      <c r="G332" s="21" t="s">
        <v>22</v>
      </c>
      <c r="H332" s="22" t="b">
        <v>0</v>
      </c>
      <c r="I332" s="22" t="b">
        <v>0</v>
      </c>
      <c r="J332" s="22" t="b">
        <v>0</v>
      </c>
      <c r="K332" s="22" t="b">
        <v>0</v>
      </c>
      <c r="L332" s="22" t="b">
        <v>0</v>
      </c>
      <c r="M332" s="21"/>
      <c r="N332" s="23">
        <v>0</v>
      </c>
      <c r="O332" s="24"/>
      <c r="P332" s="19"/>
      <c r="Q332" s="25"/>
      <c r="R332" s="25"/>
      <c r="S332" s="19"/>
      <c r="T332" s="26"/>
      <c r="U332" s="30" t="s">
        <v>34</v>
      </c>
      <c r="V332" s="28" t="s">
        <v>1407</v>
      </c>
      <c r="W332" s="29" t="s">
        <v>26</v>
      </c>
    </row>
    <row r="333" spans="1:23" ht="30" customHeight="1">
      <c r="A333" s="19" t="s">
        <v>5581</v>
      </c>
      <c r="B333" s="19" t="s">
        <v>5569</v>
      </c>
      <c r="C333" s="19"/>
      <c r="D333" s="19" t="s">
        <v>1410</v>
      </c>
      <c r="E333" s="20" t="s">
        <v>1411</v>
      </c>
      <c r="F333" s="19"/>
      <c r="G333" s="21" t="s">
        <v>22</v>
      </c>
      <c r="H333" s="22" t="b">
        <v>0</v>
      </c>
      <c r="I333" s="22" t="b">
        <v>0</v>
      </c>
      <c r="J333" s="22" t="b">
        <v>0</v>
      </c>
      <c r="K333" s="22" t="b">
        <v>0</v>
      </c>
      <c r="L333" s="22" t="b">
        <v>0</v>
      </c>
      <c r="M333" s="21"/>
      <c r="N333" s="23">
        <v>0</v>
      </c>
      <c r="O333" s="24"/>
      <c r="P333" s="19"/>
      <c r="Q333" s="25"/>
      <c r="R333" s="25"/>
      <c r="S333" s="19"/>
      <c r="T333" s="26"/>
      <c r="U333" s="30" t="s">
        <v>34</v>
      </c>
      <c r="V333" s="28" t="s">
        <v>1412</v>
      </c>
      <c r="W333" s="29" t="s">
        <v>26</v>
      </c>
    </row>
    <row r="334" spans="1:23" ht="30" customHeight="1">
      <c r="A334" s="19" t="s">
        <v>5581</v>
      </c>
      <c r="B334" s="19" t="s">
        <v>5569</v>
      </c>
      <c r="C334" s="19"/>
      <c r="D334" s="19" t="s">
        <v>1414</v>
      </c>
      <c r="E334" s="20" t="s">
        <v>1415</v>
      </c>
      <c r="F334" s="19"/>
      <c r="G334" s="21" t="s">
        <v>22</v>
      </c>
      <c r="H334" s="22" t="b">
        <v>0</v>
      </c>
      <c r="I334" s="22" t="b">
        <v>0</v>
      </c>
      <c r="J334" s="22" t="b">
        <v>0</v>
      </c>
      <c r="K334" s="22" t="b">
        <v>0</v>
      </c>
      <c r="L334" s="22" t="b">
        <v>0</v>
      </c>
      <c r="M334" s="21"/>
      <c r="N334" s="23">
        <v>0</v>
      </c>
      <c r="O334" s="24"/>
      <c r="P334" s="19"/>
      <c r="Q334" s="25"/>
      <c r="R334" s="25"/>
      <c r="S334" s="19"/>
      <c r="T334" s="26"/>
      <c r="U334" s="27" t="s">
        <v>21</v>
      </c>
      <c r="V334" s="28" t="s">
        <v>913</v>
      </c>
      <c r="W334" s="29" t="s">
        <v>26</v>
      </c>
    </row>
    <row r="335" spans="1:23" ht="30" customHeight="1">
      <c r="A335" s="19" t="s">
        <v>5581</v>
      </c>
      <c r="B335" s="19" t="s">
        <v>5569</v>
      </c>
      <c r="C335" s="19"/>
      <c r="D335" s="19" t="s">
        <v>1418</v>
      </c>
      <c r="E335" s="20" t="s">
        <v>1419</v>
      </c>
      <c r="F335" s="19"/>
      <c r="G335" s="21" t="s">
        <v>22</v>
      </c>
      <c r="H335" s="22" t="b">
        <v>0</v>
      </c>
      <c r="I335" s="22" t="b">
        <v>0</v>
      </c>
      <c r="J335" s="22" t="b">
        <v>0</v>
      </c>
      <c r="K335" s="22" t="b">
        <v>0</v>
      </c>
      <c r="L335" s="22" t="b">
        <v>0</v>
      </c>
      <c r="M335" s="21"/>
      <c r="N335" s="23">
        <v>0</v>
      </c>
      <c r="O335" s="24"/>
      <c r="P335" s="19"/>
      <c r="Q335" s="25"/>
      <c r="R335" s="25"/>
      <c r="S335" s="19"/>
      <c r="T335" s="26"/>
      <c r="U335" s="27" t="s">
        <v>21</v>
      </c>
      <c r="V335" s="28" t="s">
        <v>1366</v>
      </c>
      <c r="W335" s="29" t="s">
        <v>26</v>
      </c>
    </row>
    <row r="336" spans="1:23" ht="30" customHeight="1">
      <c r="A336" s="19" t="s">
        <v>5581</v>
      </c>
      <c r="B336" s="19" t="s">
        <v>5569</v>
      </c>
      <c r="C336" s="19"/>
      <c r="D336" s="19" t="s">
        <v>1422</v>
      </c>
      <c r="E336" s="20" t="s">
        <v>1423</v>
      </c>
      <c r="F336" s="19"/>
      <c r="G336" s="21" t="s">
        <v>22</v>
      </c>
      <c r="H336" s="22" t="b">
        <v>0</v>
      </c>
      <c r="I336" s="22" t="b">
        <v>0</v>
      </c>
      <c r="J336" s="22" t="b">
        <v>0</v>
      </c>
      <c r="K336" s="22" t="b">
        <v>0</v>
      </c>
      <c r="L336" s="22" t="b">
        <v>0</v>
      </c>
      <c r="M336" s="21"/>
      <c r="N336" s="23">
        <v>0</v>
      </c>
      <c r="O336" s="24"/>
      <c r="P336" s="19"/>
      <c r="Q336" s="25"/>
      <c r="R336" s="25"/>
      <c r="S336" s="19"/>
      <c r="T336" s="26"/>
      <c r="U336" s="27" t="s">
        <v>21</v>
      </c>
      <c r="V336" s="28" t="s">
        <v>913</v>
      </c>
      <c r="W336" s="29" t="s">
        <v>26</v>
      </c>
    </row>
    <row r="337" spans="1:23" ht="30" customHeight="1">
      <c r="A337" s="19" t="s">
        <v>5581</v>
      </c>
      <c r="B337" s="19" t="s">
        <v>5569</v>
      </c>
      <c r="C337" s="19"/>
      <c r="D337" s="19" t="s">
        <v>1425</v>
      </c>
      <c r="E337" s="20" t="s">
        <v>1426</v>
      </c>
      <c r="F337" s="19"/>
      <c r="G337" s="21" t="s">
        <v>22</v>
      </c>
      <c r="H337" s="22" t="b">
        <v>0</v>
      </c>
      <c r="I337" s="22" t="b">
        <v>0</v>
      </c>
      <c r="J337" s="22" t="b">
        <v>0</v>
      </c>
      <c r="K337" s="22" t="b">
        <v>0</v>
      </c>
      <c r="L337" s="22" t="b">
        <v>0</v>
      </c>
      <c r="M337" s="21"/>
      <c r="N337" s="23">
        <v>0</v>
      </c>
      <c r="O337" s="24"/>
      <c r="P337" s="19"/>
      <c r="Q337" s="25"/>
      <c r="R337" s="25"/>
      <c r="S337" s="19"/>
      <c r="T337" s="26"/>
      <c r="U337" s="27" t="s">
        <v>21</v>
      </c>
      <c r="V337" s="28" t="s">
        <v>1427</v>
      </c>
      <c r="W337" s="29" t="s">
        <v>26</v>
      </c>
    </row>
    <row r="338" spans="1:23" ht="30" customHeight="1">
      <c r="A338" s="19" t="s">
        <v>5581</v>
      </c>
      <c r="B338" s="19" t="s">
        <v>5569</v>
      </c>
      <c r="C338" s="19"/>
      <c r="D338" s="19" t="s">
        <v>1430</v>
      </c>
      <c r="E338" s="20" t="s">
        <v>1431</v>
      </c>
      <c r="F338" s="19"/>
      <c r="G338" s="21" t="s">
        <v>29</v>
      </c>
      <c r="H338" s="22" t="b">
        <v>0</v>
      </c>
      <c r="I338" s="22" t="b">
        <v>0</v>
      </c>
      <c r="J338" s="22" t="b">
        <v>0</v>
      </c>
      <c r="K338" s="22" t="b">
        <v>0</v>
      </c>
      <c r="L338" s="22" t="b">
        <v>0</v>
      </c>
      <c r="M338" s="21"/>
      <c r="N338" s="23">
        <v>0</v>
      </c>
      <c r="O338" s="24"/>
      <c r="P338" s="19"/>
      <c r="Q338" s="25"/>
      <c r="R338" s="25"/>
      <c r="S338" s="19"/>
      <c r="T338" s="26"/>
      <c r="U338" s="30" t="s">
        <v>34</v>
      </c>
      <c r="V338" s="28" t="s">
        <v>233</v>
      </c>
      <c r="W338" s="29" t="s">
        <v>26</v>
      </c>
    </row>
    <row r="339" spans="1:23" ht="30" customHeight="1">
      <c r="A339" s="19" t="s">
        <v>5581</v>
      </c>
      <c r="B339" s="19" t="s">
        <v>5569</v>
      </c>
      <c r="C339" s="19"/>
      <c r="D339" s="19" t="s">
        <v>1434</v>
      </c>
      <c r="E339" s="20" t="s">
        <v>1435</v>
      </c>
      <c r="F339" s="19"/>
      <c r="G339" s="21" t="s">
        <v>22</v>
      </c>
      <c r="H339" s="22" t="b">
        <v>0</v>
      </c>
      <c r="I339" s="22" t="b">
        <v>0</v>
      </c>
      <c r="J339" s="22" t="b">
        <v>0</v>
      </c>
      <c r="K339" s="22" t="b">
        <v>0</v>
      </c>
      <c r="L339" s="22" t="b">
        <v>0</v>
      </c>
      <c r="M339" s="21"/>
      <c r="N339" s="23">
        <v>0</v>
      </c>
      <c r="O339" s="24"/>
      <c r="P339" s="19"/>
      <c r="Q339" s="25"/>
      <c r="R339" s="25"/>
      <c r="S339" s="19"/>
      <c r="T339" s="26"/>
      <c r="U339" s="27" t="s">
        <v>21</v>
      </c>
      <c r="V339" s="28" t="s">
        <v>913</v>
      </c>
      <c r="W339" s="29" t="s">
        <v>26</v>
      </c>
    </row>
    <row r="340" spans="1:23" ht="30" customHeight="1">
      <c r="A340" s="19" t="s">
        <v>5581</v>
      </c>
      <c r="B340" s="19" t="s">
        <v>5569</v>
      </c>
      <c r="C340" s="19"/>
      <c r="D340" s="19" t="s">
        <v>1438</v>
      </c>
      <c r="E340" s="20" t="s">
        <v>1439</v>
      </c>
      <c r="F340" s="19"/>
      <c r="G340" s="21" t="s">
        <v>22</v>
      </c>
      <c r="H340" s="22" t="b">
        <v>0</v>
      </c>
      <c r="I340" s="22" t="b">
        <v>0</v>
      </c>
      <c r="J340" s="22" t="b">
        <v>0</v>
      </c>
      <c r="K340" s="22" t="b">
        <v>0</v>
      </c>
      <c r="L340" s="22" t="b">
        <v>0</v>
      </c>
      <c r="M340" s="21"/>
      <c r="N340" s="23">
        <v>0</v>
      </c>
      <c r="O340" s="24"/>
      <c r="P340" s="19"/>
      <c r="Q340" s="25"/>
      <c r="R340" s="25"/>
      <c r="S340" s="19"/>
      <c r="T340" s="26"/>
      <c r="U340" s="30" t="s">
        <v>34</v>
      </c>
      <c r="V340" s="28" t="s">
        <v>1440</v>
      </c>
      <c r="W340" s="29" t="s">
        <v>26</v>
      </c>
    </row>
    <row r="341" spans="1:23" ht="30" customHeight="1">
      <c r="A341" s="19" t="s">
        <v>5581</v>
      </c>
      <c r="B341" s="19" t="s">
        <v>5569</v>
      </c>
      <c r="C341" s="19"/>
      <c r="D341" s="19" t="s">
        <v>1443</v>
      </c>
      <c r="E341" s="20" t="s">
        <v>1444</v>
      </c>
      <c r="F341" s="19"/>
      <c r="G341" s="21" t="s">
        <v>22</v>
      </c>
      <c r="H341" s="22" t="b">
        <v>0</v>
      </c>
      <c r="I341" s="22" t="b">
        <v>0</v>
      </c>
      <c r="J341" s="22" t="b">
        <v>0</v>
      </c>
      <c r="K341" s="22" t="b">
        <v>0</v>
      </c>
      <c r="L341" s="22" t="b">
        <v>0</v>
      </c>
      <c r="M341" s="21"/>
      <c r="N341" s="23">
        <v>0</v>
      </c>
      <c r="O341" s="24"/>
      <c r="P341" s="19"/>
      <c r="Q341" s="25"/>
      <c r="R341" s="25"/>
      <c r="S341" s="19"/>
      <c r="T341" s="26"/>
      <c r="U341" s="27" t="s">
        <v>21</v>
      </c>
      <c r="V341" s="28" t="s">
        <v>1285</v>
      </c>
      <c r="W341" s="29" t="s">
        <v>26</v>
      </c>
    </row>
    <row r="342" spans="1:23" ht="30" customHeight="1">
      <c r="A342" s="19" t="s">
        <v>5581</v>
      </c>
      <c r="B342" s="19" t="s">
        <v>5569</v>
      </c>
      <c r="C342" s="19"/>
      <c r="D342" s="19" t="s">
        <v>1447</v>
      </c>
      <c r="E342" s="20" t="s">
        <v>1448</v>
      </c>
      <c r="F342" s="19"/>
      <c r="G342" s="21" t="s">
        <v>22</v>
      </c>
      <c r="H342" s="22" t="b">
        <v>0</v>
      </c>
      <c r="I342" s="22" t="b">
        <v>0</v>
      </c>
      <c r="J342" s="22" t="b">
        <v>0</v>
      </c>
      <c r="K342" s="22" t="b">
        <v>0</v>
      </c>
      <c r="L342" s="22" t="b">
        <v>0</v>
      </c>
      <c r="M342" s="21"/>
      <c r="N342" s="23">
        <v>0</v>
      </c>
      <c r="O342" s="24"/>
      <c r="P342" s="19"/>
      <c r="Q342" s="25"/>
      <c r="R342" s="25"/>
      <c r="S342" s="19"/>
      <c r="T342" s="26"/>
      <c r="U342" s="30" t="s">
        <v>34</v>
      </c>
      <c r="V342" s="28" t="s">
        <v>1449</v>
      </c>
      <c r="W342" s="29" t="s">
        <v>26</v>
      </c>
    </row>
    <row r="343" spans="1:23" ht="30" customHeight="1">
      <c r="A343" s="19" t="s">
        <v>5581</v>
      </c>
      <c r="B343" s="19" t="s">
        <v>5569</v>
      </c>
      <c r="C343" s="19"/>
      <c r="D343" s="19" t="s">
        <v>1451</v>
      </c>
      <c r="E343" s="20" t="s">
        <v>1452</v>
      </c>
      <c r="F343" s="19"/>
      <c r="G343" s="21" t="s">
        <v>22</v>
      </c>
      <c r="H343" s="22" t="b">
        <v>0</v>
      </c>
      <c r="I343" s="22" t="b">
        <v>0</v>
      </c>
      <c r="J343" s="22" t="b">
        <v>0</v>
      </c>
      <c r="K343" s="22" t="b">
        <v>0</v>
      </c>
      <c r="L343" s="22" t="b">
        <v>0</v>
      </c>
      <c r="M343" s="21"/>
      <c r="N343" s="23">
        <v>0</v>
      </c>
      <c r="O343" s="24"/>
      <c r="P343" s="19"/>
      <c r="Q343" s="25"/>
      <c r="R343" s="25"/>
      <c r="S343" s="19"/>
      <c r="T343" s="26"/>
      <c r="U343" s="27" t="s">
        <v>21</v>
      </c>
      <c r="V343" s="28" t="s">
        <v>1453</v>
      </c>
      <c r="W343" s="29" t="s">
        <v>26</v>
      </c>
    </row>
    <row r="344" spans="1:23" ht="30" customHeight="1">
      <c r="A344" s="19" t="s">
        <v>5581</v>
      </c>
      <c r="B344" s="19" t="s">
        <v>5569</v>
      </c>
      <c r="C344" s="19"/>
      <c r="D344" s="19" t="s">
        <v>1456</v>
      </c>
      <c r="E344" s="20" t="s">
        <v>1457</v>
      </c>
      <c r="F344" s="19"/>
      <c r="G344" s="21" t="s">
        <v>22</v>
      </c>
      <c r="H344" s="22" t="b">
        <v>0</v>
      </c>
      <c r="I344" s="22" t="b">
        <v>0</v>
      </c>
      <c r="J344" s="22" t="b">
        <v>0</v>
      </c>
      <c r="K344" s="22" t="b">
        <v>0</v>
      </c>
      <c r="L344" s="22" t="b">
        <v>0</v>
      </c>
      <c r="M344" s="21"/>
      <c r="N344" s="23">
        <v>0</v>
      </c>
      <c r="O344" s="24"/>
      <c r="P344" s="19"/>
      <c r="Q344" s="25"/>
      <c r="R344" s="25"/>
      <c r="S344" s="19"/>
      <c r="T344" s="26"/>
      <c r="U344" s="27" t="s">
        <v>21</v>
      </c>
      <c r="V344" s="28" t="s">
        <v>1458</v>
      </c>
      <c r="W344" s="29" t="s">
        <v>26</v>
      </c>
    </row>
    <row r="345" spans="1:23" ht="30" customHeight="1">
      <c r="A345" s="19" t="s">
        <v>5581</v>
      </c>
      <c r="B345" s="19" t="s">
        <v>5569</v>
      </c>
      <c r="C345" s="19"/>
      <c r="D345" s="19" t="s">
        <v>1460</v>
      </c>
      <c r="E345" s="20" t="s">
        <v>1461</v>
      </c>
      <c r="F345" s="19"/>
      <c r="G345" s="21" t="s">
        <v>22</v>
      </c>
      <c r="H345" s="22" t="b">
        <v>0</v>
      </c>
      <c r="I345" s="22" t="b">
        <v>0</v>
      </c>
      <c r="J345" s="22" t="b">
        <v>0</v>
      </c>
      <c r="K345" s="22" t="b">
        <v>0</v>
      </c>
      <c r="L345" s="22" t="b">
        <v>0</v>
      </c>
      <c r="M345" s="21"/>
      <c r="N345" s="23">
        <v>0</v>
      </c>
      <c r="O345" s="24"/>
      <c r="P345" s="19"/>
      <c r="Q345" s="25"/>
      <c r="R345" s="25"/>
      <c r="S345" s="19"/>
      <c r="T345" s="26"/>
      <c r="U345" s="27" t="s">
        <v>21</v>
      </c>
      <c r="V345" s="28" t="s">
        <v>1462</v>
      </c>
      <c r="W345" s="29" t="s">
        <v>26</v>
      </c>
    </row>
    <row r="346" spans="1:23" ht="30" customHeight="1">
      <c r="A346" s="19" t="s">
        <v>5581</v>
      </c>
      <c r="B346" s="19" t="s">
        <v>5569</v>
      </c>
      <c r="C346" s="19"/>
      <c r="D346" s="19" t="s">
        <v>1464</v>
      </c>
      <c r="E346" s="20" t="s">
        <v>1465</v>
      </c>
      <c r="F346" s="19"/>
      <c r="G346" s="21" t="s">
        <v>29</v>
      </c>
      <c r="H346" s="22" t="b">
        <v>0</v>
      </c>
      <c r="I346" s="22" t="b">
        <v>0</v>
      </c>
      <c r="J346" s="22" t="b">
        <v>0</v>
      </c>
      <c r="K346" s="22" t="b">
        <v>0</v>
      </c>
      <c r="L346" s="22" t="b">
        <v>0</v>
      </c>
      <c r="M346" s="21"/>
      <c r="N346" s="23">
        <v>0</v>
      </c>
      <c r="O346" s="24"/>
      <c r="P346" s="19"/>
      <c r="Q346" s="25"/>
      <c r="R346" s="25"/>
      <c r="S346" s="19"/>
      <c r="T346" s="26"/>
      <c r="U346" s="27" t="s">
        <v>21</v>
      </c>
      <c r="V346" s="28" t="s">
        <v>1466</v>
      </c>
      <c r="W346" s="29" t="s">
        <v>26</v>
      </c>
    </row>
    <row r="347" spans="1:23" ht="30" customHeight="1">
      <c r="A347" s="19" t="s">
        <v>5581</v>
      </c>
      <c r="B347" s="19" t="s">
        <v>5569</v>
      </c>
      <c r="C347" s="19"/>
      <c r="D347" s="19" t="s">
        <v>1468</v>
      </c>
      <c r="E347" s="20" t="s">
        <v>1469</v>
      </c>
      <c r="F347" s="19"/>
      <c r="G347" s="21" t="s">
        <v>22</v>
      </c>
      <c r="H347" s="22" t="b">
        <v>0</v>
      </c>
      <c r="I347" s="22" t="b">
        <v>0</v>
      </c>
      <c r="J347" s="22" t="b">
        <v>0</v>
      </c>
      <c r="K347" s="22" t="b">
        <v>0</v>
      </c>
      <c r="L347" s="22" t="b">
        <v>0</v>
      </c>
      <c r="M347" s="21"/>
      <c r="N347" s="23">
        <v>0</v>
      </c>
      <c r="O347" s="24"/>
      <c r="P347" s="19"/>
      <c r="Q347" s="25"/>
      <c r="R347" s="25"/>
      <c r="S347" s="19"/>
      <c r="T347" s="26"/>
      <c r="U347" s="27" t="s">
        <v>21</v>
      </c>
      <c r="V347" s="28" t="s">
        <v>1470</v>
      </c>
      <c r="W347" s="29" t="s">
        <v>26</v>
      </c>
    </row>
    <row r="348" spans="1:23" ht="30" customHeight="1">
      <c r="A348" s="19" t="s">
        <v>5581</v>
      </c>
      <c r="B348" s="19" t="s">
        <v>5569</v>
      </c>
      <c r="C348" s="19"/>
      <c r="D348" s="19" t="s">
        <v>1472</v>
      </c>
      <c r="E348" s="20" t="s">
        <v>1473</v>
      </c>
      <c r="F348" s="19"/>
      <c r="G348" s="21" t="s">
        <v>22</v>
      </c>
      <c r="H348" s="22" t="b">
        <v>0</v>
      </c>
      <c r="I348" s="22" t="b">
        <v>0</v>
      </c>
      <c r="J348" s="22" t="b">
        <v>0</v>
      </c>
      <c r="K348" s="22" t="b">
        <v>0</v>
      </c>
      <c r="L348" s="22" t="b">
        <v>0</v>
      </c>
      <c r="M348" s="21"/>
      <c r="N348" s="23">
        <v>0</v>
      </c>
      <c r="O348" s="24"/>
      <c r="P348" s="19"/>
      <c r="Q348" s="25"/>
      <c r="R348" s="25"/>
      <c r="S348" s="19"/>
      <c r="T348" s="26"/>
      <c r="U348" s="27" t="s">
        <v>21</v>
      </c>
      <c r="V348" s="28" t="s">
        <v>1474</v>
      </c>
      <c r="W348" s="29" t="s">
        <v>26</v>
      </c>
    </row>
    <row r="349" spans="1:23" ht="30" customHeight="1">
      <c r="A349" s="19" t="s">
        <v>5581</v>
      </c>
      <c r="B349" s="19" t="s">
        <v>5569</v>
      </c>
      <c r="C349" s="19"/>
      <c r="D349" s="19" t="s">
        <v>1476</v>
      </c>
      <c r="E349" s="20" t="s">
        <v>1477</v>
      </c>
      <c r="F349" s="19"/>
      <c r="G349" s="21" t="s">
        <v>22</v>
      </c>
      <c r="H349" s="22" t="b">
        <v>0</v>
      </c>
      <c r="I349" s="22" t="b">
        <v>0</v>
      </c>
      <c r="J349" s="22" t="b">
        <v>0</v>
      </c>
      <c r="K349" s="22" t="b">
        <v>0</v>
      </c>
      <c r="L349" s="22" t="b">
        <v>0</v>
      </c>
      <c r="M349" s="21"/>
      <c r="N349" s="23">
        <v>0</v>
      </c>
      <c r="O349" s="24"/>
      <c r="P349" s="19"/>
      <c r="Q349" s="25"/>
      <c r="R349" s="25"/>
      <c r="S349" s="19"/>
      <c r="T349" s="26"/>
      <c r="U349" s="30" t="s">
        <v>34</v>
      </c>
      <c r="V349" s="28" t="s">
        <v>1478</v>
      </c>
      <c r="W349" s="29" t="s">
        <v>26</v>
      </c>
    </row>
    <row r="350" spans="1:23" ht="30" customHeight="1">
      <c r="A350" s="19" t="s">
        <v>5581</v>
      </c>
      <c r="B350" s="19" t="s">
        <v>5569</v>
      </c>
      <c r="C350" s="19"/>
      <c r="D350" s="19" t="s">
        <v>1480</v>
      </c>
      <c r="E350" s="20" t="s">
        <v>1481</v>
      </c>
      <c r="F350" s="19"/>
      <c r="G350" s="21" t="s">
        <v>22</v>
      </c>
      <c r="H350" s="22" t="b">
        <v>0</v>
      </c>
      <c r="I350" s="22" t="b">
        <v>0</v>
      </c>
      <c r="J350" s="22" t="b">
        <v>0</v>
      </c>
      <c r="K350" s="22" t="b">
        <v>0</v>
      </c>
      <c r="L350" s="22" t="b">
        <v>0</v>
      </c>
      <c r="M350" s="21"/>
      <c r="N350" s="23">
        <v>0</v>
      </c>
      <c r="O350" s="24"/>
      <c r="P350" s="19"/>
      <c r="Q350" s="25"/>
      <c r="R350" s="25"/>
      <c r="S350" s="19"/>
      <c r="T350" s="26"/>
      <c r="U350" s="27" t="s">
        <v>21</v>
      </c>
      <c r="V350" s="28" t="s">
        <v>1482</v>
      </c>
      <c r="W350" s="29" t="s">
        <v>26</v>
      </c>
    </row>
    <row r="351" spans="1:23" ht="30" customHeight="1">
      <c r="A351" s="19" t="s">
        <v>5581</v>
      </c>
      <c r="B351" s="19" t="s">
        <v>5569</v>
      </c>
      <c r="C351" s="19"/>
      <c r="D351" s="19" t="s">
        <v>1484</v>
      </c>
      <c r="E351" s="20" t="s">
        <v>1485</v>
      </c>
      <c r="F351" s="19"/>
      <c r="G351" s="21" t="s">
        <v>22</v>
      </c>
      <c r="H351" s="22" t="b">
        <v>0</v>
      </c>
      <c r="I351" s="22" t="b">
        <v>0</v>
      </c>
      <c r="J351" s="22" t="b">
        <v>0</v>
      </c>
      <c r="K351" s="22" t="b">
        <v>0</v>
      </c>
      <c r="L351" s="22" t="b">
        <v>0</v>
      </c>
      <c r="M351" s="21"/>
      <c r="N351" s="23">
        <v>0</v>
      </c>
      <c r="O351" s="24"/>
      <c r="P351" s="19"/>
      <c r="Q351" s="25"/>
      <c r="R351" s="25"/>
      <c r="S351" s="19"/>
      <c r="T351" s="26"/>
      <c r="U351" s="30" t="s">
        <v>34</v>
      </c>
      <c r="V351" s="28" t="s">
        <v>1486</v>
      </c>
      <c r="W351" s="29" t="s">
        <v>26</v>
      </c>
    </row>
    <row r="352" spans="1:23" ht="30" customHeight="1">
      <c r="A352" s="19" t="s">
        <v>5581</v>
      </c>
      <c r="B352" s="19" t="s">
        <v>5569</v>
      </c>
      <c r="C352" s="19"/>
      <c r="D352" s="19" t="s">
        <v>1489</v>
      </c>
      <c r="E352" s="20" t="s">
        <v>1490</v>
      </c>
      <c r="F352" s="19"/>
      <c r="G352" s="21" t="s">
        <v>22</v>
      </c>
      <c r="H352" s="22" t="b">
        <v>0</v>
      </c>
      <c r="I352" s="22" t="b">
        <v>0</v>
      </c>
      <c r="J352" s="22" t="b">
        <v>0</v>
      </c>
      <c r="K352" s="22" t="b">
        <v>0</v>
      </c>
      <c r="L352" s="22" t="b">
        <v>0</v>
      </c>
      <c r="M352" s="21"/>
      <c r="N352" s="23">
        <v>0</v>
      </c>
      <c r="O352" s="24"/>
      <c r="P352" s="19"/>
      <c r="Q352" s="25"/>
      <c r="R352" s="25"/>
      <c r="S352" s="19"/>
      <c r="T352" s="26"/>
      <c r="U352" s="30" t="s">
        <v>34</v>
      </c>
      <c r="V352" s="28" t="s">
        <v>1491</v>
      </c>
      <c r="W352" s="29" t="s">
        <v>26</v>
      </c>
    </row>
    <row r="353" spans="1:23" ht="30" customHeight="1">
      <c r="A353" s="19" t="s">
        <v>5581</v>
      </c>
      <c r="B353" s="19" t="s">
        <v>5569</v>
      </c>
      <c r="C353" s="19"/>
      <c r="D353" s="19" t="s">
        <v>1493</v>
      </c>
      <c r="E353" s="20" t="s">
        <v>1494</v>
      </c>
      <c r="F353" s="19"/>
      <c r="G353" s="21" t="s">
        <v>22</v>
      </c>
      <c r="H353" s="22" t="b">
        <v>0</v>
      </c>
      <c r="I353" s="22" t="b">
        <v>0</v>
      </c>
      <c r="J353" s="22" t="b">
        <v>0</v>
      </c>
      <c r="K353" s="22" t="b">
        <v>0</v>
      </c>
      <c r="L353" s="22" t="b">
        <v>0</v>
      </c>
      <c r="M353" s="21"/>
      <c r="N353" s="23">
        <v>0</v>
      </c>
      <c r="O353" s="24"/>
      <c r="P353" s="19"/>
      <c r="Q353" s="25"/>
      <c r="R353" s="25"/>
      <c r="S353" s="19"/>
      <c r="T353" s="26"/>
      <c r="U353" s="30" t="s">
        <v>34</v>
      </c>
      <c r="V353" s="28" t="s">
        <v>233</v>
      </c>
      <c r="W353" s="29" t="s">
        <v>26</v>
      </c>
    </row>
    <row r="354" spans="1:23" ht="30" customHeight="1">
      <c r="A354" s="19" t="s">
        <v>5581</v>
      </c>
      <c r="B354" s="19" t="s">
        <v>5569</v>
      </c>
      <c r="C354" s="19"/>
      <c r="D354" s="19" t="s">
        <v>1497</v>
      </c>
      <c r="E354" s="20" t="s">
        <v>1498</v>
      </c>
      <c r="F354" s="19"/>
      <c r="G354" s="21" t="s">
        <v>22</v>
      </c>
      <c r="H354" s="22" t="b">
        <v>0</v>
      </c>
      <c r="I354" s="22" t="b">
        <v>0</v>
      </c>
      <c r="J354" s="22" t="b">
        <v>0</v>
      </c>
      <c r="K354" s="22" t="b">
        <v>0</v>
      </c>
      <c r="L354" s="22" t="b">
        <v>0</v>
      </c>
      <c r="M354" s="21"/>
      <c r="N354" s="23">
        <v>0</v>
      </c>
      <c r="O354" s="24"/>
      <c r="P354" s="19"/>
      <c r="Q354" s="25"/>
      <c r="R354" s="25"/>
      <c r="S354" s="19"/>
      <c r="T354" s="26"/>
      <c r="U354" s="27" t="s">
        <v>21</v>
      </c>
      <c r="V354" s="28" t="s">
        <v>296</v>
      </c>
      <c r="W354" s="29" t="s">
        <v>26</v>
      </c>
    </row>
    <row r="355" spans="1:23" ht="30" customHeight="1">
      <c r="A355" s="19" t="s">
        <v>5581</v>
      </c>
      <c r="B355" s="19" t="s">
        <v>5569</v>
      </c>
      <c r="C355" s="19"/>
      <c r="D355" s="19" t="s">
        <v>1500</v>
      </c>
      <c r="E355" s="20" t="s">
        <v>1501</v>
      </c>
      <c r="F355" s="19"/>
      <c r="G355" s="21" t="s">
        <v>22</v>
      </c>
      <c r="H355" s="22" t="b">
        <v>0</v>
      </c>
      <c r="I355" s="22" t="b">
        <v>0</v>
      </c>
      <c r="J355" s="22" t="b">
        <v>0</v>
      </c>
      <c r="K355" s="22" t="b">
        <v>0</v>
      </c>
      <c r="L355" s="22" t="b">
        <v>0</v>
      </c>
      <c r="M355" s="21"/>
      <c r="N355" s="23">
        <v>0</v>
      </c>
      <c r="O355" s="24"/>
      <c r="P355" s="19"/>
      <c r="Q355" s="25"/>
      <c r="R355" s="25"/>
      <c r="S355" s="19"/>
      <c r="T355" s="26"/>
      <c r="U355" s="27" t="s">
        <v>21</v>
      </c>
      <c r="V355" s="28" t="s">
        <v>1366</v>
      </c>
      <c r="W355" s="29" t="s">
        <v>26</v>
      </c>
    </row>
    <row r="356" spans="1:23" ht="30" customHeight="1">
      <c r="A356" s="19" t="s">
        <v>5581</v>
      </c>
      <c r="B356" s="19" t="s">
        <v>5569</v>
      </c>
      <c r="C356" s="19"/>
      <c r="D356" s="19" t="s">
        <v>1503</v>
      </c>
      <c r="E356" s="20" t="s">
        <v>1504</v>
      </c>
      <c r="F356" s="19"/>
      <c r="G356" s="21" t="s">
        <v>22</v>
      </c>
      <c r="H356" s="22" t="b">
        <v>0</v>
      </c>
      <c r="I356" s="22" t="b">
        <v>0</v>
      </c>
      <c r="J356" s="22" t="b">
        <v>0</v>
      </c>
      <c r="K356" s="22" t="b">
        <v>0</v>
      </c>
      <c r="L356" s="22" t="b">
        <v>0</v>
      </c>
      <c r="M356" s="21"/>
      <c r="N356" s="23">
        <v>0</v>
      </c>
      <c r="O356" s="24"/>
      <c r="P356" s="19"/>
      <c r="Q356" s="25"/>
      <c r="R356" s="25"/>
      <c r="S356" s="19"/>
      <c r="T356" s="26"/>
      <c r="U356" s="30" t="s">
        <v>34</v>
      </c>
      <c r="V356" s="28" t="s">
        <v>1505</v>
      </c>
      <c r="W356" s="29" t="s">
        <v>26</v>
      </c>
    </row>
    <row r="357" spans="1:23" ht="30" customHeight="1">
      <c r="A357" s="19" t="s">
        <v>5581</v>
      </c>
      <c r="B357" s="19" t="s">
        <v>5569</v>
      </c>
      <c r="C357" s="19"/>
      <c r="D357" s="19" t="s">
        <v>1507</v>
      </c>
      <c r="E357" s="20" t="s">
        <v>1508</v>
      </c>
      <c r="F357" s="19"/>
      <c r="G357" s="21" t="s">
        <v>22</v>
      </c>
      <c r="H357" s="22" t="b">
        <v>0</v>
      </c>
      <c r="I357" s="22" t="b">
        <v>0</v>
      </c>
      <c r="J357" s="22" t="b">
        <v>0</v>
      </c>
      <c r="K357" s="22" t="b">
        <v>0</v>
      </c>
      <c r="L357" s="22" t="b">
        <v>0</v>
      </c>
      <c r="M357" s="21"/>
      <c r="N357" s="23">
        <v>0</v>
      </c>
      <c r="O357" s="24"/>
      <c r="P357" s="19"/>
      <c r="Q357" s="25"/>
      <c r="R357" s="25"/>
      <c r="S357" s="19"/>
      <c r="T357" s="26"/>
      <c r="U357" s="30" t="s">
        <v>34</v>
      </c>
      <c r="V357" s="28" t="s">
        <v>1509</v>
      </c>
      <c r="W357" s="29" t="s">
        <v>26</v>
      </c>
    </row>
    <row r="358" spans="1:23" ht="30" customHeight="1">
      <c r="A358" s="19" t="s">
        <v>5581</v>
      </c>
      <c r="B358" s="19" t="s">
        <v>5569</v>
      </c>
      <c r="C358" s="19"/>
      <c r="D358" s="19" t="s">
        <v>1512</v>
      </c>
      <c r="E358" s="20" t="s">
        <v>1513</v>
      </c>
      <c r="F358" s="19"/>
      <c r="G358" s="21" t="s">
        <v>22</v>
      </c>
      <c r="H358" s="22" t="b">
        <v>0</v>
      </c>
      <c r="I358" s="22" t="b">
        <v>0</v>
      </c>
      <c r="J358" s="22" t="b">
        <v>0</v>
      </c>
      <c r="K358" s="22" t="b">
        <v>0</v>
      </c>
      <c r="L358" s="22" t="b">
        <v>0</v>
      </c>
      <c r="M358" s="21"/>
      <c r="N358" s="23">
        <v>0</v>
      </c>
      <c r="O358" s="24"/>
      <c r="P358" s="19"/>
      <c r="Q358" s="25"/>
      <c r="R358" s="25"/>
      <c r="S358" s="19"/>
      <c r="T358" s="26"/>
      <c r="U358" s="27" t="s">
        <v>21</v>
      </c>
      <c r="V358" s="28" t="s">
        <v>1514</v>
      </c>
      <c r="W358" s="29" t="s">
        <v>26</v>
      </c>
    </row>
    <row r="359" spans="1:23" ht="30" customHeight="1">
      <c r="A359" s="19" t="s">
        <v>5581</v>
      </c>
      <c r="B359" s="19" t="s">
        <v>5569</v>
      </c>
      <c r="C359" s="19"/>
      <c r="D359" s="19" t="s">
        <v>1516</v>
      </c>
      <c r="E359" s="20" t="s">
        <v>1517</v>
      </c>
      <c r="F359" s="19"/>
      <c r="G359" s="21" t="s">
        <v>22</v>
      </c>
      <c r="H359" s="22" t="b">
        <v>0</v>
      </c>
      <c r="I359" s="22" t="b">
        <v>0</v>
      </c>
      <c r="J359" s="22" t="b">
        <v>0</v>
      </c>
      <c r="K359" s="22" t="b">
        <v>0</v>
      </c>
      <c r="L359" s="22" t="b">
        <v>0</v>
      </c>
      <c r="M359" s="21"/>
      <c r="N359" s="23">
        <v>0</v>
      </c>
      <c r="O359" s="24"/>
      <c r="P359" s="19"/>
      <c r="Q359" s="25"/>
      <c r="R359" s="25"/>
      <c r="S359" s="19"/>
      <c r="T359" s="26"/>
      <c r="U359" s="27" t="s">
        <v>21</v>
      </c>
      <c r="V359" s="28" t="s">
        <v>1518</v>
      </c>
      <c r="W359" s="29" t="s">
        <v>26</v>
      </c>
    </row>
    <row r="360" spans="1:23" ht="30" customHeight="1">
      <c r="A360" s="19" t="s">
        <v>5581</v>
      </c>
      <c r="B360" s="19" t="s">
        <v>5569</v>
      </c>
      <c r="C360" s="19"/>
      <c r="D360" s="19" t="s">
        <v>1520</v>
      </c>
      <c r="E360" s="20" t="s">
        <v>1521</v>
      </c>
      <c r="F360" s="19"/>
      <c r="G360" s="21" t="s">
        <v>29</v>
      </c>
      <c r="H360" s="22" t="b">
        <v>0</v>
      </c>
      <c r="I360" s="22" t="b">
        <v>0</v>
      </c>
      <c r="J360" s="22" t="b">
        <v>0</v>
      </c>
      <c r="K360" s="22" t="b">
        <v>0</v>
      </c>
      <c r="L360" s="22" t="b">
        <v>0</v>
      </c>
      <c r="M360" s="21"/>
      <c r="N360" s="23">
        <v>0</v>
      </c>
      <c r="O360" s="24"/>
      <c r="P360" s="19"/>
      <c r="Q360" s="25"/>
      <c r="R360" s="25"/>
      <c r="S360" s="19"/>
      <c r="T360" s="26"/>
      <c r="U360" s="27" t="s">
        <v>21</v>
      </c>
      <c r="V360" s="28" t="s">
        <v>1462</v>
      </c>
      <c r="W360" s="29" t="s">
        <v>26</v>
      </c>
    </row>
    <row r="361" spans="1:23" ht="30" customHeight="1">
      <c r="A361" s="19" t="s">
        <v>5581</v>
      </c>
      <c r="B361" s="19" t="s">
        <v>5569</v>
      </c>
      <c r="C361" s="19"/>
      <c r="D361" s="19" t="s">
        <v>1523</v>
      </c>
      <c r="E361" s="20" t="s">
        <v>1524</v>
      </c>
      <c r="F361" s="19"/>
      <c r="G361" s="21" t="s">
        <v>22</v>
      </c>
      <c r="H361" s="22" t="b">
        <v>0</v>
      </c>
      <c r="I361" s="22" t="b">
        <v>0</v>
      </c>
      <c r="J361" s="22" t="b">
        <v>0</v>
      </c>
      <c r="K361" s="22" t="b">
        <v>0</v>
      </c>
      <c r="L361" s="22" t="b">
        <v>0</v>
      </c>
      <c r="M361" s="21"/>
      <c r="N361" s="23">
        <v>0</v>
      </c>
      <c r="O361" s="24"/>
      <c r="P361" s="19"/>
      <c r="Q361" s="25"/>
      <c r="R361" s="25"/>
      <c r="S361" s="19"/>
      <c r="T361" s="26"/>
      <c r="U361" s="27" t="s">
        <v>21</v>
      </c>
      <c r="V361" s="28" t="s">
        <v>1462</v>
      </c>
      <c r="W361" s="29" t="s">
        <v>26</v>
      </c>
    </row>
    <row r="362" spans="1:23" ht="30" customHeight="1">
      <c r="A362" s="19" t="s">
        <v>5581</v>
      </c>
      <c r="B362" s="19" t="s">
        <v>5569</v>
      </c>
      <c r="C362" s="19"/>
      <c r="D362" s="19" t="s">
        <v>1526</v>
      </c>
      <c r="E362" s="20" t="s">
        <v>1527</v>
      </c>
      <c r="F362" s="19"/>
      <c r="G362" s="21" t="s">
        <v>22</v>
      </c>
      <c r="H362" s="22" t="b">
        <v>0</v>
      </c>
      <c r="I362" s="22" t="b">
        <v>0</v>
      </c>
      <c r="J362" s="22" t="b">
        <v>0</v>
      </c>
      <c r="K362" s="22" t="b">
        <v>0</v>
      </c>
      <c r="L362" s="22" t="b">
        <v>0</v>
      </c>
      <c r="M362" s="21"/>
      <c r="N362" s="23">
        <v>0</v>
      </c>
      <c r="O362" s="24"/>
      <c r="P362" s="19"/>
      <c r="Q362" s="25"/>
      <c r="R362" s="25"/>
      <c r="S362" s="19"/>
      <c r="T362" s="26"/>
      <c r="U362" s="27" t="s">
        <v>21</v>
      </c>
      <c r="V362" s="28" t="s">
        <v>1528</v>
      </c>
      <c r="W362" s="29" t="s">
        <v>26</v>
      </c>
    </row>
    <row r="363" spans="1:23" ht="30" customHeight="1">
      <c r="A363" s="19" t="s">
        <v>5581</v>
      </c>
      <c r="B363" s="19" t="s">
        <v>5569</v>
      </c>
      <c r="C363" s="19"/>
      <c r="D363" s="19" t="s">
        <v>1530</v>
      </c>
      <c r="E363" s="20" t="s">
        <v>1531</v>
      </c>
      <c r="F363" s="19"/>
      <c r="G363" s="21" t="s">
        <v>22</v>
      </c>
      <c r="H363" s="22" t="b">
        <v>0</v>
      </c>
      <c r="I363" s="22" t="b">
        <v>0</v>
      </c>
      <c r="J363" s="22" t="b">
        <v>0</v>
      </c>
      <c r="K363" s="22" t="b">
        <v>0</v>
      </c>
      <c r="L363" s="22" t="b">
        <v>0</v>
      </c>
      <c r="M363" s="21"/>
      <c r="N363" s="23">
        <v>0</v>
      </c>
      <c r="O363" s="24"/>
      <c r="P363" s="19"/>
      <c r="Q363" s="25"/>
      <c r="R363" s="25"/>
      <c r="S363" s="19"/>
      <c r="T363" s="26"/>
      <c r="U363" s="27" t="s">
        <v>21</v>
      </c>
      <c r="V363" s="28" t="s">
        <v>1532</v>
      </c>
      <c r="W363" s="29" t="s">
        <v>26</v>
      </c>
    </row>
    <row r="364" spans="1:23" ht="30" customHeight="1">
      <c r="A364" s="19" t="s">
        <v>5581</v>
      </c>
      <c r="B364" s="19" t="s">
        <v>5569</v>
      </c>
      <c r="C364" s="19"/>
      <c r="D364" s="19" t="s">
        <v>1534</v>
      </c>
      <c r="E364" s="20" t="s">
        <v>1535</v>
      </c>
      <c r="F364" s="19"/>
      <c r="G364" s="21" t="s">
        <v>156</v>
      </c>
      <c r="H364" s="22" t="b">
        <v>0</v>
      </c>
      <c r="I364" s="22" t="b">
        <v>0</v>
      </c>
      <c r="J364" s="22" t="b">
        <v>0</v>
      </c>
      <c r="K364" s="22" t="b">
        <v>0</v>
      </c>
      <c r="L364" s="22" t="b">
        <v>0</v>
      </c>
      <c r="M364" s="21"/>
      <c r="N364" s="23">
        <v>0</v>
      </c>
      <c r="O364" s="24"/>
      <c r="P364" s="19"/>
      <c r="Q364" s="25"/>
      <c r="R364" s="25"/>
      <c r="S364" s="19"/>
      <c r="T364" s="26"/>
      <c r="U364" s="27" t="s">
        <v>21</v>
      </c>
      <c r="V364" s="28" t="s">
        <v>1536</v>
      </c>
      <c r="W364" s="29" t="s">
        <v>26</v>
      </c>
    </row>
    <row r="365" spans="1:23" ht="30" customHeight="1">
      <c r="A365" s="19" t="s">
        <v>5581</v>
      </c>
      <c r="B365" s="19" t="s">
        <v>5569</v>
      </c>
      <c r="C365" s="19"/>
      <c r="D365" s="19" t="s">
        <v>1538</v>
      </c>
      <c r="E365" s="20" t="s">
        <v>1539</v>
      </c>
      <c r="F365" s="19"/>
      <c r="G365" s="21" t="s">
        <v>22</v>
      </c>
      <c r="H365" s="22" t="b">
        <v>0</v>
      </c>
      <c r="I365" s="22" t="b">
        <v>0</v>
      </c>
      <c r="J365" s="22" t="b">
        <v>0</v>
      </c>
      <c r="K365" s="22" t="b">
        <v>0</v>
      </c>
      <c r="L365" s="22" t="b">
        <v>0</v>
      </c>
      <c r="M365" s="21"/>
      <c r="N365" s="23">
        <v>0</v>
      </c>
      <c r="O365" s="24"/>
      <c r="P365" s="19"/>
      <c r="Q365" s="25"/>
      <c r="R365" s="25"/>
      <c r="S365" s="19"/>
      <c r="T365" s="26"/>
      <c r="U365" s="27" t="s">
        <v>21</v>
      </c>
      <c r="V365" s="28" t="s">
        <v>1540</v>
      </c>
      <c r="W365" s="29" t="s">
        <v>26</v>
      </c>
    </row>
    <row r="366" spans="1:23" ht="30" customHeight="1">
      <c r="A366" s="19" t="s">
        <v>5581</v>
      </c>
      <c r="B366" s="19" t="s">
        <v>5569</v>
      </c>
      <c r="C366" s="19"/>
      <c r="D366" s="19" t="s">
        <v>1542</v>
      </c>
      <c r="E366" s="20" t="s">
        <v>1543</v>
      </c>
      <c r="F366" s="19"/>
      <c r="G366" s="21" t="s">
        <v>22</v>
      </c>
      <c r="H366" s="22" t="b">
        <v>0</v>
      </c>
      <c r="I366" s="22" t="b">
        <v>0</v>
      </c>
      <c r="J366" s="22" t="b">
        <v>0</v>
      </c>
      <c r="K366" s="22" t="b">
        <v>0</v>
      </c>
      <c r="L366" s="22" t="b">
        <v>0</v>
      </c>
      <c r="M366" s="21"/>
      <c r="N366" s="23">
        <v>0</v>
      </c>
      <c r="O366" s="24"/>
      <c r="P366" s="19"/>
      <c r="Q366" s="25"/>
      <c r="R366" s="25"/>
      <c r="S366" s="19"/>
      <c r="T366" s="26"/>
      <c r="U366" s="27" t="s">
        <v>21</v>
      </c>
      <c r="V366" s="28" t="s">
        <v>1361</v>
      </c>
      <c r="W366" s="29" t="s">
        <v>26</v>
      </c>
    </row>
    <row r="367" spans="1:23" ht="30" customHeight="1">
      <c r="A367" s="19" t="s">
        <v>5581</v>
      </c>
      <c r="B367" s="19" t="s">
        <v>5569</v>
      </c>
      <c r="C367" s="19"/>
      <c r="D367" s="19" t="s">
        <v>1546</v>
      </c>
      <c r="E367" s="20" t="s">
        <v>1547</v>
      </c>
      <c r="F367" s="19"/>
      <c r="G367" s="21" t="s">
        <v>22</v>
      </c>
      <c r="H367" s="22" t="b">
        <v>0</v>
      </c>
      <c r="I367" s="22" t="b">
        <v>0</v>
      </c>
      <c r="J367" s="22" t="b">
        <v>0</v>
      </c>
      <c r="K367" s="22" t="b">
        <v>0</v>
      </c>
      <c r="L367" s="22" t="b">
        <v>0</v>
      </c>
      <c r="M367" s="21"/>
      <c r="N367" s="23">
        <v>0</v>
      </c>
      <c r="O367" s="24"/>
      <c r="P367" s="19"/>
      <c r="Q367" s="25"/>
      <c r="R367" s="25"/>
      <c r="S367" s="19"/>
      <c r="T367" s="26"/>
      <c r="U367" s="30" t="s">
        <v>34</v>
      </c>
      <c r="V367" s="28" t="s">
        <v>1548</v>
      </c>
      <c r="W367" s="29" t="s">
        <v>26</v>
      </c>
    </row>
    <row r="368" spans="1:23" ht="30" customHeight="1">
      <c r="A368" s="19" t="s">
        <v>5581</v>
      </c>
      <c r="B368" s="19" t="s">
        <v>5569</v>
      </c>
      <c r="C368" s="19"/>
      <c r="D368" s="19" t="s">
        <v>1550</v>
      </c>
      <c r="E368" s="20" t="s">
        <v>1551</v>
      </c>
      <c r="F368" s="19"/>
      <c r="G368" s="21" t="s">
        <v>22</v>
      </c>
      <c r="H368" s="22" t="b">
        <v>0</v>
      </c>
      <c r="I368" s="22" t="b">
        <v>0</v>
      </c>
      <c r="J368" s="22" t="b">
        <v>0</v>
      </c>
      <c r="K368" s="22" t="b">
        <v>0</v>
      </c>
      <c r="L368" s="22" t="b">
        <v>0</v>
      </c>
      <c r="M368" s="21"/>
      <c r="N368" s="23">
        <v>0</v>
      </c>
      <c r="O368" s="24"/>
      <c r="P368" s="19"/>
      <c r="Q368" s="25"/>
      <c r="R368" s="25"/>
      <c r="S368" s="19"/>
      <c r="T368" s="26"/>
      <c r="U368" s="27" t="s">
        <v>21</v>
      </c>
      <c r="V368" s="28" t="s">
        <v>1552</v>
      </c>
      <c r="W368" s="29" t="s">
        <v>26</v>
      </c>
    </row>
    <row r="369" spans="1:23" ht="30" customHeight="1">
      <c r="A369" s="19" t="s">
        <v>5581</v>
      </c>
      <c r="B369" s="19" t="s">
        <v>5569</v>
      </c>
      <c r="C369" s="19"/>
      <c r="D369" s="19" t="s">
        <v>1555</v>
      </c>
      <c r="E369" s="20" t="s">
        <v>1556</v>
      </c>
      <c r="F369" s="19"/>
      <c r="G369" s="21" t="s">
        <v>22</v>
      </c>
      <c r="H369" s="22" t="b">
        <v>0</v>
      </c>
      <c r="I369" s="22" t="b">
        <v>0</v>
      </c>
      <c r="J369" s="22" t="b">
        <v>0</v>
      </c>
      <c r="K369" s="22" t="b">
        <v>0</v>
      </c>
      <c r="L369" s="22" t="b">
        <v>0</v>
      </c>
      <c r="M369" s="21"/>
      <c r="N369" s="23">
        <v>0</v>
      </c>
      <c r="O369" s="24"/>
      <c r="P369" s="19"/>
      <c r="Q369" s="25"/>
      <c r="R369" s="25"/>
      <c r="S369" s="19"/>
      <c r="T369" s="26"/>
      <c r="U369" s="27" t="s">
        <v>21</v>
      </c>
      <c r="V369" s="28" t="s">
        <v>1557</v>
      </c>
      <c r="W369" s="29" t="s">
        <v>26</v>
      </c>
    </row>
    <row r="370" spans="1:23" ht="30" customHeight="1">
      <c r="A370" s="19" t="s">
        <v>5581</v>
      </c>
      <c r="B370" s="19" t="s">
        <v>5569</v>
      </c>
      <c r="C370" s="19"/>
      <c r="D370" s="19" t="s">
        <v>1560</v>
      </c>
      <c r="E370" s="20" t="s">
        <v>1561</v>
      </c>
      <c r="F370" s="19"/>
      <c r="G370" s="21" t="s">
        <v>22</v>
      </c>
      <c r="H370" s="22" t="b">
        <v>0</v>
      </c>
      <c r="I370" s="22" t="b">
        <v>0</v>
      </c>
      <c r="J370" s="22" t="b">
        <v>0</v>
      </c>
      <c r="K370" s="22" t="b">
        <v>0</v>
      </c>
      <c r="L370" s="22" t="b">
        <v>0</v>
      </c>
      <c r="M370" s="21"/>
      <c r="N370" s="23">
        <v>0</v>
      </c>
      <c r="O370" s="24"/>
      <c r="P370" s="19"/>
      <c r="Q370" s="25"/>
      <c r="R370" s="25"/>
      <c r="S370" s="19"/>
      <c r="T370" s="26"/>
      <c r="U370" s="27" t="s">
        <v>21</v>
      </c>
      <c r="V370" s="28" t="s">
        <v>913</v>
      </c>
      <c r="W370" s="29" t="s">
        <v>26</v>
      </c>
    </row>
    <row r="371" spans="1:23" ht="30" customHeight="1">
      <c r="A371" s="19" t="s">
        <v>5581</v>
      </c>
      <c r="B371" s="19" t="s">
        <v>5569</v>
      </c>
      <c r="C371" s="19"/>
      <c r="D371" s="19" t="s">
        <v>1563</v>
      </c>
      <c r="E371" s="20" t="s">
        <v>1564</v>
      </c>
      <c r="F371" s="19"/>
      <c r="G371" s="21" t="s">
        <v>22</v>
      </c>
      <c r="H371" s="22" t="b">
        <v>0</v>
      </c>
      <c r="I371" s="22" t="b">
        <v>0</v>
      </c>
      <c r="J371" s="22" t="b">
        <v>0</v>
      </c>
      <c r="K371" s="22" t="b">
        <v>0</v>
      </c>
      <c r="L371" s="22" t="b">
        <v>0</v>
      </c>
      <c r="M371" s="21"/>
      <c r="N371" s="23">
        <v>0</v>
      </c>
      <c r="O371" s="24"/>
      <c r="P371" s="19"/>
      <c r="Q371" s="25"/>
      <c r="R371" s="25"/>
      <c r="S371" s="19"/>
      <c r="T371" s="26"/>
      <c r="U371" s="27" t="s">
        <v>21</v>
      </c>
      <c r="V371" s="28" t="s">
        <v>1565</v>
      </c>
      <c r="W371" s="29" t="s">
        <v>26</v>
      </c>
    </row>
    <row r="372" spans="1:23" ht="30" customHeight="1">
      <c r="A372" s="19" t="s">
        <v>5581</v>
      </c>
      <c r="B372" s="19" t="s">
        <v>5569</v>
      </c>
      <c r="C372" s="19"/>
      <c r="D372" s="19" t="s">
        <v>1568</v>
      </c>
      <c r="E372" s="20" t="s">
        <v>1569</v>
      </c>
      <c r="F372" s="19"/>
      <c r="G372" s="21" t="s">
        <v>22</v>
      </c>
      <c r="H372" s="22" t="b">
        <v>0</v>
      </c>
      <c r="I372" s="22" t="b">
        <v>0</v>
      </c>
      <c r="J372" s="22" t="b">
        <v>0</v>
      </c>
      <c r="K372" s="22" t="b">
        <v>0</v>
      </c>
      <c r="L372" s="22" t="b">
        <v>0</v>
      </c>
      <c r="M372" s="21"/>
      <c r="N372" s="23">
        <v>0</v>
      </c>
      <c r="O372" s="24"/>
      <c r="P372" s="19"/>
      <c r="Q372" s="25"/>
      <c r="R372" s="25"/>
      <c r="S372" s="19"/>
      <c r="T372" s="26"/>
      <c r="U372" s="27" t="s">
        <v>21</v>
      </c>
      <c r="V372" s="28" t="s">
        <v>913</v>
      </c>
      <c r="W372" s="29" t="s">
        <v>26</v>
      </c>
    </row>
    <row r="373" spans="1:23" ht="30" customHeight="1">
      <c r="A373" s="19" t="s">
        <v>5581</v>
      </c>
      <c r="B373" s="19" t="s">
        <v>5569</v>
      </c>
      <c r="C373" s="19"/>
      <c r="D373" s="19" t="s">
        <v>1571</v>
      </c>
      <c r="E373" s="20" t="s">
        <v>1572</v>
      </c>
      <c r="F373" s="19"/>
      <c r="G373" s="21" t="s">
        <v>22</v>
      </c>
      <c r="H373" s="22" t="b">
        <v>0</v>
      </c>
      <c r="I373" s="22" t="b">
        <v>0</v>
      </c>
      <c r="J373" s="22" t="b">
        <v>0</v>
      </c>
      <c r="K373" s="22" t="b">
        <v>0</v>
      </c>
      <c r="L373" s="22" t="b">
        <v>0</v>
      </c>
      <c r="M373" s="21"/>
      <c r="N373" s="23">
        <v>0</v>
      </c>
      <c r="O373" s="24"/>
      <c r="P373" s="19"/>
      <c r="Q373" s="25"/>
      <c r="R373" s="25"/>
      <c r="S373" s="19"/>
      <c r="T373" s="26"/>
      <c r="U373" s="30" t="s">
        <v>34</v>
      </c>
      <c r="V373" s="28" t="s">
        <v>1548</v>
      </c>
      <c r="W373" s="29" t="s">
        <v>26</v>
      </c>
    </row>
    <row r="374" spans="1:23" ht="30" customHeight="1">
      <c r="A374" s="19" t="s">
        <v>5581</v>
      </c>
      <c r="B374" s="19" t="s">
        <v>5569</v>
      </c>
      <c r="C374" s="19"/>
      <c r="D374" s="19" t="s">
        <v>1574</v>
      </c>
      <c r="E374" s="20" t="s">
        <v>1575</v>
      </c>
      <c r="F374" s="19"/>
      <c r="G374" s="21" t="s">
        <v>22</v>
      </c>
      <c r="H374" s="22" t="b">
        <v>0</v>
      </c>
      <c r="I374" s="22" t="b">
        <v>0</v>
      </c>
      <c r="J374" s="22" t="b">
        <v>0</v>
      </c>
      <c r="K374" s="22" t="b">
        <v>0</v>
      </c>
      <c r="L374" s="22" t="b">
        <v>0</v>
      </c>
      <c r="M374" s="21"/>
      <c r="N374" s="23">
        <v>0</v>
      </c>
      <c r="O374" s="24"/>
      <c r="P374" s="19"/>
      <c r="Q374" s="25"/>
      <c r="R374" s="25"/>
      <c r="S374" s="19"/>
      <c r="T374" s="26"/>
      <c r="U374" s="27" t="s">
        <v>21</v>
      </c>
      <c r="V374" s="28" t="s">
        <v>1576</v>
      </c>
      <c r="W374" s="29" t="s">
        <v>26</v>
      </c>
    </row>
    <row r="375" spans="1:23" ht="30" customHeight="1">
      <c r="A375" s="19" t="s">
        <v>5581</v>
      </c>
      <c r="B375" s="19" t="s">
        <v>5569</v>
      </c>
      <c r="C375" s="19"/>
      <c r="D375" s="19" t="s">
        <v>1578</v>
      </c>
      <c r="E375" s="20" t="s">
        <v>1579</v>
      </c>
      <c r="F375" s="19"/>
      <c r="G375" s="21" t="s">
        <v>22</v>
      </c>
      <c r="H375" s="22" t="b">
        <v>0</v>
      </c>
      <c r="I375" s="22" t="b">
        <v>0</v>
      </c>
      <c r="J375" s="22" t="b">
        <v>0</v>
      </c>
      <c r="K375" s="22" t="b">
        <v>0</v>
      </c>
      <c r="L375" s="22" t="b">
        <v>0</v>
      </c>
      <c r="M375" s="21"/>
      <c r="N375" s="23">
        <v>0</v>
      </c>
      <c r="O375" s="24"/>
      <c r="P375" s="19"/>
      <c r="Q375" s="25"/>
      <c r="R375" s="25"/>
      <c r="S375" s="19"/>
      <c r="T375" s="26"/>
      <c r="U375" s="27" t="s">
        <v>21</v>
      </c>
      <c r="V375" s="28" t="s">
        <v>913</v>
      </c>
      <c r="W375" s="29" t="s">
        <v>26</v>
      </c>
    </row>
    <row r="376" spans="1:23" ht="30" customHeight="1">
      <c r="A376" s="19" t="s">
        <v>5581</v>
      </c>
      <c r="B376" s="19" t="s">
        <v>5569</v>
      </c>
      <c r="C376" s="19"/>
      <c r="D376" s="19" t="s">
        <v>1581</v>
      </c>
      <c r="E376" s="20" t="s">
        <v>1582</v>
      </c>
      <c r="F376" s="19"/>
      <c r="G376" s="21" t="s">
        <v>22</v>
      </c>
      <c r="H376" s="22" t="b">
        <v>0</v>
      </c>
      <c r="I376" s="22" t="b">
        <v>0</v>
      </c>
      <c r="J376" s="22" t="b">
        <v>0</v>
      </c>
      <c r="K376" s="22" t="b">
        <v>0</v>
      </c>
      <c r="L376" s="22" t="b">
        <v>0</v>
      </c>
      <c r="M376" s="21"/>
      <c r="N376" s="23">
        <v>0</v>
      </c>
      <c r="O376" s="24"/>
      <c r="P376" s="19"/>
      <c r="Q376" s="25"/>
      <c r="R376" s="25"/>
      <c r="S376" s="19"/>
      <c r="T376" s="26"/>
      <c r="U376" s="27" t="s">
        <v>21</v>
      </c>
      <c r="V376" s="28" t="s">
        <v>913</v>
      </c>
      <c r="W376" s="29" t="s">
        <v>26</v>
      </c>
    </row>
    <row r="377" spans="1:23" ht="30" customHeight="1">
      <c r="A377" s="19" t="s">
        <v>5581</v>
      </c>
      <c r="B377" s="19" t="s">
        <v>5569</v>
      </c>
      <c r="C377" s="19"/>
      <c r="D377" s="19" t="s">
        <v>1584</v>
      </c>
      <c r="E377" s="20" t="s">
        <v>1585</v>
      </c>
      <c r="F377" s="19"/>
      <c r="G377" s="21" t="s">
        <v>22</v>
      </c>
      <c r="H377" s="22" t="b">
        <v>0</v>
      </c>
      <c r="I377" s="22" t="b">
        <v>0</v>
      </c>
      <c r="J377" s="22" t="b">
        <v>0</v>
      </c>
      <c r="K377" s="22" t="b">
        <v>0</v>
      </c>
      <c r="L377" s="22" t="b">
        <v>0</v>
      </c>
      <c r="M377" s="21"/>
      <c r="N377" s="23">
        <v>0</v>
      </c>
      <c r="O377" s="24"/>
      <c r="P377" s="19"/>
      <c r="Q377" s="25"/>
      <c r="R377" s="25"/>
      <c r="S377" s="19"/>
      <c r="T377" s="26"/>
      <c r="U377" s="30" t="s">
        <v>34</v>
      </c>
      <c r="V377" s="28" t="s">
        <v>233</v>
      </c>
      <c r="W377" s="29" t="s">
        <v>26</v>
      </c>
    </row>
    <row r="378" spans="1:23" ht="30" customHeight="1">
      <c r="A378" s="19" t="s">
        <v>5581</v>
      </c>
      <c r="B378" s="19" t="s">
        <v>5569</v>
      </c>
      <c r="C378" s="19"/>
      <c r="D378" s="19" t="s">
        <v>1587</v>
      </c>
      <c r="E378" s="20" t="s">
        <v>1588</v>
      </c>
      <c r="F378" s="19"/>
      <c r="G378" s="21" t="s">
        <v>22</v>
      </c>
      <c r="H378" s="22" t="b">
        <v>0</v>
      </c>
      <c r="I378" s="22" t="b">
        <v>0</v>
      </c>
      <c r="J378" s="22" t="b">
        <v>0</v>
      </c>
      <c r="K378" s="22" t="b">
        <v>0</v>
      </c>
      <c r="L378" s="22" t="b">
        <v>0</v>
      </c>
      <c r="M378" s="21"/>
      <c r="N378" s="23">
        <v>0</v>
      </c>
      <c r="O378" s="24"/>
      <c r="P378" s="19"/>
      <c r="Q378" s="25"/>
      <c r="R378" s="25"/>
      <c r="S378" s="19"/>
      <c r="T378" s="26"/>
      <c r="U378" s="27" t="s">
        <v>21</v>
      </c>
      <c r="V378" s="28" t="s">
        <v>1296</v>
      </c>
      <c r="W378" s="29" t="s">
        <v>26</v>
      </c>
    </row>
    <row r="379" spans="1:23" ht="30" customHeight="1">
      <c r="A379" s="19" t="s">
        <v>5581</v>
      </c>
      <c r="B379" s="19" t="s">
        <v>5569</v>
      </c>
      <c r="C379" s="19"/>
      <c r="D379" s="19" t="s">
        <v>1591</v>
      </c>
      <c r="E379" s="20" t="s">
        <v>1592</v>
      </c>
      <c r="F379" s="19"/>
      <c r="G379" s="21" t="s">
        <v>22</v>
      </c>
      <c r="H379" s="22" t="b">
        <v>0</v>
      </c>
      <c r="I379" s="22" t="b">
        <v>0</v>
      </c>
      <c r="J379" s="22" t="b">
        <v>0</v>
      </c>
      <c r="K379" s="22" t="b">
        <v>0</v>
      </c>
      <c r="L379" s="22" t="b">
        <v>0</v>
      </c>
      <c r="M379" s="21"/>
      <c r="N379" s="23">
        <v>0</v>
      </c>
      <c r="O379" s="24"/>
      <c r="P379" s="19"/>
      <c r="Q379" s="25"/>
      <c r="R379" s="25"/>
      <c r="S379" s="19"/>
      <c r="T379" s="26"/>
      <c r="U379" s="27" t="s">
        <v>21</v>
      </c>
      <c r="V379" s="28" t="s">
        <v>1593</v>
      </c>
      <c r="W379" s="29" t="s">
        <v>26</v>
      </c>
    </row>
    <row r="380" spans="1:23" ht="30" customHeight="1">
      <c r="A380" s="19" t="s">
        <v>5581</v>
      </c>
      <c r="B380" s="19" t="s">
        <v>5569</v>
      </c>
      <c r="C380" s="19"/>
      <c r="D380" s="19" t="s">
        <v>1595</v>
      </c>
      <c r="E380" s="20" t="s">
        <v>1596</v>
      </c>
      <c r="F380" s="19"/>
      <c r="G380" s="21" t="s">
        <v>22</v>
      </c>
      <c r="H380" s="22" t="b">
        <v>0</v>
      </c>
      <c r="I380" s="22" t="b">
        <v>0</v>
      </c>
      <c r="J380" s="22" t="b">
        <v>0</v>
      </c>
      <c r="K380" s="22" t="b">
        <v>0</v>
      </c>
      <c r="L380" s="22" t="b">
        <v>0</v>
      </c>
      <c r="M380" s="21"/>
      <c r="N380" s="23">
        <v>0</v>
      </c>
      <c r="O380" s="24"/>
      <c r="P380" s="19"/>
      <c r="Q380" s="25"/>
      <c r="R380" s="25"/>
      <c r="S380" s="19"/>
      <c r="T380" s="26"/>
      <c r="U380" s="27" t="s">
        <v>21</v>
      </c>
      <c r="V380" s="28" t="s">
        <v>1597</v>
      </c>
      <c r="W380" s="29" t="s">
        <v>26</v>
      </c>
    </row>
    <row r="381" spans="1:23" ht="30" customHeight="1">
      <c r="A381" s="19" t="s">
        <v>5581</v>
      </c>
      <c r="B381" s="19" t="s">
        <v>5569</v>
      </c>
      <c r="C381" s="19"/>
      <c r="D381" s="19" t="s">
        <v>1599</v>
      </c>
      <c r="E381" s="20" t="s">
        <v>1600</v>
      </c>
      <c r="F381" s="19"/>
      <c r="G381" s="21" t="s">
        <v>22</v>
      </c>
      <c r="H381" s="22" t="b">
        <v>0</v>
      </c>
      <c r="I381" s="22" t="b">
        <v>0</v>
      </c>
      <c r="J381" s="22" t="b">
        <v>0</v>
      </c>
      <c r="K381" s="22" t="b">
        <v>0</v>
      </c>
      <c r="L381" s="22" t="b">
        <v>0</v>
      </c>
      <c r="M381" s="21"/>
      <c r="N381" s="23">
        <v>0</v>
      </c>
      <c r="O381" s="24"/>
      <c r="P381" s="19"/>
      <c r="Q381" s="25"/>
      <c r="R381" s="25"/>
      <c r="S381" s="19"/>
      <c r="T381" s="26"/>
      <c r="U381" s="27" t="s">
        <v>21</v>
      </c>
      <c r="V381" s="28" t="s">
        <v>1601</v>
      </c>
      <c r="W381" s="29" t="s">
        <v>26</v>
      </c>
    </row>
    <row r="382" spans="1:23" ht="30" customHeight="1">
      <c r="A382" s="19" t="s">
        <v>5581</v>
      </c>
      <c r="B382" s="19" t="s">
        <v>5569</v>
      </c>
      <c r="C382" s="19"/>
      <c r="D382" s="19" t="s">
        <v>1604</v>
      </c>
      <c r="E382" s="20" t="s">
        <v>1605</v>
      </c>
      <c r="F382" s="19"/>
      <c r="G382" s="21" t="s">
        <v>22</v>
      </c>
      <c r="H382" s="22" t="b">
        <v>0</v>
      </c>
      <c r="I382" s="22" t="b">
        <v>0</v>
      </c>
      <c r="J382" s="22" t="b">
        <v>0</v>
      </c>
      <c r="K382" s="22" t="b">
        <v>0</v>
      </c>
      <c r="L382" s="22" t="b">
        <v>0</v>
      </c>
      <c r="M382" s="21"/>
      <c r="N382" s="23">
        <v>0</v>
      </c>
      <c r="O382" s="24"/>
      <c r="P382" s="19"/>
      <c r="Q382" s="25"/>
      <c r="R382" s="25"/>
      <c r="S382" s="19"/>
      <c r="T382" s="26"/>
      <c r="U382" s="27" t="s">
        <v>21</v>
      </c>
      <c r="V382" s="28" t="s">
        <v>1466</v>
      </c>
      <c r="W382" s="29" t="s">
        <v>26</v>
      </c>
    </row>
    <row r="383" spans="1:23" ht="30" customHeight="1">
      <c r="A383" s="19" t="s">
        <v>5581</v>
      </c>
      <c r="B383" s="19" t="s">
        <v>5569</v>
      </c>
      <c r="C383" s="19"/>
      <c r="D383" s="19" t="s">
        <v>1607</v>
      </c>
      <c r="E383" s="20" t="s">
        <v>1608</v>
      </c>
      <c r="F383" s="19"/>
      <c r="G383" s="21" t="s">
        <v>22</v>
      </c>
      <c r="H383" s="22" t="b">
        <v>0</v>
      </c>
      <c r="I383" s="22" t="b">
        <v>0</v>
      </c>
      <c r="J383" s="22" t="b">
        <v>0</v>
      </c>
      <c r="K383" s="22" t="b">
        <v>0</v>
      </c>
      <c r="L383" s="22" t="b">
        <v>0</v>
      </c>
      <c r="M383" s="21"/>
      <c r="N383" s="23">
        <v>0</v>
      </c>
      <c r="O383" s="24"/>
      <c r="P383" s="19"/>
      <c r="Q383" s="25"/>
      <c r="R383" s="25"/>
      <c r="S383" s="19"/>
      <c r="T383" s="26"/>
      <c r="U383" s="30" t="s">
        <v>34</v>
      </c>
      <c r="V383" s="28" t="s">
        <v>1609</v>
      </c>
      <c r="W383" s="29" t="s">
        <v>26</v>
      </c>
    </row>
    <row r="384" spans="1:23" ht="30" customHeight="1">
      <c r="A384" s="19" t="s">
        <v>5581</v>
      </c>
      <c r="B384" s="19" t="s">
        <v>5569</v>
      </c>
      <c r="C384" s="19"/>
      <c r="D384" s="19" t="s">
        <v>1611</v>
      </c>
      <c r="E384" s="20" t="s">
        <v>1612</v>
      </c>
      <c r="F384" s="19"/>
      <c r="G384" s="21" t="s">
        <v>29</v>
      </c>
      <c r="H384" s="22" t="b">
        <v>0</v>
      </c>
      <c r="I384" s="22" t="b">
        <v>0</v>
      </c>
      <c r="J384" s="22" t="b">
        <v>0</v>
      </c>
      <c r="K384" s="22" t="b">
        <v>0</v>
      </c>
      <c r="L384" s="22" t="b">
        <v>0</v>
      </c>
      <c r="M384" s="21"/>
      <c r="N384" s="23">
        <v>0</v>
      </c>
      <c r="O384" s="24"/>
      <c r="P384" s="19"/>
      <c r="Q384" s="25"/>
      <c r="R384" s="25"/>
      <c r="S384" s="19"/>
      <c r="T384" s="26"/>
      <c r="U384" s="30" t="s">
        <v>34</v>
      </c>
      <c r="V384" s="28" t="s">
        <v>233</v>
      </c>
      <c r="W384" s="29" t="s">
        <v>26</v>
      </c>
    </row>
    <row r="385" spans="1:23" ht="30" customHeight="1">
      <c r="A385" s="19" t="s">
        <v>5581</v>
      </c>
      <c r="B385" s="19" t="s">
        <v>5569</v>
      </c>
      <c r="C385" s="19"/>
      <c r="D385" s="19" t="s">
        <v>1614</v>
      </c>
      <c r="E385" s="20" t="s">
        <v>1615</v>
      </c>
      <c r="F385" s="19"/>
      <c r="G385" s="21" t="s">
        <v>22</v>
      </c>
      <c r="H385" s="22" t="b">
        <v>0</v>
      </c>
      <c r="I385" s="22" t="b">
        <v>0</v>
      </c>
      <c r="J385" s="22" t="b">
        <v>0</v>
      </c>
      <c r="K385" s="22" t="b">
        <v>0</v>
      </c>
      <c r="L385" s="22" t="b">
        <v>0</v>
      </c>
      <c r="M385" s="21"/>
      <c r="N385" s="23">
        <v>0</v>
      </c>
      <c r="O385" s="24"/>
      <c r="P385" s="19"/>
      <c r="Q385" s="25"/>
      <c r="R385" s="25"/>
      <c r="S385" s="19"/>
      <c r="T385" s="26"/>
      <c r="U385" s="30" t="s">
        <v>34</v>
      </c>
      <c r="V385" s="28" t="s">
        <v>904</v>
      </c>
      <c r="W385" s="29" t="s">
        <v>26</v>
      </c>
    </row>
    <row r="386" spans="1:23" ht="30" customHeight="1">
      <c r="A386" s="19" t="s">
        <v>5581</v>
      </c>
      <c r="B386" s="19" t="s">
        <v>5569</v>
      </c>
      <c r="C386" s="19"/>
      <c r="D386" s="19" t="s">
        <v>1617</v>
      </c>
      <c r="E386" s="20" t="s">
        <v>1618</v>
      </c>
      <c r="F386" s="19"/>
      <c r="G386" s="21" t="s">
        <v>22</v>
      </c>
      <c r="H386" s="22" t="b">
        <v>0</v>
      </c>
      <c r="I386" s="22" t="b">
        <v>0</v>
      </c>
      <c r="J386" s="22" t="b">
        <v>0</v>
      </c>
      <c r="K386" s="22" t="b">
        <v>0</v>
      </c>
      <c r="L386" s="22" t="b">
        <v>0</v>
      </c>
      <c r="M386" s="21"/>
      <c r="N386" s="23">
        <v>0</v>
      </c>
      <c r="O386" s="24"/>
      <c r="P386" s="19"/>
      <c r="Q386" s="25"/>
      <c r="R386" s="25"/>
      <c r="S386" s="19"/>
      <c r="T386" s="26"/>
      <c r="U386" s="27" t="s">
        <v>21</v>
      </c>
      <c r="V386" s="28" t="s">
        <v>1016</v>
      </c>
      <c r="W386" s="29" t="s">
        <v>26</v>
      </c>
    </row>
    <row r="387" spans="1:23" ht="30" customHeight="1">
      <c r="A387" s="19" t="s">
        <v>5581</v>
      </c>
      <c r="B387" s="19" t="s">
        <v>5569</v>
      </c>
      <c r="C387" s="19"/>
      <c r="D387" s="19" t="s">
        <v>1620</v>
      </c>
      <c r="E387" s="20" t="s">
        <v>1621</v>
      </c>
      <c r="F387" s="19"/>
      <c r="G387" s="21" t="s">
        <v>22</v>
      </c>
      <c r="H387" s="22" t="b">
        <v>0</v>
      </c>
      <c r="I387" s="22" t="b">
        <v>0</v>
      </c>
      <c r="J387" s="22" t="b">
        <v>0</v>
      </c>
      <c r="K387" s="22" t="b">
        <v>0</v>
      </c>
      <c r="L387" s="22" t="b">
        <v>0</v>
      </c>
      <c r="M387" s="21"/>
      <c r="N387" s="23">
        <v>0</v>
      </c>
      <c r="O387" s="24"/>
      <c r="P387" s="19"/>
      <c r="Q387" s="25"/>
      <c r="R387" s="25"/>
      <c r="S387" s="19"/>
      <c r="T387" s="26"/>
      <c r="U387" s="27" t="s">
        <v>21</v>
      </c>
      <c r="V387" s="28" t="s">
        <v>1622</v>
      </c>
      <c r="W387" s="29" t="s">
        <v>26</v>
      </c>
    </row>
    <row r="388" spans="1:23" ht="30" customHeight="1">
      <c r="A388" s="19" t="s">
        <v>5581</v>
      </c>
      <c r="B388" s="19" t="s">
        <v>5569</v>
      </c>
      <c r="C388" s="19"/>
      <c r="D388" s="19" t="s">
        <v>1624</v>
      </c>
      <c r="E388" s="20" t="s">
        <v>1625</v>
      </c>
      <c r="F388" s="19"/>
      <c r="G388" s="21" t="s">
        <v>22</v>
      </c>
      <c r="H388" s="22" t="b">
        <v>0</v>
      </c>
      <c r="I388" s="22" t="b">
        <v>0</v>
      </c>
      <c r="J388" s="22" t="b">
        <v>0</v>
      </c>
      <c r="K388" s="22" t="b">
        <v>0</v>
      </c>
      <c r="L388" s="22" t="b">
        <v>0</v>
      </c>
      <c r="M388" s="21"/>
      <c r="N388" s="23">
        <v>0</v>
      </c>
      <c r="O388" s="24"/>
      <c r="P388" s="19"/>
      <c r="Q388" s="25"/>
      <c r="R388" s="25"/>
      <c r="S388" s="19"/>
      <c r="T388" s="26"/>
      <c r="U388" s="27" t="s">
        <v>21</v>
      </c>
      <c r="V388" s="28" t="s">
        <v>1626</v>
      </c>
      <c r="W388" s="29" t="s">
        <v>26</v>
      </c>
    </row>
    <row r="389" spans="1:23" ht="30" customHeight="1">
      <c r="A389" s="19" t="s">
        <v>5581</v>
      </c>
      <c r="B389" s="19" t="s">
        <v>5569</v>
      </c>
      <c r="C389" s="19"/>
      <c r="D389" s="19" t="s">
        <v>1628</v>
      </c>
      <c r="E389" s="20" t="s">
        <v>1629</v>
      </c>
      <c r="F389" s="19"/>
      <c r="G389" s="21" t="s">
        <v>22</v>
      </c>
      <c r="H389" s="22" t="b">
        <v>0</v>
      </c>
      <c r="I389" s="22" t="b">
        <v>0</v>
      </c>
      <c r="J389" s="22" t="b">
        <v>0</v>
      </c>
      <c r="K389" s="22" t="b">
        <v>0</v>
      </c>
      <c r="L389" s="22" t="b">
        <v>0</v>
      </c>
      <c r="M389" s="21"/>
      <c r="N389" s="23">
        <v>0</v>
      </c>
      <c r="O389" s="24"/>
      <c r="P389" s="19"/>
      <c r="Q389" s="25"/>
      <c r="R389" s="25"/>
      <c r="S389" s="19"/>
      <c r="T389" s="26"/>
      <c r="U389" s="27" t="s">
        <v>21</v>
      </c>
      <c r="V389" s="28" t="s">
        <v>1630</v>
      </c>
      <c r="W389" s="29" t="s">
        <v>26</v>
      </c>
    </row>
    <row r="390" spans="1:23" ht="30" customHeight="1">
      <c r="A390" s="19" t="s">
        <v>5581</v>
      </c>
      <c r="B390" s="19" t="s">
        <v>5569</v>
      </c>
      <c r="C390" s="19"/>
      <c r="D390" s="19" t="s">
        <v>1632</v>
      </c>
      <c r="E390" s="20" t="s">
        <v>1633</v>
      </c>
      <c r="F390" s="19"/>
      <c r="G390" s="21" t="s">
        <v>29</v>
      </c>
      <c r="H390" s="22" t="b">
        <v>0</v>
      </c>
      <c r="I390" s="22" t="b">
        <v>0</v>
      </c>
      <c r="J390" s="22" t="b">
        <v>0</v>
      </c>
      <c r="K390" s="22" t="b">
        <v>0</v>
      </c>
      <c r="L390" s="22" t="b">
        <v>0</v>
      </c>
      <c r="M390" s="21"/>
      <c r="N390" s="23">
        <v>0</v>
      </c>
      <c r="O390" s="24"/>
      <c r="P390" s="19"/>
      <c r="Q390" s="25"/>
      <c r="R390" s="25"/>
      <c r="S390" s="19"/>
      <c r="T390" s="26"/>
      <c r="U390" s="30" t="s">
        <v>34</v>
      </c>
      <c r="V390" s="28" t="s">
        <v>233</v>
      </c>
      <c r="W390" s="29" t="s">
        <v>26</v>
      </c>
    </row>
    <row r="391" spans="1:23" ht="30" customHeight="1">
      <c r="A391" s="19" t="s">
        <v>5581</v>
      </c>
      <c r="B391" s="19" t="s">
        <v>5569</v>
      </c>
      <c r="C391" s="19"/>
      <c r="D391" s="19" t="s">
        <v>1635</v>
      </c>
      <c r="E391" s="20" t="s">
        <v>1636</v>
      </c>
      <c r="F391" s="19"/>
      <c r="G391" s="21" t="s">
        <v>22</v>
      </c>
      <c r="H391" s="22" t="b">
        <v>0</v>
      </c>
      <c r="I391" s="22" t="b">
        <v>0</v>
      </c>
      <c r="J391" s="22" t="b">
        <v>0</v>
      </c>
      <c r="K391" s="22" t="b">
        <v>0</v>
      </c>
      <c r="L391" s="22" t="b">
        <v>0</v>
      </c>
      <c r="M391" s="21"/>
      <c r="N391" s="23">
        <v>0</v>
      </c>
      <c r="O391" s="24"/>
      <c r="P391" s="19"/>
      <c r="Q391" s="25"/>
      <c r="R391" s="25"/>
      <c r="S391" s="19"/>
      <c r="T391" s="26"/>
      <c r="U391" s="30" t="s">
        <v>34</v>
      </c>
      <c r="V391" s="28" t="s">
        <v>233</v>
      </c>
      <c r="W391" s="29" t="s">
        <v>26</v>
      </c>
    </row>
    <row r="392" spans="1:23" ht="30" customHeight="1">
      <c r="A392" s="19" t="s">
        <v>5581</v>
      </c>
      <c r="B392" s="19" t="s">
        <v>5569</v>
      </c>
      <c r="C392" s="19"/>
      <c r="D392" s="19" t="s">
        <v>1638</v>
      </c>
      <c r="E392" s="20" t="s">
        <v>1639</v>
      </c>
      <c r="F392" s="19"/>
      <c r="G392" s="21" t="s">
        <v>22</v>
      </c>
      <c r="H392" s="22" t="b">
        <v>0</v>
      </c>
      <c r="I392" s="22" t="b">
        <v>0</v>
      </c>
      <c r="J392" s="22" t="b">
        <v>0</v>
      </c>
      <c r="K392" s="22" t="b">
        <v>0</v>
      </c>
      <c r="L392" s="22" t="b">
        <v>0</v>
      </c>
      <c r="M392" s="21"/>
      <c r="N392" s="23">
        <v>0</v>
      </c>
      <c r="O392" s="24"/>
      <c r="P392" s="19"/>
      <c r="Q392" s="25"/>
      <c r="R392" s="25"/>
      <c r="S392" s="19"/>
      <c r="T392" s="26"/>
      <c r="U392" s="27" t="s">
        <v>21</v>
      </c>
      <c r="V392" s="28" t="s">
        <v>1016</v>
      </c>
      <c r="W392" s="29" t="s">
        <v>26</v>
      </c>
    </row>
    <row r="393" spans="1:23" ht="30" customHeight="1">
      <c r="A393" s="19" t="s">
        <v>5581</v>
      </c>
      <c r="B393" s="19" t="s">
        <v>5569</v>
      </c>
      <c r="C393" s="19"/>
      <c r="D393" s="19" t="s">
        <v>1641</v>
      </c>
      <c r="E393" s="20" t="s">
        <v>1642</v>
      </c>
      <c r="F393" s="19"/>
      <c r="G393" s="21" t="s">
        <v>22</v>
      </c>
      <c r="H393" s="22" t="b">
        <v>0</v>
      </c>
      <c r="I393" s="22" t="b">
        <v>0</v>
      </c>
      <c r="J393" s="22" t="b">
        <v>0</v>
      </c>
      <c r="K393" s="22" t="b">
        <v>0</v>
      </c>
      <c r="L393" s="22" t="b">
        <v>0</v>
      </c>
      <c r="M393" s="21"/>
      <c r="N393" s="23">
        <v>0</v>
      </c>
      <c r="O393" s="24"/>
      <c r="P393" s="19"/>
      <c r="Q393" s="25"/>
      <c r="R393" s="25"/>
      <c r="S393" s="19"/>
      <c r="T393" s="26"/>
      <c r="U393" s="30" t="s">
        <v>34</v>
      </c>
      <c r="V393" s="28" t="s">
        <v>1643</v>
      </c>
      <c r="W393" s="29" t="s">
        <v>26</v>
      </c>
    </row>
    <row r="394" spans="1:23" ht="30" customHeight="1">
      <c r="A394" s="19" t="s">
        <v>5581</v>
      </c>
      <c r="B394" s="19" t="s">
        <v>5569</v>
      </c>
      <c r="C394" s="19"/>
      <c r="D394" s="19" t="s">
        <v>1645</v>
      </c>
      <c r="E394" s="20" t="s">
        <v>1646</v>
      </c>
      <c r="F394" s="19"/>
      <c r="G394" s="21" t="s">
        <v>22</v>
      </c>
      <c r="H394" s="22" t="b">
        <v>0</v>
      </c>
      <c r="I394" s="22" t="b">
        <v>0</v>
      </c>
      <c r="J394" s="22" t="b">
        <v>0</v>
      </c>
      <c r="K394" s="22" t="b">
        <v>0</v>
      </c>
      <c r="L394" s="22" t="b">
        <v>0</v>
      </c>
      <c r="M394" s="21"/>
      <c r="N394" s="23">
        <v>0</v>
      </c>
      <c r="O394" s="24"/>
      <c r="P394" s="19"/>
      <c r="Q394" s="25"/>
      <c r="R394" s="25"/>
      <c r="S394" s="19"/>
      <c r="T394" s="26"/>
      <c r="U394" s="27" t="s">
        <v>21</v>
      </c>
      <c r="V394" s="28" t="s">
        <v>1016</v>
      </c>
      <c r="W394" s="29" t="s">
        <v>26</v>
      </c>
    </row>
    <row r="395" spans="1:23" ht="30" customHeight="1">
      <c r="A395" s="19" t="s">
        <v>5581</v>
      </c>
      <c r="B395" s="19" t="s">
        <v>5569</v>
      </c>
      <c r="C395" s="19"/>
      <c r="D395" s="19" t="s">
        <v>1648</v>
      </c>
      <c r="E395" s="20" t="s">
        <v>1649</v>
      </c>
      <c r="F395" s="19"/>
      <c r="G395" s="21" t="s">
        <v>22</v>
      </c>
      <c r="H395" s="22" t="b">
        <v>0</v>
      </c>
      <c r="I395" s="22" t="b">
        <v>0</v>
      </c>
      <c r="J395" s="22" t="b">
        <v>0</v>
      </c>
      <c r="K395" s="22" t="b">
        <v>0</v>
      </c>
      <c r="L395" s="22" t="b">
        <v>0</v>
      </c>
      <c r="M395" s="21"/>
      <c r="N395" s="23">
        <v>0</v>
      </c>
      <c r="O395" s="24"/>
      <c r="P395" s="19"/>
      <c r="Q395" s="25"/>
      <c r="R395" s="25"/>
      <c r="S395" s="19"/>
      <c r="T395" s="26"/>
      <c r="U395" s="27" t="s">
        <v>21</v>
      </c>
      <c r="V395" s="28" t="s">
        <v>1650</v>
      </c>
      <c r="W395" s="29" t="s">
        <v>26</v>
      </c>
    </row>
    <row r="396" spans="1:23" ht="30" customHeight="1">
      <c r="A396" s="19" t="s">
        <v>5581</v>
      </c>
      <c r="B396" s="19" t="s">
        <v>5569</v>
      </c>
      <c r="C396" s="19"/>
      <c r="D396" s="19" t="s">
        <v>1652</v>
      </c>
      <c r="E396" s="20" t="s">
        <v>1653</v>
      </c>
      <c r="F396" s="19"/>
      <c r="G396" s="21" t="s">
        <v>22</v>
      </c>
      <c r="H396" s="22" t="b">
        <v>0</v>
      </c>
      <c r="I396" s="22" t="b">
        <v>0</v>
      </c>
      <c r="J396" s="22" t="b">
        <v>0</v>
      </c>
      <c r="K396" s="22" t="b">
        <v>0</v>
      </c>
      <c r="L396" s="22" t="b">
        <v>0</v>
      </c>
      <c r="M396" s="21"/>
      <c r="N396" s="23">
        <v>0</v>
      </c>
      <c r="O396" s="24"/>
      <c r="P396" s="19"/>
      <c r="Q396" s="25"/>
      <c r="R396" s="25"/>
      <c r="S396" s="19"/>
      <c r="T396" s="26"/>
      <c r="U396" s="27" t="s">
        <v>21</v>
      </c>
      <c r="V396" s="28" t="s">
        <v>192</v>
      </c>
      <c r="W396" s="29" t="s">
        <v>26</v>
      </c>
    </row>
    <row r="397" spans="1:23" ht="30" customHeight="1">
      <c r="A397" s="19" t="s">
        <v>5581</v>
      </c>
      <c r="B397" s="19" t="s">
        <v>5569</v>
      </c>
      <c r="C397" s="19"/>
      <c r="D397" s="19" t="s">
        <v>1655</v>
      </c>
      <c r="E397" s="20" t="s">
        <v>1656</v>
      </c>
      <c r="F397" s="19"/>
      <c r="G397" s="21" t="s">
        <v>22</v>
      </c>
      <c r="H397" s="22" t="b">
        <v>0</v>
      </c>
      <c r="I397" s="22" t="b">
        <v>0</v>
      </c>
      <c r="J397" s="22" t="b">
        <v>0</v>
      </c>
      <c r="K397" s="22" t="b">
        <v>0</v>
      </c>
      <c r="L397" s="22" t="b">
        <v>0</v>
      </c>
      <c r="M397" s="21"/>
      <c r="N397" s="23">
        <v>0</v>
      </c>
      <c r="O397" s="24"/>
      <c r="P397" s="19"/>
      <c r="Q397" s="25"/>
      <c r="R397" s="25"/>
      <c r="S397" s="19"/>
      <c r="T397" s="26"/>
      <c r="U397" s="27" t="s">
        <v>21</v>
      </c>
      <c r="V397" s="28" t="s">
        <v>1657</v>
      </c>
      <c r="W397" s="29" t="s">
        <v>26</v>
      </c>
    </row>
    <row r="398" spans="1:23" ht="30" customHeight="1">
      <c r="A398" s="19" t="s">
        <v>5581</v>
      </c>
      <c r="B398" s="19" t="s">
        <v>5569</v>
      </c>
      <c r="C398" s="19"/>
      <c r="D398" s="19" t="s">
        <v>1659</v>
      </c>
      <c r="E398" s="20" t="s">
        <v>1660</v>
      </c>
      <c r="F398" s="19"/>
      <c r="G398" s="21" t="s">
        <v>22</v>
      </c>
      <c r="H398" s="22" t="b">
        <v>0</v>
      </c>
      <c r="I398" s="22" t="b">
        <v>0</v>
      </c>
      <c r="J398" s="22" t="b">
        <v>0</v>
      </c>
      <c r="K398" s="22" t="b">
        <v>0</v>
      </c>
      <c r="L398" s="22" t="b">
        <v>0</v>
      </c>
      <c r="M398" s="21"/>
      <c r="N398" s="23">
        <v>0</v>
      </c>
      <c r="O398" s="24"/>
      <c r="P398" s="19"/>
      <c r="Q398" s="25"/>
      <c r="R398" s="25"/>
      <c r="S398" s="19"/>
      <c r="T398" s="26"/>
      <c r="U398" s="27" t="s">
        <v>21</v>
      </c>
      <c r="V398" s="28" t="s">
        <v>913</v>
      </c>
      <c r="W398" s="29" t="s">
        <v>26</v>
      </c>
    </row>
    <row r="399" spans="1:23" ht="30" customHeight="1">
      <c r="A399" s="19" t="s">
        <v>5581</v>
      </c>
      <c r="B399" s="19" t="s">
        <v>5569</v>
      </c>
      <c r="C399" s="19"/>
      <c r="D399" s="19" t="s">
        <v>1663</v>
      </c>
      <c r="E399" s="20" t="s">
        <v>1664</v>
      </c>
      <c r="F399" s="19"/>
      <c r="G399" s="21" t="s">
        <v>22</v>
      </c>
      <c r="H399" s="22" t="b">
        <v>0</v>
      </c>
      <c r="I399" s="22" t="b">
        <v>0</v>
      </c>
      <c r="J399" s="22" t="b">
        <v>0</v>
      </c>
      <c r="K399" s="22" t="b">
        <v>0</v>
      </c>
      <c r="L399" s="22" t="b">
        <v>0</v>
      </c>
      <c r="M399" s="21"/>
      <c r="N399" s="23">
        <v>0</v>
      </c>
      <c r="O399" s="24"/>
      <c r="P399" s="19"/>
      <c r="Q399" s="25"/>
      <c r="R399" s="25"/>
      <c r="S399" s="19"/>
      <c r="T399" s="26"/>
      <c r="U399" s="30" t="s">
        <v>34</v>
      </c>
      <c r="V399" s="28" t="s">
        <v>1548</v>
      </c>
      <c r="W399" s="29" t="s">
        <v>26</v>
      </c>
    </row>
    <row r="400" spans="1:23" ht="30" customHeight="1">
      <c r="A400" s="19" t="s">
        <v>5581</v>
      </c>
      <c r="B400" s="19" t="s">
        <v>5569</v>
      </c>
      <c r="C400" s="19"/>
      <c r="D400" s="19" t="s">
        <v>1666</v>
      </c>
      <c r="E400" s="20" t="s">
        <v>1667</v>
      </c>
      <c r="F400" s="19"/>
      <c r="G400" s="21" t="s">
        <v>22</v>
      </c>
      <c r="H400" s="22" t="b">
        <v>0</v>
      </c>
      <c r="I400" s="22" t="b">
        <v>0</v>
      </c>
      <c r="J400" s="22" t="b">
        <v>0</v>
      </c>
      <c r="K400" s="22" t="b">
        <v>0</v>
      </c>
      <c r="L400" s="22" t="b">
        <v>0</v>
      </c>
      <c r="M400" s="21"/>
      <c r="N400" s="23">
        <v>0</v>
      </c>
      <c r="O400" s="24"/>
      <c r="P400" s="19"/>
      <c r="Q400" s="25"/>
      <c r="R400" s="25"/>
      <c r="S400" s="19"/>
      <c r="T400" s="26"/>
      <c r="U400" s="30" t="s">
        <v>34</v>
      </c>
      <c r="V400" s="28" t="s">
        <v>1548</v>
      </c>
      <c r="W400" s="29" t="s">
        <v>26</v>
      </c>
    </row>
    <row r="401" spans="1:23" ht="30" customHeight="1">
      <c r="A401" s="19" t="s">
        <v>5581</v>
      </c>
      <c r="B401" s="19" t="s">
        <v>5569</v>
      </c>
      <c r="C401" s="19"/>
      <c r="D401" s="19" t="s">
        <v>1669</v>
      </c>
      <c r="E401" s="20" t="s">
        <v>1670</v>
      </c>
      <c r="F401" s="19"/>
      <c r="G401" s="21" t="s">
        <v>22</v>
      </c>
      <c r="H401" s="22" t="b">
        <v>0</v>
      </c>
      <c r="I401" s="22" t="b">
        <v>0</v>
      </c>
      <c r="J401" s="22" t="b">
        <v>0</v>
      </c>
      <c r="K401" s="22" t="b">
        <v>0</v>
      </c>
      <c r="L401" s="22" t="b">
        <v>0</v>
      </c>
      <c r="M401" s="21"/>
      <c r="N401" s="23">
        <v>0</v>
      </c>
      <c r="O401" s="24"/>
      <c r="P401" s="19"/>
      <c r="Q401" s="25"/>
      <c r="R401" s="25"/>
      <c r="S401" s="19"/>
      <c r="T401" s="26"/>
      <c r="U401" s="27" t="s">
        <v>21</v>
      </c>
      <c r="V401" s="28" t="s">
        <v>913</v>
      </c>
      <c r="W401" s="29" t="s">
        <v>26</v>
      </c>
    </row>
    <row r="402" spans="1:23" ht="30" customHeight="1">
      <c r="A402" s="19" t="s">
        <v>5581</v>
      </c>
      <c r="B402" s="19" t="s">
        <v>5569</v>
      </c>
      <c r="C402" s="19"/>
      <c r="D402" s="19" t="s">
        <v>1672</v>
      </c>
      <c r="E402" s="20" t="s">
        <v>1673</v>
      </c>
      <c r="F402" s="19"/>
      <c r="G402" s="21" t="s">
        <v>22</v>
      </c>
      <c r="H402" s="22" t="b">
        <v>0</v>
      </c>
      <c r="I402" s="22" t="b">
        <v>0</v>
      </c>
      <c r="J402" s="22" t="b">
        <v>0</v>
      </c>
      <c r="K402" s="22" t="b">
        <v>0</v>
      </c>
      <c r="L402" s="22" t="b">
        <v>0</v>
      </c>
      <c r="M402" s="21"/>
      <c r="N402" s="23">
        <v>0</v>
      </c>
      <c r="O402" s="24"/>
      <c r="P402" s="19"/>
      <c r="Q402" s="25"/>
      <c r="R402" s="25"/>
      <c r="S402" s="19"/>
      <c r="T402" s="26"/>
      <c r="U402" s="30" t="s">
        <v>34</v>
      </c>
      <c r="V402" s="28" t="s">
        <v>904</v>
      </c>
      <c r="W402" s="29" t="s">
        <v>26</v>
      </c>
    </row>
    <row r="403" spans="1:23" ht="30" customHeight="1">
      <c r="A403" s="19" t="s">
        <v>5581</v>
      </c>
      <c r="B403" s="19" t="s">
        <v>5569</v>
      </c>
      <c r="C403" s="19"/>
      <c r="D403" s="19" t="s">
        <v>1675</v>
      </c>
      <c r="E403" s="20" t="s">
        <v>1676</v>
      </c>
      <c r="F403" s="19"/>
      <c r="G403" s="21" t="s">
        <v>22</v>
      </c>
      <c r="H403" s="22" t="b">
        <v>0</v>
      </c>
      <c r="I403" s="22" t="b">
        <v>0</v>
      </c>
      <c r="J403" s="22" t="b">
        <v>0</v>
      </c>
      <c r="K403" s="22" t="b">
        <v>0</v>
      </c>
      <c r="L403" s="22" t="b">
        <v>0</v>
      </c>
      <c r="M403" s="21"/>
      <c r="N403" s="23">
        <v>0</v>
      </c>
      <c r="O403" s="24"/>
      <c r="P403" s="19"/>
      <c r="Q403" s="25"/>
      <c r="R403" s="25"/>
      <c r="S403" s="19"/>
      <c r="T403" s="26"/>
      <c r="U403" s="27" t="s">
        <v>21</v>
      </c>
      <c r="V403" s="28" t="s">
        <v>913</v>
      </c>
      <c r="W403" s="29" t="s">
        <v>26</v>
      </c>
    </row>
    <row r="404" spans="1:23" ht="30" customHeight="1">
      <c r="A404" s="19" t="s">
        <v>5581</v>
      </c>
      <c r="B404" s="19" t="s">
        <v>5569</v>
      </c>
      <c r="C404" s="19"/>
      <c r="D404" s="19" t="s">
        <v>1678</v>
      </c>
      <c r="E404" s="20" t="s">
        <v>1679</v>
      </c>
      <c r="F404" s="19"/>
      <c r="G404" s="21" t="s">
        <v>22</v>
      </c>
      <c r="H404" s="22" t="b">
        <v>0</v>
      </c>
      <c r="I404" s="22" t="b">
        <v>0</v>
      </c>
      <c r="J404" s="22" t="b">
        <v>0</v>
      </c>
      <c r="K404" s="22" t="b">
        <v>0</v>
      </c>
      <c r="L404" s="22" t="b">
        <v>0</v>
      </c>
      <c r="M404" s="21"/>
      <c r="N404" s="23">
        <v>0</v>
      </c>
      <c r="O404" s="24"/>
      <c r="P404" s="19"/>
      <c r="Q404" s="25"/>
      <c r="R404" s="25"/>
      <c r="S404" s="19"/>
      <c r="T404" s="26"/>
      <c r="U404" s="27" t="s">
        <v>21</v>
      </c>
      <c r="V404" s="28" t="s">
        <v>1518</v>
      </c>
      <c r="W404" s="29" t="s">
        <v>26</v>
      </c>
    </row>
    <row r="405" spans="1:23" ht="30" customHeight="1">
      <c r="A405" s="19" t="s">
        <v>5581</v>
      </c>
      <c r="B405" s="19" t="s">
        <v>5569</v>
      </c>
      <c r="C405" s="19"/>
      <c r="D405" s="19" t="s">
        <v>1682</v>
      </c>
      <c r="E405" s="20" t="s">
        <v>1683</v>
      </c>
      <c r="F405" s="19"/>
      <c r="G405" s="21" t="s">
        <v>29</v>
      </c>
      <c r="H405" s="22" t="b">
        <v>0</v>
      </c>
      <c r="I405" s="22" t="b">
        <v>0</v>
      </c>
      <c r="J405" s="22" t="b">
        <v>0</v>
      </c>
      <c r="K405" s="22" t="b">
        <v>0</v>
      </c>
      <c r="L405" s="22" t="b">
        <v>0</v>
      </c>
      <c r="M405" s="21"/>
      <c r="N405" s="23">
        <v>0</v>
      </c>
      <c r="O405" s="24"/>
      <c r="P405" s="19"/>
      <c r="Q405" s="25"/>
      <c r="R405" s="25"/>
      <c r="S405" s="19"/>
      <c r="T405" s="26"/>
      <c r="U405" s="27" t="s">
        <v>21</v>
      </c>
      <c r="V405" s="28" t="s">
        <v>1684</v>
      </c>
      <c r="W405" s="29" t="s">
        <v>26</v>
      </c>
    </row>
    <row r="406" spans="1:23" ht="30" customHeight="1">
      <c r="A406" s="19" t="s">
        <v>5581</v>
      </c>
      <c r="B406" s="19" t="s">
        <v>5569</v>
      </c>
      <c r="C406" s="19"/>
      <c r="D406" s="19" t="s">
        <v>1686</v>
      </c>
      <c r="E406" s="20" t="s">
        <v>1687</v>
      </c>
      <c r="F406" s="19"/>
      <c r="G406" s="21" t="s">
        <v>22</v>
      </c>
      <c r="H406" s="22" t="b">
        <v>0</v>
      </c>
      <c r="I406" s="22" t="b">
        <v>0</v>
      </c>
      <c r="J406" s="22" t="b">
        <v>0</v>
      </c>
      <c r="K406" s="22" t="b">
        <v>0</v>
      </c>
      <c r="L406" s="22" t="b">
        <v>0</v>
      </c>
      <c r="M406" s="21"/>
      <c r="N406" s="23">
        <v>0</v>
      </c>
      <c r="O406" s="24"/>
      <c r="P406" s="19"/>
      <c r="Q406" s="25"/>
      <c r="R406" s="25"/>
      <c r="S406" s="19"/>
      <c r="T406" s="26"/>
      <c r="U406" s="27" t="s">
        <v>21</v>
      </c>
      <c r="V406" s="28" t="s">
        <v>1688</v>
      </c>
      <c r="W406" s="29" t="s">
        <v>26</v>
      </c>
    </row>
    <row r="407" spans="1:23" ht="30" customHeight="1">
      <c r="A407" s="19" t="s">
        <v>5581</v>
      </c>
      <c r="B407" s="19" t="s">
        <v>5569</v>
      </c>
      <c r="C407" s="19"/>
      <c r="D407" s="19" t="s">
        <v>1690</v>
      </c>
      <c r="E407" s="20" t="s">
        <v>1691</v>
      </c>
      <c r="F407" s="19"/>
      <c r="G407" s="21" t="s">
        <v>156</v>
      </c>
      <c r="H407" s="22" t="b">
        <v>0</v>
      </c>
      <c r="I407" s="22" t="b">
        <v>0</v>
      </c>
      <c r="J407" s="22" t="b">
        <v>0</v>
      </c>
      <c r="K407" s="22" t="b">
        <v>0</v>
      </c>
      <c r="L407" s="22" t="b">
        <v>0</v>
      </c>
      <c r="M407" s="21"/>
      <c r="N407" s="23">
        <v>0</v>
      </c>
      <c r="O407" s="24"/>
      <c r="P407" s="19"/>
      <c r="Q407" s="25"/>
      <c r="R407" s="25"/>
      <c r="S407" s="19"/>
      <c r="T407" s="26"/>
      <c r="U407" s="30" t="s">
        <v>34</v>
      </c>
      <c r="V407" s="28" t="s">
        <v>1692</v>
      </c>
      <c r="W407" s="29" t="s">
        <v>26</v>
      </c>
    </row>
    <row r="408" spans="1:23" ht="30" customHeight="1">
      <c r="A408" s="19" t="s">
        <v>5581</v>
      </c>
      <c r="B408" s="19" t="s">
        <v>5569</v>
      </c>
      <c r="C408" s="19"/>
      <c r="D408" s="19" t="s">
        <v>1693</v>
      </c>
      <c r="E408" s="20" t="s">
        <v>1694</v>
      </c>
      <c r="F408" s="19"/>
      <c r="G408" s="21" t="s">
        <v>22</v>
      </c>
      <c r="H408" s="22" t="b">
        <v>0</v>
      </c>
      <c r="I408" s="22" t="b">
        <v>0</v>
      </c>
      <c r="J408" s="22" t="b">
        <v>0</v>
      </c>
      <c r="K408" s="22" t="b">
        <v>0</v>
      </c>
      <c r="L408" s="22" t="b">
        <v>0</v>
      </c>
      <c r="M408" s="21"/>
      <c r="N408" s="23">
        <v>0</v>
      </c>
      <c r="O408" s="24"/>
      <c r="P408" s="19"/>
      <c r="Q408" s="25"/>
      <c r="R408" s="25"/>
      <c r="S408" s="19"/>
      <c r="T408" s="26"/>
      <c r="U408" s="30" t="s">
        <v>34</v>
      </c>
      <c r="V408" s="28" t="s">
        <v>1285</v>
      </c>
      <c r="W408" s="29" t="s">
        <v>26</v>
      </c>
    </row>
    <row r="409" spans="1:23" ht="30" customHeight="1">
      <c r="A409" s="19" t="s">
        <v>5581</v>
      </c>
      <c r="B409" s="19" t="s">
        <v>5569</v>
      </c>
      <c r="C409" s="19"/>
      <c r="D409" s="19" t="s">
        <v>1696</v>
      </c>
      <c r="E409" s="20" t="s">
        <v>1697</v>
      </c>
      <c r="F409" s="19"/>
      <c r="G409" s="21" t="s">
        <v>22</v>
      </c>
      <c r="H409" s="22" t="b">
        <v>0</v>
      </c>
      <c r="I409" s="22" t="b">
        <v>0</v>
      </c>
      <c r="J409" s="22" t="b">
        <v>0</v>
      </c>
      <c r="K409" s="22" t="b">
        <v>0</v>
      </c>
      <c r="L409" s="22" t="b">
        <v>0</v>
      </c>
      <c r="M409" s="21"/>
      <c r="N409" s="23">
        <v>0</v>
      </c>
      <c r="O409" s="24"/>
      <c r="P409" s="19"/>
      <c r="Q409" s="25"/>
      <c r="R409" s="25"/>
      <c r="S409" s="19"/>
      <c r="T409" s="26"/>
      <c r="U409" s="30" t="s">
        <v>34</v>
      </c>
      <c r="V409" s="28" t="s">
        <v>1698</v>
      </c>
      <c r="W409" s="29" t="s">
        <v>26</v>
      </c>
    </row>
    <row r="410" spans="1:23" ht="30" customHeight="1">
      <c r="A410" s="19" t="s">
        <v>5581</v>
      </c>
      <c r="B410" s="19" t="s">
        <v>5569</v>
      </c>
      <c r="C410" s="19"/>
      <c r="D410" s="19" t="s">
        <v>1700</v>
      </c>
      <c r="E410" s="20" t="s">
        <v>1701</v>
      </c>
      <c r="F410" s="19"/>
      <c r="G410" s="21" t="s">
        <v>22</v>
      </c>
      <c r="H410" s="22" t="b">
        <v>0</v>
      </c>
      <c r="I410" s="22" t="b">
        <v>0</v>
      </c>
      <c r="J410" s="22" t="b">
        <v>0</v>
      </c>
      <c r="K410" s="22" t="b">
        <v>0</v>
      </c>
      <c r="L410" s="22" t="b">
        <v>0</v>
      </c>
      <c r="M410" s="21"/>
      <c r="N410" s="23">
        <v>0</v>
      </c>
      <c r="O410" s="24"/>
      <c r="P410" s="19"/>
      <c r="Q410" s="25"/>
      <c r="R410" s="25"/>
      <c r="S410" s="19"/>
      <c r="T410" s="26"/>
      <c r="U410" s="27" t="s">
        <v>21</v>
      </c>
      <c r="V410" s="28" t="s">
        <v>1702</v>
      </c>
      <c r="W410" s="29" t="s">
        <v>26</v>
      </c>
    </row>
    <row r="411" spans="1:23" ht="30" customHeight="1">
      <c r="A411" s="19" t="s">
        <v>5581</v>
      </c>
      <c r="B411" s="19" t="s">
        <v>5569</v>
      </c>
      <c r="C411" s="19"/>
      <c r="D411" s="19" t="s">
        <v>1704</v>
      </c>
      <c r="E411" s="20" t="s">
        <v>1705</v>
      </c>
      <c r="F411" s="19"/>
      <c r="G411" s="21" t="s">
        <v>22</v>
      </c>
      <c r="H411" s="22" t="b">
        <v>0</v>
      </c>
      <c r="I411" s="22" t="b">
        <v>0</v>
      </c>
      <c r="J411" s="22" t="b">
        <v>0</v>
      </c>
      <c r="K411" s="22" t="b">
        <v>0</v>
      </c>
      <c r="L411" s="22" t="b">
        <v>0</v>
      </c>
      <c r="M411" s="21"/>
      <c r="N411" s="23">
        <v>0</v>
      </c>
      <c r="O411" s="24"/>
      <c r="P411" s="19"/>
      <c r="Q411" s="25"/>
      <c r="R411" s="25"/>
      <c r="S411" s="19"/>
      <c r="T411" s="26"/>
      <c r="U411" s="30" t="s">
        <v>34</v>
      </c>
      <c r="V411" s="28" t="s">
        <v>1706</v>
      </c>
      <c r="W411" s="29" t="s">
        <v>26</v>
      </c>
    </row>
    <row r="412" spans="1:23" ht="30" customHeight="1">
      <c r="A412" s="19" t="s">
        <v>5581</v>
      </c>
      <c r="B412" s="19" t="s">
        <v>5569</v>
      </c>
      <c r="C412" s="19"/>
      <c r="D412" s="19" t="s">
        <v>1708</v>
      </c>
      <c r="E412" s="20" t="s">
        <v>1709</v>
      </c>
      <c r="F412" s="19"/>
      <c r="G412" s="21" t="s">
        <v>22</v>
      </c>
      <c r="H412" s="22" t="b">
        <v>0</v>
      </c>
      <c r="I412" s="22" t="b">
        <v>0</v>
      </c>
      <c r="J412" s="22" t="b">
        <v>0</v>
      </c>
      <c r="K412" s="22" t="b">
        <v>0</v>
      </c>
      <c r="L412" s="22" t="b">
        <v>0</v>
      </c>
      <c r="M412" s="21"/>
      <c r="N412" s="23">
        <v>0</v>
      </c>
      <c r="O412" s="24"/>
      <c r="P412" s="19"/>
      <c r="Q412" s="25"/>
      <c r="R412" s="25"/>
      <c r="S412" s="19"/>
      <c r="T412" s="26"/>
      <c r="U412" s="27" t="s">
        <v>21</v>
      </c>
      <c r="V412" s="28" t="s">
        <v>913</v>
      </c>
      <c r="W412" s="29" t="s">
        <v>26</v>
      </c>
    </row>
    <row r="413" spans="1:23" ht="30" customHeight="1">
      <c r="A413" s="19" t="s">
        <v>5581</v>
      </c>
      <c r="B413" s="19" t="s">
        <v>5569</v>
      </c>
      <c r="C413" s="19"/>
      <c r="D413" s="19" t="s">
        <v>1711</v>
      </c>
      <c r="E413" s="20" t="s">
        <v>1712</v>
      </c>
      <c r="F413" s="19"/>
      <c r="G413" s="21" t="s">
        <v>22</v>
      </c>
      <c r="H413" s="22" t="b">
        <v>0</v>
      </c>
      <c r="I413" s="22" t="b">
        <v>0</v>
      </c>
      <c r="J413" s="22" t="b">
        <v>0</v>
      </c>
      <c r="K413" s="22" t="b">
        <v>0</v>
      </c>
      <c r="L413" s="22" t="b">
        <v>0</v>
      </c>
      <c r="M413" s="21"/>
      <c r="N413" s="23">
        <v>0</v>
      </c>
      <c r="O413" s="24"/>
      <c r="P413" s="19"/>
      <c r="Q413" s="25"/>
      <c r="R413" s="25"/>
      <c r="S413" s="19"/>
      <c r="T413" s="26"/>
      <c r="U413" s="27" t="s">
        <v>21</v>
      </c>
      <c r="V413" s="28" t="s">
        <v>913</v>
      </c>
      <c r="W413" s="29" t="s">
        <v>26</v>
      </c>
    </row>
    <row r="414" spans="1:23" ht="30" customHeight="1">
      <c r="A414" s="19" t="s">
        <v>5581</v>
      </c>
      <c r="B414" s="19" t="s">
        <v>5569</v>
      </c>
      <c r="C414" s="19"/>
      <c r="D414" s="19" t="s">
        <v>1714</v>
      </c>
      <c r="E414" s="20" t="s">
        <v>1715</v>
      </c>
      <c r="F414" s="19"/>
      <c r="G414" s="21" t="s">
        <v>22</v>
      </c>
      <c r="H414" s="22" t="b">
        <v>0</v>
      </c>
      <c r="I414" s="22" t="b">
        <v>0</v>
      </c>
      <c r="J414" s="22" t="b">
        <v>0</v>
      </c>
      <c r="K414" s="22" t="b">
        <v>0</v>
      </c>
      <c r="L414" s="22" t="b">
        <v>0</v>
      </c>
      <c r="M414" s="21"/>
      <c r="N414" s="23">
        <v>0</v>
      </c>
      <c r="O414" s="24"/>
      <c r="P414" s="19"/>
      <c r="Q414" s="25"/>
      <c r="R414" s="25"/>
      <c r="S414" s="19"/>
      <c r="T414" s="26"/>
      <c r="U414" s="27" t="s">
        <v>21</v>
      </c>
      <c r="V414" s="28" t="s">
        <v>296</v>
      </c>
      <c r="W414" s="29" t="s">
        <v>26</v>
      </c>
    </row>
    <row r="415" spans="1:23" ht="30" customHeight="1">
      <c r="A415" s="19" t="s">
        <v>5581</v>
      </c>
      <c r="B415" s="19" t="s">
        <v>5569</v>
      </c>
      <c r="C415" s="19"/>
      <c r="D415" s="19" t="s">
        <v>1718</v>
      </c>
      <c r="E415" s="20" t="s">
        <v>109</v>
      </c>
      <c r="F415" s="19"/>
      <c r="G415" s="21" t="s">
        <v>22</v>
      </c>
      <c r="H415" s="22" t="b">
        <v>0</v>
      </c>
      <c r="I415" s="22" t="b">
        <v>0</v>
      </c>
      <c r="J415" s="22" t="b">
        <v>0</v>
      </c>
      <c r="K415" s="22" t="b">
        <v>0</v>
      </c>
      <c r="L415" s="22" t="b">
        <v>0</v>
      </c>
      <c r="M415" s="21"/>
      <c r="N415" s="23">
        <v>0</v>
      </c>
      <c r="O415" s="24"/>
      <c r="P415" s="19"/>
      <c r="Q415" s="25"/>
      <c r="R415" s="25"/>
      <c r="S415" s="19"/>
      <c r="T415" s="26"/>
      <c r="U415" s="31" t="s">
        <v>110</v>
      </c>
      <c r="V415" s="28" t="s">
        <v>1719</v>
      </c>
      <c r="W415" s="29" t="s">
        <v>26</v>
      </c>
    </row>
    <row r="416" spans="1:23" ht="30" customHeight="1">
      <c r="A416" s="19" t="s">
        <v>5581</v>
      </c>
      <c r="B416" s="19" t="s">
        <v>5569</v>
      </c>
      <c r="C416" s="19"/>
      <c r="D416" s="19" t="s">
        <v>1722</v>
      </c>
      <c r="E416" s="20" t="s">
        <v>1723</v>
      </c>
      <c r="F416" s="19"/>
      <c r="G416" s="21" t="s">
        <v>22</v>
      </c>
      <c r="H416" s="22" t="b">
        <v>0</v>
      </c>
      <c r="I416" s="22" t="b">
        <v>0</v>
      </c>
      <c r="J416" s="22" t="b">
        <v>0</v>
      </c>
      <c r="K416" s="22" t="b">
        <v>0</v>
      </c>
      <c r="L416" s="22" t="b">
        <v>0</v>
      </c>
      <c r="M416" s="21"/>
      <c r="N416" s="23">
        <v>0</v>
      </c>
      <c r="O416" s="24"/>
      <c r="P416" s="19"/>
      <c r="Q416" s="25"/>
      <c r="R416" s="25"/>
      <c r="S416" s="19"/>
      <c r="T416" s="26"/>
      <c r="U416" s="30" t="s">
        <v>34</v>
      </c>
      <c r="V416" s="28" t="s">
        <v>1724</v>
      </c>
      <c r="W416" s="29" t="s">
        <v>26</v>
      </c>
    </row>
    <row r="417" spans="1:23" ht="30" customHeight="1">
      <c r="A417" s="19" t="s">
        <v>5581</v>
      </c>
      <c r="B417" s="19" t="s">
        <v>5569</v>
      </c>
      <c r="C417" s="19"/>
      <c r="D417" s="19" t="s">
        <v>1726</v>
      </c>
      <c r="E417" s="20" t="s">
        <v>1727</v>
      </c>
      <c r="F417" s="19"/>
      <c r="G417" s="21" t="s">
        <v>22</v>
      </c>
      <c r="H417" s="22" t="b">
        <v>0</v>
      </c>
      <c r="I417" s="22" t="b">
        <v>0</v>
      </c>
      <c r="J417" s="22" t="b">
        <v>0</v>
      </c>
      <c r="K417" s="22" t="b">
        <v>0</v>
      </c>
      <c r="L417" s="22" t="b">
        <v>0</v>
      </c>
      <c r="M417" s="21"/>
      <c r="N417" s="23">
        <v>0</v>
      </c>
      <c r="O417" s="24"/>
      <c r="P417" s="19"/>
      <c r="Q417" s="25"/>
      <c r="R417" s="25"/>
      <c r="S417" s="19"/>
      <c r="T417" s="26"/>
      <c r="U417" s="27" t="s">
        <v>21</v>
      </c>
      <c r="V417" s="28" t="s">
        <v>913</v>
      </c>
      <c r="W417" s="29" t="s">
        <v>26</v>
      </c>
    </row>
    <row r="418" spans="1:23" ht="30" customHeight="1">
      <c r="A418" s="19" t="s">
        <v>5581</v>
      </c>
      <c r="B418" s="19" t="s">
        <v>5569</v>
      </c>
      <c r="C418" s="19"/>
      <c r="D418" s="19" t="s">
        <v>1729</v>
      </c>
      <c r="E418" s="20" t="s">
        <v>1730</v>
      </c>
      <c r="F418" s="19"/>
      <c r="G418" s="21" t="s">
        <v>22</v>
      </c>
      <c r="H418" s="22" t="b">
        <v>0</v>
      </c>
      <c r="I418" s="22" t="b">
        <v>0</v>
      </c>
      <c r="J418" s="22" t="b">
        <v>0</v>
      </c>
      <c r="K418" s="22" t="b">
        <v>0</v>
      </c>
      <c r="L418" s="22" t="b">
        <v>0</v>
      </c>
      <c r="M418" s="21"/>
      <c r="N418" s="23">
        <v>0</v>
      </c>
      <c r="O418" s="24"/>
      <c r="P418" s="19"/>
      <c r="Q418" s="25"/>
      <c r="R418" s="25"/>
      <c r="S418" s="19"/>
      <c r="T418" s="26"/>
      <c r="U418" s="27" t="s">
        <v>21</v>
      </c>
      <c r="V418" s="28" t="s">
        <v>1731</v>
      </c>
      <c r="W418" s="29" t="s">
        <v>26</v>
      </c>
    </row>
    <row r="419" spans="1:23" ht="30" customHeight="1">
      <c r="A419" s="19" t="s">
        <v>5581</v>
      </c>
      <c r="B419" s="19" t="s">
        <v>5569</v>
      </c>
      <c r="C419" s="19"/>
      <c r="D419" s="19" t="s">
        <v>1733</v>
      </c>
      <c r="E419" s="20" t="s">
        <v>1734</v>
      </c>
      <c r="F419" s="19"/>
      <c r="G419" s="21" t="s">
        <v>22</v>
      </c>
      <c r="H419" s="22" t="b">
        <v>0</v>
      </c>
      <c r="I419" s="22" t="b">
        <v>0</v>
      </c>
      <c r="J419" s="22" t="b">
        <v>0</v>
      </c>
      <c r="K419" s="22" t="b">
        <v>0</v>
      </c>
      <c r="L419" s="22" t="b">
        <v>0</v>
      </c>
      <c r="M419" s="21"/>
      <c r="N419" s="23">
        <v>0</v>
      </c>
      <c r="O419" s="24"/>
      <c r="P419" s="19"/>
      <c r="Q419" s="25"/>
      <c r="R419" s="25"/>
      <c r="S419" s="19"/>
      <c r="T419" s="26"/>
      <c r="U419" s="27" t="s">
        <v>21</v>
      </c>
      <c r="V419" s="28" t="s">
        <v>1735</v>
      </c>
      <c r="W419" s="29" t="s">
        <v>26</v>
      </c>
    </row>
    <row r="420" spans="1:23" ht="30" customHeight="1">
      <c r="A420" s="19" t="s">
        <v>5581</v>
      </c>
      <c r="B420" s="19" t="s">
        <v>5569</v>
      </c>
      <c r="C420" s="19"/>
      <c r="D420" s="19" t="s">
        <v>1737</v>
      </c>
      <c r="E420" s="20" t="s">
        <v>1738</v>
      </c>
      <c r="F420" s="19"/>
      <c r="G420" s="21" t="s">
        <v>22</v>
      </c>
      <c r="H420" s="22" t="b">
        <v>0</v>
      </c>
      <c r="I420" s="22" t="b">
        <v>0</v>
      </c>
      <c r="J420" s="22" t="b">
        <v>0</v>
      </c>
      <c r="K420" s="22" t="b">
        <v>0</v>
      </c>
      <c r="L420" s="22" t="b">
        <v>0</v>
      </c>
      <c r="M420" s="21"/>
      <c r="N420" s="23">
        <v>0</v>
      </c>
      <c r="O420" s="24"/>
      <c r="P420" s="19"/>
      <c r="Q420" s="25"/>
      <c r="R420" s="25"/>
      <c r="S420" s="19"/>
      <c r="T420" s="26"/>
      <c r="U420" s="27" t="s">
        <v>21</v>
      </c>
      <c r="V420" s="28" t="s">
        <v>913</v>
      </c>
      <c r="W420" s="29" t="s">
        <v>26</v>
      </c>
    </row>
    <row r="421" spans="1:23" ht="30" customHeight="1">
      <c r="A421" s="19" t="s">
        <v>5581</v>
      </c>
      <c r="B421" s="19" t="s">
        <v>5569</v>
      </c>
      <c r="C421" s="19"/>
      <c r="D421" s="19" t="s">
        <v>1740</v>
      </c>
      <c r="E421" s="20" t="s">
        <v>1741</v>
      </c>
      <c r="F421" s="19"/>
      <c r="G421" s="21" t="s">
        <v>22</v>
      </c>
      <c r="H421" s="22" t="b">
        <v>0</v>
      </c>
      <c r="I421" s="22" t="b">
        <v>0</v>
      </c>
      <c r="J421" s="22" t="b">
        <v>0</v>
      </c>
      <c r="K421" s="22" t="b">
        <v>0</v>
      </c>
      <c r="L421" s="22" t="b">
        <v>0</v>
      </c>
      <c r="M421" s="21"/>
      <c r="N421" s="23">
        <v>0</v>
      </c>
      <c r="O421" s="24"/>
      <c r="P421" s="19"/>
      <c r="Q421" s="25"/>
      <c r="R421" s="25"/>
      <c r="S421" s="19"/>
      <c r="T421" s="26"/>
      <c r="U421" s="27" t="s">
        <v>21</v>
      </c>
      <c r="V421" s="28" t="s">
        <v>192</v>
      </c>
      <c r="W421" s="29" t="s">
        <v>26</v>
      </c>
    </row>
    <row r="422" spans="1:23" ht="30" customHeight="1">
      <c r="A422" s="19" t="s">
        <v>5581</v>
      </c>
      <c r="B422" s="19" t="s">
        <v>5569</v>
      </c>
      <c r="C422" s="19"/>
      <c r="D422" s="19" t="s">
        <v>1743</v>
      </c>
      <c r="E422" s="20" t="s">
        <v>1744</v>
      </c>
      <c r="F422" s="19"/>
      <c r="G422" s="21" t="s">
        <v>22</v>
      </c>
      <c r="H422" s="22" t="b">
        <v>0</v>
      </c>
      <c r="I422" s="22" t="b">
        <v>0</v>
      </c>
      <c r="J422" s="22" t="b">
        <v>0</v>
      </c>
      <c r="K422" s="22" t="b">
        <v>0</v>
      </c>
      <c r="L422" s="22" t="b">
        <v>0</v>
      </c>
      <c r="M422" s="21"/>
      <c r="N422" s="23">
        <v>0</v>
      </c>
      <c r="O422" s="24"/>
      <c r="P422" s="19"/>
      <c r="Q422" s="25"/>
      <c r="R422" s="25"/>
      <c r="S422" s="19"/>
      <c r="T422" s="26"/>
      <c r="U422" s="27" t="s">
        <v>21</v>
      </c>
      <c r="V422" s="28" t="s">
        <v>1745</v>
      </c>
      <c r="W422" s="29" t="s">
        <v>26</v>
      </c>
    </row>
    <row r="423" spans="1:23" ht="30" customHeight="1">
      <c r="A423" s="19" t="s">
        <v>5581</v>
      </c>
      <c r="B423" s="19" t="s">
        <v>5569</v>
      </c>
      <c r="C423" s="19"/>
      <c r="D423" s="19" t="s">
        <v>1747</v>
      </c>
      <c r="E423" s="20" t="s">
        <v>1748</v>
      </c>
      <c r="F423" s="19"/>
      <c r="G423" s="21" t="s">
        <v>22</v>
      </c>
      <c r="H423" s="22" t="b">
        <v>0</v>
      </c>
      <c r="I423" s="22" t="b">
        <v>0</v>
      </c>
      <c r="J423" s="22" t="b">
        <v>0</v>
      </c>
      <c r="K423" s="22" t="b">
        <v>0</v>
      </c>
      <c r="L423" s="22" t="b">
        <v>0</v>
      </c>
      <c r="M423" s="21"/>
      <c r="N423" s="23">
        <v>0</v>
      </c>
      <c r="O423" s="24"/>
      <c r="P423" s="19"/>
      <c r="Q423" s="25"/>
      <c r="R423" s="25"/>
      <c r="S423" s="19"/>
      <c r="T423" s="26"/>
      <c r="U423" s="27" t="s">
        <v>21</v>
      </c>
      <c r="V423" s="28" t="s">
        <v>1749</v>
      </c>
      <c r="W423" s="29" t="s">
        <v>26</v>
      </c>
    </row>
    <row r="424" spans="1:23" ht="30" customHeight="1">
      <c r="A424" s="19" t="s">
        <v>5581</v>
      </c>
      <c r="B424" s="19" t="s">
        <v>5569</v>
      </c>
      <c r="C424" s="19"/>
      <c r="D424" s="19" t="s">
        <v>1751</v>
      </c>
      <c r="E424" s="20" t="s">
        <v>1752</v>
      </c>
      <c r="F424" s="19"/>
      <c r="G424" s="21" t="s">
        <v>22</v>
      </c>
      <c r="H424" s="22" t="b">
        <v>0</v>
      </c>
      <c r="I424" s="22" t="b">
        <v>0</v>
      </c>
      <c r="J424" s="22" t="b">
        <v>0</v>
      </c>
      <c r="K424" s="22" t="b">
        <v>0</v>
      </c>
      <c r="L424" s="22" t="b">
        <v>0</v>
      </c>
      <c r="M424" s="21"/>
      <c r="N424" s="23">
        <v>0</v>
      </c>
      <c r="O424" s="24"/>
      <c r="P424" s="19"/>
      <c r="Q424" s="25"/>
      <c r="R424" s="25"/>
      <c r="S424" s="19"/>
      <c r="T424" s="26"/>
      <c r="U424" s="27" t="s">
        <v>21</v>
      </c>
      <c r="V424" s="28" t="s">
        <v>192</v>
      </c>
      <c r="W424" s="29" t="s">
        <v>26</v>
      </c>
    </row>
    <row r="425" spans="1:23" ht="30" customHeight="1">
      <c r="A425" s="19" t="s">
        <v>5581</v>
      </c>
      <c r="B425" s="19" t="s">
        <v>5569</v>
      </c>
      <c r="C425" s="19"/>
      <c r="D425" s="19" t="s">
        <v>1754</v>
      </c>
      <c r="E425" s="20" t="s">
        <v>1755</v>
      </c>
      <c r="F425" s="19"/>
      <c r="G425" s="21" t="s">
        <v>22</v>
      </c>
      <c r="H425" s="22" t="b">
        <v>0</v>
      </c>
      <c r="I425" s="22" t="b">
        <v>0</v>
      </c>
      <c r="J425" s="22" t="b">
        <v>0</v>
      </c>
      <c r="K425" s="22" t="b">
        <v>0</v>
      </c>
      <c r="L425" s="22" t="b">
        <v>0</v>
      </c>
      <c r="M425" s="21"/>
      <c r="N425" s="23">
        <v>0</v>
      </c>
      <c r="O425" s="24"/>
      <c r="P425" s="19"/>
      <c r="Q425" s="25"/>
      <c r="R425" s="25"/>
      <c r="S425" s="19"/>
      <c r="T425" s="26"/>
      <c r="U425" s="27" t="s">
        <v>21</v>
      </c>
      <c r="V425" s="28" t="s">
        <v>913</v>
      </c>
      <c r="W425" s="29" t="s">
        <v>26</v>
      </c>
    </row>
    <row r="426" spans="1:23" ht="30" customHeight="1">
      <c r="A426" s="19" t="s">
        <v>5581</v>
      </c>
      <c r="B426" s="19" t="s">
        <v>5569</v>
      </c>
      <c r="C426" s="19"/>
      <c r="D426" s="19" t="s">
        <v>1757</v>
      </c>
      <c r="E426" s="20" t="s">
        <v>1758</v>
      </c>
      <c r="F426" s="19"/>
      <c r="G426" s="21" t="s">
        <v>22</v>
      </c>
      <c r="H426" s="22" t="b">
        <v>0</v>
      </c>
      <c r="I426" s="22" t="b">
        <v>0</v>
      </c>
      <c r="J426" s="22" t="b">
        <v>0</v>
      </c>
      <c r="K426" s="22" t="b">
        <v>0</v>
      </c>
      <c r="L426" s="22" t="b">
        <v>0</v>
      </c>
      <c r="M426" s="21"/>
      <c r="N426" s="23">
        <v>0</v>
      </c>
      <c r="O426" s="24"/>
      <c r="P426" s="19"/>
      <c r="Q426" s="25"/>
      <c r="R426" s="25"/>
      <c r="S426" s="19"/>
      <c r="T426" s="26"/>
      <c r="U426" s="27" t="s">
        <v>21</v>
      </c>
      <c r="V426" s="28" t="s">
        <v>1759</v>
      </c>
      <c r="W426" s="29" t="s">
        <v>26</v>
      </c>
    </row>
    <row r="427" spans="1:23" ht="30" customHeight="1">
      <c r="A427" s="19" t="s">
        <v>5581</v>
      </c>
      <c r="B427" s="19" t="s">
        <v>5569</v>
      </c>
      <c r="C427" s="19"/>
      <c r="D427" s="19" t="s">
        <v>1761</v>
      </c>
      <c r="E427" s="20" t="s">
        <v>1762</v>
      </c>
      <c r="F427" s="19"/>
      <c r="G427" s="21" t="s">
        <v>22</v>
      </c>
      <c r="H427" s="22" t="b">
        <v>0</v>
      </c>
      <c r="I427" s="22" t="b">
        <v>0</v>
      </c>
      <c r="J427" s="22" t="b">
        <v>0</v>
      </c>
      <c r="K427" s="22" t="b">
        <v>0</v>
      </c>
      <c r="L427" s="22" t="b">
        <v>0</v>
      </c>
      <c r="M427" s="21"/>
      <c r="N427" s="23">
        <v>0</v>
      </c>
      <c r="O427" s="24"/>
      <c r="P427" s="19"/>
      <c r="Q427" s="25"/>
      <c r="R427" s="25"/>
      <c r="S427" s="19"/>
      <c r="T427" s="26"/>
      <c r="U427" s="30" t="s">
        <v>34</v>
      </c>
      <c r="V427" s="28" t="s">
        <v>1763</v>
      </c>
      <c r="W427" s="29" t="s">
        <v>26</v>
      </c>
    </row>
    <row r="428" spans="1:23" ht="30" customHeight="1">
      <c r="A428" s="19" t="s">
        <v>5581</v>
      </c>
      <c r="B428" s="19" t="s">
        <v>5569</v>
      </c>
      <c r="C428" s="19"/>
      <c r="D428" s="19" t="s">
        <v>1765</v>
      </c>
      <c r="E428" s="20" t="s">
        <v>1766</v>
      </c>
      <c r="F428" s="19"/>
      <c r="G428" s="21" t="s">
        <v>22</v>
      </c>
      <c r="H428" s="22" t="b">
        <v>0</v>
      </c>
      <c r="I428" s="22" t="b">
        <v>0</v>
      </c>
      <c r="J428" s="22" t="b">
        <v>0</v>
      </c>
      <c r="K428" s="22" t="b">
        <v>0</v>
      </c>
      <c r="L428" s="22" t="b">
        <v>0</v>
      </c>
      <c r="M428" s="21"/>
      <c r="N428" s="23">
        <v>0</v>
      </c>
      <c r="O428" s="24"/>
      <c r="P428" s="19"/>
      <c r="Q428" s="25"/>
      <c r="R428" s="25"/>
      <c r="S428" s="19"/>
      <c r="T428" s="26"/>
      <c r="U428" s="27" t="s">
        <v>21</v>
      </c>
      <c r="V428" s="28" t="s">
        <v>1767</v>
      </c>
      <c r="W428" s="29" t="s">
        <v>26</v>
      </c>
    </row>
    <row r="429" spans="1:23" ht="30" customHeight="1">
      <c r="A429" s="19" t="s">
        <v>5581</v>
      </c>
      <c r="B429" s="19" t="s">
        <v>5569</v>
      </c>
      <c r="C429" s="19"/>
      <c r="D429" s="19" t="s">
        <v>1769</v>
      </c>
      <c r="E429" s="20" t="s">
        <v>1770</v>
      </c>
      <c r="F429" s="19"/>
      <c r="G429" s="21" t="s">
        <v>22</v>
      </c>
      <c r="H429" s="22" t="b">
        <v>0</v>
      </c>
      <c r="I429" s="22" t="b">
        <v>0</v>
      </c>
      <c r="J429" s="22" t="b">
        <v>0</v>
      </c>
      <c r="K429" s="22" t="b">
        <v>0</v>
      </c>
      <c r="L429" s="22" t="b">
        <v>0</v>
      </c>
      <c r="M429" s="21"/>
      <c r="N429" s="23">
        <v>0</v>
      </c>
      <c r="O429" s="24"/>
      <c r="P429" s="19"/>
      <c r="Q429" s="25"/>
      <c r="R429" s="25"/>
      <c r="S429" s="19"/>
      <c r="T429" s="26"/>
      <c r="U429" s="27" t="s">
        <v>21</v>
      </c>
      <c r="V429" s="28" t="s">
        <v>1366</v>
      </c>
      <c r="W429" s="29" t="s">
        <v>26</v>
      </c>
    </row>
    <row r="430" spans="1:23" ht="30" customHeight="1">
      <c r="A430" s="19" t="s">
        <v>5581</v>
      </c>
      <c r="B430" s="19" t="s">
        <v>5569</v>
      </c>
      <c r="C430" s="19"/>
      <c r="D430" s="19" t="s">
        <v>1772</v>
      </c>
      <c r="E430" s="20" t="s">
        <v>1773</v>
      </c>
      <c r="F430" s="19"/>
      <c r="G430" s="21" t="s">
        <v>22</v>
      </c>
      <c r="H430" s="22" t="b">
        <v>0</v>
      </c>
      <c r="I430" s="22" t="b">
        <v>0</v>
      </c>
      <c r="J430" s="22" t="b">
        <v>0</v>
      </c>
      <c r="K430" s="22" t="b">
        <v>0</v>
      </c>
      <c r="L430" s="22" t="b">
        <v>0</v>
      </c>
      <c r="M430" s="21"/>
      <c r="N430" s="23">
        <v>0</v>
      </c>
      <c r="O430" s="24"/>
      <c r="P430" s="19"/>
      <c r="Q430" s="25"/>
      <c r="R430" s="25"/>
      <c r="S430" s="19"/>
      <c r="T430" s="26"/>
      <c r="U430" s="27" t="s">
        <v>21</v>
      </c>
      <c r="V430" s="28" t="s">
        <v>1774</v>
      </c>
      <c r="W430" s="29" t="s">
        <v>26</v>
      </c>
    </row>
    <row r="431" spans="1:23" ht="30" customHeight="1">
      <c r="A431" s="19" t="s">
        <v>5581</v>
      </c>
      <c r="B431" s="19" t="s">
        <v>5569</v>
      </c>
      <c r="C431" s="19"/>
      <c r="D431" s="19" t="s">
        <v>1776</v>
      </c>
      <c r="E431" s="20" t="s">
        <v>1777</v>
      </c>
      <c r="F431" s="19"/>
      <c r="G431" s="21" t="s">
        <v>22</v>
      </c>
      <c r="H431" s="22" t="b">
        <v>0</v>
      </c>
      <c r="I431" s="22" t="b">
        <v>0</v>
      </c>
      <c r="J431" s="22" t="b">
        <v>0</v>
      </c>
      <c r="K431" s="22" t="b">
        <v>0</v>
      </c>
      <c r="L431" s="22" t="b">
        <v>0</v>
      </c>
      <c r="M431" s="21"/>
      <c r="N431" s="23">
        <v>0</v>
      </c>
      <c r="O431" s="24"/>
      <c r="P431" s="19"/>
      <c r="Q431" s="25"/>
      <c r="R431" s="25"/>
      <c r="S431" s="19"/>
      <c r="T431" s="26"/>
      <c r="U431" s="27" t="s">
        <v>21</v>
      </c>
      <c r="V431" s="28" t="s">
        <v>1778</v>
      </c>
      <c r="W431" s="29" t="s">
        <v>26</v>
      </c>
    </row>
    <row r="432" spans="1:23" ht="30" customHeight="1">
      <c r="A432" s="19" t="s">
        <v>5581</v>
      </c>
      <c r="B432" s="19" t="s">
        <v>5569</v>
      </c>
      <c r="C432" s="19"/>
      <c r="D432" s="19" t="s">
        <v>1780</v>
      </c>
      <c r="E432" s="20" t="s">
        <v>1781</v>
      </c>
      <c r="F432" s="19"/>
      <c r="G432" s="21" t="s">
        <v>22</v>
      </c>
      <c r="H432" s="22" t="b">
        <v>0</v>
      </c>
      <c r="I432" s="22" t="b">
        <v>0</v>
      </c>
      <c r="J432" s="22" t="b">
        <v>0</v>
      </c>
      <c r="K432" s="22" t="b">
        <v>0</v>
      </c>
      <c r="L432" s="22" t="b">
        <v>0</v>
      </c>
      <c r="M432" s="21"/>
      <c r="N432" s="23">
        <v>0</v>
      </c>
      <c r="O432" s="24"/>
      <c r="P432" s="19"/>
      <c r="Q432" s="25"/>
      <c r="R432" s="25"/>
      <c r="S432" s="19"/>
      <c r="T432" s="26"/>
      <c r="U432" s="27" t="s">
        <v>21</v>
      </c>
      <c r="V432" s="28" t="s">
        <v>1782</v>
      </c>
      <c r="W432" s="29" t="s">
        <v>26</v>
      </c>
    </row>
    <row r="433" spans="1:23" ht="30" customHeight="1">
      <c r="A433" s="19" t="s">
        <v>5581</v>
      </c>
      <c r="B433" s="19" t="s">
        <v>5569</v>
      </c>
      <c r="C433" s="19"/>
      <c r="D433" s="19" t="s">
        <v>1784</v>
      </c>
      <c r="E433" s="20" t="s">
        <v>1785</v>
      </c>
      <c r="F433" s="19"/>
      <c r="G433" s="21" t="s">
        <v>22</v>
      </c>
      <c r="H433" s="22" t="b">
        <v>0</v>
      </c>
      <c r="I433" s="22" t="b">
        <v>0</v>
      </c>
      <c r="J433" s="22" t="b">
        <v>0</v>
      </c>
      <c r="K433" s="22" t="b">
        <v>0</v>
      </c>
      <c r="L433" s="22" t="b">
        <v>0</v>
      </c>
      <c r="M433" s="21"/>
      <c r="N433" s="23">
        <v>0</v>
      </c>
      <c r="O433" s="24"/>
      <c r="P433" s="19"/>
      <c r="Q433" s="25"/>
      <c r="R433" s="25"/>
      <c r="S433" s="19"/>
      <c r="T433" s="26"/>
      <c r="U433" s="27" t="s">
        <v>21</v>
      </c>
      <c r="V433" s="28" t="s">
        <v>1786</v>
      </c>
      <c r="W433" s="29" t="s">
        <v>26</v>
      </c>
    </row>
    <row r="434" spans="1:23" ht="30" customHeight="1">
      <c r="A434" s="19" t="s">
        <v>5581</v>
      </c>
      <c r="B434" s="19" t="s">
        <v>5569</v>
      </c>
      <c r="C434" s="19"/>
      <c r="D434" s="19" t="s">
        <v>1788</v>
      </c>
      <c r="E434" s="20" t="s">
        <v>1789</v>
      </c>
      <c r="F434" s="19"/>
      <c r="G434" s="21" t="s">
        <v>22</v>
      </c>
      <c r="H434" s="22" t="b">
        <v>0</v>
      </c>
      <c r="I434" s="22" t="b">
        <v>0</v>
      </c>
      <c r="J434" s="22" t="b">
        <v>0</v>
      </c>
      <c r="K434" s="22" t="b">
        <v>0</v>
      </c>
      <c r="L434" s="22" t="b">
        <v>0</v>
      </c>
      <c r="M434" s="21"/>
      <c r="N434" s="23">
        <v>0</v>
      </c>
      <c r="O434" s="24"/>
      <c r="P434" s="19"/>
      <c r="Q434" s="25"/>
      <c r="R434" s="25"/>
      <c r="S434" s="19"/>
      <c r="T434" s="26"/>
      <c r="U434" s="27" t="s">
        <v>21</v>
      </c>
      <c r="V434" s="28" t="s">
        <v>1790</v>
      </c>
      <c r="W434" s="29" t="s">
        <v>26</v>
      </c>
    </row>
    <row r="435" spans="1:23" ht="30" customHeight="1">
      <c r="A435" s="19" t="s">
        <v>5581</v>
      </c>
      <c r="B435" s="19" t="s">
        <v>5569</v>
      </c>
      <c r="C435" s="19"/>
      <c r="D435" s="19" t="s">
        <v>1792</v>
      </c>
      <c r="E435" s="20" t="s">
        <v>1793</v>
      </c>
      <c r="F435" s="19"/>
      <c r="G435" s="21" t="s">
        <v>22</v>
      </c>
      <c r="H435" s="22" t="b">
        <v>0</v>
      </c>
      <c r="I435" s="22" t="b">
        <v>0</v>
      </c>
      <c r="J435" s="22" t="b">
        <v>0</v>
      </c>
      <c r="K435" s="22" t="b">
        <v>0</v>
      </c>
      <c r="L435" s="22" t="b">
        <v>0</v>
      </c>
      <c r="M435" s="21"/>
      <c r="N435" s="23">
        <v>0</v>
      </c>
      <c r="O435" s="24"/>
      <c r="P435" s="19"/>
      <c r="Q435" s="25"/>
      <c r="R435" s="25"/>
      <c r="S435" s="19"/>
      <c r="T435" s="26"/>
      <c r="U435" s="27" t="s">
        <v>21</v>
      </c>
      <c r="V435" s="28" t="s">
        <v>913</v>
      </c>
      <c r="W435" s="29" t="s">
        <v>26</v>
      </c>
    </row>
    <row r="436" spans="1:23" ht="30" customHeight="1">
      <c r="A436" s="19" t="s">
        <v>5581</v>
      </c>
      <c r="B436" s="19" t="s">
        <v>5569</v>
      </c>
      <c r="C436" s="19"/>
      <c r="D436" s="19" t="s">
        <v>1795</v>
      </c>
      <c r="E436" s="20" t="s">
        <v>1796</v>
      </c>
      <c r="F436" s="19"/>
      <c r="G436" s="21" t="s">
        <v>22</v>
      </c>
      <c r="H436" s="22" t="b">
        <v>0</v>
      </c>
      <c r="I436" s="22" t="b">
        <v>0</v>
      </c>
      <c r="J436" s="22" t="b">
        <v>0</v>
      </c>
      <c r="K436" s="22" t="b">
        <v>0</v>
      </c>
      <c r="L436" s="22" t="b">
        <v>0</v>
      </c>
      <c r="M436" s="21"/>
      <c r="N436" s="23">
        <v>0</v>
      </c>
      <c r="O436" s="24"/>
      <c r="P436" s="19"/>
      <c r="Q436" s="25"/>
      <c r="R436" s="25"/>
      <c r="S436" s="19"/>
      <c r="T436" s="26"/>
      <c r="U436" s="27" t="s">
        <v>21</v>
      </c>
      <c r="V436" s="28" t="s">
        <v>913</v>
      </c>
      <c r="W436" s="29" t="s">
        <v>26</v>
      </c>
    </row>
    <row r="437" spans="1:23" ht="30" customHeight="1">
      <c r="A437" s="19" t="s">
        <v>5581</v>
      </c>
      <c r="B437" s="19" t="s">
        <v>5569</v>
      </c>
      <c r="C437" s="19"/>
      <c r="D437" s="19" t="s">
        <v>1798</v>
      </c>
      <c r="E437" s="20" t="s">
        <v>1799</v>
      </c>
      <c r="F437" s="19"/>
      <c r="G437" s="21" t="s">
        <v>22</v>
      </c>
      <c r="H437" s="22" t="b">
        <v>0</v>
      </c>
      <c r="I437" s="22" t="b">
        <v>0</v>
      </c>
      <c r="J437" s="22" t="b">
        <v>0</v>
      </c>
      <c r="K437" s="22" t="b">
        <v>0</v>
      </c>
      <c r="L437" s="22" t="b">
        <v>0</v>
      </c>
      <c r="M437" s="21"/>
      <c r="N437" s="23">
        <v>0</v>
      </c>
      <c r="O437" s="24"/>
      <c r="P437" s="19"/>
      <c r="Q437" s="25"/>
      <c r="R437" s="25"/>
      <c r="S437" s="19"/>
      <c r="T437" s="26"/>
      <c r="U437" s="30" t="s">
        <v>34</v>
      </c>
      <c r="V437" s="28" t="s">
        <v>1505</v>
      </c>
      <c r="W437" s="29" t="s">
        <v>26</v>
      </c>
    </row>
    <row r="438" spans="1:23" ht="30" customHeight="1">
      <c r="A438" s="19" t="s">
        <v>5581</v>
      </c>
      <c r="B438" s="19" t="s">
        <v>5569</v>
      </c>
      <c r="C438" s="19"/>
      <c r="D438" s="19" t="s">
        <v>1801</v>
      </c>
      <c r="E438" s="20" t="s">
        <v>1802</v>
      </c>
      <c r="F438" s="19"/>
      <c r="G438" s="21" t="s">
        <v>22</v>
      </c>
      <c r="H438" s="22" t="b">
        <v>0</v>
      </c>
      <c r="I438" s="22" t="b">
        <v>0</v>
      </c>
      <c r="J438" s="22" t="b">
        <v>0</v>
      </c>
      <c r="K438" s="22" t="b">
        <v>0</v>
      </c>
      <c r="L438" s="22" t="b">
        <v>0</v>
      </c>
      <c r="M438" s="21"/>
      <c r="N438" s="23">
        <v>0</v>
      </c>
      <c r="O438" s="24"/>
      <c r="P438" s="19"/>
      <c r="Q438" s="25"/>
      <c r="R438" s="25"/>
      <c r="S438" s="19"/>
      <c r="T438" s="26"/>
      <c r="U438" s="27" t="s">
        <v>21</v>
      </c>
      <c r="V438" s="28" t="s">
        <v>1803</v>
      </c>
      <c r="W438" s="29" t="s">
        <v>26</v>
      </c>
    </row>
    <row r="439" spans="1:23" ht="30" customHeight="1">
      <c r="A439" s="19" t="s">
        <v>5581</v>
      </c>
      <c r="B439" s="19" t="s">
        <v>5569</v>
      </c>
      <c r="C439" s="19"/>
      <c r="D439" s="19" t="s">
        <v>1806</v>
      </c>
      <c r="E439" s="20" t="s">
        <v>1807</v>
      </c>
      <c r="F439" s="19"/>
      <c r="G439" s="21" t="s">
        <v>22</v>
      </c>
      <c r="H439" s="22" t="b">
        <v>0</v>
      </c>
      <c r="I439" s="22" t="b">
        <v>0</v>
      </c>
      <c r="J439" s="22" t="b">
        <v>0</v>
      </c>
      <c r="K439" s="22" t="b">
        <v>0</v>
      </c>
      <c r="L439" s="22" t="b">
        <v>0</v>
      </c>
      <c r="M439" s="21"/>
      <c r="N439" s="23">
        <v>0</v>
      </c>
      <c r="O439" s="24"/>
      <c r="P439" s="19"/>
      <c r="Q439" s="25"/>
      <c r="R439" s="25"/>
      <c r="S439" s="19"/>
      <c r="T439" s="26"/>
      <c r="U439" s="30" t="s">
        <v>34</v>
      </c>
      <c r="V439" s="28" t="s">
        <v>233</v>
      </c>
      <c r="W439" s="29" t="s">
        <v>26</v>
      </c>
    </row>
    <row r="440" spans="1:23" ht="30" customHeight="1">
      <c r="A440" s="19" t="s">
        <v>5581</v>
      </c>
      <c r="B440" s="19" t="s">
        <v>5569</v>
      </c>
      <c r="C440" s="19"/>
      <c r="D440" s="19" t="s">
        <v>1809</v>
      </c>
      <c r="E440" s="20" t="s">
        <v>1810</v>
      </c>
      <c r="F440" s="19"/>
      <c r="G440" s="21" t="s">
        <v>22</v>
      </c>
      <c r="H440" s="22" t="b">
        <v>0</v>
      </c>
      <c r="I440" s="22" t="b">
        <v>0</v>
      </c>
      <c r="J440" s="22" t="b">
        <v>0</v>
      </c>
      <c r="K440" s="22" t="b">
        <v>0</v>
      </c>
      <c r="L440" s="22" t="b">
        <v>0</v>
      </c>
      <c r="M440" s="21"/>
      <c r="N440" s="23">
        <v>0</v>
      </c>
      <c r="O440" s="24"/>
      <c r="P440" s="19"/>
      <c r="Q440" s="25"/>
      <c r="R440" s="25"/>
      <c r="S440" s="19"/>
      <c r="T440" s="26"/>
      <c r="U440" s="27" t="s">
        <v>21</v>
      </c>
      <c r="V440" s="28" t="s">
        <v>1735</v>
      </c>
      <c r="W440" s="29" t="s">
        <v>26</v>
      </c>
    </row>
    <row r="441" spans="1:23" ht="30" customHeight="1">
      <c r="A441" s="19" t="s">
        <v>5581</v>
      </c>
      <c r="B441" s="19" t="s">
        <v>5569</v>
      </c>
      <c r="C441" s="19"/>
      <c r="D441" s="19" t="s">
        <v>1812</v>
      </c>
      <c r="E441" s="20" t="s">
        <v>1813</v>
      </c>
      <c r="F441" s="19"/>
      <c r="G441" s="21" t="s">
        <v>22</v>
      </c>
      <c r="H441" s="22" t="b">
        <v>0</v>
      </c>
      <c r="I441" s="22" t="b">
        <v>0</v>
      </c>
      <c r="J441" s="22" t="b">
        <v>0</v>
      </c>
      <c r="K441" s="22" t="b">
        <v>0</v>
      </c>
      <c r="L441" s="22" t="b">
        <v>0</v>
      </c>
      <c r="M441" s="21"/>
      <c r="N441" s="23">
        <v>0</v>
      </c>
      <c r="O441" s="24"/>
      <c r="P441" s="19"/>
      <c r="Q441" s="25"/>
      <c r="R441" s="25"/>
      <c r="S441" s="19"/>
      <c r="T441" s="26"/>
      <c r="U441" s="30" t="s">
        <v>34</v>
      </c>
      <c r="V441" s="28" t="s">
        <v>233</v>
      </c>
      <c r="W441" s="29" t="s">
        <v>26</v>
      </c>
    </row>
    <row r="442" spans="1:23" ht="30" customHeight="1">
      <c r="A442" s="19" t="s">
        <v>5581</v>
      </c>
      <c r="B442" s="19" t="s">
        <v>5569</v>
      </c>
      <c r="C442" s="19"/>
      <c r="D442" s="19" t="s">
        <v>1816</v>
      </c>
      <c r="E442" s="20" t="s">
        <v>1817</v>
      </c>
      <c r="F442" s="19"/>
      <c r="G442" s="21" t="s">
        <v>22</v>
      </c>
      <c r="H442" s="22" t="b">
        <v>0</v>
      </c>
      <c r="I442" s="22" t="b">
        <v>0</v>
      </c>
      <c r="J442" s="22" t="b">
        <v>0</v>
      </c>
      <c r="K442" s="22" t="b">
        <v>0</v>
      </c>
      <c r="L442" s="22" t="b">
        <v>0</v>
      </c>
      <c r="M442" s="21"/>
      <c r="N442" s="23">
        <v>0</v>
      </c>
      <c r="O442" s="24"/>
      <c r="P442" s="19"/>
      <c r="Q442" s="25"/>
      <c r="R442" s="25"/>
      <c r="S442" s="19"/>
      <c r="T442" s="26"/>
      <c r="U442" s="30" t="s">
        <v>34</v>
      </c>
      <c r="V442" s="28" t="s">
        <v>233</v>
      </c>
      <c r="W442" s="29" t="s">
        <v>26</v>
      </c>
    </row>
    <row r="443" spans="1:23" ht="30" customHeight="1">
      <c r="A443" s="19" t="s">
        <v>5581</v>
      </c>
      <c r="B443" s="19" t="s">
        <v>5569</v>
      </c>
      <c r="C443" s="19"/>
      <c r="D443" s="19" t="s">
        <v>1819</v>
      </c>
      <c r="E443" s="20" t="s">
        <v>1820</v>
      </c>
      <c r="F443" s="19"/>
      <c r="G443" s="21" t="s">
        <v>22</v>
      </c>
      <c r="H443" s="22" t="b">
        <v>0</v>
      </c>
      <c r="I443" s="22" t="b">
        <v>0</v>
      </c>
      <c r="J443" s="22" t="b">
        <v>0</v>
      </c>
      <c r="K443" s="22" t="b">
        <v>0</v>
      </c>
      <c r="L443" s="22" t="b">
        <v>0</v>
      </c>
      <c r="M443" s="21"/>
      <c r="N443" s="23">
        <v>0</v>
      </c>
      <c r="O443" s="24"/>
      <c r="P443" s="19"/>
      <c r="Q443" s="25"/>
      <c r="R443" s="25"/>
      <c r="S443" s="19"/>
      <c r="T443" s="26"/>
      <c r="U443" s="27" t="s">
        <v>21</v>
      </c>
      <c r="V443" s="28" t="s">
        <v>1821</v>
      </c>
      <c r="W443" s="29" t="s">
        <v>26</v>
      </c>
    </row>
    <row r="444" spans="1:23" ht="30" customHeight="1">
      <c r="A444" s="19" t="s">
        <v>5581</v>
      </c>
      <c r="B444" s="19" t="s">
        <v>5569</v>
      </c>
      <c r="C444" s="19"/>
      <c r="D444" s="19" t="s">
        <v>1823</v>
      </c>
      <c r="E444" s="20" t="s">
        <v>1824</v>
      </c>
      <c r="F444" s="19"/>
      <c r="G444" s="21" t="s">
        <v>22</v>
      </c>
      <c r="H444" s="22" t="b">
        <v>0</v>
      </c>
      <c r="I444" s="22" t="b">
        <v>0</v>
      </c>
      <c r="J444" s="22" t="b">
        <v>0</v>
      </c>
      <c r="K444" s="22" t="b">
        <v>0</v>
      </c>
      <c r="L444" s="22" t="b">
        <v>0</v>
      </c>
      <c r="M444" s="21"/>
      <c r="N444" s="23">
        <v>0</v>
      </c>
      <c r="O444" s="24"/>
      <c r="P444" s="19"/>
      <c r="Q444" s="25"/>
      <c r="R444" s="25"/>
      <c r="S444" s="19"/>
      <c r="T444" s="26"/>
      <c r="U444" s="27" t="s">
        <v>21</v>
      </c>
      <c r="V444" s="28" t="s">
        <v>1825</v>
      </c>
      <c r="W444" s="29" t="s">
        <v>26</v>
      </c>
    </row>
    <row r="445" spans="1:23" ht="30" customHeight="1">
      <c r="A445" s="19" t="s">
        <v>5581</v>
      </c>
      <c r="B445" s="19" t="s">
        <v>5569</v>
      </c>
      <c r="C445" s="19"/>
      <c r="D445" s="19" t="s">
        <v>1827</v>
      </c>
      <c r="E445" s="20" t="s">
        <v>1828</v>
      </c>
      <c r="F445" s="19"/>
      <c r="G445" s="21" t="s">
        <v>22</v>
      </c>
      <c r="H445" s="22" t="b">
        <v>0</v>
      </c>
      <c r="I445" s="22" t="b">
        <v>0</v>
      </c>
      <c r="J445" s="22" t="b">
        <v>0</v>
      </c>
      <c r="K445" s="22" t="b">
        <v>0</v>
      </c>
      <c r="L445" s="22" t="b">
        <v>0</v>
      </c>
      <c r="M445" s="21"/>
      <c r="N445" s="23">
        <v>0</v>
      </c>
      <c r="O445" s="24"/>
      <c r="P445" s="19"/>
      <c r="Q445" s="25"/>
      <c r="R445" s="25"/>
      <c r="S445" s="19"/>
      <c r="T445" s="26"/>
      <c r="U445" s="27" t="s">
        <v>21</v>
      </c>
      <c r="V445" s="28" t="s">
        <v>192</v>
      </c>
      <c r="W445" s="29" t="s">
        <v>26</v>
      </c>
    </row>
    <row r="446" spans="1:23" ht="30" customHeight="1">
      <c r="A446" s="19" t="s">
        <v>5581</v>
      </c>
      <c r="B446" s="19" t="s">
        <v>5569</v>
      </c>
      <c r="C446" s="19"/>
      <c r="D446" s="19" t="s">
        <v>1830</v>
      </c>
      <c r="E446" s="20" t="s">
        <v>1831</v>
      </c>
      <c r="F446" s="19"/>
      <c r="G446" s="21" t="s">
        <v>22</v>
      </c>
      <c r="H446" s="22" t="b">
        <v>0</v>
      </c>
      <c r="I446" s="22" t="b">
        <v>0</v>
      </c>
      <c r="J446" s="22" t="b">
        <v>0</v>
      </c>
      <c r="K446" s="22" t="b">
        <v>0</v>
      </c>
      <c r="L446" s="22" t="b">
        <v>0</v>
      </c>
      <c r="M446" s="21"/>
      <c r="N446" s="23">
        <v>0</v>
      </c>
      <c r="O446" s="24"/>
      <c r="P446" s="19"/>
      <c r="Q446" s="25"/>
      <c r="R446" s="25"/>
      <c r="S446" s="19"/>
      <c r="T446" s="26"/>
      <c r="U446" s="30" t="s">
        <v>34</v>
      </c>
      <c r="V446" s="28" t="s">
        <v>1548</v>
      </c>
      <c r="W446" s="29" t="s">
        <v>26</v>
      </c>
    </row>
    <row r="447" spans="1:23" ht="30" customHeight="1">
      <c r="A447" s="19" t="s">
        <v>5581</v>
      </c>
      <c r="B447" s="19" t="s">
        <v>5569</v>
      </c>
      <c r="C447" s="19"/>
      <c r="D447" s="19" t="s">
        <v>1833</v>
      </c>
      <c r="E447" s="20" t="s">
        <v>1834</v>
      </c>
      <c r="F447" s="19"/>
      <c r="G447" s="21" t="s">
        <v>22</v>
      </c>
      <c r="H447" s="22" t="b">
        <v>0</v>
      </c>
      <c r="I447" s="22" t="b">
        <v>0</v>
      </c>
      <c r="J447" s="22" t="b">
        <v>0</v>
      </c>
      <c r="K447" s="22" t="b">
        <v>0</v>
      </c>
      <c r="L447" s="22" t="b">
        <v>0</v>
      </c>
      <c r="M447" s="21"/>
      <c r="N447" s="23">
        <v>0</v>
      </c>
      <c r="O447" s="24"/>
      <c r="P447" s="19"/>
      <c r="Q447" s="25"/>
      <c r="R447" s="25"/>
      <c r="S447" s="19"/>
      <c r="T447" s="26"/>
      <c r="U447" s="27" t="s">
        <v>21</v>
      </c>
      <c r="V447" s="28" t="s">
        <v>913</v>
      </c>
      <c r="W447" s="29" t="s">
        <v>26</v>
      </c>
    </row>
    <row r="448" spans="1:23" ht="30" customHeight="1">
      <c r="A448" s="19" t="s">
        <v>5581</v>
      </c>
      <c r="B448" s="19" t="s">
        <v>5569</v>
      </c>
      <c r="C448" s="19"/>
      <c r="D448" s="19" t="s">
        <v>1836</v>
      </c>
      <c r="E448" s="20" t="s">
        <v>1837</v>
      </c>
      <c r="F448" s="19"/>
      <c r="G448" s="21" t="s">
        <v>22</v>
      </c>
      <c r="H448" s="22" t="b">
        <v>0</v>
      </c>
      <c r="I448" s="22" t="b">
        <v>0</v>
      </c>
      <c r="J448" s="22" t="b">
        <v>0</v>
      </c>
      <c r="K448" s="22" t="b">
        <v>0</v>
      </c>
      <c r="L448" s="22" t="b">
        <v>0</v>
      </c>
      <c r="M448" s="21"/>
      <c r="N448" s="23">
        <v>0</v>
      </c>
      <c r="O448" s="24"/>
      <c r="P448" s="19"/>
      <c r="Q448" s="25"/>
      <c r="R448" s="25"/>
      <c r="S448" s="19"/>
      <c r="T448" s="26"/>
      <c r="U448" s="30" t="s">
        <v>34</v>
      </c>
      <c r="V448" s="28" t="s">
        <v>1838</v>
      </c>
      <c r="W448" s="29" t="s">
        <v>26</v>
      </c>
    </row>
    <row r="449" spans="1:23" ht="30" customHeight="1">
      <c r="A449" s="19" t="s">
        <v>5581</v>
      </c>
      <c r="B449" s="19" t="s">
        <v>5569</v>
      </c>
      <c r="C449" s="19"/>
      <c r="D449" s="19" t="s">
        <v>1840</v>
      </c>
      <c r="E449" s="20" t="s">
        <v>1841</v>
      </c>
      <c r="F449" s="19"/>
      <c r="G449" s="21" t="s">
        <v>22</v>
      </c>
      <c r="H449" s="22" t="b">
        <v>0</v>
      </c>
      <c r="I449" s="22" t="b">
        <v>0</v>
      </c>
      <c r="J449" s="22" t="b">
        <v>0</v>
      </c>
      <c r="K449" s="22" t="b">
        <v>0</v>
      </c>
      <c r="L449" s="22" t="b">
        <v>0</v>
      </c>
      <c r="M449" s="21"/>
      <c r="N449" s="23">
        <v>0</v>
      </c>
      <c r="O449" s="24"/>
      <c r="P449" s="19"/>
      <c r="Q449" s="25"/>
      <c r="R449" s="25"/>
      <c r="S449" s="19"/>
      <c r="T449" s="26"/>
      <c r="U449" s="27" t="s">
        <v>21</v>
      </c>
      <c r="V449" s="28" t="s">
        <v>253</v>
      </c>
      <c r="W449" s="29" t="s">
        <v>26</v>
      </c>
    </row>
    <row r="450" spans="1:23" ht="30" customHeight="1">
      <c r="A450" s="19" t="s">
        <v>5581</v>
      </c>
      <c r="B450" s="19" t="s">
        <v>5569</v>
      </c>
      <c r="C450" s="19"/>
      <c r="D450" s="19" t="s">
        <v>1843</v>
      </c>
      <c r="E450" s="20" t="s">
        <v>1844</v>
      </c>
      <c r="F450" s="19"/>
      <c r="G450" s="21" t="s">
        <v>22</v>
      </c>
      <c r="H450" s="22" t="b">
        <v>0</v>
      </c>
      <c r="I450" s="22" t="b">
        <v>0</v>
      </c>
      <c r="J450" s="22" t="b">
        <v>0</v>
      </c>
      <c r="K450" s="22" t="b">
        <v>0</v>
      </c>
      <c r="L450" s="22" t="b">
        <v>0</v>
      </c>
      <c r="M450" s="21"/>
      <c r="N450" s="23">
        <v>0</v>
      </c>
      <c r="O450" s="24"/>
      <c r="P450" s="19"/>
      <c r="Q450" s="25"/>
      <c r="R450" s="25"/>
      <c r="S450" s="19"/>
      <c r="T450" s="26"/>
      <c r="U450" s="30" t="s">
        <v>34</v>
      </c>
      <c r="V450" s="28" t="s">
        <v>233</v>
      </c>
      <c r="W450" s="29" t="s">
        <v>26</v>
      </c>
    </row>
    <row r="451" spans="1:23" ht="30" customHeight="1">
      <c r="A451" s="19" t="s">
        <v>5581</v>
      </c>
      <c r="B451" s="19" t="s">
        <v>5569</v>
      </c>
      <c r="C451" s="19"/>
      <c r="D451" s="19" t="s">
        <v>1846</v>
      </c>
      <c r="E451" s="20" t="s">
        <v>1847</v>
      </c>
      <c r="F451" s="19"/>
      <c r="G451" s="21" t="s">
        <v>29</v>
      </c>
      <c r="H451" s="22" t="b">
        <v>0</v>
      </c>
      <c r="I451" s="22" t="b">
        <v>0</v>
      </c>
      <c r="J451" s="22" t="b">
        <v>0</v>
      </c>
      <c r="K451" s="22" t="b">
        <v>0</v>
      </c>
      <c r="L451" s="22" t="b">
        <v>0</v>
      </c>
      <c r="M451" s="21"/>
      <c r="N451" s="23">
        <v>0</v>
      </c>
      <c r="O451" s="24"/>
      <c r="P451" s="19"/>
      <c r="Q451" s="25"/>
      <c r="R451" s="25"/>
      <c r="S451" s="19"/>
      <c r="T451" s="26"/>
      <c r="U451" s="27" t="s">
        <v>21</v>
      </c>
      <c r="V451" s="28" t="s">
        <v>1848</v>
      </c>
      <c r="W451" s="29" t="s">
        <v>26</v>
      </c>
    </row>
    <row r="452" spans="1:23" ht="30" customHeight="1">
      <c r="A452" s="19" t="s">
        <v>5581</v>
      </c>
      <c r="B452" s="19" t="s">
        <v>5569</v>
      </c>
      <c r="C452" s="19"/>
      <c r="D452" s="19" t="s">
        <v>1850</v>
      </c>
      <c r="E452" s="20" t="s">
        <v>1851</v>
      </c>
      <c r="F452" s="19"/>
      <c r="G452" s="21" t="s">
        <v>22</v>
      </c>
      <c r="H452" s="22" t="b">
        <v>0</v>
      </c>
      <c r="I452" s="22" t="b">
        <v>0</v>
      </c>
      <c r="J452" s="22" t="b">
        <v>0</v>
      </c>
      <c r="K452" s="22" t="b">
        <v>0</v>
      </c>
      <c r="L452" s="22" t="b">
        <v>0</v>
      </c>
      <c r="M452" s="21"/>
      <c r="N452" s="23">
        <v>0</v>
      </c>
      <c r="O452" s="24"/>
      <c r="P452" s="19"/>
      <c r="Q452" s="25"/>
      <c r="R452" s="25"/>
      <c r="S452" s="19"/>
      <c r="T452" s="26"/>
      <c r="U452" s="27" t="s">
        <v>21</v>
      </c>
      <c r="V452" s="28" t="s">
        <v>1852</v>
      </c>
      <c r="W452" s="29" t="s">
        <v>26</v>
      </c>
    </row>
    <row r="453" spans="1:23" ht="30" customHeight="1">
      <c r="A453" s="19" t="s">
        <v>5581</v>
      </c>
      <c r="B453" s="19" t="s">
        <v>5569</v>
      </c>
      <c r="C453" s="19"/>
      <c r="D453" s="19" t="s">
        <v>1854</v>
      </c>
      <c r="E453" s="20" t="s">
        <v>1855</v>
      </c>
      <c r="F453" s="19"/>
      <c r="G453" s="21" t="s">
        <v>22</v>
      </c>
      <c r="H453" s="22" t="b">
        <v>0</v>
      </c>
      <c r="I453" s="22" t="b">
        <v>0</v>
      </c>
      <c r="J453" s="22" t="b">
        <v>0</v>
      </c>
      <c r="K453" s="22" t="b">
        <v>0</v>
      </c>
      <c r="L453" s="22" t="b">
        <v>0</v>
      </c>
      <c r="M453" s="21"/>
      <c r="N453" s="23">
        <v>0</v>
      </c>
      <c r="O453" s="24"/>
      <c r="P453" s="19"/>
      <c r="Q453" s="25"/>
      <c r="R453" s="25"/>
      <c r="S453" s="19"/>
      <c r="T453" s="26"/>
      <c r="U453" s="30" t="s">
        <v>34</v>
      </c>
      <c r="V453" s="28" t="s">
        <v>233</v>
      </c>
      <c r="W453" s="29" t="s">
        <v>26</v>
      </c>
    </row>
    <row r="454" spans="1:23" ht="30" customHeight="1">
      <c r="A454" s="19" t="s">
        <v>5581</v>
      </c>
      <c r="B454" s="19" t="s">
        <v>5569</v>
      </c>
      <c r="C454" s="19"/>
      <c r="D454" s="19" t="s">
        <v>1857</v>
      </c>
      <c r="E454" s="20" t="s">
        <v>1858</v>
      </c>
      <c r="F454" s="19"/>
      <c r="G454" s="21" t="s">
        <v>22</v>
      </c>
      <c r="H454" s="22" t="b">
        <v>0</v>
      </c>
      <c r="I454" s="22" t="b">
        <v>0</v>
      </c>
      <c r="J454" s="22" t="b">
        <v>0</v>
      </c>
      <c r="K454" s="22" t="b">
        <v>0</v>
      </c>
      <c r="L454" s="22" t="b">
        <v>0</v>
      </c>
      <c r="M454" s="21"/>
      <c r="N454" s="23">
        <v>0</v>
      </c>
      <c r="O454" s="24"/>
      <c r="P454" s="19"/>
      <c r="Q454" s="25"/>
      <c r="R454" s="25"/>
      <c r="S454" s="19"/>
      <c r="T454" s="26"/>
      <c r="U454" s="27" t="s">
        <v>21</v>
      </c>
      <c r="V454" s="28" t="s">
        <v>1859</v>
      </c>
      <c r="W454" s="29" t="s">
        <v>26</v>
      </c>
    </row>
    <row r="455" spans="1:23" ht="30" customHeight="1">
      <c r="A455" s="19" t="s">
        <v>5581</v>
      </c>
      <c r="B455" s="19" t="s">
        <v>5569</v>
      </c>
      <c r="C455" s="19"/>
      <c r="D455" s="19" t="s">
        <v>1861</v>
      </c>
      <c r="E455" s="20" t="s">
        <v>1862</v>
      </c>
      <c r="F455" s="19"/>
      <c r="G455" s="21" t="s">
        <v>22</v>
      </c>
      <c r="H455" s="22" t="b">
        <v>0</v>
      </c>
      <c r="I455" s="22" t="b">
        <v>0</v>
      </c>
      <c r="J455" s="22" t="b">
        <v>0</v>
      </c>
      <c r="K455" s="22" t="b">
        <v>0</v>
      </c>
      <c r="L455" s="22" t="b">
        <v>0</v>
      </c>
      <c r="M455" s="21"/>
      <c r="N455" s="23">
        <v>0</v>
      </c>
      <c r="O455" s="24"/>
      <c r="P455" s="19"/>
      <c r="Q455" s="25"/>
      <c r="R455" s="25"/>
      <c r="S455" s="19"/>
      <c r="T455" s="26"/>
      <c r="U455" s="27" t="s">
        <v>21</v>
      </c>
      <c r="V455" s="28" t="s">
        <v>1863</v>
      </c>
      <c r="W455" s="29" t="s">
        <v>26</v>
      </c>
    </row>
    <row r="456" spans="1:23" ht="30" customHeight="1">
      <c r="A456" s="19" t="s">
        <v>5581</v>
      </c>
      <c r="B456" s="19" t="s">
        <v>5569</v>
      </c>
      <c r="C456" s="19"/>
      <c r="D456" s="19" t="s">
        <v>1865</v>
      </c>
      <c r="E456" s="20" t="s">
        <v>1866</v>
      </c>
      <c r="F456" s="19"/>
      <c r="G456" s="21" t="s">
        <v>22</v>
      </c>
      <c r="H456" s="22" t="b">
        <v>0</v>
      </c>
      <c r="I456" s="22" t="b">
        <v>0</v>
      </c>
      <c r="J456" s="22" t="b">
        <v>0</v>
      </c>
      <c r="K456" s="22" t="b">
        <v>0</v>
      </c>
      <c r="L456" s="22" t="b">
        <v>0</v>
      </c>
      <c r="M456" s="21"/>
      <c r="N456" s="23">
        <v>0</v>
      </c>
      <c r="O456" s="24"/>
      <c r="P456" s="19"/>
      <c r="Q456" s="25"/>
      <c r="R456" s="25"/>
      <c r="S456" s="19"/>
      <c r="T456" s="26"/>
      <c r="U456" s="27" t="s">
        <v>21</v>
      </c>
      <c r="V456" s="28" t="s">
        <v>1867</v>
      </c>
      <c r="W456" s="29" t="s">
        <v>26</v>
      </c>
    </row>
    <row r="457" spans="1:23" ht="30" customHeight="1">
      <c r="A457" s="19" t="s">
        <v>5581</v>
      </c>
      <c r="B457" s="19" t="s">
        <v>5569</v>
      </c>
      <c r="C457" s="19"/>
      <c r="D457" s="19" t="s">
        <v>1869</v>
      </c>
      <c r="E457" s="20" t="s">
        <v>1870</v>
      </c>
      <c r="F457" s="19"/>
      <c r="G457" s="21" t="s">
        <v>22</v>
      </c>
      <c r="H457" s="22" t="b">
        <v>0</v>
      </c>
      <c r="I457" s="22" t="b">
        <v>0</v>
      </c>
      <c r="J457" s="22" t="b">
        <v>0</v>
      </c>
      <c r="K457" s="22" t="b">
        <v>0</v>
      </c>
      <c r="L457" s="22" t="b">
        <v>0</v>
      </c>
      <c r="M457" s="21"/>
      <c r="N457" s="23">
        <v>0</v>
      </c>
      <c r="O457" s="24"/>
      <c r="P457" s="19"/>
      <c r="Q457" s="25"/>
      <c r="R457" s="25"/>
      <c r="S457" s="19"/>
      <c r="T457" s="26"/>
      <c r="U457" s="30" t="s">
        <v>34</v>
      </c>
      <c r="V457" s="28" t="s">
        <v>1871</v>
      </c>
      <c r="W457" s="29" t="s">
        <v>26</v>
      </c>
    </row>
    <row r="458" spans="1:23" ht="30" customHeight="1">
      <c r="A458" s="19" t="s">
        <v>5581</v>
      </c>
      <c r="B458" s="19" t="s">
        <v>5569</v>
      </c>
      <c r="C458" s="19"/>
      <c r="D458" s="19" t="s">
        <v>1873</v>
      </c>
      <c r="E458" s="20" t="s">
        <v>1874</v>
      </c>
      <c r="F458" s="19"/>
      <c r="G458" s="21" t="s">
        <v>22</v>
      </c>
      <c r="H458" s="22" t="b">
        <v>0</v>
      </c>
      <c r="I458" s="22" t="b">
        <v>0</v>
      </c>
      <c r="J458" s="22" t="b">
        <v>0</v>
      </c>
      <c r="K458" s="22" t="b">
        <v>0</v>
      </c>
      <c r="L458" s="22" t="b">
        <v>0</v>
      </c>
      <c r="M458" s="21"/>
      <c r="N458" s="23">
        <v>0</v>
      </c>
      <c r="O458" s="24"/>
      <c r="P458" s="19"/>
      <c r="Q458" s="25"/>
      <c r="R458" s="25"/>
      <c r="S458" s="19"/>
      <c r="T458" s="26"/>
      <c r="U458" s="27" t="s">
        <v>21</v>
      </c>
      <c r="V458" s="28" t="s">
        <v>1875</v>
      </c>
      <c r="W458" s="29" t="s">
        <v>26</v>
      </c>
    </row>
    <row r="459" spans="1:23" ht="30" customHeight="1">
      <c r="A459" s="19" t="s">
        <v>5581</v>
      </c>
      <c r="B459" s="19" t="s">
        <v>5569</v>
      </c>
      <c r="C459" s="19"/>
      <c r="D459" s="19" t="s">
        <v>1877</v>
      </c>
      <c r="E459" s="20" t="s">
        <v>1878</v>
      </c>
      <c r="F459" s="19"/>
      <c r="G459" s="21" t="s">
        <v>22</v>
      </c>
      <c r="H459" s="22" t="b">
        <v>0</v>
      </c>
      <c r="I459" s="22" t="b">
        <v>0</v>
      </c>
      <c r="J459" s="22" t="b">
        <v>0</v>
      </c>
      <c r="K459" s="22" t="b">
        <v>0</v>
      </c>
      <c r="L459" s="22" t="b">
        <v>0</v>
      </c>
      <c r="M459" s="21"/>
      <c r="N459" s="23">
        <v>0</v>
      </c>
      <c r="O459" s="24"/>
      <c r="P459" s="19"/>
      <c r="Q459" s="25"/>
      <c r="R459" s="25"/>
      <c r="S459" s="19"/>
      <c r="T459" s="26"/>
      <c r="U459" s="27" t="s">
        <v>21</v>
      </c>
      <c r="V459" s="28" t="s">
        <v>192</v>
      </c>
      <c r="W459" s="29" t="s">
        <v>26</v>
      </c>
    </row>
    <row r="460" spans="1:23" ht="30" customHeight="1">
      <c r="A460" s="19" t="s">
        <v>5581</v>
      </c>
      <c r="B460" s="19" t="s">
        <v>5569</v>
      </c>
      <c r="C460" s="19"/>
      <c r="D460" s="19" t="s">
        <v>1880</v>
      </c>
      <c r="E460" s="20" t="s">
        <v>1881</v>
      </c>
      <c r="F460" s="19"/>
      <c r="G460" s="21" t="s">
        <v>22</v>
      </c>
      <c r="H460" s="22" t="b">
        <v>0</v>
      </c>
      <c r="I460" s="22" t="b">
        <v>0</v>
      </c>
      <c r="J460" s="22" t="b">
        <v>0</v>
      </c>
      <c r="K460" s="22" t="b">
        <v>0</v>
      </c>
      <c r="L460" s="22" t="b">
        <v>0</v>
      </c>
      <c r="M460" s="21"/>
      <c r="N460" s="23">
        <v>0</v>
      </c>
      <c r="O460" s="24"/>
      <c r="P460" s="19"/>
      <c r="Q460" s="25"/>
      <c r="R460" s="25"/>
      <c r="S460" s="19"/>
      <c r="T460" s="26"/>
      <c r="U460" s="27" t="s">
        <v>21</v>
      </c>
      <c r="V460" s="28" t="s">
        <v>192</v>
      </c>
      <c r="W460" s="29" t="s">
        <v>26</v>
      </c>
    </row>
    <row r="461" spans="1:23" ht="30" customHeight="1">
      <c r="A461" s="19" t="s">
        <v>5581</v>
      </c>
      <c r="B461" s="19" t="s">
        <v>5569</v>
      </c>
      <c r="C461" s="19"/>
      <c r="D461" s="19" t="s">
        <v>1883</v>
      </c>
      <c r="E461" s="20" t="s">
        <v>1884</v>
      </c>
      <c r="F461" s="19"/>
      <c r="G461" s="21" t="s">
        <v>22</v>
      </c>
      <c r="H461" s="22" t="b">
        <v>0</v>
      </c>
      <c r="I461" s="22" t="b">
        <v>0</v>
      </c>
      <c r="J461" s="22" t="b">
        <v>0</v>
      </c>
      <c r="K461" s="22" t="b">
        <v>0</v>
      </c>
      <c r="L461" s="22" t="b">
        <v>0</v>
      </c>
      <c r="M461" s="21"/>
      <c r="N461" s="23">
        <v>0</v>
      </c>
      <c r="O461" s="24"/>
      <c r="P461" s="19"/>
      <c r="Q461" s="25"/>
      <c r="R461" s="25"/>
      <c r="S461" s="19"/>
      <c r="T461" s="26"/>
      <c r="U461" s="27" t="s">
        <v>21</v>
      </c>
      <c r="V461" s="28" t="s">
        <v>1885</v>
      </c>
      <c r="W461" s="29" t="s">
        <v>26</v>
      </c>
    </row>
    <row r="462" spans="1:23" ht="30" customHeight="1">
      <c r="A462" s="19" t="s">
        <v>5581</v>
      </c>
      <c r="B462" s="19" t="s">
        <v>5569</v>
      </c>
      <c r="C462" s="19"/>
      <c r="D462" s="19" t="s">
        <v>1887</v>
      </c>
      <c r="E462" s="20" t="s">
        <v>1888</v>
      </c>
      <c r="F462" s="19"/>
      <c r="G462" s="21" t="s">
        <v>22</v>
      </c>
      <c r="H462" s="22" t="b">
        <v>0</v>
      </c>
      <c r="I462" s="22" t="b">
        <v>0</v>
      </c>
      <c r="J462" s="22" t="b">
        <v>0</v>
      </c>
      <c r="K462" s="22" t="b">
        <v>0</v>
      </c>
      <c r="L462" s="22" t="b">
        <v>0</v>
      </c>
      <c r="M462" s="21"/>
      <c r="N462" s="23">
        <v>0</v>
      </c>
      <c r="O462" s="24"/>
      <c r="P462" s="19"/>
      <c r="Q462" s="25"/>
      <c r="R462" s="25"/>
      <c r="S462" s="19"/>
      <c r="T462" s="26"/>
      <c r="U462" s="30" t="s">
        <v>34</v>
      </c>
      <c r="V462" s="28" t="s">
        <v>233</v>
      </c>
      <c r="W462" s="29" t="s">
        <v>26</v>
      </c>
    </row>
    <row r="463" spans="1:23" ht="30" customHeight="1">
      <c r="A463" s="19" t="s">
        <v>5581</v>
      </c>
      <c r="B463" s="19" t="s">
        <v>5569</v>
      </c>
      <c r="C463" s="19"/>
      <c r="D463" s="19" t="s">
        <v>1891</v>
      </c>
      <c r="E463" s="20" t="s">
        <v>1892</v>
      </c>
      <c r="F463" s="19"/>
      <c r="G463" s="21" t="s">
        <v>22</v>
      </c>
      <c r="H463" s="22" t="b">
        <v>0</v>
      </c>
      <c r="I463" s="22" t="b">
        <v>0</v>
      </c>
      <c r="J463" s="22" t="b">
        <v>0</v>
      </c>
      <c r="K463" s="22" t="b">
        <v>0</v>
      </c>
      <c r="L463" s="22" t="b">
        <v>0</v>
      </c>
      <c r="M463" s="21"/>
      <c r="N463" s="23">
        <v>0</v>
      </c>
      <c r="O463" s="24"/>
      <c r="P463" s="19"/>
      <c r="Q463" s="25"/>
      <c r="R463" s="25"/>
      <c r="S463" s="19"/>
      <c r="T463" s="26"/>
      <c r="U463" s="30" t="s">
        <v>34</v>
      </c>
      <c r="V463" s="28" t="s">
        <v>1893</v>
      </c>
      <c r="W463" s="29" t="s">
        <v>26</v>
      </c>
    </row>
    <row r="464" spans="1:23" ht="30" customHeight="1">
      <c r="A464" s="19" t="s">
        <v>5581</v>
      </c>
      <c r="B464" s="19" t="s">
        <v>5569</v>
      </c>
      <c r="C464" s="19"/>
      <c r="D464" s="19" t="s">
        <v>1895</v>
      </c>
      <c r="E464" s="20" t="s">
        <v>1896</v>
      </c>
      <c r="F464" s="19"/>
      <c r="G464" s="21" t="s">
        <v>22</v>
      </c>
      <c r="H464" s="22" t="b">
        <v>0</v>
      </c>
      <c r="I464" s="22" t="b">
        <v>0</v>
      </c>
      <c r="J464" s="22" t="b">
        <v>0</v>
      </c>
      <c r="K464" s="22" t="b">
        <v>0</v>
      </c>
      <c r="L464" s="22" t="b">
        <v>0</v>
      </c>
      <c r="M464" s="21"/>
      <c r="N464" s="23">
        <v>0</v>
      </c>
      <c r="O464" s="24"/>
      <c r="P464" s="19"/>
      <c r="Q464" s="25"/>
      <c r="R464" s="25"/>
      <c r="S464" s="19"/>
      <c r="T464" s="26"/>
      <c r="U464" s="27" t="s">
        <v>21</v>
      </c>
      <c r="V464" s="28" t="s">
        <v>507</v>
      </c>
      <c r="W464" s="29" t="s">
        <v>26</v>
      </c>
    </row>
    <row r="465" spans="1:23" ht="30" customHeight="1">
      <c r="A465" s="19" t="s">
        <v>5581</v>
      </c>
      <c r="B465" s="19" t="s">
        <v>5569</v>
      </c>
      <c r="C465" s="19"/>
      <c r="D465" s="19" t="s">
        <v>1898</v>
      </c>
      <c r="E465" s="20" t="s">
        <v>1899</v>
      </c>
      <c r="F465" s="19"/>
      <c r="G465" s="21" t="s">
        <v>22</v>
      </c>
      <c r="H465" s="22" t="b">
        <v>0</v>
      </c>
      <c r="I465" s="22" t="b">
        <v>0</v>
      </c>
      <c r="J465" s="22" t="b">
        <v>0</v>
      </c>
      <c r="K465" s="22" t="b">
        <v>0</v>
      </c>
      <c r="L465" s="22" t="b">
        <v>0</v>
      </c>
      <c r="M465" s="21"/>
      <c r="N465" s="23">
        <v>0</v>
      </c>
      <c r="O465" s="24"/>
      <c r="P465" s="19"/>
      <c r="Q465" s="25"/>
      <c r="R465" s="25"/>
      <c r="S465" s="19"/>
      <c r="T465" s="26"/>
      <c r="U465" s="27" t="s">
        <v>21</v>
      </c>
      <c r="V465" s="28" t="s">
        <v>1900</v>
      </c>
      <c r="W465" s="29" t="s">
        <v>26</v>
      </c>
    </row>
    <row r="466" spans="1:23" ht="30" customHeight="1">
      <c r="A466" s="19" t="s">
        <v>5581</v>
      </c>
      <c r="B466" s="19" t="s">
        <v>5569</v>
      </c>
      <c r="C466" s="19"/>
      <c r="D466" s="19" t="s">
        <v>1901</v>
      </c>
      <c r="E466" s="20" t="s">
        <v>1902</v>
      </c>
      <c r="F466" s="19"/>
      <c r="G466" s="21" t="s">
        <v>156</v>
      </c>
      <c r="H466" s="22" t="b">
        <v>0</v>
      </c>
      <c r="I466" s="22" t="b">
        <v>0</v>
      </c>
      <c r="J466" s="22" t="b">
        <v>0</v>
      </c>
      <c r="K466" s="22" t="b">
        <v>0</v>
      </c>
      <c r="L466" s="22" t="b">
        <v>0</v>
      </c>
      <c r="M466" s="21"/>
      <c r="N466" s="23">
        <v>0</v>
      </c>
      <c r="O466" s="24"/>
      <c r="P466" s="19"/>
      <c r="Q466" s="25"/>
      <c r="R466" s="25"/>
      <c r="S466" s="19"/>
      <c r="T466" s="26"/>
      <c r="U466" s="27" t="s">
        <v>21</v>
      </c>
      <c r="V466" s="28" t="s">
        <v>1903</v>
      </c>
      <c r="W466" s="29" t="s">
        <v>26</v>
      </c>
    </row>
    <row r="467" spans="1:23" ht="30" customHeight="1">
      <c r="A467" s="19" t="s">
        <v>5581</v>
      </c>
      <c r="B467" s="19" t="s">
        <v>5569</v>
      </c>
      <c r="C467" s="19"/>
      <c r="D467" s="19" t="s">
        <v>1905</v>
      </c>
      <c r="E467" s="20" t="s">
        <v>1906</v>
      </c>
      <c r="F467" s="19"/>
      <c r="G467" s="21" t="s">
        <v>22</v>
      </c>
      <c r="H467" s="22" t="b">
        <v>0</v>
      </c>
      <c r="I467" s="22" t="b">
        <v>0</v>
      </c>
      <c r="J467" s="22" t="b">
        <v>0</v>
      </c>
      <c r="K467" s="22" t="b">
        <v>0</v>
      </c>
      <c r="L467" s="22" t="b">
        <v>0</v>
      </c>
      <c r="M467" s="21"/>
      <c r="N467" s="23">
        <v>0</v>
      </c>
      <c r="O467" s="24"/>
      <c r="P467" s="19"/>
      <c r="Q467" s="25"/>
      <c r="R467" s="25"/>
      <c r="S467" s="19"/>
      <c r="T467" s="26"/>
      <c r="U467" s="30" t="s">
        <v>34</v>
      </c>
      <c r="V467" s="28" t="s">
        <v>1907</v>
      </c>
      <c r="W467" s="29" t="s">
        <v>26</v>
      </c>
    </row>
    <row r="468" spans="1:23" ht="30" customHeight="1">
      <c r="A468" s="19" t="s">
        <v>5581</v>
      </c>
      <c r="B468" s="19" t="s">
        <v>5569</v>
      </c>
      <c r="C468" s="19"/>
      <c r="D468" s="19" t="s">
        <v>1909</v>
      </c>
      <c r="E468" s="20" t="s">
        <v>1910</v>
      </c>
      <c r="F468" s="19"/>
      <c r="G468" s="21" t="s">
        <v>22</v>
      </c>
      <c r="H468" s="22" t="b">
        <v>0</v>
      </c>
      <c r="I468" s="22" t="b">
        <v>0</v>
      </c>
      <c r="J468" s="22" t="b">
        <v>0</v>
      </c>
      <c r="K468" s="22" t="b">
        <v>0</v>
      </c>
      <c r="L468" s="22" t="b">
        <v>0</v>
      </c>
      <c r="M468" s="21"/>
      <c r="N468" s="23">
        <v>0</v>
      </c>
      <c r="O468" s="24"/>
      <c r="P468" s="19"/>
      <c r="Q468" s="25"/>
      <c r="R468" s="25"/>
      <c r="S468" s="19"/>
      <c r="T468" s="26"/>
      <c r="U468" s="30" t="s">
        <v>34</v>
      </c>
      <c r="V468" s="28" t="s">
        <v>1911</v>
      </c>
      <c r="W468" s="29" t="s">
        <v>26</v>
      </c>
    </row>
    <row r="469" spans="1:23" ht="30" customHeight="1">
      <c r="A469" s="19" t="s">
        <v>5581</v>
      </c>
      <c r="B469" s="19" t="s">
        <v>5569</v>
      </c>
      <c r="C469" s="19"/>
      <c r="D469" s="19" t="s">
        <v>1913</v>
      </c>
      <c r="E469" s="20" t="s">
        <v>1914</v>
      </c>
      <c r="F469" s="19"/>
      <c r="G469" s="21" t="s">
        <v>22</v>
      </c>
      <c r="H469" s="22" t="b">
        <v>0</v>
      </c>
      <c r="I469" s="22" t="b">
        <v>0</v>
      </c>
      <c r="J469" s="22" t="b">
        <v>0</v>
      </c>
      <c r="K469" s="22" t="b">
        <v>0</v>
      </c>
      <c r="L469" s="22" t="b">
        <v>0</v>
      </c>
      <c r="M469" s="21"/>
      <c r="N469" s="23">
        <v>0</v>
      </c>
      <c r="O469" s="24"/>
      <c r="P469" s="19"/>
      <c r="Q469" s="25"/>
      <c r="R469" s="25"/>
      <c r="S469" s="19"/>
      <c r="T469" s="26"/>
      <c r="U469" s="27" t="s">
        <v>21</v>
      </c>
      <c r="V469" s="28" t="s">
        <v>507</v>
      </c>
      <c r="W469" s="29" t="s">
        <v>26</v>
      </c>
    </row>
    <row r="470" spans="1:23" ht="30" customHeight="1">
      <c r="A470" s="19" t="s">
        <v>5581</v>
      </c>
      <c r="B470" s="19" t="s">
        <v>5569</v>
      </c>
      <c r="C470" s="19"/>
      <c r="D470" s="19" t="s">
        <v>1916</v>
      </c>
      <c r="E470" s="20" t="s">
        <v>1917</v>
      </c>
      <c r="F470" s="19"/>
      <c r="G470" s="21" t="s">
        <v>29</v>
      </c>
      <c r="H470" s="22" t="b">
        <v>0</v>
      </c>
      <c r="I470" s="22" t="b">
        <v>0</v>
      </c>
      <c r="J470" s="22" t="b">
        <v>0</v>
      </c>
      <c r="K470" s="22" t="b">
        <v>0</v>
      </c>
      <c r="L470" s="22" t="b">
        <v>0</v>
      </c>
      <c r="M470" s="21"/>
      <c r="N470" s="23">
        <v>0</v>
      </c>
      <c r="O470" s="24"/>
      <c r="P470" s="19"/>
      <c r="Q470" s="25"/>
      <c r="R470" s="25"/>
      <c r="S470" s="19"/>
      <c r="T470" s="26"/>
      <c r="U470" s="30" t="s">
        <v>34</v>
      </c>
      <c r="V470" s="28" t="s">
        <v>233</v>
      </c>
      <c r="W470" s="29" t="s">
        <v>26</v>
      </c>
    </row>
    <row r="471" spans="1:23" ht="30" customHeight="1">
      <c r="A471" s="19" t="s">
        <v>5581</v>
      </c>
      <c r="B471" s="19" t="s">
        <v>5569</v>
      </c>
      <c r="C471" s="19"/>
      <c r="D471" s="19" t="s">
        <v>1919</v>
      </c>
      <c r="E471" s="20" t="s">
        <v>1920</v>
      </c>
      <c r="F471" s="19"/>
      <c r="G471" s="21" t="s">
        <v>22</v>
      </c>
      <c r="H471" s="22" t="b">
        <v>0</v>
      </c>
      <c r="I471" s="22" t="b">
        <v>0</v>
      </c>
      <c r="J471" s="22" t="b">
        <v>0</v>
      </c>
      <c r="K471" s="22" t="b">
        <v>0</v>
      </c>
      <c r="L471" s="22" t="b">
        <v>0</v>
      </c>
      <c r="M471" s="21"/>
      <c r="N471" s="23">
        <v>0</v>
      </c>
      <c r="O471" s="24"/>
      <c r="P471" s="19"/>
      <c r="Q471" s="25"/>
      <c r="R471" s="25"/>
      <c r="S471" s="19"/>
      <c r="T471" s="26"/>
      <c r="U471" s="27" t="s">
        <v>21</v>
      </c>
      <c r="V471" s="28" t="s">
        <v>192</v>
      </c>
      <c r="W471" s="29" t="s">
        <v>26</v>
      </c>
    </row>
    <row r="472" spans="1:23" ht="30" customHeight="1">
      <c r="A472" s="19" t="s">
        <v>5581</v>
      </c>
      <c r="B472" s="19" t="s">
        <v>5569</v>
      </c>
      <c r="C472" s="19"/>
      <c r="D472" s="19" t="s">
        <v>1922</v>
      </c>
      <c r="E472" s="20" t="s">
        <v>1923</v>
      </c>
      <c r="F472" s="19"/>
      <c r="G472" s="21" t="s">
        <v>22</v>
      </c>
      <c r="H472" s="22" t="b">
        <v>0</v>
      </c>
      <c r="I472" s="22" t="b">
        <v>0</v>
      </c>
      <c r="J472" s="22" t="b">
        <v>0</v>
      </c>
      <c r="K472" s="22" t="b">
        <v>0</v>
      </c>
      <c r="L472" s="22" t="b">
        <v>0</v>
      </c>
      <c r="M472" s="21"/>
      <c r="N472" s="23">
        <v>0</v>
      </c>
      <c r="O472" s="24"/>
      <c r="P472" s="19"/>
      <c r="Q472" s="25"/>
      <c r="R472" s="25"/>
      <c r="S472" s="19"/>
      <c r="T472" s="26"/>
      <c r="U472" s="30" t="s">
        <v>34</v>
      </c>
      <c r="V472" s="28" t="s">
        <v>904</v>
      </c>
      <c r="W472" s="29" t="s">
        <v>26</v>
      </c>
    </row>
    <row r="473" spans="1:23" ht="30" customHeight="1">
      <c r="A473" s="19" t="s">
        <v>5581</v>
      </c>
      <c r="B473" s="19" t="s">
        <v>5569</v>
      </c>
      <c r="C473" s="19"/>
      <c r="D473" s="19" t="s">
        <v>1925</v>
      </c>
      <c r="E473" s="20" t="s">
        <v>1926</v>
      </c>
      <c r="F473" s="19"/>
      <c r="G473" s="21" t="s">
        <v>22</v>
      </c>
      <c r="H473" s="22" t="b">
        <v>0</v>
      </c>
      <c r="I473" s="22" t="b">
        <v>0</v>
      </c>
      <c r="J473" s="22" t="b">
        <v>0</v>
      </c>
      <c r="K473" s="22" t="b">
        <v>0</v>
      </c>
      <c r="L473" s="22" t="b">
        <v>0</v>
      </c>
      <c r="M473" s="21"/>
      <c r="N473" s="23">
        <v>0</v>
      </c>
      <c r="O473" s="24"/>
      <c r="P473" s="19"/>
      <c r="Q473" s="25"/>
      <c r="R473" s="25"/>
      <c r="S473" s="19"/>
      <c r="T473" s="26"/>
      <c r="U473" s="27" t="s">
        <v>21</v>
      </c>
      <c r="V473" s="28" t="s">
        <v>1927</v>
      </c>
      <c r="W473" s="29" t="s">
        <v>26</v>
      </c>
    </row>
    <row r="474" spans="1:23" ht="30" customHeight="1">
      <c r="A474" s="19" t="s">
        <v>5581</v>
      </c>
      <c r="B474" s="19" t="s">
        <v>5569</v>
      </c>
      <c r="C474" s="19"/>
      <c r="D474" s="19" t="s">
        <v>1929</v>
      </c>
      <c r="E474" s="20" t="s">
        <v>1930</v>
      </c>
      <c r="F474" s="19"/>
      <c r="G474" s="21" t="s">
        <v>22</v>
      </c>
      <c r="H474" s="22" t="b">
        <v>0</v>
      </c>
      <c r="I474" s="22" t="b">
        <v>0</v>
      </c>
      <c r="J474" s="22" t="b">
        <v>0</v>
      </c>
      <c r="K474" s="22" t="b">
        <v>0</v>
      </c>
      <c r="L474" s="22" t="b">
        <v>0</v>
      </c>
      <c r="M474" s="21"/>
      <c r="N474" s="23">
        <v>0</v>
      </c>
      <c r="O474" s="24"/>
      <c r="P474" s="19"/>
      <c r="Q474" s="25"/>
      <c r="R474" s="25"/>
      <c r="S474" s="19"/>
      <c r="T474" s="26"/>
      <c r="U474" s="27" t="s">
        <v>21</v>
      </c>
      <c r="V474" s="28" t="s">
        <v>1931</v>
      </c>
      <c r="W474" s="29" t="s">
        <v>26</v>
      </c>
    </row>
    <row r="475" spans="1:23" ht="30" customHeight="1">
      <c r="A475" s="19" t="s">
        <v>5581</v>
      </c>
      <c r="B475" s="19" t="s">
        <v>5569</v>
      </c>
      <c r="C475" s="19"/>
      <c r="D475" s="19" t="s">
        <v>1933</v>
      </c>
      <c r="E475" s="20" t="s">
        <v>1934</v>
      </c>
      <c r="F475" s="19"/>
      <c r="G475" s="21" t="s">
        <v>22</v>
      </c>
      <c r="H475" s="22" t="b">
        <v>0</v>
      </c>
      <c r="I475" s="22" t="b">
        <v>0</v>
      </c>
      <c r="J475" s="22" t="b">
        <v>0</v>
      </c>
      <c r="K475" s="22" t="b">
        <v>0</v>
      </c>
      <c r="L475" s="22" t="b">
        <v>0</v>
      </c>
      <c r="M475" s="21"/>
      <c r="N475" s="23">
        <v>0</v>
      </c>
      <c r="O475" s="24"/>
      <c r="P475" s="19"/>
      <c r="Q475" s="25"/>
      <c r="R475" s="25"/>
      <c r="S475" s="19"/>
      <c r="T475" s="26"/>
      <c r="U475" s="30" t="s">
        <v>34</v>
      </c>
      <c r="V475" s="28" t="s">
        <v>1505</v>
      </c>
      <c r="W475" s="29" t="s">
        <v>26</v>
      </c>
    </row>
    <row r="476" spans="1:23" ht="30" customHeight="1">
      <c r="A476" s="19" t="s">
        <v>5581</v>
      </c>
      <c r="B476" s="19" t="s">
        <v>5569</v>
      </c>
      <c r="C476" s="19"/>
      <c r="D476" s="19" t="s">
        <v>1936</v>
      </c>
      <c r="E476" s="20" t="s">
        <v>1937</v>
      </c>
      <c r="F476" s="19"/>
      <c r="G476" s="21" t="s">
        <v>22</v>
      </c>
      <c r="H476" s="22" t="b">
        <v>0</v>
      </c>
      <c r="I476" s="22" t="b">
        <v>0</v>
      </c>
      <c r="J476" s="22" t="b">
        <v>0</v>
      </c>
      <c r="K476" s="22" t="b">
        <v>0</v>
      </c>
      <c r="L476" s="22" t="b">
        <v>0</v>
      </c>
      <c r="M476" s="21"/>
      <c r="N476" s="23">
        <v>0</v>
      </c>
      <c r="O476" s="24"/>
      <c r="P476" s="19"/>
      <c r="Q476" s="25"/>
      <c r="R476" s="25"/>
      <c r="S476" s="19"/>
      <c r="T476" s="26"/>
      <c r="U476" s="30" t="s">
        <v>34</v>
      </c>
      <c r="V476" s="28" t="s">
        <v>1938</v>
      </c>
      <c r="W476" s="29" t="s">
        <v>26</v>
      </c>
    </row>
    <row r="477" spans="1:23" ht="30" customHeight="1">
      <c r="A477" s="19" t="s">
        <v>5581</v>
      </c>
      <c r="B477" s="19" t="s">
        <v>5569</v>
      </c>
      <c r="C477" s="19"/>
      <c r="D477" s="19" t="s">
        <v>1940</v>
      </c>
      <c r="E477" s="20" t="s">
        <v>1941</v>
      </c>
      <c r="F477" s="19"/>
      <c r="G477" s="21" t="s">
        <v>22</v>
      </c>
      <c r="H477" s="22" t="b">
        <v>0</v>
      </c>
      <c r="I477" s="22" t="b">
        <v>0</v>
      </c>
      <c r="J477" s="22" t="b">
        <v>0</v>
      </c>
      <c r="K477" s="22" t="b">
        <v>0</v>
      </c>
      <c r="L477" s="22" t="b">
        <v>0</v>
      </c>
      <c r="M477" s="21"/>
      <c r="N477" s="23">
        <v>0</v>
      </c>
      <c r="O477" s="24"/>
      <c r="P477" s="19"/>
      <c r="Q477" s="25"/>
      <c r="R477" s="25"/>
      <c r="S477" s="19"/>
      <c r="T477" s="26"/>
      <c r="U477" s="27" t="s">
        <v>21</v>
      </c>
      <c r="V477" s="28" t="s">
        <v>1942</v>
      </c>
      <c r="W477" s="29" t="s">
        <v>26</v>
      </c>
    </row>
    <row r="478" spans="1:23" ht="30" customHeight="1">
      <c r="A478" s="19" t="s">
        <v>5581</v>
      </c>
      <c r="B478" s="19" t="s">
        <v>5569</v>
      </c>
      <c r="C478" s="19"/>
      <c r="D478" s="19" t="s">
        <v>1945</v>
      </c>
      <c r="E478" s="20" t="s">
        <v>1946</v>
      </c>
      <c r="F478" s="19"/>
      <c r="G478" s="21" t="s">
        <v>22</v>
      </c>
      <c r="H478" s="22" t="b">
        <v>0</v>
      </c>
      <c r="I478" s="22" t="b">
        <v>0</v>
      </c>
      <c r="J478" s="22" t="b">
        <v>0</v>
      </c>
      <c r="K478" s="22" t="b">
        <v>0</v>
      </c>
      <c r="L478" s="22" t="b">
        <v>0</v>
      </c>
      <c r="M478" s="21"/>
      <c r="N478" s="23">
        <v>0</v>
      </c>
      <c r="O478" s="24"/>
      <c r="P478" s="19"/>
      <c r="Q478" s="25"/>
      <c r="R478" s="25"/>
      <c r="S478" s="19"/>
      <c r="T478" s="26"/>
      <c r="U478" s="27" t="s">
        <v>21</v>
      </c>
      <c r="V478" s="28" t="s">
        <v>1947</v>
      </c>
      <c r="W478" s="29" t="s">
        <v>26</v>
      </c>
    </row>
    <row r="479" spans="1:23" ht="30" customHeight="1">
      <c r="A479" s="19" t="s">
        <v>5581</v>
      </c>
      <c r="B479" s="19" t="s">
        <v>5569</v>
      </c>
      <c r="C479" s="19"/>
      <c r="D479" s="19" t="s">
        <v>1949</v>
      </c>
      <c r="E479" s="20" t="s">
        <v>1950</v>
      </c>
      <c r="F479" s="19"/>
      <c r="G479" s="21" t="s">
        <v>22</v>
      </c>
      <c r="H479" s="22" t="b">
        <v>0</v>
      </c>
      <c r="I479" s="22" t="b">
        <v>0</v>
      </c>
      <c r="J479" s="22" t="b">
        <v>0</v>
      </c>
      <c r="K479" s="22" t="b">
        <v>0</v>
      </c>
      <c r="L479" s="22" t="b">
        <v>0</v>
      </c>
      <c r="M479" s="21"/>
      <c r="N479" s="23">
        <v>0</v>
      </c>
      <c r="O479" s="24"/>
      <c r="P479" s="19"/>
      <c r="Q479" s="25"/>
      <c r="R479" s="25"/>
      <c r="S479" s="19"/>
      <c r="T479" s="26"/>
      <c r="U479" s="27" t="s">
        <v>21</v>
      </c>
      <c r="V479" s="28" t="s">
        <v>998</v>
      </c>
      <c r="W479" s="29" t="s">
        <v>26</v>
      </c>
    </row>
    <row r="480" spans="1:23" ht="30" customHeight="1">
      <c r="A480" s="19" t="s">
        <v>5581</v>
      </c>
      <c r="B480" s="19" t="s">
        <v>5569</v>
      </c>
      <c r="C480" s="19"/>
      <c r="D480" s="19" t="s">
        <v>1953</v>
      </c>
      <c r="E480" s="20" t="s">
        <v>1954</v>
      </c>
      <c r="F480" s="19"/>
      <c r="G480" s="21" t="s">
        <v>22</v>
      </c>
      <c r="H480" s="22" t="b">
        <v>0</v>
      </c>
      <c r="I480" s="22" t="b">
        <v>0</v>
      </c>
      <c r="J480" s="22" t="b">
        <v>0</v>
      </c>
      <c r="K480" s="22" t="b">
        <v>0</v>
      </c>
      <c r="L480" s="22" t="b">
        <v>0</v>
      </c>
      <c r="M480" s="21"/>
      <c r="N480" s="23">
        <v>0</v>
      </c>
      <c r="O480" s="24"/>
      <c r="P480" s="19"/>
      <c r="Q480" s="25"/>
      <c r="R480" s="25"/>
      <c r="S480" s="19"/>
      <c r="T480" s="26"/>
      <c r="U480" s="27" t="s">
        <v>21</v>
      </c>
      <c r="V480" s="28" t="s">
        <v>1955</v>
      </c>
      <c r="W480" s="29" t="s">
        <v>26</v>
      </c>
    </row>
    <row r="481" spans="1:23" ht="30" customHeight="1">
      <c r="A481" s="19" t="s">
        <v>5581</v>
      </c>
      <c r="B481" s="19" t="s">
        <v>5569</v>
      </c>
      <c r="C481" s="19"/>
      <c r="D481" s="19" t="s">
        <v>1957</v>
      </c>
      <c r="E481" s="20" t="s">
        <v>1958</v>
      </c>
      <c r="F481" s="19"/>
      <c r="G481" s="21" t="s">
        <v>22</v>
      </c>
      <c r="H481" s="22" t="b">
        <v>0</v>
      </c>
      <c r="I481" s="22" t="b">
        <v>0</v>
      </c>
      <c r="J481" s="22" t="b">
        <v>0</v>
      </c>
      <c r="K481" s="22" t="b">
        <v>0</v>
      </c>
      <c r="L481" s="22" t="b">
        <v>0</v>
      </c>
      <c r="M481" s="21"/>
      <c r="N481" s="23">
        <v>0</v>
      </c>
      <c r="O481" s="24"/>
      <c r="P481" s="19"/>
      <c r="Q481" s="25"/>
      <c r="R481" s="25"/>
      <c r="S481" s="19"/>
      <c r="T481" s="26"/>
      <c r="U481" s="27" t="s">
        <v>21</v>
      </c>
      <c r="V481" s="28" t="s">
        <v>1959</v>
      </c>
      <c r="W481" s="29" t="s">
        <v>26</v>
      </c>
    </row>
    <row r="482" spans="1:23" ht="30" customHeight="1">
      <c r="A482" s="19" t="s">
        <v>5581</v>
      </c>
      <c r="B482" s="19" t="s">
        <v>5569</v>
      </c>
      <c r="C482" s="19"/>
      <c r="D482" s="19" t="s">
        <v>1961</v>
      </c>
      <c r="E482" s="20" t="s">
        <v>1962</v>
      </c>
      <c r="F482" s="19"/>
      <c r="G482" s="21" t="s">
        <v>29</v>
      </c>
      <c r="H482" s="22" t="b">
        <v>0</v>
      </c>
      <c r="I482" s="22" t="b">
        <v>0</v>
      </c>
      <c r="J482" s="22" t="b">
        <v>0</v>
      </c>
      <c r="K482" s="22" t="b">
        <v>0</v>
      </c>
      <c r="L482" s="22" t="b">
        <v>0</v>
      </c>
      <c r="M482" s="21"/>
      <c r="N482" s="23">
        <v>0</v>
      </c>
      <c r="O482" s="24"/>
      <c r="P482" s="19"/>
      <c r="Q482" s="25"/>
      <c r="R482" s="25"/>
      <c r="S482" s="19"/>
      <c r="T482" s="26"/>
      <c r="U482" s="27" t="s">
        <v>21</v>
      </c>
      <c r="V482" s="28" t="s">
        <v>1963</v>
      </c>
      <c r="W482" s="29" t="s">
        <v>26</v>
      </c>
    </row>
    <row r="483" spans="1:23" ht="30" customHeight="1">
      <c r="A483" s="19" t="s">
        <v>5581</v>
      </c>
      <c r="B483" s="19" t="s">
        <v>5569</v>
      </c>
      <c r="C483" s="19"/>
      <c r="D483" s="19" t="s">
        <v>1965</v>
      </c>
      <c r="E483" s="20" t="s">
        <v>1966</v>
      </c>
      <c r="F483" s="19"/>
      <c r="G483" s="21" t="s">
        <v>22</v>
      </c>
      <c r="H483" s="22" t="b">
        <v>0</v>
      </c>
      <c r="I483" s="22" t="b">
        <v>0</v>
      </c>
      <c r="J483" s="22" t="b">
        <v>0</v>
      </c>
      <c r="K483" s="22" t="b">
        <v>0</v>
      </c>
      <c r="L483" s="22" t="b">
        <v>0</v>
      </c>
      <c r="M483" s="21"/>
      <c r="N483" s="23">
        <v>0</v>
      </c>
      <c r="O483" s="24"/>
      <c r="P483" s="19"/>
      <c r="Q483" s="25"/>
      <c r="R483" s="25"/>
      <c r="S483" s="19"/>
      <c r="T483" s="26"/>
      <c r="U483" s="27" t="s">
        <v>21</v>
      </c>
      <c r="V483" s="28" t="s">
        <v>1735</v>
      </c>
      <c r="W483" s="29" t="s">
        <v>26</v>
      </c>
    </row>
    <row r="484" spans="1:23" ht="30" customHeight="1">
      <c r="A484" s="19" t="s">
        <v>5581</v>
      </c>
      <c r="B484" s="19" t="s">
        <v>5569</v>
      </c>
      <c r="C484" s="19"/>
      <c r="D484" s="19" t="s">
        <v>1968</v>
      </c>
      <c r="E484" s="20" t="s">
        <v>1969</v>
      </c>
      <c r="F484" s="19"/>
      <c r="G484" s="21" t="s">
        <v>22</v>
      </c>
      <c r="H484" s="22" t="b">
        <v>0</v>
      </c>
      <c r="I484" s="22" t="b">
        <v>0</v>
      </c>
      <c r="J484" s="22" t="b">
        <v>0</v>
      </c>
      <c r="K484" s="22" t="b">
        <v>0</v>
      </c>
      <c r="L484" s="22" t="b">
        <v>0</v>
      </c>
      <c r="M484" s="21"/>
      <c r="N484" s="23">
        <v>0</v>
      </c>
      <c r="O484" s="24"/>
      <c r="P484" s="19"/>
      <c r="Q484" s="25"/>
      <c r="R484" s="25"/>
      <c r="S484" s="19"/>
      <c r="T484" s="26"/>
      <c r="U484" s="27" t="s">
        <v>21</v>
      </c>
      <c r="V484" s="28" t="s">
        <v>1223</v>
      </c>
      <c r="W484" s="29" t="s">
        <v>26</v>
      </c>
    </row>
    <row r="485" spans="1:23" ht="30" customHeight="1">
      <c r="A485" s="19" t="s">
        <v>5581</v>
      </c>
      <c r="B485" s="19" t="s">
        <v>5569</v>
      </c>
      <c r="C485" s="19"/>
      <c r="D485" s="19" t="s">
        <v>1971</v>
      </c>
      <c r="E485" s="20" t="s">
        <v>1972</v>
      </c>
      <c r="F485" s="19"/>
      <c r="G485" s="21" t="s">
        <v>22</v>
      </c>
      <c r="H485" s="22" t="b">
        <v>0</v>
      </c>
      <c r="I485" s="22" t="b">
        <v>0</v>
      </c>
      <c r="J485" s="22" t="b">
        <v>0</v>
      </c>
      <c r="K485" s="22" t="b">
        <v>0</v>
      </c>
      <c r="L485" s="22" t="b">
        <v>0</v>
      </c>
      <c r="M485" s="21"/>
      <c r="N485" s="23">
        <v>0</v>
      </c>
      <c r="O485" s="24"/>
      <c r="P485" s="19"/>
      <c r="Q485" s="25"/>
      <c r="R485" s="25"/>
      <c r="S485" s="19"/>
      <c r="T485" s="26"/>
      <c r="U485" s="27" t="s">
        <v>21</v>
      </c>
      <c r="V485" s="28" t="s">
        <v>1973</v>
      </c>
      <c r="W485" s="29" t="s">
        <v>26</v>
      </c>
    </row>
    <row r="486" spans="1:23" ht="30" customHeight="1">
      <c r="A486" s="19" t="s">
        <v>5581</v>
      </c>
      <c r="B486" s="19" t="s">
        <v>5569</v>
      </c>
      <c r="C486" s="19"/>
      <c r="D486" s="19" t="s">
        <v>1975</v>
      </c>
      <c r="E486" s="20" t="s">
        <v>1976</v>
      </c>
      <c r="F486" s="19"/>
      <c r="G486" s="21" t="s">
        <v>22</v>
      </c>
      <c r="H486" s="22" t="b">
        <v>0</v>
      </c>
      <c r="I486" s="22" t="b">
        <v>0</v>
      </c>
      <c r="J486" s="22" t="b">
        <v>0</v>
      </c>
      <c r="K486" s="22" t="b">
        <v>0</v>
      </c>
      <c r="L486" s="22" t="b">
        <v>0</v>
      </c>
      <c r="M486" s="21"/>
      <c r="N486" s="23">
        <v>0</v>
      </c>
      <c r="O486" s="24"/>
      <c r="P486" s="19"/>
      <c r="Q486" s="25"/>
      <c r="R486" s="25"/>
      <c r="S486" s="19"/>
      <c r="T486" s="26"/>
      <c r="U486" s="27" t="s">
        <v>21</v>
      </c>
      <c r="V486" s="28" t="s">
        <v>913</v>
      </c>
      <c r="W486" s="29" t="s">
        <v>26</v>
      </c>
    </row>
    <row r="487" spans="1:23" ht="30" customHeight="1">
      <c r="A487" s="19" t="s">
        <v>5581</v>
      </c>
      <c r="B487" s="19" t="s">
        <v>5569</v>
      </c>
      <c r="C487" s="19"/>
      <c r="D487" s="19" t="s">
        <v>1978</v>
      </c>
      <c r="E487" s="20" t="s">
        <v>1979</v>
      </c>
      <c r="F487" s="19"/>
      <c r="G487" s="21" t="s">
        <v>22</v>
      </c>
      <c r="H487" s="22" t="b">
        <v>0</v>
      </c>
      <c r="I487" s="22" t="b">
        <v>0</v>
      </c>
      <c r="J487" s="22" t="b">
        <v>0</v>
      </c>
      <c r="K487" s="22" t="b">
        <v>0</v>
      </c>
      <c r="L487" s="22" t="b">
        <v>0</v>
      </c>
      <c r="M487" s="21"/>
      <c r="N487" s="23">
        <v>0</v>
      </c>
      <c r="O487" s="24"/>
      <c r="P487" s="19"/>
      <c r="Q487" s="25"/>
      <c r="R487" s="25"/>
      <c r="S487" s="19"/>
      <c r="T487" s="26"/>
      <c r="U487" s="27" t="s">
        <v>21</v>
      </c>
      <c r="V487" s="28" t="s">
        <v>1955</v>
      </c>
      <c r="W487" s="29" t="s">
        <v>26</v>
      </c>
    </row>
    <row r="488" spans="1:23" ht="30" customHeight="1">
      <c r="A488" s="19" t="s">
        <v>5581</v>
      </c>
      <c r="B488" s="19" t="s">
        <v>5569</v>
      </c>
      <c r="C488" s="19"/>
      <c r="D488" s="19" t="s">
        <v>1981</v>
      </c>
      <c r="E488" s="20" t="s">
        <v>1982</v>
      </c>
      <c r="F488" s="19"/>
      <c r="G488" s="21" t="s">
        <v>22</v>
      </c>
      <c r="H488" s="22" t="b">
        <v>0</v>
      </c>
      <c r="I488" s="22" t="b">
        <v>0</v>
      </c>
      <c r="J488" s="22" t="b">
        <v>0</v>
      </c>
      <c r="K488" s="22" t="b">
        <v>0</v>
      </c>
      <c r="L488" s="22" t="b">
        <v>0</v>
      </c>
      <c r="M488" s="21"/>
      <c r="N488" s="23">
        <v>0</v>
      </c>
      <c r="O488" s="24"/>
      <c r="P488" s="19"/>
      <c r="Q488" s="25"/>
      <c r="R488" s="25"/>
      <c r="S488" s="19"/>
      <c r="T488" s="26"/>
      <c r="U488" s="30" t="s">
        <v>34</v>
      </c>
      <c r="V488" s="28" t="s">
        <v>1548</v>
      </c>
      <c r="W488" s="29" t="s">
        <v>26</v>
      </c>
    </row>
    <row r="489" spans="1:23" ht="30" customHeight="1">
      <c r="A489" s="19" t="s">
        <v>5581</v>
      </c>
      <c r="B489" s="19" t="s">
        <v>5569</v>
      </c>
      <c r="C489" s="19"/>
      <c r="D489" s="19" t="s">
        <v>1984</v>
      </c>
      <c r="E489" s="20" t="s">
        <v>1691</v>
      </c>
      <c r="F489" s="19"/>
      <c r="G489" s="21" t="s">
        <v>22</v>
      </c>
      <c r="H489" s="22" t="b">
        <v>0</v>
      </c>
      <c r="I489" s="22" t="b">
        <v>0</v>
      </c>
      <c r="J489" s="22" t="b">
        <v>0</v>
      </c>
      <c r="K489" s="22" t="b">
        <v>0</v>
      </c>
      <c r="L489" s="22" t="b">
        <v>0</v>
      </c>
      <c r="M489" s="21"/>
      <c r="N489" s="23">
        <v>0</v>
      </c>
      <c r="O489" s="24"/>
      <c r="P489" s="19"/>
      <c r="Q489" s="25"/>
      <c r="R489" s="25"/>
      <c r="S489" s="19"/>
      <c r="T489" s="26"/>
      <c r="U489" s="27" t="s">
        <v>21</v>
      </c>
      <c r="V489" s="28" t="s">
        <v>1985</v>
      </c>
      <c r="W489" s="29" t="s">
        <v>26</v>
      </c>
    </row>
    <row r="490" spans="1:23" ht="30" customHeight="1">
      <c r="A490" s="19" t="s">
        <v>5581</v>
      </c>
      <c r="B490" s="19" t="s">
        <v>5569</v>
      </c>
      <c r="C490" s="19"/>
      <c r="D490" s="19" t="s">
        <v>1987</v>
      </c>
      <c r="E490" s="20" t="s">
        <v>1988</v>
      </c>
      <c r="F490" s="19"/>
      <c r="G490" s="21" t="s">
        <v>22</v>
      </c>
      <c r="H490" s="22" t="b">
        <v>0</v>
      </c>
      <c r="I490" s="22" t="b">
        <v>0</v>
      </c>
      <c r="J490" s="22" t="b">
        <v>0</v>
      </c>
      <c r="K490" s="22" t="b">
        <v>0</v>
      </c>
      <c r="L490" s="22" t="b">
        <v>0</v>
      </c>
      <c r="M490" s="21"/>
      <c r="N490" s="23">
        <v>0</v>
      </c>
      <c r="O490" s="24"/>
      <c r="P490" s="19"/>
      <c r="Q490" s="25"/>
      <c r="R490" s="25"/>
      <c r="S490" s="19"/>
      <c r="T490" s="26"/>
      <c r="U490" s="27" t="s">
        <v>21</v>
      </c>
      <c r="V490" s="28" t="s">
        <v>1955</v>
      </c>
      <c r="W490" s="29" t="s">
        <v>26</v>
      </c>
    </row>
    <row r="491" spans="1:23" ht="30" customHeight="1">
      <c r="A491" s="19" t="s">
        <v>5581</v>
      </c>
      <c r="B491" s="19" t="s">
        <v>5569</v>
      </c>
      <c r="C491" s="19"/>
      <c r="D491" s="19" t="s">
        <v>1990</v>
      </c>
      <c r="E491" s="20" t="s">
        <v>1991</v>
      </c>
      <c r="F491" s="19"/>
      <c r="G491" s="21" t="s">
        <v>22</v>
      </c>
      <c r="H491" s="22" t="b">
        <v>0</v>
      </c>
      <c r="I491" s="22" t="b">
        <v>0</v>
      </c>
      <c r="J491" s="22" t="b">
        <v>0</v>
      </c>
      <c r="K491" s="22" t="b">
        <v>0</v>
      </c>
      <c r="L491" s="22" t="b">
        <v>0</v>
      </c>
      <c r="M491" s="21"/>
      <c r="N491" s="23">
        <v>0</v>
      </c>
      <c r="O491" s="24"/>
      <c r="P491" s="19"/>
      <c r="Q491" s="25"/>
      <c r="R491" s="25"/>
      <c r="S491" s="19"/>
      <c r="T491" s="26"/>
      <c r="U491" s="27" t="s">
        <v>21</v>
      </c>
      <c r="V491" s="28" t="s">
        <v>913</v>
      </c>
      <c r="W491" s="29" t="s">
        <v>26</v>
      </c>
    </row>
    <row r="492" spans="1:23" ht="30" customHeight="1">
      <c r="A492" s="19" t="s">
        <v>5581</v>
      </c>
      <c r="B492" s="19" t="s">
        <v>5569</v>
      </c>
      <c r="C492" s="19"/>
      <c r="D492" s="19" t="s">
        <v>1993</v>
      </c>
      <c r="E492" s="20" t="s">
        <v>1994</v>
      </c>
      <c r="F492" s="19"/>
      <c r="G492" s="21" t="s">
        <v>29</v>
      </c>
      <c r="H492" s="22" t="b">
        <v>0</v>
      </c>
      <c r="I492" s="22" t="b">
        <v>0</v>
      </c>
      <c r="J492" s="22" t="b">
        <v>0</v>
      </c>
      <c r="K492" s="22" t="b">
        <v>0</v>
      </c>
      <c r="L492" s="22" t="b">
        <v>0</v>
      </c>
      <c r="M492" s="21"/>
      <c r="N492" s="23">
        <v>0</v>
      </c>
      <c r="O492" s="24"/>
      <c r="P492" s="19"/>
      <c r="Q492" s="25"/>
      <c r="R492" s="25"/>
      <c r="S492" s="19"/>
      <c r="T492" s="26"/>
      <c r="U492" s="27" t="s">
        <v>21</v>
      </c>
      <c r="V492" s="28" t="s">
        <v>913</v>
      </c>
      <c r="W492" s="29" t="s">
        <v>26</v>
      </c>
    </row>
    <row r="493" spans="1:23" ht="30" customHeight="1">
      <c r="A493" s="19" t="s">
        <v>5581</v>
      </c>
      <c r="B493" s="19" t="s">
        <v>5569</v>
      </c>
      <c r="C493" s="19"/>
      <c r="D493" s="19" t="s">
        <v>1996</v>
      </c>
      <c r="E493" s="20" t="s">
        <v>1997</v>
      </c>
      <c r="F493" s="19"/>
      <c r="G493" s="21" t="s">
        <v>22</v>
      </c>
      <c r="H493" s="22" t="b">
        <v>0</v>
      </c>
      <c r="I493" s="22" t="b">
        <v>0</v>
      </c>
      <c r="J493" s="22" t="b">
        <v>0</v>
      </c>
      <c r="K493" s="22" t="b">
        <v>0</v>
      </c>
      <c r="L493" s="22" t="b">
        <v>0</v>
      </c>
      <c r="M493" s="21"/>
      <c r="N493" s="23">
        <v>0</v>
      </c>
      <c r="O493" s="24"/>
      <c r="P493" s="19"/>
      <c r="Q493" s="25"/>
      <c r="R493" s="25"/>
      <c r="S493" s="19"/>
      <c r="T493" s="26"/>
      <c r="U493" s="30" t="s">
        <v>34</v>
      </c>
      <c r="V493" s="28" t="s">
        <v>1998</v>
      </c>
      <c r="W493" s="29" t="s">
        <v>26</v>
      </c>
    </row>
    <row r="494" spans="1:23" ht="30" customHeight="1">
      <c r="A494" s="19" t="s">
        <v>5581</v>
      </c>
      <c r="B494" s="19" t="s">
        <v>5569</v>
      </c>
      <c r="C494" s="19"/>
      <c r="D494" s="19" t="s">
        <v>2000</v>
      </c>
      <c r="E494" s="20" t="s">
        <v>2001</v>
      </c>
      <c r="F494" s="19"/>
      <c r="G494" s="21" t="s">
        <v>22</v>
      </c>
      <c r="H494" s="22" t="b">
        <v>0</v>
      </c>
      <c r="I494" s="22" t="b">
        <v>0</v>
      </c>
      <c r="J494" s="22" t="b">
        <v>0</v>
      </c>
      <c r="K494" s="22" t="b">
        <v>0</v>
      </c>
      <c r="L494" s="22" t="b">
        <v>0</v>
      </c>
      <c r="M494" s="21"/>
      <c r="N494" s="23">
        <v>0</v>
      </c>
      <c r="O494" s="24"/>
      <c r="P494" s="19"/>
      <c r="Q494" s="25"/>
      <c r="R494" s="25"/>
      <c r="S494" s="19"/>
      <c r="T494" s="26"/>
      <c r="U494" s="30" t="s">
        <v>34</v>
      </c>
      <c r="V494" s="28" t="s">
        <v>1548</v>
      </c>
      <c r="W494" s="29" t="s">
        <v>26</v>
      </c>
    </row>
    <row r="495" spans="1:23" ht="30" customHeight="1">
      <c r="A495" s="19" t="s">
        <v>5581</v>
      </c>
      <c r="B495" s="19" t="s">
        <v>5569</v>
      </c>
      <c r="C495" s="19"/>
      <c r="D495" s="19" t="s">
        <v>2003</v>
      </c>
      <c r="E495" s="20" t="s">
        <v>2004</v>
      </c>
      <c r="F495" s="19"/>
      <c r="G495" s="21" t="s">
        <v>22</v>
      </c>
      <c r="H495" s="22" t="b">
        <v>0</v>
      </c>
      <c r="I495" s="22" t="b">
        <v>0</v>
      </c>
      <c r="J495" s="22" t="b">
        <v>0</v>
      </c>
      <c r="K495" s="22" t="b">
        <v>0</v>
      </c>
      <c r="L495" s="22" t="b">
        <v>0</v>
      </c>
      <c r="M495" s="21"/>
      <c r="N495" s="23">
        <v>0</v>
      </c>
      <c r="O495" s="24"/>
      <c r="P495" s="19"/>
      <c r="Q495" s="25"/>
      <c r="R495" s="25"/>
      <c r="S495" s="19"/>
      <c r="T495" s="26"/>
      <c r="U495" s="30" t="s">
        <v>34</v>
      </c>
      <c r="V495" s="28" t="s">
        <v>1548</v>
      </c>
      <c r="W495" s="29" t="s">
        <v>26</v>
      </c>
    </row>
    <row r="496" spans="1:23" ht="30" customHeight="1">
      <c r="A496" s="19" t="s">
        <v>5581</v>
      </c>
      <c r="B496" s="19" t="s">
        <v>5569</v>
      </c>
      <c r="C496" s="19"/>
      <c r="D496" s="19" t="s">
        <v>2006</v>
      </c>
      <c r="E496" s="20" t="s">
        <v>2007</v>
      </c>
      <c r="F496" s="19"/>
      <c r="G496" s="21" t="s">
        <v>22</v>
      </c>
      <c r="H496" s="22" t="b">
        <v>0</v>
      </c>
      <c r="I496" s="22" t="b">
        <v>0</v>
      </c>
      <c r="J496" s="22" t="b">
        <v>0</v>
      </c>
      <c r="K496" s="22" t="b">
        <v>0</v>
      </c>
      <c r="L496" s="22" t="b">
        <v>0</v>
      </c>
      <c r="M496" s="21"/>
      <c r="N496" s="23">
        <v>0</v>
      </c>
      <c r="O496" s="24"/>
      <c r="P496" s="19"/>
      <c r="Q496" s="25"/>
      <c r="R496" s="25"/>
      <c r="S496" s="19"/>
      <c r="T496" s="26"/>
      <c r="U496" s="30" t="s">
        <v>34</v>
      </c>
      <c r="V496" s="28" t="s">
        <v>233</v>
      </c>
      <c r="W496" s="29" t="s">
        <v>26</v>
      </c>
    </row>
    <row r="497" spans="1:23" ht="30" customHeight="1">
      <c r="A497" s="19" t="s">
        <v>5581</v>
      </c>
      <c r="B497" s="19" t="s">
        <v>5569</v>
      </c>
      <c r="C497" s="19"/>
      <c r="D497" s="19" t="s">
        <v>2009</v>
      </c>
      <c r="E497" s="20" t="s">
        <v>2010</v>
      </c>
      <c r="F497" s="19"/>
      <c r="G497" s="21" t="s">
        <v>22</v>
      </c>
      <c r="H497" s="22" t="b">
        <v>0</v>
      </c>
      <c r="I497" s="22" t="b">
        <v>0</v>
      </c>
      <c r="J497" s="22" t="b">
        <v>0</v>
      </c>
      <c r="K497" s="22" t="b">
        <v>0</v>
      </c>
      <c r="L497" s="22" t="b">
        <v>0</v>
      </c>
      <c r="M497" s="21"/>
      <c r="N497" s="23">
        <v>0</v>
      </c>
      <c r="O497" s="24"/>
      <c r="P497" s="19"/>
      <c r="Q497" s="25"/>
      <c r="R497" s="25"/>
      <c r="S497" s="19"/>
      <c r="T497" s="26"/>
      <c r="U497" s="27" t="s">
        <v>21</v>
      </c>
      <c r="V497" s="28" t="s">
        <v>1016</v>
      </c>
      <c r="W497" s="29" t="s">
        <v>26</v>
      </c>
    </row>
    <row r="498" spans="1:23" ht="30" customHeight="1">
      <c r="A498" s="19" t="s">
        <v>5581</v>
      </c>
      <c r="B498" s="19" t="s">
        <v>5569</v>
      </c>
      <c r="C498" s="19"/>
      <c r="D498" s="19" t="s">
        <v>2013</v>
      </c>
      <c r="E498" s="20" t="s">
        <v>2014</v>
      </c>
      <c r="F498" s="19"/>
      <c r="G498" s="21" t="s">
        <v>22</v>
      </c>
      <c r="H498" s="22" t="b">
        <v>0</v>
      </c>
      <c r="I498" s="22" t="b">
        <v>0</v>
      </c>
      <c r="J498" s="22" t="b">
        <v>0</v>
      </c>
      <c r="K498" s="22" t="b">
        <v>0</v>
      </c>
      <c r="L498" s="22" t="b">
        <v>0</v>
      </c>
      <c r="M498" s="21"/>
      <c r="N498" s="23">
        <v>0</v>
      </c>
      <c r="O498" s="24"/>
      <c r="P498" s="19"/>
      <c r="Q498" s="25"/>
      <c r="R498" s="25"/>
      <c r="S498" s="19"/>
      <c r="T498" s="26"/>
      <c r="U498" s="27" t="s">
        <v>21</v>
      </c>
      <c r="V498" s="28" t="s">
        <v>913</v>
      </c>
      <c r="W498" s="29" t="s">
        <v>26</v>
      </c>
    </row>
    <row r="499" spans="1:23" ht="30" customHeight="1">
      <c r="A499" s="19" t="s">
        <v>5581</v>
      </c>
      <c r="B499" s="19" t="s">
        <v>5569</v>
      </c>
      <c r="C499" s="19"/>
      <c r="D499" s="19" t="s">
        <v>2016</v>
      </c>
      <c r="E499" s="20" t="s">
        <v>2017</v>
      </c>
      <c r="F499" s="19"/>
      <c r="G499" s="21" t="s">
        <v>22</v>
      </c>
      <c r="H499" s="22" t="b">
        <v>0</v>
      </c>
      <c r="I499" s="22" t="b">
        <v>0</v>
      </c>
      <c r="J499" s="22" t="b">
        <v>0</v>
      </c>
      <c r="K499" s="22" t="b">
        <v>0</v>
      </c>
      <c r="L499" s="22" t="b">
        <v>0</v>
      </c>
      <c r="M499" s="21"/>
      <c r="N499" s="23">
        <v>0</v>
      </c>
      <c r="O499" s="24"/>
      <c r="P499" s="19"/>
      <c r="Q499" s="25"/>
      <c r="R499" s="25"/>
      <c r="S499" s="19"/>
      <c r="T499" s="26"/>
      <c r="U499" s="30" t="s">
        <v>34</v>
      </c>
      <c r="V499" s="28" t="s">
        <v>233</v>
      </c>
      <c r="W499" s="29" t="s">
        <v>26</v>
      </c>
    </row>
    <row r="500" spans="1:23" ht="30" customHeight="1">
      <c r="A500" s="19" t="s">
        <v>5581</v>
      </c>
      <c r="B500" s="19" t="s">
        <v>5569</v>
      </c>
      <c r="C500" s="19"/>
      <c r="D500" s="19" t="s">
        <v>2020</v>
      </c>
      <c r="E500" s="20" t="s">
        <v>2021</v>
      </c>
      <c r="F500" s="19"/>
      <c r="G500" s="21" t="s">
        <v>22</v>
      </c>
      <c r="H500" s="22" t="b">
        <v>0</v>
      </c>
      <c r="I500" s="22" t="b">
        <v>0</v>
      </c>
      <c r="J500" s="22" t="b">
        <v>0</v>
      </c>
      <c r="K500" s="22" t="b">
        <v>0</v>
      </c>
      <c r="L500" s="22" t="b">
        <v>0</v>
      </c>
      <c r="M500" s="21"/>
      <c r="N500" s="23">
        <v>0</v>
      </c>
      <c r="O500" s="24"/>
      <c r="P500" s="19"/>
      <c r="Q500" s="25"/>
      <c r="R500" s="25"/>
      <c r="S500" s="19"/>
      <c r="T500" s="26"/>
      <c r="U500" s="30" t="s">
        <v>34</v>
      </c>
      <c r="V500" s="28" t="s">
        <v>1548</v>
      </c>
      <c r="W500" s="29" t="s">
        <v>26</v>
      </c>
    </row>
    <row r="501" spans="1:23" ht="30" customHeight="1">
      <c r="A501" s="19" t="s">
        <v>5581</v>
      </c>
      <c r="B501" s="19" t="s">
        <v>5569</v>
      </c>
      <c r="C501" s="19"/>
      <c r="D501" s="19" t="s">
        <v>2023</v>
      </c>
      <c r="E501" s="20" t="s">
        <v>2024</v>
      </c>
      <c r="F501" s="19"/>
      <c r="G501" s="21" t="s">
        <v>22</v>
      </c>
      <c r="H501" s="22" t="b">
        <v>0</v>
      </c>
      <c r="I501" s="22" t="b">
        <v>0</v>
      </c>
      <c r="J501" s="22" t="b">
        <v>0</v>
      </c>
      <c r="K501" s="22" t="b">
        <v>0</v>
      </c>
      <c r="L501" s="22" t="b">
        <v>0</v>
      </c>
      <c r="M501" s="21"/>
      <c r="N501" s="23">
        <v>0</v>
      </c>
      <c r="O501" s="24"/>
      <c r="P501" s="19"/>
      <c r="Q501" s="25"/>
      <c r="R501" s="25"/>
      <c r="S501" s="19"/>
      <c r="T501" s="26"/>
      <c r="U501" s="30" t="s">
        <v>34</v>
      </c>
      <c r="V501" s="28" t="s">
        <v>2025</v>
      </c>
      <c r="W501" s="29" t="s">
        <v>26</v>
      </c>
    </row>
    <row r="502" spans="1:23" ht="30" customHeight="1">
      <c r="A502" s="19" t="s">
        <v>5581</v>
      </c>
      <c r="B502" s="19" t="s">
        <v>5569</v>
      </c>
      <c r="C502" s="19"/>
      <c r="D502" s="19" t="s">
        <v>2027</v>
      </c>
      <c r="E502" s="20" t="s">
        <v>2028</v>
      </c>
      <c r="F502" s="19"/>
      <c r="G502" s="21" t="s">
        <v>22</v>
      </c>
      <c r="H502" s="22" t="b">
        <v>0</v>
      </c>
      <c r="I502" s="22" t="b">
        <v>0</v>
      </c>
      <c r="J502" s="22" t="b">
        <v>0</v>
      </c>
      <c r="K502" s="22" t="b">
        <v>0</v>
      </c>
      <c r="L502" s="22" t="b">
        <v>0</v>
      </c>
      <c r="M502" s="21"/>
      <c r="N502" s="23">
        <v>0</v>
      </c>
      <c r="O502" s="24"/>
      <c r="P502" s="19"/>
      <c r="Q502" s="25"/>
      <c r="R502" s="25"/>
      <c r="S502" s="19"/>
      <c r="T502" s="26"/>
      <c r="U502" s="27" t="s">
        <v>21</v>
      </c>
      <c r="V502" s="28" t="s">
        <v>1320</v>
      </c>
      <c r="W502" s="29" t="s">
        <v>26</v>
      </c>
    </row>
    <row r="503" spans="1:23" ht="30" customHeight="1">
      <c r="A503" s="19" t="s">
        <v>5581</v>
      </c>
      <c r="B503" s="19" t="s">
        <v>5569</v>
      </c>
      <c r="C503" s="19"/>
      <c r="D503" s="19" t="s">
        <v>2030</v>
      </c>
      <c r="E503" s="20" t="s">
        <v>2031</v>
      </c>
      <c r="F503" s="19"/>
      <c r="G503" s="21" t="s">
        <v>22</v>
      </c>
      <c r="H503" s="22" t="b">
        <v>0</v>
      </c>
      <c r="I503" s="22" t="b">
        <v>0</v>
      </c>
      <c r="J503" s="22" t="b">
        <v>0</v>
      </c>
      <c r="K503" s="22" t="b">
        <v>0</v>
      </c>
      <c r="L503" s="22" t="b">
        <v>0</v>
      </c>
      <c r="M503" s="21"/>
      <c r="N503" s="23">
        <v>0</v>
      </c>
      <c r="O503" s="24"/>
      <c r="P503" s="19"/>
      <c r="Q503" s="25"/>
      <c r="R503" s="25"/>
      <c r="S503" s="19"/>
      <c r="T503" s="26"/>
      <c r="U503" s="30" t="s">
        <v>34</v>
      </c>
      <c r="V503" s="28" t="s">
        <v>233</v>
      </c>
      <c r="W503" s="29" t="s">
        <v>26</v>
      </c>
    </row>
    <row r="504" spans="1:23" ht="30" customHeight="1">
      <c r="A504" s="19" t="s">
        <v>5581</v>
      </c>
      <c r="B504" s="19" t="s">
        <v>5569</v>
      </c>
      <c r="C504" s="19"/>
      <c r="D504" s="19" t="s">
        <v>2033</v>
      </c>
      <c r="E504" s="20" t="s">
        <v>2034</v>
      </c>
      <c r="F504" s="19"/>
      <c r="G504" s="21" t="s">
        <v>22</v>
      </c>
      <c r="H504" s="22" t="b">
        <v>0</v>
      </c>
      <c r="I504" s="22" t="b">
        <v>0</v>
      </c>
      <c r="J504" s="22" t="b">
        <v>0</v>
      </c>
      <c r="K504" s="22" t="b">
        <v>0</v>
      </c>
      <c r="L504" s="22" t="b">
        <v>0</v>
      </c>
      <c r="M504" s="21"/>
      <c r="N504" s="23">
        <v>0</v>
      </c>
      <c r="O504" s="24"/>
      <c r="P504" s="19"/>
      <c r="Q504" s="25"/>
      <c r="R504" s="25"/>
      <c r="S504" s="19"/>
      <c r="T504" s="26"/>
      <c r="U504" s="27" t="s">
        <v>21</v>
      </c>
      <c r="V504" s="28" t="s">
        <v>1027</v>
      </c>
      <c r="W504" s="29" t="s">
        <v>26</v>
      </c>
    </row>
    <row r="505" spans="1:23" ht="30" customHeight="1">
      <c r="A505" s="19" t="s">
        <v>5581</v>
      </c>
      <c r="B505" s="19" t="s">
        <v>5569</v>
      </c>
      <c r="C505" s="19"/>
      <c r="D505" s="19" t="s">
        <v>2036</v>
      </c>
      <c r="E505" s="20" t="s">
        <v>2037</v>
      </c>
      <c r="F505" s="19"/>
      <c r="G505" s="21" t="s">
        <v>29</v>
      </c>
      <c r="H505" s="22" t="b">
        <v>0</v>
      </c>
      <c r="I505" s="22" t="b">
        <v>0</v>
      </c>
      <c r="J505" s="22" t="b">
        <v>0</v>
      </c>
      <c r="K505" s="22" t="b">
        <v>0</v>
      </c>
      <c r="L505" s="22" t="b">
        <v>0</v>
      </c>
      <c r="M505" s="21"/>
      <c r="N505" s="23">
        <v>0</v>
      </c>
      <c r="O505" s="24"/>
      <c r="P505" s="19"/>
      <c r="Q505" s="25"/>
      <c r="R505" s="25"/>
      <c r="S505" s="19"/>
      <c r="T505" s="26"/>
      <c r="U505" s="27" t="s">
        <v>21</v>
      </c>
      <c r="V505" s="28" t="s">
        <v>1296</v>
      </c>
      <c r="W505" s="29" t="s">
        <v>26</v>
      </c>
    </row>
    <row r="506" spans="1:23" ht="30" customHeight="1">
      <c r="A506" s="19" t="s">
        <v>5581</v>
      </c>
      <c r="B506" s="19" t="s">
        <v>5569</v>
      </c>
      <c r="C506" s="19"/>
      <c r="D506" s="19" t="s">
        <v>2039</v>
      </c>
      <c r="E506" s="20" t="s">
        <v>2040</v>
      </c>
      <c r="F506" s="19"/>
      <c r="G506" s="21" t="s">
        <v>22</v>
      </c>
      <c r="H506" s="22" t="b">
        <v>0</v>
      </c>
      <c r="I506" s="22" t="b">
        <v>0</v>
      </c>
      <c r="J506" s="22" t="b">
        <v>0</v>
      </c>
      <c r="K506" s="22" t="b">
        <v>0</v>
      </c>
      <c r="L506" s="22" t="b">
        <v>0</v>
      </c>
      <c r="M506" s="21"/>
      <c r="N506" s="23">
        <v>0</v>
      </c>
      <c r="O506" s="24"/>
      <c r="P506" s="19"/>
      <c r="Q506" s="25"/>
      <c r="R506" s="25"/>
      <c r="S506" s="19"/>
      <c r="T506" s="26"/>
      <c r="U506" s="30" t="s">
        <v>34</v>
      </c>
      <c r="V506" s="28" t="s">
        <v>1548</v>
      </c>
      <c r="W506" s="29" t="s">
        <v>26</v>
      </c>
    </row>
    <row r="507" spans="1:23" ht="30" customHeight="1">
      <c r="A507" s="19" t="s">
        <v>5581</v>
      </c>
      <c r="B507" s="19" t="s">
        <v>5569</v>
      </c>
      <c r="C507" s="19"/>
      <c r="D507" s="19" t="s">
        <v>2042</v>
      </c>
      <c r="E507" s="20" t="s">
        <v>2043</v>
      </c>
      <c r="F507" s="19"/>
      <c r="G507" s="21" t="s">
        <v>22</v>
      </c>
      <c r="H507" s="22" t="b">
        <v>0</v>
      </c>
      <c r="I507" s="22" t="b">
        <v>0</v>
      </c>
      <c r="J507" s="22" t="b">
        <v>0</v>
      </c>
      <c r="K507" s="22" t="b">
        <v>0</v>
      </c>
      <c r="L507" s="22" t="b">
        <v>0</v>
      </c>
      <c r="M507" s="21"/>
      <c r="N507" s="23">
        <v>0</v>
      </c>
      <c r="O507" s="24"/>
      <c r="P507" s="19"/>
      <c r="Q507" s="25"/>
      <c r="R507" s="25"/>
      <c r="S507" s="19"/>
      <c r="T507" s="26"/>
      <c r="U507" s="30" t="s">
        <v>34</v>
      </c>
      <c r="V507" s="28" t="s">
        <v>1548</v>
      </c>
      <c r="W507" s="29" t="s">
        <v>26</v>
      </c>
    </row>
    <row r="508" spans="1:23" ht="30" customHeight="1">
      <c r="A508" s="19" t="s">
        <v>5581</v>
      </c>
      <c r="B508" s="19" t="s">
        <v>5569</v>
      </c>
      <c r="C508" s="19"/>
      <c r="D508" s="19" t="s">
        <v>2045</v>
      </c>
      <c r="E508" s="20" t="s">
        <v>2046</v>
      </c>
      <c r="F508" s="19"/>
      <c r="G508" s="21" t="s">
        <v>22</v>
      </c>
      <c r="H508" s="22" t="b">
        <v>0</v>
      </c>
      <c r="I508" s="22" t="b">
        <v>0</v>
      </c>
      <c r="J508" s="22" t="b">
        <v>0</v>
      </c>
      <c r="K508" s="22" t="b">
        <v>0</v>
      </c>
      <c r="L508" s="22" t="b">
        <v>0</v>
      </c>
      <c r="M508" s="21"/>
      <c r="N508" s="23">
        <v>0</v>
      </c>
      <c r="O508" s="24"/>
      <c r="P508" s="19"/>
      <c r="Q508" s="25"/>
      <c r="R508" s="25"/>
      <c r="S508" s="19"/>
      <c r="T508" s="26"/>
      <c r="U508" s="27" t="s">
        <v>21</v>
      </c>
      <c r="V508" s="28" t="s">
        <v>2047</v>
      </c>
      <c r="W508" s="29" t="s">
        <v>26</v>
      </c>
    </row>
    <row r="509" spans="1:23" ht="30" customHeight="1">
      <c r="A509" s="19" t="s">
        <v>5581</v>
      </c>
      <c r="B509" s="19" t="s">
        <v>5569</v>
      </c>
      <c r="C509" s="19"/>
      <c r="D509" s="19" t="s">
        <v>2049</v>
      </c>
      <c r="E509" s="20" t="s">
        <v>2050</v>
      </c>
      <c r="F509" s="19"/>
      <c r="G509" s="21" t="s">
        <v>22</v>
      </c>
      <c r="H509" s="22" t="b">
        <v>0</v>
      </c>
      <c r="I509" s="22" t="b">
        <v>0</v>
      </c>
      <c r="J509" s="22" t="b">
        <v>0</v>
      </c>
      <c r="K509" s="22" t="b">
        <v>0</v>
      </c>
      <c r="L509" s="22" t="b">
        <v>0</v>
      </c>
      <c r="M509" s="21"/>
      <c r="N509" s="23">
        <v>0</v>
      </c>
      <c r="O509" s="24"/>
      <c r="P509" s="19"/>
      <c r="Q509" s="25"/>
      <c r="R509" s="25"/>
      <c r="S509" s="19"/>
      <c r="T509" s="26"/>
      <c r="U509" s="27" t="s">
        <v>21</v>
      </c>
      <c r="V509" s="28" t="s">
        <v>2051</v>
      </c>
      <c r="W509" s="29" t="s">
        <v>26</v>
      </c>
    </row>
    <row r="510" spans="1:23" ht="30" customHeight="1">
      <c r="A510" s="19" t="s">
        <v>5581</v>
      </c>
      <c r="B510" s="19" t="s">
        <v>5569</v>
      </c>
      <c r="C510" s="19"/>
      <c r="D510" s="19" t="s">
        <v>2053</v>
      </c>
      <c r="E510" s="20" t="s">
        <v>2054</v>
      </c>
      <c r="F510" s="19"/>
      <c r="G510" s="21" t="s">
        <v>22</v>
      </c>
      <c r="H510" s="22" t="b">
        <v>0</v>
      </c>
      <c r="I510" s="22" t="b">
        <v>0</v>
      </c>
      <c r="J510" s="22" t="b">
        <v>0</v>
      </c>
      <c r="K510" s="22" t="b">
        <v>0</v>
      </c>
      <c r="L510" s="22" t="b">
        <v>0</v>
      </c>
      <c r="M510" s="21"/>
      <c r="N510" s="23">
        <v>0</v>
      </c>
      <c r="O510" s="24"/>
      <c r="P510" s="19"/>
      <c r="Q510" s="25"/>
      <c r="R510" s="25"/>
      <c r="S510" s="19"/>
      <c r="T510" s="26"/>
      <c r="U510" s="27" t="s">
        <v>21</v>
      </c>
      <c r="V510" s="28" t="s">
        <v>2055</v>
      </c>
      <c r="W510" s="29" t="s">
        <v>26</v>
      </c>
    </row>
    <row r="511" spans="1:23" ht="30" customHeight="1">
      <c r="A511" s="19" t="s">
        <v>5581</v>
      </c>
      <c r="B511" s="19" t="s">
        <v>5569</v>
      </c>
      <c r="C511" s="19"/>
      <c r="D511" s="19" t="s">
        <v>2057</v>
      </c>
      <c r="E511" s="20" t="s">
        <v>2058</v>
      </c>
      <c r="F511" s="19"/>
      <c r="G511" s="21" t="s">
        <v>22</v>
      </c>
      <c r="H511" s="22" t="b">
        <v>0</v>
      </c>
      <c r="I511" s="22" t="b">
        <v>0</v>
      </c>
      <c r="J511" s="22" t="b">
        <v>0</v>
      </c>
      <c r="K511" s="22" t="b">
        <v>0</v>
      </c>
      <c r="L511" s="22" t="b">
        <v>0</v>
      </c>
      <c r="M511" s="21"/>
      <c r="N511" s="23">
        <v>0</v>
      </c>
      <c r="O511" s="24"/>
      <c r="P511" s="19"/>
      <c r="Q511" s="25"/>
      <c r="R511" s="25"/>
      <c r="S511" s="19"/>
      <c r="T511" s="26"/>
      <c r="U511" s="30" t="s">
        <v>34</v>
      </c>
      <c r="V511" s="28" t="s">
        <v>2059</v>
      </c>
      <c r="W511" s="29" t="s">
        <v>26</v>
      </c>
    </row>
    <row r="512" spans="1:23" ht="30" customHeight="1">
      <c r="A512" s="19" t="s">
        <v>5581</v>
      </c>
      <c r="B512" s="19" t="s">
        <v>5569</v>
      </c>
      <c r="C512" s="19"/>
      <c r="D512" s="19" t="s">
        <v>2061</v>
      </c>
      <c r="E512" s="20" t="s">
        <v>2062</v>
      </c>
      <c r="F512" s="19"/>
      <c r="G512" s="21" t="s">
        <v>22</v>
      </c>
      <c r="H512" s="22" t="b">
        <v>0</v>
      </c>
      <c r="I512" s="22" t="b">
        <v>0</v>
      </c>
      <c r="J512" s="22" t="b">
        <v>0</v>
      </c>
      <c r="K512" s="22" t="b">
        <v>0</v>
      </c>
      <c r="L512" s="22" t="b">
        <v>0</v>
      </c>
      <c r="M512" s="21"/>
      <c r="N512" s="23">
        <v>0</v>
      </c>
      <c r="O512" s="24"/>
      <c r="P512" s="19"/>
      <c r="Q512" s="25"/>
      <c r="R512" s="25"/>
      <c r="S512" s="19"/>
      <c r="T512" s="26"/>
      <c r="U512" s="27" t="s">
        <v>21</v>
      </c>
      <c r="V512" s="28" t="s">
        <v>2063</v>
      </c>
      <c r="W512" s="29" t="s">
        <v>26</v>
      </c>
    </row>
    <row r="513" spans="1:23" ht="30" customHeight="1">
      <c r="A513" s="19" t="s">
        <v>5581</v>
      </c>
      <c r="B513" s="19" t="s">
        <v>5569</v>
      </c>
      <c r="C513" s="19"/>
      <c r="D513" s="19" t="s">
        <v>2065</v>
      </c>
      <c r="E513" s="20" t="s">
        <v>2066</v>
      </c>
      <c r="F513" s="19"/>
      <c r="G513" s="21" t="s">
        <v>22</v>
      </c>
      <c r="H513" s="22" t="b">
        <v>0</v>
      </c>
      <c r="I513" s="22" t="b">
        <v>0</v>
      </c>
      <c r="J513" s="22" t="b">
        <v>0</v>
      </c>
      <c r="K513" s="22" t="b">
        <v>0</v>
      </c>
      <c r="L513" s="22" t="b">
        <v>0</v>
      </c>
      <c r="M513" s="21"/>
      <c r="N513" s="23">
        <v>0</v>
      </c>
      <c r="O513" s="24"/>
      <c r="P513" s="19"/>
      <c r="Q513" s="25"/>
      <c r="R513" s="25"/>
      <c r="S513" s="19"/>
      <c r="T513" s="26"/>
      <c r="U513" s="27" t="s">
        <v>21</v>
      </c>
      <c r="V513" s="28" t="s">
        <v>2067</v>
      </c>
      <c r="W513" s="29" t="s">
        <v>26</v>
      </c>
    </row>
    <row r="514" spans="1:23" ht="30" customHeight="1">
      <c r="A514" s="19" t="s">
        <v>5581</v>
      </c>
      <c r="B514" s="19" t="s">
        <v>5569</v>
      </c>
      <c r="C514" s="19"/>
      <c r="D514" s="19" t="s">
        <v>2069</v>
      </c>
      <c r="E514" s="20" t="s">
        <v>2070</v>
      </c>
      <c r="F514" s="19"/>
      <c r="G514" s="21" t="s">
        <v>22</v>
      </c>
      <c r="H514" s="22" t="b">
        <v>0</v>
      </c>
      <c r="I514" s="22" t="b">
        <v>0</v>
      </c>
      <c r="J514" s="22" t="b">
        <v>0</v>
      </c>
      <c r="K514" s="22" t="b">
        <v>0</v>
      </c>
      <c r="L514" s="22" t="b">
        <v>0</v>
      </c>
      <c r="M514" s="21"/>
      <c r="N514" s="23">
        <v>0</v>
      </c>
      <c r="O514" s="24"/>
      <c r="P514" s="19"/>
      <c r="Q514" s="25"/>
      <c r="R514" s="25"/>
      <c r="S514" s="19"/>
      <c r="T514" s="26"/>
      <c r="U514" s="27" t="s">
        <v>21</v>
      </c>
      <c r="V514" s="28" t="s">
        <v>913</v>
      </c>
      <c r="W514" s="29" t="s">
        <v>26</v>
      </c>
    </row>
    <row r="515" spans="1:23" ht="30" customHeight="1">
      <c r="A515" s="19" t="s">
        <v>5581</v>
      </c>
      <c r="B515" s="19" t="s">
        <v>5569</v>
      </c>
      <c r="C515" s="19"/>
      <c r="D515" s="19" t="s">
        <v>2072</v>
      </c>
      <c r="E515" s="20" t="s">
        <v>2073</v>
      </c>
      <c r="F515" s="19"/>
      <c r="G515" s="21" t="s">
        <v>22</v>
      </c>
      <c r="H515" s="22" t="b">
        <v>0</v>
      </c>
      <c r="I515" s="22" t="b">
        <v>0</v>
      </c>
      <c r="J515" s="22" t="b">
        <v>0</v>
      </c>
      <c r="K515" s="22" t="b">
        <v>0</v>
      </c>
      <c r="L515" s="22" t="b">
        <v>0</v>
      </c>
      <c r="M515" s="21"/>
      <c r="N515" s="23">
        <v>0</v>
      </c>
      <c r="O515" s="24"/>
      <c r="P515" s="19"/>
      <c r="Q515" s="25"/>
      <c r="R515" s="25"/>
      <c r="S515" s="19"/>
      <c r="T515" s="26"/>
      <c r="U515" s="27" t="s">
        <v>21</v>
      </c>
      <c r="V515" s="28" t="s">
        <v>913</v>
      </c>
      <c r="W515" s="29" t="s">
        <v>26</v>
      </c>
    </row>
    <row r="516" spans="1:23" ht="30" customHeight="1">
      <c r="A516" s="19" t="s">
        <v>5581</v>
      </c>
      <c r="B516" s="19" t="s">
        <v>5569</v>
      </c>
      <c r="C516" s="19"/>
      <c r="D516" s="19" t="s">
        <v>2075</v>
      </c>
      <c r="E516" s="20" t="s">
        <v>2076</v>
      </c>
      <c r="F516" s="19"/>
      <c r="G516" s="21" t="s">
        <v>22</v>
      </c>
      <c r="H516" s="22" t="b">
        <v>0</v>
      </c>
      <c r="I516" s="22" t="b">
        <v>0</v>
      </c>
      <c r="J516" s="22" t="b">
        <v>0</v>
      </c>
      <c r="K516" s="22" t="b">
        <v>0</v>
      </c>
      <c r="L516" s="22" t="b">
        <v>0</v>
      </c>
      <c r="M516" s="21"/>
      <c r="N516" s="23">
        <v>0</v>
      </c>
      <c r="O516" s="24"/>
      <c r="P516" s="19"/>
      <c r="Q516" s="25"/>
      <c r="R516" s="25"/>
      <c r="S516" s="19"/>
      <c r="T516" s="26"/>
      <c r="U516" s="27" t="s">
        <v>21</v>
      </c>
      <c r="V516" s="28" t="s">
        <v>2077</v>
      </c>
      <c r="W516" s="29" t="s">
        <v>26</v>
      </c>
    </row>
    <row r="517" spans="1:23" ht="30" customHeight="1">
      <c r="A517" s="19" t="s">
        <v>5581</v>
      </c>
      <c r="B517" s="19" t="s">
        <v>5569</v>
      </c>
      <c r="C517" s="19"/>
      <c r="D517" s="19" t="s">
        <v>2079</v>
      </c>
      <c r="E517" s="20" t="s">
        <v>2080</v>
      </c>
      <c r="F517" s="19"/>
      <c r="G517" s="21" t="s">
        <v>22</v>
      </c>
      <c r="H517" s="22" t="b">
        <v>0</v>
      </c>
      <c r="I517" s="22" t="b">
        <v>0</v>
      </c>
      <c r="J517" s="22" t="b">
        <v>0</v>
      </c>
      <c r="K517" s="22" t="b">
        <v>0</v>
      </c>
      <c r="L517" s="22" t="b">
        <v>0</v>
      </c>
      <c r="M517" s="21"/>
      <c r="N517" s="23">
        <v>0</v>
      </c>
      <c r="O517" s="24"/>
      <c r="P517" s="19"/>
      <c r="Q517" s="25"/>
      <c r="R517" s="25"/>
      <c r="S517" s="19"/>
      <c r="T517" s="26"/>
      <c r="U517" s="27" t="s">
        <v>21</v>
      </c>
      <c r="V517" s="28" t="s">
        <v>913</v>
      </c>
      <c r="W517" s="29" t="s">
        <v>26</v>
      </c>
    </row>
    <row r="518" spans="1:23" ht="30" customHeight="1">
      <c r="A518" s="19" t="s">
        <v>5581</v>
      </c>
      <c r="B518" s="19" t="s">
        <v>5569</v>
      </c>
      <c r="C518" s="19"/>
      <c r="D518" s="19" t="s">
        <v>2082</v>
      </c>
      <c r="E518" s="20" t="s">
        <v>2083</v>
      </c>
      <c r="F518" s="19"/>
      <c r="G518" s="21" t="s">
        <v>22</v>
      </c>
      <c r="H518" s="22" t="b">
        <v>0</v>
      </c>
      <c r="I518" s="22" t="b">
        <v>0</v>
      </c>
      <c r="J518" s="22" t="b">
        <v>0</v>
      </c>
      <c r="K518" s="22" t="b">
        <v>0</v>
      </c>
      <c r="L518" s="22" t="b">
        <v>0</v>
      </c>
      <c r="M518" s="21"/>
      <c r="N518" s="23">
        <v>0</v>
      </c>
      <c r="O518" s="24"/>
      <c r="P518" s="19"/>
      <c r="Q518" s="25"/>
      <c r="R518" s="25"/>
      <c r="S518" s="19"/>
      <c r="T518" s="26"/>
      <c r="U518" s="27" t="s">
        <v>21</v>
      </c>
      <c r="V518" s="28" t="s">
        <v>100</v>
      </c>
      <c r="W518" s="29" t="s">
        <v>26</v>
      </c>
    </row>
    <row r="519" spans="1:23" ht="30" customHeight="1">
      <c r="A519" s="19" t="s">
        <v>5581</v>
      </c>
      <c r="B519" s="19" t="s">
        <v>5569</v>
      </c>
      <c r="C519" s="19"/>
      <c r="D519" s="19" t="s">
        <v>2085</v>
      </c>
      <c r="E519" s="20" t="s">
        <v>2086</v>
      </c>
      <c r="F519" s="19"/>
      <c r="G519" s="21" t="s">
        <v>22</v>
      </c>
      <c r="H519" s="22" t="b">
        <v>0</v>
      </c>
      <c r="I519" s="22" t="b">
        <v>0</v>
      </c>
      <c r="J519" s="22" t="b">
        <v>0</v>
      </c>
      <c r="K519" s="22" t="b">
        <v>0</v>
      </c>
      <c r="L519" s="22" t="b">
        <v>0</v>
      </c>
      <c r="M519" s="21"/>
      <c r="N519" s="23">
        <v>0</v>
      </c>
      <c r="O519" s="24"/>
      <c r="P519" s="19"/>
      <c r="Q519" s="25"/>
      <c r="R519" s="25"/>
      <c r="S519" s="19"/>
      <c r="T519" s="26"/>
      <c r="U519" s="27" t="s">
        <v>21</v>
      </c>
      <c r="V519" s="28" t="s">
        <v>913</v>
      </c>
      <c r="W519" s="29" t="s">
        <v>26</v>
      </c>
    </row>
    <row r="520" spans="1:23" ht="30" customHeight="1">
      <c r="A520" s="19" t="s">
        <v>5581</v>
      </c>
      <c r="B520" s="19" t="s">
        <v>5569</v>
      </c>
      <c r="C520" s="19"/>
      <c r="D520" s="19" t="s">
        <v>2088</v>
      </c>
      <c r="E520" s="20" t="s">
        <v>2089</v>
      </c>
      <c r="F520" s="19"/>
      <c r="G520" s="21" t="s">
        <v>22</v>
      </c>
      <c r="H520" s="22" t="b">
        <v>0</v>
      </c>
      <c r="I520" s="22" t="b">
        <v>0</v>
      </c>
      <c r="J520" s="22" t="b">
        <v>0</v>
      </c>
      <c r="K520" s="22" t="b">
        <v>0</v>
      </c>
      <c r="L520" s="22" t="b">
        <v>0</v>
      </c>
      <c r="M520" s="21"/>
      <c r="N520" s="23">
        <v>0</v>
      </c>
      <c r="O520" s="24"/>
      <c r="P520" s="19"/>
      <c r="Q520" s="25"/>
      <c r="R520" s="25"/>
      <c r="S520" s="19"/>
      <c r="T520" s="26"/>
      <c r="U520" s="30" t="s">
        <v>34</v>
      </c>
      <c r="V520" s="28" t="s">
        <v>2090</v>
      </c>
      <c r="W520" s="29" t="s">
        <v>26</v>
      </c>
    </row>
    <row r="521" spans="1:23" ht="30" customHeight="1">
      <c r="A521" s="19" t="s">
        <v>5581</v>
      </c>
      <c r="B521" s="19" t="s">
        <v>5569</v>
      </c>
      <c r="C521" s="19"/>
      <c r="D521" s="19" t="s">
        <v>2092</v>
      </c>
      <c r="E521" s="20" t="s">
        <v>2089</v>
      </c>
      <c r="F521" s="19"/>
      <c r="G521" s="21" t="s">
        <v>22</v>
      </c>
      <c r="H521" s="22" t="b">
        <v>0</v>
      </c>
      <c r="I521" s="22" t="b">
        <v>0</v>
      </c>
      <c r="J521" s="22" t="b">
        <v>0</v>
      </c>
      <c r="K521" s="22" t="b">
        <v>0</v>
      </c>
      <c r="L521" s="22" t="b">
        <v>0</v>
      </c>
      <c r="M521" s="21"/>
      <c r="N521" s="23">
        <v>0</v>
      </c>
      <c r="O521" s="24"/>
      <c r="P521" s="19"/>
      <c r="Q521" s="25"/>
      <c r="R521" s="25"/>
      <c r="S521" s="19"/>
      <c r="T521" s="26"/>
      <c r="U521" s="30" t="s">
        <v>34</v>
      </c>
      <c r="V521" s="28" t="s">
        <v>2093</v>
      </c>
      <c r="W521" s="29" t="s">
        <v>26</v>
      </c>
    </row>
    <row r="522" spans="1:23" ht="30" customHeight="1">
      <c r="A522" s="19" t="s">
        <v>5581</v>
      </c>
      <c r="B522" s="19" t="s">
        <v>5569</v>
      </c>
      <c r="C522" s="19"/>
      <c r="D522" s="19" t="s">
        <v>2095</v>
      </c>
      <c r="E522" s="20" t="s">
        <v>2096</v>
      </c>
      <c r="F522" s="19"/>
      <c r="G522" s="21" t="s">
        <v>22</v>
      </c>
      <c r="H522" s="22" t="b">
        <v>0</v>
      </c>
      <c r="I522" s="22" t="b">
        <v>0</v>
      </c>
      <c r="J522" s="22" t="b">
        <v>0</v>
      </c>
      <c r="K522" s="22" t="b">
        <v>0</v>
      </c>
      <c r="L522" s="22" t="b">
        <v>0</v>
      </c>
      <c r="M522" s="21"/>
      <c r="N522" s="23">
        <v>0</v>
      </c>
      <c r="O522" s="24"/>
      <c r="P522" s="19"/>
      <c r="Q522" s="25"/>
      <c r="R522" s="25"/>
      <c r="S522" s="19"/>
      <c r="T522" s="26"/>
      <c r="U522" s="30" t="s">
        <v>34</v>
      </c>
      <c r="V522" s="28" t="s">
        <v>233</v>
      </c>
      <c r="W522" s="29" t="s">
        <v>26</v>
      </c>
    </row>
    <row r="523" spans="1:23" ht="30" customHeight="1">
      <c r="A523" s="19" t="s">
        <v>5581</v>
      </c>
      <c r="B523" s="19" t="s">
        <v>5569</v>
      </c>
      <c r="C523" s="19"/>
      <c r="D523" s="19" t="s">
        <v>2098</v>
      </c>
      <c r="E523" s="20" t="s">
        <v>2099</v>
      </c>
      <c r="F523" s="19"/>
      <c r="G523" s="21" t="s">
        <v>22</v>
      </c>
      <c r="H523" s="22" t="b">
        <v>0</v>
      </c>
      <c r="I523" s="22" t="b">
        <v>0</v>
      </c>
      <c r="J523" s="22" t="b">
        <v>0</v>
      </c>
      <c r="K523" s="22" t="b">
        <v>0</v>
      </c>
      <c r="L523" s="22" t="b">
        <v>0</v>
      </c>
      <c r="M523" s="21"/>
      <c r="N523" s="23">
        <v>0</v>
      </c>
      <c r="O523" s="24"/>
      <c r="P523" s="19"/>
      <c r="Q523" s="25"/>
      <c r="R523" s="25"/>
      <c r="S523" s="19"/>
      <c r="T523" s="26"/>
      <c r="U523" s="27" t="s">
        <v>21</v>
      </c>
      <c r="V523" s="28" t="s">
        <v>296</v>
      </c>
      <c r="W523" s="29" t="s">
        <v>26</v>
      </c>
    </row>
    <row r="524" spans="1:23" ht="30" customHeight="1">
      <c r="A524" s="19" t="s">
        <v>5581</v>
      </c>
      <c r="B524" s="19" t="s">
        <v>5569</v>
      </c>
      <c r="C524" s="19"/>
      <c r="D524" s="19" t="s">
        <v>2101</v>
      </c>
      <c r="E524" s="20" t="s">
        <v>2102</v>
      </c>
      <c r="F524" s="19"/>
      <c r="G524" s="21" t="s">
        <v>22</v>
      </c>
      <c r="H524" s="22" t="b">
        <v>0</v>
      </c>
      <c r="I524" s="22" t="b">
        <v>0</v>
      </c>
      <c r="J524" s="22" t="b">
        <v>0</v>
      </c>
      <c r="K524" s="22" t="b">
        <v>0</v>
      </c>
      <c r="L524" s="22" t="b">
        <v>0</v>
      </c>
      <c r="M524" s="21"/>
      <c r="N524" s="23">
        <v>0</v>
      </c>
      <c r="O524" s="24"/>
      <c r="P524" s="19"/>
      <c r="Q524" s="25"/>
      <c r="R524" s="25"/>
      <c r="S524" s="19"/>
      <c r="T524" s="26"/>
      <c r="U524" s="30" t="s">
        <v>34</v>
      </c>
      <c r="V524" s="28" t="s">
        <v>233</v>
      </c>
      <c r="W524" s="29" t="s">
        <v>26</v>
      </c>
    </row>
    <row r="525" spans="1:23" ht="30" customHeight="1">
      <c r="A525" s="19" t="s">
        <v>5581</v>
      </c>
      <c r="B525" s="19" t="s">
        <v>5569</v>
      </c>
      <c r="C525" s="19"/>
      <c r="D525" s="19" t="s">
        <v>2104</v>
      </c>
      <c r="E525" s="20" t="s">
        <v>2105</v>
      </c>
      <c r="F525" s="19"/>
      <c r="G525" s="21" t="s">
        <v>22</v>
      </c>
      <c r="H525" s="22" t="b">
        <v>0</v>
      </c>
      <c r="I525" s="22" t="b">
        <v>0</v>
      </c>
      <c r="J525" s="22" t="b">
        <v>0</v>
      </c>
      <c r="K525" s="22" t="b">
        <v>0</v>
      </c>
      <c r="L525" s="22" t="b">
        <v>0</v>
      </c>
      <c r="M525" s="21"/>
      <c r="N525" s="23">
        <v>0</v>
      </c>
      <c r="O525" s="24"/>
      <c r="P525" s="19"/>
      <c r="Q525" s="25"/>
      <c r="R525" s="25"/>
      <c r="S525" s="19"/>
      <c r="T525" s="26"/>
      <c r="U525" s="27" t="s">
        <v>21</v>
      </c>
      <c r="V525" s="28" t="s">
        <v>1848</v>
      </c>
      <c r="W525" s="29" t="s">
        <v>26</v>
      </c>
    </row>
    <row r="526" spans="1:23" ht="30" customHeight="1">
      <c r="A526" s="19" t="s">
        <v>5581</v>
      </c>
      <c r="B526" s="19" t="s">
        <v>5569</v>
      </c>
      <c r="C526" s="19"/>
      <c r="D526" s="19" t="s">
        <v>2107</v>
      </c>
      <c r="E526" s="20" t="s">
        <v>2108</v>
      </c>
      <c r="F526" s="19"/>
      <c r="G526" s="21" t="s">
        <v>22</v>
      </c>
      <c r="H526" s="22" t="b">
        <v>0</v>
      </c>
      <c r="I526" s="22" t="b">
        <v>0</v>
      </c>
      <c r="J526" s="22" t="b">
        <v>0</v>
      </c>
      <c r="K526" s="22" t="b">
        <v>0</v>
      </c>
      <c r="L526" s="22" t="b">
        <v>0</v>
      </c>
      <c r="M526" s="21"/>
      <c r="N526" s="23">
        <v>0</v>
      </c>
      <c r="O526" s="24"/>
      <c r="P526" s="19"/>
      <c r="Q526" s="25"/>
      <c r="R526" s="25"/>
      <c r="S526" s="19"/>
      <c r="T526" s="26"/>
      <c r="U526" s="27" t="s">
        <v>21</v>
      </c>
      <c r="V526" s="28" t="s">
        <v>913</v>
      </c>
      <c r="W526" s="29" t="s">
        <v>26</v>
      </c>
    </row>
    <row r="527" spans="1:23" ht="30" customHeight="1">
      <c r="A527" s="19" t="s">
        <v>5581</v>
      </c>
      <c r="B527" s="19" t="s">
        <v>5569</v>
      </c>
      <c r="C527" s="19"/>
      <c r="D527" s="19" t="s">
        <v>2110</v>
      </c>
      <c r="E527" s="20" t="s">
        <v>2111</v>
      </c>
      <c r="F527" s="19"/>
      <c r="G527" s="21" t="s">
        <v>22</v>
      </c>
      <c r="H527" s="22" t="b">
        <v>0</v>
      </c>
      <c r="I527" s="22" t="b">
        <v>0</v>
      </c>
      <c r="J527" s="22" t="b">
        <v>0</v>
      </c>
      <c r="K527" s="22" t="b">
        <v>0</v>
      </c>
      <c r="L527" s="22" t="b">
        <v>0</v>
      </c>
      <c r="M527" s="21"/>
      <c r="N527" s="23">
        <v>0</v>
      </c>
      <c r="O527" s="24"/>
      <c r="P527" s="19"/>
      <c r="Q527" s="25"/>
      <c r="R527" s="25"/>
      <c r="S527" s="19"/>
      <c r="T527" s="26"/>
      <c r="U527" s="30" t="s">
        <v>34</v>
      </c>
      <c r="V527" s="28" t="s">
        <v>2112</v>
      </c>
      <c r="W527" s="29" t="s">
        <v>26</v>
      </c>
    </row>
    <row r="528" spans="1:23" ht="30" customHeight="1">
      <c r="A528" s="19" t="s">
        <v>5581</v>
      </c>
      <c r="B528" s="19" t="s">
        <v>5569</v>
      </c>
      <c r="C528" s="19"/>
      <c r="D528" s="19" t="s">
        <v>2114</v>
      </c>
      <c r="E528" s="20" t="s">
        <v>109</v>
      </c>
      <c r="F528" s="19"/>
      <c r="G528" s="21" t="s">
        <v>22</v>
      </c>
      <c r="H528" s="22" t="b">
        <v>0</v>
      </c>
      <c r="I528" s="22" t="b">
        <v>0</v>
      </c>
      <c r="J528" s="22" t="b">
        <v>0</v>
      </c>
      <c r="K528" s="22" t="b">
        <v>0</v>
      </c>
      <c r="L528" s="22" t="b">
        <v>0</v>
      </c>
      <c r="M528" s="21"/>
      <c r="N528" s="23">
        <v>0</v>
      </c>
      <c r="O528" s="24"/>
      <c r="P528" s="19"/>
      <c r="Q528" s="25"/>
      <c r="R528" s="25"/>
      <c r="S528" s="19"/>
      <c r="T528" s="26"/>
      <c r="U528" s="31" t="s">
        <v>110</v>
      </c>
      <c r="V528" s="28" t="s">
        <v>2115</v>
      </c>
      <c r="W528" s="29" t="s">
        <v>26</v>
      </c>
    </row>
    <row r="529" spans="1:23" ht="30" customHeight="1">
      <c r="A529" s="19" t="s">
        <v>5581</v>
      </c>
      <c r="B529" s="19" t="s">
        <v>5569</v>
      </c>
      <c r="C529" s="19"/>
      <c r="D529" s="19" t="s">
        <v>2117</v>
      </c>
      <c r="E529" s="20" t="s">
        <v>2118</v>
      </c>
      <c r="F529" s="19"/>
      <c r="G529" s="21" t="s">
        <v>22</v>
      </c>
      <c r="H529" s="22" t="b">
        <v>0</v>
      </c>
      <c r="I529" s="22" t="b">
        <v>0</v>
      </c>
      <c r="J529" s="22" t="b">
        <v>0</v>
      </c>
      <c r="K529" s="22" t="b">
        <v>0</v>
      </c>
      <c r="L529" s="22" t="b">
        <v>0</v>
      </c>
      <c r="M529" s="21"/>
      <c r="N529" s="23">
        <v>0</v>
      </c>
      <c r="O529" s="24"/>
      <c r="P529" s="19"/>
      <c r="Q529" s="25"/>
      <c r="R529" s="25"/>
      <c r="S529" s="19"/>
      <c r="T529" s="26"/>
      <c r="U529" s="27" t="s">
        <v>21</v>
      </c>
      <c r="V529" s="28" t="s">
        <v>913</v>
      </c>
      <c r="W529" s="29" t="s">
        <v>26</v>
      </c>
    </row>
    <row r="530" spans="1:23" ht="30" customHeight="1">
      <c r="A530" s="19" t="s">
        <v>5581</v>
      </c>
      <c r="B530" s="19" t="s">
        <v>5569</v>
      </c>
      <c r="C530" s="19"/>
      <c r="D530" s="19" t="s">
        <v>2120</v>
      </c>
      <c r="E530" s="20" t="s">
        <v>2121</v>
      </c>
      <c r="F530" s="19"/>
      <c r="G530" s="21" t="s">
        <v>22</v>
      </c>
      <c r="H530" s="22" t="b">
        <v>0</v>
      </c>
      <c r="I530" s="22" t="b">
        <v>0</v>
      </c>
      <c r="J530" s="22" t="b">
        <v>0</v>
      </c>
      <c r="K530" s="22" t="b">
        <v>0</v>
      </c>
      <c r="L530" s="22" t="b">
        <v>0</v>
      </c>
      <c r="M530" s="21"/>
      <c r="N530" s="23">
        <v>0</v>
      </c>
      <c r="O530" s="24"/>
      <c r="P530" s="19"/>
      <c r="Q530" s="25"/>
      <c r="R530" s="25"/>
      <c r="S530" s="19"/>
      <c r="T530" s="26"/>
      <c r="U530" s="27" t="s">
        <v>21</v>
      </c>
      <c r="V530" s="28" t="s">
        <v>2122</v>
      </c>
      <c r="W530" s="29" t="s">
        <v>26</v>
      </c>
    </row>
    <row r="531" spans="1:23" ht="30" customHeight="1">
      <c r="A531" s="19" t="s">
        <v>5581</v>
      </c>
      <c r="B531" s="19" t="s">
        <v>5569</v>
      </c>
      <c r="C531" s="19"/>
      <c r="D531" s="19" t="s">
        <v>2124</v>
      </c>
      <c r="E531" s="20" t="s">
        <v>2125</v>
      </c>
      <c r="F531" s="19"/>
      <c r="G531" s="21" t="s">
        <v>22</v>
      </c>
      <c r="H531" s="22" t="b">
        <v>0</v>
      </c>
      <c r="I531" s="22" t="b">
        <v>0</v>
      </c>
      <c r="J531" s="22" t="b">
        <v>0</v>
      </c>
      <c r="K531" s="22" t="b">
        <v>0</v>
      </c>
      <c r="L531" s="22" t="b">
        <v>0</v>
      </c>
      <c r="M531" s="21"/>
      <c r="N531" s="23">
        <v>0</v>
      </c>
      <c r="O531" s="24"/>
      <c r="P531" s="19"/>
      <c r="Q531" s="25"/>
      <c r="R531" s="25"/>
      <c r="S531" s="19"/>
      <c r="T531" s="26"/>
      <c r="U531" s="27" t="s">
        <v>21</v>
      </c>
      <c r="V531" s="28" t="s">
        <v>2126</v>
      </c>
      <c r="W531" s="29" t="s">
        <v>26</v>
      </c>
    </row>
    <row r="532" spans="1:23" ht="30" customHeight="1">
      <c r="A532" s="19" t="s">
        <v>5581</v>
      </c>
      <c r="B532" s="19" t="s">
        <v>5569</v>
      </c>
      <c r="C532" s="19"/>
      <c r="D532" s="19" t="s">
        <v>2128</v>
      </c>
      <c r="E532" s="20" t="s">
        <v>2129</v>
      </c>
      <c r="F532" s="19"/>
      <c r="G532" s="21" t="s">
        <v>22</v>
      </c>
      <c r="H532" s="22" t="b">
        <v>0</v>
      </c>
      <c r="I532" s="22" t="b">
        <v>0</v>
      </c>
      <c r="J532" s="22" t="b">
        <v>0</v>
      </c>
      <c r="K532" s="22" t="b">
        <v>0</v>
      </c>
      <c r="L532" s="22" t="b">
        <v>0</v>
      </c>
      <c r="M532" s="21"/>
      <c r="N532" s="23">
        <v>0</v>
      </c>
      <c r="O532" s="24"/>
      <c r="P532" s="19"/>
      <c r="Q532" s="25"/>
      <c r="R532" s="25"/>
      <c r="S532" s="19"/>
      <c r="T532" s="26"/>
      <c r="U532" s="27" t="s">
        <v>21</v>
      </c>
      <c r="V532" s="28" t="s">
        <v>913</v>
      </c>
      <c r="W532" s="29" t="s">
        <v>26</v>
      </c>
    </row>
    <row r="533" spans="1:23" ht="30" customHeight="1">
      <c r="A533" s="19" t="s">
        <v>5581</v>
      </c>
      <c r="B533" s="19" t="s">
        <v>5569</v>
      </c>
      <c r="C533" s="19"/>
      <c r="D533" s="19" t="s">
        <v>2131</v>
      </c>
      <c r="E533" s="20" t="s">
        <v>2132</v>
      </c>
      <c r="F533" s="19"/>
      <c r="G533" s="21" t="s">
        <v>22</v>
      </c>
      <c r="H533" s="22" t="b">
        <v>0</v>
      </c>
      <c r="I533" s="22" t="b">
        <v>0</v>
      </c>
      <c r="J533" s="22" t="b">
        <v>0</v>
      </c>
      <c r="K533" s="22" t="b">
        <v>0</v>
      </c>
      <c r="L533" s="22" t="b">
        <v>0</v>
      </c>
      <c r="M533" s="21"/>
      <c r="N533" s="23">
        <v>0</v>
      </c>
      <c r="O533" s="24"/>
      <c r="P533" s="19"/>
      <c r="Q533" s="25"/>
      <c r="R533" s="25"/>
      <c r="S533" s="19"/>
      <c r="T533" s="26"/>
      <c r="U533" s="27" t="s">
        <v>21</v>
      </c>
      <c r="V533" s="28" t="s">
        <v>1848</v>
      </c>
      <c r="W533" s="29" t="s">
        <v>26</v>
      </c>
    </row>
    <row r="534" spans="1:23" ht="30" customHeight="1">
      <c r="A534" s="19" t="s">
        <v>5581</v>
      </c>
      <c r="B534" s="19" t="s">
        <v>5569</v>
      </c>
      <c r="C534" s="19"/>
      <c r="D534" s="19" t="s">
        <v>2134</v>
      </c>
      <c r="E534" s="20" t="s">
        <v>2135</v>
      </c>
      <c r="F534" s="19"/>
      <c r="G534" s="21" t="s">
        <v>22</v>
      </c>
      <c r="H534" s="22" t="b">
        <v>0</v>
      </c>
      <c r="I534" s="22" t="b">
        <v>0</v>
      </c>
      <c r="J534" s="22" t="b">
        <v>0</v>
      </c>
      <c r="K534" s="22" t="b">
        <v>0</v>
      </c>
      <c r="L534" s="22" t="b">
        <v>0</v>
      </c>
      <c r="M534" s="21"/>
      <c r="N534" s="23">
        <v>0</v>
      </c>
      <c r="O534" s="24"/>
      <c r="P534" s="19"/>
      <c r="Q534" s="25"/>
      <c r="R534" s="25"/>
      <c r="S534" s="19"/>
      <c r="T534" s="26"/>
      <c r="U534" s="27" t="s">
        <v>21</v>
      </c>
      <c r="V534" s="28" t="s">
        <v>2136</v>
      </c>
      <c r="W534" s="29" t="s">
        <v>26</v>
      </c>
    </row>
    <row r="535" spans="1:23" ht="30" customHeight="1">
      <c r="A535" s="19" t="s">
        <v>5581</v>
      </c>
      <c r="B535" s="19" t="s">
        <v>5569</v>
      </c>
      <c r="C535" s="19"/>
      <c r="D535" s="19" t="s">
        <v>2138</v>
      </c>
      <c r="E535" s="20" t="s">
        <v>2139</v>
      </c>
      <c r="F535" s="19"/>
      <c r="G535" s="21" t="s">
        <v>22</v>
      </c>
      <c r="H535" s="22" t="b">
        <v>0</v>
      </c>
      <c r="I535" s="22" t="b">
        <v>0</v>
      </c>
      <c r="J535" s="22" t="b">
        <v>0</v>
      </c>
      <c r="K535" s="22" t="b">
        <v>0</v>
      </c>
      <c r="L535" s="22" t="b">
        <v>0</v>
      </c>
      <c r="M535" s="21"/>
      <c r="N535" s="23">
        <v>0</v>
      </c>
      <c r="O535" s="24"/>
      <c r="P535" s="19"/>
      <c r="Q535" s="25"/>
      <c r="R535" s="25"/>
      <c r="S535" s="19"/>
      <c r="T535" s="26"/>
      <c r="U535" s="27" t="s">
        <v>21</v>
      </c>
      <c r="V535" s="28" t="s">
        <v>2140</v>
      </c>
      <c r="W535" s="29" t="s">
        <v>26</v>
      </c>
    </row>
    <row r="536" spans="1:23" ht="30" customHeight="1">
      <c r="A536" s="19" t="s">
        <v>5581</v>
      </c>
      <c r="B536" s="19" t="s">
        <v>5569</v>
      </c>
      <c r="C536" s="19"/>
      <c r="D536" s="19" t="s">
        <v>2142</v>
      </c>
      <c r="E536" s="20" t="s">
        <v>2143</v>
      </c>
      <c r="F536" s="19"/>
      <c r="G536" s="21" t="s">
        <v>22</v>
      </c>
      <c r="H536" s="22" t="b">
        <v>0</v>
      </c>
      <c r="I536" s="22" t="b">
        <v>0</v>
      </c>
      <c r="J536" s="22" t="b">
        <v>0</v>
      </c>
      <c r="K536" s="22" t="b">
        <v>0</v>
      </c>
      <c r="L536" s="22" t="b">
        <v>0</v>
      </c>
      <c r="M536" s="21"/>
      <c r="N536" s="23">
        <v>0</v>
      </c>
      <c r="O536" s="24"/>
      <c r="P536" s="19"/>
      <c r="Q536" s="25"/>
      <c r="R536" s="25"/>
      <c r="S536" s="19"/>
      <c r="T536" s="26"/>
      <c r="U536" s="27" t="s">
        <v>21</v>
      </c>
      <c r="V536" s="28" t="s">
        <v>913</v>
      </c>
      <c r="W536" s="29" t="s">
        <v>26</v>
      </c>
    </row>
    <row r="537" spans="1:23" ht="30" customHeight="1">
      <c r="A537" s="19" t="s">
        <v>5581</v>
      </c>
      <c r="B537" s="19" t="s">
        <v>5569</v>
      </c>
      <c r="C537" s="19"/>
      <c r="D537" s="19" t="s">
        <v>2145</v>
      </c>
      <c r="E537" s="20" t="s">
        <v>2146</v>
      </c>
      <c r="F537" s="19"/>
      <c r="G537" s="21" t="s">
        <v>22</v>
      </c>
      <c r="H537" s="22" t="b">
        <v>0</v>
      </c>
      <c r="I537" s="22" t="b">
        <v>0</v>
      </c>
      <c r="J537" s="22" t="b">
        <v>0</v>
      </c>
      <c r="K537" s="22" t="b">
        <v>0</v>
      </c>
      <c r="L537" s="22" t="b">
        <v>0</v>
      </c>
      <c r="M537" s="21"/>
      <c r="N537" s="23">
        <v>0</v>
      </c>
      <c r="O537" s="24"/>
      <c r="P537" s="19"/>
      <c r="Q537" s="25"/>
      <c r="R537" s="25"/>
      <c r="S537" s="19"/>
      <c r="T537" s="26"/>
      <c r="U537" s="27" t="s">
        <v>21</v>
      </c>
      <c r="V537" s="28" t="s">
        <v>2147</v>
      </c>
      <c r="W537" s="29" t="s">
        <v>26</v>
      </c>
    </row>
    <row r="538" spans="1:23" ht="30" customHeight="1">
      <c r="A538" s="19" t="s">
        <v>5581</v>
      </c>
      <c r="B538" s="19" t="s">
        <v>5569</v>
      </c>
      <c r="C538" s="19"/>
      <c r="D538" s="19" t="s">
        <v>2149</v>
      </c>
      <c r="E538" s="20" t="s">
        <v>2150</v>
      </c>
      <c r="F538" s="19"/>
      <c r="G538" s="21" t="s">
        <v>22</v>
      </c>
      <c r="H538" s="22" t="b">
        <v>0</v>
      </c>
      <c r="I538" s="22" t="b">
        <v>0</v>
      </c>
      <c r="J538" s="22" t="b">
        <v>0</v>
      </c>
      <c r="K538" s="22" t="b">
        <v>0</v>
      </c>
      <c r="L538" s="22" t="b">
        <v>0</v>
      </c>
      <c r="M538" s="21"/>
      <c r="N538" s="23">
        <v>0</v>
      </c>
      <c r="O538" s="24"/>
      <c r="P538" s="19"/>
      <c r="Q538" s="25"/>
      <c r="R538" s="25"/>
      <c r="S538" s="19"/>
      <c r="T538" s="26"/>
      <c r="U538" s="27" t="s">
        <v>21</v>
      </c>
      <c r="V538" s="28" t="s">
        <v>2151</v>
      </c>
      <c r="W538" s="29" t="s">
        <v>26</v>
      </c>
    </row>
    <row r="539" spans="1:23" ht="30" customHeight="1">
      <c r="A539" s="19" t="s">
        <v>5581</v>
      </c>
      <c r="B539" s="19" t="s">
        <v>5569</v>
      </c>
      <c r="C539" s="19"/>
      <c r="D539" s="19" t="s">
        <v>2154</v>
      </c>
      <c r="E539" s="20" t="s">
        <v>2155</v>
      </c>
      <c r="F539" s="19"/>
      <c r="G539" s="21" t="s">
        <v>22</v>
      </c>
      <c r="H539" s="22" t="b">
        <v>0</v>
      </c>
      <c r="I539" s="22" t="b">
        <v>0</v>
      </c>
      <c r="J539" s="22" t="b">
        <v>0</v>
      </c>
      <c r="K539" s="22" t="b">
        <v>0</v>
      </c>
      <c r="L539" s="22" t="b">
        <v>0</v>
      </c>
      <c r="M539" s="21"/>
      <c r="N539" s="23">
        <v>0</v>
      </c>
      <c r="O539" s="24"/>
      <c r="P539" s="19"/>
      <c r="Q539" s="25"/>
      <c r="R539" s="25"/>
      <c r="S539" s="19"/>
      <c r="T539" s="26"/>
      <c r="U539" s="27" t="s">
        <v>21</v>
      </c>
      <c r="V539" s="28" t="s">
        <v>2156</v>
      </c>
      <c r="W539" s="29" t="s">
        <v>26</v>
      </c>
    </row>
    <row r="540" spans="1:23" ht="30" customHeight="1">
      <c r="A540" s="19" t="s">
        <v>5581</v>
      </c>
      <c r="B540" s="19" t="s">
        <v>5569</v>
      </c>
      <c r="C540" s="19"/>
      <c r="D540" s="19" t="s">
        <v>2158</v>
      </c>
      <c r="E540" s="20" t="s">
        <v>2159</v>
      </c>
      <c r="F540" s="19"/>
      <c r="G540" s="21" t="s">
        <v>22</v>
      </c>
      <c r="H540" s="22" t="b">
        <v>0</v>
      </c>
      <c r="I540" s="22" t="b">
        <v>0</v>
      </c>
      <c r="J540" s="22" t="b">
        <v>0</v>
      </c>
      <c r="K540" s="22" t="b">
        <v>0</v>
      </c>
      <c r="L540" s="22" t="b">
        <v>0</v>
      </c>
      <c r="M540" s="21"/>
      <c r="N540" s="23">
        <v>0</v>
      </c>
      <c r="O540" s="24"/>
      <c r="P540" s="19"/>
      <c r="Q540" s="25"/>
      <c r="R540" s="25"/>
      <c r="S540" s="19"/>
      <c r="T540" s="26"/>
      <c r="U540" s="27" t="s">
        <v>21</v>
      </c>
      <c r="V540" s="28" t="s">
        <v>2160</v>
      </c>
      <c r="W540" s="29" t="s">
        <v>26</v>
      </c>
    </row>
    <row r="541" spans="1:23" ht="30" customHeight="1">
      <c r="A541" s="19" t="s">
        <v>5581</v>
      </c>
      <c r="B541" s="19" t="s">
        <v>5569</v>
      </c>
      <c r="C541" s="19"/>
      <c r="D541" s="19" t="s">
        <v>2162</v>
      </c>
      <c r="E541" s="20" t="s">
        <v>2163</v>
      </c>
      <c r="F541" s="19"/>
      <c r="G541" s="21" t="s">
        <v>22</v>
      </c>
      <c r="H541" s="22" t="b">
        <v>0</v>
      </c>
      <c r="I541" s="22" t="b">
        <v>0</v>
      </c>
      <c r="J541" s="22" t="b">
        <v>0</v>
      </c>
      <c r="K541" s="22" t="b">
        <v>0</v>
      </c>
      <c r="L541" s="22" t="b">
        <v>0</v>
      </c>
      <c r="M541" s="21"/>
      <c r="N541" s="23">
        <v>0</v>
      </c>
      <c r="O541" s="24"/>
      <c r="P541" s="19"/>
      <c r="Q541" s="25"/>
      <c r="R541" s="25"/>
      <c r="S541" s="19"/>
      <c r="T541" s="26"/>
      <c r="U541" s="27" t="s">
        <v>21</v>
      </c>
      <c r="V541" s="28" t="s">
        <v>253</v>
      </c>
      <c r="W541" s="29" t="s">
        <v>26</v>
      </c>
    </row>
    <row r="542" spans="1:23" ht="30" customHeight="1">
      <c r="A542" s="19" t="s">
        <v>5581</v>
      </c>
      <c r="B542" s="19" t="s">
        <v>5569</v>
      </c>
      <c r="C542" s="19"/>
      <c r="D542" s="19" t="s">
        <v>2165</v>
      </c>
      <c r="E542" s="20" t="s">
        <v>2166</v>
      </c>
      <c r="F542" s="19"/>
      <c r="G542" s="21" t="s">
        <v>22</v>
      </c>
      <c r="H542" s="22" t="b">
        <v>0</v>
      </c>
      <c r="I542" s="22" t="b">
        <v>0</v>
      </c>
      <c r="J542" s="22" t="b">
        <v>0</v>
      </c>
      <c r="K542" s="22" t="b">
        <v>0</v>
      </c>
      <c r="L542" s="22" t="b">
        <v>0</v>
      </c>
      <c r="M542" s="21"/>
      <c r="N542" s="23">
        <v>0</v>
      </c>
      <c r="O542" s="24"/>
      <c r="P542" s="19"/>
      <c r="Q542" s="25"/>
      <c r="R542" s="25"/>
      <c r="S542" s="19"/>
      <c r="T542" s="26"/>
      <c r="U542" s="27" t="s">
        <v>21</v>
      </c>
      <c r="V542" s="28" t="s">
        <v>2167</v>
      </c>
      <c r="W542" s="29" t="s">
        <v>26</v>
      </c>
    </row>
    <row r="543" spans="1:23" ht="30" customHeight="1">
      <c r="A543" s="19" t="s">
        <v>5581</v>
      </c>
      <c r="B543" s="19" t="s">
        <v>5569</v>
      </c>
      <c r="C543" s="19"/>
      <c r="D543" s="19" t="s">
        <v>2169</v>
      </c>
      <c r="E543" s="20" t="s">
        <v>2170</v>
      </c>
      <c r="F543" s="19"/>
      <c r="G543" s="21" t="s">
        <v>22</v>
      </c>
      <c r="H543" s="22" t="b">
        <v>0</v>
      </c>
      <c r="I543" s="22" t="b">
        <v>0</v>
      </c>
      <c r="J543" s="22" t="b">
        <v>0</v>
      </c>
      <c r="K543" s="22" t="b">
        <v>0</v>
      </c>
      <c r="L543" s="22" t="b">
        <v>0</v>
      </c>
      <c r="M543" s="21"/>
      <c r="N543" s="23">
        <v>0</v>
      </c>
      <c r="O543" s="24"/>
      <c r="P543" s="19"/>
      <c r="Q543" s="25"/>
      <c r="R543" s="25"/>
      <c r="S543" s="19"/>
      <c r="T543" s="26"/>
      <c r="U543" s="30" t="s">
        <v>34</v>
      </c>
      <c r="V543" s="28" t="s">
        <v>2171</v>
      </c>
      <c r="W543" s="29" t="s">
        <v>26</v>
      </c>
    </row>
    <row r="544" spans="1:23" ht="30" customHeight="1">
      <c r="A544" s="19" t="s">
        <v>5581</v>
      </c>
      <c r="B544" s="19" t="s">
        <v>5569</v>
      </c>
      <c r="C544" s="19"/>
      <c r="D544" s="19" t="s">
        <v>2173</v>
      </c>
      <c r="E544" s="20" t="s">
        <v>2174</v>
      </c>
      <c r="F544" s="19"/>
      <c r="G544" s="21" t="s">
        <v>22</v>
      </c>
      <c r="H544" s="22" t="b">
        <v>0</v>
      </c>
      <c r="I544" s="22" t="b">
        <v>0</v>
      </c>
      <c r="J544" s="22" t="b">
        <v>0</v>
      </c>
      <c r="K544" s="22" t="b">
        <v>0</v>
      </c>
      <c r="L544" s="22" t="b">
        <v>0</v>
      </c>
      <c r="M544" s="21"/>
      <c r="N544" s="23">
        <v>0</v>
      </c>
      <c r="O544" s="24"/>
      <c r="P544" s="19"/>
      <c r="Q544" s="25"/>
      <c r="R544" s="25"/>
      <c r="S544" s="19"/>
      <c r="T544" s="26"/>
      <c r="U544" s="27" t="s">
        <v>21</v>
      </c>
      <c r="V544" s="28" t="s">
        <v>913</v>
      </c>
      <c r="W544" s="29" t="s">
        <v>26</v>
      </c>
    </row>
    <row r="545" spans="1:23" ht="30" customHeight="1">
      <c r="A545" s="19" t="s">
        <v>5581</v>
      </c>
      <c r="B545" s="19" t="s">
        <v>5569</v>
      </c>
      <c r="C545" s="19"/>
      <c r="D545" s="19" t="s">
        <v>2176</v>
      </c>
      <c r="E545" s="20" t="s">
        <v>2177</v>
      </c>
      <c r="F545" s="19"/>
      <c r="G545" s="21" t="s">
        <v>22</v>
      </c>
      <c r="H545" s="22" t="b">
        <v>0</v>
      </c>
      <c r="I545" s="22" t="b">
        <v>0</v>
      </c>
      <c r="J545" s="22" t="b">
        <v>0</v>
      </c>
      <c r="K545" s="22" t="b">
        <v>0</v>
      </c>
      <c r="L545" s="22" t="b">
        <v>0</v>
      </c>
      <c r="M545" s="21"/>
      <c r="N545" s="23">
        <v>0</v>
      </c>
      <c r="O545" s="24"/>
      <c r="P545" s="19"/>
      <c r="Q545" s="25"/>
      <c r="R545" s="25"/>
      <c r="S545" s="19"/>
      <c r="T545" s="26"/>
      <c r="U545" s="27" t="s">
        <v>21</v>
      </c>
      <c r="V545" s="28" t="s">
        <v>100</v>
      </c>
      <c r="W545" s="29" t="s">
        <v>26</v>
      </c>
    </row>
    <row r="546" spans="1:23" ht="30" customHeight="1">
      <c r="A546" s="19" t="s">
        <v>5581</v>
      </c>
      <c r="B546" s="19" t="s">
        <v>5569</v>
      </c>
      <c r="C546" s="19"/>
      <c r="D546" s="19" t="s">
        <v>2179</v>
      </c>
      <c r="E546" s="20" t="s">
        <v>2180</v>
      </c>
      <c r="F546" s="19"/>
      <c r="G546" s="21" t="s">
        <v>22</v>
      </c>
      <c r="H546" s="22" t="b">
        <v>0</v>
      </c>
      <c r="I546" s="22" t="b">
        <v>0</v>
      </c>
      <c r="J546" s="22" t="b">
        <v>0</v>
      </c>
      <c r="K546" s="22" t="b">
        <v>0</v>
      </c>
      <c r="L546" s="22" t="b">
        <v>0</v>
      </c>
      <c r="M546" s="21"/>
      <c r="N546" s="23">
        <v>0</v>
      </c>
      <c r="O546" s="24"/>
      <c r="P546" s="19"/>
      <c r="Q546" s="25"/>
      <c r="R546" s="25"/>
      <c r="S546" s="19"/>
      <c r="T546" s="26"/>
      <c r="U546" s="27" t="s">
        <v>21</v>
      </c>
      <c r="V546" s="28" t="s">
        <v>2181</v>
      </c>
      <c r="W546" s="29" t="s">
        <v>26</v>
      </c>
    </row>
    <row r="547" spans="1:23" ht="30" customHeight="1">
      <c r="A547" s="19" t="s">
        <v>5581</v>
      </c>
      <c r="B547" s="19" t="s">
        <v>5569</v>
      </c>
      <c r="C547" s="19"/>
      <c r="D547" s="19" t="s">
        <v>2183</v>
      </c>
      <c r="E547" s="20" t="s">
        <v>2184</v>
      </c>
      <c r="F547" s="19"/>
      <c r="G547" s="21" t="s">
        <v>22</v>
      </c>
      <c r="H547" s="22" t="b">
        <v>0</v>
      </c>
      <c r="I547" s="22" t="b">
        <v>0</v>
      </c>
      <c r="J547" s="22" t="b">
        <v>0</v>
      </c>
      <c r="K547" s="22" t="b">
        <v>0</v>
      </c>
      <c r="L547" s="22" t="b">
        <v>0</v>
      </c>
      <c r="M547" s="21"/>
      <c r="N547" s="23">
        <v>0</v>
      </c>
      <c r="O547" s="24"/>
      <c r="P547" s="19"/>
      <c r="Q547" s="25"/>
      <c r="R547" s="25"/>
      <c r="S547" s="19"/>
      <c r="T547" s="26"/>
      <c r="U547" s="27" t="s">
        <v>21</v>
      </c>
      <c r="V547" s="28" t="s">
        <v>913</v>
      </c>
      <c r="W547" s="29" t="s">
        <v>26</v>
      </c>
    </row>
    <row r="548" spans="1:23" ht="30" customHeight="1">
      <c r="A548" s="19" t="s">
        <v>5581</v>
      </c>
      <c r="B548" s="19" t="s">
        <v>5569</v>
      </c>
      <c r="C548" s="19"/>
      <c r="D548" s="19" t="s">
        <v>2186</v>
      </c>
      <c r="E548" s="20" t="s">
        <v>109</v>
      </c>
      <c r="F548" s="19"/>
      <c r="G548" s="21" t="s">
        <v>22</v>
      </c>
      <c r="H548" s="22" t="b">
        <v>0</v>
      </c>
      <c r="I548" s="22" t="b">
        <v>0</v>
      </c>
      <c r="J548" s="22" t="b">
        <v>0</v>
      </c>
      <c r="K548" s="22" t="b">
        <v>0</v>
      </c>
      <c r="L548" s="22" t="b">
        <v>0</v>
      </c>
      <c r="M548" s="21"/>
      <c r="N548" s="23">
        <v>0</v>
      </c>
      <c r="O548" s="24"/>
      <c r="P548" s="19"/>
      <c r="Q548" s="25"/>
      <c r="R548" s="25"/>
      <c r="S548" s="19"/>
      <c r="T548" s="26"/>
      <c r="U548" s="31" t="s">
        <v>110</v>
      </c>
      <c r="V548" s="28" t="s">
        <v>2187</v>
      </c>
      <c r="W548" s="29" t="s">
        <v>26</v>
      </c>
    </row>
    <row r="549" spans="1:23" ht="30" customHeight="1">
      <c r="A549" s="19" t="s">
        <v>5581</v>
      </c>
      <c r="B549" s="19" t="s">
        <v>5569</v>
      </c>
      <c r="C549" s="19"/>
      <c r="D549" s="19" t="s">
        <v>2189</v>
      </c>
      <c r="E549" s="20" t="s">
        <v>2190</v>
      </c>
      <c r="F549" s="19"/>
      <c r="G549" s="21" t="s">
        <v>22</v>
      </c>
      <c r="H549" s="22" t="b">
        <v>0</v>
      </c>
      <c r="I549" s="22" t="b">
        <v>0</v>
      </c>
      <c r="J549" s="22" t="b">
        <v>0</v>
      </c>
      <c r="K549" s="22" t="b">
        <v>0</v>
      </c>
      <c r="L549" s="22" t="b">
        <v>0</v>
      </c>
      <c r="M549" s="21"/>
      <c r="N549" s="23">
        <v>0</v>
      </c>
      <c r="O549" s="24"/>
      <c r="P549" s="19"/>
      <c r="Q549" s="25"/>
      <c r="R549" s="25"/>
      <c r="S549" s="19"/>
      <c r="T549" s="26"/>
      <c r="U549" s="27" t="s">
        <v>21</v>
      </c>
      <c r="V549" s="28" t="s">
        <v>2191</v>
      </c>
      <c r="W549" s="29" t="s">
        <v>26</v>
      </c>
    </row>
    <row r="550" spans="1:23" ht="30" customHeight="1">
      <c r="A550" s="19" t="s">
        <v>5581</v>
      </c>
      <c r="B550" s="19" t="s">
        <v>5569</v>
      </c>
      <c r="C550" s="19"/>
      <c r="D550" s="19" t="s">
        <v>2193</v>
      </c>
      <c r="E550" s="20" t="s">
        <v>2194</v>
      </c>
      <c r="F550" s="19"/>
      <c r="G550" s="21" t="s">
        <v>22</v>
      </c>
      <c r="H550" s="22" t="b">
        <v>0</v>
      </c>
      <c r="I550" s="22" t="b">
        <v>0</v>
      </c>
      <c r="J550" s="22" t="b">
        <v>0</v>
      </c>
      <c r="K550" s="22" t="b">
        <v>0</v>
      </c>
      <c r="L550" s="22" t="b">
        <v>0</v>
      </c>
      <c r="M550" s="21"/>
      <c r="N550" s="23">
        <v>0</v>
      </c>
      <c r="O550" s="24"/>
      <c r="P550" s="19"/>
      <c r="Q550" s="25"/>
      <c r="R550" s="25"/>
      <c r="S550" s="19"/>
      <c r="T550" s="26"/>
      <c r="U550" s="30" t="s">
        <v>34</v>
      </c>
      <c r="V550" s="28" t="s">
        <v>2195</v>
      </c>
      <c r="W550" s="29" t="s">
        <v>26</v>
      </c>
    </row>
    <row r="551" spans="1:23" ht="30" customHeight="1">
      <c r="A551" s="19" t="s">
        <v>5581</v>
      </c>
      <c r="B551" s="19" t="s">
        <v>5569</v>
      </c>
      <c r="C551" s="19"/>
      <c r="D551" s="19" t="s">
        <v>2196</v>
      </c>
      <c r="E551" s="20" t="s">
        <v>2197</v>
      </c>
      <c r="F551" s="19"/>
      <c r="G551" s="21" t="s">
        <v>22</v>
      </c>
      <c r="H551" s="22" t="b">
        <v>0</v>
      </c>
      <c r="I551" s="22" t="b">
        <v>0</v>
      </c>
      <c r="J551" s="22" t="b">
        <v>0</v>
      </c>
      <c r="K551" s="22" t="b">
        <v>0</v>
      </c>
      <c r="L551" s="22" t="b">
        <v>0</v>
      </c>
      <c r="M551" s="21"/>
      <c r="N551" s="23">
        <v>0</v>
      </c>
      <c r="O551" s="24"/>
      <c r="P551" s="19"/>
      <c r="Q551" s="25"/>
      <c r="R551" s="25"/>
      <c r="S551" s="19"/>
      <c r="T551" s="26"/>
      <c r="U551" s="27" t="s">
        <v>21</v>
      </c>
      <c r="V551" s="28" t="s">
        <v>2198</v>
      </c>
      <c r="W551" s="29" t="s">
        <v>26</v>
      </c>
    </row>
    <row r="552" spans="1:23" ht="30" customHeight="1">
      <c r="A552" s="19" t="s">
        <v>5581</v>
      </c>
      <c r="B552" s="19" t="s">
        <v>5569</v>
      </c>
      <c r="C552" s="19"/>
      <c r="D552" s="19" t="s">
        <v>2200</v>
      </c>
      <c r="E552" s="20" t="s">
        <v>109</v>
      </c>
      <c r="F552" s="19"/>
      <c r="G552" s="21" t="s">
        <v>22</v>
      </c>
      <c r="H552" s="22" t="b">
        <v>0</v>
      </c>
      <c r="I552" s="22" t="b">
        <v>0</v>
      </c>
      <c r="J552" s="22" t="b">
        <v>0</v>
      </c>
      <c r="K552" s="22" t="b">
        <v>0</v>
      </c>
      <c r="L552" s="22" t="b">
        <v>0</v>
      </c>
      <c r="M552" s="21"/>
      <c r="N552" s="23">
        <v>0</v>
      </c>
      <c r="O552" s="24"/>
      <c r="P552" s="19"/>
      <c r="Q552" s="25"/>
      <c r="R552" s="25"/>
      <c r="S552" s="19"/>
      <c r="T552" s="26"/>
      <c r="U552" s="31" t="s">
        <v>110</v>
      </c>
      <c r="V552" s="28" t="s">
        <v>2201</v>
      </c>
      <c r="W552" s="29" t="s">
        <v>26</v>
      </c>
    </row>
    <row r="553" spans="1:23" ht="30" customHeight="1">
      <c r="A553" s="19" t="s">
        <v>5581</v>
      </c>
      <c r="B553" s="19" t="s">
        <v>5569</v>
      </c>
      <c r="C553" s="19"/>
      <c r="D553" s="19" t="s">
        <v>2203</v>
      </c>
      <c r="E553" s="20" t="s">
        <v>2204</v>
      </c>
      <c r="F553" s="19"/>
      <c r="G553" s="21" t="s">
        <v>22</v>
      </c>
      <c r="H553" s="22" t="b">
        <v>0</v>
      </c>
      <c r="I553" s="22" t="b">
        <v>0</v>
      </c>
      <c r="J553" s="22" t="b">
        <v>0</v>
      </c>
      <c r="K553" s="22" t="b">
        <v>0</v>
      </c>
      <c r="L553" s="22" t="b">
        <v>0</v>
      </c>
      <c r="M553" s="21"/>
      <c r="N553" s="23">
        <v>0</v>
      </c>
      <c r="O553" s="24"/>
      <c r="P553" s="19"/>
      <c r="Q553" s="25"/>
      <c r="R553" s="25"/>
      <c r="S553" s="19"/>
      <c r="T553" s="26"/>
      <c r="U553" s="27" t="s">
        <v>21</v>
      </c>
      <c r="V553" s="28" t="s">
        <v>913</v>
      </c>
      <c r="W553" s="29" t="s">
        <v>26</v>
      </c>
    </row>
    <row r="554" spans="1:23" ht="30" customHeight="1">
      <c r="A554" s="19" t="s">
        <v>5581</v>
      </c>
      <c r="B554" s="19" t="s">
        <v>5569</v>
      </c>
      <c r="C554" s="19"/>
      <c r="D554" s="19" t="s">
        <v>2207</v>
      </c>
      <c r="E554" s="20" t="s">
        <v>2208</v>
      </c>
      <c r="F554" s="19"/>
      <c r="G554" s="21" t="s">
        <v>22</v>
      </c>
      <c r="H554" s="22" t="b">
        <v>0</v>
      </c>
      <c r="I554" s="22" t="b">
        <v>0</v>
      </c>
      <c r="J554" s="22" t="b">
        <v>0</v>
      </c>
      <c r="K554" s="22" t="b">
        <v>0</v>
      </c>
      <c r="L554" s="22" t="b">
        <v>0</v>
      </c>
      <c r="M554" s="21"/>
      <c r="N554" s="23">
        <v>0</v>
      </c>
      <c r="O554" s="24"/>
      <c r="P554" s="19"/>
      <c r="Q554" s="25"/>
      <c r="R554" s="25"/>
      <c r="S554" s="19"/>
      <c r="T554" s="26"/>
      <c r="U554" s="30" t="s">
        <v>34</v>
      </c>
      <c r="V554" s="28" t="s">
        <v>2209</v>
      </c>
      <c r="W554" s="29" t="s">
        <v>26</v>
      </c>
    </row>
    <row r="555" spans="1:23" ht="30" customHeight="1">
      <c r="A555" s="19" t="s">
        <v>5581</v>
      </c>
      <c r="B555" s="19" t="s">
        <v>5569</v>
      </c>
      <c r="C555" s="19"/>
      <c r="D555" s="19" t="s">
        <v>2211</v>
      </c>
      <c r="E555" s="20" t="s">
        <v>2212</v>
      </c>
      <c r="F555" s="19"/>
      <c r="G555" s="21" t="s">
        <v>22</v>
      </c>
      <c r="H555" s="22" t="b">
        <v>0</v>
      </c>
      <c r="I555" s="22" t="b">
        <v>0</v>
      </c>
      <c r="J555" s="22" t="b">
        <v>0</v>
      </c>
      <c r="K555" s="22" t="b">
        <v>0</v>
      </c>
      <c r="L555" s="22" t="b">
        <v>0</v>
      </c>
      <c r="M555" s="21"/>
      <c r="N555" s="23">
        <v>0</v>
      </c>
      <c r="O555" s="24"/>
      <c r="P555" s="19"/>
      <c r="Q555" s="25"/>
      <c r="R555" s="25"/>
      <c r="S555" s="19"/>
      <c r="T555" s="26"/>
      <c r="U555" s="30" t="s">
        <v>34</v>
      </c>
      <c r="V555" s="28" t="s">
        <v>2213</v>
      </c>
      <c r="W555" s="29" t="s">
        <v>26</v>
      </c>
    </row>
    <row r="556" spans="1:23" ht="30" customHeight="1">
      <c r="A556" s="19" t="s">
        <v>5581</v>
      </c>
      <c r="B556" s="19" t="s">
        <v>5569</v>
      </c>
      <c r="C556" s="19"/>
      <c r="D556" s="19" t="s">
        <v>2215</v>
      </c>
      <c r="E556" s="20" t="s">
        <v>2216</v>
      </c>
      <c r="F556" s="19"/>
      <c r="G556" s="21" t="s">
        <v>22</v>
      </c>
      <c r="H556" s="22" t="b">
        <v>0</v>
      </c>
      <c r="I556" s="22" t="b">
        <v>0</v>
      </c>
      <c r="J556" s="22" t="b">
        <v>0</v>
      </c>
      <c r="K556" s="22" t="b">
        <v>0</v>
      </c>
      <c r="L556" s="22" t="b">
        <v>0</v>
      </c>
      <c r="M556" s="21"/>
      <c r="N556" s="23">
        <v>0</v>
      </c>
      <c r="O556" s="24"/>
      <c r="P556" s="19"/>
      <c r="Q556" s="25"/>
      <c r="R556" s="25"/>
      <c r="S556" s="19"/>
      <c r="T556" s="26"/>
      <c r="U556" s="27" t="s">
        <v>21</v>
      </c>
      <c r="V556" s="28" t="s">
        <v>913</v>
      </c>
      <c r="W556" s="29" t="s">
        <v>26</v>
      </c>
    </row>
    <row r="557" spans="1:23" ht="30" customHeight="1">
      <c r="A557" s="19" t="s">
        <v>5582</v>
      </c>
      <c r="B557" s="19" t="s">
        <v>5569</v>
      </c>
      <c r="C557" s="19"/>
      <c r="D557" s="19" t="s">
        <v>2220</v>
      </c>
      <c r="E557" s="20" t="s">
        <v>2221</v>
      </c>
      <c r="F557" s="19"/>
      <c r="G557" s="21" t="s">
        <v>22</v>
      </c>
      <c r="H557" s="22" t="b">
        <v>0</v>
      </c>
      <c r="I557" s="22" t="b">
        <v>0</v>
      </c>
      <c r="J557" s="22" t="b">
        <v>0</v>
      </c>
      <c r="K557" s="22" t="b">
        <v>0</v>
      </c>
      <c r="L557" s="22" t="b">
        <v>0</v>
      </c>
      <c r="M557" s="21"/>
      <c r="N557" s="23">
        <v>0</v>
      </c>
      <c r="O557" s="24"/>
      <c r="P557" s="19"/>
      <c r="Q557" s="25"/>
      <c r="R557" s="25"/>
      <c r="S557" s="19"/>
      <c r="T557" s="26"/>
      <c r="U557" s="30" t="s">
        <v>34</v>
      </c>
      <c r="V557" s="28" t="s">
        <v>2222</v>
      </c>
      <c r="W557" s="29" t="s">
        <v>26</v>
      </c>
    </row>
    <row r="558" spans="1:23" ht="30" customHeight="1">
      <c r="A558" s="19" t="s">
        <v>5582</v>
      </c>
      <c r="B558" s="19" t="s">
        <v>5569</v>
      </c>
      <c r="C558" s="19"/>
      <c r="D558" s="19" t="s">
        <v>2225</v>
      </c>
      <c r="E558" s="20" t="s">
        <v>2226</v>
      </c>
      <c r="F558" s="19"/>
      <c r="G558" s="21" t="s">
        <v>22</v>
      </c>
      <c r="H558" s="22" t="b">
        <v>0</v>
      </c>
      <c r="I558" s="22" t="b">
        <v>0</v>
      </c>
      <c r="J558" s="22" t="b">
        <v>0</v>
      </c>
      <c r="K558" s="22" t="b">
        <v>0</v>
      </c>
      <c r="L558" s="22" t="b">
        <v>0</v>
      </c>
      <c r="M558" s="21"/>
      <c r="N558" s="23">
        <v>0</v>
      </c>
      <c r="O558" s="24"/>
      <c r="P558" s="19"/>
      <c r="Q558" s="25"/>
      <c r="R558" s="25"/>
      <c r="S558" s="19"/>
      <c r="T558" s="26"/>
      <c r="U558" s="30" t="s">
        <v>34</v>
      </c>
      <c r="V558" s="28" t="s">
        <v>904</v>
      </c>
      <c r="W558" s="29" t="s">
        <v>26</v>
      </c>
    </row>
    <row r="559" spans="1:23" ht="30" customHeight="1">
      <c r="A559" s="19" t="s">
        <v>5582</v>
      </c>
      <c r="B559" s="19" t="s">
        <v>5569</v>
      </c>
      <c r="C559" s="19"/>
      <c r="D559" s="19" t="s">
        <v>2229</v>
      </c>
      <c r="E559" s="20" t="s">
        <v>2230</v>
      </c>
      <c r="F559" s="19"/>
      <c r="G559" s="21" t="s">
        <v>485</v>
      </c>
      <c r="H559" s="22" t="b">
        <v>0</v>
      </c>
      <c r="I559" s="22" t="b">
        <v>0</v>
      </c>
      <c r="J559" s="22" t="b">
        <v>0</v>
      </c>
      <c r="K559" s="22" t="b">
        <v>0</v>
      </c>
      <c r="L559" s="22" t="b">
        <v>0</v>
      </c>
      <c r="M559" s="21"/>
      <c r="N559" s="23">
        <v>0</v>
      </c>
      <c r="O559" s="24"/>
      <c r="P559" s="19"/>
      <c r="Q559" s="25"/>
      <c r="R559" s="25"/>
      <c r="S559" s="19"/>
      <c r="T559" s="26"/>
      <c r="U559" s="30" t="s">
        <v>34</v>
      </c>
      <c r="V559" s="28" t="s">
        <v>233</v>
      </c>
      <c r="W559" s="29" t="s">
        <v>26</v>
      </c>
    </row>
    <row r="560" spans="1:23" ht="30" customHeight="1">
      <c r="A560" s="19" t="s">
        <v>5582</v>
      </c>
      <c r="B560" s="19" t="s">
        <v>5569</v>
      </c>
      <c r="C560" s="19"/>
      <c r="D560" s="19" t="s">
        <v>2233</v>
      </c>
      <c r="E560" s="20" t="s">
        <v>2234</v>
      </c>
      <c r="F560" s="19"/>
      <c r="G560" s="21" t="s">
        <v>22</v>
      </c>
      <c r="H560" s="22" t="b">
        <v>0</v>
      </c>
      <c r="I560" s="22" t="b">
        <v>0</v>
      </c>
      <c r="J560" s="22" t="b">
        <v>0</v>
      </c>
      <c r="K560" s="22" t="b">
        <v>0</v>
      </c>
      <c r="L560" s="22" t="b">
        <v>0</v>
      </c>
      <c r="M560" s="21"/>
      <c r="N560" s="23">
        <v>0</v>
      </c>
      <c r="O560" s="24"/>
      <c r="P560" s="19"/>
      <c r="Q560" s="25"/>
      <c r="R560" s="25"/>
      <c r="S560" s="19"/>
      <c r="T560" s="26"/>
      <c r="U560" s="27" t="s">
        <v>21</v>
      </c>
      <c r="V560" s="28" t="s">
        <v>1016</v>
      </c>
      <c r="W560" s="29" t="s">
        <v>26</v>
      </c>
    </row>
    <row r="561" spans="1:23" ht="30" customHeight="1">
      <c r="A561" s="19" t="s">
        <v>5582</v>
      </c>
      <c r="B561" s="19" t="s">
        <v>5569</v>
      </c>
      <c r="C561" s="19"/>
      <c r="D561" s="19" t="s">
        <v>2237</v>
      </c>
      <c r="E561" s="20" t="s">
        <v>2238</v>
      </c>
      <c r="F561" s="19"/>
      <c r="G561" s="21" t="s">
        <v>29</v>
      </c>
      <c r="H561" s="22" t="b">
        <v>0</v>
      </c>
      <c r="I561" s="22" t="b">
        <v>0</v>
      </c>
      <c r="J561" s="22" t="b">
        <v>0</v>
      </c>
      <c r="K561" s="22" t="b">
        <v>0</v>
      </c>
      <c r="L561" s="22" t="b">
        <v>0</v>
      </c>
      <c r="M561" s="21"/>
      <c r="N561" s="23">
        <v>0</v>
      </c>
      <c r="O561" s="24"/>
      <c r="P561" s="19"/>
      <c r="Q561" s="25"/>
      <c r="R561" s="25"/>
      <c r="S561" s="19"/>
      <c r="T561" s="26"/>
      <c r="U561" s="30" t="s">
        <v>34</v>
      </c>
      <c r="V561" s="28" t="s">
        <v>954</v>
      </c>
      <c r="W561" s="29" t="s">
        <v>26</v>
      </c>
    </row>
    <row r="562" spans="1:23" ht="30" customHeight="1">
      <c r="A562" s="19" t="s">
        <v>5582</v>
      </c>
      <c r="B562" s="19" t="s">
        <v>5569</v>
      </c>
      <c r="C562" s="19"/>
      <c r="D562" s="19" t="s">
        <v>2241</v>
      </c>
      <c r="E562" s="20" t="s">
        <v>2242</v>
      </c>
      <c r="F562" s="19"/>
      <c r="G562" s="21" t="s">
        <v>22</v>
      </c>
      <c r="H562" s="22" t="b">
        <v>0</v>
      </c>
      <c r="I562" s="22" t="b">
        <v>0</v>
      </c>
      <c r="J562" s="22" t="b">
        <v>0</v>
      </c>
      <c r="K562" s="22" t="b">
        <v>0</v>
      </c>
      <c r="L562" s="22" t="b">
        <v>0</v>
      </c>
      <c r="M562" s="21"/>
      <c r="N562" s="23">
        <v>0</v>
      </c>
      <c r="O562" s="24"/>
      <c r="P562" s="19"/>
      <c r="Q562" s="25"/>
      <c r="R562" s="25"/>
      <c r="S562" s="19"/>
      <c r="T562" s="26"/>
      <c r="U562" s="27" t="s">
        <v>21</v>
      </c>
      <c r="V562" s="28" t="s">
        <v>192</v>
      </c>
      <c r="W562" s="29" t="s">
        <v>26</v>
      </c>
    </row>
    <row r="563" spans="1:23" ht="30" customHeight="1">
      <c r="A563" s="19" t="s">
        <v>5582</v>
      </c>
      <c r="B563" s="19" t="s">
        <v>5569</v>
      </c>
      <c r="C563" s="19"/>
      <c r="D563" s="19" t="s">
        <v>2245</v>
      </c>
      <c r="E563" s="20" t="s">
        <v>2246</v>
      </c>
      <c r="F563" s="19"/>
      <c r="G563" s="21" t="s">
        <v>22</v>
      </c>
      <c r="H563" s="22" t="b">
        <v>0</v>
      </c>
      <c r="I563" s="22" t="b">
        <v>0</v>
      </c>
      <c r="J563" s="22" t="b">
        <v>0</v>
      </c>
      <c r="K563" s="22" t="b">
        <v>0</v>
      </c>
      <c r="L563" s="22" t="b">
        <v>0</v>
      </c>
      <c r="M563" s="21"/>
      <c r="N563" s="23">
        <v>0</v>
      </c>
      <c r="O563" s="24"/>
      <c r="P563" s="19"/>
      <c r="Q563" s="25"/>
      <c r="R563" s="25"/>
      <c r="S563" s="19"/>
      <c r="T563" s="26"/>
      <c r="U563" s="27" t="s">
        <v>21</v>
      </c>
      <c r="V563" s="28" t="s">
        <v>913</v>
      </c>
      <c r="W563" s="29" t="s">
        <v>26</v>
      </c>
    </row>
    <row r="564" spans="1:23" ht="30" customHeight="1">
      <c r="A564" s="19" t="s">
        <v>5582</v>
      </c>
      <c r="B564" s="19" t="s">
        <v>5569</v>
      </c>
      <c r="C564" s="19"/>
      <c r="D564" s="19" t="s">
        <v>2249</v>
      </c>
      <c r="E564" s="20" t="s">
        <v>2250</v>
      </c>
      <c r="F564" s="19"/>
      <c r="G564" s="21" t="s">
        <v>22</v>
      </c>
      <c r="H564" s="22" t="b">
        <v>0</v>
      </c>
      <c r="I564" s="22" t="b">
        <v>0</v>
      </c>
      <c r="J564" s="22" t="b">
        <v>0</v>
      </c>
      <c r="K564" s="22" t="b">
        <v>0</v>
      </c>
      <c r="L564" s="22" t="b">
        <v>0</v>
      </c>
      <c r="M564" s="21"/>
      <c r="N564" s="23">
        <v>0</v>
      </c>
      <c r="O564" s="24"/>
      <c r="P564" s="19"/>
      <c r="Q564" s="25"/>
      <c r="R564" s="25"/>
      <c r="S564" s="19"/>
      <c r="T564" s="26"/>
      <c r="U564" s="30" t="s">
        <v>34</v>
      </c>
      <c r="V564" s="28" t="s">
        <v>233</v>
      </c>
      <c r="W564" s="29" t="s">
        <v>26</v>
      </c>
    </row>
    <row r="565" spans="1:23" ht="30" customHeight="1">
      <c r="A565" s="19" t="s">
        <v>5582</v>
      </c>
      <c r="B565" s="19" t="s">
        <v>5569</v>
      </c>
      <c r="C565" s="19"/>
      <c r="D565" s="19" t="s">
        <v>2253</v>
      </c>
      <c r="E565" s="20" t="s">
        <v>2254</v>
      </c>
      <c r="F565" s="19"/>
      <c r="G565" s="21" t="s">
        <v>29</v>
      </c>
      <c r="H565" s="22" t="b">
        <v>0</v>
      </c>
      <c r="I565" s="22" t="b">
        <v>0</v>
      </c>
      <c r="J565" s="22" t="b">
        <v>0</v>
      </c>
      <c r="K565" s="22" t="b">
        <v>0</v>
      </c>
      <c r="L565" s="22" t="b">
        <v>0</v>
      </c>
      <c r="M565" s="21"/>
      <c r="N565" s="23">
        <v>0</v>
      </c>
      <c r="O565" s="24"/>
      <c r="P565" s="19"/>
      <c r="Q565" s="25"/>
      <c r="R565" s="25"/>
      <c r="S565" s="19"/>
      <c r="T565" s="26"/>
      <c r="U565" s="27" t="s">
        <v>21</v>
      </c>
      <c r="V565" s="28" t="s">
        <v>913</v>
      </c>
      <c r="W565" s="29" t="s">
        <v>26</v>
      </c>
    </row>
    <row r="566" spans="1:23" ht="30" customHeight="1">
      <c r="A566" s="19" t="s">
        <v>5582</v>
      </c>
      <c r="B566" s="19" t="s">
        <v>5569</v>
      </c>
      <c r="C566" s="19"/>
      <c r="D566" s="19" t="s">
        <v>2257</v>
      </c>
      <c r="E566" s="20" t="s">
        <v>2258</v>
      </c>
      <c r="F566" s="19"/>
      <c r="G566" s="21" t="s">
        <v>22</v>
      </c>
      <c r="H566" s="22" t="b">
        <v>0</v>
      </c>
      <c r="I566" s="22" t="b">
        <v>0</v>
      </c>
      <c r="J566" s="22" t="b">
        <v>0</v>
      </c>
      <c r="K566" s="22" t="b">
        <v>0</v>
      </c>
      <c r="L566" s="22" t="b">
        <v>0</v>
      </c>
      <c r="M566" s="21"/>
      <c r="N566" s="23">
        <v>0</v>
      </c>
      <c r="O566" s="24"/>
      <c r="P566" s="19"/>
      <c r="Q566" s="25"/>
      <c r="R566" s="25"/>
      <c r="S566" s="19"/>
      <c r="T566" s="26"/>
      <c r="U566" s="30" t="s">
        <v>34</v>
      </c>
      <c r="V566" s="28" t="s">
        <v>2259</v>
      </c>
      <c r="W566" s="29" t="s">
        <v>26</v>
      </c>
    </row>
    <row r="567" spans="1:23" ht="30" customHeight="1">
      <c r="A567" s="19" t="s">
        <v>5582</v>
      </c>
      <c r="B567" s="19" t="s">
        <v>5569</v>
      </c>
      <c r="C567" s="19"/>
      <c r="D567" s="19" t="s">
        <v>2261</v>
      </c>
      <c r="E567" s="20" t="s">
        <v>2262</v>
      </c>
      <c r="F567" s="19"/>
      <c r="G567" s="21" t="s">
        <v>22</v>
      </c>
      <c r="H567" s="22" t="b">
        <v>0</v>
      </c>
      <c r="I567" s="22" t="b">
        <v>0</v>
      </c>
      <c r="J567" s="22" t="b">
        <v>0</v>
      </c>
      <c r="K567" s="22" t="b">
        <v>0</v>
      </c>
      <c r="L567" s="22" t="b">
        <v>0</v>
      </c>
      <c r="M567" s="21"/>
      <c r="N567" s="23">
        <v>0</v>
      </c>
      <c r="O567" s="24"/>
      <c r="P567" s="19"/>
      <c r="Q567" s="25"/>
      <c r="R567" s="25"/>
      <c r="S567" s="19"/>
      <c r="T567" s="26"/>
      <c r="U567" s="30" t="s">
        <v>34</v>
      </c>
      <c r="V567" s="28" t="s">
        <v>904</v>
      </c>
      <c r="W567" s="29" t="s">
        <v>26</v>
      </c>
    </row>
    <row r="568" spans="1:23" ht="30" customHeight="1">
      <c r="A568" s="19" t="s">
        <v>5582</v>
      </c>
      <c r="B568" s="19" t="s">
        <v>5569</v>
      </c>
      <c r="C568" s="19"/>
      <c r="D568" s="19" t="s">
        <v>2265</v>
      </c>
      <c r="E568" s="20" t="s">
        <v>2266</v>
      </c>
      <c r="F568" s="19"/>
      <c r="G568" s="21" t="s">
        <v>22</v>
      </c>
      <c r="H568" s="22" t="b">
        <v>0</v>
      </c>
      <c r="I568" s="22" t="b">
        <v>0</v>
      </c>
      <c r="J568" s="22" t="b">
        <v>0</v>
      </c>
      <c r="K568" s="22" t="b">
        <v>0</v>
      </c>
      <c r="L568" s="22" t="b">
        <v>0</v>
      </c>
      <c r="M568" s="21"/>
      <c r="N568" s="23">
        <v>0</v>
      </c>
      <c r="O568" s="24"/>
      <c r="P568" s="19"/>
      <c r="Q568" s="25"/>
      <c r="R568" s="25"/>
      <c r="S568" s="19"/>
      <c r="T568" s="26"/>
      <c r="U568" s="27" t="s">
        <v>21</v>
      </c>
      <c r="V568" s="28" t="s">
        <v>2267</v>
      </c>
      <c r="W568" s="29" t="s">
        <v>26</v>
      </c>
    </row>
    <row r="569" spans="1:23" ht="30" customHeight="1">
      <c r="A569" s="19" t="s">
        <v>5582</v>
      </c>
      <c r="B569" s="19" t="s">
        <v>5569</v>
      </c>
      <c r="C569" s="19"/>
      <c r="D569" s="19" t="s">
        <v>2269</v>
      </c>
      <c r="E569" s="20" t="s">
        <v>2270</v>
      </c>
      <c r="F569" s="19"/>
      <c r="G569" s="21" t="s">
        <v>22</v>
      </c>
      <c r="H569" s="22" t="b">
        <v>0</v>
      </c>
      <c r="I569" s="22" t="b">
        <v>0</v>
      </c>
      <c r="J569" s="22" t="b">
        <v>0</v>
      </c>
      <c r="K569" s="22" t="b">
        <v>0</v>
      </c>
      <c r="L569" s="22" t="b">
        <v>0</v>
      </c>
      <c r="M569" s="21"/>
      <c r="N569" s="23">
        <v>0</v>
      </c>
      <c r="O569" s="24"/>
      <c r="P569" s="19"/>
      <c r="Q569" s="25"/>
      <c r="R569" s="25"/>
      <c r="S569" s="19"/>
      <c r="T569" s="26"/>
      <c r="U569" s="27" t="s">
        <v>21</v>
      </c>
      <c r="V569" s="28" t="s">
        <v>913</v>
      </c>
      <c r="W569" s="29" t="s">
        <v>26</v>
      </c>
    </row>
    <row r="570" spans="1:23" ht="30" customHeight="1">
      <c r="A570" s="19" t="s">
        <v>5582</v>
      </c>
      <c r="B570" s="19" t="s">
        <v>5569</v>
      </c>
      <c r="C570" s="19"/>
      <c r="D570" s="19" t="s">
        <v>2272</v>
      </c>
      <c r="E570" s="20" t="s">
        <v>2273</v>
      </c>
      <c r="F570" s="19"/>
      <c r="G570" s="21" t="s">
        <v>22</v>
      </c>
      <c r="H570" s="22" t="b">
        <v>0</v>
      </c>
      <c r="I570" s="22" t="b">
        <v>0</v>
      </c>
      <c r="J570" s="22" t="b">
        <v>0</v>
      </c>
      <c r="K570" s="22" t="b">
        <v>0</v>
      </c>
      <c r="L570" s="22" t="b">
        <v>0</v>
      </c>
      <c r="M570" s="21"/>
      <c r="N570" s="23">
        <v>0</v>
      </c>
      <c r="O570" s="24"/>
      <c r="P570" s="19"/>
      <c r="Q570" s="25"/>
      <c r="R570" s="25"/>
      <c r="S570" s="19"/>
      <c r="T570" s="26"/>
      <c r="U570" s="27" t="s">
        <v>21</v>
      </c>
      <c r="V570" s="28" t="s">
        <v>2274</v>
      </c>
      <c r="W570" s="29" t="s">
        <v>26</v>
      </c>
    </row>
    <row r="571" spans="1:23" ht="30" customHeight="1">
      <c r="A571" s="19" t="s">
        <v>5582</v>
      </c>
      <c r="B571" s="19" t="s">
        <v>5569</v>
      </c>
      <c r="C571" s="19"/>
      <c r="D571" s="19" t="s">
        <v>2276</v>
      </c>
      <c r="E571" s="20" t="s">
        <v>2277</v>
      </c>
      <c r="F571" s="19"/>
      <c r="G571" s="21" t="s">
        <v>22</v>
      </c>
      <c r="H571" s="22" t="b">
        <v>0</v>
      </c>
      <c r="I571" s="22" t="b">
        <v>0</v>
      </c>
      <c r="J571" s="22" t="b">
        <v>0</v>
      </c>
      <c r="K571" s="22" t="b">
        <v>0</v>
      </c>
      <c r="L571" s="22" t="b">
        <v>0</v>
      </c>
      <c r="M571" s="21"/>
      <c r="N571" s="23">
        <v>0</v>
      </c>
      <c r="O571" s="24"/>
      <c r="P571" s="19"/>
      <c r="Q571" s="25"/>
      <c r="R571" s="25"/>
      <c r="S571" s="19"/>
      <c r="T571" s="26"/>
      <c r="U571" s="30" t="s">
        <v>34</v>
      </c>
      <c r="V571" s="28" t="s">
        <v>904</v>
      </c>
      <c r="W571" s="29" t="s">
        <v>26</v>
      </c>
    </row>
    <row r="572" spans="1:23" ht="30" customHeight="1">
      <c r="A572" s="19" t="s">
        <v>5582</v>
      </c>
      <c r="B572" s="19" t="s">
        <v>5569</v>
      </c>
      <c r="C572" s="19"/>
      <c r="D572" s="19" t="s">
        <v>2280</v>
      </c>
      <c r="E572" s="20" t="s">
        <v>2281</v>
      </c>
      <c r="F572" s="19"/>
      <c r="G572" s="21" t="s">
        <v>22</v>
      </c>
      <c r="H572" s="22" t="b">
        <v>0</v>
      </c>
      <c r="I572" s="22" t="b">
        <v>0</v>
      </c>
      <c r="J572" s="22" t="b">
        <v>0</v>
      </c>
      <c r="K572" s="22" t="b">
        <v>0</v>
      </c>
      <c r="L572" s="22" t="b">
        <v>0</v>
      </c>
      <c r="M572" s="21"/>
      <c r="N572" s="23">
        <v>0</v>
      </c>
      <c r="O572" s="24"/>
      <c r="P572" s="19"/>
      <c r="Q572" s="25"/>
      <c r="R572" s="25"/>
      <c r="S572" s="19"/>
      <c r="T572" s="26"/>
      <c r="U572" s="27" t="s">
        <v>21</v>
      </c>
      <c r="V572" s="28" t="s">
        <v>2282</v>
      </c>
      <c r="W572" s="29" t="s">
        <v>26</v>
      </c>
    </row>
    <row r="573" spans="1:23" ht="30" customHeight="1">
      <c r="A573" s="19" t="s">
        <v>5582</v>
      </c>
      <c r="B573" s="19" t="s">
        <v>5569</v>
      </c>
      <c r="C573" s="19"/>
      <c r="D573" s="19" t="s">
        <v>2284</v>
      </c>
      <c r="E573" s="20" t="s">
        <v>2285</v>
      </c>
      <c r="F573" s="19"/>
      <c r="G573" s="21" t="s">
        <v>22</v>
      </c>
      <c r="H573" s="22" t="b">
        <v>0</v>
      </c>
      <c r="I573" s="22" t="b">
        <v>0</v>
      </c>
      <c r="J573" s="22" t="b">
        <v>0</v>
      </c>
      <c r="K573" s="22" t="b">
        <v>0</v>
      </c>
      <c r="L573" s="22" t="b">
        <v>0</v>
      </c>
      <c r="M573" s="21"/>
      <c r="N573" s="23">
        <v>0</v>
      </c>
      <c r="O573" s="24"/>
      <c r="P573" s="19"/>
      <c r="Q573" s="25"/>
      <c r="R573" s="25"/>
      <c r="S573" s="19"/>
      <c r="T573" s="26"/>
      <c r="U573" s="30" t="s">
        <v>34</v>
      </c>
      <c r="V573" s="28" t="s">
        <v>2286</v>
      </c>
      <c r="W573" s="29" t="s">
        <v>26</v>
      </c>
    </row>
    <row r="574" spans="1:23" ht="30" customHeight="1">
      <c r="A574" s="19" t="s">
        <v>5582</v>
      </c>
      <c r="B574" s="19" t="s">
        <v>5569</v>
      </c>
      <c r="C574" s="19"/>
      <c r="D574" s="19" t="s">
        <v>2289</v>
      </c>
      <c r="E574" s="20" t="s">
        <v>2290</v>
      </c>
      <c r="F574" s="19"/>
      <c r="G574" s="21" t="s">
        <v>22</v>
      </c>
      <c r="H574" s="22" t="b">
        <v>0</v>
      </c>
      <c r="I574" s="22" t="b">
        <v>0</v>
      </c>
      <c r="J574" s="22" t="b">
        <v>0</v>
      </c>
      <c r="K574" s="22" t="b">
        <v>0</v>
      </c>
      <c r="L574" s="22" t="b">
        <v>0</v>
      </c>
      <c r="M574" s="21"/>
      <c r="N574" s="23">
        <v>0</v>
      </c>
      <c r="O574" s="24"/>
      <c r="P574" s="19"/>
      <c r="Q574" s="25"/>
      <c r="R574" s="25"/>
      <c r="S574" s="19"/>
      <c r="T574" s="26"/>
      <c r="U574" s="30" t="s">
        <v>34</v>
      </c>
      <c r="V574" s="28" t="s">
        <v>1548</v>
      </c>
      <c r="W574" s="29" t="s">
        <v>26</v>
      </c>
    </row>
    <row r="575" spans="1:23" ht="30" customHeight="1">
      <c r="A575" s="19" t="s">
        <v>5582</v>
      </c>
      <c r="B575" s="19" t="s">
        <v>5569</v>
      </c>
      <c r="C575" s="19"/>
      <c r="D575" s="19" t="s">
        <v>2293</v>
      </c>
      <c r="E575" s="20" t="s">
        <v>2294</v>
      </c>
      <c r="F575" s="19"/>
      <c r="G575" s="21" t="s">
        <v>22</v>
      </c>
      <c r="H575" s="22" t="b">
        <v>0</v>
      </c>
      <c r="I575" s="22" t="b">
        <v>0</v>
      </c>
      <c r="J575" s="22" t="b">
        <v>0</v>
      </c>
      <c r="K575" s="22" t="b">
        <v>0</v>
      </c>
      <c r="L575" s="22" t="b">
        <v>0</v>
      </c>
      <c r="M575" s="21"/>
      <c r="N575" s="23">
        <v>0</v>
      </c>
      <c r="O575" s="24"/>
      <c r="P575" s="19"/>
      <c r="Q575" s="25"/>
      <c r="R575" s="25"/>
      <c r="S575" s="19"/>
      <c r="T575" s="26"/>
      <c r="U575" s="27" t="s">
        <v>21</v>
      </c>
      <c r="V575" s="28" t="s">
        <v>735</v>
      </c>
      <c r="W575" s="29" t="s">
        <v>26</v>
      </c>
    </row>
    <row r="576" spans="1:23" ht="30" customHeight="1">
      <c r="A576" s="19" t="s">
        <v>5582</v>
      </c>
      <c r="B576" s="19" t="s">
        <v>5569</v>
      </c>
      <c r="C576" s="19"/>
      <c r="D576" s="19" t="s">
        <v>2296</v>
      </c>
      <c r="E576" s="20" t="s">
        <v>2297</v>
      </c>
      <c r="F576" s="19"/>
      <c r="G576" s="21" t="s">
        <v>29</v>
      </c>
      <c r="H576" s="22" t="b">
        <v>0</v>
      </c>
      <c r="I576" s="22" t="b">
        <v>0</v>
      </c>
      <c r="J576" s="22" t="b">
        <v>0</v>
      </c>
      <c r="K576" s="22" t="b">
        <v>0</v>
      </c>
      <c r="L576" s="22" t="b">
        <v>0</v>
      </c>
      <c r="M576" s="21"/>
      <c r="N576" s="23">
        <v>0</v>
      </c>
      <c r="O576" s="24"/>
      <c r="P576" s="19"/>
      <c r="Q576" s="25"/>
      <c r="R576" s="25"/>
      <c r="S576" s="19"/>
      <c r="T576" s="26"/>
      <c r="U576" s="27" t="s">
        <v>21</v>
      </c>
      <c r="V576" s="28" t="s">
        <v>1016</v>
      </c>
      <c r="W576" s="29" t="s">
        <v>26</v>
      </c>
    </row>
    <row r="577" spans="1:23" ht="30" customHeight="1">
      <c r="A577" s="19" t="s">
        <v>5582</v>
      </c>
      <c r="B577" s="19" t="s">
        <v>5569</v>
      </c>
      <c r="C577" s="19"/>
      <c r="D577" s="19" t="s">
        <v>2300</v>
      </c>
      <c r="E577" s="20" t="s">
        <v>2301</v>
      </c>
      <c r="F577" s="19"/>
      <c r="G577" s="21" t="s">
        <v>22</v>
      </c>
      <c r="H577" s="22" t="b">
        <v>0</v>
      </c>
      <c r="I577" s="22" t="b">
        <v>0</v>
      </c>
      <c r="J577" s="22" t="b">
        <v>0</v>
      </c>
      <c r="K577" s="22" t="b">
        <v>0</v>
      </c>
      <c r="L577" s="22" t="b">
        <v>0</v>
      </c>
      <c r="M577" s="21"/>
      <c r="N577" s="23">
        <v>0</v>
      </c>
      <c r="O577" s="24"/>
      <c r="P577" s="19"/>
      <c r="Q577" s="25"/>
      <c r="R577" s="25"/>
      <c r="S577" s="19"/>
      <c r="T577" s="26"/>
      <c r="U577" s="30" t="s">
        <v>34</v>
      </c>
      <c r="V577" s="28" t="s">
        <v>233</v>
      </c>
      <c r="W577" s="29" t="s">
        <v>26</v>
      </c>
    </row>
    <row r="578" spans="1:23" ht="30" customHeight="1">
      <c r="A578" s="19" t="s">
        <v>5582</v>
      </c>
      <c r="B578" s="19" t="s">
        <v>5569</v>
      </c>
      <c r="C578" s="19"/>
      <c r="D578" s="19" t="s">
        <v>2304</v>
      </c>
      <c r="E578" s="20" t="s">
        <v>2305</v>
      </c>
      <c r="F578" s="19"/>
      <c r="G578" s="21" t="s">
        <v>22</v>
      </c>
      <c r="H578" s="22" t="b">
        <v>0</v>
      </c>
      <c r="I578" s="22" t="b">
        <v>0</v>
      </c>
      <c r="J578" s="22" t="b">
        <v>0</v>
      </c>
      <c r="K578" s="22" t="b">
        <v>0</v>
      </c>
      <c r="L578" s="22" t="b">
        <v>0</v>
      </c>
      <c r="M578" s="21"/>
      <c r="N578" s="23">
        <v>0</v>
      </c>
      <c r="O578" s="24"/>
      <c r="P578" s="19"/>
      <c r="Q578" s="25"/>
      <c r="R578" s="25"/>
      <c r="S578" s="19"/>
      <c r="T578" s="26"/>
      <c r="U578" s="30" t="s">
        <v>34</v>
      </c>
      <c r="V578" s="28" t="s">
        <v>2306</v>
      </c>
      <c r="W578" s="29" t="s">
        <v>26</v>
      </c>
    </row>
    <row r="579" spans="1:23" ht="30" customHeight="1">
      <c r="A579" s="19" t="s">
        <v>5582</v>
      </c>
      <c r="B579" s="19" t="s">
        <v>5569</v>
      </c>
      <c r="C579" s="19"/>
      <c r="D579" s="19" t="s">
        <v>2308</v>
      </c>
      <c r="E579" s="20" t="s">
        <v>109</v>
      </c>
      <c r="F579" s="19"/>
      <c r="G579" s="21" t="s">
        <v>22</v>
      </c>
      <c r="H579" s="22" t="b">
        <v>0</v>
      </c>
      <c r="I579" s="22" t="b">
        <v>0</v>
      </c>
      <c r="J579" s="22" t="b">
        <v>0</v>
      </c>
      <c r="K579" s="22" t="b">
        <v>0</v>
      </c>
      <c r="L579" s="22" t="b">
        <v>0</v>
      </c>
      <c r="M579" s="21"/>
      <c r="N579" s="23">
        <v>0</v>
      </c>
      <c r="O579" s="24"/>
      <c r="P579" s="19"/>
      <c r="Q579" s="25"/>
      <c r="R579" s="25"/>
      <c r="S579" s="19"/>
      <c r="T579" s="26"/>
      <c r="U579" s="31" t="s">
        <v>110</v>
      </c>
      <c r="V579" s="28" t="s">
        <v>2309</v>
      </c>
      <c r="W579" s="29" t="s">
        <v>26</v>
      </c>
    </row>
    <row r="580" spans="1:23" ht="30" customHeight="1">
      <c r="A580" s="19" t="s">
        <v>5582</v>
      </c>
      <c r="B580" s="19" t="s">
        <v>5569</v>
      </c>
      <c r="C580" s="19"/>
      <c r="D580" s="19" t="s">
        <v>2311</v>
      </c>
      <c r="E580" s="20" t="s">
        <v>2312</v>
      </c>
      <c r="F580" s="19"/>
      <c r="G580" s="21" t="s">
        <v>22</v>
      </c>
      <c r="H580" s="22" t="b">
        <v>0</v>
      </c>
      <c r="I580" s="22" t="b">
        <v>0</v>
      </c>
      <c r="J580" s="22" t="b">
        <v>0</v>
      </c>
      <c r="K580" s="22" t="b">
        <v>0</v>
      </c>
      <c r="L580" s="22" t="b">
        <v>0</v>
      </c>
      <c r="M580" s="21"/>
      <c r="N580" s="23">
        <v>0</v>
      </c>
      <c r="O580" s="24"/>
      <c r="P580" s="19"/>
      <c r="Q580" s="25"/>
      <c r="R580" s="25"/>
      <c r="S580" s="19"/>
      <c r="T580" s="26"/>
      <c r="U580" s="30" t="s">
        <v>34</v>
      </c>
      <c r="V580" s="28" t="s">
        <v>2313</v>
      </c>
      <c r="W580" s="29" t="s">
        <v>26</v>
      </c>
    </row>
    <row r="581" spans="1:23" ht="30" customHeight="1">
      <c r="A581" s="19" t="s">
        <v>5582</v>
      </c>
      <c r="B581" s="19" t="s">
        <v>5569</v>
      </c>
      <c r="C581" s="19"/>
      <c r="D581" s="19" t="s">
        <v>2316</v>
      </c>
      <c r="E581" s="20" t="s">
        <v>2317</v>
      </c>
      <c r="F581" s="19"/>
      <c r="G581" s="21" t="s">
        <v>22</v>
      </c>
      <c r="H581" s="22" t="b">
        <v>0</v>
      </c>
      <c r="I581" s="22" t="b">
        <v>0</v>
      </c>
      <c r="J581" s="22" t="b">
        <v>0</v>
      </c>
      <c r="K581" s="22" t="b">
        <v>0</v>
      </c>
      <c r="L581" s="22" t="b">
        <v>0</v>
      </c>
      <c r="M581" s="21"/>
      <c r="N581" s="23">
        <v>0</v>
      </c>
      <c r="O581" s="24"/>
      <c r="P581" s="19"/>
      <c r="Q581" s="25"/>
      <c r="R581" s="25"/>
      <c r="S581" s="19"/>
      <c r="T581" s="26"/>
      <c r="U581" s="27" t="s">
        <v>21</v>
      </c>
      <c r="V581" s="28" t="s">
        <v>296</v>
      </c>
      <c r="W581" s="29" t="s">
        <v>26</v>
      </c>
    </row>
    <row r="582" spans="1:23" ht="30" customHeight="1">
      <c r="A582" s="19" t="s">
        <v>5582</v>
      </c>
      <c r="B582" s="19" t="s">
        <v>5569</v>
      </c>
      <c r="C582" s="19"/>
      <c r="D582" s="19" t="s">
        <v>2320</v>
      </c>
      <c r="E582" s="20" t="s">
        <v>2321</v>
      </c>
      <c r="F582" s="19"/>
      <c r="G582" s="21" t="s">
        <v>22</v>
      </c>
      <c r="H582" s="22" t="b">
        <v>0</v>
      </c>
      <c r="I582" s="22" t="b">
        <v>0</v>
      </c>
      <c r="J582" s="22" t="b">
        <v>0</v>
      </c>
      <c r="K582" s="22" t="b">
        <v>0</v>
      </c>
      <c r="L582" s="22" t="b">
        <v>0</v>
      </c>
      <c r="M582" s="21"/>
      <c r="N582" s="23">
        <v>0</v>
      </c>
      <c r="O582" s="24"/>
      <c r="P582" s="19"/>
      <c r="Q582" s="25"/>
      <c r="R582" s="25"/>
      <c r="S582" s="19"/>
      <c r="T582" s="26"/>
      <c r="U582" s="30" t="s">
        <v>34</v>
      </c>
      <c r="V582" s="28" t="s">
        <v>233</v>
      </c>
      <c r="W582" s="29" t="s">
        <v>26</v>
      </c>
    </row>
    <row r="583" spans="1:23" ht="30" customHeight="1">
      <c r="A583" s="19" t="s">
        <v>5582</v>
      </c>
      <c r="B583" s="19" t="s">
        <v>5569</v>
      </c>
      <c r="C583" s="19"/>
      <c r="D583" s="19" t="s">
        <v>2323</v>
      </c>
      <c r="E583" s="20" t="s">
        <v>2324</v>
      </c>
      <c r="F583" s="19"/>
      <c r="G583" s="21" t="s">
        <v>22</v>
      </c>
      <c r="H583" s="22" t="b">
        <v>0</v>
      </c>
      <c r="I583" s="22" t="b">
        <v>0</v>
      </c>
      <c r="J583" s="22" t="b">
        <v>0</v>
      </c>
      <c r="K583" s="22" t="b">
        <v>0</v>
      </c>
      <c r="L583" s="22" t="b">
        <v>0</v>
      </c>
      <c r="M583" s="21"/>
      <c r="N583" s="23">
        <v>0</v>
      </c>
      <c r="O583" s="24"/>
      <c r="P583" s="19"/>
      <c r="Q583" s="25"/>
      <c r="R583" s="25"/>
      <c r="S583" s="19"/>
      <c r="T583" s="26"/>
      <c r="U583" s="30" t="s">
        <v>34</v>
      </c>
      <c r="V583" s="28" t="s">
        <v>2325</v>
      </c>
      <c r="W583" s="29" t="s">
        <v>26</v>
      </c>
    </row>
    <row r="584" spans="1:23" ht="30" customHeight="1">
      <c r="A584" s="19" t="s">
        <v>5582</v>
      </c>
      <c r="B584" s="19" t="s">
        <v>5569</v>
      </c>
      <c r="C584" s="19"/>
      <c r="D584" s="19" t="s">
        <v>2328</v>
      </c>
      <c r="E584" s="20" t="s">
        <v>2329</v>
      </c>
      <c r="F584" s="19"/>
      <c r="G584" s="21" t="s">
        <v>22</v>
      </c>
      <c r="H584" s="22" t="b">
        <v>0</v>
      </c>
      <c r="I584" s="22" t="b">
        <v>0</v>
      </c>
      <c r="J584" s="22" t="b">
        <v>0</v>
      </c>
      <c r="K584" s="22" t="b">
        <v>0</v>
      </c>
      <c r="L584" s="22" t="b">
        <v>0</v>
      </c>
      <c r="M584" s="21"/>
      <c r="N584" s="23">
        <v>0</v>
      </c>
      <c r="O584" s="24"/>
      <c r="P584" s="19"/>
      <c r="Q584" s="25"/>
      <c r="R584" s="25"/>
      <c r="S584" s="19"/>
      <c r="T584" s="26"/>
      <c r="U584" s="30" t="s">
        <v>34</v>
      </c>
      <c r="V584" s="28" t="s">
        <v>904</v>
      </c>
      <c r="W584" s="29" t="s">
        <v>26</v>
      </c>
    </row>
    <row r="585" spans="1:23" ht="30" customHeight="1">
      <c r="A585" s="19" t="s">
        <v>5582</v>
      </c>
      <c r="B585" s="19" t="s">
        <v>5569</v>
      </c>
      <c r="C585" s="19"/>
      <c r="D585" s="19" t="s">
        <v>2332</v>
      </c>
      <c r="E585" s="20" t="s">
        <v>2333</v>
      </c>
      <c r="F585" s="19"/>
      <c r="G585" s="21" t="s">
        <v>22</v>
      </c>
      <c r="H585" s="22" t="b">
        <v>0</v>
      </c>
      <c r="I585" s="22" t="b">
        <v>0</v>
      </c>
      <c r="J585" s="22" t="b">
        <v>0</v>
      </c>
      <c r="K585" s="22" t="b">
        <v>0</v>
      </c>
      <c r="L585" s="22" t="b">
        <v>0</v>
      </c>
      <c r="M585" s="21"/>
      <c r="N585" s="23">
        <v>0</v>
      </c>
      <c r="O585" s="24"/>
      <c r="P585" s="19"/>
      <c r="Q585" s="25"/>
      <c r="R585" s="25"/>
      <c r="S585" s="19"/>
      <c r="T585" s="26"/>
      <c r="U585" s="30" t="s">
        <v>34</v>
      </c>
      <c r="V585" s="28" t="s">
        <v>233</v>
      </c>
      <c r="W585" s="29" t="s">
        <v>26</v>
      </c>
    </row>
    <row r="586" spans="1:23" ht="30" customHeight="1">
      <c r="A586" s="19" t="s">
        <v>5582</v>
      </c>
      <c r="B586" s="19" t="s">
        <v>5569</v>
      </c>
      <c r="C586" s="19"/>
      <c r="D586" s="19" t="s">
        <v>2336</v>
      </c>
      <c r="E586" s="20" t="s">
        <v>2337</v>
      </c>
      <c r="F586" s="19"/>
      <c r="G586" s="21" t="s">
        <v>22</v>
      </c>
      <c r="H586" s="22" t="b">
        <v>0</v>
      </c>
      <c r="I586" s="22" t="b">
        <v>0</v>
      </c>
      <c r="J586" s="22" t="b">
        <v>0</v>
      </c>
      <c r="K586" s="22" t="b">
        <v>0</v>
      </c>
      <c r="L586" s="22" t="b">
        <v>0</v>
      </c>
      <c r="M586" s="21"/>
      <c r="N586" s="23">
        <v>0</v>
      </c>
      <c r="O586" s="24"/>
      <c r="P586" s="19"/>
      <c r="Q586" s="25"/>
      <c r="R586" s="25"/>
      <c r="S586" s="19"/>
      <c r="T586" s="26"/>
      <c r="U586" s="27" t="s">
        <v>21</v>
      </c>
      <c r="V586" s="28" t="s">
        <v>2338</v>
      </c>
      <c r="W586" s="29" t="s">
        <v>26</v>
      </c>
    </row>
    <row r="587" spans="1:23" ht="30" customHeight="1">
      <c r="A587" s="19" t="s">
        <v>5582</v>
      </c>
      <c r="B587" s="19" t="s">
        <v>5569</v>
      </c>
      <c r="C587" s="19"/>
      <c r="D587" s="19" t="s">
        <v>2340</v>
      </c>
      <c r="E587" s="20" t="s">
        <v>2341</v>
      </c>
      <c r="F587" s="19"/>
      <c r="G587" s="21" t="s">
        <v>22</v>
      </c>
      <c r="H587" s="22" t="b">
        <v>0</v>
      </c>
      <c r="I587" s="22" t="b">
        <v>0</v>
      </c>
      <c r="J587" s="22" t="b">
        <v>0</v>
      </c>
      <c r="K587" s="22" t="b">
        <v>0</v>
      </c>
      <c r="L587" s="22" t="b">
        <v>0</v>
      </c>
      <c r="M587" s="21"/>
      <c r="N587" s="23">
        <v>0</v>
      </c>
      <c r="O587" s="24"/>
      <c r="P587" s="19"/>
      <c r="Q587" s="25"/>
      <c r="R587" s="25"/>
      <c r="S587" s="19"/>
      <c r="T587" s="26"/>
      <c r="U587" s="30" t="s">
        <v>34</v>
      </c>
      <c r="V587" s="28" t="s">
        <v>2342</v>
      </c>
      <c r="W587" s="29" t="s">
        <v>26</v>
      </c>
    </row>
    <row r="588" spans="1:23" ht="30" customHeight="1">
      <c r="A588" s="19" t="s">
        <v>5582</v>
      </c>
      <c r="B588" s="19" t="s">
        <v>5569</v>
      </c>
      <c r="C588" s="19"/>
      <c r="D588" s="19" t="s">
        <v>2344</v>
      </c>
      <c r="E588" s="20" t="s">
        <v>2345</v>
      </c>
      <c r="F588" s="19"/>
      <c r="G588" s="21" t="s">
        <v>22</v>
      </c>
      <c r="H588" s="22" t="b">
        <v>0</v>
      </c>
      <c r="I588" s="22" t="b">
        <v>0</v>
      </c>
      <c r="J588" s="22" t="b">
        <v>0</v>
      </c>
      <c r="K588" s="22" t="b">
        <v>0</v>
      </c>
      <c r="L588" s="22" t="b">
        <v>0</v>
      </c>
      <c r="M588" s="21"/>
      <c r="N588" s="23">
        <v>0</v>
      </c>
      <c r="O588" s="24"/>
      <c r="P588" s="19"/>
      <c r="Q588" s="25"/>
      <c r="R588" s="25"/>
      <c r="S588" s="19"/>
      <c r="T588" s="26"/>
      <c r="U588" s="30" t="s">
        <v>34</v>
      </c>
      <c r="V588" s="28" t="s">
        <v>1609</v>
      </c>
      <c r="W588" s="29" t="s">
        <v>26</v>
      </c>
    </row>
    <row r="589" spans="1:23" ht="30" customHeight="1">
      <c r="A589" s="19" t="s">
        <v>5582</v>
      </c>
      <c r="B589" s="19" t="s">
        <v>5569</v>
      </c>
      <c r="C589" s="19"/>
      <c r="D589" s="19" t="s">
        <v>2347</v>
      </c>
      <c r="E589" s="20" t="s">
        <v>2348</v>
      </c>
      <c r="F589" s="19"/>
      <c r="G589" s="21" t="s">
        <v>22</v>
      </c>
      <c r="H589" s="22" t="b">
        <v>0</v>
      </c>
      <c r="I589" s="22" t="b">
        <v>0</v>
      </c>
      <c r="J589" s="22" t="b">
        <v>0</v>
      </c>
      <c r="K589" s="22" t="b">
        <v>0</v>
      </c>
      <c r="L589" s="22" t="b">
        <v>0</v>
      </c>
      <c r="M589" s="21"/>
      <c r="N589" s="23">
        <v>0</v>
      </c>
      <c r="O589" s="24"/>
      <c r="P589" s="19"/>
      <c r="Q589" s="25"/>
      <c r="R589" s="25"/>
      <c r="S589" s="19"/>
      <c r="T589" s="26"/>
      <c r="U589" s="30" t="s">
        <v>34</v>
      </c>
      <c r="V589" s="28" t="s">
        <v>904</v>
      </c>
      <c r="W589" s="29" t="s">
        <v>26</v>
      </c>
    </row>
    <row r="590" spans="1:23" ht="30" customHeight="1">
      <c r="A590" s="19" t="s">
        <v>5582</v>
      </c>
      <c r="B590" s="19" t="s">
        <v>5569</v>
      </c>
      <c r="C590" s="19"/>
      <c r="D590" s="19" t="s">
        <v>2351</v>
      </c>
      <c r="E590" s="20" t="s">
        <v>2352</v>
      </c>
      <c r="F590" s="19"/>
      <c r="G590" s="21" t="s">
        <v>22</v>
      </c>
      <c r="H590" s="22" t="b">
        <v>0</v>
      </c>
      <c r="I590" s="22" t="b">
        <v>0</v>
      </c>
      <c r="J590" s="22" t="b">
        <v>0</v>
      </c>
      <c r="K590" s="22" t="b">
        <v>0</v>
      </c>
      <c r="L590" s="22" t="b">
        <v>0</v>
      </c>
      <c r="M590" s="21"/>
      <c r="N590" s="23">
        <v>0</v>
      </c>
      <c r="O590" s="24"/>
      <c r="P590" s="19"/>
      <c r="Q590" s="25"/>
      <c r="R590" s="25"/>
      <c r="S590" s="19"/>
      <c r="T590" s="26"/>
      <c r="U590" s="27" t="s">
        <v>21</v>
      </c>
      <c r="V590" s="28" t="s">
        <v>966</v>
      </c>
      <c r="W590" s="29" t="s">
        <v>26</v>
      </c>
    </row>
    <row r="591" spans="1:23" ht="30" customHeight="1">
      <c r="A591" s="19" t="s">
        <v>5582</v>
      </c>
      <c r="B591" s="19" t="s">
        <v>5569</v>
      </c>
      <c r="C591" s="19"/>
      <c r="D591" s="19" t="s">
        <v>2355</v>
      </c>
      <c r="E591" s="20" t="s">
        <v>2356</v>
      </c>
      <c r="F591" s="19"/>
      <c r="G591" s="21" t="s">
        <v>22</v>
      </c>
      <c r="H591" s="22" t="b">
        <v>0</v>
      </c>
      <c r="I591" s="22" t="b">
        <v>0</v>
      </c>
      <c r="J591" s="22" t="b">
        <v>0</v>
      </c>
      <c r="K591" s="22" t="b">
        <v>0</v>
      </c>
      <c r="L591" s="22" t="b">
        <v>0</v>
      </c>
      <c r="M591" s="21"/>
      <c r="N591" s="23">
        <v>0</v>
      </c>
      <c r="O591" s="24"/>
      <c r="P591" s="19"/>
      <c r="Q591" s="25"/>
      <c r="R591" s="25"/>
      <c r="S591" s="19"/>
      <c r="T591" s="26"/>
      <c r="U591" s="30" t="s">
        <v>34</v>
      </c>
      <c r="V591" s="28" t="s">
        <v>2357</v>
      </c>
      <c r="W591" s="29" t="s">
        <v>26</v>
      </c>
    </row>
    <row r="592" spans="1:23" ht="30" customHeight="1">
      <c r="A592" s="19" t="s">
        <v>5582</v>
      </c>
      <c r="B592" s="19" t="s">
        <v>5569</v>
      </c>
      <c r="C592" s="19"/>
      <c r="D592" s="19" t="s">
        <v>2360</v>
      </c>
      <c r="E592" s="20" t="s">
        <v>2361</v>
      </c>
      <c r="F592" s="19"/>
      <c r="G592" s="21" t="s">
        <v>22</v>
      </c>
      <c r="H592" s="22" t="b">
        <v>0</v>
      </c>
      <c r="I592" s="22" t="b">
        <v>0</v>
      </c>
      <c r="J592" s="22" t="b">
        <v>0</v>
      </c>
      <c r="K592" s="22" t="b">
        <v>0</v>
      </c>
      <c r="L592" s="22" t="b">
        <v>0</v>
      </c>
      <c r="M592" s="21"/>
      <c r="N592" s="23">
        <v>0</v>
      </c>
      <c r="O592" s="24"/>
      <c r="P592" s="19"/>
      <c r="Q592" s="25"/>
      <c r="R592" s="25"/>
      <c r="S592" s="19"/>
      <c r="T592" s="26"/>
      <c r="U592" s="27" t="s">
        <v>21</v>
      </c>
      <c r="V592" s="28" t="s">
        <v>2362</v>
      </c>
      <c r="W592" s="29" t="s">
        <v>26</v>
      </c>
    </row>
    <row r="593" spans="1:23" ht="30" customHeight="1">
      <c r="A593" s="19" t="s">
        <v>5582</v>
      </c>
      <c r="B593" s="19" t="s">
        <v>5569</v>
      </c>
      <c r="C593" s="19"/>
      <c r="D593" s="19" t="s">
        <v>2364</v>
      </c>
      <c r="E593" s="20" t="s">
        <v>2365</v>
      </c>
      <c r="F593" s="19"/>
      <c r="G593" s="21" t="s">
        <v>22</v>
      </c>
      <c r="H593" s="22" t="b">
        <v>0</v>
      </c>
      <c r="I593" s="22" t="b">
        <v>0</v>
      </c>
      <c r="J593" s="22" t="b">
        <v>0</v>
      </c>
      <c r="K593" s="22" t="b">
        <v>0</v>
      </c>
      <c r="L593" s="22" t="b">
        <v>0</v>
      </c>
      <c r="M593" s="21"/>
      <c r="N593" s="23">
        <v>0</v>
      </c>
      <c r="O593" s="24"/>
      <c r="P593" s="19"/>
      <c r="Q593" s="25"/>
      <c r="R593" s="25"/>
      <c r="S593" s="19"/>
      <c r="T593" s="26"/>
      <c r="U593" s="30" t="s">
        <v>34</v>
      </c>
      <c r="V593" s="28" t="s">
        <v>954</v>
      </c>
      <c r="W593" s="29" t="s">
        <v>26</v>
      </c>
    </row>
    <row r="594" spans="1:23" ht="30" customHeight="1">
      <c r="A594" s="19" t="s">
        <v>5582</v>
      </c>
      <c r="B594" s="19" t="s">
        <v>5569</v>
      </c>
      <c r="C594" s="19"/>
      <c r="D594" s="19" t="s">
        <v>2367</v>
      </c>
      <c r="E594" s="20" t="s">
        <v>2368</v>
      </c>
      <c r="F594" s="19"/>
      <c r="G594" s="21" t="s">
        <v>22</v>
      </c>
      <c r="H594" s="22" t="b">
        <v>0</v>
      </c>
      <c r="I594" s="22" t="b">
        <v>0</v>
      </c>
      <c r="J594" s="22" t="b">
        <v>0</v>
      </c>
      <c r="K594" s="22" t="b">
        <v>0</v>
      </c>
      <c r="L594" s="22" t="b">
        <v>0</v>
      </c>
      <c r="M594" s="21"/>
      <c r="N594" s="23">
        <v>0</v>
      </c>
      <c r="O594" s="24"/>
      <c r="P594" s="19"/>
      <c r="Q594" s="25"/>
      <c r="R594" s="25"/>
      <c r="S594" s="19"/>
      <c r="T594" s="26"/>
      <c r="U594" s="27" t="s">
        <v>21</v>
      </c>
      <c r="V594" s="28" t="s">
        <v>2369</v>
      </c>
      <c r="W594" s="29" t="s">
        <v>26</v>
      </c>
    </row>
    <row r="595" spans="1:23" ht="30" customHeight="1">
      <c r="A595" s="19" t="s">
        <v>5582</v>
      </c>
      <c r="B595" s="19" t="s">
        <v>5569</v>
      </c>
      <c r="C595" s="19"/>
      <c r="D595" s="19" t="s">
        <v>2371</v>
      </c>
      <c r="E595" s="20" t="s">
        <v>2372</v>
      </c>
      <c r="F595" s="19"/>
      <c r="G595" s="21" t="s">
        <v>22</v>
      </c>
      <c r="H595" s="22" t="b">
        <v>0</v>
      </c>
      <c r="I595" s="22" t="b">
        <v>0</v>
      </c>
      <c r="J595" s="22" t="b">
        <v>0</v>
      </c>
      <c r="K595" s="22" t="b">
        <v>0</v>
      </c>
      <c r="L595" s="22" t="b">
        <v>0</v>
      </c>
      <c r="M595" s="21"/>
      <c r="N595" s="23">
        <v>0</v>
      </c>
      <c r="O595" s="24"/>
      <c r="P595" s="19"/>
      <c r="Q595" s="25"/>
      <c r="R595" s="25"/>
      <c r="S595" s="19"/>
      <c r="T595" s="26"/>
      <c r="U595" s="30" t="s">
        <v>34</v>
      </c>
      <c r="V595" s="28" t="s">
        <v>904</v>
      </c>
      <c r="W595" s="29" t="s">
        <v>26</v>
      </c>
    </row>
    <row r="596" spans="1:23" ht="30" customHeight="1">
      <c r="A596" s="19" t="s">
        <v>5582</v>
      </c>
      <c r="B596" s="19" t="s">
        <v>5569</v>
      </c>
      <c r="C596" s="19"/>
      <c r="D596" s="19" t="s">
        <v>2375</v>
      </c>
      <c r="E596" s="20" t="s">
        <v>2376</v>
      </c>
      <c r="F596" s="19"/>
      <c r="G596" s="21" t="s">
        <v>22</v>
      </c>
      <c r="H596" s="22" t="b">
        <v>0</v>
      </c>
      <c r="I596" s="22" t="b">
        <v>0</v>
      </c>
      <c r="J596" s="22" t="b">
        <v>0</v>
      </c>
      <c r="K596" s="22" t="b">
        <v>0</v>
      </c>
      <c r="L596" s="22" t="b">
        <v>0</v>
      </c>
      <c r="M596" s="21"/>
      <c r="N596" s="23">
        <v>0</v>
      </c>
      <c r="O596" s="24"/>
      <c r="P596" s="19"/>
      <c r="Q596" s="25"/>
      <c r="R596" s="25"/>
      <c r="S596" s="19"/>
      <c r="T596" s="26"/>
      <c r="U596" s="27" t="s">
        <v>21</v>
      </c>
      <c r="V596" s="28" t="s">
        <v>1462</v>
      </c>
      <c r="W596" s="29" t="s">
        <v>26</v>
      </c>
    </row>
    <row r="597" spans="1:23" ht="30" customHeight="1">
      <c r="A597" s="19" t="s">
        <v>5582</v>
      </c>
      <c r="B597" s="19" t="s">
        <v>5569</v>
      </c>
      <c r="C597" s="19"/>
      <c r="D597" s="19" t="s">
        <v>2378</v>
      </c>
      <c r="E597" s="20" t="s">
        <v>2379</v>
      </c>
      <c r="F597" s="19"/>
      <c r="G597" s="21" t="s">
        <v>29</v>
      </c>
      <c r="H597" s="22" t="b">
        <v>0</v>
      </c>
      <c r="I597" s="22" t="b">
        <v>0</v>
      </c>
      <c r="J597" s="22" t="b">
        <v>0</v>
      </c>
      <c r="K597" s="22" t="b">
        <v>0</v>
      </c>
      <c r="L597" s="22" t="b">
        <v>0</v>
      </c>
      <c r="M597" s="21"/>
      <c r="N597" s="23">
        <v>0</v>
      </c>
      <c r="O597" s="24"/>
      <c r="P597" s="19"/>
      <c r="Q597" s="25"/>
      <c r="R597" s="25"/>
      <c r="S597" s="19"/>
      <c r="T597" s="26"/>
      <c r="U597" s="27" t="s">
        <v>21</v>
      </c>
      <c r="V597" s="28" t="s">
        <v>913</v>
      </c>
      <c r="W597" s="29" t="s">
        <v>26</v>
      </c>
    </row>
    <row r="598" spans="1:23" ht="30" customHeight="1">
      <c r="A598" s="19" t="s">
        <v>5582</v>
      </c>
      <c r="B598" s="19" t="s">
        <v>5569</v>
      </c>
      <c r="C598" s="19"/>
      <c r="D598" s="19" t="s">
        <v>2382</v>
      </c>
      <c r="E598" s="20" t="s">
        <v>2383</v>
      </c>
      <c r="F598" s="19"/>
      <c r="G598" s="21" t="s">
        <v>22</v>
      </c>
      <c r="H598" s="22" t="b">
        <v>0</v>
      </c>
      <c r="I598" s="22" t="b">
        <v>0</v>
      </c>
      <c r="J598" s="22" t="b">
        <v>0</v>
      </c>
      <c r="K598" s="22" t="b">
        <v>0</v>
      </c>
      <c r="L598" s="22" t="b">
        <v>0</v>
      </c>
      <c r="M598" s="21"/>
      <c r="N598" s="23">
        <v>0</v>
      </c>
      <c r="O598" s="24"/>
      <c r="P598" s="19"/>
      <c r="Q598" s="25"/>
      <c r="R598" s="25"/>
      <c r="S598" s="19"/>
      <c r="T598" s="26"/>
      <c r="U598" s="30" t="s">
        <v>34</v>
      </c>
      <c r="V598" s="28" t="s">
        <v>904</v>
      </c>
      <c r="W598" s="29" t="s">
        <v>26</v>
      </c>
    </row>
    <row r="599" spans="1:23" ht="30" customHeight="1">
      <c r="A599" s="19" t="s">
        <v>5582</v>
      </c>
      <c r="B599" s="19" t="s">
        <v>5569</v>
      </c>
      <c r="C599" s="19"/>
      <c r="D599" s="19" t="s">
        <v>2385</v>
      </c>
      <c r="E599" s="20" t="s">
        <v>2386</v>
      </c>
      <c r="F599" s="19"/>
      <c r="G599" s="21" t="s">
        <v>22</v>
      </c>
      <c r="H599" s="22" t="b">
        <v>0</v>
      </c>
      <c r="I599" s="22" t="b">
        <v>0</v>
      </c>
      <c r="J599" s="22" t="b">
        <v>0</v>
      </c>
      <c r="K599" s="22" t="b">
        <v>0</v>
      </c>
      <c r="L599" s="22" t="b">
        <v>0</v>
      </c>
      <c r="M599" s="21"/>
      <c r="N599" s="23">
        <v>0</v>
      </c>
      <c r="O599" s="24"/>
      <c r="P599" s="19"/>
      <c r="Q599" s="25"/>
      <c r="R599" s="25"/>
      <c r="S599" s="19"/>
      <c r="T599" s="26"/>
      <c r="U599" s="27" t="s">
        <v>21</v>
      </c>
      <c r="V599" s="28" t="s">
        <v>1462</v>
      </c>
      <c r="W599" s="29" t="s">
        <v>26</v>
      </c>
    </row>
    <row r="600" spans="1:23" ht="30" customHeight="1">
      <c r="A600" s="19" t="s">
        <v>5582</v>
      </c>
      <c r="B600" s="19" t="s">
        <v>5569</v>
      </c>
      <c r="C600" s="19"/>
      <c r="D600" s="19" t="s">
        <v>2388</v>
      </c>
      <c r="E600" s="20" t="s">
        <v>109</v>
      </c>
      <c r="F600" s="19"/>
      <c r="G600" s="21" t="s">
        <v>29</v>
      </c>
      <c r="H600" s="22" t="b">
        <v>0</v>
      </c>
      <c r="I600" s="22" t="b">
        <v>0</v>
      </c>
      <c r="J600" s="22" t="b">
        <v>0</v>
      </c>
      <c r="K600" s="22" t="b">
        <v>0</v>
      </c>
      <c r="L600" s="22" t="b">
        <v>0</v>
      </c>
      <c r="M600" s="21"/>
      <c r="N600" s="23">
        <v>0</v>
      </c>
      <c r="O600" s="24"/>
      <c r="P600" s="19"/>
      <c r="Q600" s="25"/>
      <c r="R600" s="25"/>
      <c r="S600" s="19"/>
      <c r="T600" s="26"/>
      <c r="U600" s="31" t="s">
        <v>110</v>
      </c>
      <c r="V600" s="28" t="s">
        <v>2389</v>
      </c>
      <c r="W600" s="29" t="s">
        <v>26</v>
      </c>
    </row>
    <row r="601" spans="1:23" ht="30" customHeight="1">
      <c r="A601" s="19" t="s">
        <v>5582</v>
      </c>
      <c r="B601" s="19" t="s">
        <v>5569</v>
      </c>
      <c r="C601" s="19"/>
      <c r="D601" s="19" t="s">
        <v>2391</v>
      </c>
      <c r="E601" s="20" t="s">
        <v>2392</v>
      </c>
      <c r="F601" s="19"/>
      <c r="G601" s="21" t="s">
        <v>22</v>
      </c>
      <c r="H601" s="22" t="b">
        <v>0</v>
      </c>
      <c r="I601" s="22" t="b">
        <v>0</v>
      </c>
      <c r="J601" s="22" t="b">
        <v>0</v>
      </c>
      <c r="K601" s="22" t="b">
        <v>0</v>
      </c>
      <c r="L601" s="22" t="b">
        <v>0</v>
      </c>
      <c r="M601" s="21"/>
      <c r="N601" s="23">
        <v>0</v>
      </c>
      <c r="O601" s="24"/>
      <c r="P601" s="19"/>
      <c r="Q601" s="25"/>
      <c r="R601" s="25"/>
      <c r="S601" s="19"/>
      <c r="T601" s="26"/>
      <c r="U601" s="27" t="s">
        <v>21</v>
      </c>
      <c r="V601" s="28" t="s">
        <v>192</v>
      </c>
      <c r="W601" s="29" t="s">
        <v>26</v>
      </c>
    </row>
    <row r="602" spans="1:23" ht="30" customHeight="1">
      <c r="A602" s="19" t="s">
        <v>5582</v>
      </c>
      <c r="B602" s="19" t="s">
        <v>5569</v>
      </c>
      <c r="C602" s="19"/>
      <c r="D602" s="19" t="s">
        <v>2395</v>
      </c>
      <c r="E602" s="20" t="s">
        <v>2396</v>
      </c>
      <c r="F602" s="19"/>
      <c r="G602" s="21" t="s">
        <v>22</v>
      </c>
      <c r="H602" s="22" t="b">
        <v>0</v>
      </c>
      <c r="I602" s="22" t="b">
        <v>0</v>
      </c>
      <c r="J602" s="22" t="b">
        <v>0</v>
      </c>
      <c r="K602" s="22" t="b">
        <v>0</v>
      </c>
      <c r="L602" s="22" t="b">
        <v>0</v>
      </c>
      <c r="M602" s="21"/>
      <c r="N602" s="23">
        <v>0</v>
      </c>
      <c r="O602" s="24"/>
      <c r="P602" s="19"/>
      <c r="Q602" s="25"/>
      <c r="R602" s="25"/>
      <c r="S602" s="19"/>
      <c r="T602" s="26"/>
      <c r="U602" s="30" t="s">
        <v>34</v>
      </c>
      <c r="V602" s="28" t="s">
        <v>233</v>
      </c>
      <c r="W602" s="29" t="s">
        <v>26</v>
      </c>
    </row>
    <row r="603" spans="1:23" ht="30" customHeight="1">
      <c r="A603" s="19" t="s">
        <v>5582</v>
      </c>
      <c r="B603" s="19" t="s">
        <v>5569</v>
      </c>
      <c r="C603" s="19"/>
      <c r="D603" s="19" t="s">
        <v>2398</v>
      </c>
      <c r="E603" s="20" t="s">
        <v>2399</v>
      </c>
      <c r="F603" s="19"/>
      <c r="G603" s="21" t="s">
        <v>22</v>
      </c>
      <c r="H603" s="22" t="b">
        <v>0</v>
      </c>
      <c r="I603" s="22" t="b">
        <v>0</v>
      </c>
      <c r="J603" s="22" t="b">
        <v>0</v>
      </c>
      <c r="K603" s="22" t="b">
        <v>0</v>
      </c>
      <c r="L603" s="22" t="b">
        <v>0</v>
      </c>
      <c r="M603" s="21"/>
      <c r="N603" s="23">
        <v>0</v>
      </c>
      <c r="O603" s="24"/>
      <c r="P603" s="19"/>
      <c r="Q603" s="25"/>
      <c r="R603" s="25"/>
      <c r="S603" s="19"/>
      <c r="T603" s="26"/>
      <c r="U603" s="27" t="s">
        <v>21</v>
      </c>
      <c r="V603" s="28" t="s">
        <v>913</v>
      </c>
      <c r="W603" s="29" t="s">
        <v>26</v>
      </c>
    </row>
    <row r="604" spans="1:23" ht="30" customHeight="1">
      <c r="A604" s="19" t="s">
        <v>5582</v>
      </c>
      <c r="B604" s="19" t="s">
        <v>5569</v>
      </c>
      <c r="C604" s="19"/>
      <c r="D604" s="19" t="s">
        <v>2401</v>
      </c>
      <c r="E604" s="20" t="s">
        <v>2402</v>
      </c>
      <c r="F604" s="19"/>
      <c r="G604" s="21" t="s">
        <v>22</v>
      </c>
      <c r="H604" s="22" t="b">
        <v>0</v>
      </c>
      <c r="I604" s="22" t="b">
        <v>0</v>
      </c>
      <c r="J604" s="22" t="b">
        <v>0</v>
      </c>
      <c r="K604" s="22" t="b">
        <v>0</v>
      </c>
      <c r="L604" s="22" t="b">
        <v>0</v>
      </c>
      <c r="M604" s="21"/>
      <c r="N604" s="23">
        <v>0</v>
      </c>
      <c r="O604" s="24"/>
      <c r="P604" s="19"/>
      <c r="Q604" s="25"/>
      <c r="R604" s="25"/>
      <c r="S604" s="19"/>
      <c r="T604" s="26"/>
      <c r="U604" s="27" t="s">
        <v>21</v>
      </c>
      <c r="V604" s="28" t="s">
        <v>913</v>
      </c>
      <c r="W604" s="29" t="s">
        <v>26</v>
      </c>
    </row>
    <row r="605" spans="1:23" ht="30" customHeight="1">
      <c r="A605" s="19" t="s">
        <v>5582</v>
      </c>
      <c r="B605" s="19" t="s">
        <v>5569</v>
      </c>
      <c r="C605" s="19"/>
      <c r="D605" s="19" t="s">
        <v>2405</v>
      </c>
      <c r="E605" s="20" t="s">
        <v>2406</v>
      </c>
      <c r="F605" s="19"/>
      <c r="G605" s="21" t="s">
        <v>29</v>
      </c>
      <c r="H605" s="22" t="b">
        <v>0</v>
      </c>
      <c r="I605" s="22" t="b">
        <v>0</v>
      </c>
      <c r="J605" s="22" t="b">
        <v>0</v>
      </c>
      <c r="K605" s="22" t="b">
        <v>0</v>
      </c>
      <c r="L605" s="22" t="b">
        <v>0</v>
      </c>
      <c r="M605" s="21"/>
      <c r="N605" s="23">
        <v>0</v>
      </c>
      <c r="O605" s="24"/>
      <c r="P605" s="19"/>
      <c r="Q605" s="25"/>
      <c r="R605" s="25"/>
      <c r="S605" s="19"/>
      <c r="T605" s="26"/>
      <c r="U605" s="27" t="s">
        <v>21</v>
      </c>
      <c r="V605" s="28" t="s">
        <v>2407</v>
      </c>
      <c r="W605" s="29" t="s">
        <v>26</v>
      </c>
    </row>
    <row r="606" spans="1:23" ht="30" customHeight="1">
      <c r="A606" s="19" t="s">
        <v>5582</v>
      </c>
      <c r="B606" s="19" t="s">
        <v>5569</v>
      </c>
      <c r="C606" s="19"/>
      <c r="D606" s="19" t="s">
        <v>2409</v>
      </c>
      <c r="E606" s="20" t="s">
        <v>2410</v>
      </c>
      <c r="F606" s="19"/>
      <c r="G606" s="21" t="s">
        <v>22</v>
      </c>
      <c r="H606" s="22" t="b">
        <v>0</v>
      </c>
      <c r="I606" s="22" t="b">
        <v>0</v>
      </c>
      <c r="J606" s="22" t="b">
        <v>0</v>
      </c>
      <c r="K606" s="22" t="b">
        <v>0</v>
      </c>
      <c r="L606" s="22" t="b">
        <v>0</v>
      </c>
      <c r="M606" s="21"/>
      <c r="N606" s="23">
        <v>0</v>
      </c>
      <c r="O606" s="24"/>
      <c r="P606" s="19"/>
      <c r="Q606" s="25"/>
      <c r="R606" s="25"/>
      <c r="S606" s="19"/>
      <c r="T606" s="26"/>
      <c r="U606" s="27" t="s">
        <v>21</v>
      </c>
      <c r="V606" s="28" t="s">
        <v>2411</v>
      </c>
      <c r="W606" s="29" t="s">
        <v>26</v>
      </c>
    </row>
    <row r="607" spans="1:23" ht="30" customHeight="1">
      <c r="A607" s="19" t="s">
        <v>5582</v>
      </c>
      <c r="B607" s="19" t="s">
        <v>5569</v>
      </c>
      <c r="C607" s="19"/>
      <c r="D607" s="19" t="s">
        <v>2414</v>
      </c>
      <c r="E607" s="20" t="s">
        <v>2415</v>
      </c>
      <c r="F607" s="19"/>
      <c r="G607" s="21" t="s">
        <v>22</v>
      </c>
      <c r="H607" s="22" t="b">
        <v>0</v>
      </c>
      <c r="I607" s="22" t="b">
        <v>0</v>
      </c>
      <c r="J607" s="22" t="b">
        <v>0</v>
      </c>
      <c r="K607" s="22" t="b">
        <v>0</v>
      </c>
      <c r="L607" s="22" t="b">
        <v>0</v>
      </c>
      <c r="M607" s="21"/>
      <c r="N607" s="23">
        <v>0</v>
      </c>
      <c r="O607" s="24"/>
      <c r="P607" s="19"/>
      <c r="Q607" s="25"/>
      <c r="R607" s="25"/>
      <c r="S607" s="19"/>
      <c r="T607" s="26"/>
      <c r="U607" s="30" t="s">
        <v>34</v>
      </c>
      <c r="V607" s="28" t="s">
        <v>233</v>
      </c>
      <c r="W607" s="29" t="s">
        <v>26</v>
      </c>
    </row>
    <row r="608" spans="1:23" ht="30" customHeight="1">
      <c r="A608" s="19" t="s">
        <v>5582</v>
      </c>
      <c r="B608" s="19" t="s">
        <v>5569</v>
      </c>
      <c r="C608" s="19"/>
      <c r="D608" s="19" t="s">
        <v>2417</v>
      </c>
      <c r="E608" s="20" t="s">
        <v>2418</v>
      </c>
      <c r="F608" s="19"/>
      <c r="G608" s="21" t="s">
        <v>22</v>
      </c>
      <c r="H608" s="22" t="b">
        <v>0</v>
      </c>
      <c r="I608" s="22" t="b">
        <v>0</v>
      </c>
      <c r="J608" s="22" t="b">
        <v>0</v>
      </c>
      <c r="K608" s="22" t="b">
        <v>0</v>
      </c>
      <c r="L608" s="22" t="b">
        <v>0</v>
      </c>
      <c r="M608" s="21"/>
      <c r="N608" s="23">
        <v>0</v>
      </c>
      <c r="O608" s="24"/>
      <c r="P608" s="19"/>
      <c r="Q608" s="25"/>
      <c r="R608" s="25"/>
      <c r="S608" s="19"/>
      <c r="T608" s="26"/>
      <c r="U608" s="27" t="s">
        <v>21</v>
      </c>
      <c r="V608" s="28" t="s">
        <v>1016</v>
      </c>
      <c r="W608" s="29" t="s">
        <v>26</v>
      </c>
    </row>
    <row r="609" spans="1:23" ht="30" customHeight="1">
      <c r="A609" s="19" t="s">
        <v>5582</v>
      </c>
      <c r="B609" s="19" t="s">
        <v>5569</v>
      </c>
      <c r="C609" s="19"/>
      <c r="D609" s="19" t="s">
        <v>2420</v>
      </c>
      <c r="E609" s="20" t="s">
        <v>2421</v>
      </c>
      <c r="F609" s="19"/>
      <c r="G609" s="21" t="s">
        <v>22</v>
      </c>
      <c r="H609" s="22" t="b">
        <v>0</v>
      </c>
      <c r="I609" s="22" t="b">
        <v>0</v>
      </c>
      <c r="J609" s="22" t="b">
        <v>0</v>
      </c>
      <c r="K609" s="22" t="b">
        <v>0</v>
      </c>
      <c r="L609" s="22" t="b">
        <v>0</v>
      </c>
      <c r="M609" s="21"/>
      <c r="N609" s="23">
        <v>0</v>
      </c>
      <c r="O609" s="24"/>
      <c r="P609" s="19"/>
      <c r="Q609" s="25"/>
      <c r="R609" s="25"/>
      <c r="S609" s="19"/>
      <c r="T609" s="26"/>
      <c r="U609" s="30" t="s">
        <v>34</v>
      </c>
      <c r="V609" s="28" t="s">
        <v>233</v>
      </c>
      <c r="W609" s="29" t="s">
        <v>26</v>
      </c>
    </row>
    <row r="610" spans="1:23" ht="30" customHeight="1">
      <c r="A610" s="19" t="s">
        <v>5582</v>
      </c>
      <c r="B610" s="19" t="s">
        <v>5569</v>
      </c>
      <c r="C610" s="19"/>
      <c r="D610" s="19" t="s">
        <v>2423</v>
      </c>
      <c r="E610" s="20" t="s">
        <v>2424</v>
      </c>
      <c r="F610" s="19"/>
      <c r="G610" s="21" t="s">
        <v>22</v>
      </c>
      <c r="H610" s="22" t="b">
        <v>0</v>
      </c>
      <c r="I610" s="22" t="b">
        <v>0</v>
      </c>
      <c r="J610" s="22" t="b">
        <v>0</v>
      </c>
      <c r="K610" s="22" t="b">
        <v>0</v>
      </c>
      <c r="L610" s="22" t="b">
        <v>0</v>
      </c>
      <c r="M610" s="21"/>
      <c r="N610" s="23">
        <v>0</v>
      </c>
      <c r="O610" s="24"/>
      <c r="P610" s="19"/>
      <c r="Q610" s="25"/>
      <c r="R610" s="25"/>
      <c r="S610" s="19"/>
      <c r="T610" s="26"/>
      <c r="U610" s="27" t="s">
        <v>21</v>
      </c>
      <c r="V610" s="28" t="s">
        <v>2425</v>
      </c>
      <c r="W610" s="29" t="s">
        <v>26</v>
      </c>
    </row>
    <row r="611" spans="1:23" ht="30" customHeight="1">
      <c r="A611" s="19" t="s">
        <v>5582</v>
      </c>
      <c r="B611" s="19" t="s">
        <v>5569</v>
      </c>
      <c r="C611" s="19"/>
      <c r="D611" s="19" t="s">
        <v>2427</v>
      </c>
      <c r="E611" s="20" t="s">
        <v>2428</v>
      </c>
      <c r="F611" s="19"/>
      <c r="G611" s="21" t="s">
        <v>22</v>
      </c>
      <c r="H611" s="22" t="b">
        <v>0</v>
      </c>
      <c r="I611" s="22" t="b">
        <v>0</v>
      </c>
      <c r="J611" s="22" t="b">
        <v>0</v>
      </c>
      <c r="K611" s="22" t="b">
        <v>0</v>
      </c>
      <c r="L611" s="22" t="b">
        <v>0</v>
      </c>
      <c r="M611" s="21"/>
      <c r="N611" s="23">
        <v>0</v>
      </c>
      <c r="O611" s="24"/>
      <c r="P611" s="19"/>
      <c r="Q611" s="25"/>
      <c r="R611" s="25"/>
      <c r="S611" s="19"/>
      <c r="T611" s="26"/>
      <c r="U611" s="27" t="s">
        <v>21</v>
      </c>
      <c r="V611" s="28" t="s">
        <v>2429</v>
      </c>
      <c r="W611" s="29" t="s">
        <v>26</v>
      </c>
    </row>
    <row r="612" spans="1:23" ht="30" customHeight="1">
      <c r="A612" s="19" t="s">
        <v>5582</v>
      </c>
      <c r="B612" s="19" t="s">
        <v>5569</v>
      </c>
      <c r="C612" s="19"/>
      <c r="D612" s="19" t="s">
        <v>2431</v>
      </c>
      <c r="E612" s="20" t="s">
        <v>2432</v>
      </c>
      <c r="F612" s="19"/>
      <c r="G612" s="21" t="s">
        <v>22</v>
      </c>
      <c r="H612" s="22" t="b">
        <v>0</v>
      </c>
      <c r="I612" s="22" t="b">
        <v>0</v>
      </c>
      <c r="J612" s="22" t="b">
        <v>0</v>
      </c>
      <c r="K612" s="22" t="b">
        <v>0</v>
      </c>
      <c r="L612" s="22" t="b">
        <v>0</v>
      </c>
      <c r="M612" s="21"/>
      <c r="N612" s="23">
        <v>0</v>
      </c>
      <c r="O612" s="24"/>
      <c r="P612" s="19"/>
      <c r="Q612" s="25"/>
      <c r="R612" s="25"/>
      <c r="S612" s="19"/>
      <c r="T612" s="26"/>
      <c r="U612" s="30" t="s">
        <v>34</v>
      </c>
      <c r="V612" s="28" t="s">
        <v>233</v>
      </c>
      <c r="W612" s="29" t="s">
        <v>26</v>
      </c>
    </row>
    <row r="613" spans="1:23" ht="30" customHeight="1">
      <c r="A613" s="19" t="s">
        <v>5582</v>
      </c>
      <c r="B613" s="19" t="s">
        <v>5569</v>
      </c>
      <c r="C613" s="19"/>
      <c r="D613" s="19" t="s">
        <v>2435</v>
      </c>
      <c r="E613" s="20" t="s">
        <v>2436</v>
      </c>
      <c r="F613" s="19"/>
      <c r="G613" s="21" t="s">
        <v>22</v>
      </c>
      <c r="H613" s="22" t="b">
        <v>0</v>
      </c>
      <c r="I613" s="22" t="b">
        <v>0</v>
      </c>
      <c r="J613" s="22" t="b">
        <v>0</v>
      </c>
      <c r="K613" s="22" t="b">
        <v>0</v>
      </c>
      <c r="L613" s="22" t="b">
        <v>0</v>
      </c>
      <c r="M613" s="21"/>
      <c r="N613" s="23">
        <v>0</v>
      </c>
      <c r="O613" s="24"/>
      <c r="P613" s="19"/>
      <c r="Q613" s="25"/>
      <c r="R613" s="25"/>
      <c r="S613" s="19"/>
      <c r="T613" s="26"/>
      <c r="U613" s="27" t="s">
        <v>21</v>
      </c>
      <c r="V613" s="28" t="s">
        <v>1016</v>
      </c>
      <c r="W613" s="29" t="s">
        <v>26</v>
      </c>
    </row>
    <row r="614" spans="1:23" ht="30" customHeight="1">
      <c r="A614" s="19" t="s">
        <v>5582</v>
      </c>
      <c r="B614" s="19" t="s">
        <v>5569</v>
      </c>
      <c r="C614" s="19"/>
      <c r="D614" s="19" t="s">
        <v>2438</v>
      </c>
      <c r="E614" s="20" t="s">
        <v>2439</v>
      </c>
      <c r="F614" s="19"/>
      <c r="G614" s="21" t="s">
        <v>22</v>
      </c>
      <c r="H614" s="22" t="b">
        <v>0</v>
      </c>
      <c r="I614" s="22" t="b">
        <v>0</v>
      </c>
      <c r="J614" s="22" t="b">
        <v>0</v>
      </c>
      <c r="K614" s="22" t="b">
        <v>0</v>
      </c>
      <c r="L614" s="22" t="b">
        <v>0</v>
      </c>
      <c r="M614" s="21"/>
      <c r="N614" s="23">
        <v>0</v>
      </c>
      <c r="O614" s="24"/>
      <c r="P614" s="19"/>
      <c r="Q614" s="25"/>
      <c r="R614" s="25"/>
      <c r="S614" s="19"/>
      <c r="T614" s="26"/>
      <c r="U614" s="27" t="s">
        <v>21</v>
      </c>
      <c r="V614" s="28" t="s">
        <v>2440</v>
      </c>
      <c r="W614" s="29" t="s">
        <v>26</v>
      </c>
    </row>
    <row r="615" spans="1:23" ht="30" customHeight="1">
      <c r="A615" s="19" t="s">
        <v>5582</v>
      </c>
      <c r="B615" s="19" t="s">
        <v>5569</v>
      </c>
      <c r="C615" s="19"/>
      <c r="D615" s="19" t="s">
        <v>2442</v>
      </c>
      <c r="E615" s="20" t="s">
        <v>2443</v>
      </c>
      <c r="F615" s="19"/>
      <c r="G615" s="21" t="s">
        <v>29</v>
      </c>
      <c r="H615" s="22" t="b">
        <v>0</v>
      </c>
      <c r="I615" s="22" t="b">
        <v>0</v>
      </c>
      <c r="J615" s="22" t="b">
        <v>0</v>
      </c>
      <c r="K615" s="22" t="b">
        <v>0</v>
      </c>
      <c r="L615" s="22" t="b">
        <v>0</v>
      </c>
      <c r="M615" s="21"/>
      <c r="N615" s="23">
        <v>0</v>
      </c>
      <c r="O615" s="24"/>
      <c r="P615" s="19"/>
      <c r="Q615" s="25"/>
      <c r="R615" s="25"/>
      <c r="S615" s="19"/>
      <c r="T615" s="26"/>
      <c r="U615" s="30" t="s">
        <v>34</v>
      </c>
      <c r="V615" s="28" t="s">
        <v>233</v>
      </c>
      <c r="W615" s="29" t="s">
        <v>26</v>
      </c>
    </row>
    <row r="616" spans="1:23" ht="30" customHeight="1">
      <c r="A616" s="19" t="s">
        <v>5582</v>
      </c>
      <c r="B616" s="19" t="s">
        <v>5569</v>
      </c>
      <c r="C616" s="19"/>
      <c r="D616" s="19" t="s">
        <v>2445</v>
      </c>
      <c r="E616" s="20" t="s">
        <v>2446</v>
      </c>
      <c r="F616" s="19"/>
      <c r="G616" s="21" t="s">
        <v>22</v>
      </c>
      <c r="H616" s="22" t="b">
        <v>0</v>
      </c>
      <c r="I616" s="22" t="b">
        <v>0</v>
      </c>
      <c r="J616" s="22" t="b">
        <v>0</v>
      </c>
      <c r="K616" s="22" t="b">
        <v>0</v>
      </c>
      <c r="L616" s="22" t="b">
        <v>0</v>
      </c>
      <c r="M616" s="21"/>
      <c r="N616" s="23">
        <v>0</v>
      </c>
      <c r="O616" s="24"/>
      <c r="P616" s="19"/>
      <c r="Q616" s="25"/>
      <c r="R616" s="25"/>
      <c r="S616" s="19"/>
      <c r="T616" s="26"/>
      <c r="U616" s="27" t="s">
        <v>21</v>
      </c>
      <c r="V616" s="28" t="s">
        <v>913</v>
      </c>
      <c r="W616" s="29" t="s">
        <v>26</v>
      </c>
    </row>
    <row r="617" spans="1:23" ht="30" customHeight="1">
      <c r="A617" s="19" t="s">
        <v>5582</v>
      </c>
      <c r="B617" s="19" t="s">
        <v>5569</v>
      </c>
      <c r="C617" s="19"/>
      <c r="D617" s="19" t="s">
        <v>2448</v>
      </c>
      <c r="E617" s="20" t="s">
        <v>2449</v>
      </c>
      <c r="F617" s="19"/>
      <c r="G617" s="21" t="s">
        <v>22</v>
      </c>
      <c r="H617" s="22" t="b">
        <v>0</v>
      </c>
      <c r="I617" s="22" t="b">
        <v>0</v>
      </c>
      <c r="J617" s="22" t="b">
        <v>0</v>
      </c>
      <c r="K617" s="22" t="b">
        <v>0</v>
      </c>
      <c r="L617" s="22" t="b">
        <v>0</v>
      </c>
      <c r="M617" s="21"/>
      <c r="N617" s="23">
        <v>0</v>
      </c>
      <c r="O617" s="24"/>
      <c r="P617" s="19"/>
      <c r="Q617" s="25"/>
      <c r="R617" s="25"/>
      <c r="S617" s="19"/>
      <c r="T617" s="26"/>
      <c r="U617" s="27" t="s">
        <v>21</v>
      </c>
      <c r="V617" s="28" t="s">
        <v>2450</v>
      </c>
      <c r="W617" s="29" t="s">
        <v>26</v>
      </c>
    </row>
    <row r="618" spans="1:23" ht="30" customHeight="1">
      <c r="A618" s="19" t="s">
        <v>5582</v>
      </c>
      <c r="B618" s="19" t="s">
        <v>5569</v>
      </c>
      <c r="C618" s="19"/>
      <c r="D618" s="19" t="s">
        <v>2452</v>
      </c>
      <c r="E618" s="20" t="s">
        <v>2453</v>
      </c>
      <c r="F618" s="19"/>
      <c r="G618" s="21" t="s">
        <v>22</v>
      </c>
      <c r="H618" s="22" t="b">
        <v>0</v>
      </c>
      <c r="I618" s="22" t="b">
        <v>0</v>
      </c>
      <c r="J618" s="22" t="b">
        <v>0</v>
      </c>
      <c r="K618" s="22" t="b">
        <v>0</v>
      </c>
      <c r="L618" s="22" t="b">
        <v>0</v>
      </c>
      <c r="M618" s="21"/>
      <c r="N618" s="23">
        <v>0</v>
      </c>
      <c r="O618" s="24"/>
      <c r="P618" s="19"/>
      <c r="Q618" s="25"/>
      <c r="R618" s="25"/>
      <c r="S618" s="19"/>
      <c r="T618" s="26"/>
      <c r="U618" s="27" t="s">
        <v>21</v>
      </c>
      <c r="V618" s="28" t="s">
        <v>192</v>
      </c>
      <c r="W618" s="29" t="s">
        <v>26</v>
      </c>
    </row>
    <row r="619" spans="1:23" ht="30" customHeight="1">
      <c r="A619" s="19" t="s">
        <v>5582</v>
      </c>
      <c r="B619" s="19" t="s">
        <v>5569</v>
      </c>
      <c r="C619" s="19"/>
      <c r="D619" s="19" t="s">
        <v>2455</v>
      </c>
      <c r="E619" s="20" t="s">
        <v>2456</v>
      </c>
      <c r="F619" s="19"/>
      <c r="G619" s="21" t="s">
        <v>29</v>
      </c>
      <c r="H619" s="22" t="b">
        <v>0</v>
      </c>
      <c r="I619" s="22" t="b">
        <v>0</v>
      </c>
      <c r="J619" s="22" t="b">
        <v>0</v>
      </c>
      <c r="K619" s="22" t="b">
        <v>0</v>
      </c>
      <c r="L619" s="22" t="b">
        <v>0</v>
      </c>
      <c r="M619" s="21"/>
      <c r="N619" s="23">
        <v>0</v>
      </c>
      <c r="O619" s="24"/>
      <c r="P619" s="19"/>
      <c r="Q619" s="25"/>
      <c r="R619" s="25"/>
      <c r="S619" s="19"/>
      <c r="T619" s="26"/>
      <c r="U619" s="30" t="s">
        <v>34</v>
      </c>
      <c r="V619" s="28" t="s">
        <v>233</v>
      </c>
      <c r="W619" s="29" t="s">
        <v>26</v>
      </c>
    </row>
    <row r="620" spans="1:23" ht="30" customHeight="1">
      <c r="A620" s="19" t="s">
        <v>5582</v>
      </c>
      <c r="B620" s="19" t="s">
        <v>5569</v>
      </c>
      <c r="C620" s="19"/>
      <c r="D620" s="19" t="s">
        <v>2458</v>
      </c>
      <c r="E620" s="20" t="s">
        <v>2459</v>
      </c>
      <c r="F620" s="19"/>
      <c r="G620" s="21" t="s">
        <v>22</v>
      </c>
      <c r="H620" s="22" t="b">
        <v>0</v>
      </c>
      <c r="I620" s="22" t="b">
        <v>0</v>
      </c>
      <c r="J620" s="22" t="b">
        <v>0</v>
      </c>
      <c r="K620" s="22" t="b">
        <v>0</v>
      </c>
      <c r="L620" s="22" t="b">
        <v>0</v>
      </c>
      <c r="M620" s="21"/>
      <c r="N620" s="23">
        <v>0</v>
      </c>
      <c r="O620" s="24"/>
      <c r="P620" s="19"/>
      <c r="Q620" s="25"/>
      <c r="R620" s="25"/>
      <c r="S620" s="19"/>
      <c r="T620" s="26"/>
      <c r="U620" s="27" t="s">
        <v>21</v>
      </c>
      <c r="V620" s="28" t="s">
        <v>913</v>
      </c>
      <c r="W620" s="29" t="s">
        <v>26</v>
      </c>
    </row>
    <row r="621" spans="1:23" ht="30" customHeight="1">
      <c r="A621" s="19" t="s">
        <v>5582</v>
      </c>
      <c r="B621" s="19" t="s">
        <v>5569</v>
      </c>
      <c r="C621" s="19"/>
      <c r="D621" s="19" t="s">
        <v>2461</v>
      </c>
      <c r="E621" s="20" t="s">
        <v>2462</v>
      </c>
      <c r="F621" s="19"/>
      <c r="G621" s="21" t="s">
        <v>22</v>
      </c>
      <c r="H621" s="22" t="b">
        <v>0</v>
      </c>
      <c r="I621" s="22" t="b">
        <v>0</v>
      </c>
      <c r="J621" s="22" t="b">
        <v>0</v>
      </c>
      <c r="K621" s="22" t="b">
        <v>0</v>
      </c>
      <c r="L621" s="22" t="b">
        <v>0</v>
      </c>
      <c r="M621" s="21"/>
      <c r="N621" s="23">
        <v>0</v>
      </c>
      <c r="O621" s="24"/>
      <c r="P621" s="19"/>
      <c r="Q621" s="25"/>
      <c r="R621" s="25"/>
      <c r="S621" s="19"/>
      <c r="T621" s="26"/>
      <c r="U621" s="30" t="s">
        <v>34</v>
      </c>
      <c r="V621" s="28" t="s">
        <v>2463</v>
      </c>
      <c r="W621" s="29" t="s">
        <v>26</v>
      </c>
    </row>
    <row r="622" spans="1:23" ht="30" customHeight="1">
      <c r="A622" s="19" t="s">
        <v>5582</v>
      </c>
      <c r="B622" s="19" t="s">
        <v>5569</v>
      </c>
      <c r="C622" s="19"/>
      <c r="D622" s="19" t="s">
        <v>2465</v>
      </c>
      <c r="E622" s="20" t="s">
        <v>2466</v>
      </c>
      <c r="F622" s="19"/>
      <c r="G622" s="21" t="s">
        <v>22</v>
      </c>
      <c r="H622" s="22" t="b">
        <v>0</v>
      </c>
      <c r="I622" s="22" t="b">
        <v>0</v>
      </c>
      <c r="J622" s="22" t="b">
        <v>0</v>
      </c>
      <c r="K622" s="22" t="b">
        <v>0</v>
      </c>
      <c r="L622" s="22" t="b">
        <v>0</v>
      </c>
      <c r="M622" s="21"/>
      <c r="N622" s="23">
        <v>0</v>
      </c>
      <c r="O622" s="24"/>
      <c r="P622" s="19"/>
      <c r="Q622" s="25"/>
      <c r="R622" s="25"/>
      <c r="S622" s="19"/>
      <c r="T622" s="26"/>
      <c r="U622" s="30" t="s">
        <v>34</v>
      </c>
      <c r="V622" s="28" t="s">
        <v>904</v>
      </c>
      <c r="W622" s="29" t="s">
        <v>26</v>
      </c>
    </row>
    <row r="623" spans="1:23" ht="30" customHeight="1">
      <c r="A623" s="19" t="s">
        <v>5582</v>
      </c>
      <c r="B623" s="19" t="s">
        <v>5569</v>
      </c>
      <c r="C623" s="19"/>
      <c r="D623" s="19" t="s">
        <v>2469</v>
      </c>
      <c r="E623" s="20" t="s">
        <v>2470</v>
      </c>
      <c r="F623" s="19"/>
      <c r="G623" s="21" t="s">
        <v>22</v>
      </c>
      <c r="H623" s="22" t="b">
        <v>0</v>
      </c>
      <c r="I623" s="22" t="b">
        <v>0</v>
      </c>
      <c r="J623" s="22" t="b">
        <v>0</v>
      </c>
      <c r="K623" s="22" t="b">
        <v>0</v>
      </c>
      <c r="L623" s="22" t="b">
        <v>0</v>
      </c>
      <c r="M623" s="21"/>
      <c r="N623" s="23">
        <v>0</v>
      </c>
      <c r="O623" s="24"/>
      <c r="P623" s="19"/>
      <c r="Q623" s="25"/>
      <c r="R623" s="25"/>
      <c r="S623" s="19"/>
      <c r="T623" s="26"/>
      <c r="U623" s="27" t="s">
        <v>21</v>
      </c>
      <c r="V623" s="28" t="s">
        <v>2471</v>
      </c>
      <c r="W623" s="29" t="s">
        <v>26</v>
      </c>
    </row>
    <row r="624" spans="1:23" ht="30" customHeight="1">
      <c r="A624" s="19" t="s">
        <v>5582</v>
      </c>
      <c r="B624" s="19" t="s">
        <v>5569</v>
      </c>
      <c r="C624" s="19"/>
      <c r="D624" s="19" t="s">
        <v>2473</v>
      </c>
      <c r="E624" s="20" t="s">
        <v>2474</v>
      </c>
      <c r="F624" s="19"/>
      <c r="G624" s="21" t="s">
        <v>22</v>
      </c>
      <c r="H624" s="22" t="b">
        <v>0</v>
      </c>
      <c r="I624" s="22" t="b">
        <v>0</v>
      </c>
      <c r="J624" s="22" t="b">
        <v>0</v>
      </c>
      <c r="K624" s="22" t="b">
        <v>0</v>
      </c>
      <c r="L624" s="22" t="b">
        <v>0</v>
      </c>
      <c r="M624" s="21"/>
      <c r="N624" s="23">
        <v>0</v>
      </c>
      <c r="O624" s="24"/>
      <c r="P624" s="19"/>
      <c r="Q624" s="25"/>
      <c r="R624" s="25"/>
      <c r="S624" s="19"/>
      <c r="T624" s="26"/>
      <c r="U624" s="30" t="s">
        <v>34</v>
      </c>
      <c r="V624" s="28" t="s">
        <v>904</v>
      </c>
      <c r="W624" s="29" t="s">
        <v>26</v>
      </c>
    </row>
    <row r="625" spans="1:23" ht="30" customHeight="1">
      <c r="A625" s="19" t="s">
        <v>5582</v>
      </c>
      <c r="B625" s="19" t="s">
        <v>5569</v>
      </c>
      <c r="C625" s="19"/>
      <c r="D625" s="19" t="s">
        <v>2477</v>
      </c>
      <c r="E625" s="20" t="s">
        <v>2478</v>
      </c>
      <c r="F625" s="19"/>
      <c r="G625" s="21" t="s">
        <v>22</v>
      </c>
      <c r="H625" s="22" t="b">
        <v>0</v>
      </c>
      <c r="I625" s="22" t="b">
        <v>0</v>
      </c>
      <c r="J625" s="22" t="b">
        <v>0</v>
      </c>
      <c r="K625" s="22" t="b">
        <v>0</v>
      </c>
      <c r="L625" s="22" t="b">
        <v>0</v>
      </c>
      <c r="M625" s="21"/>
      <c r="N625" s="23">
        <v>0</v>
      </c>
      <c r="O625" s="24"/>
      <c r="P625" s="19"/>
      <c r="Q625" s="25"/>
      <c r="R625" s="25"/>
      <c r="S625" s="19"/>
      <c r="T625" s="26"/>
      <c r="U625" s="30" t="s">
        <v>34</v>
      </c>
      <c r="V625" s="28" t="s">
        <v>233</v>
      </c>
      <c r="W625" s="29" t="s">
        <v>26</v>
      </c>
    </row>
    <row r="626" spans="1:23" ht="30" customHeight="1">
      <c r="A626" s="19" t="s">
        <v>5582</v>
      </c>
      <c r="B626" s="19" t="s">
        <v>5569</v>
      </c>
      <c r="C626" s="19"/>
      <c r="D626" s="19" t="s">
        <v>2480</v>
      </c>
      <c r="E626" s="20" t="s">
        <v>2481</v>
      </c>
      <c r="F626" s="19"/>
      <c r="G626" s="21" t="s">
        <v>22</v>
      </c>
      <c r="H626" s="22" t="b">
        <v>0</v>
      </c>
      <c r="I626" s="22" t="b">
        <v>0</v>
      </c>
      <c r="J626" s="22" t="b">
        <v>0</v>
      </c>
      <c r="K626" s="22" t="b">
        <v>0</v>
      </c>
      <c r="L626" s="22" t="b">
        <v>0</v>
      </c>
      <c r="M626" s="21"/>
      <c r="N626" s="23">
        <v>0</v>
      </c>
      <c r="O626" s="24"/>
      <c r="P626" s="19"/>
      <c r="Q626" s="25"/>
      <c r="R626" s="25"/>
      <c r="S626" s="19"/>
      <c r="T626" s="26"/>
      <c r="U626" s="30" t="s">
        <v>34</v>
      </c>
      <c r="V626" s="28" t="s">
        <v>904</v>
      </c>
      <c r="W626" s="29" t="s">
        <v>26</v>
      </c>
    </row>
    <row r="627" spans="1:23" ht="30" customHeight="1">
      <c r="A627" s="19" t="s">
        <v>5582</v>
      </c>
      <c r="B627" s="19" t="s">
        <v>5569</v>
      </c>
      <c r="C627" s="19"/>
      <c r="D627" s="19" t="s">
        <v>2483</v>
      </c>
      <c r="E627" s="20" t="s">
        <v>2484</v>
      </c>
      <c r="F627" s="19"/>
      <c r="G627" s="21" t="s">
        <v>22</v>
      </c>
      <c r="H627" s="22" t="b">
        <v>0</v>
      </c>
      <c r="I627" s="22" t="b">
        <v>0</v>
      </c>
      <c r="J627" s="22" t="b">
        <v>0</v>
      </c>
      <c r="K627" s="22" t="b">
        <v>0</v>
      </c>
      <c r="L627" s="22" t="b">
        <v>0</v>
      </c>
      <c r="M627" s="21"/>
      <c r="N627" s="23">
        <v>0</v>
      </c>
      <c r="O627" s="24"/>
      <c r="P627" s="19"/>
      <c r="Q627" s="25"/>
      <c r="R627" s="25"/>
      <c r="S627" s="19"/>
      <c r="T627" s="26"/>
      <c r="U627" s="27" t="s">
        <v>21</v>
      </c>
      <c r="V627" s="28" t="s">
        <v>1016</v>
      </c>
      <c r="W627" s="29" t="s">
        <v>26</v>
      </c>
    </row>
    <row r="628" spans="1:23" ht="30" customHeight="1">
      <c r="A628" s="19" t="s">
        <v>5582</v>
      </c>
      <c r="B628" s="19" t="s">
        <v>5569</v>
      </c>
      <c r="C628" s="19"/>
      <c r="D628" s="19" t="s">
        <v>2486</v>
      </c>
      <c r="E628" s="20" t="s">
        <v>2487</v>
      </c>
      <c r="F628" s="19"/>
      <c r="G628" s="21" t="s">
        <v>29</v>
      </c>
      <c r="H628" s="22" t="b">
        <v>0</v>
      </c>
      <c r="I628" s="22" t="b">
        <v>0</v>
      </c>
      <c r="J628" s="22" t="b">
        <v>0</v>
      </c>
      <c r="K628" s="22" t="b">
        <v>0</v>
      </c>
      <c r="L628" s="22" t="b">
        <v>0</v>
      </c>
      <c r="M628" s="21"/>
      <c r="N628" s="23">
        <v>0</v>
      </c>
      <c r="O628" s="24"/>
      <c r="P628" s="19"/>
      <c r="Q628" s="25"/>
      <c r="R628" s="25"/>
      <c r="S628" s="19"/>
      <c r="T628" s="26"/>
      <c r="U628" s="30" t="s">
        <v>34</v>
      </c>
      <c r="V628" s="28" t="s">
        <v>1609</v>
      </c>
      <c r="W628" s="29" t="s">
        <v>26</v>
      </c>
    </row>
    <row r="629" spans="1:23" ht="30" customHeight="1">
      <c r="A629" s="19" t="s">
        <v>5582</v>
      </c>
      <c r="B629" s="19" t="s">
        <v>5569</v>
      </c>
      <c r="C629" s="19"/>
      <c r="D629" s="19" t="s">
        <v>2489</v>
      </c>
      <c r="E629" s="20" t="s">
        <v>2490</v>
      </c>
      <c r="F629" s="19"/>
      <c r="G629" s="21" t="s">
        <v>22</v>
      </c>
      <c r="H629" s="22" t="b">
        <v>0</v>
      </c>
      <c r="I629" s="22" t="b">
        <v>0</v>
      </c>
      <c r="J629" s="22" t="b">
        <v>0</v>
      </c>
      <c r="K629" s="22" t="b">
        <v>0</v>
      </c>
      <c r="L629" s="22" t="b">
        <v>0</v>
      </c>
      <c r="M629" s="21"/>
      <c r="N629" s="23">
        <v>0</v>
      </c>
      <c r="O629" s="24"/>
      <c r="P629" s="19"/>
      <c r="Q629" s="25"/>
      <c r="R629" s="25"/>
      <c r="S629" s="19"/>
      <c r="T629" s="26"/>
      <c r="U629" s="27" t="s">
        <v>21</v>
      </c>
      <c r="V629" s="28" t="s">
        <v>2491</v>
      </c>
      <c r="W629" s="29" t="s">
        <v>26</v>
      </c>
    </row>
    <row r="630" spans="1:23" ht="30" customHeight="1">
      <c r="A630" s="19" t="s">
        <v>5582</v>
      </c>
      <c r="B630" s="19" t="s">
        <v>5569</v>
      </c>
      <c r="C630" s="19"/>
      <c r="D630" s="19" t="s">
        <v>2493</v>
      </c>
      <c r="E630" s="20" t="s">
        <v>2494</v>
      </c>
      <c r="F630" s="19"/>
      <c r="G630" s="21" t="s">
        <v>22</v>
      </c>
      <c r="H630" s="22" t="b">
        <v>0</v>
      </c>
      <c r="I630" s="22" t="b">
        <v>0</v>
      </c>
      <c r="J630" s="22" t="b">
        <v>0</v>
      </c>
      <c r="K630" s="22" t="b">
        <v>0</v>
      </c>
      <c r="L630" s="22" t="b">
        <v>0</v>
      </c>
      <c r="M630" s="21"/>
      <c r="N630" s="23">
        <v>0</v>
      </c>
      <c r="O630" s="24"/>
      <c r="P630" s="19"/>
      <c r="Q630" s="25"/>
      <c r="R630" s="25"/>
      <c r="S630" s="19"/>
      <c r="T630" s="26"/>
      <c r="U630" s="30" t="s">
        <v>34</v>
      </c>
      <c r="V630" s="28" t="s">
        <v>1548</v>
      </c>
      <c r="W630" s="29" t="s">
        <v>26</v>
      </c>
    </row>
    <row r="631" spans="1:23" ht="30" customHeight="1">
      <c r="A631" s="19" t="s">
        <v>5582</v>
      </c>
      <c r="B631" s="19" t="s">
        <v>5569</v>
      </c>
      <c r="C631" s="19"/>
      <c r="D631" s="19" t="s">
        <v>2497</v>
      </c>
      <c r="E631" s="20" t="s">
        <v>2498</v>
      </c>
      <c r="F631" s="19"/>
      <c r="G631" s="21" t="s">
        <v>22</v>
      </c>
      <c r="H631" s="22" t="b">
        <v>0</v>
      </c>
      <c r="I631" s="22" t="b">
        <v>0</v>
      </c>
      <c r="J631" s="22" t="b">
        <v>0</v>
      </c>
      <c r="K631" s="22" t="b">
        <v>0</v>
      </c>
      <c r="L631" s="22" t="b">
        <v>0</v>
      </c>
      <c r="M631" s="21"/>
      <c r="N631" s="23">
        <v>0</v>
      </c>
      <c r="O631" s="24"/>
      <c r="P631" s="19"/>
      <c r="Q631" s="25"/>
      <c r="R631" s="25"/>
      <c r="S631" s="19"/>
      <c r="T631" s="26"/>
      <c r="U631" s="27" t="s">
        <v>21</v>
      </c>
      <c r="V631" s="28" t="s">
        <v>296</v>
      </c>
      <c r="W631" s="29" t="s">
        <v>26</v>
      </c>
    </row>
    <row r="632" spans="1:23" ht="30" customHeight="1">
      <c r="A632" s="19" t="s">
        <v>5582</v>
      </c>
      <c r="B632" s="19" t="s">
        <v>5569</v>
      </c>
      <c r="C632" s="19"/>
      <c r="D632" s="19" t="s">
        <v>2500</v>
      </c>
      <c r="E632" s="20" t="s">
        <v>2501</v>
      </c>
      <c r="F632" s="19"/>
      <c r="G632" s="21" t="s">
        <v>22</v>
      </c>
      <c r="H632" s="22" t="b">
        <v>0</v>
      </c>
      <c r="I632" s="22" t="b">
        <v>0</v>
      </c>
      <c r="J632" s="22" t="b">
        <v>0</v>
      </c>
      <c r="K632" s="22" t="b">
        <v>0</v>
      </c>
      <c r="L632" s="22" t="b">
        <v>0</v>
      </c>
      <c r="M632" s="21"/>
      <c r="N632" s="23">
        <v>0</v>
      </c>
      <c r="O632" s="24"/>
      <c r="P632" s="19"/>
      <c r="Q632" s="25"/>
      <c r="R632" s="25"/>
      <c r="S632" s="19"/>
      <c r="T632" s="26"/>
      <c r="U632" s="27" t="s">
        <v>21</v>
      </c>
      <c r="V632" s="28" t="s">
        <v>2502</v>
      </c>
      <c r="W632" s="29" t="s">
        <v>26</v>
      </c>
    </row>
    <row r="633" spans="1:23" ht="30" customHeight="1">
      <c r="A633" s="19" t="s">
        <v>5582</v>
      </c>
      <c r="B633" s="19" t="s">
        <v>5569</v>
      </c>
      <c r="C633" s="19"/>
      <c r="D633" s="19" t="s">
        <v>2504</v>
      </c>
      <c r="E633" s="20" t="s">
        <v>2505</v>
      </c>
      <c r="F633" s="19"/>
      <c r="G633" s="21" t="s">
        <v>22</v>
      </c>
      <c r="H633" s="22" t="b">
        <v>0</v>
      </c>
      <c r="I633" s="22" t="b">
        <v>0</v>
      </c>
      <c r="J633" s="22" t="b">
        <v>0</v>
      </c>
      <c r="K633" s="22" t="b">
        <v>0</v>
      </c>
      <c r="L633" s="22" t="b">
        <v>0</v>
      </c>
      <c r="M633" s="21"/>
      <c r="N633" s="23">
        <v>0</v>
      </c>
      <c r="O633" s="24"/>
      <c r="P633" s="19"/>
      <c r="Q633" s="25"/>
      <c r="R633" s="25"/>
      <c r="S633" s="19"/>
      <c r="T633" s="26"/>
      <c r="U633" s="30" t="s">
        <v>34</v>
      </c>
      <c r="V633" s="28" t="s">
        <v>2506</v>
      </c>
      <c r="W633" s="29" t="s">
        <v>26</v>
      </c>
    </row>
    <row r="634" spans="1:23" ht="30" customHeight="1">
      <c r="A634" s="19" t="s">
        <v>5582</v>
      </c>
      <c r="B634" s="19" t="s">
        <v>5569</v>
      </c>
      <c r="C634" s="19"/>
      <c r="D634" s="19" t="s">
        <v>2509</v>
      </c>
      <c r="E634" s="20" t="s">
        <v>2510</v>
      </c>
      <c r="F634" s="19"/>
      <c r="G634" s="21" t="s">
        <v>29</v>
      </c>
      <c r="H634" s="22" t="b">
        <v>0</v>
      </c>
      <c r="I634" s="22" t="b">
        <v>0</v>
      </c>
      <c r="J634" s="22" t="b">
        <v>0</v>
      </c>
      <c r="K634" s="22" t="b">
        <v>0</v>
      </c>
      <c r="L634" s="22" t="b">
        <v>0</v>
      </c>
      <c r="M634" s="21"/>
      <c r="N634" s="23">
        <v>0</v>
      </c>
      <c r="O634" s="24"/>
      <c r="P634" s="19"/>
      <c r="Q634" s="25"/>
      <c r="R634" s="25"/>
      <c r="S634" s="19"/>
      <c r="T634" s="26"/>
      <c r="U634" s="30" t="s">
        <v>34</v>
      </c>
      <c r="V634" s="28" t="s">
        <v>904</v>
      </c>
      <c r="W634" s="29" t="s">
        <v>26</v>
      </c>
    </row>
    <row r="635" spans="1:23" ht="30" customHeight="1">
      <c r="A635" s="19" t="s">
        <v>5582</v>
      </c>
      <c r="B635" s="19" t="s">
        <v>5569</v>
      </c>
      <c r="C635" s="19"/>
      <c r="D635" s="19" t="s">
        <v>2512</v>
      </c>
      <c r="E635" s="20" t="s">
        <v>2513</v>
      </c>
      <c r="F635" s="19"/>
      <c r="G635" s="21" t="s">
        <v>22</v>
      </c>
      <c r="H635" s="22" t="b">
        <v>0</v>
      </c>
      <c r="I635" s="22" t="b">
        <v>0</v>
      </c>
      <c r="J635" s="22" t="b">
        <v>0</v>
      </c>
      <c r="K635" s="22" t="b">
        <v>0</v>
      </c>
      <c r="L635" s="22" t="b">
        <v>0</v>
      </c>
      <c r="M635" s="21"/>
      <c r="N635" s="23">
        <v>0</v>
      </c>
      <c r="O635" s="24"/>
      <c r="P635" s="19"/>
      <c r="Q635" s="25"/>
      <c r="R635" s="25"/>
      <c r="S635" s="19"/>
      <c r="T635" s="26"/>
      <c r="U635" s="30" t="s">
        <v>34</v>
      </c>
      <c r="V635" s="28" t="s">
        <v>1548</v>
      </c>
      <c r="W635" s="29" t="s">
        <v>26</v>
      </c>
    </row>
    <row r="636" spans="1:23" ht="30" customHeight="1">
      <c r="A636" s="19" t="s">
        <v>5582</v>
      </c>
      <c r="B636" s="19" t="s">
        <v>5569</v>
      </c>
      <c r="C636" s="19"/>
      <c r="D636" s="19" t="s">
        <v>2515</v>
      </c>
      <c r="E636" s="20" t="s">
        <v>2516</v>
      </c>
      <c r="F636" s="19"/>
      <c r="G636" s="21" t="s">
        <v>22</v>
      </c>
      <c r="H636" s="22" t="b">
        <v>0</v>
      </c>
      <c r="I636" s="22" t="b">
        <v>0</v>
      </c>
      <c r="J636" s="22" t="b">
        <v>0</v>
      </c>
      <c r="K636" s="22" t="b">
        <v>0</v>
      </c>
      <c r="L636" s="22" t="b">
        <v>0</v>
      </c>
      <c r="M636" s="21"/>
      <c r="N636" s="23">
        <v>0</v>
      </c>
      <c r="O636" s="24"/>
      <c r="P636" s="19"/>
      <c r="Q636" s="25"/>
      <c r="R636" s="25"/>
      <c r="S636" s="19"/>
      <c r="T636" s="26"/>
      <c r="U636" s="30" t="s">
        <v>34</v>
      </c>
      <c r="V636" s="28" t="s">
        <v>904</v>
      </c>
      <c r="W636" s="29" t="s">
        <v>26</v>
      </c>
    </row>
    <row r="637" spans="1:23" ht="30" customHeight="1">
      <c r="A637" s="19" t="s">
        <v>5583</v>
      </c>
      <c r="B637" s="19" t="s">
        <v>5569</v>
      </c>
      <c r="C637" s="19"/>
      <c r="D637" s="19" t="s">
        <v>2520</v>
      </c>
      <c r="E637" s="20" t="s">
        <v>2521</v>
      </c>
      <c r="F637" s="19"/>
      <c r="G637" s="21" t="s">
        <v>22</v>
      </c>
      <c r="H637" s="22" t="b">
        <v>0</v>
      </c>
      <c r="I637" s="22" t="b">
        <v>0</v>
      </c>
      <c r="J637" s="22" t="b">
        <v>0</v>
      </c>
      <c r="K637" s="22" t="b">
        <v>0</v>
      </c>
      <c r="L637" s="22" t="b">
        <v>0</v>
      </c>
      <c r="M637" s="21"/>
      <c r="N637" s="23">
        <v>0</v>
      </c>
      <c r="O637" s="24"/>
      <c r="P637" s="19"/>
      <c r="Q637" s="25"/>
      <c r="R637" s="25"/>
      <c r="S637" s="19"/>
      <c r="T637" s="26"/>
      <c r="U637" s="30" t="s">
        <v>34</v>
      </c>
      <c r="V637" s="28" t="s">
        <v>2522</v>
      </c>
      <c r="W637" s="29" t="s">
        <v>26</v>
      </c>
    </row>
    <row r="638" spans="1:23" ht="30" customHeight="1">
      <c r="A638" s="19" t="s">
        <v>5583</v>
      </c>
      <c r="B638" s="19" t="s">
        <v>5569</v>
      </c>
      <c r="C638" s="19"/>
      <c r="D638" s="19" t="s">
        <v>2525</v>
      </c>
      <c r="E638" s="20" t="s">
        <v>2526</v>
      </c>
      <c r="F638" s="19"/>
      <c r="G638" s="21" t="s">
        <v>29</v>
      </c>
      <c r="H638" s="22" t="b">
        <v>0</v>
      </c>
      <c r="I638" s="22" t="b">
        <v>0</v>
      </c>
      <c r="J638" s="22" t="b">
        <v>0</v>
      </c>
      <c r="K638" s="22" t="b">
        <v>0</v>
      </c>
      <c r="L638" s="22" t="b">
        <v>0</v>
      </c>
      <c r="M638" s="21"/>
      <c r="N638" s="23">
        <v>0</v>
      </c>
      <c r="O638" s="24"/>
      <c r="P638" s="19"/>
      <c r="Q638" s="25"/>
      <c r="R638" s="25"/>
      <c r="S638" s="19"/>
      <c r="T638" s="26"/>
      <c r="U638" s="27" t="s">
        <v>21</v>
      </c>
      <c r="V638" s="28" t="s">
        <v>2527</v>
      </c>
      <c r="W638" s="29" t="s">
        <v>26</v>
      </c>
    </row>
    <row r="639" spans="1:23" ht="30" customHeight="1">
      <c r="A639" s="19" t="s">
        <v>5583</v>
      </c>
      <c r="B639" s="19" t="s">
        <v>5569</v>
      </c>
      <c r="C639" s="19"/>
      <c r="D639" s="19" t="s">
        <v>2530</v>
      </c>
      <c r="E639" s="20" t="s">
        <v>2531</v>
      </c>
      <c r="F639" s="19"/>
      <c r="G639" s="21" t="s">
        <v>22</v>
      </c>
      <c r="H639" s="22" t="b">
        <v>0</v>
      </c>
      <c r="I639" s="22" t="b">
        <v>0</v>
      </c>
      <c r="J639" s="22" t="b">
        <v>0</v>
      </c>
      <c r="K639" s="22" t="b">
        <v>0</v>
      </c>
      <c r="L639" s="22" t="b">
        <v>0</v>
      </c>
      <c r="M639" s="21"/>
      <c r="N639" s="23">
        <v>0</v>
      </c>
      <c r="O639" s="24"/>
      <c r="P639" s="19"/>
      <c r="Q639" s="25"/>
      <c r="R639" s="25"/>
      <c r="S639" s="19"/>
      <c r="T639" s="26"/>
      <c r="U639" s="27" t="s">
        <v>21</v>
      </c>
      <c r="V639" s="28" t="s">
        <v>2532</v>
      </c>
      <c r="W639" s="29" t="s">
        <v>26</v>
      </c>
    </row>
    <row r="640" spans="1:23" ht="30" customHeight="1">
      <c r="A640" s="19" t="s">
        <v>5583</v>
      </c>
      <c r="B640" s="19" t="s">
        <v>5569</v>
      </c>
      <c r="C640" s="19"/>
      <c r="D640" s="19" t="s">
        <v>2535</v>
      </c>
      <c r="E640" s="20" t="s">
        <v>2536</v>
      </c>
      <c r="F640" s="19"/>
      <c r="G640" s="21" t="s">
        <v>22</v>
      </c>
      <c r="H640" s="22" t="b">
        <v>0</v>
      </c>
      <c r="I640" s="22" t="b">
        <v>0</v>
      </c>
      <c r="J640" s="22" t="b">
        <v>0</v>
      </c>
      <c r="K640" s="22" t="b">
        <v>0</v>
      </c>
      <c r="L640" s="22" t="b">
        <v>0</v>
      </c>
      <c r="M640" s="21"/>
      <c r="N640" s="23">
        <v>0</v>
      </c>
      <c r="O640" s="24"/>
      <c r="P640" s="19"/>
      <c r="Q640" s="25"/>
      <c r="R640" s="25"/>
      <c r="S640" s="19"/>
      <c r="T640" s="26"/>
      <c r="U640" s="30" t="s">
        <v>34</v>
      </c>
      <c r="V640" s="28" t="s">
        <v>233</v>
      </c>
      <c r="W640" s="29" t="s">
        <v>26</v>
      </c>
    </row>
    <row r="641" spans="1:23" ht="30" customHeight="1">
      <c r="A641" s="19" t="s">
        <v>5583</v>
      </c>
      <c r="B641" s="19" t="s">
        <v>5569</v>
      </c>
      <c r="C641" s="19"/>
      <c r="D641" s="19" t="s">
        <v>2539</v>
      </c>
      <c r="E641" s="20" t="s">
        <v>2540</v>
      </c>
      <c r="F641" s="19"/>
      <c r="G641" s="21" t="s">
        <v>22</v>
      </c>
      <c r="H641" s="22" t="b">
        <v>0</v>
      </c>
      <c r="I641" s="22" t="b">
        <v>0</v>
      </c>
      <c r="J641" s="22" t="b">
        <v>0</v>
      </c>
      <c r="K641" s="22" t="b">
        <v>0</v>
      </c>
      <c r="L641" s="22" t="b">
        <v>0</v>
      </c>
      <c r="M641" s="21"/>
      <c r="N641" s="23">
        <v>0</v>
      </c>
      <c r="O641" s="24"/>
      <c r="P641" s="19"/>
      <c r="Q641" s="25"/>
      <c r="R641" s="25"/>
      <c r="S641" s="19"/>
      <c r="T641" s="26"/>
      <c r="U641" s="27" t="s">
        <v>21</v>
      </c>
      <c r="V641" s="28" t="s">
        <v>2541</v>
      </c>
      <c r="W641" s="29" t="s">
        <v>26</v>
      </c>
    </row>
    <row r="642" spans="1:23" ht="30" customHeight="1">
      <c r="A642" s="19" t="s">
        <v>5583</v>
      </c>
      <c r="B642" s="19" t="s">
        <v>5569</v>
      </c>
      <c r="C642" s="19"/>
      <c r="D642" s="19" t="s">
        <v>2543</v>
      </c>
      <c r="E642" s="20" t="s">
        <v>2544</v>
      </c>
      <c r="F642" s="19"/>
      <c r="G642" s="21" t="s">
        <v>22</v>
      </c>
      <c r="H642" s="22" t="b">
        <v>0</v>
      </c>
      <c r="I642" s="22" t="b">
        <v>0</v>
      </c>
      <c r="J642" s="22" t="b">
        <v>0</v>
      </c>
      <c r="K642" s="22" t="b">
        <v>0</v>
      </c>
      <c r="L642" s="22" t="b">
        <v>0</v>
      </c>
      <c r="M642" s="21"/>
      <c r="N642" s="23">
        <v>0</v>
      </c>
      <c r="O642" s="24"/>
      <c r="P642" s="19"/>
      <c r="Q642" s="25"/>
      <c r="R642" s="25"/>
      <c r="S642" s="19"/>
      <c r="T642" s="26"/>
      <c r="U642" s="27" t="s">
        <v>21</v>
      </c>
      <c r="V642" s="28" t="s">
        <v>2545</v>
      </c>
      <c r="W642" s="29" t="s">
        <v>26</v>
      </c>
    </row>
    <row r="643" spans="1:23" ht="30" customHeight="1">
      <c r="A643" s="19" t="s">
        <v>5583</v>
      </c>
      <c r="B643" s="19" t="s">
        <v>5569</v>
      </c>
      <c r="C643" s="19"/>
      <c r="D643" s="19" t="s">
        <v>2548</v>
      </c>
      <c r="E643" s="20" t="s">
        <v>2549</v>
      </c>
      <c r="F643" s="19"/>
      <c r="G643" s="21" t="s">
        <v>22</v>
      </c>
      <c r="H643" s="22" t="b">
        <v>0</v>
      </c>
      <c r="I643" s="22" t="b">
        <v>0</v>
      </c>
      <c r="J643" s="22" t="b">
        <v>0</v>
      </c>
      <c r="K643" s="22" t="b">
        <v>0</v>
      </c>
      <c r="L643" s="22" t="b">
        <v>0</v>
      </c>
      <c r="M643" s="21"/>
      <c r="N643" s="23">
        <v>0</v>
      </c>
      <c r="O643" s="24"/>
      <c r="P643" s="19"/>
      <c r="Q643" s="25"/>
      <c r="R643" s="25"/>
      <c r="S643" s="19"/>
      <c r="T643" s="26"/>
      <c r="U643" s="30" t="s">
        <v>34</v>
      </c>
      <c r="V643" s="28" t="s">
        <v>2550</v>
      </c>
      <c r="W643" s="29" t="s">
        <v>26</v>
      </c>
    </row>
    <row r="644" spans="1:23" ht="30" customHeight="1">
      <c r="A644" s="19" t="s">
        <v>5583</v>
      </c>
      <c r="B644" s="19" t="s">
        <v>5569</v>
      </c>
      <c r="C644" s="19"/>
      <c r="D644" s="19" t="s">
        <v>2553</v>
      </c>
      <c r="E644" s="20" t="s">
        <v>2554</v>
      </c>
      <c r="F644" s="19"/>
      <c r="G644" s="21" t="s">
        <v>22</v>
      </c>
      <c r="H644" s="22" t="b">
        <v>0</v>
      </c>
      <c r="I644" s="22" t="b">
        <v>0</v>
      </c>
      <c r="J644" s="22" t="b">
        <v>0</v>
      </c>
      <c r="K644" s="22" t="b">
        <v>0</v>
      </c>
      <c r="L644" s="22" t="b">
        <v>0</v>
      </c>
      <c r="M644" s="21"/>
      <c r="N644" s="23">
        <v>0</v>
      </c>
      <c r="O644" s="24"/>
      <c r="P644" s="19"/>
      <c r="Q644" s="25"/>
      <c r="R644" s="25"/>
      <c r="S644" s="19"/>
      <c r="T644" s="26"/>
      <c r="U644" s="27" t="s">
        <v>21</v>
      </c>
      <c r="V644" s="28" t="s">
        <v>2555</v>
      </c>
      <c r="W644" s="29" t="s">
        <v>26</v>
      </c>
    </row>
    <row r="645" spans="1:23" ht="30" customHeight="1">
      <c r="A645" s="19" t="s">
        <v>5583</v>
      </c>
      <c r="B645" s="19" t="s">
        <v>5569</v>
      </c>
      <c r="C645" s="19"/>
      <c r="D645" s="19" t="s">
        <v>2557</v>
      </c>
      <c r="E645" s="20" t="s">
        <v>2558</v>
      </c>
      <c r="F645" s="19"/>
      <c r="G645" s="21" t="s">
        <v>22</v>
      </c>
      <c r="H645" s="22" t="b">
        <v>0</v>
      </c>
      <c r="I645" s="22" t="b">
        <v>0</v>
      </c>
      <c r="J645" s="22" t="b">
        <v>0</v>
      </c>
      <c r="K645" s="22" t="b">
        <v>0</v>
      </c>
      <c r="L645" s="22" t="b">
        <v>0</v>
      </c>
      <c r="M645" s="21"/>
      <c r="N645" s="23">
        <v>0</v>
      </c>
      <c r="O645" s="24"/>
      <c r="P645" s="19"/>
      <c r="Q645" s="25"/>
      <c r="R645" s="25"/>
      <c r="S645" s="19"/>
      <c r="T645" s="26"/>
      <c r="U645" s="30" t="s">
        <v>34</v>
      </c>
      <c r="V645" s="28" t="s">
        <v>2559</v>
      </c>
      <c r="W645" s="29" t="s">
        <v>26</v>
      </c>
    </row>
    <row r="646" spans="1:23" ht="30" customHeight="1">
      <c r="A646" s="19" t="s">
        <v>5583</v>
      </c>
      <c r="B646" s="19" t="s">
        <v>5569</v>
      </c>
      <c r="C646" s="19"/>
      <c r="D646" s="19" t="s">
        <v>2561</v>
      </c>
      <c r="E646" s="20" t="s">
        <v>2562</v>
      </c>
      <c r="F646" s="19"/>
      <c r="G646" s="21" t="s">
        <v>22</v>
      </c>
      <c r="H646" s="22" t="b">
        <v>0</v>
      </c>
      <c r="I646" s="22" t="b">
        <v>0</v>
      </c>
      <c r="J646" s="22" t="b">
        <v>0</v>
      </c>
      <c r="K646" s="22" t="b">
        <v>0</v>
      </c>
      <c r="L646" s="22" t="b">
        <v>0</v>
      </c>
      <c r="M646" s="21"/>
      <c r="N646" s="23">
        <v>0</v>
      </c>
      <c r="O646" s="24"/>
      <c r="P646" s="19"/>
      <c r="Q646" s="25"/>
      <c r="R646" s="25"/>
      <c r="S646" s="19"/>
      <c r="T646" s="26"/>
      <c r="U646" s="27" t="s">
        <v>21</v>
      </c>
      <c r="V646" s="28" t="s">
        <v>2563</v>
      </c>
      <c r="W646" s="29" t="s">
        <v>26</v>
      </c>
    </row>
    <row r="647" spans="1:23" ht="30" customHeight="1">
      <c r="A647" s="19" t="s">
        <v>5583</v>
      </c>
      <c r="B647" s="19" t="s">
        <v>5569</v>
      </c>
      <c r="C647" s="19"/>
      <c r="D647" s="19" t="s">
        <v>2565</v>
      </c>
      <c r="E647" s="20" t="s">
        <v>2566</v>
      </c>
      <c r="F647" s="19"/>
      <c r="G647" s="21" t="s">
        <v>22</v>
      </c>
      <c r="H647" s="22" t="b">
        <v>0</v>
      </c>
      <c r="I647" s="22" t="b">
        <v>0</v>
      </c>
      <c r="J647" s="22" t="b">
        <v>0</v>
      </c>
      <c r="K647" s="22" t="b">
        <v>0</v>
      </c>
      <c r="L647" s="22" t="b">
        <v>0</v>
      </c>
      <c r="M647" s="21"/>
      <c r="N647" s="23">
        <v>0</v>
      </c>
      <c r="O647" s="24"/>
      <c r="P647" s="19"/>
      <c r="Q647" s="25"/>
      <c r="R647" s="25"/>
      <c r="S647" s="19"/>
      <c r="T647" s="26"/>
      <c r="U647" s="27" t="s">
        <v>21</v>
      </c>
      <c r="V647" s="28" t="s">
        <v>2567</v>
      </c>
      <c r="W647" s="29" t="s">
        <v>26</v>
      </c>
    </row>
    <row r="648" spans="1:23" ht="30" customHeight="1">
      <c r="A648" s="19" t="s">
        <v>5583</v>
      </c>
      <c r="B648" s="19" t="s">
        <v>5569</v>
      </c>
      <c r="C648" s="19"/>
      <c r="D648" s="19" t="s">
        <v>2570</v>
      </c>
      <c r="E648" s="20" t="s">
        <v>2571</v>
      </c>
      <c r="F648" s="19"/>
      <c r="G648" s="21" t="s">
        <v>22</v>
      </c>
      <c r="H648" s="22" t="b">
        <v>0</v>
      </c>
      <c r="I648" s="22" t="b">
        <v>0</v>
      </c>
      <c r="J648" s="22" t="b">
        <v>0</v>
      </c>
      <c r="K648" s="22" t="b">
        <v>0</v>
      </c>
      <c r="L648" s="22" t="b">
        <v>0</v>
      </c>
      <c r="M648" s="21"/>
      <c r="N648" s="23">
        <v>0</v>
      </c>
      <c r="O648" s="24"/>
      <c r="P648" s="19"/>
      <c r="Q648" s="25"/>
      <c r="R648" s="25"/>
      <c r="S648" s="19"/>
      <c r="T648" s="26"/>
      <c r="U648" s="27" t="s">
        <v>21</v>
      </c>
      <c r="V648" s="28" t="s">
        <v>2572</v>
      </c>
      <c r="W648" s="29" t="s">
        <v>26</v>
      </c>
    </row>
    <row r="649" spans="1:23" ht="30" customHeight="1">
      <c r="A649" s="19" t="s">
        <v>5583</v>
      </c>
      <c r="B649" s="19" t="s">
        <v>5569</v>
      </c>
      <c r="C649" s="19"/>
      <c r="D649" s="19" t="s">
        <v>2575</v>
      </c>
      <c r="E649" s="20" t="s">
        <v>2576</v>
      </c>
      <c r="F649" s="19"/>
      <c r="G649" s="21" t="s">
        <v>22</v>
      </c>
      <c r="H649" s="22" t="b">
        <v>0</v>
      </c>
      <c r="I649" s="22" t="b">
        <v>0</v>
      </c>
      <c r="J649" s="22" t="b">
        <v>0</v>
      </c>
      <c r="K649" s="22" t="b">
        <v>0</v>
      </c>
      <c r="L649" s="22" t="b">
        <v>0</v>
      </c>
      <c r="M649" s="21"/>
      <c r="N649" s="23">
        <v>0</v>
      </c>
      <c r="O649" s="24"/>
      <c r="P649" s="19"/>
      <c r="Q649" s="25"/>
      <c r="R649" s="25"/>
      <c r="S649" s="19"/>
      <c r="T649" s="26"/>
      <c r="U649" s="27" t="s">
        <v>21</v>
      </c>
      <c r="V649" s="28" t="s">
        <v>2577</v>
      </c>
      <c r="W649" s="29" t="s">
        <v>26</v>
      </c>
    </row>
    <row r="650" spans="1:23" ht="30" customHeight="1">
      <c r="A650" s="19" t="s">
        <v>5583</v>
      </c>
      <c r="B650" s="19" t="s">
        <v>5569</v>
      </c>
      <c r="C650" s="19"/>
      <c r="D650" s="19" t="s">
        <v>2579</v>
      </c>
      <c r="E650" s="20" t="s">
        <v>2580</v>
      </c>
      <c r="F650" s="19"/>
      <c r="G650" s="21" t="s">
        <v>22</v>
      </c>
      <c r="H650" s="22" t="b">
        <v>0</v>
      </c>
      <c r="I650" s="22" t="b">
        <v>0</v>
      </c>
      <c r="J650" s="22" t="b">
        <v>0</v>
      </c>
      <c r="K650" s="22" t="b">
        <v>0</v>
      </c>
      <c r="L650" s="22" t="b">
        <v>0</v>
      </c>
      <c r="M650" s="21"/>
      <c r="N650" s="23">
        <v>0</v>
      </c>
      <c r="O650" s="24"/>
      <c r="P650" s="19"/>
      <c r="Q650" s="25"/>
      <c r="R650" s="25"/>
      <c r="S650" s="19"/>
      <c r="T650" s="26"/>
      <c r="U650" s="27" t="s">
        <v>21</v>
      </c>
      <c r="V650" s="28" t="s">
        <v>2581</v>
      </c>
      <c r="W650" s="29" t="s">
        <v>26</v>
      </c>
    </row>
    <row r="651" spans="1:23" ht="30" customHeight="1">
      <c r="A651" s="19" t="s">
        <v>5583</v>
      </c>
      <c r="B651" s="19" t="s">
        <v>5569</v>
      </c>
      <c r="C651" s="19"/>
      <c r="D651" s="19" t="s">
        <v>2583</v>
      </c>
      <c r="E651" s="20" t="s">
        <v>2584</v>
      </c>
      <c r="F651" s="19"/>
      <c r="G651" s="21" t="s">
        <v>22</v>
      </c>
      <c r="H651" s="22" t="b">
        <v>0</v>
      </c>
      <c r="I651" s="22" t="b">
        <v>0</v>
      </c>
      <c r="J651" s="22" t="b">
        <v>0</v>
      </c>
      <c r="K651" s="22" t="b">
        <v>0</v>
      </c>
      <c r="L651" s="22" t="b">
        <v>0</v>
      </c>
      <c r="M651" s="21"/>
      <c r="N651" s="23">
        <v>0</v>
      </c>
      <c r="O651" s="24"/>
      <c r="P651" s="19"/>
      <c r="Q651" s="25"/>
      <c r="R651" s="25"/>
      <c r="S651" s="19"/>
      <c r="T651" s="26"/>
      <c r="U651" s="27" t="s">
        <v>21</v>
      </c>
      <c r="V651" s="28" t="s">
        <v>1016</v>
      </c>
      <c r="W651" s="29" t="s">
        <v>26</v>
      </c>
    </row>
    <row r="652" spans="1:23" ht="30" customHeight="1">
      <c r="A652" s="19" t="s">
        <v>5583</v>
      </c>
      <c r="B652" s="19" t="s">
        <v>5569</v>
      </c>
      <c r="C652" s="19"/>
      <c r="D652" s="19" t="s">
        <v>2587</v>
      </c>
      <c r="E652" s="20" t="s">
        <v>2588</v>
      </c>
      <c r="F652" s="19"/>
      <c r="G652" s="21" t="s">
        <v>22</v>
      </c>
      <c r="H652" s="22" t="b">
        <v>0</v>
      </c>
      <c r="I652" s="22" t="b">
        <v>0</v>
      </c>
      <c r="J652" s="22" t="b">
        <v>0</v>
      </c>
      <c r="K652" s="22" t="b">
        <v>0</v>
      </c>
      <c r="L652" s="22" t="b">
        <v>0</v>
      </c>
      <c r="M652" s="21"/>
      <c r="N652" s="23">
        <v>0</v>
      </c>
      <c r="O652" s="24"/>
      <c r="P652" s="19"/>
      <c r="Q652" s="25"/>
      <c r="R652" s="25"/>
      <c r="S652" s="19"/>
      <c r="T652" s="26"/>
      <c r="U652" s="30" t="s">
        <v>34</v>
      </c>
      <c r="V652" s="28" t="s">
        <v>233</v>
      </c>
      <c r="W652" s="29" t="s">
        <v>26</v>
      </c>
    </row>
    <row r="653" spans="1:23" ht="30" customHeight="1">
      <c r="A653" s="19" t="s">
        <v>5583</v>
      </c>
      <c r="B653" s="19" t="s">
        <v>5569</v>
      </c>
      <c r="C653" s="19"/>
      <c r="D653" s="19" t="s">
        <v>2590</v>
      </c>
      <c r="E653" s="20" t="s">
        <v>2591</v>
      </c>
      <c r="F653" s="19"/>
      <c r="G653" s="21" t="s">
        <v>22</v>
      </c>
      <c r="H653" s="22" t="b">
        <v>0</v>
      </c>
      <c r="I653" s="22" t="b">
        <v>0</v>
      </c>
      <c r="J653" s="22" t="b">
        <v>0</v>
      </c>
      <c r="K653" s="22" t="b">
        <v>0</v>
      </c>
      <c r="L653" s="22" t="b">
        <v>0</v>
      </c>
      <c r="M653" s="21"/>
      <c r="N653" s="23">
        <v>0</v>
      </c>
      <c r="O653" s="24"/>
      <c r="P653" s="19"/>
      <c r="Q653" s="25"/>
      <c r="R653" s="25"/>
      <c r="S653" s="19"/>
      <c r="T653" s="26"/>
      <c r="U653" s="30" t="s">
        <v>34</v>
      </c>
      <c r="V653" s="28" t="s">
        <v>1505</v>
      </c>
      <c r="W653" s="29" t="s">
        <v>26</v>
      </c>
    </row>
    <row r="654" spans="1:23" ht="30" customHeight="1">
      <c r="A654" s="19" t="s">
        <v>5583</v>
      </c>
      <c r="B654" s="19" t="s">
        <v>5569</v>
      </c>
      <c r="C654" s="19"/>
      <c r="D654" s="19" t="s">
        <v>2593</v>
      </c>
      <c r="E654" s="20" t="s">
        <v>2594</v>
      </c>
      <c r="F654" s="19"/>
      <c r="G654" s="21" t="s">
        <v>22</v>
      </c>
      <c r="H654" s="22" t="b">
        <v>0</v>
      </c>
      <c r="I654" s="22" t="b">
        <v>0</v>
      </c>
      <c r="J654" s="22" t="b">
        <v>0</v>
      </c>
      <c r="K654" s="22" t="b">
        <v>0</v>
      </c>
      <c r="L654" s="22" t="b">
        <v>0</v>
      </c>
      <c r="M654" s="21"/>
      <c r="N654" s="23">
        <v>0</v>
      </c>
      <c r="O654" s="24"/>
      <c r="P654" s="19"/>
      <c r="Q654" s="25"/>
      <c r="R654" s="25"/>
      <c r="S654" s="19"/>
      <c r="T654" s="26"/>
      <c r="U654" s="27" t="s">
        <v>21</v>
      </c>
      <c r="V654" s="28" t="s">
        <v>2595</v>
      </c>
      <c r="W654" s="29" t="s">
        <v>26</v>
      </c>
    </row>
    <row r="655" spans="1:23" ht="30" customHeight="1">
      <c r="A655" s="19" t="s">
        <v>5584</v>
      </c>
      <c r="B655" s="19" t="s">
        <v>5569</v>
      </c>
      <c r="C655" s="19"/>
      <c r="D655" s="19" t="s">
        <v>2599</v>
      </c>
      <c r="E655" s="20" t="s">
        <v>2600</v>
      </c>
      <c r="F655" s="19"/>
      <c r="G655" s="21" t="s">
        <v>22</v>
      </c>
      <c r="H655" s="22" t="b">
        <v>0</v>
      </c>
      <c r="I655" s="22" t="b">
        <v>0</v>
      </c>
      <c r="J655" s="22" t="b">
        <v>0</v>
      </c>
      <c r="K655" s="22" t="b">
        <v>0</v>
      </c>
      <c r="L655" s="22" t="b">
        <v>0</v>
      </c>
      <c r="M655" s="21"/>
      <c r="N655" s="23">
        <v>0</v>
      </c>
      <c r="O655" s="24"/>
      <c r="P655" s="19"/>
      <c r="Q655" s="25"/>
      <c r="R655" s="25"/>
      <c r="S655" s="19"/>
      <c r="T655" s="26"/>
      <c r="U655" s="27" t="s">
        <v>21</v>
      </c>
      <c r="V655" s="28" t="s">
        <v>2601</v>
      </c>
      <c r="W655" s="29" t="s">
        <v>26</v>
      </c>
    </row>
    <row r="656" spans="1:23" ht="30" customHeight="1">
      <c r="A656" s="19" t="s">
        <v>5584</v>
      </c>
      <c r="B656" s="19" t="s">
        <v>5569</v>
      </c>
      <c r="C656" s="19"/>
      <c r="D656" s="19" t="s">
        <v>2603</v>
      </c>
      <c r="E656" s="20" t="s">
        <v>2604</v>
      </c>
      <c r="F656" s="19"/>
      <c r="G656" s="21" t="s">
        <v>22</v>
      </c>
      <c r="H656" s="22" t="b">
        <v>0</v>
      </c>
      <c r="I656" s="22" t="b">
        <v>0</v>
      </c>
      <c r="J656" s="22" t="b">
        <v>0</v>
      </c>
      <c r="K656" s="22" t="b">
        <v>0</v>
      </c>
      <c r="L656" s="22" t="b">
        <v>0</v>
      </c>
      <c r="M656" s="21"/>
      <c r="N656" s="23">
        <v>0</v>
      </c>
      <c r="O656" s="24"/>
      <c r="P656" s="19"/>
      <c r="Q656" s="25"/>
      <c r="R656" s="25"/>
      <c r="S656" s="19"/>
      <c r="T656" s="26"/>
      <c r="U656" s="27" t="s">
        <v>21</v>
      </c>
      <c r="V656" s="28" t="s">
        <v>2605</v>
      </c>
      <c r="W656" s="29" t="s">
        <v>26</v>
      </c>
    </row>
    <row r="657" spans="1:23" ht="30" customHeight="1">
      <c r="A657" s="19" t="s">
        <v>5584</v>
      </c>
      <c r="B657" s="19" t="s">
        <v>5569</v>
      </c>
      <c r="C657" s="19"/>
      <c r="D657" s="19" t="s">
        <v>2608</v>
      </c>
      <c r="E657" s="20" t="s">
        <v>2609</v>
      </c>
      <c r="F657" s="19"/>
      <c r="G657" s="21" t="s">
        <v>22</v>
      </c>
      <c r="H657" s="22" t="b">
        <v>0</v>
      </c>
      <c r="I657" s="22" t="b">
        <v>0</v>
      </c>
      <c r="J657" s="22" t="b">
        <v>0</v>
      </c>
      <c r="K657" s="22" t="b">
        <v>0</v>
      </c>
      <c r="L657" s="22" t="b">
        <v>0</v>
      </c>
      <c r="M657" s="21"/>
      <c r="N657" s="23">
        <v>0</v>
      </c>
      <c r="O657" s="24"/>
      <c r="P657" s="19"/>
      <c r="Q657" s="25"/>
      <c r="R657" s="25"/>
      <c r="S657" s="19"/>
      <c r="T657" s="26"/>
      <c r="U657" s="27" t="s">
        <v>21</v>
      </c>
      <c r="V657" s="28" t="s">
        <v>2610</v>
      </c>
      <c r="W657" s="29" t="s">
        <v>26</v>
      </c>
    </row>
    <row r="658" spans="1:23" ht="30" customHeight="1">
      <c r="A658" s="19" t="s">
        <v>5584</v>
      </c>
      <c r="B658" s="19" t="s">
        <v>5569</v>
      </c>
      <c r="C658" s="19"/>
      <c r="D658" s="19" t="s">
        <v>2612</v>
      </c>
      <c r="E658" s="20" t="s">
        <v>2613</v>
      </c>
      <c r="F658" s="19"/>
      <c r="G658" s="21" t="s">
        <v>22</v>
      </c>
      <c r="H658" s="22" t="b">
        <v>0</v>
      </c>
      <c r="I658" s="22" t="b">
        <v>0</v>
      </c>
      <c r="J658" s="22" t="b">
        <v>0</v>
      </c>
      <c r="K658" s="22" t="b">
        <v>0</v>
      </c>
      <c r="L658" s="22" t="b">
        <v>0</v>
      </c>
      <c r="M658" s="21"/>
      <c r="N658" s="23">
        <v>0</v>
      </c>
      <c r="O658" s="24"/>
      <c r="P658" s="19"/>
      <c r="Q658" s="25"/>
      <c r="R658" s="25"/>
      <c r="S658" s="19"/>
      <c r="T658" s="26"/>
      <c r="U658" s="27" t="s">
        <v>21</v>
      </c>
      <c r="V658" s="28" t="s">
        <v>361</v>
      </c>
      <c r="W658" s="29" t="s">
        <v>26</v>
      </c>
    </row>
    <row r="659" spans="1:23" ht="30" customHeight="1">
      <c r="A659" s="19" t="s">
        <v>5584</v>
      </c>
      <c r="B659" s="19" t="s">
        <v>5569</v>
      </c>
      <c r="C659" s="19"/>
      <c r="D659" s="19" t="s">
        <v>2615</v>
      </c>
      <c r="E659" s="20" t="s">
        <v>2616</v>
      </c>
      <c r="F659" s="19"/>
      <c r="G659" s="21" t="s">
        <v>22</v>
      </c>
      <c r="H659" s="22" t="b">
        <v>0</v>
      </c>
      <c r="I659" s="22" t="b">
        <v>0</v>
      </c>
      <c r="J659" s="22" t="b">
        <v>0</v>
      </c>
      <c r="K659" s="22" t="b">
        <v>0</v>
      </c>
      <c r="L659" s="22" t="b">
        <v>0</v>
      </c>
      <c r="M659" s="21"/>
      <c r="N659" s="23">
        <v>0</v>
      </c>
      <c r="O659" s="24"/>
      <c r="P659" s="19"/>
      <c r="Q659" s="25"/>
      <c r="R659" s="25"/>
      <c r="S659" s="19"/>
      <c r="T659" s="26"/>
      <c r="U659" s="27" t="s">
        <v>21</v>
      </c>
      <c r="V659" s="28" t="s">
        <v>2617</v>
      </c>
      <c r="W659" s="29" t="s">
        <v>26</v>
      </c>
    </row>
    <row r="660" spans="1:23" ht="30" customHeight="1">
      <c r="A660" s="19" t="s">
        <v>5584</v>
      </c>
      <c r="B660" s="19" t="s">
        <v>5569</v>
      </c>
      <c r="C660" s="19"/>
      <c r="D660" s="19" t="s">
        <v>2619</v>
      </c>
      <c r="E660" s="20" t="s">
        <v>2620</v>
      </c>
      <c r="F660" s="19"/>
      <c r="G660" s="21" t="s">
        <v>22</v>
      </c>
      <c r="H660" s="22" t="b">
        <v>0</v>
      </c>
      <c r="I660" s="22" t="b">
        <v>0</v>
      </c>
      <c r="J660" s="22" t="b">
        <v>0</v>
      </c>
      <c r="K660" s="22" t="b">
        <v>0</v>
      </c>
      <c r="L660" s="22" t="b">
        <v>0</v>
      </c>
      <c r="M660" s="21"/>
      <c r="N660" s="23">
        <v>0</v>
      </c>
      <c r="O660" s="24"/>
      <c r="P660" s="19"/>
      <c r="Q660" s="25"/>
      <c r="R660" s="25"/>
      <c r="S660" s="19"/>
      <c r="T660" s="26"/>
      <c r="U660" s="27" t="s">
        <v>21</v>
      </c>
      <c r="V660" s="28" t="s">
        <v>370</v>
      </c>
      <c r="W660" s="29" t="s">
        <v>26</v>
      </c>
    </row>
    <row r="661" spans="1:23" ht="30" customHeight="1">
      <c r="A661" s="19" t="s">
        <v>5584</v>
      </c>
      <c r="B661" s="19" t="s">
        <v>5569</v>
      </c>
      <c r="C661" s="19"/>
      <c r="D661" s="19" t="s">
        <v>2622</v>
      </c>
      <c r="E661" s="20" t="s">
        <v>2623</v>
      </c>
      <c r="F661" s="19"/>
      <c r="G661" s="21" t="s">
        <v>22</v>
      </c>
      <c r="H661" s="22" t="b">
        <v>0</v>
      </c>
      <c r="I661" s="22" t="b">
        <v>0</v>
      </c>
      <c r="J661" s="22" t="b">
        <v>0</v>
      </c>
      <c r="K661" s="22" t="b">
        <v>0</v>
      </c>
      <c r="L661" s="22" t="b">
        <v>0</v>
      </c>
      <c r="M661" s="21"/>
      <c r="N661" s="23">
        <v>0</v>
      </c>
      <c r="O661" s="24"/>
      <c r="P661" s="19"/>
      <c r="Q661" s="25"/>
      <c r="R661" s="25"/>
      <c r="S661" s="19"/>
      <c r="T661" s="26"/>
      <c r="U661" s="27" t="s">
        <v>21</v>
      </c>
      <c r="V661" s="28" t="s">
        <v>361</v>
      </c>
      <c r="W661" s="29" t="s">
        <v>26</v>
      </c>
    </row>
    <row r="662" spans="1:23" ht="30" customHeight="1">
      <c r="A662" s="19" t="s">
        <v>5584</v>
      </c>
      <c r="B662" s="19" t="s">
        <v>5569</v>
      </c>
      <c r="C662" s="19"/>
      <c r="D662" s="19" t="s">
        <v>2626</v>
      </c>
      <c r="E662" s="20" t="s">
        <v>2627</v>
      </c>
      <c r="F662" s="19"/>
      <c r="G662" s="21" t="s">
        <v>22</v>
      </c>
      <c r="H662" s="22" t="b">
        <v>0</v>
      </c>
      <c r="I662" s="22" t="b">
        <v>0</v>
      </c>
      <c r="J662" s="22" t="b">
        <v>0</v>
      </c>
      <c r="K662" s="22" t="b">
        <v>0</v>
      </c>
      <c r="L662" s="22" t="b">
        <v>0</v>
      </c>
      <c r="M662" s="21"/>
      <c r="N662" s="23">
        <v>0</v>
      </c>
      <c r="O662" s="24"/>
      <c r="P662" s="19"/>
      <c r="Q662" s="25"/>
      <c r="R662" s="25"/>
      <c r="S662" s="19"/>
      <c r="T662" s="26"/>
      <c r="U662" s="27" t="s">
        <v>21</v>
      </c>
      <c r="V662" s="28" t="s">
        <v>2628</v>
      </c>
      <c r="W662" s="29" t="s">
        <v>26</v>
      </c>
    </row>
    <row r="663" spans="1:23" ht="30" customHeight="1">
      <c r="A663" s="19" t="s">
        <v>5584</v>
      </c>
      <c r="B663" s="19" t="s">
        <v>5569</v>
      </c>
      <c r="C663" s="19"/>
      <c r="D663" s="19" t="s">
        <v>2630</v>
      </c>
      <c r="E663" s="20" t="s">
        <v>2631</v>
      </c>
      <c r="F663" s="19"/>
      <c r="G663" s="21" t="s">
        <v>156</v>
      </c>
      <c r="H663" s="22" t="b">
        <v>0</v>
      </c>
      <c r="I663" s="22" t="b">
        <v>0</v>
      </c>
      <c r="J663" s="22" t="b">
        <v>0</v>
      </c>
      <c r="K663" s="22" t="b">
        <v>0</v>
      </c>
      <c r="L663" s="22" t="b">
        <v>0</v>
      </c>
      <c r="M663" s="21"/>
      <c r="N663" s="23">
        <v>0</v>
      </c>
      <c r="O663" s="24"/>
      <c r="P663" s="19"/>
      <c r="Q663" s="25"/>
      <c r="R663" s="25"/>
      <c r="S663" s="19"/>
      <c r="T663" s="26"/>
      <c r="U663" s="27" t="s">
        <v>21</v>
      </c>
      <c r="V663" s="28" t="s">
        <v>2632</v>
      </c>
      <c r="W663" s="29" t="s">
        <v>26</v>
      </c>
    </row>
    <row r="664" spans="1:23" ht="30" customHeight="1">
      <c r="A664" s="19" t="s">
        <v>5584</v>
      </c>
      <c r="B664" s="19" t="s">
        <v>5569</v>
      </c>
      <c r="C664" s="19"/>
      <c r="D664" s="19" t="s">
        <v>2634</v>
      </c>
      <c r="E664" s="20" t="s">
        <v>2635</v>
      </c>
      <c r="F664" s="19"/>
      <c r="G664" s="21" t="s">
        <v>22</v>
      </c>
      <c r="H664" s="22" t="b">
        <v>0</v>
      </c>
      <c r="I664" s="22" t="b">
        <v>0</v>
      </c>
      <c r="J664" s="22" t="b">
        <v>0</v>
      </c>
      <c r="K664" s="22" t="b">
        <v>0</v>
      </c>
      <c r="L664" s="22" t="b">
        <v>0</v>
      </c>
      <c r="M664" s="21"/>
      <c r="N664" s="23">
        <v>0</v>
      </c>
      <c r="O664" s="24"/>
      <c r="P664" s="19"/>
      <c r="Q664" s="25"/>
      <c r="R664" s="25"/>
      <c r="S664" s="19"/>
      <c r="T664" s="26"/>
      <c r="U664" s="27" t="s">
        <v>21</v>
      </c>
      <c r="V664" s="28" t="s">
        <v>2636</v>
      </c>
      <c r="W664" s="29" t="s">
        <v>26</v>
      </c>
    </row>
    <row r="665" spans="1:23" ht="30" customHeight="1">
      <c r="A665" s="19" t="s">
        <v>5585</v>
      </c>
      <c r="B665" s="19" t="s">
        <v>5569</v>
      </c>
      <c r="C665" s="19"/>
      <c r="D665" s="19" t="s">
        <v>2640</v>
      </c>
      <c r="E665" s="20" t="s">
        <v>2641</v>
      </c>
      <c r="F665" s="19"/>
      <c r="G665" s="21" t="s">
        <v>39</v>
      </c>
      <c r="H665" s="22" t="b">
        <v>0</v>
      </c>
      <c r="I665" s="22" t="b">
        <v>0</v>
      </c>
      <c r="J665" s="22" t="b">
        <v>0</v>
      </c>
      <c r="K665" s="22" t="b">
        <v>0</v>
      </c>
      <c r="L665" s="22" t="b">
        <v>0</v>
      </c>
      <c r="M665" s="21"/>
      <c r="N665" s="23">
        <v>0</v>
      </c>
      <c r="O665" s="24"/>
      <c r="P665" s="19"/>
      <c r="Q665" s="25"/>
      <c r="R665" s="25"/>
      <c r="S665" s="19"/>
      <c r="T665" s="26"/>
      <c r="U665" s="30" t="s">
        <v>34</v>
      </c>
      <c r="V665" s="28" t="s">
        <v>2642</v>
      </c>
      <c r="W665" s="29" t="s">
        <v>26</v>
      </c>
    </row>
    <row r="666" spans="1:23" ht="30" customHeight="1">
      <c r="A666" s="19" t="s">
        <v>5585</v>
      </c>
      <c r="B666" s="19" t="s">
        <v>5569</v>
      </c>
      <c r="C666" s="19"/>
      <c r="D666" s="19" t="s">
        <v>2645</v>
      </c>
      <c r="E666" s="20" t="s">
        <v>2646</v>
      </c>
      <c r="F666" s="19"/>
      <c r="G666" s="21" t="s">
        <v>29</v>
      </c>
      <c r="H666" s="22" t="b">
        <v>0</v>
      </c>
      <c r="I666" s="22" t="b">
        <v>0</v>
      </c>
      <c r="J666" s="22" t="b">
        <v>0</v>
      </c>
      <c r="K666" s="22" t="b">
        <v>0</v>
      </c>
      <c r="L666" s="22" t="b">
        <v>0</v>
      </c>
      <c r="M666" s="21"/>
      <c r="N666" s="23">
        <v>0</v>
      </c>
      <c r="O666" s="24"/>
      <c r="P666" s="19"/>
      <c r="Q666" s="25"/>
      <c r="R666" s="25"/>
      <c r="S666" s="19"/>
      <c r="T666" s="26"/>
      <c r="U666" s="27" t="s">
        <v>21</v>
      </c>
      <c r="V666" s="28" t="s">
        <v>2647</v>
      </c>
      <c r="W666" s="29" t="s">
        <v>26</v>
      </c>
    </row>
    <row r="667" spans="1:23" ht="30" customHeight="1">
      <c r="A667" s="19" t="s">
        <v>5585</v>
      </c>
      <c r="B667" s="19" t="s">
        <v>5569</v>
      </c>
      <c r="C667" s="19"/>
      <c r="D667" s="19" t="s">
        <v>2650</v>
      </c>
      <c r="E667" s="20" t="s">
        <v>2651</v>
      </c>
      <c r="F667" s="19"/>
      <c r="G667" s="21" t="s">
        <v>22</v>
      </c>
      <c r="H667" s="22" t="b">
        <v>0</v>
      </c>
      <c r="I667" s="22" t="b">
        <v>0</v>
      </c>
      <c r="J667" s="22" t="b">
        <v>0</v>
      </c>
      <c r="K667" s="22" t="b">
        <v>0</v>
      </c>
      <c r="L667" s="22" t="b">
        <v>0</v>
      </c>
      <c r="M667" s="21"/>
      <c r="N667" s="23">
        <v>0</v>
      </c>
      <c r="O667" s="24"/>
      <c r="P667" s="19"/>
      <c r="Q667" s="25"/>
      <c r="R667" s="25"/>
      <c r="S667" s="19"/>
      <c r="T667" s="26"/>
      <c r="U667" s="27" t="s">
        <v>21</v>
      </c>
      <c r="V667" s="28" t="s">
        <v>370</v>
      </c>
      <c r="W667" s="29" t="s">
        <v>26</v>
      </c>
    </row>
    <row r="668" spans="1:23" ht="30" customHeight="1">
      <c r="A668" s="19" t="s">
        <v>5585</v>
      </c>
      <c r="B668" s="19" t="s">
        <v>5569</v>
      </c>
      <c r="C668" s="19"/>
      <c r="D668" s="19" t="s">
        <v>2653</v>
      </c>
      <c r="E668" s="20" t="s">
        <v>2654</v>
      </c>
      <c r="F668" s="19"/>
      <c r="G668" s="21" t="s">
        <v>22</v>
      </c>
      <c r="H668" s="22" t="b">
        <v>0</v>
      </c>
      <c r="I668" s="22" t="b">
        <v>0</v>
      </c>
      <c r="J668" s="22" t="b">
        <v>0</v>
      </c>
      <c r="K668" s="22" t="b">
        <v>0</v>
      </c>
      <c r="L668" s="22" t="b">
        <v>0</v>
      </c>
      <c r="M668" s="21"/>
      <c r="N668" s="23">
        <v>0</v>
      </c>
      <c r="O668" s="24"/>
      <c r="P668" s="19"/>
      <c r="Q668" s="25"/>
      <c r="R668" s="25"/>
      <c r="S668" s="19"/>
      <c r="T668" s="26"/>
      <c r="U668" s="27" t="s">
        <v>21</v>
      </c>
      <c r="V668" s="28" t="s">
        <v>2655</v>
      </c>
      <c r="W668" s="29" t="s">
        <v>26</v>
      </c>
    </row>
    <row r="669" spans="1:23" ht="30" customHeight="1">
      <c r="A669" s="19" t="s">
        <v>5585</v>
      </c>
      <c r="B669" s="19" t="s">
        <v>5569</v>
      </c>
      <c r="C669" s="19"/>
      <c r="D669" s="19" t="s">
        <v>2657</v>
      </c>
      <c r="E669" s="20" t="s">
        <v>2658</v>
      </c>
      <c r="F669" s="19"/>
      <c r="G669" s="21" t="s">
        <v>22</v>
      </c>
      <c r="H669" s="22" t="b">
        <v>0</v>
      </c>
      <c r="I669" s="22" t="b">
        <v>0</v>
      </c>
      <c r="J669" s="22" t="b">
        <v>0</v>
      </c>
      <c r="K669" s="22" t="b">
        <v>0</v>
      </c>
      <c r="L669" s="22" t="b">
        <v>0</v>
      </c>
      <c r="M669" s="21"/>
      <c r="N669" s="23">
        <v>0</v>
      </c>
      <c r="O669" s="24"/>
      <c r="P669" s="19"/>
      <c r="Q669" s="25"/>
      <c r="R669" s="25"/>
      <c r="S669" s="19"/>
      <c r="T669" s="26"/>
      <c r="U669" s="27" t="s">
        <v>21</v>
      </c>
      <c r="V669" s="28" t="s">
        <v>2659</v>
      </c>
      <c r="W669" s="29" t="s">
        <v>26</v>
      </c>
    </row>
    <row r="670" spans="1:23" ht="30" customHeight="1">
      <c r="A670" s="19" t="s">
        <v>5585</v>
      </c>
      <c r="B670" s="19" t="s">
        <v>5569</v>
      </c>
      <c r="C670" s="19"/>
      <c r="D670" s="19" t="s">
        <v>2662</v>
      </c>
      <c r="E670" s="20" t="s">
        <v>2663</v>
      </c>
      <c r="F670" s="19"/>
      <c r="G670" s="21" t="s">
        <v>29</v>
      </c>
      <c r="H670" s="22" t="b">
        <v>0</v>
      </c>
      <c r="I670" s="22" t="b">
        <v>0</v>
      </c>
      <c r="J670" s="22" t="b">
        <v>0</v>
      </c>
      <c r="K670" s="22" t="b">
        <v>0</v>
      </c>
      <c r="L670" s="22" t="b">
        <v>0</v>
      </c>
      <c r="M670" s="21"/>
      <c r="N670" s="23">
        <v>0</v>
      </c>
      <c r="O670" s="24"/>
      <c r="P670" s="19"/>
      <c r="Q670" s="25"/>
      <c r="R670" s="25"/>
      <c r="S670" s="19"/>
      <c r="T670" s="26"/>
      <c r="U670" s="27" t="s">
        <v>21</v>
      </c>
      <c r="V670" s="28" t="s">
        <v>2664</v>
      </c>
      <c r="W670" s="29" t="s">
        <v>26</v>
      </c>
    </row>
    <row r="671" spans="1:23" ht="30" customHeight="1">
      <c r="A671" s="19" t="s">
        <v>5585</v>
      </c>
      <c r="B671" s="19" t="s">
        <v>5569</v>
      </c>
      <c r="C671" s="19"/>
      <c r="D671" s="19" t="s">
        <v>2666</v>
      </c>
      <c r="E671" s="20" t="s">
        <v>2667</v>
      </c>
      <c r="F671" s="19"/>
      <c r="G671" s="21" t="s">
        <v>22</v>
      </c>
      <c r="H671" s="22" t="b">
        <v>0</v>
      </c>
      <c r="I671" s="22" t="b">
        <v>0</v>
      </c>
      <c r="J671" s="22" t="b">
        <v>0</v>
      </c>
      <c r="K671" s="22" t="b">
        <v>0</v>
      </c>
      <c r="L671" s="22" t="b">
        <v>0</v>
      </c>
      <c r="M671" s="21"/>
      <c r="N671" s="23">
        <v>0</v>
      </c>
      <c r="O671" s="24"/>
      <c r="P671" s="19"/>
      <c r="Q671" s="25"/>
      <c r="R671" s="25"/>
      <c r="S671" s="19"/>
      <c r="T671" s="26"/>
      <c r="U671" s="27" t="s">
        <v>21</v>
      </c>
      <c r="V671" s="28" t="s">
        <v>361</v>
      </c>
      <c r="W671" s="29" t="s">
        <v>26</v>
      </c>
    </row>
    <row r="672" spans="1:23" ht="30" customHeight="1">
      <c r="A672" s="19" t="s">
        <v>5585</v>
      </c>
      <c r="B672" s="19" t="s">
        <v>5569</v>
      </c>
      <c r="C672" s="19"/>
      <c r="D672" s="19" t="s">
        <v>2670</v>
      </c>
      <c r="E672" s="20" t="s">
        <v>2671</v>
      </c>
      <c r="F672" s="19"/>
      <c r="G672" s="21" t="s">
        <v>156</v>
      </c>
      <c r="H672" s="22" t="b">
        <v>0</v>
      </c>
      <c r="I672" s="22" t="b">
        <v>0</v>
      </c>
      <c r="J672" s="22" t="b">
        <v>0</v>
      </c>
      <c r="K672" s="22" t="b">
        <v>0</v>
      </c>
      <c r="L672" s="22" t="b">
        <v>0</v>
      </c>
      <c r="M672" s="21"/>
      <c r="N672" s="23">
        <v>0</v>
      </c>
      <c r="O672" s="24"/>
      <c r="P672" s="19"/>
      <c r="Q672" s="25"/>
      <c r="R672" s="25"/>
      <c r="S672" s="19"/>
      <c r="T672" s="26"/>
      <c r="U672" s="30" t="s">
        <v>34</v>
      </c>
      <c r="V672" s="28" t="s">
        <v>2672</v>
      </c>
      <c r="W672" s="29" t="s">
        <v>26</v>
      </c>
    </row>
    <row r="673" spans="1:23" ht="30" customHeight="1">
      <c r="A673" s="19" t="s">
        <v>5585</v>
      </c>
      <c r="B673" s="19" t="s">
        <v>5569</v>
      </c>
      <c r="C673" s="19"/>
      <c r="D673" s="19" t="s">
        <v>2674</v>
      </c>
      <c r="E673" s="20" t="s">
        <v>2675</v>
      </c>
      <c r="F673" s="19"/>
      <c r="G673" s="21" t="s">
        <v>22</v>
      </c>
      <c r="H673" s="22" t="b">
        <v>0</v>
      </c>
      <c r="I673" s="22" t="b">
        <v>0</v>
      </c>
      <c r="J673" s="22" t="b">
        <v>0</v>
      </c>
      <c r="K673" s="22" t="b">
        <v>0</v>
      </c>
      <c r="L673" s="22" t="b">
        <v>0</v>
      </c>
      <c r="M673" s="21"/>
      <c r="N673" s="23">
        <v>0</v>
      </c>
      <c r="O673" s="24"/>
      <c r="P673" s="19"/>
      <c r="Q673" s="25"/>
      <c r="R673" s="25"/>
      <c r="S673" s="19"/>
      <c r="T673" s="26"/>
      <c r="U673" s="27" t="s">
        <v>21</v>
      </c>
      <c r="V673" s="28" t="s">
        <v>2676</v>
      </c>
      <c r="W673" s="29" t="s">
        <v>26</v>
      </c>
    </row>
    <row r="674" spans="1:23" ht="30" customHeight="1">
      <c r="A674" s="19" t="s">
        <v>5585</v>
      </c>
      <c r="B674" s="19" t="s">
        <v>5569</v>
      </c>
      <c r="C674" s="19"/>
      <c r="D674" s="19" t="s">
        <v>2678</v>
      </c>
      <c r="E674" s="20" t="s">
        <v>2679</v>
      </c>
      <c r="F674" s="19"/>
      <c r="G674" s="21" t="s">
        <v>22</v>
      </c>
      <c r="H674" s="22" t="b">
        <v>0</v>
      </c>
      <c r="I674" s="22" t="b">
        <v>0</v>
      </c>
      <c r="J674" s="22" t="b">
        <v>0</v>
      </c>
      <c r="K674" s="22" t="b">
        <v>0</v>
      </c>
      <c r="L674" s="22" t="b">
        <v>0</v>
      </c>
      <c r="M674" s="21"/>
      <c r="N674" s="23">
        <v>0</v>
      </c>
      <c r="O674" s="24"/>
      <c r="P674" s="19"/>
      <c r="Q674" s="25"/>
      <c r="R674" s="25"/>
      <c r="S674" s="19"/>
      <c r="T674" s="26"/>
      <c r="U674" s="27" t="s">
        <v>21</v>
      </c>
      <c r="V674" s="28" t="s">
        <v>2680</v>
      </c>
      <c r="W674" s="29" t="s">
        <v>26</v>
      </c>
    </row>
    <row r="675" spans="1:23" ht="30" customHeight="1">
      <c r="A675" s="19" t="s">
        <v>5586</v>
      </c>
      <c r="B675" s="19" t="s">
        <v>5569</v>
      </c>
      <c r="C675" s="19"/>
      <c r="D675" s="19" t="s">
        <v>2684</v>
      </c>
      <c r="E675" s="20" t="s">
        <v>2685</v>
      </c>
      <c r="F675" s="19"/>
      <c r="G675" s="21" t="s">
        <v>29</v>
      </c>
      <c r="H675" s="22" t="b">
        <v>0</v>
      </c>
      <c r="I675" s="22" t="b">
        <v>0</v>
      </c>
      <c r="J675" s="22" t="b">
        <v>0</v>
      </c>
      <c r="K675" s="22" t="b">
        <v>0</v>
      </c>
      <c r="L675" s="22" t="b">
        <v>0</v>
      </c>
      <c r="M675" s="21"/>
      <c r="N675" s="23">
        <v>0</v>
      </c>
      <c r="O675" s="24"/>
      <c r="P675" s="19"/>
      <c r="Q675" s="25"/>
      <c r="R675" s="25"/>
      <c r="S675" s="19"/>
      <c r="T675" s="26"/>
      <c r="U675" s="27" t="s">
        <v>21</v>
      </c>
      <c r="V675" s="28" t="s">
        <v>2686</v>
      </c>
      <c r="W675" s="29" t="s">
        <v>26</v>
      </c>
    </row>
    <row r="676" spans="1:23" ht="30" customHeight="1">
      <c r="A676" s="19" t="s">
        <v>5586</v>
      </c>
      <c r="B676" s="19" t="s">
        <v>5569</v>
      </c>
      <c r="C676" s="19"/>
      <c r="D676" s="19" t="s">
        <v>2688</v>
      </c>
      <c r="E676" s="20" t="s">
        <v>2689</v>
      </c>
      <c r="F676" s="19"/>
      <c r="G676" s="21" t="s">
        <v>22</v>
      </c>
      <c r="H676" s="22" t="b">
        <v>0</v>
      </c>
      <c r="I676" s="22" t="b">
        <v>0</v>
      </c>
      <c r="J676" s="22" t="b">
        <v>0</v>
      </c>
      <c r="K676" s="22" t="b">
        <v>0</v>
      </c>
      <c r="L676" s="22" t="b">
        <v>0</v>
      </c>
      <c r="M676" s="21"/>
      <c r="N676" s="23">
        <v>0</v>
      </c>
      <c r="O676" s="24"/>
      <c r="P676" s="19"/>
      <c r="Q676" s="25"/>
      <c r="R676" s="25"/>
      <c r="S676" s="19"/>
      <c r="T676" s="26"/>
      <c r="U676" s="27" t="s">
        <v>21</v>
      </c>
      <c r="V676" s="28" t="s">
        <v>361</v>
      </c>
      <c r="W676" s="29" t="s">
        <v>26</v>
      </c>
    </row>
    <row r="677" spans="1:23" ht="30" customHeight="1">
      <c r="A677" s="19" t="s">
        <v>5586</v>
      </c>
      <c r="B677" s="19" t="s">
        <v>5569</v>
      </c>
      <c r="C677" s="19"/>
      <c r="D677" s="19" t="s">
        <v>2692</v>
      </c>
      <c r="E677" s="20" t="s">
        <v>2693</v>
      </c>
      <c r="F677" s="19"/>
      <c r="G677" s="21" t="s">
        <v>22</v>
      </c>
      <c r="H677" s="22" t="b">
        <v>0</v>
      </c>
      <c r="I677" s="22" t="b">
        <v>0</v>
      </c>
      <c r="J677" s="22" t="b">
        <v>0</v>
      </c>
      <c r="K677" s="22" t="b">
        <v>0</v>
      </c>
      <c r="L677" s="22" t="b">
        <v>0</v>
      </c>
      <c r="M677" s="21"/>
      <c r="N677" s="23">
        <v>0</v>
      </c>
      <c r="O677" s="24"/>
      <c r="P677" s="19"/>
      <c r="Q677" s="25"/>
      <c r="R677" s="25"/>
      <c r="S677" s="19"/>
      <c r="T677" s="26"/>
      <c r="U677" s="27" t="s">
        <v>21</v>
      </c>
      <c r="V677" s="28" t="s">
        <v>361</v>
      </c>
      <c r="W677" s="29" t="s">
        <v>26</v>
      </c>
    </row>
    <row r="678" spans="1:23" ht="30" customHeight="1">
      <c r="A678" s="19" t="s">
        <v>5586</v>
      </c>
      <c r="B678" s="19" t="s">
        <v>5569</v>
      </c>
      <c r="C678" s="19"/>
      <c r="D678" s="19" t="s">
        <v>2695</v>
      </c>
      <c r="E678" s="20" t="s">
        <v>2696</v>
      </c>
      <c r="F678" s="19"/>
      <c r="G678" s="21" t="s">
        <v>29</v>
      </c>
      <c r="H678" s="22" t="b">
        <v>0</v>
      </c>
      <c r="I678" s="22" t="b">
        <v>0</v>
      </c>
      <c r="J678" s="22" t="b">
        <v>0</v>
      </c>
      <c r="K678" s="22" t="b">
        <v>0</v>
      </c>
      <c r="L678" s="22" t="b">
        <v>0</v>
      </c>
      <c r="M678" s="21"/>
      <c r="N678" s="23">
        <v>0</v>
      </c>
      <c r="O678" s="24"/>
      <c r="P678" s="19"/>
      <c r="Q678" s="25"/>
      <c r="R678" s="25"/>
      <c r="S678" s="19"/>
      <c r="T678" s="26"/>
      <c r="U678" s="27" t="s">
        <v>21</v>
      </c>
      <c r="V678" s="28" t="s">
        <v>2697</v>
      </c>
      <c r="W678" s="29" t="s">
        <v>26</v>
      </c>
    </row>
    <row r="679" spans="1:23" ht="30" customHeight="1">
      <c r="A679" s="19" t="s">
        <v>5586</v>
      </c>
      <c r="B679" s="19" t="s">
        <v>5569</v>
      </c>
      <c r="C679" s="19"/>
      <c r="D679" s="19" t="s">
        <v>2699</v>
      </c>
      <c r="E679" s="20" t="s">
        <v>2700</v>
      </c>
      <c r="F679" s="19"/>
      <c r="G679" s="21" t="s">
        <v>39</v>
      </c>
      <c r="H679" s="22" t="b">
        <v>0</v>
      </c>
      <c r="I679" s="22" t="b">
        <v>0</v>
      </c>
      <c r="J679" s="22" t="b">
        <v>0</v>
      </c>
      <c r="K679" s="22" t="b">
        <v>0</v>
      </c>
      <c r="L679" s="22" t="b">
        <v>0</v>
      </c>
      <c r="M679" s="21"/>
      <c r="N679" s="23">
        <v>0</v>
      </c>
      <c r="O679" s="24"/>
      <c r="P679" s="19"/>
      <c r="Q679" s="25"/>
      <c r="R679" s="25"/>
      <c r="S679" s="19"/>
      <c r="T679" s="26"/>
      <c r="U679" s="27" t="s">
        <v>21</v>
      </c>
      <c r="V679" s="28" t="s">
        <v>2701</v>
      </c>
      <c r="W679" s="29" t="s">
        <v>26</v>
      </c>
    </row>
    <row r="680" spans="1:23" ht="30" customHeight="1">
      <c r="A680" s="19" t="s">
        <v>5586</v>
      </c>
      <c r="B680" s="19" t="s">
        <v>5569</v>
      </c>
      <c r="C680" s="19"/>
      <c r="D680" s="19" t="s">
        <v>2703</v>
      </c>
      <c r="E680" s="20" t="s">
        <v>2704</v>
      </c>
      <c r="F680" s="19"/>
      <c r="G680" s="21" t="s">
        <v>29</v>
      </c>
      <c r="H680" s="22" t="b">
        <v>0</v>
      </c>
      <c r="I680" s="22" t="b">
        <v>0</v>
      </c>
      <c r="J680" s="22" t="b">
        <v>0</v>
      </c>
      <c r="K680" s="22" t="b">
        <v>0</v>
      </c>
      <c r="L680" s="22" t="b">
        <v>0</v>
      </c>
      <c r="M680" s="21"/>
      <c r="N680" s="23">
        <v>0</v>
      </c>
      <c r="O680" s="24"/>
      <c r="P680" s="19"/>
      <c r="Q680" s="25"/>
      <c r="R680" s="25"/>
      <c r="S680" s="19"/>
      <c r="T680" s="26"/>
      <c r="U680" s="27" t="s">
        <v>21</v>
      </c>
      <c r="V680" s="28" t="s">
        <v>2705</v>
      </c>
      <c r="W680" s="29" t="s">
        <v>26</v>
      </c>
    </row>
    <row r="681" spans="1:23" ht="30" customHeight="1">
      <c r="A681" s="19" t="s">
        <v>5587</v>
      </c>
      <c r="B681" s="19" t="s">
        <v>5569</v>
      </c>
      <c r="C681" s="19"/>
      <c r="D681" s="19" t="s">
        <v>2709</v>
      </c>
      <c r="E681" s="20" t="s">
        <v>2710</v>
      </c>
      <c r="F681" s="19"/>
      <c r="G681" s="21" t="s">
        <v>29</v>
      </c>
      <c r="H681" s="22" t="b">
        <v>0</v>
      </c>
      <c r="I681" s="22" t="b">
        <v>0</v>
      </c>
      <c r="J681" s="22" t="b">
        <v>0</v>
      </c>
      <c r="K681" s="22" t="b">
        <v>0</v>
      </c>
      <c r="L681" s="22" t="b">
        <v>0</v>
      </c>
      <c r="M681" s="21"/>
      <c r="N681" s="23">
        <v>0</v>
      </c>
      <c r="O681" s="24"/>
      <c r="P681" s="19"/>
      <c r="Q681" s="25"/>
      <c r="R681" s="25"/>
      <c r="S681" s="19"/>
      <c r="T681" s="26"/>
      <c r="U681" s="27" t="s">
        <v>21</v>
      </c>
      <c r="V681" s="28" t="s">
        <v>2711</v>
      </c>
      <c r="W681" s="29" t="s">
        <v>26</v>
      </c>
    </row>
    <row r="682" spans="1:23" ht="30" customHeight="1">
      <c r="A682" s="19" t="s">
        <v>5587</v>
      </c>
      <c r="B682" s="19" t="s">
        <v>5569</v>
      </c>
      <c r="C682" s="19"/>
      <c r="D682" s="19" t="s">
        <v>2714</v>
      </c>
      <c r="E682" s="20" t="s">
        <v>2715</v>
      </c>
      <c r="F682" s="19"/>
      <c r="G682" s="21" t="s">
        <v>22</v>
      </c>
      <c r="H682" s="22" t="b">
        <v>0</v>
      </c>
      <c r="I682" s="22" t="b">
        <v>0</v>
      </c>
      <c r="J682" s="22" t="b">
        <v>0</v>
      </c>
      <c r="K682" s="22" t="b">
        <v>0</v>
      </c>
      <c r="L682" s="22" t="b">
        <v>0</v>
      </c>
      <c r="M682" s="21"/>
      <c r="N682" s="23">
        <v>0</v>
      </c>
      <c r="O682" s="24"/>
      <c r="P682" s="19"/>
      <c r="Q682" s="25"/>
      <c r="R682" s="25"/>
      <c r="S682" s="19"/>
      <c r="T682" s="26"/>
      <c r="U682" s="27" t="s">
        <v>21</v>
      </c>
      <c r="V682" s="28" t="s">
        <v>2716</v>
      </c>
      <c r="W682" s="29" t="s">
        <v>26</v>
      </c>
    </row>
    <row r="683" spans="1:23" ht="30" customHeight="1">
      <c r="A683" s="19" t="s">
        <v>5587</v>
      </c>
      <c r="B683" s="19" t="s">
        <v>5569</v>
      </c>
      <c r="C683" s="19"/>
      <c r="D683" s="19" t="s">
        <v>2718</v>
      </c>
      <c r="E683" s="20" t="s">
        <v>2719</v>
      </c>
      <c r="F683" s="19"/>
      <c r="G683" s="21" t="s">
        <v>29</v>
      </c>
      <c r="H683" s="22" t="b">
        <v>0</v>
      </c>
      <c r="I683" s="22" t="b">
        <v>0</v>
      </c>
      <c r="J683" s="22" t="b">
        <v>0</v>
      </c>
      <c r="K683" s="22" t="b">
        <v>0</v>
      </c>
      <c r="L683" s="22" t="b">
        <v>0</v>
      </c>
      <c r="M683" s="21"/>
      <c r="N683" s="23">
        <v>0</v>
      </c>
      <c r="O683" s="24"/>
      <c r="P683" s="19"/>
      <c r="Q683" s="25"/>
      <c r="R683" s="25"/>
      <c r="S683" s="19"/>
      <c r="T683" s="26"/>
      <c r="U683" s="27" t="s">
        <v>21</v>
      </c>
      <c r="V683" s="28" t="s">
        <v>2720</v>
      </c>
      <c r="W683" s="29" t="s">
        <v>26</v>
      </c>
    </row>
    <row r="684" spans="1:23" ht="30" customHeight="1">
      <c r="A684" s="19" t="s">
        <v>5587</v>
      </c>
      <c r="B684" s="19" t="s">
        <v>5569</v>
      </c>
      <c r="C684" s="19"/>
      <c r="D684" s="19" t="s">
        <v>2722</v>
      </c>
      <c r="E684" s="20" t="s">
        <v>2723</v>
      </c>
      <c r="F684" s="19"/>
      <c r="G684" s="21" t="s">
        <v>22</v>
      </c>
      <c r="H684" s="22" t="b">
        <v>0</v>
      </c>
      <c r="I684" s="22" t="b">
        <v>0</v>
      </c>
      <c r="J684" s="22" t="b">
        <v>0</v>
      </c>
      <c r="K684" s="22" t="b">
        <v>0</v>
      </c>
      <c r="L684" s="22" t="b">
        <v>0</v>
      </c>
      <c r="M684" s="21"/>
      <c r="N684" s="23">
        <v>0</v>
      </c>
      <c r="O684" s="24"/>
      <c r="P684" s="19"/>
      <c r="Q684" s="25"/>
      <c r="R684" s="25"/>
      <c r="S684" s="19"/>
      <c r="T684" s="26"/>
      <c r="U684" s="27" t="s">
        <v>21</v>
      </c>
      <c r="V684" s="28" t="s">
        <v>2724</v>
      </c>
      <c r="W684" s="29" t="s">
        <v>26</v>
      </c>
    </row>
    <row r="685" spans="1:23" ht="30" customHeight="1">
      <c r="A685" s="19" t="s">
        <v>5587</v>
      </c>
      <c r="B685" s="19" t="s">
        <v>5569</v>
      </c>
      <c r="C685" s="19"/>
      <c r="D685" s="19" t="s">
        <v>2726</v>
      </c>
      <c r="E685" s="20" t="s">
        <v>2727</v>
      </c>
      <c r="F685" s="19"/>
      <c r="G685" s="21" t="s">
        <v>22</v>
      </c>
      <c r="H685" s="22" t="b">
        <v>0</v>
      </c>
      <c r="I685" s="22" t="b">
        <v>0</v>
      </c>
      <c r="J685" s="22" t="b">
        <v>0</v>
      </c>
      <c r="K685" s="22" t="b">
        <v>0</v>
      </c>
      <c r="L685" s="22" t="b">
        <v>0</v>
      </c>
      <c r="M685" s="21"/>
      <c r="N685" s="23">
        <v>0</v>
      </c>
      <c r="O685" s="24"/>
      <c r="P685" s="19"/>
      <c r="Q685" s="25"/>
      <c r="R685" s="25"/>
      <c r="S685" s="19"/>
      <c r="T685" s="26"/>
      <c r="U685" s="27" t="s">
        <v>21</v>
      </c>
      <c r="V685" s="28" t="s">
        <v>370</v>
      </c>
      <c r="W685" s="29" t="s">
        <v>26</v>
      </c>
    </row>
    <row r="686" spans="1:23" ht="30" customHeight="1">
      <c r="A686" s="19" t="s">
        <v>5587</v>
      </c>
      <c r="B686" s="19" t="s">
        <v>5569</v>
      </c>
      <c r="C686" s="19"/>
      <c r="D686" s="19" t="s">
        <v>2730</v>
      </c>
      <c r="E686" s="20" t="s">
        <v>2731</v>
      </c>
      <c r="F686" s="19"/>
      <c r="G686" s="21" t="s">
        <v>29</v>
      </c>
      <c r="H686" s="22" t="b">
        <v>0</v>
      </c>
      <c r="I686" s="22" t="b">
        <v>0</v>
      </c>
      <c r="J686" s="22" t="b">
        <v>0</v>
      </c>
      <c r="K686" s="22" t="b">
        <v>0</v>
      </c>
      <c r="L686" s="22" t="b">
        <v>0</v>
      </c>
      <c r="M686" s="21"/>
      <c r="N686" s="23">
        <v>0</v>
      </c>
      <c r="O686" s="24"/>
      <c r="P686" s="19"/>
      <c r="Q686" s="25"/>
      <c r="R686" s="25"/>
      <c r="S686" s="19"/>
      <c r="T686" s="26"/>
      <c r="U686" s="27" t="s">
        <v>21</v>
      </c>
      <c r="V686" s="28" t="s">
        <v>2732</v>
      </c>
      <c r="W686" s="29" t="s">
        <v>26</v>
      </c>
    </row>
    <row r="687" spans="1:23" ht="30" customHeight="1">
      <c r="A687" s="19" t="s">
        <v>5587</v>
      </c>
      <c r="B687" s="19" t="s">
        <v>5569</v>
      </c>
      <c r="C687" s="19"/>
      <c r="D687" s="19" t="s">
        <v>2735</v>
      </c>
      <c r="E687" s="20" t="s">
        <v>2736</v>
      </c>
      <c r="F687" s="19"/>
      <c r="G687" s="21" t="s">
        <v>22</v>
      </c>
      <c r="H687" s="22" t="b">
        <v>0</v>
      </c>
      <c r="I687" s="22" t="b">
        <v>0</v>
      </c>
      <c r="J687" s="22" t="b">
        <v>0</v>
      </c>
      <c r="K687" s="22" t="b">
        <v>0</v>
      </c>
      <c r="L687" s="22" t="b">
        <v>0</v>
      </c>
      <c r="M687" s="21"/>
      <c r="N687" s="23">
        <v>0</v>
      </c>
      <c r="O687" s="24"/>
      <c r="P687" s="19"/>
      <c r="Q687" s="25"/>
      <c r="R687" s="25"/>
      <c r="S687" s="19"/>
      <c r="T687" s="26"/>
      <c r="U687" s="27" t="s">
        <v>21</v>
      </c>
      <c r="V687" s="28" t="s">
        <v>361</v>
      </c>
      <c r="W687" s="29" t="s">
        <v>26</v>
      </c>
    </row>
    <row r="688" spans="1:23" ht="30" customHeight="1">
      <c r="A688" s="19" t="s">
        <v>5587</v>
      </c>
      <c r="B688" s="19" t="s">
        <v>5569</v>
      </c>
      <c r="C688" s="19"/>
      <c r="D688" s="19" t="s">
        <v>2739</v>
      </c>
      <c r="E688" s="20" t="s">
        <v>2740</v>
      </c>
      <c r="F688" s="19"/>
      <c r="G688" s="21" t="s">
        <v>22</v>
      </c>
      <c r="H688" s="22" t="b">
        <v>0</v>
      </c>
      <c r="I688" s="22" t="b">
        <v>0</v>
      </c>
      <c r="J688" s="22" t="b">
        <v>0</v>
      </c>
      <c r="K688" s="22" t="b">
        <v>0</v>
      </c>
      <c r="L688" s="22" t="b">
        <v>0</v>
      </c>
      <c r="M688" s="21"/>
      <c r="N688" s="23">
        <v>0</v>
      </c>
      <c r="O688" s="24"/>
      <c r="P688" s="19"/>
      <c r="Q688" s="25"/>
      <c r="R688" s="25"/>
      <c r="S688" s="19"/>
      <c r="T688" s="26"/>
      <c r="U688" s="27" t="s">
        <v>21</v>
      </c>
      <c r="V688" s="28" t="s">
        <v>361</v>
      </c>
      <c r="W688" s="29" t="s">
        <v>26</v>
      </c>
    </row>
    <row r="689" spans="1:23" ht="30" customHeight="1">
      <c r="A689" s="19" t="s">
        <v>5587</v>
      </c>
      <c r="B689" s="19" t="s">
        <v>5569</v>
      </c>
      <c r="C689" s="19"/>
      <c r="D689" s="19" t="s">
        <v>2743</v>
      </c>
      <c r="E689" s="20" t="s">
        <v>2744</v>
      </c>
      <c r="F689" s="19"/>
      <c r="G689" s="21" t="s">
        <v>22</v>
      </c>
      <c r="H689" s="22" t="b">
        <v>0</v>
      </c>
      <c r="I689" s="22" t="b">
        <v>0</v>
      </c>
      <c r="J689" s="22" t="b">
        <v>0</v>
      </c>
      <c r="K689" s="22" t="b">
        <v>0</v>
      </c>
      <c r="L689" s="22" t="b">
        <v>0</v>
      </c>
      <c r="M689" s="21"/>
      <c r="N689" s="23">
        <v>0</v>
      </c>
      <c r="O689" s="24"/>
      <c r="P689" s="19"/>
      <c r="Q689" s="25"/>
      <c r="R689" s="25"/>
      <c r="S689" s="19"/>
      <c r="T689" s="26"/>
      <c r="U689" s="27" t="s">
        <v>21</v>
      </c>
      <c r="V689" s="28" t="s">
        <v>2745</v>
      </c>
      <c r="W689" s="29" t="s">
        <v>26</v>
      </c>
    </row>
    <row r="690" spans="1:23" ht="30" customHeight="1">
      <c r="A690" s="19" t="s">
        <v>5587</v>
      </c>
      <c r="B690" s="19" t="s">
        <v>5569</v>
      </c>
      <c r="C690" s="19"/>
      <c r="D690" s="19" t="s">
        <v>2747</v>
      </c>
      <c r="E690" s="20" t="s">
        <v>2748</v>
      </c>
      <c r="F690" s="19"/>
      <c r="G690" s="21" t="s">
        <v>22</v>
      </c>
      <c r="H690" s="22" t="b">
        <v>0</v>
      </c>
      <c r="I690" s="22" t="b">
        <v>0</v>
      </c>
      <c r="J690" s="22" t="b">
        <v>0</v>
      </c>
      <c r="K690" s="22" t="b">
        <v>0</v>
      </c>
      <c r="L690" s="22" t="b">
        <v>0</v>
      </c>
      <c r="M690" s="21"/>
      <c r="N690" s="23">
        <v>0</v>
      </c>
      <c r="O690" s="24"/>
      <c r="P690" s="19"/>
      <c r="Q690" s="25"/>
      <c r="R690" s="25"/>
      <c r="S690" s="19"/>
      <c r="T690" s="26"/>
      <c r="U690" s="27" t="s">
        <v>21</v>
      </c>
      <c r="V690" s="28" t="s">
        <v>2749</v>
      </c>
      <c r="W690" s="29" t="s">
        <v>26</v>
      </c>
    </row>
    <row r="691" spans="1:23" ht="30" customHeight="1">
      <c r="A691" s="19" t="s">
        <v>5587</v>
      </c>
      <c r="B691" s="19" t="s">
        <v>5569</v>
      </c>
      <c r="C691" s="19"/>
      <c r="D691" s="19" t="s">
        <v>2751</v>
      </c>
      <c r="E691" s="20" t="s">
        <v>2752</v>
      </c>
      <c r="F691" s="19"/>
      <c r="G691" s="21" t="s">
        <v>22</v>
      </c>
      <c r="H691" s="22" t="b">
        <v>0</v>
      </c>
      <c r="I691" s="22" t="b">
        <v>0</v>
      </c>
      <c r="J691" s="22" t="b">
        <v>0</v>
      </c>
      <c r="K691" s="22" t="b">
        <v>0</v>
      </c>
      <c r="L691" s="22" t="b">
        <v>0</v>
      </c>
      <c r="M691" s="21"/>
      <c r="N691" s="23">
        <v>0</v>
      </c>
      <c r="O691" s="24"/>
      <c r="P691" s="19"/>
      <c r="Q691" s="25"/>
      <c r="R691" s="25"/>
      <c r="S691" s="19"/>
      <c r="T691" s="26"/>
      <c r="U691" s="27" t="s">
        <v>21</v>
      </c>
      <c r="V691" s="28" t="s">
        <v>2753</v>
      </c>
      <c r="W691" s="29" t="s">
        <v>26</v>
      </c>
    </row>
    <row r="692" spans="1:23" ht="30" customHeight="1">
      <c r="A692" s="19" t="s">
        <v>5588</v>
      </c>
      <c r="B692" s="19" t="s">
        <v>5569</v>
      </c>
      <c r="C692" s="19"/>
      <c r="D692" s="19" t="s">
        <v>2757</v>
      </c>
      <c r="E692" s="20" t="s">
        <v>2758</v>
      </c>
      <c r="F692" s="19"/>
      <c r="G692" s="21" t="s">
        <v>22</v>
      </c>
      <c r="H692" s="22" t="b">
        <v>0</v>
      </c>
      <c r="I692" s="22" t="b">
        <v>0</v>
      </c>
      <c r="J692" s="22" t="b">
        <v>0</v>
      </c>
      <c r="K692" s="22" t="b">
        <v>0</v>
      </c>
      <c r="L692" s="22" t="b">
        <v>0</v>
      </c>
      <c r="M692" s="21"/>
      <c r="N692" s="23">
        <v>0</v>
      </c>
      <c r="O692" s="24"/>
      <c r="P692" s="19"/>
      <c r="Q692" s="25"/>
      <c r="R692" s="25"/>
      <c r="S692" s="19"/>
      <c r="T692" s="26"/>
      <c r="U692" s="27" t="s">
        <v>21</v>
      </c>
      <c r="V692" s="28" t="s">
        <v>361</v>
      </c>
      <c r="W692" s="29" t="s">
        <v>26</v>
      </c>
    </row>
    <row r="693" spans="1:23" ht="30" customHeight="1">
      <c r="A693" s="19" t="s">
        <v>5588</v>
      </c>
      <c r="B693" s="19" t="s">
        <v>5569</v>
      </c>
      <c r="C693" s="19"/>
      <c r="D693" s="19" t="s">
        <v>2761</v>
      </c>
      <c r="E693" s="20" t="s">
        <v>2762</v>
      </c>
      <c r="F693" s="19"/>
      <c r="G693" s="21" t="s">
        <v>22</v>
      </c>
      <c r="H693" s="22" t="b">
        <v>0</v>
      </c>
      <c r="I693" s="22" t="b">
        <v>0</v>
      </c>
      <c r="J693" s="22" t="b">
        <v>0</v>
      </c>
      <c r="K693" s="22" t="b">
        <v>0</v>
      </c>
      <c r="L693" s="22" t="b">
        <v>0</v>
      </c>
      <c r="M693" s="21"/>
      <c r="N693" s="23">
        <v>0</v>
      </c>
      <c r="O693" s="24"/>
      <c r="P693" s="19"/>
      <c r="Q693" s="25"/>
      <c r="R693" s="25"/>
      <c r="S693" s="19"/>
      <c r="T693" s="26"/>
      <c r="U693" s="27" t="s">
        <v>21</v>
      </c>
      <c r="V693" s="28" t="s">
        <v>361</v>
      </c>
      <c r="W693" s="29" t="s">
        <v>26</v>
      </c>
    </row>
    <row r="694" spans="1:23" ht="30" customHeight="1">
      <c r="A694" s="19" t="s">
        <v>5588</v>
      </c>
      <c r="B694" s="19" t="s">
        <v>5569</v>
      </c>
      <c r="C694" s="19"/>
      <c r="D694" s="19" t="s">
        <v>2765</v>
      </c>
      <c r="E694" s="20" t="s">
        <v>2766</v>
      </c>
      <c r="F694" s="19"/>
      <c r="G694" s="21" t="s">
        <v>22</v>
      </c>
      <c r="H694" s="22" t="b">
        <v>0</v>
      </c>
      <c r="I694" s="22" t="b">
        <v>0</v>
      </c>
      <c r="J694" s="22" t="b">
        <v>0</v>
      </c>
      <c r="K694" s="22" t="b">
        <v>0</v>
      </c>
      <c r="L694" s="22" t="b">
        <v>0</v>
      </c>
      <c r="M694" s="21"/>
      <c r="N694" s="23">
        <v>0</v>
      </c>
      <c r="O694" s="24"/>
      <c r="P694" s="19"/>
      <c r="Q694" s="25"/>
      <c r="R694" s="25"/>
      <c r="S694" s="19"/>
      <c r="T694" s="26"/>
      <c r="U694" s="27" t="s">
        <v>21</v>
      </c>
      <c r="V694" s="28" t="s">
        <v>361</v>
      </c>
      <c r="W694" s="29" t="s">
        <v>26</v>
      </c>
    </row>
    <row r="695" spans="1:23" ht="30" customHeight="1">
      <c r="A695" s="19" t="s">
        <v>5588</v>
      </c>
      <c r="B695" s="19" t="s">
        <v>5569</v>
      </c>
      <c r="C695" s="19"/>
      <c r="D695" s="19" t="s">
        <v>2769</v>
      </c>
      <c r="E695" s="20" t="s">
        <v>2770</v>
      </c>
      <c r="F695" s="19"/>
      <c r="G695" s="21" t="s">
        <v>29</v>
      </c>
      <c r="H695" s="22" t="b">
        <v>0</v>
      </c>
      <c r="I695" s="22" t="b">
        <v>0</v>
      </c>
      <c r="J695" s="22" t="b">
        <v>0</v>
      </c>
      <c r="K695" s="22" t="b">
        <v>0</v>
      </c>
      <c r="L695" s="22" t="b">
        <v>0</v>
      </c>
      <c r="M695" s="21"/>
      <c r="N695" s="23">
        <v>0</v>
      </c>
      <c r="O695" s="24"/>
      <c r="P695" s="19"/>
      <c r="Q695" s="25"/>
      <c r="R695" s="25"/>
      <c r="S695" s="19"/>
      <c r="T695" s="26"/>
      <c r="U695" s="27" t="s">
        <v>21</v>
      </c>
      <c r="V695" s="28" t="s">
        <v>2771</v>
      </c>
      <c r="W695" s="29" t="s">
        <v>26</v>
      </c>
    </row>
    <row r="696" spans="1:23" ht="30" customHeight="1">
      <c r="A696" s="19" t="s">
        <v>5588</v>
      </c>
      <c r="B696" s="19" t="s">
        <v>5569</v>
      </c>
      <c r="C696" s="19"/>
      <c r="D696" s="19" t="s">
        <v>2774</v>
      </c>
      <c r="E696" s="20" t="s">
        <v>2775</v>
      </c>
      <c r="F696" s="19"/>
      <c r="G696" s="21" t="s">
        <v>22</v>
      </c>
      <c r="H696" s="22" t="b">
        <v>0</v>
      </c>
      <c r="I696" s="22" t="b">
        <v>0</v>
      </c>
      <c r="J696" s="22" t="b">
        <v>0</v>
      </c>
      <c r="K696" s="22" t="b">
        <v>0</v>
      </c>
      <c r="L696" s="22" t="b">
        <v>0</v>
      </c>
      <c r="M696" s="21"/>
      <c r="N696" s="23">
        <v>0</v>
      </c>
      <c r="O696" s="24"/>
      <c r="P696" s="19"/>
      <c r="Q696" s="25"/>
      <c r="R696" s="25"/>
      <c r="S696" s="19"/>
      <c r="T696" s="26"/>
      <c r="U696" s="27" t="s">
        <v>21</v>
      </c>
      <c r="V696" s="28" t="s">
        <v>2776</v>
      </c>
      <c r="W696" s="29" t="s">
        <v>26</v>
      </c>
    </row>
    <row r="697" spans="1:23" ht="30" customHeight="1">
      <c r="A697" s="19" t="s">
        <v>5588</v>
      </c>
      <c r="B697" s="19" t="s">
        <v>5569</v>
      </c>
      <c r="C697" s="19"/>
      <c r="D697" s="19" t="s">
        <v>2778</v>
      </c>
      <c r="E697" s="20" t="s">
        <v>2779</v>
      </c>
      <c r="F697" s="19"/>
      <c r="G697" s="21" t="s">
        <v>22</v>
      </c>
      <c r="H697" s="22" t="b">
        <v>0</v>
      </c>
      <c r="I697" s="22" t="b">
        <v>0</v>
      </c>
      <c r="J697" s="22" t="b">
        <v>0</v>
      </c>
      <c r="K697" s="22" t="b">
        <v>0</v>
      </c>
      <c r="L697" s="22" t="b">
        <v>0</v>
      </c>
      <c r="M697" s="21"/>
      <c r="N697" s="23">
        <v>0</v>
      </c>
      <c r="O697" s="24"/>
      <c r="P697" s="19"/>
      <c r="Q697" s="25"/>
      <c r="R697" s="25"/>
      <c r="S697" s="19"/>
      <c r="T697" s="26"/>
      <c r="U697" s="27" t="s">
        <v>21</v>
      </c>
      <c r="V697" s="28" t="s">
        <v>2780</v>
      </c>
      <c r="W697" s="29" t="s">
        <v>26</v>
      </c>
    </row>
    <row r="698" spans="1:23" ht="30" customHeight="1">
      <c r="A698" s="19" t="s">
        <v>5588</v>
      </c>
      <c r="B698" s="19" t="s">
        <v>5569</v>
      </c>
      <c r="C698" s="19"/>
      <c r="D698" s="19" t="s">
        <v>2782</v>
      </c>
      <c r="E698" s="20" t="s">
        <v>2783</v>
      </c>
      <c r="F698" s="19"/>
      <c r="G698" s="21" t="s">
        <v>22</v>
      </c>
      <c r="H698" s="22" t="b">
        <v>0</v>
      </c>
      <c r="I698" s="22" t="b">
        <v>0</v>
      </c>
      <c r="J698" s="22" t="b">
        <v>0</v>
      </c>
      <c r="K698" s="22" t="b">
        <v>0</v>
      </c>
      <c r="L698" s="22" t="b">
        <v>0</v>
      </c>
      <c r="M698" s="21"/>
      <c r="N698" s="23">
        <v>0</v>
      </c>
      <c r="O698" s="24"/>
      <c r="P698" s="19"/>
      <c r="Q698" s="25"/>
      <c r="R698" s="25"/>
      <c r="S698" s="19"/>
      <c r="T698" s="26"/>
      <c r="U698" s="27" t="s">
        <v>21</v>
      </c>
      <c r="V698" s="28" t="s">
        <v>2784</v>
      </c>
      <c r="W698" s="29" t="s">
        <v>26</v>
      </c>
    </row>
    <row r="699" spans="1:23" ht="30" customHeight="1">
      <c r="A699" s="19" t="s">
        <v>5588</v>
      </c>
      <c r="B699" s="19" t="s">
        <v>5569</v>
      </c>
      <c r="C699" s="19"/>
      <c r="D699" s="19" t="s">
        <v>2786</v>
      </c>
      <c r="E699" s="20" t="s">
        <v>2787</v>
      </c>
      <c r="F699" s="19"/>
      <c r="G699" s="21" t="s">
        <v>22</v>
      </c>
      <c r="H699" s="22" t="b">
        <v>0</v>
      </c>
      <c r="I699" s="22" t="b">
        <v>0</v>
      </c>
      <c r="J699" s="22" t="b">
        <v>0</v>
      </c>
      <c r="K699" s="22" t="b">
        <v>0</v>
      </c>
      <c r="L699" s="22" t="b">
        <v>0</v>
      </c>
      <c r="M699" s="21"/>
      <c r="N699" s="23">
        <v>0</v>
      </c>
      <c r="O699" s="24"/>
      <c r="P699" s="19"/>
      <c r="Q699" s="25"/>
      <c r="R699" s="25"/>
      <c r="S699" s="19"/>
      <c r="T699" s="26"/>
      <c r="U699" s="27" t="s">
        <v>21</v>
      </c>
      <c r="V699" s="28" t="s">
        <v>2788</v>
      </c>
      <c r="W699" s="29" t="s">
        <v>26</v>
      </c>
    </row>
    <row r="700" spans="1:23" ht="30" customHeight="1">
      <c r="A700" s="19" t="s">
        <v>5588</v>
      </c>
      <c r="B700" s="19" t="s">
        <v>5569</v>
      </c>
      <c r="C700" s="19"/>
      <c r="D700" s="19" t="s">
        <v>2791</v>
      </c>
      <c r="E700" s="20" t="s">
        <v>109</v>
      </c>
      <c r="F700" s="19"/>
      <c r="G700" s="21" t="s">
        <v>22</v>
      </c>
      <c r="H700" s="22" t="b">
        <v>0</v>
      </c>
      <c r="I700" s="22" t="b">
        <v>0</v>
      </c>
      <c r="J700" s="22" t="b">
        <v>0</v>
      </c>
      <c r="K700" s="22" t="b">
        <v>0</v>
      </c>
      <c r="L700" s="22" t="b">
        <v>0</v>
      </c>
      <c r="M700" s="21"/>
      <c r="N700" s="23">
        <v>0</v>
      </c>
      <c r="O700" s="24"/>
      <c r="P700" s="19"/>
      <c r="Q700" s="25"/>
      <c r="R700" s="25"/>
      <c r="S700" s="19"/>
      <c r="T700" s="26"/>
      <c r="U700" s="31" t="s">
        <v>110</v>
      </c>
      <c r="V700" s="28" t="s">
        <v>2792</v>
      </c>
      <c r="W700" s="29" t="s">
        <v>26</v>
      </c>
    </row>
    <row r="701" spans="1:23" ht="30" customHeight="1">
      <c r="A701" s="19" t="s">
        <v>5588</v>
      </c>
      <c r="B701" s="19" t="s">
        <v>5569</v>
      </c>
      <c r="C701" s="19"/>
      <c r="D701" s="19" t="s">
        <v>2795</v>
      </c>
      <c r="E701" s="20" t="s">
        <v>2796</v>
      </c>
      <c r="F701" s="19"/>
      <c r="G701" s="21" t="s">
        <v>29</v>
      </c>
      <c r="H701" s="22" t="b">
        <v>0</v>
      </c>
      <c r="I701" s="22" t="b">
        <v>0</v>
      </c>
      <c r="J701" s="22" t="b">
        <v>0</v>
      </c>
      <c r="K701" s="22" t="b">
        <v>0</v>
      </c>
      <c r="L701" s="22" t="b">
        <v>0</v>
      </c>
      <c r="M701" s="21"/>
      <c r="N701" s="23">
        <v>0</v>
      </c>
      <c r="O701" s="24"/>
      <c r="P701" s="19"/>
      <c r="Q701" s="25"/>
      <c r="R701" s="25"/>
      <c r="S701" s="19"/>
      <c r="T701" s="26"/>
      <c r="U701" s="27" t="s">
        <v>21</v>
      </c>
      <c r="V701" s="28" t="s">
        <v>370</v>
      </c>
      <c r="W701" s="29" t="s">
        <v>26</v>
      </c>
    </row>
    <row r="702" spans="1:23" ht="30" customHeight="1">
      <c r="A702" s="19" t="s">
        <v>5588</v>
      </c>
      <c r="B702" s="19" t="s">
        <v>5569</v>
      </c>
      <c r="C702" s="19"/>
      <c r="D702" s="19" t="s">
        <v>2799</v>
      </c>
      <c r="E702" s="20" t="s">
        <v>2800</v>
      </c>
      <c r="F702" s="19"/>
      <c r="G702" s="21" t="s">
        <v>22</v>
      </c>
      <c r="H702" s="22" t="b">
        <v>0</v>
      </c>
      <c r="I702" s="22" t="b">
        <v>0</v>
      </c>
      <c r="J702" s="22" t="b">
        <v>0</v>
      </c>
      <c r="K702" s="22" t="b">
        <v>0</v>
      </c>
      <c r="L702" s="22" t="b">
        <v>0</v>
      </c>
      <c r="M702" s="21"/>
      <c r="N702" s="23">
        <v>0</v>
      </c>
      <c r="O702" s="24"/>
      <c r="P702" s="19"/>
      <c r="Q702" s="25"/>
      <c r="R702" s="25"/>
      <c r="S702" s="19"/>
      <c r="T702" s="26"/>
      <c r="U702" s="27" t="s">
        <v>21</v>
      </c>
      <c r="V702" s="28" t="s">
        <v>2610</v>
      </c>
      <c r="W702" s="29" t="s">
        <v>26</v>
      </c>
    </row>
    <row r="703" spans="1:23" ht="30" customHeight="1">
      <c r="A703" s="19" t="s">
        <v>5588</v>
      </c>
      <c r="B703" s="19" t="s">
        <v>5569</v>
      </c>
      <c r="C703" s="19"/>
      <c r="D703" s="19" t="s">
        <v>2803</v>
      </c>
      <c r="E703" s="20" t="s">
        <v>2804</v>
      </c>
      <c r="F703" s="19"/>
      <c r="G703" s="21" t="s">
        <v>22</v>
      </c>
      <c r="H703" s="22" t="b">
        <v>0</v>
      </c>
      <c r="I703" s="22" t="b">
        <v>0</v>
      </c>
      <c r="J703" s="22" t="b">
        <v>0</v>
      </c>
      <c r="K703" s="22" t="b">
        <v>0</v>
      </c>
      <c r="L703" s="22" t="b">
        <v>0</v>
      </c>
      <c r="M703" s="21"/>
      <c r="N703" s="23">
        <v>0</v>
      </c>
      <c r="O703" s="24"/>
      <c r="P703" s="19"/>
      <c r="Q703" s="25"/>
      <c r="R703" s="25"/>
      <c r="S703" s="19"/>
      <c r="T703" s="26"/>
      <c r="U703" s="27" t="s">
        <v>21</v>
      </c>
      <c r="V703" s="28" t="s">
        <v>296</v>
      </c>
      <c r="W703" s="29" t="s">
        <v>26</v>
      </c>
    </row>
    <row r="704" spans="1:23" ht="30" customHeight="1">
      <c r="A704" s="19" t="s">
        <v>5588</v>
      </c>
      <c r="B704" s="19" t="s">
        <v>5569</v>
      </c>
      <c r="C704" s="19"/>
      <c r="D704" s="19" t="s">
        <v>2806</v>
      </c>
      <c r="E704" s="20" t="s">
        <v>2807</v>
      </c>
      <c r="F704" s="19"/>
      <c r="G704" s="21" t="s">
        <v>22</v>
      </c>
      <c r="H704" s="22" t="b">
        <v>0</v>
      </c>
      <c r="I704" s="22" t="b">
        <v>0</v>
      </c>
      <c r="J704" s="22" t="b">
        <v>0</v>
      </c>
      <c r="K704" s="22" t="b">
        <v>0</v>
      </c>
      <c r="L704" s="22" t="b">
        <v>0</v>
      </c>
      <c r="M704" s="21"/>
      <c r="N704" s="23">
        <v>0</v>
      </c>
      <c r="O704" s="24"/>
      <c r="P704" s="19"/>
      <c r="Q704" s="25"/>
      <c r="R704" s="25"/>
      <c r="S704" s="19"/>
      <c r="T704" s="26"/>
      <c r="U704" s="27" t="s">
        <v>21</v>
      </c>
      <c r="V704" s="28" t="s">
        <v>2808</v>
      </c>
      <c r="W704" s="29" t="s">
        <v>26</v>
      </c>
    </row>
    <row r="705" spans="1:23" ht="30" customHeight="1">
      <c r="A705" s="19" t="s">
        <v>5588</v>
      </c>
      <c r="B705" s="19" t="s">
        <v>5569</v>
      </c>
      <c r="C705" s="19"/>
      <c r="D705" s="19" t="s">
        <v>2810</v>
      </c>
      <c r="E705" s="20" t="s">
        <v>2811</v>
      </c>
      <c r="F705" s="19"/>
      <c r="G705" s="21" t="s">
        <v>22</v>
      </c>
      <c r="H705" s="22" t="b">
        <v>0</v>
      </c>
      <c r="I705" s="22" t="b">
        <v>0</v>
      </c>
      <c r="J705" s="22" t="b">
        <v>0</v>
      </c>
      <c r="K705" s="22" t="b">
        <v>0</v>
      </c>
      <c r="L705" s="22" t="b">
        <v>0</v>
      </c>
      <c r="M705" s="21"/>
      <c r="N705" s="23">
        <v>0</v>
      </c>
      <c r="O705" s="24"/>
      <c r="P705" s="19"/>
      <c r="Q705" s="25"/>
      <c r="R705" s="25"/>
      <c r="S705" s="19"/>
      <c r="T705" s="26"/>
      <c r="U705" s="27" t="s">
        <v>21</v>
      </c>
      <c r="V705" s="28" t="s">
        <v>2812</v>
      </c>
      <c r="W705" s="29" t="s">
        <v>26</v>
      </c>
    </row>
    <row r="706" spans="1:23" ht="30" customHeight="1">
      <c r="A706" s="19" t="s">
        <v>5588</v>
      </c>
      <c r="B706" s="19" t="s">
        <v>5569</v>
      </c>
      <c r="C706" s="19"/>
      <c r="D706" s="19" t="s">
        <v>2814</v>
      </c>
      <c r="E706" s="20" t="s">
        <v>2815</v>
      </c>
      <c r="F706" s="19"/>
      <c r="G706" s="21" t="s">
        <v>22</v>
      </c>
      <c r="H706" s="22" t="b">
        <v>0</v>
      </c>
      <c r="I706" s="22" t="b">
        <v>0</v>
      </c>
      <c r="J706" s="22" t="b">
        <v>0</v>
      </c>
      <c r="K706" s="22" t="b">
        <v>0</v>
      </c>
      <c r="L706" s="22" t="b">
        <v>0</v>
      </c>
      <c r="M706" s="21"/>
      <c r="N706" s="23">
        <v>0</v>
      </c>
      <c r="O706" s="24"/>
      <c r="P706" s="19"/>
      <c r="Q706" s="25"/>
      <c r="R706" s="25"/>
      <c r="S706" s="19"/>
      <c r="T706" s="26"/>
      <c r="U706" s="27" t="s">
        <v>21</v>
      </c>
      <c r="V706" s="28" t="s">
        <v>507</v>
      </c>
      <c r="W706" s="29" t="s">
        <v>26</v>
      </c>
    </row>
    <row r="707" spans="1:23" ht="30" customHeight="1">
      <c r="A707" s="19" t="s">
        <v>5588</v>
      </c>
      <c r="B707" s="19" t="s">
        <v>5569</v>
      </c>
      <c r="C707" s="19"/>
      <c r="D707" s="19" t="s">
        <v>2817</v>
      </c>
      <c r="E707" s="20" t="s">
        <v>2818</v>
      </c>
      <c r="F707" s="19"/>
      <c r="G707" s="21" t="s">
        <v>22</v>
      </c>
      <c r="H707" s="22" t="b">
        <v>0</v>
      </c>
      <c r="I707" s="22" t="b">
        <v>0</v>
      </c>
      <c r="J707" s="22" t="b">
        <v>0</v>
      </c>
      <c r="K707" s="22" t="b">
        <v>0</v>
      </c>
      <c r="L707" s="22" t="b">
        <v>0</v>
      </c>
      <c r="M707" s="21"/>
      <c r="N707" s="23">
        <v>0</v>
      </c>
      <c r="O707" s="24"/>
      <c r="P707" s="19"/>
      <c r="Q707" s="25"/>
      <c r="R707" s="25"/>
      <c r="S707" s="19"/>
      <c r="T707" s="26"/>
      <c r="U707" s="27" t="s">
        <v>21</v>
      </c>
      <c r="V707" s="28" t="s">
        <v>2819</v>
      </c>
      <c r="W707" s="29" t="s">
        <v>26</v>
      </c>
    </row>
    <row r="708" spans="1:23" ht="30" customHeight="1">
      <c r="A708" s="19" t="s">
        <v>5588</v>
      </c>
      <c r="B708" s="19" t="s">
        <v>5569</v>
      </c>
      <c r="C708" s="19"/>
      <c r="D708" s="19" t="s">
        <v>2821</v>
      </c>
      <c r="E708" s="20" t="s">
        <v>2822</v>
      </c>
      <c r="F708" s="19"/>
      <c r="G708" s="21" t="s">
        <v>29</v>
      </c>
      <c r="H708" s="22" t="b">
        <v>0</v>
      </c>
      <c r="I708" s="22" t="b">
        <v>0</v>
      </c>
      <c r="J708" s="22" t="b">
        <v>0</v>
      </c>
      <c r="K708" s="22" t="b">
        <v>0</v>
      </c>
      <c r="L708" s="22" t="b">
        <v>0</v>
      </c>
      <c r="M708" s="21"/>
      <c r="N708" s="23">
        <v>0</v>
      </c>
      <c r="O708" s="24"/>
      <c r="P708" s="19"/>
      <c r="Q708" s="25"/>
      <c r="R708" s="25"/>
      <c r="S708" s="19"/>
      <c r="T708" s="26"/>
      <c r="U708" s="27" t="s">
        <v>21</v>
      </c>
      <c r="V708" s="28" t="s">
        <v>2823</v>
      </c>
      <c r="W708" s="29" t="s">
        <v>26</v>
      </c>
    </row>
    <row r="709" spans="1:23" ht="30" customHeight="1">
      <c r="A709" s="19" t="s">
        <v>5588</v>
      </c>
      <c r="B709" s="19" t="s">
        <v>5569</v>
      </c>
      <c r="C709" s="19"/>
      <c r="D709" s="19" t="s">
        <v>2825</v>
      </c>
      <c r="E709" s="20" t="s">
        <v>2826</v>
      </c>
      <c r="F709" s="19"/>
      <c r="G709" s="21" t="s">
        <v>29</v>
      </c>
      <c r="H709" s="22" t="b">
        <v>0</v>
      </c>
      <c r="I709" s="22" t="b">
        <v>0</v>
      </c>
      <c r="J709" s="22" t="b">
        <v>0</v>
      </c>
      <c r="K709" s="22" t="b">
        <v>0</v>
      </c>
      <c r="L709" s="22" t="b">
        <v>0</v>
      </c>
      <c r="M709" s="21"/>
      <c r="N709" s="23">
        <v>0</v>
      </c>
      <c r="O709" s="24"/>
      <c r="P709" s="19"/>
      <c r="Q709" s="25"/>
      <c r="R709" s="25"/>
      <c r="S709" s="19"/>
      <c r="T709" s="26"/>
      <c r="U709" s="27" t="s">
        <v>21</v>
      </c>
      <c r="V709" s="28" t="s">
        <v>2827</v>
      </c>
      <c r="W709" s="29" t="s">
        <v>26</v>
      </c>
    </row>
    <row r="710" spans="1:23" ht="30" customHeight="1">
      <c r="A710" s="19" t="s">
        <v>5588</v>
      </c>
      <c r="B710" s="19" t="s">
        <v>5569</v>
      </c>
      <c r="C710" s="19"/>
      <c r="D710" s="19" t="s">
        <v>2829</v>
      </c>
      <c r="E710" s="20" t="s">
        <v>2830</v>
      </c>
      <c r="F710" s="19"/>
      <c r="G710" s="21" t="s">
        <v>29</v>
      </c>
      <c r="H710" s="22" t="b">
        <v>0</v>
      </c>
      <c r="I710" s="22" t="b">
        <v>0</v>
      </c>
      <c r="J710" s="22" t="b">
        <v>0</v>
      </c>
      <c r="K710" s="22" t="b">
        <v>0</v>
      </c>
      <c r="L710" s="22" t="b">
        <v>0</v>
      </c>
      <c r="M710" s="21"/>
      <c r="N710" s="23">
        <v>0</v>
      </c>
      <c r="O710" s="24"/>
      <c r="P710" s="19"/>
      <c r="Q710" s="25"/>
      <c r="R710" s="25"/>
      <c r="S710" s="19"/>
      <c r="T710" s="26"/>
      <c r="U710" s="27" t="s">
        <v>21</v>
      </c>
      <c r="V710" s="28" t="s">
        <v>361</v>
      </c>
      <c r="W710" s="29" t="s">
        <v>26</v>
      </c>
    </row>
    <row r="711" spans="1:23" ht="30" customHeight="1">
      <c r="A711" s="19" t="s">
        <v>5589</v>
      </c>
      <c r="B711" s="19" t="s">
        <v>5569</v>
      </c>
      <c r="C711" s="19"/>
      <c r="D711" s="19" t="s">
        <v>2834</v>
      </c>
      <c r="E711" s="20" t="s">
        <v>2835</v>
      </c>
      <c r="F711" s="19"/>
      <c r="G711" s="21" t="s">
        <v>22</v>
      </c>
      <c r="H711" s="22" t="b">
        <v>0</v>
      </c>
      <c r="I711" s="22" t="b">
        <v>0</v>
      </c>
      <c r="J711" s="22" t="b">
        <v>0</v>
      </c>
      <c r="K711" s="22" t="b">
        <v>0</v>
      </c>
      <c r="L711" s="22" t="b">
        <v>0</v>
      </c>
      <c r="M711" s="21"/>
      <c r="N711" s="23">
        <v>0</v>
      </c>
      <c r="O711" s="24"/>
      <c r="P711" s="19"/>
      <c r="Q711" s="25"/>
      <c r="R711" s="25"/>
      <c r="S711" s="19"/>
      <c r="T711" s="26"/>
      <c r="U711" s="27" t="s">
        <v>21</v>
      </c>
      <c r="V711" s="28" t="s">
        <v>1955</v>
      </c>
      <c r="W711" s="29" t="s">
        <v>26</v>
      </c>
    </row>
    <row r="712" spans="1:23" ht="30" customHeight="1">
      <c r="A712" s="19" t="s">
        <v>5589</v>
      </c>
      <c r="B712" s="19" t="s">
        <v>5569</v>
      </c>
      <c r="C712" s="19"/>
      <c r="D712" s="19" t="s">
        <v>2838</v>
      </c>
      <c r="E712" s="20" t="s">
        <v>2839</v>
      </c>
      <c r="F712" s="19"/>
      <c r="G712" s="21" t="s">
        <v>22</v>
      </c>
      <c r="H712" s="22" t="b">
        <v>0</v>
      </c>
      <c r="I712" s="22" t="b">
        <v>0</v>
      </c>
      <c r="J712" s="22" t="b">
        <v>0</v>
      </c>
      <c r="K712" s="22" t="b">
        <v>0</v>
      </c>
      <c r="L712" s="22" t="b">
        <v>0</v>
      </c>
      <c r="M712" s="21"/>
      <c r="N712" s="23">
        <v>0</v>
      </c>
      <c r="O712" s="24"/>
      <c r="P712" s="19"/>
      <c r="Q712" s="25"/>
      <c r="R712" s="25"/>
      <c r="S712" s="19"/>
      <c r="T712" s="26"/>
      <c r="U712" s="27" t="s">
        <v>21</v>
      </c>
      <c r="V712" s="28" t="s">
        <v>2840</v>
      </c>
      <c r="W712" s="29" t="s">
        <v>26</v>
      </c>
    </row>
    <row r="713" spans="1:23" ht="30" customHeight="1">
      <c r="A713" s="19" t="s">
        <v>5589</v>
      </c>
      <c r="B713" s="19" t="s">
        <v>5569</v>
      </c>
      <c r="C713" s="19"/>
      <c r="D713" s="19" t="s">
        <v>2842</v>
      </c>
      <c r="E713" s="20" t="s">
        <v>2843</v>
      </c>
      <c r="F713" s="19"/>
      <c r="G713" s="21" t="s">
        <v>22</v>
      </c>
      <c r="H713" s="22" t="b">
        <v>0</v>
      </c>
      <c r="I713" s="22" t="b">
        <v>0</v>
      </c>
      <c r="J713" s="22" t="b">
        <v>0</v>
      </c>
      <c r="K713" s="22" t="b">
        <v>0</v>
      </c>
      <c r="L713" s="22" t="b">
        <v>0</v>
      </c>
      <c r="M713" s="21"/>
      <c r="N713" s="23">
        <v>0</v>
      </c>
      <c r="O713" s="24"/>
      <c r="P713" s="19"/>
      <c r="Q713" s="25"/>
      <c r="R713" s="25"/>
      <c r="S713" s="19"/>
      <c r="T713" s="26"/>
      <c r="U713" s="27" t="s">
        <v>21</v>
      </c>
      <c r="V713" s="28" t="s">
        <v>2844</v>
      </c>
      <c r="W713" s="29" t="s">
        <v>26</v>
      </c>
    </row>
    <row r="714" spans="1:23" ht="30" customHeight="1">
      <c r="A714" s="19" t="s">
        <v>5589</v>
      </c>
      <c r="B714" s="19" t="s">
        <v>5569</v>
      </c>
      <c r="C714" s="19"/>
      <c r="D714" s="19" t="s">
        <v>2846</v>
      </c>
      <c r="E714" s="20" t="s">
        <v>2847</v>
      </c>
      <c r="F714" s="19"/>
      <c r="G714" s="21" t="s">
        <v>29</v>
      </c>
      <c r="H714" s="22" t="b">
        <v>0</v>
      </c>
      <c r="I714" s="22" t="b">
        <v>0</v>
      </c>
      <c r="J714" s="22" t="b">
        <v>0</v>
      </c>
      <c r="K714" s="22" t="b">
        <v>0</v>
      </c>
      <c r="L714" s="22" t="b">
        <v>0</v>
      </c>
      <c r="M714" s="21"/>
      <c r="N714" s="23">
        <v>0</v>
      </c>
      <c r="O714" s="24"/>
      <c r="P714" s="19"/>
      <c r="Q714" s="25"/>
      <c r="R714" s="25"/>
      <c r="S714" s="19"/>
      <c r="T714" s="26"/>
      <c r="U714" s="27" t="s">
        <v>21</v>
      </c>
      <c r="V714" s="28" t="s">
        <v>2848</v>
      </c>
      <c r="W714" s="29" t="s">
        <v>26</v>
      </c>
    </row>
    <row r="715" spans="1:23" ht="30" customHeight="1">
      <c r="A715" s="19" t="s">
        <v>5589</v>
      </c>
      <c r="B715" s="19" t="s">
        <v>5569</v>
      </c>
      <c r="C715" s="19"/>
      <c r="D715" s="19" t="s">
        <v>2851</v>
      </c>
      <c r="E715" s="20" t="s">
        <v>2852</v>
      </c>
      <c r="F715" s="19"/>
      <c r="G715" s="21" t="s">
        <v>29</v>
      </c>
      <c r="H715" s="22" t="b">
        <v>0</v>
      </c>
      <c r="I715" s="22" t="b">
        <v>0</v>
      </c>
      <c r="J715" s="22" t="b">
        <v>0</v>
      </c>
      <c r="K715" s="22" t="b">
        <v>0</v>
      </c>
      <c r="L715" s="22" t="b">
        <v>0</v>
      </c>
      <c r="M715" s="21"/>
      <c r="N715" s="23">
        <v>0</v>
      </c>
      <c r="O715" s="24"/>
      <c r="P715" s="19"/>
      <c r="Q715" s="25"/>
      <c r="R715" s="25"/>
      <c r="S715" s="19"/>
      <c r="T715" s="26"/>
      <c r="U715" s="27" t="s">
        <v>21</v>
      </c>
      <c r="V715" s="28" t="s">
        <v>370</v>
      </c>
      <c r="W715" s="29" t="s">
        <v>26</v>
      </c>
    </row>
    <row r="716" spans="1:23" ht="30" customHeight="1">
      <c r="A716" s="19" t="s">
        <v>5589</v>
      </c>
      <c r="B716" s="19" t="s">
        <v>5569</v>
      </c>
      <c r="C716" s="19"/>
      <c r="D716" s="19" t="s">
        <v>2855</v>
      </c>
      <c r="E716" s="20" t="s">
        <v>2856</v>
      </c>
      <c r="F716" s="19"/>
      <c r="G716" s="21" t="s">
        <v>29</v>
      </c>
      <c r="H716" s="22" t="b">
        <v>0</v>
      </c>
      <c r="I716" s="22" t="b">
        <v>0</v>
      </c>
      <c r="J716" s="22" t="b">
        <v>0</v>
      </c>
      <c r="K716" s="22" t="b">
        <v>0</v>
      </c>
      <c r="L716" s="22" t="b">
        <v>0</v>
      </c>
      <c r="M716" s="21"/>
      <c r="N716" s="23">
        <v>0</v>
      </c>
      <c r="O716" s="24"/>
      <c r="P716" s="19"/>
      <c r="Q716" s="25"/>
      <c r="R716" s="25"/>
      <c r="S716" s="19"/>
      <c r="T716" s="26"/>
      <c r="U716" s="27" t="s">
        <v>21</v>
      </c>
      <c r="V716" s="28" t="s">
        <v>2857</v>
      </c>
      <c r="W716" s="29" t="s">
        <v>26</v>
      </c>
    </row>
    <row r="717" spans="1:23" ht="30" customHeight="1">
      <c r="A717" s="19" t="s">
        <v>5589</v>
      </c>
      <c r="B717" s="19" t="s">
        <v>5569</v>
      </c>
      <c r="C717" s="19"/>
      <c r="D717" s="19" t="s">
        <v>2859</v>
      </c>
      <c r="E717" s="20" t="s">
        <v>2860</v>
      </c>
      <c r="F717" s="19"/>
      <c r="G717" s="21" t="s">
        <v>22</v>
      </c>
      <c r="H717" s="22" t="b">
        <v>0</v>
      </c>
      <c r="I717" s="22" t="b">
        <v>0</v>
      </c>
      <c r="J717" s="22" t="b">
        <v>0</v>
      </c>
      <c r="K717" s="22" t="b">
        <v>0</v>
      </c>
      <c r="L717" s="22" t="b">
        <v>0</v>
      </c>
      <c r="M717" s="21"/>
      <c r="N717" s="23">
        <v>0</v>
      </c>
      <c r="O717" s="24"/>
      <c r="P717" s="19"/>
      <c r="Q717" s="25"/>
      <c r="R717" s="25"/>
      <c r="S717" s="19"/>
      <c r="T717" s="26"/>
      <c r="U717" s="27" t="s">
        <v>21</v>
      </c>
      <c r="V717" s="28" t="s">
        <v>361</v>
      </c>
      <c r="W717" s="29" t="s">
        <v>26</v>
      </c>
    </row>
    <row r="718" spans="1:23" ht="30" customHeight="1">
      <c r="A718" s="19" t="s">
        <v>5589</v>
      </c>
      <c r="B718" s="19" t="s">
        <v>5569</v>
      </c>
      <c r="C718" s="19"/>
      <c r="D718" s="19" t="s">
        <v>2862</v>
      </c>
      <c r="E718" s="20" t="s">
        <v>2863</v>
      </c>
      <c r="F718" s="19"/>
      <c r="G718" s="21" t="s">
        <v>29</v>
      </c>
      <c r="H718" s="22" t="b">
        <v>0</v>
      </c>
      <c r="I718" s="22" t="b">
        <v>0</v>
      </c>
      <c r="J718" s="22" t="b">
        <v>0</v>
      </c>
      <c r="K718" s="22" t="b">
        <v>0</v>
      </c>
      <c r="L718" s="22" t="b">
        <v>0</v>
      </c>
      <c r="M718" s="21"/>
      <c r="N718" s="23">
        <v>0</v>
      </c>
      <c r="O718" s="24"/>
      <c r="P718" s="19"/>
      <c r="Q718" s="25"/>
      <c r="R718" s="25"/>
      <c r="S718" s="19"/>
      <c r="T718" s="26"/>
      <c r="U718" s="27" t="s">
        <v>21</v>
      </c>
      <c r="V718" s="28" t="s">
        <v>2864</v>
      </c>
      <c r="W718" s="29" t="s">
        <v>26</v>
      </c>
    </row>
    <row r="719" spans="1:23" ht="30" customHeight="1">
      <c r="A719" s="19" t="s">
        <v>5589</v>
      </c>
      <c r="B719" s="19" t="s">
        <v>5569</v>
      </c>
      <c r="C719" s="19"/>
      <c r="D719" s="19" t="s">
        <v>2866</v>
      </c>
      <c r="E719" s="20" t="s">
        <v>2867</v>
      </c>
      <c r="F719" s="19"/>
      <c r="G719" s="21" t="s">
        <v>29</v>
      </c>
      <c r="H719" s="22" t="b">
        <v>0</v>
      </c>
      <c r="I719" s="22" t="b">
        <v>0</v>
      </c>
      <c r="J719" s="22" t="b">
        <v>0</v>
      </c>
      <c r="K719" s="22" t="b">
        <v>0</v>
      </c>
      <c r="L719" s="22" t="b">
        <v>0</v>
      </c>
      <c r="M719" s="21"/>
      <c r="N719" s="23">
        <v>0</v>
      </c>
      <c r="O719" s="24"/>
      <c r="P719" s="19"/>
      <c r="Q719" s="25"/>
      <c r="R719" s="25"/>
      <c r="S719" s="19"/>
      <c r="T719" s="26"/>
      <c r="U719" s="27" t="s">
        <v>21</v>
      </c>
      <c r="V719" s="28" t="s">
        <v>361</v>
      </c>
      <c r="W719" s="29" t="s">
        <v>26</v>
      </c>
    </row>
    <row r="720" spans="1:23" ht="30" customHeight="1">
      <c r="A720" s="19" t="s">
        <v>5589</v>
      </c>
      <c r="B720" s="19" t="s">
        <v>5569</v>
      </c>
      <c r="C720" s="19"/>
      <c r="D720" s="19" t="s">
        <v>2869</v>
      </c>
      <c r="E720" s="20" t="s">
        <v>2870</v>
      </c>
      <c r="F720" s="19"/>
      <c r="G720" s="21" t="s">
        <v>22</v>
      </c>
      <c r="H720" s="22" t="b">
        <v>0</v>
      </c>
      <c r="I720" s="22" t="b">
        <v>0</v>
      </c>
      <c r="J720" s="22" t="b">
        <v>0</v>
      </c>
      <c r="K720" s="22" t="b">
        <v>0</v>
      </c>
      <c r="L720" s="22" t="b">
        <v>0</v>
      </c>
      <c r="M720" s="21"/>
      <c r="N720" s="23">
        <v>0</v>
      </c>
      <c r="O720" s="24"/>
      <c r="P720" s="19"/>
      <c r="Q720" s="25"/>
      <c r="R720" s="25"/>
      <c r="S720" s="19"/>
      <c r="T720" s="26"/>
      <c r="U720" s="27" t="s">
        <v>21</v>
      </c>
      <c r="V720" s="28" t="s">
        <v>361</v>
      </c>
      <c r="W720" s="29" t="s">
        <v>26</v>
      </c>
    </row>
    <row r="721" spans="1:23" ht="30" customHeight="1">
      <c r="A721" s="19" t="s">
        <v>5589</v>
      </c>
      <c r="B721" s="19" t="s">
        <v>5569</v>
      </c>
      <c r="C721" s="19"/>
      <c r="D721" s="19" t="s">
        <v>2873</v>
      </c>
      <c r="E721" s="20" t="s">
        <v>2874</v>
      </c>
      <c r="F721" s="19"/>
      <c r="G721" s="21" t="s">
        <v>22</v>
      </c>
      <c r="H721" s="22" t="b">
        <v>0</v>
      </c>
      <c r="I721" s="22" t="b">
        <v>0</v>
      </c>
      <c r="J721" s="22" t="b">
        <v>0</v>
      </c>
      <c r="K721" s="22" t="b">
        <v>0</v>
      </c>
      <c r="L721" s="22" t="b">
        <v>0</v>
      </c>
      <c r="M721" s="21"/>
      <c r="N721" s="23">
        <v>0</v>
      </c>
      <c r="O721" s="24"/>
      <c r="P721" s="19"/>
      <c r="Q721" s="25"/>
      <c r="R721" s="25"/>
      <c r="S721" s="19"/>
      <c r="T721" s="26"/>
      <c r="U721" s="27" t="s">
        <v>21</v>
      </c>
      <c r="V721" s="28" t="s">
        <v>361</v>
      </c>
      <c r="W721" s="29" t="s">
        <v>26</v>
      </c>
    </row>
    <row r="722" spans="1:23" ht="30" customHeight="1">
      <c r="A722" s="19" t="s">
        <v>5589</v>
      </c>
      <c r="B722" s="19" t="s">
        <v>5569</v>
      </c>
      <c r="C722" s="19"/>
      <c r="D722" s="19" t="s">
        <v>2877</v>
      </c>
      <c r="E722" s="20" t="s">
        <v>2878</v>
      </c>
      <c r="F722" s="19"/>
      <c r="G722" s="21" t="s">
        <v>29</v>
      </c>
      <c r="H722" s="22" t="b">
        <v>0</v>
      </c>
      <c r="I722" s="22" t="b">
        <v>0</v>
      </c>
      <c r="J722" s="22" t="b">
        <v>0</v>
      </c>
      <c r="K722" s="22" t="b">
        <v>0</v>
      </c>
      <c r="L722" s="22" t="b">
        <v>0</v>
      </c>
      <c r="M722" s="21"/>
      <c r="N722" s="23">
        <v>0</v>
      </c>
      <c r="O722" s="24"/>
      <c r="P722" s="19"/>
      <c r="Q722" s="25"/>
      <c r="R722" s="25"/>
      <c r="S722" s="19"/>
      <c r="T722" s="26"/>
      <c r="U722" s="27" t="s">
        <v>21</v>
      </c>
      <c r="V722" s="28" t="s">
        <v>361</v>
      </c>
      <c r="W722" s="29" t="s">
        <v>26</v>
      </c>
    </row>
    <row r="723" spans="1:23" ht="30" customHeight="1">
      <c r="A723" s="19" t="s">
        <v>5589</v>
      </c>
      <c r="B723" s="19" t="s">
        <v>5569</v>
      </c>
      <c r="C723" s="19"/>
      <c r="D723" s="19" t="s">
        <v>2881</v>
      </c>
      <c r="E723" s="20" t="s">
        <v>2882</v>
      </c>
      <c r="F723" s="19"/>
      <c r="G723" s="21" t="s">
        <v>22</v>
      </c>
      <c r="H723" s="22" t="b">
        <v>0</v>
      </c>
      <c r="I723" s="22" t="b">
        <v>0</v>
      </c>
      <c r="J723" s="22" t="b">
        <v>0</v>
      </c>
      <c r="K723" s="22" t="b">
        <v>0</v>
      </c>
      <c r="L723" s="22" t="b">
        <v>0</v>
      </c>
      <c r="M723" s="21"/>
      <c r="N723" s="23">
        <v>0</v>
      </c>
      <c r="O723" s="24"/>
      <c r="P723" s="19"/>
      <c r="Q723" s="25"/>
      <c r="R723" s="25"/>
      <c r="S723" s="19"/>
      <c r="T723" s="26"/>
      <c r="U723" s="27" t="s">
        <v>21</v>
      </c>
      <c r="V723" s="28" t="s">
        <v>2883</v>
      </c>
      <c r="W723" s="29" t="s">
        <v>26</v>
      </c>
    </row>
    <row r="724" spans="1:23" ht="30" customHeight="1">
      <c r="A724" s="19" t="s">
        <v>5589</v>
      </c>
      <c r="B724" s="19" t="s">
        <v>5569</v>
      </c>
      <c r="C724" s="19"/>
      <c r="D724" s="19" t="s">
        <v>2886</v>
      </c>
      <c r="E724" s="20" t="s">
        <v>2887</v>
      </c>
      <c r="F724" s="19"/>
      <c r="G724" s="21" t="s">
        <v>22</v>
      </c>
      <c r="H724" s="22" t="b">
        <v>0</v>
      </c>
      <c r="I724" s="22" t="b">
        <v>0</v>
      </c>
      <c r="J724" s="22" t="b">
        <v>0</v>
      </c>
      <c r="K724" s="22" t="b">
        <v>0</v>
      </c>
      <c r="L724" s="22" t="b">
        <v>0</v>
      </c>
      <c r="M724" s="21"/>
      <c r="N724" s="23">
        <v>0</v>
      </c>
      <c r="O724" s="24"/>
      <c r="P724" s="19"/>
      <c r="Q724" s="25"/>
      <c r="R724" s="25"/>
      <c r="S724" s="19"/>
      <c r="T724" s="26"/>
      <c r="U724" s="27" t="s">
        <v>21</v>
      </c>
      <c r="V724" s="28" t="s">
        <v>361</v>
      </c>
      <c r="W724" s="29" t="s">
        <v>26</v>
      </c>
    </row>
    <row r="725" spans="1:23" ht="30" customHeight="1">
      <c r="A725" s="19" t="s">
        <v>5589</v>
      </c>
      <c r="B725" s="19" t="s">
        <v>5569</v>
      </c>
      <c r="C725" s="19"/>
      <c r="D725" s="19" t="s">
        <v>2889</v>
      </c>
      <c r="E725" s="20" t="s">
        <v>2890</v>
      </c>
      <c r="F725" s="19"/>
      <c r="G725" s="21" t="s">
        <v>29</v>
      </c>
      <c r="H725" s="22" t="b">
        <v>0</v>
      </c>
      <c r="I725" s="22" t="b">
        <v>0</v>
      </c>
      <c r="J725" s="22" t="b">
        <v>0</v>
      </c>
      <c r="K725" s="22" t="b">
        <v>0</v>
      </c>
      <c r="L725" s="22" t="b">
        <v>0</v>
      </c>
      <c r="M725" s="21"/>
      <c r="N725" s="23">
        <v>0</v>
      </c>
      <c r="O725" s="24"/>
      <c r="P725" s="19"/>
      <c r="Q725" s="25"/>
      <c r="R725" s="25"/>
      <c r="S725" s="19"/>
      <c r="T725" s="26"/>
      <c r="U725" s="27" t="s">
        <v>21</v>
      </c>
      <c r="V725" s="28" t="s">
        <v>361</v>
      </c>
      <c r="W725" s="29" t="s">
        <v>26</v>
      </c>
    </row>
    <row r="726" spans="1:23" ht="30" customHeight="1">
      <c r="A726" s="19" t="s">
        <v>5589</v>
      </c>
      <c r="B726" s="19" t="s">
        <v>5569</v>
      </c>
      <c r="C726" s="19"/>
      <c r="D726" s="19" t="s">
        <v>2893</v>
      </c>
      <c r="E726" s="20" t="s">
        <v>2894</v>
      </c>
      <c r="F726" s="19"/>
      <c r="G726" s="21" t="s">
        <v>22</v>
      </c>
      <c r="H726" s="22" t="b">
        <v>0</v>
      </c>
      <c r="I726" s="22" t="b">
        <v>0</v>
      </c>
      <c r="J726" s="22" t="b">
        <v>0</v>
      </c>
      <c r="K726" s="22" t="b">
        <v>0</v>
      </c>
      <c r="L726" s="22" t="b">
        <v>0</v>
      </c>
      <c r="M726" s="21"/>
      <c r="N726" s="23">
        <v>0</v>
      </c>
      <c r="O726" s="24"/>
      <c r="P726" s="19"/>
      <c r="Q726" s="25"/>
      <c r="R726" s="25"/>
      <c r="S726" s="19"/>
      <c r="T726" s="26"/>
      <c r="U726" s="27" t="s">
        <v>21</v>
      </c>
      <c r="V726" s="28" t="s">
        <v>2895</v>
      </c>
      <c r="W726" s="29" t="s">
        <v>26</v>
      </c>
    </row>
    <row r="727" spans="1:23" ht="30" customHeight="1">
      <c r="A727" s="19" t="s">
        <v>5589</v>
      </c>
      <c r="B727" s="19" t="s">
        <v>5569</v>
      </c>
      <c r="C727" s="19"/>
      <c r="D727" s="19" t="s">
        <v>2897</v>
      </c>
      <c r="E727" s="20" t="s">
        <v>2898</v>
      </c>
      <c r="F727" s="19"/>
      <c r="G727" s="21" t="s">
        <v>22</v>
      </c>
      <c r="H727" s="22" t="b">
        <v>0</v>
      </c>
      <c r="I727" s="22" t="b">
        <v>0</v>
      </c>
      <c r="J727" s="22" t="b">
        <v>0</v>
      </c>
      <c r="K727" s="22" t="b">
        <v>0</v>
      </c>
      <c r="L727" s="22" t="b">
        <v>0</v>
      </c>
      <c r="M727" s="21"/>
      <c r="N727" s="23">
        <v>0</v>
      </c>
      <c r="O727" s="24"/>
      <c r="P727" s="19"/>
      <c r="Q727" s="25"/>
      <c r="R727" s="25"/>
      <c r="S727" s="19"/>
      <c r="T727" s="26"/>
      <c r="U727" s="27" t="s">
        <v>21</v>
      </c>
      <c r="V727" s="28" t="s">
        <v>1320</v>
      </c>
      <c r="W727" s="29" t="s">
        <v>26</v>
      </c>
    </row>
    <row r="728" spans="1:23" ht="30" customHeight="1">
      <c r="A728" s="19" t="s">
        <v>5590</v>
      </c>
      <c r="B728" s="19" t="s">
        <v>5569</v>
      </c>
      <c r="C728" s="19"/>
      <c r="D728" s="19" t="s">
        <v>2902</v>
      </c>
      <c r="E728" s="20" t="s">
        <v>2903</v>
      </c>
      <c r="F728" s="19"/>
      <c r="G728" s="21" t="s">
        <v>29</v>
      </c>
      <c r="H728" s="22" t="b">
        <v>0</v>
      </c>
      <c r="I728" s="22" t="b">
        <v>0</v>
      </c>
      <c r="J728" s="22" t="b">
        <v>0</v>
      </c>
      <c r="K728" s="22" t="b">
        <v>0</v>
      </c>
      <c r="L728" s="22" t="b">
        <v>0</v>
      </c>
      <c r="M728" s="21"/>
      <c r="N728" s="23">
        <v>0</v>
      </c>
      <c r="O728" s="24"/>
      <c r="P728" s="19"/>
      <c r="Q728" s="25"/>
      <c r="R728" s="25"/>
      <c r="S728" s="19"/>
      <c r="T728" s="26"/>
      <c r="U728" s="27" t="s">
        <v>21</v>
      </c>
      <c r="V728" s="28" t="s">
        <v>1320</v>
      </c>
      <c r="W728" s="29" t="s">
        <v>26</v>
      </c>
    </row>
    <row r="729" spans="1:23" ht="30" customHeight="1">
      <c r="A729" s="19" t="s">
        <v>5590</v>
      </c>
      <c r="B729" s="19" t="s">
        <v>5569</v>
      </c>
      <c r="C729" s="19"/>
      <c r="D729" s="19" t="s">
        <v>2906</v>
      </c>
      <c r="E729" s="20" t="s">
        <v>2907</v>
      </c>
      <c r="F729" s="19"/>
      <c r="G729" s="21" t="s">
        <v>22</v>
      </c>
      <c r="H729" s="22" t="b">
        <v>0</v>
      </c>
      <c r="I729" s="22" t="b">
        <v>0</v>
      </c>
      <c r="J729" s="22" t="b">
        <v>0</v>
      </c>
      <c r="K729" s="22" t="b">
        <v>0</v>
      </c>
      <c r="L729" s="22" t="b">
        <v>0</v>
      </c>
      <c r="M729" s="21"/>
      <c r="N729" s="23">
        <v>0</v>
      </c>
      <c r="O729" s="24"/>
      <c r="P729" s="19"/>
      <c r="Q729" s="25"/>
      <c r="R729" s="25"/>
      <c r="S729" s="19"/>
      <c r="T729" s="26"/>
      <c r="U729" s="27" t="s">
        <v>21</v>
      </c>
      <c r="V729" s="28" t="s">
        <v>2908</v>
      </c>
      <c r="W729" s="29" t="s">
        <v>26</v>
      </c>
    </row>
    <row r="730" spans="1:23" ht="30" customHeight="1">
      <c r="A730" s="19" t="s">
        <v>5590</v>
      </c>
      <c r="B730" s="19" t="s">
        <v>5569</v>
      </c>
      <c r="C730" s="19"/>
      <c r="D730" s="19" t="s">
        <v>2911</v>
      </c>
      <c r="E730" s="20" t="s">
        <v>2912</v>
      </c>
      <c r="F730" s="19"/>
      <c r="G730" s="21" t="s">
        <v>22</v>
      </c>
      <c r="H730" s="22" t="b">
        <v>0</v>
      </c>
      <c r="I730" s="22" t="b">
        <v>0</v>
      </c>
      <c r="J730" s="22" t="b">
        <v>0</v>
      </c>
      <c r="K730" s="22" t="b">
        <v>0</v>
      </c>
      <c r="L730" s="22" t="b">
        <v>0</v>
      </c>
      <c r="M730" s="21"/>
      <c r="N730" s="23">
        <v>0</v>
      </c>
      <c r="O730" s="24"/>
      <c r="P730" s="19"/>
      <c r="Q730" s="25"/>
      <c r="R730" s="25"/>
      <c r="S730" s="19"/>
      <c r="T730" s="26"/>
      <c r="U730" s="27" t="s">
        <v>21</v>
      </c>
      <c r="V730" s="28" t="s">
        <v>2913</v>
      </c>
      <c r="W730" s="29" t="s">
        <v>26</v>
      </c>
    </row>
    <row r="731" spans="1:23" ht="30" customHeight="1">
      <c r="A731" s="19" t="s">
        <v>5590</v>
      </c>
      <c r="B731" s="19" t="s">
        <v>5569</v>
      </c>
      <c r="C731" s="19"/>
      <c r="D731" s="19" t="s">
        <v>2915</v>
      </c>
      <c r="E731" s="20" t="s">
        <v>2916</v>
      </c>
      <c r="F731" s="19"/>
      <c r="G731" s="21" t="s">
        <v>22</v>
      </c>
      <c r="H731" s="22" t="b">
        <v>0</v>
      </c>
      <c r="I731" s="22" t="b">
        <v>0</v>
      </c>
      <c r="J731" s="22" t="b">
        <v>0</v>
      </c>
      <c r="K731" s="22" t="b">
        <v>0</v>
      </c>
      <c r="L731" s="22" t="b">
        <v>0</v>
      </c>
      <c r="M731" s="21"/>
      <c r="N731" s="23">
        <v>0</v>
      </c>
      <c r="O731" s="24"/>
      <c r="P731" s="19"/>
      <c r="Q731" s="25"/>
      <c r="R731" s="25"/>
      <c r="S731" s="19"/>
      <c r="T731" s="26"/>
      <c r="U731" s="27" t="s">
        <v>21</v>
      </c>
      <c r="V731" s="28" t="s">
        <v>2917</v>
      </c>
      <c r="W731" s="29" t="s">
        <v>26</v>
      </c>
    </row>
    <row r="732" spans="1:23" ht="30" customHeight="1">
      <c r="A732" s="19" t="s">
        <v>5590</v>
      </c>
      <c r="B732" s="19" t="s">
        <v>5569</v>
      </c>
      <c r="C732" s="19"/>
      <c r="D732" s="19" t="s">
        <v>2920</v>
      </c>
      <c r="E732" s="20" t="s">
        <v>2921</v>
      </c>
      <c r="F732" s="19"/>
      <c r="G732" s="21" t="s">
        <v>22</v>
      </c>
      <c r="H732" s="22" t="b">
        <v>0</v>
      </c>
      <c r="I732" s="22" t="b">
        <v>0</v>
      </c>
      <c r="J732" s="22" t="b">
        <v>0</v>
      </c>
      <c r="K732" s="22" t="b">
        <v>0</v>
      </c>
      <c r="L732" s="22" t="b">
        <v>0</v>
      </c>
      <c r="M732" s="21"/>
      <c r="N732" s="23">
        <v>0</v>
      </c>
      <c r="O732" s="24"/>
      <c r="P732" s="19"/>
      <c r="Q732" s="25"/>
      <c r="R732" s="25"/>
      <c r="S732" s="19"/>
      <c r="T732" s="26"/>
      <c r="U732" s="27" t="s">
        <v>21</v>
      </c>
      <c r="V732" s="28" t="s">
        <v>2922</v>
      </c>
      <c r="W732" s="29" t="s">
        <v>26</v>
      </c>
    </row>
    <row r="733" spans="1:23" ht="30" customHeight="1">
      <c r="A733" s="19" t="s">
        <v>5590</v>
      </c>
      <c r="B733" s="19" t="s">
        <v>5569</v>
      </c>
      <c r="C733" s="19"/>
      <c r="D733" s="19" t="s">
        <v>2925</v>
      </c>
      <c r="E733" s="20" t="s">
        <v>2926</v>
      </c>
      <c r="F733" s="19"/>
      <c r="G733" s="21" t="s">
        <v>22</v>
      </c>
      <c r="H733" s="22" t="b">
        <v>0</v>
      </c>
      <c r="I733" s="22" t="b">
        <v>0</v>
      </c>
      <c r="J733" s="22" t="b">
        <v>0</v>
      </c>
      <c r="K733" s="22" t="b">
        <v>0</v>
      </c>
      <c r="L733" s="22" t="b">
        <v>0</v>
      </c>
      <c r="M733" s="21"/>
      <c r="N733" s="23">
        <v>0</v>
      </c>
      <c r="O733" s="24"/>
      <c r="P733" s="19"/>
      <c r="Q733" s="25"/>
      <c r="R733" s="25"/>
      <c r="S733" s="19"/>
      <c r="T733" s="26"/>
      <c r="U733" s="27" t="s">
        <v>21</v>
      </c>
      <c r="V733" s="28" t="s">
        <v>361</v>
      </c>
      <c r="W733" s="29" t="s">
        <v>26</v>
      </c>
    </row>
    <row r="734" spans="1:23" ht="30" customHeight="1">
      <c r="A734" s="19" t="s">
        <v>5590</v>
      </c>
      <c r="B734" s="19" t="s">
        <v>5569</v>
      </c>
      <c r="C734" s="19"/>
      <c r="D734" s="19" t="s">
        <v>2929</v>
      </c>
      <c r="E734" s="20" t="s">
        <v>2930</v>
      </c>
      <c r="F734" s="19"/>
      <c r="G734" s="21" t="s">
        <v>22</v>
      </c>
      <c r="H734" s="22" t="b">
        <v>0</v>
      </c>
      <c r="I734" s="22" t="b">
        <v>0</v>
      </c>
      <c r="J734" s="22" t="b">
        <v>0</v>
      </c>
      <c r="K734" s="22" t="b">
        <v>0</v>
      </c>
      <c r="L734" s="22" t="b">
        <v>0</v>
      </c>
      <c r="M734" s="21"/>
      <c r="N734" s="23">
        <v>0</v>
      </c>
      <c r="O734" s="24"/>
      <c r="P734" s="19"/>
      <c r="Q734" s="25"/>
      <c r="R734" s="25"/>
      <c r="S734" s="19"/>
      <c r="T734" s="26"/>
      <c r="U734" s="27" t="s">
        <v>21</v>
      </c>
      <c r="V734" s="28" t="s">
        <v>1296</v>
      </c>
      <c r="W734" s="29" t="s">
        <v>26</v>
      </c>
    </row>
    <row r="735" spans="1:23" ht="30" customHeight="1">
      <c r="A735" s="19" t="s">
        <v>5590</v>
      </c>
      <c r="B735" s="19" t="s">
        <v>5569</v>
      </c>
      <c r="C735" s="19"/>
      <c r="D735" s="19" t="s">
        <v>2932</v>
      </c>
      <c r="E735" s="20" t="s">
        <v>2933</v>
      </c>
      <c r="F735" s="19"/>
      <c r="G735" s="21" t="s">
        <v>29</v>
      </c>
      <c r="H735" s="22" t="b">
        <v>0</v>
      </c>
      <c r="I735" s="22" t="b">
        <v>0</v>
      </c>
      <c r="J735" s="22" t="b">
        <v>0</v>
      </c>
      <c r="K735" s="22" t="b">
        <v>0</v>
      </c>
      <c r="L735" s="22" t="b">
        <v>0</v>
      </c>
      <c r="M735" s="21"/>
      <c r="N735" s="23">
        <v>0</v>
      </c>
      <c r="O735" s="24"/>
      <c r="P735" s="19"/>
      <c r="Q735" s="25"/>
      <c r="R735" s="25"/>
      <c r="S735" s="19"/>
      <c r="T735" s="26"/>
      <c r="U735" s="27" t="s">
        <v>21</v>
      </c>
      <c r="V735" s="28" t="s">
        <v>1320</v>
      </c>
      <c r="W735" s="29" t="s">
        <v>26</v>
      </c>
    </row>
    <row r="736" spans="1:23" ht="30" customHeight="1">
      <c r="A736" s="19" t="s">
        <v>5590</v>
      </c>
      <c r="B736" s="19" t="s">
        <v>5569</v>
      </c>
      <c r="C736" s="19"/>
      <c r="D736" s="19" t="s">
        <v>2935</v>
      </c>
      <c r="E736" s="20" t="s">
        <v>2936</v>
      </c>
      <c r="F736" s="19"/>
      <c r="G736" s="21" t="s">
        <v>29</v>
      </c>
      <c r="H736" s="22" t="b">
        <v>0</v>
      </c>
      <c r="I736" s="22" t="b">
        <v>0</v>
      </c>
      <c r="J736" s="22" t="b">
        <v>0</v>
      </c>
      <c r="K736" s="22" t="b">
        <v>0</v>
      </c>
      <c r="L736" s="22" t="b">
        <v>0</v>
      </c>
      <c r="M736" s="21"/>
      <c r="N736" s="23">
        <v>0</v>
      </c>
      <c r="O736" s="24"/>
      <c r="P736" s="19"/>
      <c r="Q736" s="25"/>
      <c r="R736" s="25"/>
      <c r="S736" s="19"/>
      <c r="T736" s="26"/>
      <c r="U736" s="27" t="s">
        <v>21</v>
      </c>
      <c r="V736" s="28" t="s">
        <v>2937</v>
      </c>
      <c r="W736" s="29" t="s">
        <v>26</v>
      </c>
    </row>
    <row r="737" spans="1:23" ht="30" customHeight="1">
      <c r="A737" s="19" t="s">
        <v>5590</v>
      </c>
      <c r="B737" s="19" t="s">
        <v>5569</v>
      </c>
      <c r="C737" s="19"/>
      <c r="D737" s="19" t="s">
        <v>2939</v>
      </c>
      <c r="E737" s="20" t="s">
        <v>2940</v>
      </c>
      <c r="F737" s="19"/>
      <c r="G737" s="21" t="s">
        <v>22</v>
      </c>
      <c r="H737" s="22" t="b">
        <v>0</v>
      </c>
      <c r="I737" s="22" t="b">
        <v>0</v>
      </c>
      <c r="J737" s="22" t="b">
        <v>0</v>
      </c>
      <c r="K737" s="22" t="b">
        <v>0</v>
      </c>
      <c r="L737" s="22" t="b">
        <v>0</v>
      </c>
      <c r="M737" s="21"/>
      <c r="N737" s="23">
        <v>0</v>
      </c>
      <c r="O737" s="24"/>
      <c r="P737" s="19"/>
      <c r="Q737" s="25"/>
      <c r="R737" s="25"/>
      <c r="S737" s="19"/>
      <c r="T737" s="26"/>
      <c r="U737" s="27" t="s">
        <v>21</v>
      </c>
      <c r="V737" s="28" t="s">
        <v>2941</v>
      </c>
      <c r="W737" s="29" t="s">
        <v>26</v>
      </c>
    </row>
    <row r="738" spans="1:23" ht="30" customHeight="1">
      <c r="A738" s="19" t="s">
        <v>5590</v>
      </c>
      <c r="B738" s="19" t="s">
        <v>5569</v>
      </c>
      <c r="C738" s="19"/>
      <c r="D738" s="19" t="s">
        <v>2944</v>
      </c>
      <c r="E738" s="20" t="s">
        <v>2945</v>
      </c>
      <c r="F738" s="19"/>
      <c r="G738" s="21" t="s">
        <v>22</v>
      </c>
      <c r="H738" s="22" t="b">
        <v>0</v>
      </c>
      <c r="I738" s="22" t="b">
        <v>0</v>
      </c>
      <c r="J738" s="22" t="b">
        <v>0</v>
      </c>
      <c r="K738" s="22" t="b">
        <v>0</v>
      </c>
      <c r="L738" s="22" t="b">
        <v>0</v>
      </c>
      <c r="M738" s="21"/>
      <c r="N738" s="23">
        <v>0</v>
      </c>
      <c r="O738" s="24"/>
      <c r="P738" s="19"/>
      <c r="Q738" s="25"/>
      <c r="R738" s="25"/>
      <c r="S738" s="19"/>
      <c r="T738" s="26"/>
      <c r="U738" s="27" t="s">
        <v>21</v>
      </c>
      <c r="V738" s="28" t="s">
        <v>1320</v>
      </c>
      <c r="W738" s="29" t="s">
        <v>26</v>
      </c>
    </row>
    <row r="739" spans="1:23" ht="30" customHeight="1">
      <c r="A739" s="19" t="s">
        <v>5590</v>
      </c>
      <c r="B739" s="19" t="s">
        <v>5569</v>
      </c>
      <c r="C739" s="19"/>
      <c r="D739" s="19" t="s">
        <v>2948</v>
      </c>
      <c r="E739" s="20" t="s">
        <v>2949</v>
      </c>
      <c r="F739" s="19"/>
      <c r="G739" s="21" t="s">
        <v>22</v>
      </c>
      <c r="H739" s="22" t="b">
        <v>0</v>
      </c>
      <c r="I739" s="22" t="b">
        <v>0</v>
      </c>
      <c r="J739" s="22" t="b">
        <v>0</v>
      </c>
      <c r="K739" s="22" t="b">
        <v>0</v>
      </c>
      <c r="L739" s="22" t="b">
        <v>0</v>
      </c>
      <c r="M739" s="21"/>
      <c r="N739" s="23">
        <v>0</v>
      </c>
      <c r="O739" s="24"/>
      <c r="P739" s="19"/>
      <c r="Q739" s="25"/>
      <c r="R739" s="25"/>
      <c r="S739" s="19"/>
      <c r="T739" s="26"/>
      <c r="U739" s="27" t="s">
        <v>21</v>
      </c>
      <c r="V739" s="28" t="s">
        <v>361</v>
      </c>
      <c r="W739" s="29" t="s">
        <v>26</v>
      </c>
    </row>
    <row r="740" spans="1:23" ht="30" customHeight="1">
      <c r="A740" s="19" t="s">
        <v>5590</v>
      </c>
      <c r="B740" s="19" t="s">
        <v>5569</v>
      </c>
      <c r="C740" s="19"/>
      <c r="D740" s="19" t="s">
        <v>2952</v>
      </c>
      <c r="E740" s="20" t="s">
        <v>2953</v>
      </c>
      <c r="F740" s="19"/>
      <c r="G740" s="21" t="s">
        <v>29</v>
      </c>
      <c r="H740" s="22" t="b">
        <v>0</v>
      </c>
      <c r="I740" s="22" t="b">
        <v>0</v>
      </c>
      <c r="J740" s="22" t="b">
        <v>0</v>
      </c>
      <c r="K740" s="22" t="b">
        <v>0</v>
      </c>
      <c r="L740" s="22" t="b">
        <v>0</v>
      </c>
      <c r="M740" s="21"/>
      <c r="N740" s="23">
        <v>0</v>
      </c>
      <c r="O740" s="24"/>
      <c r="P740" s="19"/>
      <c r="Q740" s="25"/>
      <c r="R740" s="25"/>
      <c r="S740" s="19"/>
      <c r="T740" s="26"/>
      <c r="U740" s="27" t="s">
        <v>21</v>
      </c>
      <c r="V740" s="28" t="s">
        <v>361</v>
      </c>
      <c r="W740" s="29" t="s">
        <v>26</v>
      </c>
    </row>
    <row r="741" spans="1:23" ht="30" customHeight="1">
      <c r="A741" s="19" t="s">
        <v>5590</v>
      </c>
      <c r="B741" s="19" t="s">
        <v>5569</v>
      </c>
      <c r="C741" s="19"/>
      <c r="D741" s="19" t="s">
        <v>2955</v>
      </c>
      <c r="E741" s="20" t="s">
        <v>2956</v>
      </c>
      <c r="F741" s="19"/>
      <c r="G741" s="21" t="s">
        <v>22</v>
      </c>
      <c r="H741" s="22" t="b">
        <v>0</v>
      </c>
      <c r="I741" s="22" t="b">
        <v>0</v>
      </c>
      <c r="J741" s="22" t="b">
        <v>0</v>
      </c>
      <c r="K741" s="22" t="b">
        <v>0</v>
      </c>
      <c r="L741" s="22" t="b">
        <v>0</v>
      </c>
      <c r="M741" s="21"/>
      <c r="N741" s="23">
        <v>0</v>
      </c>
      <c r="O741" s="24"/>
      <c r="P741" s="19"/>
      <c r="Q741" s="25"/>
      <c r="R741" s="25"/>
      <c r="S741" s="19"/>
      <c r="T741" s="26"/>
      <c r="U741" s="27" t="s">
        <v>21</v>
      </c>
      <c r="V741" s="28" t="s">
        <v>2957</v>
      </c>
      <c r="W741" s="29" t="s">
        <v>26</v>
      </c>
    </row>
    <row r="742" spans="1:23" ht="30" customHeight="1">
      <c r="A742" s="19" t="s">
        <v>5590</v>
      </c>
      <c r="B742" s="19" t="s">
        <v>5569</v>
      </c>
      <c r="C742" s="19"/>
      <c r="D742" s="19" t="s">
        <v>2959</v>
      </c>
      <c r="E742" s="20" t="s">
        <v>2960</v>
      </c>
      <c r="F742" s="19"/>
      <c r="G742" s="21" t="s">
        <v>22</v>
      </c>
      <c r="H742" s="22" t="b">
        <v>0</v>
      </c>
      <c r="I742" s="22" t="b">
        <v>0</v>
      </c>
      <c r="J742" s="22" t="b">
        <v>0</v>
      </c>
      <c r="K742" s="22" t="b">
        <v>0</v>
      </c>
      <c r="L742" s="22" t="b">
        <v>0</v>
      </c>
      <c r="M742" s="21"/>
      <c r="N742" s="23">
        <v>0</v>
      </c>
      <c r="O742" s="24"/>
      <c r="P742" s="19"/>
      <c r="Q742" s="25"/>
      <c r="R742" s="25"/>
      <c r="S742" s="19"/>
      <c r="T742" s="26"/>
      <c r="U742" s="27" t="s">
        <v>21</v>
      </c>
      <c r="V742" s="28" t="s">
        <v>2680</v>
      </c>
      <c r="W742" s="29" t="s">
        <v>26</v>
      </c>
    </row>
    <row r="743" spans="1:23" ht="30" customHeight="1">
      <c r="A743" s="19" t="s">
        <v>5590</v>
      </c>
      <c r="B743" s="19" t="s">
        <v>5569</v>
      </c>
      <c r="C743" s="19"/>
      <c r="D743" s="19" t="s">
        <v>2962</v>
      </c>
      <c r="E743" s="20" t="s">
        <v>2963</v>
      </c>
      <c r="F743" s="19"/>
      <c r="G743" s="21" t="s">
        <v>22</v>
      </c>
      <c r="H743" s="22" t="b">
        <v>0</v>
      </c>
      <c r="I743" s="22" t="b">
        <v>0</v>
      </c>
      <c r="J743" s="22" t="b">
        <v>0</v>
      </c>
      <c r="K743" s="22" t="b">
        <v>0</v>
      </c>
      <c r="L743" s="22" t="b">
        <v>0</v>
      </c>
      <c r="M743" s="21"/>
      <c r="N743" s="23">
        <v>0</v>
      </c>
      <c r="O743" s="24"/>
      <c r="P743" s="19"/>
      <c r="Q743" s="25"/>
      <c r="R743" s="25"/>
      <c r="S743" s="19"/>
      <c r="T743" s="26"/>
      <c r="U743" s="27" t="s">
        <v>21</v>
      </c>
      <c r="V743" s="28" t="s">
        <v>1320</v>
      </c>
      <c r="W743" s="29" t="s">
        <v>26</v>
      </c>
    </row>
    <row r="744" spans="1:23" ht="30" customHeight="1">
      <c r="A744" s="19" t="s">
        <v>5590</v>
      </c>
      <c r="B744" s="19" t="s">
        <v>5569</v>
      </c>
      <c r="C744" s="19"/>
      <c r="D744" s="19" t="s">
        <v>2966</v>
      </c>
      <c r="E744" s="20" t="s">
        <v>2967</v>
      </c>
      <c r="F744" s="19"/>
      <c r="G744" s="21" t="s">
        <v>22</v>
      </c>
      <c r="H744" s="22" t="b">
        <v>0</v>
      </c>
      <c r="I744" s="22" t="b">
        <v>0</v>
      </c>
      <c r="J744" s="22" t="b">
        <v>0</v>
      </c>
      <c r="K744" s="22" t="b">
        <v>0</v>
      </c>
      <c r="L744" s="22" t="b">
        <v>0</v>
      </c>
      <c r="M744" s="21"/>
      <c r="N744" s="23">
        <v>0</v>
      </c>
      <c r="O744" s="24"/>
      <c r="P744" s="19"/>
      <c r="Q744" s="25"/>
      <c r="R744" s="25"/>
      <c r="S744" s="19"/>
      <c r="T744" s="26"/>
      <c r="U744" s="27" t="s">
        <v>21</v>
      </c>
      <c r="V744" s="28" t="s">
        <v>2680</v>
      </c>
      <c r="W744" s="29" t="s">
        <v>26</v>
      </c>
    </row>
    <row r="745" spans="1:23" ht="30" customHeight="1">
      <c r="A745" s="19" t="s">
        <v>5590</v>
      </c>
      <c r="B745" s="19" t="s">
        <v>5569</v>
      </c>
      <c r="C745" s="19"/>
      <c r="D745" s="19" t="s">
        <v>2969</v>
      </c>
      <c r="E745" s="20" t="s">
        <v>2970</v>
      </c>
      <c r="F745" s="19"/>
      <c r="G745" s="21" t="s">
        <v>29</v>
      </c>
      <c r="H745" s="22" t="b">
        <v>0</v>
      </c>
      <c r="I745" s="22" t="b">
        <v>0</v>
      </c>
      <c r="J745" s="22" t="b">
        <v>0</v>
      </c>
      <c r="K745" s="22" t="b">
        <v>0</v>
      </c>
      <c r="L745" s="22" t="b">
        <v>0</v>
      </c>
      <c r="M745" s="21"/>
      <c r="N745" s="23">
        <v>0</v>
      </c>
      <c r="O745" s="24"/>
      <c r="P745" s="19"/>
      <c r="Q745" s="25"/>
      <c r="R745" s="25"/>
      <c r="S745" s="19"/>
      <c r="T745" s="26"/>
      <c r="U745" s="27" t="s">
        <v>21</v>
      </c>
      <c r="V745" s="28" t="s">
        <v>361</v>
      </c>
      <c r="W745" s="29" t="s">
        <v>26</v>
      </c>
    </row>
    <row r="746" spans="1:23" ht="30" customHeight="1">
      <c r="A746" s="19" t="s">
        <v>5590</v>
      </c>
      <c r="B746" s="19" t="s">
        <v>5569</v>
      </c>
      <c r="C746" s="19"/>
      <c r="D746" s="19" t="s">
        <v>2972</v>
      </c>
      <c r="E746" s="20" t="s">
        <v>2973</v>
      </c>
      <c r="F746" s="19"/>
      <c r="G746" s="21" t="s">
        <v>29</v>
      </c>
      <c r="H746" s="22" t="b">
        <v>0</v>
      </c>
      <c r="I746" s="22" t="b">
        <v>0</v>
      </c>
      <c r="J746" s="22" t="b">
        <v>0</v>
      </c>
      <c r="K746" s="22" t="b">
        <v>0</v>
      </c>
      <c r="L746" s="22" t="b">
        <v>0</v>
      </c>
      <c r="M746" s="21"/>
      <c r="N746" s="23">
        <v>0</v>
      </c>
      <c r="O746" s="24"/>
      <c r="P746" s="19"/>
      <c r="Q746" s="25"/>
      <c r="R746" s="25"/>
      <c r="S746" s="19"/>
      <c r="T746" s="26"/>
      <c r="U746" s="27" t="s">
        <v>21</v>
      </c>
      <c r="V746" s="28" t="s">
        <v>1320</v>
      </c>
      <c r="W746" s="29" t="s">
        <v>26</v>
      </c>
    </row>
    <row r="747" spans="1:23" ht="30" customHeight="1">
      <c r="A747" s="19" t="s">
        <v>5590</v>
      </c>
      <c r="B747" s="19" t="s">
        <v>5569</v>
      </c>
      <c r="C747" s="19"/>
      <c r="D747" s="19" t="s">
        <v>2975</v>
      </c>
      <c r="E747" s="20" t="s">
        <v>2976</v>
      </c>
      <c r="F747" s="19"/>
      <c r="G747" s="21" t="s">
        <v>22</v>
      </c>
      <c r="H747" s="22" t="b">
        <v>0</v>
      </c>
      <c r="I747" s="22" t="b">
        <v>0</v>
      </c>
      <c r="J747" s="22" t="b">
        <v>0</v>
      </c>
      <c r="K747" s="22" t="b">
        <v>0</v>
      </c>
      <c r="L747" s="22" t="b">
        <v>0</v>
      </c>
      <c r="M747" s="21"/>
      <c r="N747" s="23">
        <v>0</v>
      </c>
      <c r="O747" s="24"/>
      <c r="P747" s="19"/>
      <c r="Q747" s="25"/>
      <c r="R747" s="25"/>
      <c r="S747" s="19"/>
      <c r="T747" s="26"/>
      <c r="U747" s="27" t="s">
        <v>21</v>
      </c>
      <c r="V747" s="28" t="s">
        <v>370</v>
      </c>
      <c r="W747" s="29" t="s">
        <v>26</v>
      </c>
    </row>
    <row r="748" spans="1:23" ht="30" customHeight="1">
      <c r="A748" s="19" t="s">
        <v>5590</v>
      </c>
      <c r="B748" s="19" t="s">
        <v>5569</v>
      </c>
      <c r="C748" s="19"/>
      <c r="D748" s="19" t="s">
        <v>2979</v>
      </c>
      <c r="E748" s="20" t="s">
        <v>2980</v>
      </c>
      <c r="F748" s="19"/>
      <c r="G748" s="21" t="s">
        <v>29</v>
      </c>
      <c r="H748" s="22" t="b">
        <v>0</v>
      </c>
      <c r="I748" s="22" t="b">
        <v>0</v>
      </c>
      <c r="J748" s="22" t="b">
        <v>0</v>
      </c>
      <c r="K748" s="22" t="b">
        <v>0</v>
      </c>
      <c r="L748" s="22" t="b">
        <v>0</v>
      </c>
      <c r="M748" s="21"/>
      <c r="N748" s="23">
        <v>0</v>
      </c>
      <c r="O748" s="24"/>
      <c r="P748" s="19"/>
      <c r="Q748" s="25"/>
      <c r="R748" s="25"/>
      <c r="S748" s="19"/>
      <c r="T748" s="26"/>
      <c r="U748" s="27" t="s">
        <v>21</v>
      </c>
      <c r="V748" s="28" t="s">
        <v>309</v>
      </c>
      <c r="W748" s="29" t="s">
        <v>26</v>
      </c>
    </row>
    <row r="749" spans="1:23" ht="30" customHeight="1">
      <c r="A749" s="19" t="s">
        <v>5590</v>
      </c>
      <c r="B749" s="19" t="s">
        <v>5569</v>
      </c>
      <c r="C749" s="19"/>
      <c r="D749" s="19" t="s">
        <v>2983</v>
      </c>
      <c r="E749" s="20" t="s">
        <v>2984</v>
      </c>
      <c r="F749" s="19"/>
      <c r="G749" s="21" t="s">
        <v>29</v>
      </c>
      <c r="H749" s="22" t="b">
        <v>0</v>
      </c>
      <c r="I749" s="22" t="b">
        <v>0</v>
      </c>
      <c r="J749" s="22" t="b">
        <v>0</v>
      </c>
      <c r="K749" s="22" t="b">
        <v>0</v>
      </c>
      <c r="L749" s="22" t="b">
        <v>0</v>
      </c>
      <c r="M749" s="21"/>
      <c r="N749" s="23">
        <v>0</v>
      </c>
      <c r="O749" s="24"/>
      <c r="P749" s="19"/>
      <c r="Q749" s="25"/>
      <c r="R749" s="25"/>
      <c r="S749" s="19"/>
      <c r="T749" s="26"/>
      <c r="U749" s="27" t="s">
        <v>21</v>
      </c>
      <c r="V749" s="28" t="s">
        <v>2985</v>
      </c>
      <c r="W749" s="29" t="s">
        <v>26</v>
      </c>
    </row>
    <row r="750" spans="1:23" ht="30" customHeight="1">
      <c r="A750" s="19" t="s">
        <v>5590</v>
      </c>
      <c r="B750" s="19" t="s">
        <v>5569</v>
      </c>
      <c r="C750" s="19"/>
      <c r="D750" s="19" t="s">
        <v>2987</v>
      </c>
      <c r="E750" s="20" t="s">
        <v>2988</v>
      </c>
      <c r="F750" s="19"/>
      <c r="G750" s="21" t="s">
        <v>29</v>
      </c>
      <c r="H750" s="22" t="b">
        <v>0</v>
      </c>
      <c r="I750" s="22" t="b">
        <v>0</v>
      </c>
      <c r="J750" s="22" t="b">
        <v>0</v>
      </c>
      <c r="K750" s="22" t="b">
        <v>0</v>
      </c>
      <c r="L750" s="22" t="b">
        <v>0</v>
      </c>
      <c r="M750" s="21"/>
      <c r="N750" s="23">
        <v>0</v>
      </c>
      <c r="O750" s="24"/>
      <c r="P750" s="19"/>
      <c r="Q750" s="25"/>
      <c r="R750" s="25"/>
      <c r="S750" s="19"/>
      <c r="T750" s="26"/>
      <c r="U750" s="27" t="s">
        <v>21</v>
      </c>
      <c r="V750" s="28" t="s">
        <v>2989</v>
      </c>
      <c r="W750" s="29" t="s">
        <v>26</v>
      </c>
    </row>
    <row r="751" spans="1:23" ht="30" customHeight="1">
      <c r="A751" s="19" t="s">
        <v>5590</v>
      </c>
      <c r="B751" s="19" t="s">
        <v>5569</v>
      </c>
      <c r="C751" s="19"/>
      <c r="D751" s="19" t="s">
        <v>2992</v>
      </c>
      <c r="E751" s="20" t="s">
        <v>2993</v>
      </c>
      <c r="F751" s="19"/>
      <c r="G751" s="21" t="s">
        <v>29</v>
      </c>
      <c r="H751" s="22" t="b">
        <v>0</v>
      </c>
      <c r="I751" s="22" t="b">
        <v>0</v>
      </c>
      <c r="J751" s="22" t="b">
        <v>0</v>
      </c>
      <c r="K751" s="22" t="b">
        <v>0</v>
      </c>
      <c r="L751" s="22" t="b">
        <v>0</v>
      </c>
      <c r="M751" s="21"/>
      <c r="N751" s="23">
        <v>0</v>
      </c>
      <c r="O751" s="24"/>
      <c r="P751" s="19"/>
      <c r="Q751" s="25"/>
      <c r="R751" s="25"/>
      <c r="S751" s="19"/>
      <c r="T751" s="26"/>
      <c r="U751" s="27" t="s">
        <v>21</v>
      </c>
      <c r="V751" s="28" t="s">
        <v>2994</v>
      </c>
      <c r="W751" s="29" t="s">
        <v>26</v>
      </c>
    </row>
    <row r="752" spans="1:23" ht="30" customHeight="1">
      <c r="A752" s="19" t="s">
        <v>5590</v>
      </c>
      <c r="B752" s="19" t="s">
        <v>5569</v>
      </c>
      <c r="C752" s="19"/>
      <c r="D752" s="19" t="s">
        <v>2996</v>
      </c>
      <c r="E752" s="20" t="s">
        <v>2997</v>
      </c>
      <c r="F752" s="19"/>
      <c r="G752" s="21" t="s">
        <v>22</v>
      </c>
      <c r="H752" s="22" t="b">
        <v>0</v>
      </c>
      <c r="I752" s="22" t="b">
        <v>0</v>
      </c>
      <c r="J752" s="22" t="b">
        <v>0</v>
      </c>
      <c r="K752" s="22" t="b">
        <v>0</v>
      </c>
      <c r="L752" s="22" t="b">
        <v>0</v>
      </c>
      <c r="M752" s="21"/>
      <c r="N752" s="23">
        <v>0</v>
      </c>
      <c r="O752" s="24"/>
      <c r="P752" s="19"/>
      <c r="Q752" s="25"/>
      <c r="R752" s="25"/>
      <c r="S752" s="19"/>
      <c r="T752" s="26"/>
      <c r="U752" s="27" t="s">
        <v>21</v>
      </c>
      <c r="V752" s="28" t="s">
        <v>2998</v>
      </c>
      <c r="W752" s="29" t="s">
        <v>26</v>
      </c>
    </row>
    <row r="753" spans="1:23" ht="30" customHeight="1">
      <c r="A753" s="19" t="s">
        <v>5590</v>
      </c>
      <c r="B753" s="19" t="s">
        <v>5569</v>
      </c>
      <c r="C753" s="19"/>
      <c r="D753" s="19" t="s">
        <v>3000</v>
      </c>
      <c r="E753" s="20" t="s">
        <v>3001</v>
      </c>
      <c r="F753" s="19"/>
      <c r="G753" s="21" t="s">
        <v>22</v>
      </c>
      <c r="H753" s="22" t="b">
        <v>0</v>
      </c>
      <c r="I753" s="22" t="b">
        <v>0</v>
      </c>
      <c r="J753" s="22" t="b">
        <v>0</v>
      </c>
      <c r="K753" s="22" t="b">
        <v>0</v>
      </c>
      <c r="L753" s="22" t="b">
        <v>0</v>
      </c>
      <c r="M753" s="21"/>
      <c r="N753" s="23">
        <v>0</v>
      </c>
      <c r="O753" s="24"/>
      <c r="P753" s="19"/>
      <c r="Q753" s="25"/>
      <c r="R753" s="25"/>
      <c r="S753" s="19"/>
      <c r="T753" s="26"/>
      <c r="U753" s="27" t="s">
        <v>21</v>
      </c>
      <c r="V753" s="28" t="s">
        <v>3002</v>
      </c>
      <c r="W753" s="29" t="s">
        <v>26</v>
      </c>
    </row>
    <row r="754" spans="1:23" ht="30" customHeight="1">
      <c r="A754" s="19" t="s">
        <v>5590</v>
      </c>
      <c r="B754" s="19" t="s">
        <v>5569</v>
      </c>
      <c r="C754" s="19"/>
      <c r="D754" s="19" t="s">
        <v>3005</v>
      </c>
      <c r="E754" s="20" t="s">
        <v>3006</v>
      </c>
      <c r="F754" s="19"/>
      <c r="G754" s="21" t="s">
        <v>29</v>
      </c>
      <c r="H754" s="22" t="b">
        <v>0</v>
      </c>
      <c r="I754" s="22" t="b">
        <v>0</v>
      </c>
      <c r="J754" s="22" t="b">
        <v>0</v>
      </c>
      <c r="K754" s="22" t="b">
        <v>0</v>
      </c>
      <c r="L754" s="22" t="b">
        <v>0</v>
      </c>
      <c r="M754" s="21"/>
      <c r="N754" s="23">
        <v>0</v>
      </c>
      <c r="O754" s="24"/>
      <c r="P754" s="19"/>
      <c r="Q754" s="25"/>
      <c r="R754" s="25"/>
      <c r="S754" s="19"/>
      <c r="T754" s="26"/>
      <c r="U754" s="27" t="s">
        <v>21</v>
      </c>
      <c r="V754" s="28" t="s">
        <v>1320</v>
      </c>
      <c r="W754" s="29" t="s">
        <v>26</v>
      </c>
    </row>
    <row r="755" spans="1:23" ht="30" customHeight="1">
      <c r="A755" s="19" t="s">
        <v>5590</v>
      </c>
      <c r="B755" s="19" t="s">
        <v>5569</v>
      </c>
      <c r="C755" s="19"/>
      <c r="D755" s="19" t="s">
        <v>3008</v>
      </c>
      <c r="E755" s="20" t="s">
        <v>3009</v>
      </c>
      <c r="F755" s="19"/>
      <c r="G755" s="21" t="s">
        <v>29</v>
      </c>
      <c r="H755" s="22" t="b">
        <v>0</v>
      </c>
      <c r="I755" s="22" t="b">
        <v>0</v>
      </c>
      <c r="J755" s="22" t="b">
        <v>0</v>
      </c>
      <c r="K755" s="22" t="b">
        <v>0</v>
      </c>
      <c r="L755" s="22" t="b">
        <v>0</v>
      </c>
      <c r="M755" s="21"/>
      <c r="N755" s="23">
        <v>0</v>
      </c>
      <c r="O755" s="24"/>
      <c r="P755" s="19"/>
      <c r="Q755" s="25"/>
      <c r="R755" s="25"/>
      <c r="S755" s="19"/>
      <c r="T755" s="26"/>
      <c r="U755" s="27" t="s">
        <v>21</v>
      </c>
      <c r="V755" s="28" t="s">
        <v>1320</v>
      </c>
      <c r="W755" s="29" t="s">
        <v>26</v>
      </c>
    </row>
    <row r="756" spans="1:23" ht="30" customHeight="1">
      <c r="A756" s="19" t="s">
        <v>5590</v>
      </c>
      <c r="B756" s="19" t="s">
        <v>5569</v>
      </c>
      <c r="C756" s="19"/>
      <c r="D756" s="19" t="s">
        <v>3011</v>
      </c>
      <c r="E756" s="20" t="s">
        <v>3012</v>
      </c>
      <c r="F756" s="19"/>
      <c r="G756" s="21" t="s">
        <v>22</v>
      </c>
      <c r="H756" s="22" t="b">
        <v>0</v>
      </c>
      <c r="I756" s="22" t="b">
        <v>0</v>
      </c>
      <c r="J756" s="22" t="b">
        <v>0</v>
      </c>
      <c r="K756" s="22" t="b">
        <v>0</v>
      </c>
      <c r="L756" s="22" t="b">
        <v>0</v>
      </c>
      <c r="M756" s="21"/>
      <c r="N756" s="23">
        <v>0</v>
      </c>
      <c r="O756" s="24"/>
      <c r="P756" s="19"/>
      <c r="Q756" s="25"/>
      <c r="R756" s="25"/>
      <c r="S756" s="19"/>
      <c r="T756" s="26"/>
      <c r="U756" s="27" t="s">
        <v>21</v>
      </c>
      <c r="V756" s="28" t="s">
        <v>3013</v>
      </c>
      <c r="W756" s="29" t="s">
        <v>26</v>
      </c>
    </row>
    <row r="757" spans="1:23" ht="30" customHeight="1">
      <c r="A757" s="19" t="s">
        <v>5590</v>
      </c>
      <c r="B757" s="19" t="s">
        <v>5569</v>
      </c>
      <c r="C757" s="19"/>
      <c r="D757" s="19" t="s">
        <v>3016</v>
      </c>
      <c r="E757" s="20" t="s">
        <v>3017</v>
      </c>
      <c r="F757" s="19"/>
      <c r="G757" s="21" t="s">
        <v>22</v>
      </c>
      <c r="H757" s="22" t="b">
        <v>0</v>
      </c>
      <c r="I757" s="22" t="b">
        <v>0</v>
      </c>
      <c r="J757" s="22" t="b">
        <v>0</v>
      </c>
      <c r="K757" s="22" t="b">
        <v>0</v>
      </c>
      <c r="L757" s="22" t="b">
        <v>0</v>
      </c>
      <c r="M757" s="21"/>
      <c r="N757" s="23">
        <v>0</v>
      </c>
      <c r="O757" s="24"/>
      <c r="P757" s="19"/>
      <c r="Q757" s="25"/>
      <c r="R757" s="25"/>
      <c r="S757" s="19"/>
      <c r="T757" s="26"/>
      <c r="U757" s="27" t="s">
        <v>21</v>
      </c>
      <c r="V757" s="28" t="s">
        <v>1320</v>
      </c>
      <c r="W757" s="29" t="s">
        <v>26</v>
      </c>
    </row>
    <row r="758" spans="1:23" ht="30" customHeight="1">
      <c r="A758" s="19" t="s">
        <v>5590</v>
      </c>
      <c r="B758" s="19" t="s">
        <v>5569</v>
      </c>
      <c r="C758" s="19"/>
      <c r="D758" s="19" t="s">
        <v>3019</v>
      </c>
      <c r="E758" s="20" t="s">
        <v>3020</v>
      </c>
      <c r="F758" s="19"/>
      <c r="G758" s="21" t="s">
        <v>22</v>
      </c>
      <c r="H758" s="22" t="b">
        <v>0</v>
      </c>
      <c r="I758" s="22" t="b">
        <v>0</v>
      </c>
      <c r="J758" s="22" t="b">
        <v>0</v>
      </c>
      <c r="K758" s="22" t="b">
        <v>0</v>
      </c>
      <c r="L758" s="22" t="b">
        <v>0</v>
      </c>
      <c r="M758" s="21"/>
      <c r="N758" s="23">
        <v>0</v>
      </c>
      <c r="O758" s="24"/>
      <c r="P758" s="19"/>
      <c r="Q758" s="25"/>
      <c r="R758" s="25"/>
      <c r="S758" s="19"/>
      <c r="T758" s="26"/>
      <c r="U758" s="27" t="s">
        <v>21</v>
      </c>
      <c r="V758" s="28" t="s">
        <v>361</v>
      </c>
      <c r="W758" s="29" t="s">
        <v>26</v>
      </c>
    </row>
    <row r="759" spans="1:23" ht="30" customHeight="1">
      <c r="A759" s="19" t="s">
        <v>5590</v>
      </c>
      <c r="B759" s="19" t="s">
        <v>5569</v>
      </c>
      <c r="C759" s="19"/>
      <c r="D759" s="19" t="s">
        <v>3022</v>
      </c>
      <c r="E759" s="20" t="s">
        <v>3023</v>
      </c>
      <c r="F759" s="19"/>
      <c r="G759" s="21" t="s">
        <v>22</v>
      </c>
      <c r="H759" s="22" t="b">
        <v>0</v>
      </c>
      <c r="I759" s="22" t="b">
        <v>0</v>
      </c>
      <c r="J759" s="22" t="b">
        <v>0</v>
      </c>
      <c r="K759" s="22" t="b">
        <v>0</v>
      </c>
      <c r="L759" s="22" t="b">
        <v>0</v>
      </c>
      <c r="M759" s="21"/>
      <c r="N759" s="23">
        <v>0</v>
      </c>
      <c r="O759" s="24"/>
      <c r="P759" s="19"/>
      <c r="Q759" s="25"/>
      <c r="R759" s="25"/>
      <c r="S759" s="19"/>
      <c r="T759" s="26"/>
      <c r="U759" s="27" t="s">
        <v>21</v>
      </c>
      <c r="V759" s="28" t="s">
        <v>1320</v>
      </c>
      <c r="W759" s="29" t="s">
        <v>26</v>
      </c>
    </row>
    <row r="760" spans="1:23" ht="30" customHeight="1">
      <c r="A760" s="19" t="s">
        <v>5590</v>
      </c>
      <c r="B760" s="19" t="s">
        <v>5569</v>
      </c>
      <c r="C760" s="19"/>
      <c r="D760" s="19" t="s">
        <v>3025</v>
      </c>
      <c r="E760" s="20" t="s">
        <v>3026</v>
      </c>
      <c r="F760" s="19"/>
      <c r="G760" s="21" t="s">
        <v>22</v>
      </c>
      <c r="H760" s="22" t="b">
        <v>0</v>
      </c>
      <c r="I760" s="22" t="b">
        <v>0</v>
      </c>
      <c r="J760" s="22" t="b">
        <v>0</v>
      </c>
      <c r="K760" s="22" t="b">
        <v>0</v>
      </c>
      <c r="L760" s="22" t="b">
        <v>0</v>
      </c>
      <c r="M760" s="21"/>
      <c r="N760" s="23">
        <v>0</v>
      </c>
      <c r="O760" s="24"/>
      <c r="P760" s="19"/>
      <c r="Q760" s="25"/>
      <c r="R760" s="25"/>
      <c r="S760" s="19"/>
      <c r="T760" s="26"/>
      <c r="U760" s="27" t="s">
        <v>21</v>
      </c>
      <c r="V760" s="28" t="s">
        <v>3027</v>
      </c>
      <c r="W760" s="29" t="s">
        <v>26</v>
      </c>
    </row>
    <row r="761" spans="1:23" ht="30" customHeight="1">
      <c r="A761" s="19" t="s">
        <v>5590</v>
      </c>
      <c r="B761" s="19" t="s">
        <v>5569</v>
      </c>
      <c r="C761" s="19"/>
      <c r="D761" s="19" t="s">
        <v>3029</v>
      </c>
      <c r="E761" s="20" t="s">
        <v>3030</v>
      </c>
      <c r="F761" s="19"/>
      <c r="G761" s="21" t="s">
        <v>29</v>
      </c>
      <c r="H761" s="22" t="b">
        <v>0</v>
      </c>
      <c r="I761" s="22" t="b">
        <v>0</v>
      </c>
      <c r="J761" s="22" t="b">
        <v>0</v>
      </c>
      <c r="K761" s="22" t="b">
        <v>0</v>
      </c>
      <c r="L761" s="22" t="b">
        <v>0</v>
      </c>
      <c r="M761" s="21"/>
      <c r="N761" s="23">
        <v>0</v>
      </c>
      <c r="O761" s="24"/>
      <c r="P761" s="19"/>
      <c r="Q761" s="25"/>
      <c r="R761" s="25"/>
      <c r="S761" s="19"/>
      <c r="T761" s="26"/>
      <c r="U761" s="27" t="s">
        <v>21</v>
      </c>
      <c r="V761" s="28" t="s">
        <v>361</v>
      </c>
      <c r="W761" s="29" t="s">
        <v>26</v>
      </c>
    </row>
    <row r="762" spans="1:23" ht="30" customHeight="1">
      <c r="A762" s="19" t="s">
        <v>5590</v>
      </c>
      <c r="B762" s="19" t="s">
        <v>5569</v>
      </c>
      <c r="C762" s="19"/>
      <c r="D762" s="19" t="s">
        <v>3032</v>
      </c>
      <c r="E762" s="20" t="s">
        <v>3033</v>
      </c>
      <c r="F762" s="19"/>
      <c r="G762" s="21" t="s">
        <v>156</v>
      </c>
      <c r="H762" s="22" t="b">
        <v>0</v>
      </c>
      <c r="I762" s="22" t="b">
        <v>0</v>
      </c>
      <c r="J762" s="22" t="b">
        <v>0</v>
      </c>
      <c r="K762" s="22" t="b">
        <v>0</v>
      </c>
      <c r="L762" s="22" t="b">
        <v>0</v>
      </c>
      <c r="M762" s="21"/>
      <c r="N762" s="23">
        <v>0</v>
      </c>
      <c r="O762" s="24"/>
      <c r="P762" s="19"/>
      <c r="Q762" s="25"/>
      <c r="R762" s="25"/>
      <c r="S762" s="19"/>
      <c r="T762" s="26"/>
      <c r="U762" s="27" t="s">
        <v>21</v>
      </c>
      <c r="V762" s="28" t="s">
        <v>3034</v>
      </c>
      <c r="W762" s="29" t="s">
        <v>26</v>
      </c>
    </row>
    <row r="763" spans="1:23" ht="30" customHeight="1">
      <c r="A763" s="19" t="s">
        <v>5590</v>
      </c>
      <c r="B763" s="19" t="s">
        <v>5569</v>
      </c>
      <c r="C763" s="19"/>
      <c r="D763" s="19" t="s">
        <v>3036</v>
      </c>
      <c r="E763" s="20" t="s">
        <v>3037</v>
      </c>
      <c r="F763" s="19"/>
      <c r="G763" s="21" t="s">
        <v>29</v>
      </c>
      <c r="H763" s="22" t="b">
        <v>0</v>
      </c>
      <c r="I763" s="22" t="b">
        <v>0</v>
      </c>
      <c r="J763" s="22" t="b">
        <v>0</v>
      </c>
      <c r="K763" s="22" t="b">
        <v>0</v>
      </c>
      <c r="L763" s="22" t="b">
        <v>0</v>
      </c>
      <c r="M763" s="21"/>
      <c r="N763" s="23">
        <v>0</v>
      </c>
      <c r="O763" s="24"/>
      <c r="P763" s="19"/>
      <c r="Q763" s="25"/>
      <c r="R763" s="25"/>
      <c r="S763" s="19"/>
      <c r="T763" s="26"/>
      <c r="U763" s="27" t="s">
        <v>21</v>
      </c>
      <c r="V763" s="28" t="s">
        <v>361</v>
      </c>
      <c r="W763" s="29" t="s">
        <v>26</v>
      </c>
    </row>
    <row r="764" spans="1:23" ht="30" customHeight="1">
      <c r="A764" s="19" t="s">
        <v>5590</v>
      </c>
      <c r="B764" s="19" t="s">
        <v>5569</v>
      </c>
      <c r="C764" s="19"/>
      <c r="D764" s="19" t="s">
        <v>3039</v>
      </c>
      <c r="E764" s="20" t="s">
        <v>3040</v>
      </c>
      <c r="F764" s="19"/>
      <c r="G764" s="21" t="s">
        <v>22</v>
      </c>
      <c r="H764" s="22" t="b">
        <v>0</v>
      </c>
      <c r="I764" s="22" t="b">
        <v>0</v>
      </c>
      <c r="J764" s="22" t="b">
        <v>0</v>
      </c>
      <c r="K764" s="22" t="b">
        <v>0</v>
      </c>
      <c r="L764" s="22" t="b">
        <v>0</v>
      </c>
      <c r="M764" s="21"/>
      <c r="N764" s="23">
        <v>0</v>
      </c>
      <c r="O764" s="24"/>
      <c r="P764" s="19"/>
      <c r="Q764" s="25"/>
      <c r="R764" s="25"/>
      <c r="S764" s="19"/>
      <c r="T764" s="26"/>
      <c r="U764" s="27" t="s">
        <v>21</v>
      </c>
      <c r="V764" s="28" t="s">
        <v>361</v>
      </c>
      <c r="W764" s="29" t="s">
        <v>26</v>
      </c>
    </row>
    <row r="765" spans="1:23" ht="30" customHeight="1">
      <c r="A765" s="19" t="s">
        <v>5590</v>
      </c>
      <c r="B765" s="19" t="s">
        <v>5569</v>
      </c>
      <c r="C765" s="19"/>
      <c r="D765" s="19" t="s">
        <v>3042</v>
      </c>
      <c r="E765" s="20" t="s">
        <v>3043</v>
      </c>
      <c r="F765" s="19"/>
      <c r="G765" s="21" t="s">
        <v>22</v>
      </c>
      <c r="H765" s="22" t="b">
        <v>0</v>
      </c>
      <c r="I765" s="22" t="b">
        <v>0</v>
      </c>
      <c r="J765" s="22" t="b">
        <v>0</v>
      </c>
      <c r="K765" s="22" t="b">
        <v>0</v>
      </c>
      <c r="L765" s="22" t="b">
        <v>0</v>
      </c>
      <c r="M765" s="21"/>
      <c r="N765" s="23">
        <v>0</v>
      </c>
      <c r="O765" s="24"/>
      <c r="P765" s="19"/>
      <c r="Q765" s="25"/>
      <c r="R765" s="25"/>
      <c r="S765" s="19"/>
      <c r="T765" s="26"/>
      <c r="U765" s="27" t="s">
        <v>21</v>
      </c>
      <c r="V765" s="28" t="s">
        <v>361</v>
      </c>
      <c r="W765" s="29" t="s">
        <v>26</v>
      </c>
    </row>
    <row r="766" spans="1:23" ht="30" customHeight="1">
      <c r="A766" s="19" t="s">
        <v>5590</v>
      </c>
      <c r="B766" s="19" t="s">
        <v>5569</v>
      </c>
      <c r="C766" s="19"/>
      <c r="D766" s="19" t="s">
        <v>3045</v>
      </c>
      <c r="E766" s="20" t="s">
        <v>3046</v>
      </c>
      <c r="F766" s="19"/>
      <c r="G766" s="21" t="s">
        <v>29</v>
      </c>
      <c r="H766" s="22" t="b">
        <v>0</v>
      </c>
      <c r="I766" s="22" t="b">
        <v>0</v>
      </c>
      <c r="J766" s="22" t="b">
        <v>0</v>
      </c>
      <c r="K766" s="22" t="b">
        <v>0</v>
      </c>
      <c r="L766" s="22" t="b">
        <v>0</v>
      </c>
      <c r="M766" s="21"/>
      <c r="N766" s="23">
        <v>0</v>
      </c>
      <c r="O766" s="24"/>
      <c r="P766" s="19"/>
      <c r="Q766" s="25"/>
      <c r="R766" s="25"/>
      <c r="S766" s="19"/>
      <c r="T766" s="26"/>
      <c r="U766" s="27" t="s">
        <v>21</v>
      </c>
      <c r="V766" s="28" t="s">
        <v>3047</v>
      </c>
      <c r="W766" s="29" t="s">
        <v>26</v>
      </c>
    </row>
    <row r="767" spans="1:23" ht="30" customHeight="1">
      <c r="A767" s="19" t="s">
        <v>5590</v>
      </c>
      <c r="B767" s="19" t="s">
        <v>5569</v>
      </c>
      <c r="C767" s="19"/>
      <c r="D767" s="19" t="s">
        <v>3049</v>
      </c>
      <c r="E767" s="20" t="s">
        <v>3050</v>
      </c>
      <c r="F767" s="19"/>
      <c r="G767" s="21" t="s">
        <v>29</v>
      </c>
      <c r="H767" s="22" t="b">
        <v>0</v>
      </c>
      <c r="I767" s="22" t="b">
        <v>0</v>
      </c>
      <c r="J767" s="22" t="b">
        <v>0</v>
      </c>
      <c r="K767" s="22" t="b">
        <v>0</v>
      </c>
      <c r="L767" s="22" t="b">
        <v>0</v>
      </c>
      <c r="M767" s="21"/>
      <c r="N767" s="23">
        <v>0</v>
      </c>
      <c r="O767" s="24"/>
      <c r="P767" s="19"/>
      <c r="Q767" s="25"/>
      <c r="R767" s="25"/>
      <c r="S767" s="19"/>
      <c r="T767" s="26"/>
      <c r="U767" s="27" t="s">
        <v>21</v>
      </c>
      <c r="V767" s="28" t="s">
        <v>2857</v>
      </c>
      <c r="W767" s="29" t="s">
        <v>26</v>
      </c>
    </row>
    <row r="768" spans="1:23" ht="30" customHeight="1">
      <c r="A768" s="19" t="s">
        <v>5590</v>
      </c>
      <c r="B768" s="19" t="s">
        <v>5569</v>
      </c>
      <c r="C768" s="19"/>
      <c r="D768" s="19" t="s">
        <v>3052</v>
      </c>
      <c r="E768" s="20" t="s">
        <v>3053</v>
      </c>
      <c r="F768" s="19"/>
      <c r="G768" s="21" t="s">
        <v>29</v>
      </c>
      <c r="H768" s="22" t="b">
        <v>0</v>
      </c>
      <c r="I768" s="22" t="b">
        <v>0</v>
      </c>
      <c r="J768" s="22" t="b">
        <v>0</v>
      </c>
      <c r="K768" s="22" t="b">
        <v>0</v>
      </c>
      <c r="L768" s="22" t="b">
        <v>0</v>
      </c>
      <c r="M768" s="21"/>
      <c r="N768" s="23">
        <v>0</v>
      </c>
      <c r="O768" s="24"/>
      <c r="P768" s="19"/>
      <c r="Q768" s="25"/>
      <c r="R768" s="25"/>
      <c r="S768" s="19"/>
      <c r="T768" s="26"/>
      <c r="U768" s="27" t="s">
        <v>21</v>
      </c>
      <c r="V768" s="28" t="s">
        <v>2771</v>
      </c>
      <c r="W768" s="29" t="s">
        <v>26</v>
      </c>
    </row>
    <row r="769" spans="1:23" ht="30" customHeight="1">
      <c r="A769" s="19" t="s">
        <v>5590</v>
      </c>
      <c r="B769" s="19" t="s">
        <v>5569</v>
      </c>
      <c r="C769" s="19"/>
      <c r="D769" s="19" t="s">
        <v>3056</v>
      </c>
      <c r="E769" s="20" t="s">
        <v>3057</v>
      </c>
      <c r="F769" s="19"/>
      <c r="G769" s="21" t="s">
        <v>22</v>
      </c>
      <c r="H769" s="22" t="b">
        <v>0</v>
      </c>
      <c r="I769" s="22" t="b">
        <v>0</v>
      </c>
      <c r="J769" s="22" t="b">
        <v>0</v>
      </c>
      <c r="K769" s="22" t="b">
        <v>0</v>
      </c>
      <c r="L769" s="22" t="b">
        <v>0</v>
      </c>
      <c r="M769" s="21"/>
      <c r="N769" s="23">
        <v>0</v>
      </c>
      <c r="O769" s="24"/>
      <c r="P769" s="19"/>
      <c r="Q769" s="25"/>
      <c r="R769" s="25"/>
      <c r="S769" s="19"/>
      <c r="T769" s="26"/>
      <c r="U769" s="27" t="s">
        <v>21</v>
      </c>
      <c r="V769" s="28" t="s">
        <v>1320</v>
      </c>
      <c r="W769" s="29" t="s">
        <v>26</v>
      </c>
    </row>
    <row r="770" spans="1:23" ht="30" customHeight="1">
      <c r="A770" s="19" t="s">
        <v>5590</v>
      </c>
      <c r="B770" s="19" t="s">
        <v>5569</v>
      </c>
      <c r="C770" s="19"/>
      <c r="D770" s="19" t="s">
        <v>3060</v>
      </c>
      <c r="E770" s="20" t="s">
        <v>3061</v>
      </c>
      <c r="F770" s="19"/>
      <c r="G770" s="21" t="s">
        <v>39</v>
      </c>
      <c r="H770" s="22" t="b">
        <v>0</v>
      </c>
      <c r="I770" s="22" t="b">
        <v>0</v>
      </c>
      <c r="J770" s="22" t="b">
        <v>0</v>
      </c>
      <c r="K770" s="22" t="b">
        <v>0</v>
      </c>
      <c r="L770" s="22" t="b">
        <v>0</v>
      </c>
      <c r="M770" s="21"/>
      <c r="N770" s="23">
        <v>0</v>
      </c>
      <c r="O770" s="24"/>
      <c r="P770" s="19"/>
      <c r="Q770" s="25"/>
      <c r="R770" s="25"/>
      <c r="S770" s="19"/>
      <c r="T770" s="26"/>
      <c r="U770" s="27" t="s">
        <v>21</v>
      </c>
      <c r="V770" s="28" t="s">
        <v>3062</v>
      </c>
      <c r="W770" s="29" t="s">
        <v>26</v>
      </c>
    </row>
    <row r="771" spans="1:23" ht="30" customHeight="1">
      <c r="A771" s="19" t="s">
        <v>5591</v>
      </c>
      <c r="B771" s="19" t="s">
        <v>5569</v>
      </c>
      <c r="C771" s="19"/>
      <c r="D771" s="19" t="s">
        <v>3066</v>
      </c>
      <c r="E771" s="20" t="s">
        <v>3067</v>
      </c>
      <c r="F771" s="19"/>
      <c r="G771" s="21" t="s">
        <v>22</v>
      </c>
      <c r="H771" s="22" t="b">
        <v>0</v>
      </c>
      <c r="I771" s="22" t="b">
        <v>0</v>
      </c>
      <c r="J771" s="22" t="b">
        <v>0</v>
      </c>
      <c r="K771" s="22" t="b">
        <v>0</v>
      </c>
      <c r="L771" s="22" t="b">
        <v>0</v>
      </c>
      <c r="M771" s="21"/>
      <c r="N771" s="23">
        <v>0</v>
      </c>
      <c r="O771" s="24"/>
      <c r="P771" s="19"/>
      <c r="Q771" s="25"/>
      <c r="R771" s="25"/>
      <c r="S771" s="19"/>
      <c r="T771" s="26"/>
      <c r="U771" s="27" t="s">
        <v>21</v>
      </c>
      <c r="V771" s="28" t="s">
        <v>361</v>
      </c>
      <c r="W771" s="29" t="s">
        <v>26</v>
      </c>
    </row>
    <row r="772" spans="1:23" ht="30" customHeight="1">
      <c r="A772" s="19" t="s">
        <v>5591</v>
      </c>
      <c r="B772" s="19" t="s">
        <v>5569</v>
      </c>
      <c r="C772" s="19"/>
      <c r="D772" s="19" t="s">
        <v>3070</v>
      </c>
      <c r="E772" s="20" t="s">
        <v>3071</v>
      </c>
      <c r="F772" s="19"/>
      <c r="G772" s="21" t="s">
        <v>29</v>
      </c>
      <c r="H772" s="22" t="b">
        <v>0</v>
      </c>
      <c r="I772" s="22" t="b">
        <v>0</v>
      </c>
      <c r="J772" s="22" t="b">
        <v>0</v>
      </c>
      <c r="K772" s="22" t="b">
        <v>0</v>
      </c>
      <c r="L772" s="22" t="b">
        <v>0</v>
      </c>
      <c r="M772" s="21"/>
      <c r="N772" s="23">
        <v>0</v>
      </c>
      <c r="O772" s="24"/>
      <c r="P772" s="19"/>
      <c r="Q772" s="25"/>
      <c r="R772" s="25"/>
      <c r="S772" s="19"/>
      <c r="T772" s="26"/>
      <c r="U772" s="27" t="s">
        <v>21</v>
      </c>
      <c r="V772" s="28" t="s">
        <v>370</v>
      </c>
      <c r="W772" s="29" t="s">
        <v>26</v>
      </c>
    </row>
    <row r="773" spans="1:23" ht="30" customHeight="1">
      <c r="A773" s="19" t="s">
        <v>5591</v>
      </c>
      <c r="B773" s="19" t="s">
        <v>5569</v>
      </c>
      <c r="C773" s="19"/>
      <c r="D773" s="19" t="s">
        <v>3073</v>
      </c>
      <c r="E773" s="20" t="s">
        <v>3074</v>
      </c>
      <c r="F773" s="19"/>
      <c r="G773" s="21" t="s">
        <v>22</v>
      </c>
      <c r="H773" s="22" t="b">
        <v>0</v>
      </c>
      <c r="I773" s="22" t="b">
        <v>0</v>
      </c>
      <c r="J773" s="22" t="b">
        <v>0</v>
      </c>
      <c r="K773" s="22" t="b">
        <v>0</v>
      </c>
      <c r="L773" s="22" t="b">
        <v>0</v>
      </c>
      <c r="M773" s="21"/>
      <c r="N773" s="23">
        <v>0</v>
      </c>
      <c r="O773" s="24"/>
      <c r="P773" s="19"/>
      <c r="Q773" s="25"/>
      <c r="R773" s="25"/>
      <c r="S773" s="19"/>
      <c r="T773" s="26"/>
      <c r="U773" s="27" t="s">
        <v>21</v>
      </c>
      <c r="V773" s="28" t="s">
        <v>3075</v>
      </c>
      <c r="W773" s="29" t="s">
        <v>26</v>
      </c>
    </row>
    <row r="774" spans="1:23" ht="30" customHeight="1">
      <c r="A774" s="19" t="s">
        <v>5591</v>
      </c>
      <c r="B774" s="19" t="s">
        <v>5569</v>
      </c>
      <c r="C774" s="19"/>
      <c r="D774" s="19" t="s">
        <v>3078</v>
      </c>
      <c r="E774" s="20" t="s">
        <v>3079</v>
      </c>
      <c r="F774" s="19"/>
      <c r="G774" s="21" t="s">
        <v>29</v>
      </c>
      <c r="H774" s="22" t="b">
        <v>0</v>
      </c>
      <c r="I774" s="22" t="b">
        <v>0</v>
      </c>
      <c r="J774" s="22" t="b">
        <v>0</v>
      </c>
      <c r="K774" s="22" t="b">
        <v>0</v>
      </c>
      <c r="L774" s="22" t="b">
        <v>0</v>
      </c>
      <c r="M774" s="21"/>
      <c r="N774" s="23">
        <v>0</v>
      </c>
      <c r="O774" s="24"/>
      <c r="P774" s="19"/>
      <c r="Q774" s="25"/>
      <c r="R774" s="25"/>
      <c r="S774" s="19"/>
      <c r="T774" s="26"/>
      <c r="U774" s="27" t="s">
        <v>21</v>
      </c>
      <c r="V774" s="28" t="s">
        <v>3080</v>
      </c>
      <c r="W774" s="29" t="s">
        <v>26</v>
      </c>
    </row>
    <row r="775" spans="1:23" ht="30" customHeight="1">
      <c r="A775" s="19" t="s">
        <v>5591</v>
      </c>
      <c r="B775" s="19" t="s">
        <v>5569</v>
      </c>
      <c r="C775" s="19"/>
      <c r="D775" s="19" t="s">
        <v>3082</v>
      </c>
      <c r="E775" s="20" t="s">
        <v>3083</v>
      </c>
      <c r="F775" s="19"/>
      <c r="G775" s="21" t="s">
        <v>22</v>
      </c>
      <c r="H775" s="22" t="b">
        <v>0</v>
      </c>
      <c r="I775" s="22" t="b">
        <v>0</v>
      </c>
      <c r="J775" s="22" t="b">
        <v>0</v>
      </c>
      <c r="K775" s="22" t="b">
        <v>0</v>
      </c>
      <c r="L775" s="22" t="b">
        <v>0</v>
      </c>
      <c r="M775" s="21"/>
      <c r="N775" s="23">
        <v>0</v>
      </c>
      <c r="O775" s="24"/>
      <c r="P775" s="19"/>
      <c r="Q775" s="25"/>
      <c r="R775" s="25"/>
      <c r="S775" s="19"/>
      <c r="T775" s="26"/>
      <c r="U775" s="27" t="s">
        <v>21</v>
      </c>
      <c r="V775" s="28" t="s">
        <v>3084</v>
      </c>
      <c r="W775" s="29" t="s">
        <v>26</v>
      </c>
    </row>
    <row r="776" spans="1:23" ht="30" customHeight="1">
      <c r="A776" s="19" t="s">
        <v>5591</v>
      </c>
      <c r="B776" s="19" t="s">
        <v>5569</v>
      </c>
      <c r="C776" s="19"/>
      <c r="D776" s="19" t="s">
        <v>3087</v>
      </c>
      <c r="E776" s="20" t="s">
        <v>3088</v>
      </c>
      <c r="F776" s="19"/>
      <c r="G776" s="21" t="s">
        <v>29</v>
      </c>
      <c r="H776" s="22" t="b">
        <v>0</v>
      </c>
      <c r="I776" s="22" t="b">
        <v>0</v>
      </c>
      <c r="J776" s="22" t="b">
        <v>0</v>
      </c>
      <c r="K776" s="22" t="b">
        <v>0</v>
      </c>
      <c r="L776" s="22" t="b">
        <v>0</v>
      </c>
      <c r="M776" s="21"/>
      <c r="N776" s="23">
        <v>0</v>
      </c>
      <c r="O776" s="24"/>
      <c r="P776" s="19"/>
      <c r="Q776" s="25"/>
      <c r="R776" s="25"/>
      <c r="S776" s="19"/>
      <c r="T776" s="26"/>
      <c r="U776" s="27" t="s">
        <v>21</v>
      </c>
      <c r="V776" s="28" t="s">
        <v>361</v>
      </c>
      <c r="W776" s="29" t="s">
        <v>26</v>
      </c>
    </row>
    <row r="777" spans="1:23" ht="30" customHeight="1">
      <c r="A777" s="19" t="s">
        <v>5591</v>
      </c>
      <c r="B777" s="19" t="s">
        <v>5569</v>
      </c>
      <c r="C777" s="19"/>
      <c r="D777" s="19" t="s">
        <v>3091</v>
      </c>
      <c r="E777" s="20" t="s">
        <v>3092</v>
      </c>
      <c r="F777" s="19"/>
      <c r="G777" s="21" t="s">
        <v>29</v>
      </c>
      <c r="H777" s="22" t="b">
        <v>0</v>
      </c>
      <c r="I777" s="22" t="b">
        <v>0</v>
      </c>
      <c r="J777" s="22" t="b">
        <v>0</v>
      </c>
      <c r="K777" s="22" t="b">
        <v>0</v>
      </c>
      <c r="L777" s="22" t="b">
        <v>0</v>
      </c>
      <c r="M777" s="21"/>
      <c r="N777" s="23">
        <v>0</v>
      </c>
      <c r="O777" s="24"/>
      <c r="P777" s="19"/>
      <c r="Q777" s="25"/>
      <c r="R777" s="25"/>
      <c r="S777" s="19"/>
      <c r="T777" s="26"/>
      <c r="U777" s="27" t="s">
        <v>21</v>
      </c>
      <c r="V777" s="28" t="s">
        <v>3093</v>
      </c>
      <c r="W777" s="29" t="s">
        <v>26</v>
      </c>
    </row>
    <row r="778" spans="1:23" ht="30" customHeight="1">
      <c r="A778" s="19" t="s">
        <v>5591</v>
      </c>
      <c r="B778" s="19" t="s">
        <v>5569</v>
      </c>
      <c r="C778" s="19"/>
      <c r="D778" s="19" t="s">
        <v>3096</v>
      </c>
      <c r="E778" s="20" t="s">
        <v>3097</v>
      </c>
      <c r="F778" s="19"/>
      <c r="G778" s="21" t="s">
        <v>29</v>
      </c>
      <c r="H778" s="22" t="b">
        <v>0</v>
      </c>
      <c r="I778" s="22" t="b">
        <v>0</v>
      </c>
      <c r="J778" s="22" t="b">
        <v>0</v>
      </c>
      <c r="K778" s="22" t="b">
        <v>0</v>
      </c>
      <c r="L778" s="22" t="b">
        <v>0</v>
      </c>
      <c r="M778" s="21"/>
      <c r="N778" s="23">
        <v>0</v>
      </c>
      <c r="O778" s="24"/>
      <c r="P778" s="19"/>
      <c r="Q778" s="25"/>
      <c r="R778" s="25"/>
      <c r="S778" s="19"/>
      <c r="T778" s="26"/>
      <c r="U778" s="27" t="s">
        <v>21</v>
      </c>
      <c r="V778" s="28" t="s">
        <v>3098</v>
      </c>
      <c r="W778" s="29" t="s">
        <v>26</v>
      </c>
    </row>
    <row r="779" spans="1:23" ht="30" customHeight="1">
      <c r="A779" s="19" t="s">
        <v>5591</v>
      </c>
      <c r="B779" s="19" t="s">
        <v>5569</v>
      </c>
      <c r="C779" s="19"/>
      <c r="D779" s="19" t="s">
        <v>3101</v>
      </c>
      <c r="E779" s="20" t="s">
        <v>3102</v>
      </c>
      <c r="F779" s="19"/>
      <c r="G779" s="21" t="s">
        <v>22</v>
      </c>
      <c r="H779" s="22" t="b">
        <v>0</v>
      </c>
      <c r="I779" s="22" t="b">
        <v>0</v>
      </c>
      <c r="J779" s="22" t="b">
        <v>0</v>
      </c>
      <c r="K779" s="22" t="b">
        <v>0</v>
      </c>
      <c r="L779" s="22" t="b">
        <v>0</v>
      </c>
      <c r="M779" s="21"/>
      <c r="N779" s="23">
        <v>0</v>
      </c>
      <c r="O779" s="24"/>
      <c r="P779" s="19"/>
      <c r="Q779" s="25"/>
      <c r="R779" s="25"/>
      <c r="S779" s="19"/>
      <c r="T779" s="26"/>
      <c r="U779" s="27" t="s">
        <v>21</v>
      </c>
      <c r="V779" s="28" t="s">
        <v>370</v>
      </c>
      <c r="W779" s="29" t="s">
        <v>26</v>
      </c>
    </row>
    <row r="780" spans="1:23" ht="30" customHeight="1">
      <c r="A780" s="19" t="s">
        <v>5591</v>
      </c>
      <c r="B780" s="19" t="s">
        <v>5569</v>
      </c>
      <c r="C780" s="19"/>
      <c r="D780" s="19" t="s">
        <v>3105</v>
      </c>
      <c r="E780" s="20" t="s">
        <v>3106</v>
      </c>
      <c r="F780" s="19"/>
      <c r="G780" s="21" t="s">
        <v>22</v>
      </c>
      <c r="H780" s="22" t="b">
        <v>0</v>
      </c>
      <c r="I780" s="22" t="b">
        <v>0</v>
      </c>
      <c r="J780" s="22" t="b">
        <v>0</v>
      </c>
      <c r="K780" s="22" t="b">
        <v>0</v>
      </c>
      <c r="L780" s="22" t="b">
        <v>0</v>
      </c>
      <c r="M780" s="21"/>
      <c r="N780" s="23">
        <v>0</v>
      </c>
      <c r="O780" s="24"/>
      <c r="P780" s="19"/>
      <c r="Q780" s="25"/>
      <c r="R780" s="25"/>
      <c r="S780" s="19"/>
      <c r="T780" s="26"/>
      <c r="U780" s="27" t="s">
        <v>21</v>
      </c>
      <c r="V780" s="28" t="s">
        <v>361</v>
      </c>
      <c r="W780" s="29" t="s">
        <v>26</v>
      </c>
    </row>
    <row r="781" spans="1:23" ht="30" customHeight="1">
      <c r="A781" s="19" t="s">
        <v>5591</v>
      </c>
      <c r="B781" s="19" t="s">
        <v>5569</v>
      </c>
      <c r="C781" s="19"/>
      <c r="D781" s="19" t="s">
        <v>3108</v>
      </c>
      <c r="E781" s="20" t="s">
        <v>3109</v>
      </c>
      <c r="F781" s="19"/>
      <c r="G781" s="21" t="s">
        <v>22</v>
      </c>
      <c r="H781" s="22" t="b">
        <v>0</v>
      </c>
      <c r="I781" s="22" t="b">
        <v>0</v>
      </c>
      <c r="J781" s="22" t="b">
        <v>0</v>
      </c>
      <c r="K781" s="22" t="b">
        <v>0</v>
      </c>
      <c r="L781" s="22" t="b">
        <v>0</v>
      </c>
      <c r="M781" s="21"/>
      <c r="N781" s="23">
        <v>0</v>
      </c>
      <c r="O781" s="24"/>
      <c r="P781" s="19"/>
      <c r="Q781" s="25"/>
      <c r="R781" s="25"/>
      <c r="S781" s="19"/>
      <c r="T781" s="26"/>
      <c r="U781" s="27" t="s">
        <v>21</v>
      </c>
      <c r="V781" s="28" t="s">
        <v>3110</v>
      </c>
      <c r="W781" s="29" t="s">
        <v>26</v>
      </c>
    </row>
    <row r="782" spans="1:23" ht="30" customHeight="1">
      <c r="A782" s="19" t="s">
        <v>5591</v>
      </c>
      <c r="B782" s="19" t="s">
        <v>5569</v>
      </c>
      <c r="C782" s="19"/>
      <c r="D782" s="19" t="s">
        <v>3113</v>
      </c>
      <c r="E782" s="20" t="s">
        <v>3114</v>
      </c>
      <c r="F782" s="19"/>
      <c r="G782" s="21" t="s">
        <v>29</v>
      </c>
      <c r="H782" s="22" t="b">
        <v>0</v>
      </c>
      <c r="I782" s="22" t="b">
        <v>0</v>
      </c>
      <c r="J782" s="22" t="b">
        <v>0</v>
      </c>
      <c r="K782" s="22" t="b">
        <v>0</v>
      </c>
      <c r="L782" s="22" t="b">
        <v>0</v>
      </c>
      <c r="M782" s="21"/>
      <c r="N782" s="23">
        <v>0</v>
      </c>
      <c r="O782" s="24"/>
      <c r="P782" s="19"/>
      <c r="Q782" s="25"/>
      <c r="R782" s="25"/>
      <c r="S782" s="19"/>
      <c r="T782" s="26"/>
      <c r="U782" s="27" t="s">
        <v>21</v>
      </c>
      <c r="V782" s="28" t="s">
        <v>3115</v>
      </c>
      <c r="W782" s="29" t="s">
        <v>26</v>
      </c>
    </row>
    <row r="783" spans="1:23" ht="30" customHeight="1">
      <c r="A783" s="19" t="s">
        <v>5591</v>
      </c>
      <c r="B783" s="19" t="s">
        <v>5569</v>
      </c>
      <c r="C783" s="19"/>
      <c r="D783" s="19" t="s">
        <v>3117</v>
      </c>
      <c r="E783" s="20" t="s">
        <v>3118</v>
      </c>
      <c r="F783" s="19"/>
      <c r="G783" s="21" t="s">
        <v>29</v>
      </c>
      <c r="H783" s="22" t="b">
        <v>0</v>
      </c>
      <c r="I783" s="22" t="b">
        <v>0</v>
      </c>
      <c r="J783" s="22" t="b">
        <v>0</v>
      </c>
      <c r="K783" s="22" t="b">
        <v>0</v>
      </c>
      <c r="L783" s="22" t="b">
        <v>0</v>
      </c>
      <c r="M783" s="21"/>
      <c r="N783" s="23">
        <v>0</v>
      </c>
      <c r="O783" s="24"/>
      <c r="P783" s="19"/>
      <c r="Q783" s="25"/>
      <c r="R783" s="25"/>
      <c r="S783" s="19"/>
      <c r="T783" s="26"/>
      <c r="U783" s="27" t="s">
        <v>21</v>
      </c>
      <c r="V783" s="28" t="s">
        <v>370</v>
      </c>
      <c r="W783" s="29" t="s">
        <v>26</v>
      </c>
    </row>
    <row r="784" spans="1:23" ht="30" customHeight="1">
      <c r="A784" s="19" t="s">
        <v>5591</v>
      </c>
      <c r="B784" s="19" t="s">
        <v>5569</v>
      </c>
      <c r="C784" s="19"/>
      <c r="D784" s="19" t="s">
        <v>3121</v>
      </c>
      <c r="E784" s="20" t="s">
        <v>3122</v>
      </c>
      <c r="F784" s="19"/>
      <c r="G784" s="21" t="s">
        <v>22</v>
      </c>
      <c r="H784" s="22" t="b">
        <v>0</v>
      </c>
      <c r="I784" s="22" t="b">
        <v>0</v>
      </c>
      <c r="J784" s="22" t="b">
        <v>0</v>
      </c>
      <c r="K784" s="22" t="b">
        <v>0</v>
      </c>
      <c r="L784" s="22" t="b">
        <v>0</v>
      </c>
      <c r="M784" s="21"/>
      <c r="N784" s="23">
        <v>0</v>
      </c>
      <c r="O784" s="24"/>
      <c r="P784" s="19"/>
      <c r="Q784" s="25"/>
      <c r="R784" s="25"/>
      <c r="S784" s="19"/>
      <c r="T784" s="26"/>
      <c r="U784" s="27" t="s">
        <v>21</v>
      </c>
      <c r="V784" s="28" t="s">
        <v>3123</v>
      </c>
      <c r="W784" s="29" t="s">
        <v>26</v>
      </c>
    </row>
    <row r="785" spans="1:23" ht="30" customHeight="1">
      <c r="A785" s="19" t="s">
        <v>5591</v>
      </c>
      <c r="B785" s="19" t="s">
        <v>5569</v>
      </c>
      <c r="C785" s="19"/>
      <c r="D785" s="19" t="s">
        <v>3126</v>
      </c>
      <c r="E785" s="20" t="s">
        <v>3127</v>
      </c>
      <c r="F785" s="19"/>
      <c r="G785" s="21" t="s">
        <v>29</v>
      </c>
      <c r="H785" s="22" t="b">
        <v>0</v>
      </c>
      <c r="I785" s="22" t="b">
        <v>0</v>
      </c>
      <c r="J785" s="22" t="b">
        <v>0</v>
      </c>
      <c r="K785" s="22" t="b">
        <v>0</v>
      </c>
      <c r="L785" s="22" t="b">
        <v>0</v>
      </c>
      <c r="M785" s="21"/>
      <c r="N785" s="23">
        <v>0</v>
      </c>
      <c r="O785" s="24"/>
      <c r="P785" s="19"/>
      <c r="Q785" s="25"/>
      <c r="R785" s="25"/>
      <c r="S785" s="19"/>
      <c r="T785" s="26"/>
      <c r="U785" s="30" t="s">
        <v>34</v>
      </c>
      <c r="V785" s="28" t="s">
        <v>3128</v>
      </c>
      <c r="W785" s="29" t="s">
        <v>26</v>
      </c>
    </row>
    <row r="786" spans="1:23" ht="30" customHeight="1">
      <c r="A786" s="19" t="s">
        <v>5591</v>
      </c>
      <c r="B786" s="19" t="s">
        <v>5569</v>
      </c>
      <c r="C786" s="19"/>
      <c r="D786" s="19" t="s">
        <v>3131</v>
      </c>
      <c r="E786" s="20" t="s">
        <v>3132</v>
      </c>
      <c r="F786" s="19"/>
      <c r="G786" s="21" t="s">
        <v>22</v>
      </c>
      <c r="H786" s="22" t="b">
        <v>0</v>
      </c>
      <c r="I786" s="22" t="b">
        <v>0</v>
      </c>
      <c r="J786" s="22" t="b">
        <v>0</v>
      </c>
      <c r="K786" s="22" t="b">
        <v>0</v>
      </c>
      <c r="L786" s="22" t="b">
        <v>0</v>
      </c>
      <c r="M786" s="21"/>
      <c r="N786" s="23">
        <v>0</v>
      </c>
      <c r="O786" s="24"/>
      <c r="P786" s="19"/>
      <c r="Q786" s="25"/>
      <c r="R786" s="25"/>
      <c r="S786" s="19"/>
      <c r="T786" s="26"/>
      <c r="U786" s="30" t="s">
        <v>34</v>
      </c>
      <c r="V786" s="28" t="s">
        <v>3133</v>
      </c>
      <c r="W786" s="29" t="s">
        <v>26</v>
      </c>
    </row>
    <row r="787" spans="1:23" ht="30" customHeight="1">
      <c r="A787" s="19" t="s">
        <v>5591</v>
      </c>
      <c r="B787" s="19" t="s">
        <v>5569</v>
      </c>
      <c r="C787" s="19"/>
      <c r="D787" s="19" t="s">
        <v>3135</v>
      </c>
      <c r="E787" s="20" t="s">
        <v>3136</v>
      </c>
      <c r="F787" s="19"/>
      <c r="G787" s="21" t="s">
        <v>29</v>
      </c>
      <c r="H787" s="22" t="b">
        <v>0</v>
      </c>
      <c r="I787" s="22" t="b">
        <v>0</v>
      </c>
      <c r="J787" s="22" t="b">
        <v>0</v>
      </c>
      <c r="K787" s="22" t="b">
        <v>0</v>
      </c>
      <c r="L787" s="22" t="b">
        <v>0</v>
      </c>
      <c r="M787" s="21"/>
      <c r="N787" s="23">
        <v>0</v>
      </c>
      <c r="O787" s="24"/>
      <c r="P787" s="19"/>
      <c r="Q787" s="25"/>
      <c r="R787" s="25"/>
      <c r="S787" s="19"/>
      <c r="T787" s="26"/>
      <c r="U787" s="27" t="s">
        <v>21</v>
      </c>
      <c r="V787" s="28" t="s">
        <v>361</v>
      </c>
      <c r="W787" s="29" t="s">
        <v>26</v>
      </c>
    </row>
    <row r="788" spans="1:23" ht="30" customHeight="1">
      <c r="A788" s="19" t="s">
        <v>5591</v>
      </c>
      <c r="B788" s="19" t="s">
        <v>5569</v>
      </c>
      <c r="C788" s="19"/>
      <c r="D788" s="19" t="s">
        <v>3139</v>
      </c>
      <c r="E788" s="20" t="s">
        <v>3140</v>
      </c>
      <c r="F788" s="19"/>
      <c r="G788" s="21" t="s">
        <v>29</v>
      </c>
      <c r="H788" s="22" t="b">
        <v>0</v>
      </c>
      <c r="I788" s="22" t="b">
        <v>0</v>
      </c>
      <c r="J788" s="22" t="b">
        <v>0</v>
      </c>
      <c r="K788" s="22" t="b">
        <v>0</v>
      </c>
      <c r="L788" s="22" t="b">
        <v>0</v>
      </c>
      <c r="M788" s="21"/>
      <c r="N788" s="23">
        <v>0</v>
      </c>
      <c r="O788" s="24"/>
      <c r="P788" s="19"/>
      <c r="Q788" s="25"/>
      <c r="R788" s="25"/>
      <c r="S788" s="19"/>
      <c r="T788" s="26"/>
      <c r="U788" s="27" t="s">
        <v>21</v>
      </c>
      <c r="V788" s="28" t="s">
        <v>3141</v>
      </c>
      <c r="W788" s="29" t="s">
        <v>26</v>
      </c>
    </row>
    <row r="789" spans="1:23" ht="30" customHeight="1">
      <c r="A789" s="19" t="s">
        <v>5591</v>
      </c>
      <c r="B789" s="19" t="s">
        <v>5569</v>
      </c>
      <c r="C789" s="19"/>
      <c r="D789" s="19" t="s">
        <v>3143</v>
      </c>
      <c r="E789" s="20" t="s">
        <v>3144</v>
      </c>
      <c r="F789" s="19"/>
      <c r="G789" s="21" t="s">
        <v>22</v>
      </c>
      <c r="H789" s="22" t="b">
        <v>0</v>
      </c>
      <c r="I789" s="22" t="b">
        <v>0</v>
      </c>
      <c r="J789" s="22" t="b">
        <v>0</v>
      </c>
      <c r="K789" s="22" t="b">
        <v>0</v>
      </c>
      <c r="L789" s="22" t="b">
        <v>0</v>
      </c>
      <c r="M789" s="21"/>
      <c r="N789" s="23">
        <v>0</v>
      </c>
      <c r="O789" s="24"/>
      <c r="P789" s="19"/>
      <c r="Q789" s="25"/>
      <c r="R789" s="25"/>
      <c r="S789" s="19"/>
      <c r="T789" s="26"/>
      <c r="U789" s="27" t="s">
        <v>21</v>
      </c>
      <c r="V789" s="28" t="s">
        <v>370</v>
      </c>
      <c r="W789" s="29" t="s">
        <v>26</v>
      </c>
    </row>
    <row r="790" spans="1:23" ht="30" customHeight="1">
      <c r="A790" s="19" t="s">
        <v>5591</v>
      </c>
      <c r="B790" s="19" t="s">
        <v>5569</v>
      </c>
      <c r="C790" s="19"/>
      <c r="D790" s="19" t="s">
        <v>3147</v>
      </c>
      <c r="E790" s="20" t="s">
        <v>3148</v>
      </c>
      <c r="F790" s="19"/>
      <c r="G790" s="21" t="s">
        <v>22</v>
      </c>
      <c r="H790" s="22" t="b">
        <v>0</v>
      </c>
      <c r="I790" s="22" t="b">
        <v>0</v>
      </c>
      <c r="J790" s="22" t="b">
        <v>0</v>
      </c>
      <c r="K790" s="22" t="b">
        <v>0</v>
      </c>
      <c r="L790" s="22" t="b">
        <v>0</v>
      </c>
      <c r="M790" s="21"/>
      <c r="N790" s="23">
        <v>0</v>
      </c>
      <c r="O790" s="24"/>
      <c r="P790" s="19"/>
      <c r="Q790" s="25"/>
      <c r="R790" s="25"/>
      <c r="S790" s="19"/>
      <c r="T790" s="26"/>
      <c r="U790" s="27" t="s">
        <v>21</v>
      </c>
      <c r="V790" s="28" t="s">
        <v>361</v>
      </c>
      <c r="W790" s="29" t="s">
        <v>26</v>
      </c>
    </row>
    <row r="791" spans="1:23" ht="30" customHeight="1">
      <c r="A791" s="19" t="s">
        <v>5591</v>
      </c>
      <c r="B791" s="19" t="s">
        <v>5569</v>
      </c>
      <c r="C791" s="19"/>
      <c r="D791" s="19" t="s">
        <v>3151</v>
      </c>
      <c r="E791" s="20" t="s">
        <v>3152</v>
      </c>
      <c r="F791" s="19"/>
      <c r="G791" s="21" t="s">
        <v>22</v>
      </c>
      <c r="H791" s="22" t="b">
        <v>0</v>
      </c>
      <c r="I791" s="22" t="b">
        <v>0</v>
      </c>
      <c r="J791" s="22" t="b">
        <v>0</v>
      </c>
      <c r="K791" s="22" t="b">
        <v>0</v>
      </c>
      <c r="L791" s="22" t="b">
        <v>0</v>
      </c>
      <c r="M791" s="21"/>
      <c r="N791" s="23">
        <v>0</v>
      </c>
      <c r="O791" s="24"/>
      <c r="P791" s="19"/>
      <c r="Q791" s="25"/>
      <c r="R791" s="25"/>
      <c r="S791" s="19"/>
      <c r="T791" s="26"/>
      <c r="U791" s="27" t="s">
        <v>21</v>
      </c>
      <c r="V791" s="28" t="s">
        <v>3153</v>
      </c>
      <c r="W791" s="29" t="s">
        <v>26</v>
      </c>
    </row>
    <row r="792" spans="1:23" ht="30" customHeight="1">
      <c r="A792" s="19" t="s">
        <v>5591</v>
      </c>
      <c r="B792" s="19" t="s">
        <v>5569</v>
      </c>
      <c r="C792" s="19"/>
      <c r="D792" s="19" t="s">
        <v>3156</v>
      </c>
      <c r="E792" s="20" t="s">
        <v>3157</v>
      </c>
      <c r="F792" s="19"/>
      <c r="G792" s="21" t="s">
        <v>22</v>
      </c>
      <c r="H792" s="22" t="b">
        <v>0</v>
      </c>
      <c r="I792" s="22" t="b">
        <v>0</v>
      </c>
      <c r="J792" s="22" t="b">
        <v>0</v>
      </c>
      <c r="K792" s="22" t="b">
        <v>0</v>
      </c>
      <c r="L792" s="22" t="b">
        <v>0</v>
      </c>
      <c r="M792" s="21"/>
      <c r="N792" s="23">
        <v>0</v>
      </c>
      <c r="O792" s="24"/>
      <c r="P792" s="19"/>
      <c r="Q792" s="25"/>
      <c r="R792" s="25"/>
      <c r="S792" s="19"/>
      <c r="T792" s="26"/>
      <c r="U792" s="27" t="s">
        <v>21</v>
      </c>
      <c r="V792" s="28" t="s">
        <v>370</v>
      </c>
      <c r="W792" s="29" t="s">
        <v>26</v>
      </c>
    </row>
    <row r="793" spans="1:23" ht="30" customHeight="1">
      <c r="A793" s="19" t="s">
        <v>5591</v>
      </c>
      <c r="B793" s="19" t="s">
        <v>5569</v>
      </c>
      <c r="C793" s="19"/>
      <c r="D793" s="19" t="s">
        <v>3160</v>
      </c>
      <c r="E793" s="20" t="s">
        <v>3161</v>
      </c>
      <c r="F793" s="19"/>
      <c r="G793" s="21" t="s">
        <v>22</v>
      </c>
      <c r="H793" s="22" t="b">
        <v>0</v>
      </c>
      <c r="I793" s="22" t="b">
        <v>0</v>
      </c>
      <c r="J793" s="22" t="b">
        <v>0</v>
      </c>
      <c r="K793" s="22" t="b">
        <v>0</v>
      </c>
      <c r="L793" s="22" t="b">
        <v>0</v>
      </c>
      <c r="M793" s="21"/>
      <c r="N793" s="23">
        <v>0</v>
      </c>
      <c r="O793" s="24"/>
      <c r="P793" s="19"/>
      <c r="Q793" s="25"/>
      <c r="R793" s="25"/>
      <c r="S793" s="19"/>
      <c r="T793" s="26"/>
      <c r="U793" s="27" t="s">
        <v>21</v>
      </c>
      <c r="V793" s="28" t="s">
        <v>361</v>
      </c>
      <c r="W793" s="29" t="s">
        <v>26</v>
      </c>
    </row>
    <row r="794" spans="1:23" ht="30" customHeight="1">
      <c r="A794" s="19" t="s">
        <v>5591</v>
      </c>
      <c r="B794" s="19" t="s">
        <v>5569</v>
      </c>
      <c r="C794" s="19"/>
      <c r="D794" s="19" t="s">
        <v>3163</v>
      </c>
      <c r="E794" s="20" t="s">
        <v>3164</v>
      </c>
      <c r="F794" s="19"/>
      <c r="G794" s="21" t="s">
        <v>22</v>
      </c>
      <c r="H794" s="22" t="b">
        <v>0</v>
      </c>
      <c r="I794" s="22" t="b">
        <v>0</v>
      </c>
      <c r="J794" s="22" t="b">
        <v>0</v>
      </c>
      <c r="K794" s="22" t="b">
        <v>0</v>
      </c>
      <c r="L794" s="22" t="b">
        <v>0</v>
      </c>
      <c r="M794" s="21"/>
      <c r="N794" s="23">
        <v>0</v>
      </c>
      <c r="O794" s="24"/>
      <c r="P794" s="19"/>
      <c r="Q794" s="25"/>
      <c r="R794" s="25"/>
      <c r="S794" s="19"/>
      <c r="T794" s="26"/>
      <c r="U794" s="27" t="s">
        <v>21</v>
      </c>
      <c r="V794" s="28" t="s">
        <v>1320</v>
      </c>
      <c r="W794" s="29" t="s">
        <v>26</v>
      </c>
    </row>
    <row r="795" spans="1:23" ht="30" customHeight="1">
      <c r="A795" s="19" t="s">
        <v>5591</v>
      </c>
      <c r="B795" s="19" t="s">
        <v>5569</v>
      </c>
      <c r="C795" s="19"/>
      <c r="D795" s="19" t="s">
        <v>3166</v>
      </c>
      <c r="E795" s="20" t="s">
        <v>3167</v>
      </c>
      <c r="F795" s="19"/>
      <c r="G795" s="21" t="s">
        <v>22</v>
      </c>
      <c r="H795" s="22" t="b">
        <v>0</v>
      </c>
      <c r="I795" s="22" t="b">
        <v>0</v>
      </c>
      <c r="J795" s="22" t="b">
        <v>0</v>
      </c>
      <c r="K795" s="22" t="b">
        <v>0</v>
      </c>
      <c r="L795" s="22" t="b">
        <v>0</v>
      </c>
      <c r="M795" s="21"/>
      <c r="N795" s="23">
        <v>0</v>
      </c>
      <c r="O795" s="24"/>
      <c r="P795" s="19"/>
      <c r="Q795" s="25"/>
      <c r="R795" s="25"/>
      <c r="S795" s="19"/>
      <c r="T795" s="26"/>
      <c r="U795" s="27" t="s">
        <v>21</v>
      </c>
      <c r="V795" s="28" t="s">
        <v>3168</v>
      </c>
      <c r="W795" s="29" t="s">
        <v>26</v>
      </c>
    </row>
    <row r="796" spans="1:23" ht="30" customHeight="1">
      <c r="A796" s="19" t="s">
        <v>5591</v>
      </c>
      <c r="B796" s="19" t="s">
        <v>5569</v>
      </c>
      <c r="C796" s="19"/>
      <c r="D796" s="19" t="s">
        <v>3171</v>
      </c>
      <c r="E796" s="20" t="s">
        <v>3172</v>
      </c>
      <c r="F796" s="19"/>
      <c r="G796" s="21" t="s">
        <v>22</v>
      </c>
      <c r="H796" s="22" t="b">
        <v>0</v>
      </c>
      <c r="I796" s="22" t="b">
        <v>0</v>
      </c>
      <c r="J796" s="22" t="b">
        <v>0</v>
      </c>
      <c r="K796" s="22" t="b">
        <v>0</v>
      </c>
      <c r="L796" s="22" t="b">
        <v>0</v>
      </c>
      <c r="M796" s="21"/>
      <c r="N796" s="23">
        <v>0</v>
      </c>
      <c r="O796" s="24"/>
      <c r="P796" s="19"/>
      <c r="Q796" s="25"/>
      <c r="R796" s="25"/>
      <c r="S796" s="19"/>
      <c r="T796" s="26"/>
      <c r="U796" s="27" t="s">
        <v>21</v>
      </c>
      <c r="V796" s="28" t="s">
        <v>361</v>
      </c>
      <c r="W796" s="29" t="s">
        <v>26</v>
      </c>
    </row>
    <row r="797" spans="1:23" ht="30" customHeight="1">
      <c r="A797" s="19" t="s">
        <v>5591</v>
      </c>
      <c r="B797" s="19" t="s">
        <v>5569</v>
      </c>
      <c r="C797" s="19"/>
      <c r="D797" s="19" t="s">
        <v>3175</v>
      </c>
      <c r="E797" s="20" t="s">
        <v>3176</v>
      </c>
      <c r="F797" s="19"/>
      <c r="G797" s="21" t="s">
        <v>29</v>
      </c>
      <c r="H797" s="22" t="b">
        <v>0</v>
      </c>
      <c r="I797" s="22" t="b">
        <v>0</v>
      </c>
      <c r="J797" s="22" t="b">
        <v>0</v>
      </c>
      <c r="K797" s="22" t="b">
        <v>0</v>
      </c>
      <c r="L797" s="22" t="b">
        <v>0</v>
      </c>
      <c r="M797" s="21"/>
      <c r="N797" s="23">
        <v>0</v>
      </c>
      <c r="O797" s="24"/>
      <c r="P797" s="19"/>
      <c r="Q797" s="25"/>
      <c r="R797" s="25"/>
      <c r="S797" s="19"/>
      <c r="T797" s="26"/>
      <c r="U797" s="27" t="s">
        <v>21</v>
      </c>
      <c r="V797" s="28" t="s">
        <v>370</v>
      </c>
      <c r="W797" s="29" t="s">
        <v>26</v>
      </c>
    </row>
    <row r="798" spans="1:23" ht="30" customHeight="1">
      <c r="A798" s="19" t="s">
        <v>5591</v>
      </c>
      <c r="B798" s="19" t="s">
        <v>5569</v>
      </c>
      <c r="C798" s="19"/>
      <c r="D798" s="19" t="s">
        <v>3178</v>
      </c>
      <c r="E798" s="20" t="s">
        <v>3179</v>
      </c>
      <c r="F798" s="19"/>
      <c r="G798" s="21" t="s">
        <v>22</v>
      </c>
      <c r="H798" s="22" t="b">
        <v>0</v>
      </c>
      <c r="I798" s="22" t="b">
        <v>0</v>
      </c>
      <c r="J798" s="22" t="b">
        <v>0</v>
      </c>
      <c r="K798" s="22" t="b">
        <v>0</v>
      </c>
      <c r="L798" s="22" t="b">
        <v>0</v>
      </c>
      <c r="M798" s="21"/>
      <c r="N798" s="23">
        <v>0</v>
      </c>
      <c r="O798" s="24"/>
      <c r="P798" s="19"/>
      <c r="Q798" s="25"/>
      <c r="R798" s="25"/>
      <c r="S798" s="19"/>
      <c r="T798" s="26"/>
      <c r="U798" s="27" t="s">
        <v>21</v>
      </c>
      <c r="V798" s="28" t="s">
        <v>3180</v>
      </c>
      <c r="W798" s="29" t="s">
        <v>26</v>
      </c>
    </row>
    <row r="799" spans="1:23" ht="30" customHeight="1">
      <c r="A799" s="19" t="s">
        <v>5591</v>
      </c>
      <c r="B799" s="19" t="s">
        <v>5569</v>
      </c>
      <c r="C799" s="19"/>
      <c r="D799" s="19" t="s">
        <v>3183</v>
      </c>
      <c r="E799" s="20" t="s">
        <v>3184</v>
      </c>
      <c r="F799" s="19"/>
      <c r="G799" s="21" t="s">
        <v>29</v>
      </c>
      <c r="H799" s="22" t="b">
        <v>0</v>
      </c>
      <c r="I799" s="22" t="b">
        <v>0</v>
      </c>
      <c r="J799" s="22" t="b">
        <v>0</v>
      </c>
      <c r="K799" s="22" t="b">
        <v>0</v>
      </c>
      <c r="L799" s="22" t="b">
        <v>0</v>
      </c>
      <c r="M799" s="21"/>
      <c r="N799" s="23">
        <v>0</v>
      </c>
      <c r="O799" s="24"/>
      <c r="P799" s="19"/>
      <c r="Q799" s="25"/>
      <c r="R799" s="25"/>
      <c r="S799" s="19"/>
      <c r="T799" s="26"/>
      <c r="U799" s="27" t="s">
        <v>21</v>
      </c>
      <c r="V799" s="28" t="s">
        <v>2857</v>
      </c>
      <c r="W799" s="29" t="s">
        <v>26</v>
      </c>
    </row>
    <row r="800" spans="1:23" ht="30" customHeight="1">
      <c r="A800" s="19" t="s">
        <v>5591</v>
      </c>
      <c r="B800" s="19" t="s">
        <v>5569</v>
      </c>
      <c r="C800" s="19"/>
      <c r="D800" s="19" t="s">
        <v>3187</v>
      </c>
      <c r="E800" s="20" t="s">
        <v>3188</v>
      </c>
      <c r="F800" s="19"/>
      <c r="G800" s="21" t="s">
        <v>22</v>
      </c>
      <c r="H800" s="22" t="b">
        <v>0</v>
      </c>
      <c r="I800" s="22" t="b">
        <v>0</v>
      </c>
      <c r="J800" s="22" t="b">
        <v>0</v>
      </c>
      <c r="K800" s="22" t="b">
        <v>0</v>
      </c>
      <c r="L800" s="22" t="b">
        <v>0</v>
      </c>
      <c r="M800" s="21"/>
      <c r="N800" s="23">
        <v>0</v>
      </c>
      <c r="O800" s="24"/>
      <c r="P800" s="19"/>
      <c r="Q800" s="25"/>
      <c r="R800" s="25"/>
      <c r="S800" s="19"/>
      <c r="T800" s="26"/>
      <c r="U800" s="27" t="s">
        <v>21</v>
      </c>
      <c r="V800" s="28" t="s">
        <v>3189</v>
      </c>
      <c r="W800" s="29" t="s">
        <v>26</v>
      </c>
    </row>
    <row r="801" spans="1:23" ht="30" customHeight="1">
      <c r="A801" s="19" t="s">
        <v>5591</v>
      </c>
      <c r="B801" s="19" t="s">
        <v>5569</v>
      </c>
      <c r="C801" s="19"/>
      <c r="D801" s="19" t="s">
        <v>3192</v>
      </c>
      <c r="E801" s="20" t="s">
        <v>3193</v>
      </c>
      <c r="F801" s="19"/>
      <c r="G801" s="21" t="s">
        <v>22</v>
      </c>
      <c r="H801" s="22" t="b">
        <v>0</v>
      </c>
      <c r="I801" s="22" t="b">
        <v>0</v>
      </c>
      <c r="J801" s="22" t="b">
        <v>0</v>
      </c>
      <c r="K801" s="22" t="b">
        <v>0</v>
      </c>
      <c r="L801" s="22" t="b">
        <v>0</v>
      </c>
      <c r="M801" s="21"/>
      <c r="N801" s="23">
        <v>0</v>
      </c>
      <c r="O801" s="24"/>
      <c r="P801" s="19"/>
      <c r="Q801" s="25"/>
      <c r="R801" s="25"/>
      <c r="S801" s="19"/>
      <c r="T801" s="26"/>
      <c r="U801" s="27" t="s">
        <v>21</v>
      </c>
      <c r="V801" s="28" t="s">
        <v>2680</v>
      </c>
      <c r="W801" s="29" t="s">
        <v>26</v>
      </c>
    </row>
    <row r="802" spans="1:23" ht="30" customHeight="1">
      <c r="A802" s="19" t="s">
        <v>5591</v>
      </c>
      <c r="B802" s="19" t="s">
        <v>5569</v>
      </c>
      <c r="C802" s="19"/>
      <c r="D802" s="19" t="s">
        <v>3196</v>
      </c>
      <c r="E802" s="20" t="s">
        <v>3197</v>
      </c>
      <c r="F802" s="19"/>
      <c r="G802" s="21" t="s">
        <v>22</v>
      </c>
      <c r="H802" s="22" t="b">
        <v>0</v>
      </c>
      <c r="I802" s="22" t="b">
        <v>0</v>
      </c>
      <c r="J802" s="22" t="b">
        <v>0</v>
      </c>
      <c r="K802" s="22" t="b">
        <v>0</v>
      </c>
      <c r="L802" s="22" t="b">
        <v>0</v>
      </c>
      <c r="M802" s="21"/>
      <c r="N802" s="23">
        <v>0</v>
      </c>
      <c r="O802" s="24"/>
      <c r="P802" s="19"/>
      <c r="Q802" s="25"/>
      <c r="R802" s="25"/>
      <c r="S802" s="19"/>
      <c r="T802" s="26"/>
      <c r="U802" s="27" t="s">
        <v>21</v>
      </c>
      <c r="V802" s="28" t="s">
        <v>3198</v>
      </c>
      <c r="W802" s="29" t="s">
        <v>26</v>
      </c>
    </row>
    <row r="803" spans="1:23" ht="30" customHeight="1">
      <c r="A803" s="19" t="s">
        <v>5591</v>
      </c>
      <c r="B803" s="19" t="s">
        <v>5569</v>
      </c>
      <c r="C803" s="19"/>
      <c r="D803" s="19" t="s">
        <v>3200</v>
      </c>
      <c r="E803" s="20" t="s">
        <v>3201</v>
      </c>
      <c r="F803" s="19"/>
      <c r="G803" s="21" t="s">
        <v>22</v>
      </c>
      <c r="H803" s="22" t="b">
        <v>0</v>
      </c>
      <c r="I803" s="22" t="b">
        <v>0</v>
      </c>
      <c r="J803" s="22" t="b">
        <v>0</v>
      </c>
      <c r="K803" s="22" t="b">
        <v>0</v>
      </c>
      <c r="L803" s="22" t="b">
        <v>0</v>
      </c>
      <c r="M803" s="21"/>
      <c r="N803" s="23">
        <v>0</v>
      </c>
      <c r="O803" s="24"/>
      <c r="P803" s="19"/>
      <c r="Q803" s="25"/>
      <c r="R803" s="25"/>
      <c r="S803" s="19"/>
      <c r="T803" s="26"/>
      <c r="U803" s="27" t="s">
        <v>21</v>
      </c>
      <c r="V803" s="28" t="s">
        <v>3202</v>
      </c>
      <c r="W803" s="29" t="s">
        <v>26</v>
      </c>
    </row>
    <row r="804" spans="1:23" ht="30" customHeight="1">
      <c r="A804" s="19" t="s">
        <v>5591</v>
      </c>
      <c r="B804" s="19" t="s">
        <v>5569</v>
      </c>
      <c r="C804" s="19"/>
      <c r="D804" s="19" t="s">
        <v>3205</v>
      </c>
      <c r="E804" s="20" t="s">
        <v>3206</v>
      </c>
      <c r="F804" s="19"/>
      <c r="G804" s="21" t="s">
        <v>29</v>
      </c>
      <c r="H804" s="22" t="b">
        <v>0</v>
      </c>
      <c r="I804" s="22" t="b">
        <v>0</v>
      </c>
      <c r="J804" s="22" t="b">
        <v>0</v>
      </c>
      <c r="K804" s="22" t="b">
        <v>0</v>
      </c>
      <c r="L804" s="22" t="b">
        <v>0</v>
      </c>
      <c r="M804" s="21"/>
      <c r="N804" s="23">
        <v>0</v>
      </c>
      <c r="O804" s="24"/>
      <c r="P804" s="19"/>
      <c r="Q804" s="25"/>
      <c r="R804" s="25"/>
      <c r="S804" s="19"/>
      <c r="T804" s="26"/>
      <c r="U804" s="27" t="s">
        <v>21</v>
      </c>
      <c r="V804" s="28" t="s">
        <v>3207</v>
      </c>
      <c r="W804" s="29" t="s">
        <v>26</v>
      </c>
    </row>
    <row r="805" spans="1:23" ht="30" customHeight="1">
      <c r="A805" s="19" t="s">
        <v>5591</v>
      </c>
      <c r="B805" s="19" t="s">
        <v>5569</v>
      </c>
      <c r="C805" s="19"/>
      <c r="D805" s="19" t="s">
        <v>3210</v>
      </c>
      <c r="E805" s="20" t="s">
        <v>3211</v>
      </c>
      <c r="F805" s="19"/>
      <c r="G805" s="21" t="s">
        <v>22</v>
      </c>
      <c r="H805" s="22" t="b">
        <v>0</v>
      </c>
      <c r="I805" s="22" t="b">
        <v>0</v>
      </c>
      <c r="J805" s="22" t="b">
        <v>0</v>
      </c>
      <c r="K805" s="22" t="b">
        <v>0</v>
      </c>
      <c r="L805" s="22" t="b">
        <v>0</v>
      </c>
      <c r="M805" s="21"/>
      <c r="N805" s="23">
        <v>0</v>
      </c>
      <c r="O805" s="24"/>
      <c r="P805" s="19"/>
      <c r="Q805" s="25"/>
      <c r="R805" s="25"/>
      <c r="S805" s="19"/>
      <c r="T805" s="26"/>
      <c r="U805" s="27" t="s">
        <v>21</v>
      </c>
      <c r="V805" s="28" t="s">
        <v>361</v>
      </c>
      <c r="W805" s="29" t="s">
        <v>26</v>
      </c>
    </row>
    <row r="806" spans="1:23" ht="30" customHeight="1">
      <c r="A806" s="19" t="s">
        <v>5591</v>
      </c>
      <c r="B806" s="19" t="s">
        <v>5569</v>
      </c>
      <c r="C806" s="19"/>
      <c r="D806" s="19" t="s">
        <v>3214</v>
      </c>
      <c r="E806" s="20" t="s">
        <v>3215</v>
      </c>
      <c r="F806" s="19"/>
      <c r="G806" s="21" t="s">
        <v>22</v>
      </c>
      <c r="H806" s="22" t="b">
        <v>0</v>
      </c>
      <c r="I806" s="22" t="b">
        <v>0</v>
      </c>
      <c r="J806" s="22" t="b">
        <v>0</v>
      </c>
      <c r="K806" s="22" t="b">
        <v>0</v>
      </c>
      <c r="L806" s="22" t="b">
        <v>0</v>
      </c>
      <c r="M806" s="21"/>
      <c r="N806" s="23">
        <v>0</v>
      </c>
      <c r="O806" s="24"/>
      <c r="P806" s="19"/>
      <c r="Q806" s="25"/>
      <c r="R806" s="25"/>
      <c r="S806" s="19"/>
      <c r="T806" s="26"/>
      <c r="U806" s="27" t="s">
        <v>21</v>
      </c>
      <c r="V806" s="28" t="s">
        <v>3216</v>
      </c>
      <c r="W806" s="29" t="s">
        <v>26</v>
      </c>
    </row>
    <row r="807" spans="1:23" ht="30" customHeight="1">
      <c r="A807" s="19" t="s">
        <v>5591</v>
      </c>
      <c r="B807" s="19" t="s">
        <v>5569</v>
      </c>
      <c r="C807" s="19"/>
      <c r="D807" s="19" t="s">
        <v>3218</v>
      </c>
      <c r="E807" s="20" t="s">
        <v>3219</v>
      </c>
      <c r="F807" s="19"/>
      <c r="G807" s="21" t="s">
        <v>22</v>
      </c>
      <c r="H807" s="22" t="b">
        <v>0</v>
      </c>
      <c r="I807" s="22" t="b">
        <v>0</v>
      </c>
      <c r="J807" s="22" t="b">
        <v>0</v>
      </c>
      <c r="K807" s="22" t="b">
        <v>0</v>
      </c>
      <c r="L807" s="22" t="b">
        <v>0</v>
      </c>
      <c r="M807" s="21"/>
      <c r="N807" s="23">
        <v>0</v>
      </c>
      <c r="O807" s="24"/>
      <c r="P807" s="19"/>
      <c r="Q807" s="25"/>
      <c r="R807" s="25"/>
      <c r="S807" s="19"/>
      <c r="T807" s="26"/>
      <c r="U807" s="27" t="s">
        <v>21</v>
      </c>
      <c r="V807" s="28" t="s">
        <v>3220</v>
      </c>
      <c r="W807" s="29" t="s">
        <v>26</v>
      </c>
    </row>
    <row r="808" spans="1:23" ht="30" customHeight="1">
      <c r="A808" s="19" t="s">
        <v>5591</v>
      </c>
      <c r="B808" s="19" t="s">
        <v>5569</v>
      </c>
      <c r="C808" s="19"/>
      <c r="D808" s="19" t="s">
        <v>3222</v>
      </c>
      <c r="E808" s="20" t="s">
        <v>3223</v>
      </c>
      <c r="F808" s="19"/>
      <c r="G808" s="21" t="s">
        <v>29</v>
      </c>
      <c r="H808" s="22" t="b">
        <v>0</v>
      </c>
      <c r="I808" s="22" t="b">
        <v>0</v>
      </c>
      <c r="J808" s="22" t="b">
        <v>0</v>
      </c>
      <c r="K808" s="22" t="b">
        <v>0</v>
      </c>
      <c r="L808" s="22" t="b">
        <v>0</v>
      </c>
      <c r="M808" s="21"/>
      <c r="N808" s="23">
        <v>0</v>
      </c>
      <c r="O808" s="24"/>
      <c r="P808" s="19"/>
      <c r="Q808" s="25"/>
      <c r="R808" s="25"/>
      <c r="S808" s="19"/>
      <c r="T808" s="26"/>
      <c r="U808" s="27" t="s">
        <v>21</v>
      </c>
      <c r="V808" s="28" t="s">
        <v>361</v>
      </c>
      <c r="W808" s="29" t="s">
        <v>26</v>
      </c>
    </row>
    <row r="809" spans="1:23" ht="30" customHeight="1">
      <c r="A809" s="19" t="s">
        <v>5591</v>
      </c>
      <c r="B809" s="19" t="s">
        <v>5569</v>
      </c>
      <c r="C809" s="19"/>
      <c r="D809" s="19" t="s">
        <v>3226</v>
      </c>
      <c r="E809" s="20" t="s">
        <v>3227</v>
      </c>
      <c r="F809" s="19"/>
      <c r="G809" s="21" t="s">
        <v>29</v>
      </c>
      <c r="H809" s="22" t="b">
        <v>0</v>
      </c>
      <c r="I809" s="22" t="b">
        <v>0</v>
      </c>
      <c r="J809" s="22" t="b">
        <v>0</v>
      </c>
      <c r="K809" s="22" t="b">
        <v>0</v>
      </c>
      <c r="L809" s="22" t="b">
        <v>0</v>
      </c>
      <c r="M809" s="21"/>
      <c r="N809" s="23">
        <v>0</v>
      </c>
      <c r="O809" s="24"/>
      <c r="P809" s="19"/>
      <c r="Q809" s="25"/>
      <c r="R809" s="25"/>
      <c r="S809" s="19"/>
      <c r="T809" s="26"/>
      <c r="U809" s="30" t="s">
        <v>34</v>
      </c>
      <c r="V809" s="28" t="s">
        <v>3228</v>
      </c>
      <c r="W809" s="29" t="s">
        <v>26</v>
      </c>
    </row>
    <row r="810" spans="1:23" ht="30" customHeight="1">
      <c r="A810" s="19" t="s">
        <v>5591</v>
      </c>
      <c r="B810" s="19" t="s">
        <v>5569</v>
      </c>
      <c r="C810" s="19"/>
      <c r="D810" s="19" t="s">
        <v>3230</v>
      </c>
      <c r="E810" s="20" t="s">
        <v>3231</v>
      </c>
      <c r="F810" s="19"/>
      <c r="G810" s="21" t="s">
        <v>22</v>
      </c>
      <c r="H810" s="22" t="b">
        <v>0</v>
      </c>
      <c r="I810" s="22" t="b">
        <v>0</v>
      </c>
      <c r="J810" s="22" t="b">
        <v>0</v>
      </c>
      <c r="K810" s="22" t="b">
        <v>0</v>
      </c>
      <c r="L810" s="22" t="b">
        <v>0</v>
      </c>
      <c r="M810" s="21"/>
      <c r="N810" s="23">
        <v>0</v>
      </c>
      <c r="O810" s="24"/>
      <c r="P810" s="19"/>
      <c r="Q810" s="25"/>
      <c r="R810" s="25"/>
      <c r="S810" s="19"/>
      <c r="T810" s="26"/>
      <c r="U810" s="27" t="s">
        <v>21</v>
      </c>
      <c r="V810" s="28" t="s">
        <v>3232</v>
      </c>
      <c r="W810" s="29" t="s">
        <v>26</v>
      </c>
    </row>
    <row r="811" spans="1:23" ht="30" customHeight="1">
      <c r="A811" s="19" t="s">
        <v>5591</v>
      </c>
      <c r="B811" s="19" t="s">
        <v>5569</v>
      </c>
      <c r="C811" s="19"/>
      <c r="D811" s="19" t="s">
        <v>3234</v>
      </c>
      <c r="E811" s="20" t="s">
        <v>3235</v>
      </c>
      <c r="F811" s="19"/>
      <c r="G811" s="21" t="s">
        <v>29</v>
      </c>
      <c r="H811" s="22" t="b">
        <v>0</v>
      </c>
      <c r="I811" s="22" t="b">
        <v>0</v>
      </c>
      <c r="J811" s="22" t="b">
        <v>0</v>
      </c>
      <c r="K811" s="22" t="b">
        <v>0</v>
      </c>
      <c r="L811" s="22" t="b">
        <v>0</v>
      </c>
      <c r="M811" s="21"/>
      <c r="N811" s="23">
        <v>0</v>
      </c>
      <c r="O811" s="24"/>
      <c r="P811" s="19"/>
      <c r="Q811" s="25"/>
      <c r="R811" s="25"/>
      <c r="S811" s="19"/>
      <c r="T811" s="26"/>
      <c r="U811" s="27" t="s">
        <v>21</v>
      </c>
      <c r="V811" s="28" t="s">
        <v>361</v>
      </c>
      <c r="W811" s="29" t="s">
        <v>26</v>
      </c>
    </row>
    <row r="812" spans="1:23" ht="30" customHeight="1">
      <c r="A812" s="19" t="s">
        <v>5591</v>
      </c>
      <c r="B812" s="19" t="s">
        <v>5569</v>
      </c>
      <c r="C812" s="19"/>
      <c r="D812" s="19" t="s">
        <v>3237</v>
      </c>
      <c r="E812" s="20" t="s">
        <v>3238</v>
      </c>
      <c r="F812" s="19"/>
      <c r="G812" s="21" t="s">
        <v>22</v>
      </c>
      <c r="H812" s="22" t="b">
        <v>0</v>
      </c>
      <c r="I812" s="22" t="b">
        <v>0</v>
      </c>
      <c r="J812" s="22" t="b">
        <v>0</v>
      </c>
      <c r="K812" s="22" t="b">
        <v>0</v>
      </c>
      <c r="L812" s="22" t="b">
        <v>0</v>
      </c>
      <c r="M812" s="21"/>
      <c r="N812" s="23">
        <v>0</v>
      </c>
      <c r="O812" s="24"/>
      <c r="P812" s="19"/>
      <c r="Q812" s="25"/>
      <c r="R812" s="25"/>
      <c r="S812" s="19"/>
      <c r="T812" s="26"/>
      <c r="U812" s="27" t="s">
        <v>21</v>
      </c>
      <c r="V812" s="28" t="s">
        <v>100</v>
      </c>
      <c r="W812" s="29" t="s">
        <v>26</v>
      </c>
    </row>
    <row r="813" spans="1:23" ht="30" customHeight="1">
      <c r="A813" s="19" t="s">
        <v>5591</v>
      </c>
      <c r="B813" s="19" t="s">
        <v>5569</v>
      </c>
      <c r="C813" s="19"/>
      <c r="D813" s="19" t="s">
        <v>3240</v>
      </c>
      <c r="E813" s="20" t="s">
        <v>3241</v>
      </c>
      <c r="F813" s="19"/>
      <c r="G813" s="21" t="s">
        <v>29</v>
      </c>
      <c r="H813" s="22" t="b">
        <v>0</v>
      </c>
      <c r="I813" s="22" t="b">
        <v>0</v>
      </c>
      <c r="J813" s="22" t="b">
        <v>0</v>
      </c>
      <c r="K813" s="22" t="b">
        <v>0</v>
      </c>
      <c r="L813" s="22" t="b">
        <v>0</v>
      </c>
      <c r="M813" s="21"/>
      <c r="N813" s="23">
        <v>0</v>
      </c>
      <c r="O813" s="24"/>
      <c r="P813" s="19"/>
      <c r="Q813" s="25"/>
      <c r="R813" s="25"/>
      <c r="S813" s="19"/>
      <c r="T813" s="26"/>
      <c r="U813" s="27" t="s">
        <v>21</v>
      </c>
      <c r="V813" s="28" t="s">
        <v>1320</v>
      </c>
      <c r="W813" s="29" t="s">
        <v>26</v>
      </c>
    </row>
    <row r="814" spans="1:23" ht="30" customHeight="1">
      <c r="A814" s="19" t="s">
        <v>5591</v>
      </c>
      <c r="B814" s="19" t="s">
        <v>5569</v>
      </c>
      <c r="C814" s="19"/>
      <c r="D814" s="19" t="s">
        <v>3243</v>
      </c>
      <c r="E814" s="20" t="s">
        <v>3244</v>
      </c>
      <c r="F814" s="19"/>
      <c r="G814" s="21" t="s">
        <v>156</v>
      </c>
      <c r="H814" s="22" t="b">
        <v>0</v>
      </c>
      <c r="I814" s="22" t="b">
        <v>0</v>
      </c>
      <c r="J814" s="22" t="b">
        <v>0</v>
      </c>
      <c r="K814" s="22" t="b">
        <v>0</v>
      </c>
      <c r="L814" s="22" t="b">
        <v>0</v>
      </c>
      <c r="M814" s="21"/>
      <c r="N814" s="23">
        <v>0</v>
      </c>
      <c r="O814" s="24"/>
      <c r="P814" s="19"/>
      <c r="Q814" s="25"/>
      <c r="R814" s="25"/>
      <c r="S814" s="19"/>
      <c r="T814" s="26"/>
      <c r="U814" s="27" t="s">
        <v>21</v>
      </c>
      <c r="V814" s="28" t="s">
        <v>3245</v>
      </c>
      <c r="W814" s="29" t="s">
        <v>26</v>
      </c>
    </row>
    <row r="815" spans="1:23" ht="30" customHeight="1">
      <c r="A815" s="19" t="s">
        <v>5591</v>
      </c>
      <c r="B815" s="19" t="s">
        <v>5569</v>
      </c>
      <c r="C815" s="19"/>
      <c r="D815" s="19" t="s">
        <v>3247</v>
      </c>
      <c r="E815" s="20" t="s">
        <v>3248</v>
      </c>
      <c r="F815" s="19"/>
      <c r="G815" s="21" t="s">
        <v>22</v>
      </c>
      <c r="H815" s="22" t="b">
        <v>0</v>
      </c>
      <c r="I815" s="22" t="b">
        <v>0</v>
      </c>
      <c r="J815" s="22" t="b">
        <v>0</v>
      </c>
      <c r="K815" s="22" t="b">
        <v>0</v>
      </c>
      <c r="L815" s="22" t="b">
        <v>0</v>
      </c>
      <c r="M815" s="21"/>
      <c r="N815" s="23">
        <v>0</v>
      </c>
      <c r="O815" s="24"/>
      <c r="P815" s="19"/>
      <c r="Q815" s="25"/>
      <c r="R815" s="25"/>
      <c r="S815" s="19"/>
      <c r="T815" s="26"/>
      <c r="U815" s="27" t="s">
        <v>21</v>
      </c>
      <c r="V815" s="28" t="s">
        <v>3249</v>
      </c>
      <c r="W815" s="29" t="s">
        <v>26</v>
      </c>
    </row>
    <row r="816" spans="1:23" ht="30" customHeight="1">
      <c r="A816" s="19" t="s">
        <v>5591</v>
      </c>
      <c r="B816" s="19" t="s">
        <v>5569</v>
      </c>
      <c r="C816" s="19"/>
      <c r="D816" s="19" t="s">
        <v>3251</v>
      </c>
      <c r="E816" s="20" t="s">
        <v>3252</v>
      </c>
      <c r="F816" s="19"/>
      <c r="G816" s="21" t="s">
        <v>29</v>
      </c>
      <c r="H816" s="22" t="b">
        <v>0</v>
      </c>
      <c r="I816" s="22" t="b">
        <v>0</v>
      </c>
      <c r="J816" s="22" t="b">
        <v>0</v>
      </c>
      <c r="K816" s="22" t="b">
        <v>0</v>
      </c>
      <c r="L816" s="22" t="b">
        <v>0</v>
      </c>
      <c r="M816" s="21"/>
      <c r="N816" s="23">
        <v>0</v>
      </c>
      <c r="O816" s="24"/>
      <c r="P816" s="19"/>
      <c r="Q816" s="25"/>
      <c r="R816" s="25"/>
      <c r="S816" s="19"/>
      <c r="T816" s="26"/>
      <c r="U816" s="30" t="s">
        <v>34</v>
      </c>
      <c r="V816" s="28" t="s">
        <v>3253</v>
      </c>
      <c r="W816" s="29" t="s">
        <v>26</v>
      </c>
    </row>
    <row r="817" spans="1:23" ht="30" customHeight="1">
      <c r="A817" s="19" t="s">
        <v>5591</v>
      </c>
      <c r="B817" s="19" t="s">
        <v>5569</v>
      </c>
      <c r="C817" s="19"/>
      <c r="D817" s="19" t="s">
        <v>3256</v>
      </c>
      <c r="E817" s="20" t="s">
        <v>3257</v>
      </c>
      <c r="F817" s="19"/>
      <c r="G817" s="21" t="s">
        <v>156</v>
      </c>
      <c r="H817" s="22" t="b">
        <v>0</v>
      </c>
      <c r="I817" s="22" t="b">
        <v>0</v>
      </c>
      <c r="J817" s="22" t="b">
        <v>0</v>
      </c>
      <c r="K817" s="22" t="b">
        <v>0</v>
      </c>
      <c r="L817" s="22" t="b">
        <v>0</v>
      </c>
      <c r="M817" s="21"/>
      <c r="N817" s="23">
        <v>0</v>
      </c>
      <c r="O817" s="24"/>
      <c r="P817" s="19"/>
      <c r="Q817" s="25"/>
      <c r="R817" s="25"/>
      <c r="S817" s="19"/>
      <c r="T817" s="26"/>
      <c r="U817" s="27" t="s">
        <v>21</v>
      </c>
      <c r="V817" s="28" t="s">
        <v>361</v>
      </c>
      <c r="W817" s="29" t="s">
        <v>26</v>
      </c>
    </row>
    <row r="818" spans="1:23" ht="30" customHeight="1">
      <c r="A818" s="19" t="s">
        <v>5591</v>
      </c>
      <c r="B818" s="19" t="s">
        <v>5569</v>
      </c>
      <c r="C818" s="19"/>
      <c r="D818" s="19" t="s">
        <v>3259</v>
      </c>
      <c r="E818" s="20" t="s">
        <v>3260</v>
      </c>
      <c r="F818" s="19"/>
      <c r="G818" s="21" t="s">
        <v>22</v>
      </c>
      <c r="H818" s="22" t="b">
        <v>0</v>
      </c>
      <c r="I818" s="22" t="b">
        <v>0</v>
      </c>
      <c r="J818" s="22" t="b">
        <v>0</v>
      </c>
      <c r="K818" s="22" t="b">
        <v>0</v>
      </c>
      <c r="L818" s="22" t="b">
        <v>0</v>
      </c>
      <c r="M818" s="21"/>
      <c r="N818" s="23">
        <v>0</v>
      </c>
      <c r="O818" s="24"/>
      <c r="P818" s="19"/>
      <c r="Q818" s="25"/>
      <c r="R818" s="25"/>
      <c r="S818" s="19"/>
      <c r="T818" s="26"/>
      <c r="U818" s="27" t="s">
        <v>21</v>
      </c>
      <c r="V818" s="28" t="s">
        <v>3261</v>
      </c>
      <c r="W818" s="29" t="s">
        <v>26</v>
      </c>
    </row>
    <row r="819" spans="1:23" ht="30" customHeight="1">
      <c r="A819" s="19" t="s">
        <v>5591</v>
      </c>
      <c r="B819" s="19" t="s">
        <v>5569</v>
      </c>
      <c r="C819" s="19"/>
      <c r="D819" s="19" t="s">
        <v>3263</v>
      </c>
      <c r="E819" s="20" t="s">
        <v>3264</v>
      </c>
      <c r="F819" s="19"/>
      <c r="G819" s="21" t="s">
        <v>22</v>
      </c>
      <c r="H819" s="22" t="b">
        <v>0</v>
      </c>
      <c r="I819" s="22" t="b">
        <v>0</v>
      </c>
      <c r="J819" s="22" t="b">
        <v>0</v>
      </c>
      <c r="K819" s="22" t="b">
        <v>0</v>
      </c>
      <c r="L819" s="22" t="b">
        <v>0</v>
      </c>
      <c r="M819" s="21"/>
      <c r="N819" s="23">
        <v>0</v>
      </c>
      <c r="O819" s="24"/>
      <c r="P819" s="19"/>
      <c r="Q819" s="25"/>
      <c r="R819" s="25"/>
      <c r="S819" s="19"/>
      <c r="T819" s="26"/>
      <c r="U819" s="27" t="s">
        <v>21</v>
      </c>
      <c r="V819" s="28" t="s">
        <v>3265</v>
      </c>
      <c r="W819" s="29" t="s">
        <v>26</v>
      </c>
    </row>
    <row r="820" spans="1:23" ht="30" customHeight="1">
      <c r="A820" s="19" t="s">
        <v>5591</v>
      </c>
      <c r="B820" s="19" t="s">
        <v>5569</v>
      </c>
      <c r="C820" s="19"/>
      <c r="D820" s="19" t="s">
        <v>3268</v>
      </c>
      <c r="E820" s="20" t="s">
        <v>3269</v>
      </c>
      <c r="F820" s="19"/>
      <c r="G820" s="21" t="s">
        <v>22</v>
      </c>
      <c r="H820" s="22" t="b">
        <v>0</v>
      </c>
      <c r="I820" s="22" t="b">
        <v>0</v>
      </c>
      <c r="J820" s="22" t="b">
        <v>0</v>
      </c>
      <c r="K820" s="22" t="b">
        <v>0</v>
      </c>
      <c r="L820" s="22" t="b">
        <v>0</v>
      </c>
      <c r="M820" s="21"/>
      <c r="N820" s="23">
        <v>0</v>
      </c>
      <c r="O820" s="24"/>
      <c r="P820" s="19"/>
      <c r="Q820" s="25"/>
      <c r="R820" s="25"/>
      <c r="S820" s="19"/>
      <c r="T820" s="26"/>
      <c r="U820" s="27" t="s">
        <v>21</v>
      </c>
      <c r="V820" s="28" t="s">
        <v>3270</v>
      </c>
      <c r="W820" s="29" t="s">
        <v>26</v>
      </c>
    </row>
    <row r="821" spans="1:23" ht="30" customHeight="1">
      <c r="A821" s="19" t="s">
        <v>5591</v>
      </c>
      <c r="B821" s="19" t="s">
        <v>5569</v>
      </c>
      <c r="C821" s="19"/>
      <c r="D821" s="19" t="s">
        <v>3272</v>
      </c>
      <c r="E821" s="20" t="s">
        <v>3273</v>
      </c>
      <c r="F821" s="19"/>
      <c r="G821" s="21" t="s">
        <v>22</v>
      </c>
      <c r="H821" s="22" t="b">
        <v>0</v>
      </c>
      <c r="I821" s="22" t="b">
        <v>0</v>
      </c>
      <c r="J821" s="22" t="b">
        <v>0</v>
      </c>
      <c r="K821" s="22" t="b">
        <v>0</v>
      </c>
      <c r="L821" s="22" t="b">
        <v>0</v>
      </c>
      <c r="M821" s="21"/>
      <c r="N821" s="23">
        <v>0</v>
      </c>
      <c r="O821" s="24"/>
      <c r="P821" s="19"/>
      <c r="Q821" s="25"/>
      <c r="R821" s="25"/>
      <c r="S821" s="19"/>
      <c r="T821" s="26"/>
      <c r="U821" s="27" t="s">
        <v>21</v>
      </c>
      <c r="V821" s="28" t="s">
        <v>3274</v>
      </c>
      <c r="W821" s="29" t="s">
        <v>26</v>
      </c>
    </row>
    <row r="822" spans="1:23" ht="30" customHeight="1">
      <c r="A822" s="19" t="s">
        <v>5591</v>
      </c>
      <c r="B822" s="19" t="s">
        <v>5569</v>
      </c>
      <c r="C822" s="19"/>
      <c r="D822" s="19" t="s">
        <v>3276</v>
      </c>
      <c r="E822" s="20" t="s">
        <v>3277</v>
      </c>
      <c r="F822" s="19"/>
      <c r="G822" s="21" t="s">
        <v>29</v>
      </c>
      <c r="H822" s="22" t="b">
        <v>0</v>
      </c>
      <c r="I822" s="22" t="b">
        <v>0</v>
      </c>
      <c r="J822" s="22" t="b">
        <v>0</v>
      </c>
      <c r="K822" s="22" t="b">
        <v>0</v>
      </c>
      <c r="L822" s="22" t="b">
        <v>0</v>
      </c>
      <c r="M822" s="21"/>
      <c r="N822" s="23">
        <v>0</v>
      </c>
      <c r="O822" s="24"/>
      <c r="P822" s="19"/>
      <c r="Q822" s="25"/>
      <c r="R822" s="25"/>
      <c r="S822" s="19"/>
      <c r="T822" s="26"/>
      <c r="U822" s="27" t="s">
        <v>21</v>
      </c>
      <c r="V822" s="28" t="s">
        <v>361</v>
      </c>
      <c r="W822" s="29" t="s">
        <v>26</v>
      </c>
    </row>
    <row r="823" spans="1:23" ht="30" customHeight="1">
      <c r="A823" s="19" t="s">
        <v>5591</v>
      </c>
      <c r="B823" s="19" t="s">
        <v>5569</v>
      </c>
      <c r="C823" s="19"/>
      <c r="D823" s="19" t="s">
        <v>3279</v>
      </c>
      <c r="E823" s="20" t="s">
        <v>3280</v>
      </c>
      <c r="F823" s="19"/>
      <c r="G823" s="21" t="s">
        <v>29</v>
      </c>
      <c r="H823" s="22" t="b">
        <v>0</v>
      </c>
      <c r="I823" s="22" t="b">
        <v>0</v>
      </c>
      <c r="J823" s="22" t="b">
        <v>0</v>
      </c>
      <c r="K823" s="22" t="b">
        <v>0</v>
      </c>
      <c r="L823" s="22" t="b">
        <v>0</v>
      </c>
      <c r="M823" s="21"/>
      <c r="N823" s="23">
        <v>0</v>
      </c>
      <c r="O823" s="24"/>
      <c r="P823" s="19"/>
      <c r="Q823" s="25"/>
      <c r="R823" s="25"/>
      <c r="S823" s="19"/>
      <c r="T823" s="26"/>
      <c r="U823" s="27" t="s">
        <v>21</v>
      </c>
      <c r="V823" s="28" t="s">
        <v>361</v>
      </c>
      <c r="W823" s="29" t="s">
        <v>26</v>
      </c>
    </row>
    <row r="824" spans="1:23" ht="30" customHeight="1">
      <c r="A824" s="19" t="s">
        <v>5591</v>
      </c>
      <c r="B824" s="19" t="s">
        <v>5569</v>
      </c>
      <c r="C824" s="19"/>
      <c r="D824" s="19" t="s">
        <v>3283</v>
      </c>
      <c r="E824" s="20" t="s">
        <v>3284</v>
      </c>
      <c r="F824" s="19"/>
      <c r="G824" s="21" t="s">
        <v>22</v>
      </c>
      <c r="H824" s="22" t="b">
        <v>0</v>
      </c>
      <c r="I824" s="22" t="b">
        <v>0</v>
      </c>
      <c r="J824" s="22" t="b">
        <v>0</v>
      </c>
      <c r="K824" s="22" t="b">
        <v>0</v>
      </c>
      <c r="L824" s="22" t="b">
        <v>0</v>
      </c>
      <c r="M824" s="21"/>
      <c r="N824" s="23">
        <v>0</v>
      </c>
      <c r="O824" s="24"/>
      <c r="P824" s="19"/>
      <c r="Q824" s="25"/>
      <c r="R824" s="25"/>
      <c r="S824" s="19"/>
      <c r="T824" s="26"/>
      <c r="U824" s="27" t="s">
        <v>21</v>
      </c>
      <c r="V824" s="28" t="s">
        <v>3285</v>
      </c>
      <c r="W824" s="29" t="s">
        <v>26</v>
      </c>
    </row>
    <row r="825" spans="1:23" ht="30" customHeight="1">
      <c r="A825" s="19" t="s">
        <v>5591</v>
      </c>
      <c r="B825" s="19" t="s">
        <v>5569</v>
      </c>
      <c r="C825" s="19"/>
      <c r="D825" s="19" t="s">
        <v>3287</v>
      </c>
      <c r="E825" s="20" t="s">
        <v>3288</v>
      </c>
      <c r="F825" s="19"/>
      <c r="G825" s="21" t="s">
        <v>485</v>
      </c>
      <c r="H825" s="22" t="b">
        <v>0</v>
      </c>
      <c r="I825" s="22" t="b">
        <v>0</v>
      </c>
      <c r="J825" s="22" t="b">
        <v>0</v>
      </c>
      <c r="K825" s="22" t="b">
        <v>0</v>
      </c>
      <c r="L825" s="22" t="b">
        <v>0</v>
      </c>
      <c r="M825" s="21"/>
      <c r="N825" s="23">
        <v>0</v>
      </c>
      <c r="O825" s="24"/>
      <c r="P825" s="19"/>
      <c r="Q825" s="25"/>
      <c r="R825" s="25"/>
      <c r="S825" s="19"/>
      <c r="T825" s="26"/>
      <c r="U825" s="27" t="s">
        <v>21</v>
      </c>
      <c r="V825" s="28" t="s">
        <v>361</v>
      </c>
      <c r="W825" s="29" t="s">
        <v>26</v>
      </c>
    </row>
    <row r="826" spans="1:23" ht="30" customHeight="1">
      <c r="A826" s="19" t="s">
        <v>5592</v>
      </c>
      <c r="B826" s="19" t="s">
        <v>5569</v>
      </c>
      <c r="C826" s="19"/>
      <c r="D826" s="19" t="s">
        <v>3292</v>
      </c>
      <c r="E826" s="20" t="s">
        <v>3293</v>
      </c>
      <c r="F826" s="19"/>
      <c r="G826" s="21" t="s">
        <v>156</v>
      </c>
      <c r="H826" s="22" t="b">
        <v>0</v>
      </c>
      <c r="I826" s="22" t="b">
        <v>0</v>
      </c>
      <c r="J826" s="22" t="b">
        <v>0</v>
      </c>
      <c r="K826" s="22" t="b">
        <v>0</v>
      </c>
      <c r="L826" s="22" t="b">
        <v>0</v>
      </c>
      <c r="M826" s="21"/>
      <c r="N826" s="23">
        <v>0</v>
      </c>
      <c r="O826" s="24"/>
      <c r="P826" s="19"/>
      <c r="Q826" s="25"/>
      <c r="R826" s="25"/>
      <c r="S826" s="19"/>
      <c r="T826" s="26"/>
      <c r="U826" s="27" t="s">
        <v>21</v>
      </c>
      <c r="V826" s="28" t="s">
        <v>2610</v>
      </c>
      <c r="W826" s="29" t="s">
        <v>26</v>
      </c>
    </row>
    <row r="827" spans="1:23" ht="30" customHeight="1">
      <c r="A827" s="19" t="s">
        <v>5592</v>
      </c>
      <c r="B827" s="19" t="s">
        <v>5569</v>
      </c>
      <c r="C827" s="19"/>
      <c r="D827" s="19" t="s">
        <v>3296</v>
      </c>
      <c r="E827" s="20" t="s">
        <v>3297</v>
      </c>
      <c r="F827" s="19"/>
      <c r="G827" s="21" t="s">
        <v>22</v>
      </c>
      <c r="H827" s="22" t="b">
        <v>0</v>
      </c>
      <c r="I827" s="22" t="b">
        <v>0</v>
      </c>
      <c r="J827" s="22" t="b">
        <v>0</v>
      </c>
      <c r="K827" s="22" t="b">
        <v>0</v>
      </c>
      <c r="L827" s="22" t="b">
        <v>0</v>
      </c>
      <c r="M827" s="21"/>
      <c r="N827" s="23">
        <v>0</v>
      </c>
      <c r="O827" s="24"/>
      <c r="P827" s="19"/>
      <c r="Q827" s="25"/>
      <c r="R827" s="25"/>
      <c r="S827" s="19"/>
      <c r="T827" s="26"/>
      <c r="U827" s="27" t="s">
        <v>21</v>
      </c>
      <c r="V827" s="28" t="s">
        <v>370</v>
      </c>
      <c r="W827" s="29" t="s">
        <v>26</v>
      </c>
    </row>
    <row r="828" spans="1:23" ht="30" customHeight="1">
      <c r="A828" s="19" t="s">
        <v>5592</v>
      </c>
      <c r="B828" s="19" t="s">
        <v>5569</v>
      </c>
      <c r="C828" s="19"/>
      <c r="D828" s="19" t="s">
        <v>3300</v>
      </c>
      <c r="E828" s="20" t="s">
        <v>3301</v>
      </c>
      <c r="F828" s="19"/>
      <c r="G828" s="21" t="s">
        <v>22</v>
      </c>
      <c r="H828" s="22" t="b">
        <v>0</v>
      </c>
      <c r="I828" s="22" t="b">
        <v>0</v>
      </c>
      <c r="J828" s="22" t="b">
        <v>0</v>
      </c>
      <c r="K828" s="22" t="b">
        <v>0</v>
      </c>
      <c r="L828" s="22" t="b">
        <v>0</v>
      </c>
      <c r="M828" s="21"/>
      <c r="N828" s="23">
        <v>0</v>
      </c>
      <c r="O828" s="24"/>
      <c r="P828" s="19"/>
      <c r="Q828" s="25"/>
      <c r="R828" s="25"/>
      <c r="S828" s="19"/>
      <c r="T828" s="26"/>
      <c r="U828" s="30" t="s">
        <v>34</v>
      </c>
      <c r="V828" s="28" t="s">
        <v>3302</v>
      </c>
      <c r="W828" s="29" t="s">
        <v>26</v>
      </c>
    </row>
    <row r="829" spans="1:23" ht="30" customHeight="1">
      <c r="A829" s="19" t="s">
        <v>5592</v>
      </c>
      <c r="B829" s="19" t="s">
        <v>5569</v>
      </c>
      <c r="C829" s="19"/>
      <c r="D829" s="19" t="s">
        <v>3305</v>
      </c>
      <c r="E829" s="20" t="s">
        <v>3306</v>
      </c>
      <c r="F829" s="19"/>
      <c r="G829" s="21" t="s">
        <v>22</v>
      </c>
      <c r="H829" s="22" t="b">
        <v>0</v>
      </c>
      <c r="I829" s="22" t="b">
        <v>0</v>
      </c>
      <c r="J829" s="22" t="b">
        <v>0</v>
      </c>
      <c r="K829" s="22" t="b">
        <v>0</v>
      </c>
      <c r="L829" s="22" t="b">
        <v>0</v>
      </c>
      <c r="M829" s="21"/>
      <c r="N829" s="23">
        <v>0</v>
      </c>
      <c r="O829" s="24"/>
      <c r="P829" s="19"/>
      <c r="Q829" s="25"/>
      <c r="R829" s="25"/>
      <c r="S829" s="19"/>
      <c r="T829" s="26"/>
      <c r="U829" s="27" t="s">
        <v>21</v>
      </c>
      <c r="V829" s="28" t="s">
        <v>3307</v>
      </c>
      <c r="W829" s="29" t="s">
        <v>26</v>
      </c>
    </row>
    <row r="830" spans="1:23" ht="30" customHeight="1">
      <c r="A830" s="19" t="s">
        <v>5592</v>
      </c>
      <c r="B830" s="19" t="s">
        <v>5569</v>
      </c>
      <c r="C830" s="19"/>
      <c r="D830" s="19" t="s">
        <v>3309</v>
      </c>
      <c r="E830" s="20" t="s">
        <v>3310</v>
      </c>
      <c r="F830" s="19"/>
      <c r="G830" s="21" t="s">
        <v>22</v>
      </c>
      <c r="H830" s="22" t="b">
        <v>0</v>
      </c>
      <c r="I830" s="22" t="b">
        <v>0</v>
      </c>
      <c r="J830" s="22" t="b">
        <v>0</v>
      </c>
      <c r="K830" s="22" t="b">
        <v>0</v>
      </c>
      <c r="L830" s="22" t="b">
        <v>0</v>
      </c>
      <c r="M830" s="21"/>
      <c r="N830" s="23">
        <v>0</v>
      </c>
      <c r="O830" s="24"/>
      <c r="P830" s="19"/>
      <c r="Q830" s="25"/>
      <c r="R830" s="25"/>
      <c r="S830" s="19"/>
      <c r="T830" s="26"/>
      <c r="U830" s="27" t="s">
        <v>21</v>
      </c>
      <c r="V830" s="28" t="s">
        <v>3311</v>
      </c>
      <c r="W830" s="29" t="s">
        <v>26</v>
      </c>
    </row>
    <row r="831" spans="1:23" ht="30" customHeight="1">
      <c r="A831" s="19" t="s">
        <v>5592</v>
      </c>
      <c r="B831" s="19" t="s">
        <v>5569</v>
      </c>
      <c r="C831" s="19"/>
      <c r="D831" s="19" t="s">
        <v>3313</v>
      </c>
      <c r="E831" s="20" t="s">
        <v>3314</v>
      </c>
      <c r="F831" s="19"/>
      <c r="G831" s="21" t="s">
        <v>22</v>
      </c>
      <c r="H831" s="22" t="b">
        <v>0</v>
      </c>
      <c r="I831" s="22" t="b">
        <v>0</v>
      </c>
      <c r="J831" s="22" t="b">
        <v>0</v>
      </c>
      <c r="K831" s="22" t="b">
        <v>0</v>
      </c>
      <c r="L831" s="22" t="b">
        <v>0</v>
      </c>
      <c r="M831" s="21"/>
      <c r="N831" s="23">
        <v>0</v>
      </c>
      <c r="O831" s="24"/>
      <c r="P831" s="19"/>
      <c r="Q831" s="25"/>
      <c r="R831" s="25"/>
      <c r="S831" s="19"/>
      <c r="T831" s="26"/>
      <c r="U831" s="27" t="s">
        <v>21</v>
      </c>
      <c r="V831" s="28" t="s">
        <v>3315</v>
      </c>
      <c r="W831" s="29" t="s">
        <v>26</v>
      </c>
    </row>
    <row r="832" spans="1:23" ht="30" customHeight="1">
      <c r="A832" s="19" t="s">
        <v>5592</v>
      </c>
      <c r="B832" s="19" t="s">
        <v>5569</v>
      </c>
      <c r="C832" s="19"/>
      <c r="D832" s="19" t="s">
        <v>3317</v>
      </c>
      <c r="E832" s="20" t="s">
        <v>3318</v>
      </c>
      <c r="F832" s="19"/>
      <c r="G832" s="21" t="s">
        <v>22</v>
      </c>
      <c r="H832" s="22" t="b">
        <v>0</v>
      </c>
      <c r="I832" s="22" t="b">
        <v>0</v>
      </c>
      <c r="J832" s="22" t="b">
        <v>0</v>
      </c>
      <c r="K832" s="22" t="b">
        <v>0</v>
      </c>
      <c r="L832" s="22" t="b">
        <v>0</v>
      </c>
      <c r="M832" s="21"/>
      <c r="N832" s="23">
        <v>0</v>
      </c>
      <c r="O832" s="24"/>
      <c r="P832" s="19"/>
      <c r="Q832" s="25"/>
      <c r="R832" s="25"/>
      <c r="S832" s="19"/>
      <c r="T832" s="26"/>
      <c r="U832" s="27" t="s">
        <v>21</v>
      </c>
      <c r="V832" s="28" t="s">
        <v>1320</v>
      </c>
      <c r="W832" s="29" t="s">
        <v>26</v>
      </c>
    </row>
    <row r="833" spans="1:23" ht="30" customHeight="1">
      <c r="A833" s="19" t="s">
        <v>5592</v>
      </c>
      <c r="B833" s="19" t="s">
        <v>5569</v>
      </c>
      <c r="C833" s="19"/>
      <c r="D833" s="19" t="s">
        <v>3320</v>
      </c>
      <c r="E833" s="20" t="s">
        <v>3321</v>
      </c>
      <c r="F833" s="19"/>
      <c r="G833" s="21" t="s">
        <v>22</v>
      </c>
      <c r="H833" s="22" t="b">
        <v>0</v>
      </c>
      <c r="I833" s="22" t="b">
        <v>0</v>
      </c>
      <c r="J833" s="22" t="b">
        <v>0</v>
      </c>
      <c r="K833" s="22" t="b">
        <v>0</v>
      </c>
      <c r="L833" s="22" t="b">
        <v>0</v>
      </c>
      <c r="M833" s="21"/>
      <c r="N833" s="23">
        <v>0</v>
      </c>
      <c r="O833" s="24"/>
      <c r="P833" s="19"/>
      <c r="Q833" s="25"/>
      <c r="R833" s="25"/>
      <c r="S833" s="19"/>
      <c r="T833" s="26"/>
      <c r="U833" s="27" t="s">
        <v>21</v>
      </c>
      <c r="V833" s="28" t="s">
        <v>3322</v>
      </c>
      <c r="W833" s="29" t="s">
        <v>26</v>
      </c>
    </row>
    <row r="834" spans="1:23" ht="30" customHeight="1">
      <c r="A834" s="19" t="s">
        <v>5592</v>
      </c>
      <c r="B834" s="19" t="s">
        <v>5569</v>
      </c>
      <c r="C834" s="19"/>
      <c r="D834" s="19" t="s">
        <v>3324</v>
      </c>
      <c r="E834" s="20" t="s">
        <v>3325</v>
      </c>
      <c r="F834" s="19"/>
      <c r="G834" s="21" t="s">
        <v>22</v>
      </c>
      <c r="H834" s="22" t="b">
        <v>0</v>
      </c>
      <c r="I834" s="22" t="b">
        <v>0</v>
      </c>
      <c r="J834" s="22" t="b">
        <v>0</v>
      </c>
      <c r="K834" s="22" t="b">
        <v>0</v>
      </c>
      <c r="L834" s="22" t="b">
        <v>0</v>
      </c>
      <c r="M834" s="21"/>
      <c r="N834" s="23">
        <v>0</v>
      </c>
      <c r="O834" s="24"/>
      <c r="P834" s="19"/>
      <c r="Q834" s="25"/>
      <c r="R834" s="25"/>
      <c r="S834" s="19"/>
      <c r="T834" s="26"/>
      <c r="U834" s="27" t="s">
        <v>21</v>
      </c>
      <c r="V834" s="28" t="s">
        <v>361</v>
      </c>
      <c r="W834" s="29" t="s">
        <v>26</v>
      </c>
    </row>
    <row r="835" spans="1:23" ht="30" customHeight="1">
      <c r="A835" s="19" t="s">
        <v>5592</v>
      </c>
      <c r="B835" s="19" t="s">
        <v>5569</v>
      </c>
      <c r="C835" s="19"/>
      <c r="D835" s="19" t="s">
        <v>3327</v>
      </c>
      <c r="E835" s="20" t="s">
        <v>3328</v>
      </c>
      <c r="F835" s="19"/>
      <c r="G835" s="21" t="s">
        <v>22</v>
      </c>
      <c r="H835" s="22" t="b">
        <v>0</v>
      </c>
      <c r="I835" s="22" t="b">
        <v>0</v>
      </c>
      <c r="J835" s="22" t="b">
        <v>0</v>
      </c>
      <c r="K835" s="22" t="b">
        <v>0</v>
      </c>
      <c r="L835" s="22" t="b">
        <v>0</v>
      </c>
      <c r="M835" s="21"/>
      <c r="N835" s="23">
        <v>0</v>
      </c>
      <c r="O835" s="24"/>
      <c r="P835" s="19"/>
      <c r="Q835" s="25"/>
      <c r="R835" s="25"/>
      <c r="S835" s="19"/>
      <c r="T835" s="26"/>
      <c r="U835" s="27" t="s">
        <v>21</v>
      </c>
      <c r="V835" s="28" t="s">
        <v>1320</v>
      </c>
      <c r="W835" s="29" t="s">
        <v>26</v>
      </c>
    </row>
    <row r="836" spans="1:23" ht="30" customHeight="1">
      <c r="A836" s="19" t="s">
        <v>5592</v>
      </c>
      <c r="B836" s="19" t="s">
        <v>5569</v>
      </c>
      <c r="C836" s="19"/>
      <c r="D836" s="19" t="s">
        <v>3331</v>
      </c>
      <c r="E836" s="20" t="s">
        <v>3332</v>
      </c>
      <c r="F836" s="19"/>
      <c r="G836" s="21" t="s">
        <v>22</v>
      </c>
      <c r="H836" s="22" t="b">
        <v>0</v>
      </c>
      <c r="I836" s="22" t="b">
        <v>0</v>
      </c>
      <c r="J836" s="22" t="b">
        <v>0</v>
      </c>
      <c r="K836" s="22" t="b">
        <v>0</v>
      </c>
      <c r="L836" s="22" t="b">
        <v>0</v>
      </c>
      <c r="M836" s="21"/>
      <c r="N836" s="23">
        <v>0</v>
      </c>
      <c r="O836" s="24"/>
      <c r="P836" s="19"/>
      <c r="Q836" s="25"/>
      <c r="R836" s="25"/>
      <c r="S836" s="19"/>
      <c r="T836" s="26"/>
      <c r="U836" s="27" t="s">
        <v>21</v>
      </c>
      <c r="V836" s="28" t="s">
        <v>361</v>
      </c>
      <c r="W836" s="29" t="s">
        <v>26</v>
      </c>
    </row>
    <row r="837" spans="1:23" ht="30" customHeight="1">
      <c r="A837" s="19" t="s">
        <v>5592</v>
      </c>
      <c r="B837" s="19" t="s">
        <v>5569</v>
      </c>
      <c r="C837" s="19"/>
      <c r="D837" s="19" t="s">
        <v>3334</v>
      </c>
      <c r="E837" s="20" t="s">
        <v>3335</v>
      </c>
      <c r="F837" s="19"/>
      <c r="G837" s="21" t="s">
        <v>22</v>
      </c>
      <c r="H837" s="22" t="b">
        <v>0</v>
      </c>
      <c r="I837" s="22" t="b">
        <v>0</v>
      </c>
      <c r="J837" s="22" t="b">
        <v>0</v>
      </c>
      <c r="K837" s="22" t="b">
        <v>0</v>
      </c>
      <c r="L837" s="22" t="b">
        <v>0</v>
      </c>
      <c r="M837" s="21"/>
      <c r="N837" s="23">
        <v>0</v>
      </c>
      <c r="O837" s="24"/>
      <c r="P837" s="19"/>
      <c r="Q837" s="25"/>
      <c r="R837" s="25"/>
      <c r="S837" s="19"/>
      <c r="T837" s="26"/>
      <c r="U837" s="27" t="s">
        <v>21</v>
      </c>
      <c r="V837" s="28" t="s">
        <v>1320</v>
      </c>
      <c r="W837" s="29" t="s">
        <v>26</v>
      </c>
    </row>
    <row r="838" spans="1:23" ht="30" customHeight="1">
      <c r="A838" s="19" t="s">
        <v>5592</v>
      </c>
      <c r="B838" s="19" t="s">
        <v>5569</v>
      </c>
      <c r="C838" s="19"/>
      <c r="D838" s="19" t="s">
        <v>3337</v>
      </c>
      <c r="E838" s="20" t="s">
        <v>3338</v>
      </c>
      <c r="F838" s="19"/>
      <c r="G838" s="21" t="s">
        <v>22</v>
      </c>
      <c r="H838" s="22" t="b">
        <v>0</v>
      </c>
      <c r="I838" s="22" t="b">
        <v>0</v>
      </c>
      <c r="J838" s="22" t="b">
        <v>0</v>
      </c>
      <c r="K838" s="22" t="b">
        <v>0</v>
      </c>
      <c r="L838" s="22" t="b">
        <v>0</v>
      </c>
      <c r="M838" s="21"/>
      <c r="N838" s="23">
        <v>0</v>
      </c>
      <c r="O838" s="24"/>
      <c r="P838" s="19"/>
      <c r="Q838" s="25"/>
      <c r="R838" s="25"/>
      <c r="S838" s="19"/>
      <c r="T838" s="26"/>
      <c r="U838" s="27" t="s">
        <v>21</v>
      </c>
      <c r="V838" s="28" t="s">
        <v>3339</v>
      </c>
      <c r="W838" s="29" t="s">
        <v>26</v>
      </c>
    </row>
    <row r="839" spans="1:23" ht="30" customHeight="1">
      <c r="A839" s="19" t="s">
        <v>5592</v>
      </c>
      <c r="B839" s="19" t="s">
        <v>5569</v>
      </c>
      <c r="C839" s="19"/>
      <c r="D839" s="19" t="s">
        <v>3342</v>
      </c>
      <c r="E839" s="20" t="s">
        <v>3343</v>
      </c>
      <c r="F839" s="19"/>
      <c r="G839" s="21" t="s">
        <v>22</v>
      </c>
      <c r="H839" s="22" t="b">
        <v>0</v>
      </c>
      <c r="I839" s="22" t="b">
        <v>0</v>
      </c>
      <c r="J839" s="22" t="b">
        <v>0</v>
      </c>
      <c r="K839" s="22" t="b">
        <v>0</v>
      </c>
      <c r="L839" s="22" t="b">
        <v>0</v>
      </c>
      <c r="M839" s="21"/>
      <c r="N839" s="23">
        <v>0</v>
      </c>
      <c r="O839" s="24"/>
      <c r="P839" s="19"/>
      <c r="Q839" s="25"/>
      <c r="R839" s="25"/>
      <c r="S839" s="19"/>
      <c r="T839" s="26"/>
      <c r="U839" s="27" t="s">
        <v>21</v>
      </c>
      <c r="V839" s="28" t="s">
        <v>1320</v>
      </c>
      <c r="W839" s="29" t="s">
        <v>26</v>
      </c>
    </row>
    <row r="840" spans="1:23" ht="30" customHeight="1">
      <c r="A840" s="19" t="s">
        <v>5592</v>
      </c>
      <c r="B840" s="19" t="s">
        <v>5569</v>
      </c>
      <c r="C840" s="19"/>
      <c r="D840" s="19" t="s">
        <v>3346</v>
      </c>
      <c r="E840" s="20" t="s">
        <v>3347</v>
      </c>
      <c r="F840" s="19"/>
      <c r="G840" s="21" t="s">
        <v>22</v>
      </c>
      <c r="H840" s="22" t="b">
        <v>0</v>
      </c>
      <c r="I840" s="22" t="b">
        <v>0</v>
      </c>
      <c r="J840" s="22" t="b">
        <v>0</v>
      </c>
      <c r="K840" s="22" t="b">
        <v>0</v>
      </c>
      <c r="L840" s="22" t="b">
        <v>0</v>
      </c>
      <c r="M840" s="21"/>
      <c r="N840" s="23">
        <v>0</v>
      </c>
      <c r="O840" s="24"/>
      <c r="P840" s="19"/>
      <c r="Q840" s="25"/>
      <c r="R840" s="25"/>
      <c r="S840" s="19"/>
      <c r="T840" s="26"/>
      <c r="U840" s="27" t="s">
        <v>21</v>
      </c>
      <c r="V840" s="28" t="s">
        <v>3348</v>
      </c>
      <c r="W840" s="29" t="s">
        <v>26</v>
      </c>
    </row>
    <row r="841" spans="1:23" ht="30" customHeight="1">
      <c r="A841" s="19" t="s">
        <v>5592</v>
      </c>
      <c r="B841" s="19" t="s">
        <v>5569</v>
      </c>
      <c r="C841" s="19"/>
      <c r="D841" s="19" t="s">
        <v>3351</v>
      </c>
      <c r="E841" s="20" t="s">
        <v>3352</v>
      </c>
      <c r="F841" s="19"/>
      <c r="G841" s="21" t="s">
        <v>22</v>
      </c>
      <c r="H841" s="22" t="b">
        <v>0</v>
      </c>
      <c r="I841" s="22" t="b">
        <v>0</v>
      </c>
      <c r="J841" s="22" t="b">
        <v>0</v>
      </c>
      <c r="K841" s="22" t="b">
        <v>0</v>
      </c>
      <c r="L841" s="22" t="b">
        <v>0</v>
      </c>
      <c r="M841" s="21"/>
      <c r="N841" s="23">
        <v>0</v>
      </c>
      <c r="O841" s="24"/>
      <c r="P841" s="19"/>
      <c r="Q841" s="25"/>
      <c r="R841" s="25"/>
      <c r="S841" s="19"/>
      <c r="T841" s="26"/>
      <c r="U841" s="27" t="s">
        <v>21</v>
      </c>
      <c r="V841" s="28" t="s">
        <v>3353</v>
      </c>
      <c r="W841" s="29" t="s">
        <v>26</v>
      </c>
    </row>
    <row r="842" spans="1:23" ht="30" customHeight="1">
      <c r="A842" s="19" t="s">
        <v>5592</v>
      </c>
      <c r="B842" s="19" t="s">
        <v>5569</v>
      </c>
      <c r="C842" s="19"/>
      <c r="D842" s="19" t="s">
        <v>3355</v>
      </c>
      <c r="E842" s="20" t="s">
        <v>3356</v>
      </c>
      <c r="F842" s="19"/>
      <c r="G842" s="21" t="s">
        <v>22</v>
      </c>
      <c r="H842" s="22" t="b">
        <v>0</v>
      </c>
      <c r="I842" s="22" t="b">
        <v>0</v>
      </c>
      <c r="J842" s="22" t="b">
        <v>0</v>
      </c>
      <c r="K842" s="22" t="b">
        <v>0</v>
      </c>
      <c r="L842" s="22" t="b">
        <v>0</v>
      </c>
      <c r="M842" s="21"/>
      <c r="N842" s="23">
        <v>0</v>
      </c>
      <c r="O842" s="24"/>
      <c r="P842" s="19"/>
      <c r="Q842" s="25"/>
      <c r="R842" s="25"/>
      <c r="S842" s="19"/>
      <c r="T842" s="26"/>
      <c r="U842" s="27" t="s">
        <v>21</v>
      </c>
      <c r="V842" s="28" t="s">
        <v>3357</v>
      </c>
      <c r="W842" s="29" t="s">
        <v>26</v>
      </c>
    </row>
    <row r="843" spans="1:23" ht="30" customHeight="1">
      <c r="A843" s="19" t="s">
        <v>5592</v>
      </c>
      <c r="B843" s="19" t="s">
        <v>5569</v>
      </c>
      <c r="C843" s="19"/>
      <c r="D843" s="19" t="s">
        <v>3360</v>
      </c>
      <c r="E843" s="20" t="s">
        <v>3361</v>
      </c>
      <c r="F843" s="19"/>
      <c r="G843" s="21" t="s">
        <v>22</v>
      </c>
      <c r="H843" s="22" t="b">
        <v>0</v>
      </c>
      <c r="I843" s="22" t="b">
        <v>0</v>
      </c>
      <c r="J843" s="22" t="b">
        <v>0</v>
      </c>
      <c r="K843" s="22" t="b">
        <v>0</v>
      </c>
      <c r="L843" s="22" t="b">
        <v>0</v>
      </c>
      <c r="M843" s="21"/>
      <c r="N843" s="23">
        <v>0</v>
      </c>
      <c r="O843" s="24"/>
      <c r="P843" s="19"/>
      <c r="Q843" s="25"/>
      <c r="R843" s="25"/>
      <c r="S843" s="19"/>
      <c r="T843" s="26"/>
      <c r="U843" s="30" t="s">
        <v>34</v>
      </c>
      <c r="V843" s="28" t="s">
        <v>3362</v>
      </c>
      <c r="W843" s="29" t="s">
        <v>26</v>
      </c>
    </row>
    <row r="844" spans="1:23" ht="30" customHeight="1">
      <c r="A844" s="19" t="s">
        <v>5593</v>
      </c>
      <c r="B844" s="19" t="s">
        <v>5569</v>
      </c>
      <c r="C844" s="19"/>
      <c r="D844" s="19" t="s">
        <v>3366</v>
      </c>
      <c r="E844" s="20" t="s">
        <v>3367</v>
      </c>
      <c r="F844" s="19"/>
      <c r="G844" s="21" t="s">
        <v>29</v>
      </c>
      <c r="H844" s="22" t="b">
        <v>0</v>
      </c>
      <c r="I844" s="22" t="b">
        <v>0</v>
      </c>
      <c r="J844" s="22" t="b">
        <v>0</v>
      </c>
      <c r="K844" s="22" t="b">
        <v>0</v>
      </c>
      <c r="L844" s="22" t="b">
        <v>0</v>
      </c>
      <c r="M844" s="21"/>
      <c r="N844" s="23">
        <v>0</v>
      </c>
      <c r="O844" s="24"/>
      <c r="P844" s="19"/>
      <c r="Q844" s="25"/>
      <c r="R844" s="25"/>
      <c r="S844" s="19"/>
      <c r="T844" s="26"/>
      <c r="U844" s="27" t="s">
        <v>21</v>
      </c>
      <c r="V844" s="28" t="s">
        <v>3368</v>
      </c>
      <c r="W844" s="29" t="s">
        <v>26</v>
      </c>
    </row>
    <row r="845" spans="1:23" ht="30" customHeight="1">
      <c r="A845" s="19" t="s">
        <v>5593</v>
      </c>
      <c r="B845" s="19" t="s">
        <v>5569</v>
      </c>
      <c r="C845" s="19"/>
      <c r="D845" s="19" t="s">
        <v>3371</v>
      </c>
      <c r="E845" s="20" t="s">
        <v>3372</v>
      </c>
      <c r="F845" s="19"/>
      <c r="G845" s="21" t="s">
        <v>39</v>
      </c>
      <c r="H845" s="22" t="b">
        <v>0</v>
      </c>
      <c r="I845" s="22" t="b">
        <v>0</v>
      </c>
      <c r="J845" s="22" t="b">
        <v>0</v>
      </c>
      <c r="K845" s="22" t="b">
        <v>0</v>
      </c>
      <c r="L845" s="22" t="b">
        <v>0</v>
      </c>
      <c r="M845" s="21"/>
      <c r="N845" s="23">
        <v>0</v>
      </c>
      <c r="O845" s="24"/>
      <c r="P845" s="19"/>
      <c r="Q845" s="25"/>
      <c r="R845" s="25"/>
      <c r="S845" s="19"/>
      <c r="T845" s="26"/>
      <c r="U845" s="27" t="s">
        <v>21</v>
      </c>
      <c r="V845" s="28" t="s">
        <v>3373</v>
      </c>
      <c r="W845" s="29" t="s">
        <v>26</v>
      </c>
    </row>
    <row r="846" spans="1:23" ht="30" customHeight="1">
      <c r="A846" s="19" t="s">
        <v>5593</v>
      </c>
      <c r="B846" s="19" t="s">
        <v>5569</v>
      </c>
      <c r="C846" s="19"/>
      <c r="D846" s="19" t="s">
        <v>3376</v>
      </c>
      <c r="E846" s="20" t="s">
        <v>3377</v>
      </c>
      <c r="F846" s="19"/>
      <c r="G846" s="21" t="s">
        <v>29</v>
      </c>
      <c r="H846" s="22" t="b">
        <v>0</v>
      </c>
      <c r="I846" s="22" t="b">
        <v>0</v>
      </c>
      <c r="J846" s="22" t="b">
        <v>0</v>
      </c>
      <c r="K846" s="22" t="b">
        <v>0</v>
      </c>
      <c r="L846" s="22" t="b">
        <v>0</v>
      </c>
      <c r="M846" s="21"/>
      <c r="N846" s="23">
        <v>0</v>
      </c>
      <c r="O846" s="24"/>
      <c r="P846" s="19"/>
      <c r="Q846" s="25"/>
      <c r="R846" s="25"/>
      <c r="S846" s="19"/>
      <c r="T846" s="26"/>
      <c r="U846" s="27" t="s">
        <v>21</v>
      </c>
      <c r="V846" s="28" t="s">
        <v>361</v>
      </c>
      <c r="W846" s="29" t="s">
        <v>26</v>
      </c>
    </row>
    <row r="847" spans="1:23" ht="30" customHeight="1">
      <c r="A847" s="19" t="s">
        <v>5593</v>
      </c>
      <c r="B847" s="19" t="s">
        <v>5569</v>
      </c>
      <c r="C847" s="19"/>
      <c r="D847" s="19" t="s">
        <v>3380</v>
      </c>
      <c r="E847" s="20" t="s">
        <v>3381</v>
      </c>
      <c r="F847" s="19"/>
      <c r="G847" s="21" t="s">
        <v>29</v>
      </c>
      <c r="H847" s="22" t="b">
        <v>0</v>
      </c>
      <c r="I847" s="22" t="b">
        <v>0</v>
      </c>
      <c r="J847" s="22" t="b">
        <v>0</v>
      </c>
      <c r="K847" s="22" t="b">
        <v>0</v>
      </c>
      <c r="L847" s="22" t="b">
        <v>0</v>
      </c>
      <c r="M847" s="21"/>
      <c r="N847" s="23">
        <v>0</v>
      </c>
      <c r="O847" s="24"/>
      <c r="P847" s="19"/>
      <c r="Q847" s="25"/>
      <c r="R847" s="25"/>
      <c r="S847" s="19"/>
      <c r="T847" s="26"/>
      <c r="U847" s="27" t="s">
        <v>21</v>
      </c>
      <c r="V847" s="28" t="s">
        <v>370</v>
      </c>
      <c r="W847" s="29" t="s">
        <v>26</v>
      </c>
    </row>
    <row r="848" spans="1:23" ht="30" customHeight="1">
      <c r="A848" s="19" t="s">
        <v>5593</v>
      </c>
      <c r="B848" s="19" t="s">
        <v>5569</v>
      </c>
      <c r="C848" s="19"/>
      <c r="D848" s="19" t="s">
        <v>3383</v>
      </c>
      <c r="E848" s="20" t="s">
        <v>3384</v>
      </c>
      <c r="F848" s="19"/>
      <c r="G848" s="21" t="s">
        <v>22</v>
      </c>
      <c r="H848" s="22" t="b">
        <v>0</v>
      </c>
      <c r="I848" s="22" t="b">
        <v>0</v>
      </c>
      <c r="J848" s="22" t="b">
        <v>0</v>
      </c>
      <c r="K848" s="22" t="b">
        <v>0</v>
      </c>
      <c r="L848" s="22" t="b">
        <v>0</v>
      </c>
      <c r="M848" s="21"/>
      <c r="N848" s="23">
        <v>0</v>
      </c>
      <c r="O848" s="24"/>
      <c r="P848" s="19"/>
      <c r="Q848" s="25"/>
      <c r="R848" s="25"/>
      <c r="S848" s="19"/>
      <c r="T848" s="26"/>
      <c r="U848" s="27" t="s">
        <v>21</v>
      </c>
      <c r="V848" s="28" t="s">
        <v>3385</v>
      </c>
      <c r="W848" s="29" t="s">
        <v>26</v>
      </c>
    </row>
    <row r="849" spans="1:23" ht="30" customHeight="1">
      <c r="A849" s="19" t="s">
        <v>5593</v>
      </c>
      <c r="B849" s="19" t="s">
        <v>5569</v>
      </c>
      <c r="C849" s="19"/>
      <c r="D849" s="19" t="s">
        <v>3388</v>
      </c>
      <c r="E849" s="20" t="s">
        <v>3389</v>
      </c>
      <c r="F849" s="19"/>
      <c r="G849" s="21" t="s">
        <v>22</v>
      </c>
      <c r="H849" s="22" t="b">
        <v>0</v>
      </c>
      <c r="I849" s="22" t="b">
        <v>0</v>
      </c>
      <c r="J849" s="22" t="b">
        <v>0</v>
      </c>
      <c r="K849" s="22" t="b">
        <v>0</v>
      </c>
      <c r="L849" s="22" t="b">
        <v>0</v>
      </c>
      <c r="M849" s="21"/>
      <c r="N849" s="23">
        <v>0</v>
      </c>
      <c r="O849" s="24"/>
      <c r="P849" s="19"/>
      <c r="Q849" s="25"/>
      <c r="R849" s="25"/>
      <c r="S849" s="19"/>
      <c r="T849" s="26"/>
      <c r="U849" s="27" t="s">
        <v>21</v>
      </c>
      <c r="V849" s="28" t="s">
        <v>361</v>
      </c>
      <c r="W849" s="29" t="s">
        <v>26</v>
      </c>
    </row>
    <row r="850" spans="1:23" ht="30" customHeight="1">
      <c r="A850" s="19" t="s">
        <v>5593</v>
      </c>
      <c r="B850" s="19" t="s">
        <v>5569</v>
      </c>
      <c r="C850" s="19"/>
      <c r="D850" s="19" t="s">
        <v>3391</v>
      </c>
      <c r="E850" s="20" t="s">
        <v>3392</v>
      </c>
      <c r="F850" s="19"/>
      <c r="G850" s="21" t="s">
        <v>22</v>
      </c>
      <c r="H850" s="22" t="b">
        <v>0</v>
      </c>
      <c r="I850" s="22" t="b">
        <v>0</v>
      </c>
      <c r="J850" s="22" t="b">
        <v>0</v>
      </c>
      <c r="K850" s="22" t="b">
        <v>0</v>
      </c>
      <c r="L850" s="22" t="b">
        <v>0</v>
      </c>
      <c r="M850" s="21"/>
      <c r="N850" s="23">
        <v>0</v>
      </c>
      <c r="O850" s="24"/>
      <c r="P850" s="19"/>
      <c r="Q850" s="25"/>
      <c r="R850" s="25"/>
      <c r="S850" s="19"/>
      <c r="T850" s="26"/>
      <c r="U850" s="27" t="s">
        <v>21</v>
      </c>
      <c r="V850" s="28" t="s">
        <v>3393</v>
      </c>
      <c r="W850" s="29" t="s">
        <v>26</v>
      </c>
    </row>
    <row r="851" spans="1:23" ht="30" customHeight="1">
      <c r="A851" s="19" t="s">
        <v>5593</v>
      </c>
      <c r="B851" s="19" t="s">
        <v>5569</v>
      </c>
      <c r="C851" s="19"/>
      <c r="D851" s="19" t="s">
        <v>3396</v>
      </c>
      <c r="E851" s="20" t="s">
        <v>3397</v>
      </c>
      <c r="F851" s="19"/>
      <c r="G851" s="21" t="s">
        <v>29</v>
      </c>
      <c r="H851" s="22" t="b">
        <v>0</v>
      </c>
      <c r="I851" s="22" t="b">
        <v>0</v>
      </c>
      <c r="J851" s="22" t="b">
        <v>0</v>
      </c>
      <c r="K851" s="22" t="b">
        <v>0</v>
      </c>
      <c r="L851" s="22" t="b">
        <v>0</v>
      </c>
      <c r="M851" s="21"/>
      <c r="N851" s="23">
        <v>0</v>
      </c>
      <c r="O851" s="24"/>
      <c r="P851" s="19"/>
      <c r="Q851" s="25"/>
      <c r="R851" s="25"/>
      <c r="S851" s="19"/>
      <c r="T851" s="26"/>
      <c r="U851" s="30" t="s">
        <v>34</v>
      </c>
      <c r="V851" s="28" t="s">
        <v>3398</v>
      </c>
      <c r="W851" s="29" t="s">
        <v>26</v>
      </c>
    </row>
    <row r="852" spans="1:23" ht="30" customHeight="1">
      <c r="A852" s="19" t="s">
        <v>5593</v>
      </c>
      <c r="B852" s="19" t="s">
        <v>5569</v>
      </c>
      <c r="C852" s="19"/>
      <c r="D852" s="19" t="s">
        <v>3400</v>
      </c>
      <c r="E852" s="20" t="s">
        <v>3401</v>
      </c>
      <c r="F852" s="19"/>
      <c r="G852" s="21" t="s">
        <v>22</v>
      </c>
      <c r="H852" s="22" t="b">
        <v>0</v>
      </c>
      <c r="I852" s="22" t="b">
        <v>0</v>
      </c>
      <c r="J852" s="22" t="b">
        <v>0</v>
      </c>
      <c r="K852" s="22" t="b">
        <v>0</v>
      </c>
      <c r="L852" s="22" t="b">
        <v>0</v>
      </c>
      <c r="M852" s="21"/>
      <c r="N852" s="23">
        <v>0</v>
      </c>
      <c r="O852" s="24"/>
      <c r="P852" s="19"/>
      <c r="Q852" s="25"/>
      <c r="R852" s="25"/>
      <c r="S852" s="19"/>
      <c r="T852" s="26"/>
      <c r="U852" s="27" t="s">
        <v>21</v>
      </c>
      <c r="V852" s="28" t="s">
        <v>3402</v>
      </c>
      <c r="W852" s="29" t="s">
        <v>26</v>
      </c>
    </row>
    <row r="853" spans="1:23" ht="30" customHeight="1">
      <c r="A853" s="19" t="s">
        <v>5593</v>
      </c>
      <c r="B853" s="19" t="s">
        <v>5569</v>
      </c>
      <c r="C853" s="19"/>
      <c r="D853" s="19" t="s">
        <v>3404</v>
      </c>
      <c r="E853" s="20" t="s">
        <v>3405</v>
      </c>
      <c r="F853" s="19"/>
      <c r="G853" s="21" t="s">
        <v>39</v>
      </c>
      <c r="H853" s="22" t="b">
        <v>0</v>
      </c>
      <c r="I853" s="22" t="b">
        <v>0</v>
      </c>
      <c r="J853" s="22" t="b">
        <v>0</v>
      </c>
      <c r="K853" s="22" t="b">
        <v>0</v>
      </c>
      <c r="L853" s="22" t="b">
        <v>0</v>
      </c>
      <c r="M853" s="21"/>
      <c r="N853" s="23">
        <v>0</v>
      </c>
      <c r="O853" s="24"/>
      <c r="P853" s="19"/>
      <c r="Q853" s="25"/>
      <c r="R853" s="25"/>
      <c r="S853" s="19"/>
      <c r="T853" s="26"/>
      <c r="U853" s="27" t="s">
        <v>21</v>
      </c>
      <c r="V853" s="28" t="s">
        <v>3406</v>
      </c>
      <c r="W853" s="29" t="s">
        <v>26</v>
      </c>
    </row>
    <row r="854" spans="1:23" ht="30" customHeight="1">
      <c r="A854" s="19" t="s">
        <v>5593</v>
      </c>
      <c r="B854" s="19" t="s">
        <v>5569</v>
      </c>
      <c r="C854" s="19"/>
      <c r="D854" s="19" t="s">
        <v>3409</v>
      </c>
      <c r="E854" s="20" t="s">
        <v>3410</v>
      </c>
      <c r="F854" s="19"/>
      <c r="G854" s="21" t="s">
        <v>22</v>
      </c>
      <c r="H854" s="22" t="b">
        <v>0</v>
      </c>
      <c r="I854" s="22" t="b">
        <v>0</v>
      </c>
      <c r="J854" s="22" t="b">
        <v>0</v>
      </c>
      <c r="K854" s="22" t="b">
        <v>0</v>
      </c>
      <c r="L854" s="22" t="b">
        <v>0</v>
      </c>
      <c r="M854" s="21"/>
      <c r="N854" s="23">
        <v>0</v>
      </c>
      <c r="O854" s="24"/>
      <c r="P854" s="19"/>
      <c r="Q854" s="25"/>
      <c r="R854" s="25"/>
      <c r="S854" s="19"/>
      <c r="T854" s="26"/>
      <c r="U854" s="27" t="s">
        <v>21</v>
      </c>
      <c r="V854" s="28" t="s">
        <v>3411</v>
      </c>
      <c r="W854" s="29" t="s">
        <v>26</v>
      </c>
    </row>
    <row r="855" spans="1:23" ht="30" customHeight="1">
      <c r="A855" s="19" t="s">
        <v>5594</v>
      </c>
      <c r="B855" s="19" t="s">
        <v>5569</v>
      </c>
      <c r="C855" s="19"/>
      <c r="D855" s="19" t="s">
        <v>3415</v>
      </c>
      <c r="E855" s="20" t="s">
        <v>3416</v>
      </c>
      <c r="F855" s="19"/>
      <c r="G855" s="21" t="s">
        <v>22</v>
      </c>
      <c r="H855" s="22" t="b">
        <v>0</v>
      </c>
      <c r="I855" s="22" t="b">
        <v>0</v>
      </c>
      <c r="J855" s="22" t="b">
        <v>0</v>
      </c>
      <c r="K855" s="22" t="b">
        <v>0</v>
      </c>
      <c r="L855" s="22" t="b">
        <v>0</v>
      </c>
      <c r="M855" s="21"/>
      <c r="N855" s="23">
        <v>0</v>
      </c>
      <c r="O855" s="24"/>
      <c r="P855" s="19"/>
      <c r="Q855" s="25"/>
      <c r="R855" s="25"/>
      <c r="S855" s="19"/>
      <c r="T855" s="26"/>
      <c r="U855" s="27" t="s">
        <v>21</v>
      </c>
      <c r="V855" s="28" t="s">
        <v>3417</v>
      </c>
      <c r="W855" s="29" t="s">
        <v>26</v>
      </c>
    </row>
    <row r="856" spans="1:23" ht="30" customHeight="1">
      <c r="A856" s="19" t="s">
        <v>5594</v>
      </c>
      <c r="B856" s="19" t="s">
        <v>5569</v>
      </c>
      <c r="C856" s="19"/>
      <c r="D856" s="19" t="s">
        <v>3420</v>
      </c>
      <c r="E856" s="20" t="s">
        <v>3421</v>
      </c>
      <c r="F856" s="19"/>
      <c r="G856" s="21" t="s">
        <v>22</v>
      </c>
      <c r="H856" s="22" t="b">
        <v>0</v>
      </c>
      <c r="I856" s="22" t="b">
        <v>0</v>
      </c>
      <c r="J856" s="22" t="b">
        <v>0</v>
      </c>
      <c r="K856" s="22" t="b">
        <v>0</v>
      </c>
      <c r="L856" s="22" t="b">
        <v>0</v>
      </c>
      <c r="M856" s="21"/>
      <c r="N856" s="23">
        <v>0</v>
      </c>
      <c r="O856" s="24"/>
      <c r="P856" s="19"/>
      <c r="Q856" s="25"/>
      <c r="R856" s="25"/>
      <c r="S856" s="19"/>
      <c r="T856" s="26"/>
      <c r="U856" s="27" t="s">
        <v>21</v>
      </c>
      <c r="V856" s="28" t="s">
        <v>3013</v>
      </c>
      <c r="W856" s="29" t="s">
        <v>26</v>
      </c>
    </row>
    <row r="857" spans="1:23" ht="30" customHeight="1">
      <c r="A857" s="19" t="s">
        <v>5594</v>
      </c>
      <c r="B857" s="19" t="s">
        <v>5569</v>
      </c>
      <c r="C857" s="19"/>
      <c r="D857" s="19" t="s">
        <v>3423</v>
      </c>
      <c r="E857" s="20" t="s">
        <v>3424</v>
      </c>
      <c r="F857" s="19"/>
      <c r="G857" s="21" t="s">
        <v>22</v>
      </c>
      <c r="H857" s="22" t="b">
        <v>0</v>
      </c>
      <c r="I857" s="22" t="b">
        <v>0</v>
      </c>
      <c r="J857" s="22" t="b">
        <v>0</v>
      </c>
      <c r="K857" s="22" t="b">
        <v>0</v>
      </c>
      <c r="L857" s="22" t="b">
        <v>0</v>
      </c>
      <c r="M857" s="21"/>
      <c r="N857" s="23">
        <v>0</v>
      </c>
      <c r="O857" s="24"/>
      <c r="P857" s="19"/>
      <c r="Q857" s="25"/>
      <c r="R857" s="25"/>
      <c r="S857" s="19"/>
      <c r="T857" s="26"/>
      <c r="U857" s="27" t="s">
        <v>21</v>
      </c>
      <c r="V857" s="28" t="s">
        <v>370</v>
      </c>
      <c r="W857" s="29" t="s">
        <v>26</v>
      </c>
    </row>
    <row r="858" spans="1:23" ht="30" customHeight="1">
      <c r="A858" s="19" t="s">
        <v>5594</v>
      </c>
      <c r="B858" s="19" t="s">
        <v>5569</v>
      </c>
      <c r="C858" s="19"/>
      <c r="D858" s="19" t="s">
        <v>3427</v>
      </c>
      <c r="E858" s="20" t="s">
        <v>3428</v>
      </c>
      <c r="F858" s="19"/>
      <c r="G858" s="21" t="s">
        <v>22</v>
      </c>
      <c r="H858" s="22" t="b">
        <v>0</v>
      </c>
      <c r="I858" s="22" t="b">
        <v>0</v>
      </c>
      <c r="J858" s="22" t="b">
        <v>0</v>
      </c>
      <c r="K858" s="22" t="b">
        <v>0</v>
      </c>
      <c r="L858" s="22" t="b">
        <v>0</v>
      </c>
      <c r="M858" s="21"/>
      <c r="N858" s="23">
        <v>0</v>
      </c>
      <c r="O858" s="24"/>
      <c r="P858" s="19"/>
      <c r="Q858" s="25"/>
      <c r="R858" s="25"/>
      <c r="S858" s="19"/>
      <c r="T858" s="26"/>
      <c r="U858" s="27" t="s">
        <v>21</v>
      </c>
      <c r="V858" s="28" t="s">
        <v>361</v>
      </c>
      <c r="W858" s="29" t="s">
        <v>26</v>
      </c>
    </row>
    <row r="859" spans="1:23" ht="30" customHeight="1">
      <c r="A859" s="19" t="s">
        <v>5594</v>
      </c>
      <c r="B859" s="19" t="s">
        <v>5569</v>
      </c>
      <c r="C859" s="19"/>
      <c r="D859" s="19" t="s">
        <v>3431</v>
      </c>
      <c r="E859" s="20" t="s">
        <v>3432</v>
      </c>
      <c r="F859" s="19"/>
      <c r="G859" s="21" t="s">
        <v>22</v>
      </c>
      <c r="H859" s="22" t="b">
        <v>0</v>
      </c>
      <c r="I859" s="22" t="b">
        <v>0</v>
      </c>
      <c r="J859" s="22" t="b">
        <v>0</v>
      </c>
      <c r="K859" s="22" t="b">
        <v>0</v>
      </c>
      <c r="L859" s="22" t="b">
        <v>0</v>
      </c>
      <c r="M859" s="21"/>
      <c r="N859" s="23">
        <v>0</v>
      </c>
      <c r="O859" s="24"/>
      <c r="P859" s="19"/>
      <c r="Q859" s="25"/>
      <c r="R859" s="25"/>
      <c r="S859" s="19"/>
      <c r="T859" s="26"/>
      <c r="U859" s="27" t="s">
        <v>21</v>
      </c>
      <c r="V859" s="28" t="s">
        <v>3433</v>
      </c>
      <c r="W859" s="29" t="s">
        <v>26</v>
      </c>
    </row>
    <row r="860" spans="1:23" ht="30" customHeight="1">
      <c r="A860" s="19" t="s">
        <v>5594</v>
      </c>
      <c r="B860" s="19" t="s">
        <v>5569</v>
      </c>
      <c r="C860" s="19"/>
      <c r="D860" s="19" t="s">
        <v>3436</v>
      </c>
      <c r="E860" s="20" t="s">
        <v>3437</v>
      </c>
      <c r="F860" s="19"/>
      <c r="G860" s="21" t="s">
        <v>22</v>
      </c>
      <c r="H860" s="22" t="b">
        <v>0</v>
      </c>
      <c r="I860" s="22" t="b">
        <v>0</v>
      </c>
      <c r="J860" s="22" t="b">
        <v>0</v>
      </c>
      <c r="K860" s="22" t="b">
        <v>0</v>
      </c>
      <c r="L860" s="22" t="b">
        <v>0</v>
      </c>
      <c r="M860" s="21"/>
      <c r="N860" s="23">
        <v>0</v>
      </c>
      <c r="O860" s="24"/>
      <c r="P860" s="19"/>
      <c r="Q860" s="25"/>
      <c r="R860" s="25"/>
      <c r="S860" s="19"/>
      <c r="T860" s="26"/>
      <c r="U860" s="27" t="s">
        <v>21</v>
      </c>
      <c r="V860" s="28" t="s">
        <v>253</v>
      </c>
      <c r="W860" s="29" t="s">
        <v>26</v>
      </c>
    </row>
    <row r="861" spans="1:23" ht="30" customHeight="1">
      <c r="A861" s="19" t="s">
        <v>5594</v>
      </c>
      <c r="B861" s="19" t="s">
        <v>5569</v>
      </c>
      <c r="C861" s="19"/>
      <c r="D861" s="19" t="s">
        <v>3440</v>
      </c>
      <c r="E861" s="20" t="s">
        <v>3441</v>
      </c>
      <c r="F861" s="19"/>
      <c r="G861" s="21" t="s">
        <v>156</v>
      </c>
      <c r="H861" s="22" t="b">
        <v>0</v>
      </c>
      <c r="I861" s="22" t="b">
        <v>0</v>
      </c>
      <c r="J861" s="22" t="b">
        <v>0</v>
      </c>
      <c r="K861" s="22" t="b">
        <v>0</v>
      </c>
      <c r="L861" s="22" t="b">
        <v>0</v>
      </c>
      <c r="M861" s="21"/>
      <c r="N861" s="23">
        <v>0</v>
      </c>
      <c r="O861" s="24"/>
      <c r="P861" s="19"/>
      <c r="Q861" s="25"/>
      <c r="R861" s="25"/>
      <c r="S861" s="19"/>
      <c r="T861" s="26"/>
      <c r="U861" s="27" t="s">
        <v>21</v>
      </c>
      <c r="V861" s="28" t="s">
        <v>3442</v>
      </c>
      <c r="W861" s="29" t="s">
        <v>26</v>
      </c>
    </row>
    <row r="862" spans="1:23" ht="30" customHeight="1">
      <c r="A862" s="19" t="s">
        <v>5594</v>
      </c>
      <c r="B862" s="19" t="s">
        <v>5569</v>
      </c>
      <c r="C862" s="19"/>
      <c r="D862" s="19" t="s">
        <v>3445</v>
      </c>
      <c r="E862" s="20" t="s">
        <v>3446</v>
      </c>
      <c r="F862" s="19"/>
      <c r="G862" s="21" t="s">
        <v>22</v>
      </c>
      <c r="H862" s="22" t="b">
        <v>0</v>
      </c>
      <c r="I862" s="22" t="b">
        <v>0</v>
      </c>
      <c r="J862" s="22" t="b">
        <v>0</v>
      </c>
      <c r="K862" s="22" t="b">
        <v>0</v>
      </c>
      <c r="L862" s="22" t="b">
        <v>0</v>
      </c>
      <c r="M862" s="21"/>
      <c r="N862" s="23">
        <v>0</v>
      </c>
      <c r="O862" s="24"/>
      <c r="P862" s="19"/>
      <c r="Q862" s="25"/>
      <c r="R862" s="25"/>
      <c r="S862" s="19"/>
      <c r="T862" s="26"/>
      <c r="U862" s="30" t="s">
        <v>34</v>
      </c>
      <c r="V862" s="28" t="s">
        <v>3447</v>
      </c>
      <c r="W862" s="29" t="s">
        <v>26</v>
      </c>
    </row>
    <row r="863" spans="1:23" ht="30" customHeight="1">
      <c r="A863" s="19" t="s">
        <v>5594</v>
      </c>
      <c r="B863" s="19" t="s">
        <v>5569</v>
      </c>
      <c r="C863" s="19"/>
      <c r="D863" s="19" t="s">
        <v>3449</v>
      </c>
      <c r="E863" s="20" t="s">
        <v>3450</v>
      </c>
      <c r="F863" s="19"/>
      <c r="G863" s="21" t="s">
        <v>29</v>
      </c>
      <c r="H863" s="22" t="b">
        <v>0</v>
      </c>
      <c r="I863" s="22" t="b">
        <v>0</v>
      </c>
      <c r="J863" s="22" t="b">
        <v>0</v>
      </c>
      <c r="K863" s="22" t="b">
        <v>0</v>
      </c>
      <c r="L863" s="22" t="b">
        <v>0</v>
      </c>
      <c r="M863" s="21"/>
      <c r="N863" s="23">
        <v>0</v>
      </c>
      <c r="O863" s="24"/>
      <c r="P863" s="19"/>
      <c r="Q863" s="25"/>
      <c r="R863" s="25"/>
      <c r="S863" s="19"/>
      <c r="T863" s="26"/>
      <c r="U863" s="30" t="s">
        <v>34</v>
      </c>
      <c r="V863" s="28" t="s">
        <v>3451</v>
      </c>
      <c r="W863" s="29" t="s">
        <v>26</v>
      </c>
    </row>
    <row r="864" spans="1:23" ht="30" customHeight="1">
      <c r="A864" s="19" t="s">
        <v>5594</v>
      </c>
      <c r="B864" s="19" t="s">
        <v>5569</v>
      </c>
      <c r="C864" s="19"/>
      <c r="D864" s="19" t="s">
        <v>3454</v>
      </c>
      <c r="E864" s="20" t="s">
        <v>3455</v>
      </c>
      <c r="F864" s="19"/>
      <c r="G864" s="21" t="s">
        <v>22</v>
      </c>
      <c r="H864" s="22" t="b">
        <v>0</v>
      </c>
      <c r="I864" s="22" t="b">
        <v>0</v>
      </c>
      <c r="J864" s="22" t="b">
        <v>0</v>
      </c>
      <c r="K864" s="22" t="b">
        <v>0</v>
      </c>
      <c r="L864" s="22" t="b">
        <v>0</v>
      </c>
      <c r="M864" s="21"/>
      <c r="N864" s="23">
        <v>0</v>
      </c>
      <c r="O864" s="24"/>
      <c r="P864" s="19"/>
      <c r="Q864" s="25"/>
      <c r="R864" s="25"/>
      <c r="S864" s="19"/>
      <c r="T864" s="26"/>
      <c r="U864" s="27" t="s">
        <v>21</v>
      </c>
      <c r="V864" s="28" t="s">
        <v>370</v>
      </c>
      <c r="W864" s="29" t="s">
        <v>26</v>
      </c>
    </row>
    <row r="865" spans="1:23" ht="30" customHeight="1">
      <c r="A865" s="19" t="s">
        <v>5594</v>
      </c>
      <c r="B865" s="19" t="s">
        <v>5569</v>
      </c>
      <c r="C865" s="19"/>
      <c r="D865" s="19" t="s">
        <v>3457</v>
      </c>
      <c r="E865" s="20" t="s">
        <v>3458</v>
      </c>
      <c r="F865" s="19"/>
      <c r="G865" s="21" t="s">
        <v>22</v>
      </c>
      <c r="H865" s="22" t="b">
        <v>0</v>
      </c>
      <c r="I865" s="22" t="b">
        <v>0</v>
      </c>
      <c r="J865" s="22" t="b">
        <v>0</v>
      </c>
      <c r="K865" s="22" t="b">
        <v>0</v>
      </c>
      <c r="L865" s="22" t="b">
        <v>0</v>
      </c>
      <c r="M865" s="21"/>
      <c r="N865" s="23">
        <v>0</v>
      </c>
      <c r="O865" s="24"/>
      <c r="P865" s="19"/>
      <c r="Q865" s="25"/>
      <c r="R865" s="25"/>
      <c r="S865" s="19"/>
      <c r="T865" s="26"/>
      <c r="U865" s="27" t="s">
        <v>21</v>
      </c>
      <c r="V865" s="28" t="s">
        <v>1320</v>
      </c>
      <c r="W865" s="29" t="s">
        <v>26</v>
      </c>
    </row>
    <row r="866" spans="1:23" ht="30" customHeight="1">
      <c r="A866" s="19" t="s">
        <v>5594</v>
      </c>
      <c r="B866" s="19" t="s">
        <v>5569</v>
      </c>
      <c r="C866" s="19"/>
      <c r="D866" s="19" t="s">
        <v>3461</v>
      </c>
      <c r="E866" s="20" t="s">
        <v>3462</v>
      </c>
      <c r="F866" s="19"/>
      <c r="G866" s="21" t="s">
        <v>22</v>
      </c>
      <c r="H866" s="22" t="b">
        <v>0</v>
      </c>
      <c r="I866" s="22" t="b">
        <v>0</v>
      </c>
      <c r="J866" s="22" t="b">
        <v>0</v>
      </c>
      <c r="K866" s="22" t="b">
        <v>0</v>
      </c>
      <c r="L866" s="22" t="b">
        <v>0</v>
      </c>
      <c r="M866" s="21"/>
      <c r="N866" s="23">
        <v>0</v>
      </c>
      <c r="O866" s="24"/>
      <c r="P866" s="19"/>
      <c r="Q866" s="25"/>
      <c r="R866" s="25"/>
      <c r="S866" s="19"/>
      <c r="T866" s="26"/>
      <c r="U866" s="27" t="s">
        <v>21</v>
      </c>
      <c r="V866" s="28" t="s">
        <v>3463</v>
      </c>
      <c r="W866" s="29" t="s">
        <v>26</v>
      </c>
    </row>
    <row r="867" spans="1:23" ht="30" customHeight="1">
      <c r="A867" s="19" t="s">
        <v>5594</v>
      </c>
      <c r="B867" s="19" t="s">
        <v>5569</v>
      </c>
      <c r="C867" s="19"/>
      <c r="D867" s="19" t="s">
        <v>3465</v>
      </c>
      <c r="E867" s="20" t="s">
        <v>3466</v>
      </c>
      <c r="F867" s="19"/>
      <c r="G867" s="21" t="s">
        <v>22</v>
      </c>
      <c r="H867" s="22" t="b">
        <v>0</v>
      </c>
      <c r="I867" s="22" t="b">
        <v>0</v>
      </c>
      <c r="J867" s="22" t="b">
        <v>0</v>
      </c>
      <c r="K867" s="22" t="b">
        <v>0</v>
      </c>
      <c r="L867" s="22" t="b">
        <v>0</v>
      </c>
      <c r="M867" s="21"/>
      <c r="N867" s="23">
        <v>0</v>
      </c>
      <c r="O867" s="24"/>
      <c r="P867" s="19"/>
      <c r="Q867" s="25"/>
      <c r="R867" s="25"/>
      <c r="S867" s="19"/>
      <c r="T867" s="26"/>
      <c r="U867" s="27" t="s">
        <v>21</v>
      </c>
      <c r="V867" s="28" t="s">
        <v>361</v>
      </c>
      <c r="W867" s="29" t="s">
        <v>26</v>
      </c>
    </row>
    <row r="868" spans="1:23" ht="30" customHeight="1">
      <c r="A868" s="19" t="s">
        <v>5594</v>
      </c>
      <c r="B868" s="19" t="s">
        <v>5569</v>
      </c>
      <c r="C868" s="19"/>
      <c r="D868" s="19" t="s">
        <v>3468</v>
      </c>
      <c r="E868" s="20" t="s">
        <v>3469</v>
      </c>
      <c r="F868" s="19"/>
      <c r="G868" s="21" t="s">
        <v>29</v>
      </c>
      <c r="H868" s="22" t="b">
        <v>0</v>
      </c>
      <c r="I868" s="22" t="b">
        <v>0</v>
      </c>
      <c r="J868" s="22" t="b">
        <v>0</v>
      </c>
      <c r="K868" s="22" t="b">
        <v>0</v>
      </c>
      <c r="L868" s="22" t="b">
        <v>0</v>
      </c>
      <c r="M868" s="21"/>
      <c r="N868" s="23">
        <v>0</v>
      </c>
      <c r="O868" s="24"/>
      <c r="P868" s="19"/>
      <c r="Q868" s="25"/>
      <c r="R868" s="25"/>
      <c r="S868" s="19"/>
      <c r="T868" s="26"/>
      <c r="U868" s="27" t="s">
        <v>21</v>
      </c>
      <c r="V868" s="28" t="s">
        <v>3470</v>
      </c>
      <c r="W868" s="29" t="s">
        <v>26</v>
      </c>
    </row>
    <row r="869" spans="1:23" ht="30" customHeight="1">
      <c r="A869" s="19" t="s">
        <v>5594</v>
      </c>
      <c r="B869" s="19" t="s">
        <v>5569</v>
      </c>
      <c r="C869" s="19"/>
      <c r="D869" s="19" t="s">
        <v>3472</v>
      </c>
      <c r="E869" s="20" t="s">
        <v>3473</v>
      </c>
      <c r="F869" s="19"/>
      <c r="G869" s="21" t="s">
        <v>22</v>
      </c>
      <c r="H869" s="22" t="b">
        <v>0</v>
      </c>
      <c r="I869" s="22" t="b">
        <v>0</v>
      </c>
      <c r="J869" s="22" t="b">
        <v>0</v>
      </c>
      <c r="K869" s="22" t="b">
        <v>0</v>
      </c>
      <c r="L869" s="22" t="b">
        <v>0</v>
      </c>
      <c r="M869" s="21"/>
      <c r="N869" s="23">
        <v>0</v>
      </c>
      <c r="O869" s="24"/>
      <c r="P869" s="19"/>
      <c r="Q869" s="25"/>
      <c r="R869" s="25"/>
      <c r="S869" s="19"/>
      <c r="T869" s="26"/>
      <c r="U869" s="27" t="s">
        <v>21</v>
      </c>
      <c r="V869" s="28" t="s">
        <v>192</v>
      </c>
      <c r="W869" s="29" t="s">
        <v>26</v>
      </c>
    </row>
    <row r="870" spans="1:23" ht="30" customHeight="1">
      <c r="A870" s="19" t="s">
        <v>5594</v>
      </c>
      <c r="B870" s="19" t="s">
        <v>5569</v>
      </c>
      <c r="C870" s="19"/>
      <c r="D870" s="19" t="s">
        <v>3476</v>
      </c>
      <c r="E870" s="20" t="s">
        <v>3477</v>
      </c>
      <c r="F870" s="19"/>
      <c r="G870" s="21" t="s">
        <v>29</v>
      </c>
      <c r="H870" s="22" t="b">
        <v>0</v>
      </c>
      <c r="I870" s="22" t="b">
        <v>0</v>
      </c>
      <c r="J870" s="22" t="b">
        <v>0</v>
      </c>
      <c r="K870" s="22" t="b">
        <v>0</v>
      </c>
      <c r="L870" s="22" t="b">
        <v>0</v>
      </c>
      <c r="M870" s="21"/>
      <c r="N870" s="23">
        <v>0</v>
      </c>
      <c r="O870" s="24"/>
      <c r="P870" s="19"/>
      <c r="Q870" s="25"/>
      <c r="R870" s="25"/>
      <c r="S870" s="19"/>
      <c r="T870" s="26"/>
      <c r="U870" s="27" t="s">
        <v>21</v>
      </c>
      <c r="V870" s="28" t="s">
        <v>370</v>
      </c>
      <c r="W870" s="29" t="s">
        <v>26</v>
      </c>
    </row>
    <row r="871" spans="1:23" ht="30" customHeight="1">
      <c r="A871" s="19" t="s">
        <v>5594</v>
      </c>
      <c r="B871" s="19" t="s">
        <v>5569</v>
      </c>
      <c r="C871" s="19"/>
      <c r="D871" s="19" t="s">
        <v>3480</v>
      </c>
      <c r="E871" s="20" t="s">
        <v>3481</v>
      </c>
      <c r="F871" s="19"/>
      <c r="G871" s="21" t="s">
        <v>22</v>
      </c>
      <c r="H871" s="22" t="b">
        <v>0</v>
      </c>
      <c r="I871" s="22" t="b">
        <v>0</v>
      </c>
      <c r="J871" s="22" t="b">
        <v>0</v>
      </c>
      <c r="K871" s="22" t="b">
        <v>0</v>
      </c>
      <c r="L871" s="22" t="b">
        <v>0</v>
      </c>
      <c r="M871" s="21"/>
      <c r="N871" s="23">
        <v>0</v>
      </c>
      <c r="O871" s="24"/>
      <c r="P871" s="19"/>
      <c r="Q871" s="25"/>
      <c r="R871" s="25"/>
      <c r="S871" s="19"/>
      <c r="T871" s="26"/>
      <c r="U871" s="27" t="s">
        <v>21</v>
      </c>
      <c r="V871" s="28" t="s">
        <v>370</v>
      </c>
      <c r="W871" s="29" t="s">
        <v>26</v>
      </c>
    </row>
    <row r="872" spans="1:23" ht="30" customHeight="1">
      <c r="A872" s="19" t="s">
        <v>5594</v>
      </c>
      <c r="B872" s="19" t="s">
        <v>5569</v>
      </c>
      <c r="C872" s="19"/>
      <c r="D872" s="19" t="s">
        <v>3484</v>
      </c>
      <c r="E872" s="20" t="s">
        <v>3485</v>
      </c>
      <c r="F872" s="19"/>
      <c r="G872" s="21" t="s">
        <v>22</v>
      </c>
      <c r="H872" s="22" t="b">
        <v>0</v>
      </c>
      <c r="I872" s="22" t="b">
        <v>0</v>
      </c>
      <c r="J872" s="22" t="b">
        <v>0</v>
      </c>
      <c r="K872" s="22" t="b">
        <v>0</v>
      </c>
      <c r="L872" s="22" t="b">
        <v>0</v>
      </c>
      <c r="M872" s="21"/>
      <c r="N872" s="23">
        <v>0</v>
      </c>
      <c r="O872" s="24"/>
      <c r="P872" s="19"/>
      <c r="Q872" s="25"/>
      <c r="R872" s="25"/>
      <c r="S872" s="19"/>
      <c r="T872" s="26"/>
      <c r="U872" s="27" t="s">
        <v>21</v>
      </c>
      <c r="V872" s="28" t="s">
        <v>3075</v>
      </c>
      <c r="W872" s="29" t="s">
        <v>26</v>
      </c>
    </row>
    <row r="873" spans="1:23" ht="30" customHeight="1">
      <c r="A873" s="19" t="s">
        <v>5594</v>
      </c>
      <c r="B873" s="19" t="s">
        <v>5569</v>
      </c>
      <c r="C873" s="19"/>
      <c r="D873" s="19" t="s">
        <v>3487</v>
      </c>
      <c r="E873" s="20" t="s">
        <v>3488</v>
      </c>
      <c r="F873" s="19"/>
      <c r="G873" s="21" t="s">
        <v>22</v>
      </c>
      <c r="H873" s="22" t="b">
        <v>0</v>
      </c>
      <c r="I873" s="22" t="b">
        <v>0</v>
      </c>
      <c r="J873" s="22" t="b">
        <v>0</v>
      </c>
      <c r="K873" s="22" t="b">
        <v>0</v>
      </c>
      <c r="L873" s="22" t="b">
        <v>0</v>
      </c>
      <c r="M873" s="21"/>
      <c r="N873" s="23">
        <v>0</v>
      </c>
      <c r="O873" s="24"/>
      <c r="P873" s="19"/>
      <c r="Q873" s="25"/>
      <c r="R873" s="25"/>
      <c r="S873" s="19"/>
      <c r="T873" s="26"/>
      <c r="U873" s="27" t="s">
        <v>21</v>
      </c>
      <c r="V873" s="28" t="s">
        <v>1320</v>
      </c>
      <c r="W873" s="29" t="s">
        <v>26</v>
      </c>
    </row>
    <row r="874" spans="1:23" ht="30" customHeight="1">
      <c r="A874" s="19" t="s">
        <v>5594</v>
      </c>
      <c r="B874" s="19" t="s">
        <v>5569</v>
      </c>
      <c r="C874" s="19"/>
      <c r="D874" s="19" t="s">
        <v>3490</v>
      </c>
      <c r="E874" s="20" t="s">
        <v>3491</v>
      </c>
      <c r="F874" s="19"/>
      <c r="G874" s="21" t="s">
        <v>22</v>
      </c>
      <c r="H874" s="22" t="b">
        <v>0</v>
      </c>
      <c r="I874" s="22" t="b">
        <v>0</v>
      </c>
      <c r="J874" s="22" t="b">
        <v>0</v>
      </c>
      <c r="K874" s="22" t="b">
        <v>0</v>
      </c>
      <c r="L874" s="22" t="b">
        <v>0</v>
      </c>
      <c r="M874" s="21"/>
      <c r="N874" s="23">
        <v>0</v>
      </c>
      <c r="O874" s="24"/>
      <c r="P874" s="19"/>
      <c r="Q874" s="25"/>
      <c r="R874" s="25"/>
      <c r="S874" s="19"/>
      <c r="T874" s="26"/>
      <c r="U874" s="27" t="s">
        <v>21</v>
      </c>
      <c r="V874" s="28" t="s">
        <v>1320</v>
      </c>
      <c r="W874" s="29" t="s">
        <v>26</v>
      </c>
    </row>
    <row r="875" spans="1:23" ht="30" customHeight="1">
      <c r="A875" s="19" t="s">
        <v>5594</v>
      </c>
      <c r="B875" s="19" t="s">
        <v>5569</v>
      </c>
      <c r="C875" s="19"/>
      <c r="D875" s="19" t="s">
        <v>3494</v>
      </c>
      <c r="E875" s="20" t="s">
        <v>3495</v>
      </c>
      <c r="F875" s="19"/>
      <c r="G875" s="21" t="s">
        <v>22</v>
      </c>
      <c r="H875" s="22" t="b">
        <v>0</v>
      </c>
      <c r="I875" s="22" t="b">
        <v>0</v>
      </c>
      <c r="J875" s="22" t="b">
        <v>0</v>
      </c>
      <c r="K875" s="22" t="b">
        <v>0</v>
      </c>
      <c r="L875" s="22" t="b">
        <v>0</v>
      </c>
      <c r="M875" s="21"/>
      <c r="N875" s="23">
        <v>0</v>
      </c>
      <c r="O875" s="24"/>
      <c r="P875" s="19"/>
      <c r="Q875" s="25"/>
      <c r="R875" s="25"/>
      <c r="S875" s="19"/>
      <c r="T875" s="26"/>
      <c r="U875" s="27" t="s">
        <v>21</v>
      </c>
      <c r="V875" s="28" t="s">
        <v>3496</v>
      </c>
      <c r="W875" s="29" t="s">
        <v>26</v>
      </c>
    </row>
    <row r="876" spans="1:23" ht="30" customHeight="1">
      <c r="A876" s="19" t="s">
        <v>5594</v>
      </c>
      <c r="B876" s="19" t="s">
        <v>5569</v>
      </c>
      <c r="C876" s="19"/>
      <c r="D876" s="19" t="s">
        <v>3498</v>
      </c>
      <c r="E876" s="20" t="s">
        <v>3499</v>
      </c>
      <c r="F876" s="19"/>
      <c r="G876" s="21" t="s">
        <v>22</v>
      </c>
      <c r="H876" s="22" t="b">
        <v>0</v>
      </c>
      <c r="I876" s="22" t="b">
        <v>0</v>
      </c>
      <c r="J876" s="22" t="b">
        <v>0</v>
      </c>
      <c r="K876" s="22" t="b">
        <v>0</v>
      </c>
      <c r="L876" s="22" t="b">
        <v>0</v>
      </c>
      <c r="M876" s="21"/>
      <c r="N876" s="23">
        <v>0</v>
      </c>
      <c r="O876" s="24"/>
      <c r="P876" s="19"/>
      <c r="Q876" s="25"/>
      <c r="R876" s="25"/>
      <c r="S876" s="19"/>
      <c r="T876" s="26"/>
      <c r="U876" s="27" t="s">
        <v>21</v>
      </c>
      <c r="V876" s="28" t="s">
        <v>3500</v>
      </c>
      <c r="W876" s="29" t="s">
        <v>26</v>
      </c>
    </row>
    <row r="877" spans="1:23" ht="30" customHeight="1">
      <c r="A877" s="19" t="s">
        <v>5594</v>
      </c>
      <c r="B877" s="19" t="s">
        <v>5569</v>
      </c>
      <c r="C877" s="19"/>
      <c r="D877" s="19" t="s">
        <v>3503</v>
      </c>
      <c r="E877" s="20" t="s">
        <v>3504</v>
      </c>
      <c r="F877" s="19"/>
      <c r="G877" s="21" t="s">
        <v>22</v>
      </c>
      <c r="H877" s="22" t="b">
        <v>0</v>
      </c>
      <c r="I877" s="22" t="b">
        <v>0</v>
      </c>
      <c r="J877" s="22" t="b">
        <v>0</v>
      </c>
      <c r="K877" s="22" t="b">
        <v>0</v>
      </c>
      <c r="L877" s="22" t="b">
        <v>0</v>
      </c>
      <c r="M877" s="21"/>
      <c r="N877" s="23">
        <v>0</v>
      </c>
      <c r="O877" s="24"/>
      <c r="P877" s="19"/>
      <c r="Q877" s="25"/>
      <c r="R877" s="25"/>
      <c r="S877" s="19"/>
      <c r="T877" s="26"/>
      <c r="U877" s="27" t="s">
        <v>21</v>
      </c>
      <c r="V877" s="28" t="s">
        <v>3505</v>
      </c>
      <c r="W877" s="29" t="s">
        <v>26</v>
      </c>
    </row>
    <row r="878" spans="1:23" ht="30" customHeight="1">
      <c r="A878" s="19" t="s">
        <v>5594</v>
      </c>
      <c r="B878" s="19" t="s">
        <v>5569</v>
      </c>
      <c r="C878" s="19"/>
      <c r="D878" s="19" t="s">
        <v>3507</v>
      </c>
      <c r="E878" s="20" t="s">
        <v>3508</v>
      </c>
      <c r="F878" s="19"/>
      <c r="G878" s="21" t="s">
        <v>29</v>
      </c>
      <c r="H878" s="22" t="b">
        <v>0</v>
      </c>
      <c r="I878" s="22" t="b">
        <v>0</v>
      </c>
      <c r="J878" s="22" t="b">
        <v>0</v>
      </c>
      <c r="K878" s="22" t="b">
        <v>0</v>
      </c>
      <c r="L878" s="22" t="b">
        <v>0</v>
      </c>
      <c r="M878" s="21"/>
      <c r="N878" s="23">
        <v>0</v>
      </c>
      <c r="O878" s="24"/>
      <c r="P878" s="19"/>
      <c r="Q878" s="25"/>
      <c r="R878" s="25"/>
      <c r="S878" s="19"/>
      <c r="T878" s="26"/>
      <c r="U878" s="27" t="s">
        <v>21</v>
      </c>
      <c r="V878" s="28" t="s">
        <v>361</v>
      </c>
      <c r="W878" s="29" t="s">
        <v>26</v>
      </c>
    </row>
    <row r="879" spans="1:23" ht="30" customHeight="1">
      <c r="A879" s="19" t="s">
        <v>5594</v>
      </c>
      <c r="B879" s="19" t="s">
        <v>5569</v>
      </c>
      <c r="C879" s="19"/>
      <c r="D879" s="19" t="s">
        <v>3511</v>
      </c>
      <c r="E879" s="20" t="s">
        <v>3512</v>
      </c>
      <c r="F879" s="19"/>
      <c r="G879" s="21" t="s">
        <v>22</v>
      </c>
      <c r="H879" s="22" t="b">
        <v>0</v>
      </c>
      <c r="I879" s="22" t="b">
        <v>0</v>
      </c>
      <c r="J879" s="22" t="b">
        <v>0</v>
      </c>
      <c r="K879" s="22" t="b">
        <v>0</v>
      </c>
      <c r="L879" s="22" t="b">
        <v>0</v>
      </c>
      <c r="M879" s="21"/>
      <c r="N879" s="23">
        <v>0</v>
      </c>
      <c r="O879" s="24"/>
      <c r="P879" s="19"/>
      <c r="Q879" s="25"/>
      <c r="R879" s="25"/>
      <c r="S879" s="19"/>
      <c r="T879" s="26"/>
      <c r="U879" s="27" t="s">
        <v>21</v>
      </c>
      <c r="V879" s="28" t="s">
        <v>370</v>
      </c>
      <c r="W879" s="29" t="s">
        <v>26</v>
      </c>
    </row>
    <row r="880" spans="1:23" ht="30" customHeight="1">
      <c r="A880" s="19" t="s">
        <v>5594</v>
      </c>
      <c r="B880" s="19" t="s">
        <v>5569</v>
      </c>
      <c r="C880" s="19"/>
      <c r="D880" s="19" t="s">
        <v>3514</v>
      </c>
      <c r="E880" s="20" t="s">
        <v>3515</v>
      </c>
      <c r="F880" s="19"/>
      <c r="G880" s="21" t="s">
        <v>22</v>
      </c>
      <c r="H880" s="22" t="b">
        <v>0</v>
      </c>
      <c r="I880" s="22" t="b">
        <v>0</v>
      </c>
      <c r="J880" s="22" t="b">
        <v>0</v>
      </c>
      <c r="K880" s="22" t="b">
        <v>0</v>
      </c>
      <c r="L880" s="22" t="b">
        <v>0</v>
      </c>
      <c r="M880" s="21"/>
      <c r="N880" s="23">
        <v>0</v>
      </c>
      <c r="O880" s="24"/>
      <c r="P880" s="19"/>
      <c r="Q880" s="25"/>
      <c r="R880" s="25"/>
      <c r="S880" s="19"/>
      <c r="T880" s="26"/>
      <c r="U880" s="27" t="s">
        <v>21</v>
      </c>
      <c r="V880" s="28" t="s">
        <v>3516</v>
      </c>
      <c r="W880" s="29" t="s">
        <v>26</v>
      </c>
    </row>
    <row r="881" spans="1:23" ht="30" customHeight="1">
      <c r="A881" s="19" t="s">
        <v>5594</v>
      </c>
      <c r="B881" s="19" t="s">
        <v>5569</v>
      </c>
      <c r="C881" s="19"/>
      <c r="D881" s="19" t="s">
        <v>3518</v>
      </c>
      <c r="E881" s="20" t="s">
        <v>3519</v>
      </c>
      <c r="F881" s="19"/>
      <c r="G881" s="21" t="s">
        <v>22</v>
      </c>
      <c r="H881" s="22" t="b">
        <v>0</v>
      </c>
      <c r="I881" s="22" t="b">
        <v>0</v>
      </c>
      <c r="J881" s="22" t="b">
        <v>0</v>
      </c>
      <c r="K881" s="22" t="b">
        <v>0</v>
      </c>
      <c r="L881" s="22" t="b">
        <v>0</v>
      </c>
      <c r="M881" s="21"/>
      <c r="N881" s="23">
        <v>0</v>
      </c>
      <c r="O881" s="24"/>
      <c r="P881" s="19"/>
      <c r="Q881" s="25"/>
      <c r="R881" s="25"/>
      <c r="S881" s="19"/>
      <c r="T881" s="26"/>
      <c r="U881" s="27" t="s">
        <v>21</v>
      </c>
      <c r="V881" s="28" t="s">
        <v>361</v>
      </c>
      <c r="W881" s="29" t="s">
        <v>26</v>
      </c>
    </row>
    <row r="882" spans="1:23" ht="30" customHeight="1">
      <c r="A882" s="19" t="s">
        <v>5594</v>
      </c>
      <c r="B882" s="19" t="s">
        <v>5569</v>
      </c>
      <c r="C882" s="19"/>
      <c r="D882" s="19" t="s">
        <v>3522</v>
      </c>
      <c r="E882" s="20" t="s">
        <v>3523</v>
      </c>
      <c r="F882" s="19"/>
      <c r="G882" s="21" t="s">
        <v>22</v>
      </c>
      <c r="H882" s="22" t="b">
        <v>0</v>
      </c>
      <c r="I882" s="22" t="b">
        <v>0</v>
      </c>
      <c r="J882" s="22" t="b">
        <v>0</v>
      </c>
      <c r="K882" s="22" t="b">
        <v>0</v>
      </c>
      <c r="L882" s="22" t="b">
        <v>0</v>
      </c>
      <c r="M882" s="21"/>
      <c r="N882" s="23">
        <v>0</v>
      </c>
      <c r="O882" s="24"/>
      <c r="P882" s="19"/>
      <c r="Q882" s="25"/>
      <c r="R882" s="25"/>
      <c r="S882" s="19"/>
      <c r="T882" s="26"/>
      <c r="U882" s="27" t="s">
        <v>21</v>
      </c>
      <c r="V882" s="28" t="s">
        <v>1955</v>
      </c>
      <c r="W882" s="29" t="s">
        <v>26</v>
      </c>
    </row>
    <row r="883" spans="1:23" ht="30" customHeight="1">
      <c r="A883" s="19" t="s">
        <v>5594</v>
      </c>
      <c r="B883" s="19" t="s">
        <v>5569</v>
      </c>
      <c r="C883" s="19"/>
      <c r="D883" s="19" t="s">
        <v>3526</v>
      </c>
      <c r="E883" s="20" t="s">
        <v>3527</v>
      </c>
      <c r="F883" s="19"/>
      <c r="G883" s="21" t="s">
        <v>29</v>
      </c>
      <c r="H883" s="22" t="b">
        <v>0</v>
      </c>
      <c r="I883" s="22" t="b">
        <v>0</v>
      </c>
      <c r="J883" s="22" t="b">
        <v>0</v>
      </c>
      <c r="K883" s="22" t="b">
        <v>0</v>
      </c>
      <c r="L883" s="22" t="b">
        <v>0</v>
      </c>
      <c r="M883" s="21"/>
      <c r="N883" s="23">
        <v>0</v>
      </c>
      <c r="O883" s="24"/>
      <c r="P883" s="19"/>
      <c r="Q883" s="25"/>
      <c r="R883" s="25"/>
      <c r="S883" s="19"/>
      <c r="T883" s="26"/>
      <c r="U883" s="27" t="s">
        <v>21</v>
      </c>
      <c r="V883" s="28" t="s">
        <v>3528</v>
      </c>
      <c r="W883" s="29" t="s">
        <v>26</v>
      </c>
    </row>
    <row r="884" spans="1:23" ht="30" customHeight="1">
      <c r="A884" s="19" t="s">
        <v>5594</v>
      </c>
      <c r="B884" s="19" t="s">
        <v>5569</v>
      </c>
      <c r="C884" s="19"/>
      <c r="D884" s="19" t="s">
        <v>3530</v>
      </c>
      <c r="E884" s="20" t="s">
        <v>3531</v>
      </c>
      <c r="F884" s="19"/>
      <c r="G884" s="21" t="s">
        <v>22</v>
      </c>
      <c r="H884" s="22" t="b">
        <v>0</v>
      </c>
      <c r="I884" s="22" t="b">
        <v>0</v>
      </c>
      <c r="J884" s="22" t="b">
        <v>0</v>
      </c>
      <c r="K884" s="22" t="b">
        <v>0</v>
      </c>
      <c r="L884" s="22" t="b">
        <v>0</v>
      </c>
      <c r="M884" s="21"/>
      <c r="N884" s="23">
        <v>0</v>
      </c>
      <c r="O884" s="24"/>
      <c r="P884" s="19"/>
      <c r="Q884" s="25"/>
      <c r="R884" s="25"/>
      <c r="S884" s="19"/>
      <c r="T884" s="26"/>
      <c r="U884" s="27" t="s">
        <v>21</v>
      </c>
      <c r="V884" s="28" t="s">
        <v>361</v>
      </c>
      <c r="W884" s="29" t="s">
        <v>26</v>
      </c>
    </row>
    <row r="885" spans="1:23" ht="30" customHeight="1">
      <c r="A885" s="19" t="s">
        <v>5594</v>
      </c>
      <c r="B885" s="19" t="s">
        <v>5569</v>
      </c>
      <c r="C885" s="19"/>
      <c r="D885" s="19" t="s">
        <v>3533</v>
      </c>
      <c r="E885" s="20" t="s">
        <v>3534</v>
      </c>
      <c r="F885" s="19"/>
      <c r="G885" s="21" t="s">
        <v>22</v>
      </c>
      <c r="H885" s="22" t="b">
        <v>0</v>
      </c>
      <c r="I885" s="22" t="b">
        <v>0</v>
      </c>
      <c r="J885" s="22" t="b">
        <v>0</v>
      </c>
      <c r="K885" s="22" t="b">
        <v>0</v>
      </c>
      <c r="L885" s="22" t="b">
        <v>0</v>
      </c>
      <c r="M885" s="21"/>
      <c r="N885" s="23">
        <v>0</v>
      </c>
      <c r="O885" s="24"/>
      <c r="P885" s="19"/>
      <c r="Q885" s="25"/>
      <c r="R885" s="25"/>
      <c r="S885" s="19"/>
      <c r="T885" s="26"/>
      <c r="U885" s="27" t="s">
        <v>21</v>
      </c>
      <c r="V885" s="28" t="s">
        <v>370</v>
      </c>
      <c r="W885" s="29" t="s">
        <v>26</v>
      </c>
    </row>
    <row r="886" spans="1:23" ht="30" customHeight="1">
      <c r="A886" s="19" t="s">
        <v>5594</v>
      </c>
      <c r="B886" s="19" t="s">
        <v>5569</v>
      </c>
      <c r="C886" s="19"/>
      <c r="D886" s="19" t="s">
        <v>3536</v>
      </c>
      <c r="E886" s="20" t="s">
        <v>3537</v>
      </c>
      <c r="F886" s="19"/>
      <c r="G886" s="21" t="s">
        <v>39</v>
      </c>
      <c r="H886" s="22" t="b">
        <v>0</v>
      </c>
      <c r="I886" s="22" t="b">
        <v>0</v>
      </c>
      <c r="J886" s="22" t="b">
        <v>0</v>
      </c>
      <c r="K886" s="22" t="b">
        <v>0</v>
      </c>
      <c r="L886" s="22" t="b">
        <v>0</v>
      </c>
      <c r="M886" s="21"/>
      <c r="N886" s="23">
        <v>0</v>
      </c>
      <c r="O886" s="24"/>
      <c r="P886" s="19"/>
      <c r="Q886" s="25"/>
      <c r="R886" s="25"/>
      <c r="S886" s="19"/>
      <c r="T886" s="26"/>
      <c r="U886" s="27" t="s">
        <v>21</v>
      </c>
      <c r="V886" s="28" t="s">
        <v>3538</v>
      </c>
      <c r="W886" s="29" t="s">
        <v>26</v>
      </c>
    </row>
    <row r="887" spans="1:23" ht="30" customHeight="1">
      <c r="A887" s="19" t="s">
        <v>5594</v>
      </c>
      <c r="B887" s="19" t="s">
        <v>5569</v>
      </c>
      <c r="C887" s="19"/>
      <c r="D887" s="19" t="s">
        <v>3540</v>
      </c>
      <c r="E887" s="20" t="s">
        <v>3541</v>
      </c>
      <c r="F887" s="19"/>
      <c r="G887" s="21" t="s">
        <v>29</v>
      </c>
      <c r="H887" s="22" t="b">
        <v>0</v>
      </c>
      <c r="I887" s="22" t="b">
        <v>0</v>
      </c>
      <c r="J887" s="22" t="b">
        <v>0</v>
      </c>
      <c r="K887" s="22" t="b">
        <v>0</v>
      </c>
      <c r="L887" s="22" t="b">
        <v>0</v>
      </c>
      <c r="M887" s="21"/>
      <c r="N887" s="23">
        <v>0</v>
      </c>
      <c r="O887" s="24"/>
      <c r="P887" s="19"/>
      <c r="Q887" s="25"/>
      <c r="R887" s="25"/>
      <c r="S887" s="19"/>
      <c r="T887" s="26"/>
      <c r="U887" s="27" t="s">
        <v>21</v>
      </c>
      <c r="V887" s="28" t="s">
        <v>3542</v>
      </c>
      <c r="W887" s="29" t="s">
        <v>26</v>
      </c>
    </row>
    <row r="888" spans="1:23" ht="30" customHeight="1">
      <c r="A888" s="19" t="s">
        <v>5594</v>
      </c>
      <c r="B888" s="19" t="s">
        <v>5569</v>
      </c>
      <c r="C888" s="19"/>
      <c r="D888" s="19" t="s">
        <v>3544</v>
      </c>
      <c r="E888" s="20" t="s">
        <v>3545</v>
      </c>
      <c r="F888" s="19"/>
      <c r="G888" s="21" t="s">
        <v>22</v>
      </c>
      <c r="H888" s="22" t="b">
        <v>0</v>
      </c>
      <c r="I888" s="22" t="b">
        <v>0</v>
      </c>
      <c r="J888" s="22" t="b">
        <v>0</v>
      </c>
      <c r="K888" s="22" t="b">
        <v>0</v>
      </c>
      <c r="L888" s="22" t="b">
        <v>0</v>
      </c>
      <c r="M888" s="21"/>
      <c r="N888" s="23">
        <v>0</v>
      </c>
      <c r="O888" s="24"/>
      <c r="P888" s="19"/>
      <c r="Q888" s="25"/>
      <c r="R888" s="25"/>
      <c r="S888" s="19"/>
      <c r="T888" s="26"/>
      <c r="U888" s="27" t="s">
        <v>21</v>
      </c>
      <c r="V888" s="28" t="s">
        <v>3546</v>
      </c>
      <c r="W888" s="29" t="s">
        <v>26</v>
      </c>
    </row>
    <row r="889" spans="1:23" ht="30" customHeight="1">
      <c r="A889" s="19" t="s">
        <v>5594</v>
      </c>
      <c r="B889" s="19" t="s">
        <v>5569</v>
      </c>
      <c r="C889" s="19"/>
      <c r="D889" s="19" t="s">
        <v>3549</v>
      </c>
      <c r="E889" s="20" t="s">
        <v>3550</v>
      </c>
      <c r="F889" s="19"/>
      <c r="G889" s="21" t="s">
        <v>22</v>
      </c>
      <c r="H889" s="22" t="b">
        <v>0</v>
      </c>
      <c r="I889" s="22" t="b">
        <v>0</v>
      </c>
      <c r="J889" s="22" t="b">
        <v>0</v>
      </c>
      <c r="K889" s="22" t="b">
        <v>0</v>
      </c>
      <c r="L889" s="22" t="b">
        <v>0</v>
      </c>
      <c r="M889" s="21"/>
      <c r="N889" s="23">
        <v>0</v>
      </c>
      <c r="O889" s="24"/>
      <c r="P889" s="19"/>
      <c r="Q889" s="25"/>
      <c r="R889" s="25"/>
      <c r="S889" s="19"/>
      <c r="T889" s="26"/>
      <c r="U889" s="27" t="s">
        <v>21</v>
      </c>
      <c r="V889" s="28" t="s">
        <v>3551</v>
      </c>
      <c r="W889" s="29" t="s">
        <v>26</v>
      </c>
    </row>
    <row r="890" spans="1:23" ht="30" customHeight="1">
      <c r="A890" s="19" t="s">
        <v>5594</v>
      </c>
      <c r="B890" s="19" t="s">
        <v>5569</v>
      </c>
      <c r="C890" s="19"/>
      <c r="D890" s="19" t="s">
        <v>3553</v>
      </c>
      <c r="E890" s="20" t="s">
        <v>3554</v>
      </c>
      <c r="F890" s="19"/>
      <c r="G890" s="21" t="s">
        <v>22</v>
      </c>
      <c r="H890" s="22" t="b">
        <v>0</v>
      </c>
      <c r="I890" s="22" t="b">
        <v>0</v>
      </c>
      <c r="J890" s="22" t="b">
        <v>0</v>
      </c>
      <c r="K890" s="22" t="b">
        <v>0</v>
      </c>
      <c r="L890" s="22" t="b">
        <v>0</v>
      </c>
      <c r="M890" s="21"/>
      <c r="N890" s="23">
        <v>0</v>
      </c>
      <c r="O890" s="24"/>
      <c r="P890" s="19"/>
      <c r="Q890" s="25"/>
      <c r="R890" s="25"/>
      <c r="S890" s="19"/>
      <c r="T890" s="26"/>
      <c r="U890" s="27" t="s">
        <v>21</v>
      </c>
      <c r="V890" s="28" t="s">
        <v>3555</v>
      </c>
      <c r="W890" s="29" t="s">
        <v>26</v>
      </c>
    </row>
    <row r="891" spans="1:23" ht="30" customHeight="1">
      <c r="A891" s="19" t="s">
        <v>5594</v>
      </c>
      <c r="B891" s="19" t="s">
        <v>5569</v>
      </c>
      <c r="C891" s="19"/>
      <c r="D891" s="19" t="s">
        <v>3558</v>
      </c>
      <c r="E891" s="20" t="s">
        <v>3559</v>
      </c>
      <c r="F891" s="19"/>
      <c r="G891" s="21" t="s">
        <v>22</v>
      </c>
      <c r="H891" s="22" t="b">
        <v>0</v>
      </c>
      <c r="I891" s="22" t="b">
        <v>0</v>
      </c>
      <c r="J891" s="22" t="b">
        <v>0</v>
      </c>
      <c r="K891" s="22" t="b">
        <v>0</v>
      </c>
      <c r="L891" s="22" t="b">
        <v>0</v>
      </c>
      <c r="M891" s="21"/>
      <c r="N891" s="23">
        <v>0</v>
      </c>
      <c r="O891" s="24"/>
      <c r="P891" s="19"/>
      <c r="Q891" s="25"/>
      <c r="R891" s="25"/>
      <c r="S891" s="19"/>
      <c r="T891" s="26"/>
      <c r="U891" s="27" t="s">
        <v>21</v>
      </c>
      <c r="V891" s="28" t="s">
        <v>3560</v>
      </c>
      <c r="W891" s="29" t="s">
        <v>26</v>
      </c>
    </row>
    <row r="892" spans="1:23" ht="30" customHeight="1">
      <c r="A892" s="19" t="s">
        <v>5594</v>
      </c>
      <c r="B892" s="19" t="s">
        <v>5569</v>
      </c>
      <c r="C892" s="19"/>
      <c r="D892" s="19" t="s">
        <v>3562</v>
      </c>
      <c r="E892" s="20" t="s">
        <v>3563</v>
      </c>
      <c r="F892" s="19"/>
      <c r="G892" s="21" t="s">
        <v>39</v>
      </c>
      <c r="H892" s="22" t="b">
        <v>0</v>
      </c>
      <c r="I892" s="22" t="b">
        <v>0</v>
      </c>
      <c r="J892" s="22" t="b">
        <v>0</v>
      </c>
      <c r="K892" s="22" t="b">
        <v>0</v>
      </c>
      <c r="L892" s="22" t="b">
        <v>0</v>
      </c>
      <c r="M892" s="21"/>
      <c r="N892" s="23">
        <v>0</v>
      </c>
      <c r="O892" s="24"/>
      <c r="P892" s="19"/>
      <c r="Q892" s="25"/>
      <c r="R892" s="25"/>
      <c r="S892" s="19"/>
      <c r="T892" s="26"/>
      <c r="U892" s="27" t="s">
        <v>21</v>
      </c>
      <c r="V892" s="28" t="s">
        <v>2680</v>
      </c>
      <c r="W892" s="29" t="s">
        <v>26</v>
      </c>
    </row>
    <row r="893" spans="1:23" ht="30" customHeight="1">
      <c r="A893" s="19" t="s">
        <v>5594</v>
      </c>
      <c r="B893" s="19" t="s">
        <v>5569</v>
      </c>
      <c r="C893" s="19"/>
      <c r="D893" s="19" t="s">
        <v>3565</v>
      </c>
      <c r="E893" s="20" t="s">
        <v>3566</v>
      </c>
      <c r="F893" s="19"/>
      <c r="G893" s="21" t="s">
        <v>22</v>
      </c>
      <c r="H893" s="22" t="b">
        <v>0</v>
      </c>
      <c r="I893" s="22" t="b">
        <v>0</v>
      </c>
      <c r="J893" s="22" t="b">
        <v>0</v>
      </c>
      <c r="K893" s="22" t="b">
        <v>0</v>
      </c>
      <c r="L893" s="22" t="b">
        <v>0</v>
      </c>
      <c r="M893" s="21"/>
      <c r="N893" s="23">
        <v>0</v>
      </c>
      <c r="O893" s="24"/>
      <c r="P893" s="19"/>
      <c r="Q893" s="25"/>
      <c r="R893" s="25"/>
      <c r="S893" s="19"/>
      <c r="T893" s="26"/>
      <c r="U893" s="27" t="s">
        <v>21</v>
      </c>
      <c r="V893" s="28" t="s">
        <v>1320</v>
      </c>
      <c r="W893" s="29" t="s">
        <v>26</v>
      </c>
    </row>
    <row r="894" spans="1:23" ht="30" customHeight="1">
      <c r="A894" s="19" t="s">
        <v>5594</v>
      </c>
      <c r="B894" s="19" t="s">
        <v>5569</v>
      </c>
      <c r="C894" s="19"/>
      <c r="D894" s="19" t="s">
        <v>3569</v>
      </c>
      <c r="E894" s="20" t="s">
        <v>3570</v>
      </c>
      <c r="F894" s="19"/>
      <c r="G894" s="21" t="s">
        <v>22</v>
      </c>
      <c r="H894" s="22" t="b">
        <v>0</v>
      </c>
      <c r="I894" s="22" t="b">
        <v>0</v>
      </c>
      <c r="J894" s="22" t="b">
        <v>0</v>
      </c>
      <c r="K894" s="22" t="b">
        <v>0</v>
      </c>
      <c r="L894" s="22" t="b">
        <v>0</v>
      </c>
      <c r="M894" s="21"/>
      <c r="N894" s="23">
        <v>0</v>
      </c>
      <c r="O894" s="24"/>
      <c r="P894" s="19"/>
      <c r="Q894" s="25"/>
      <c r="R894" s="25"/>
      <c r="S894" s="19"/>
      <c r="T894" s="26"/>
      <c r="U894" s="27" t="s">
        <v>21</v>
      </c>
      <c r="V894" s="28" t="s">
        <v>3571</v>
      </c>
      <c r="W894" s="29" t="s">
        <v>26</v>
      </c>
    </row>
    <row r="895" spans="1:23" ht="30" customHeight="1">
      <c r="A895" s="19" t="s">
        <v>5594</v>
      </c>
      <c r="B895" s="19" t="s">
        <v>5569</v>
      </c>
      <c r="C895" s="19"/>
      <c r="D895" s="19" t="s">
        <v>3573</v>
      </c>
      <c r="E895" s="20" t="s">
        <v>3574</v>
      </c>
      <c r="F895" s="19"/>
      <c r="G895" s="21" t="s">
        <v>22</v>
      </c>
      <c r="H895" s="22" t="b">
        <v>0</v>
      </c>
      <c r="I895" s="22" t="b">
        <v>0</v>
      </c>
      <c r="J895" s="22" t="b">
        <v>0</v>
      </c>
      <c r="K895" s="22" t="b">
        <v>0</v>
      </c>
      <c r="L895" s="22" t="b">
        <v>0</v>
      </c>
      <c r="M895" s="21"/>
      <c r="N895" s="23">
        <v>0</v>
      </c>
      <c r="O895" s="24"/>
      <c r="P895" s="19"/>
      <c r="Q895" s="25"/>
      <c r="R895" s="25"/>
      <c r="S895" s="19"/>
      <c r="T895" s="26"/>
      <c r="U895" s="27" t="s">
        <v>21</v>
      </c>
      <c r="V895" s="28" t="s">
        <v>361</v>
      </c>
      <c r="W895" s="29" t="s">
        <v>26</v>
      </c>
    </row>
    <row r="896" spans="1:23" ht="30" customHeight="1">
      <c r="A896" s="19" t="s">
        <v>5595</v>
      </c>
      <c r="B896" s="19" t="s">
        <v>5569</v>
      </c>
      <c r="C896" s="19"/>
      <c r="D896" s="19" t="s">
        <v>3578</v>
      </c>
      <c r="E896" s="20" t="s">
        <v>3579</v>
      </c>
      <c r="F896" s="19"/>
      <c r="G896" s="21" t="s">
        <v>22</v>
      </c>
      <c r="H896" s="22" t="b">
        <v>0</v>
      </c>
      <c r="I896" s="22" t="b">
        <v>0</v>
      </c>
      <c r="J896" s="22" t="b">
        <v>0</v>
      </c>
      <c r="K896" s="22" t="b">
        <v>0</v>
      </c>
      <c r="L896" s="22" t="b">
        <v>0</v>
      </c>
      <c r="M896" s="21"/>
      <c r="N896" s="23">
        <v>0</v>
      </c>
      <c r="O896" s="24"/>
      <c r="P896" s="19"/>
      <c r="Q896" s="25"/>
      <c r="R896" s="25"/>
      <c r="S896" s="19"/>
      <c r="T896" s="26"/>
      <c r="U896" s="27" t="s">
        <v>21</v>
      </c>
      <c r="V896" s="28" t="s">
        <v>3580</v>
      </c>
      <c r="W896" s="29" t="s">
        <v>26</v>
      </c>
    </row>
    <row r="897" spans="1:23" ht="30" customHeight="1">
      <c r="A897" s="19" t="s">
        <v>5595</v>
      </c>
      <c r="B897" s="19" t="s">
        <v>5569</v>
      </c>
      <c r="C897" s="19"/>
      <c r="D897" s="19" t="s">
        <v>3583</v>
      </c>
      <c r="E897" s="20" t="s">
        <v>3584</v>
      </c>
      <c r="F897" s="19"/>
      <c r="G897" s="21" t="s">
        <v>29</v>
      </c>
      <c r="H897" s="22" t="b">
        <v>0</v>
      </c>
      <c r="I897" s="22" t="b">
        <v>0</v>
      </c>
      <c r="J897" s="22" t="b">
        <v>0</v>
      </c>
      <c r="K897" s="22" t="b">
        <v>0</v>
      </c>
      <c r="L897" s="22" t="b">
        <v>0</v>
      </c>
      <c r="M897" s="21"/>
      <c r="N897" s="23">
        <v>0</v>
      </c>
      <c r="O897" s="24"/>
      <c r="P897" s="19"/>
      <c r="Q897" s="25"/>
      <c r="R897" s="25"/>
      <c r="S897" s="19"/>
      <c r="T897" s="26"/>
      <c r="U897" s="27" t="s">
        <v>21</v>
      </c>
      <c r="V897" s="28" t="s">
        <v>3585</v>
      </c>
      <c r="W897" s="29" t="s">
        <v>26</v>
      </c>
    </row>
    <row r="898" spans="1:23" ht="30" customHeight="1">
      <c r="A898" s="19" t="s">
        <v>5595</v>
      </c>
      <c r="B898" s="19" t="s">
        <v>5569</v>
      </c>
      <c r="C898" s="19"/>
      <c r="D898" s="19" t="s">
        <v>3588</v>
      </c>
      <c r="E898" s="20" t="s">
        <v>3589</v>
      </c>
      <c r="F898" s="19"/>
      <c r="G898" s="21" t="s">
        <v>22</v>
      </c>
      <c r="H898" s="22" t="b">
        <v>0</v>
      </c>
      <c r="I898" s="22" t="b">
        <v>0</v>
      </c>
      <c r="J898" s="22" t="b">
        <v>0</v>
      </c>
      <c r="K898" s="22" t="b">
        <v>0</v>
      </c>
      <c r="L898" s="22" t="b">
        <v>0</v>
      </c>
      <c r="M898" s="21"/>
      <c r="N898" s="23">
        <v>0</v>
      </c>
      <c r="O898" s="24"/>
      <c r="P898" s="19"/>
      <c r="Q898" s="25"/>
      <c r="R898" s="25"/>
      <c r="S898" s="19"/>
      <c r="T898" s="26"/>
      <c r="U898" s="27" t="s">
        <v>21</v>
      </c>
      <c r="V898" s="28"/>
      <c r="W898" s="29" t="s">
        <v>26</v>
      </c>
    </row>
    <row r="899" spans="1:23" ht="30" customHeight="1">
      <c r="A899" s="19" t="s">
        <v>5595</v>
      </c>
      <c r="B899" s="19" t="s">
        <v>5569</v>
      </c>
      <c r="C899" s="19"/>
      <c r="D899" s="19" t="s">
        <v>3592</v>
      </c>
      <c r="E899" s="20" t="s">
        <v>3593</v>
      </c>
      <c r="F899" s="19"/>
      <c r="G899" s="21" t="s">
        <v>22</v>
      </c>
      <c r="H899" s="22" t="b">
        <v>0</v>
      </c>
      <c r="I899" s="22" t="b">
        <v>0</v>
      </c>
      <c r="J899" s="22" t="b">
        <v>0</v>
      </c>
      <c r="K899" s="22" t="b">
        <v>0</v>
      </c>
      <c r="L899" s="22" t="b">
        <v>0</v>
      </c>
      <c r="M899" s="21"/>
      <c r="N899" s="23">
        <v>0</v>
      </c>
      <c r="O899" s="24"/>
      <c r="P899" s="19"/>
      <c r="Q899" s="25"/>
      <c r="R899" s="25"/>
      <c r="S899" s="19"/>
      <c r="T899" s="26"/>
      <c r="U899" s="27" t="s">
        <v>21</v>
      </c>
      <c r="V899" s="28"/>
      <c r="W899" s="29" t="s">
        <v>26</v>
      </c>
    </row>
    <row r="900" spans="1:23" ht="30" customHeight="1">
      <c r="A900" s="19" t="s">
        <v>5595</v>
      </c>
      <c r="B900" s="19" t="s">
        <v>5569</v>
      </c>
      <c r="C900" s="19"/>
      <c r="D900" s="19" t="s">
        <v>3596</v>
      </c>
      <c r="E900" s="20" t="s">
        <v>3597</v>
      </c>
      <c r="F900" s="19"/>
      <c r="G900" s="21" t="s">
        <v>22</v>
      </c>
      <c r="H900" s="22" t="b">
        <v>0</v>
      </c>
      <c r="I900" s="22" t="b">
        <v>0</v>
      </c>
      <c r="J900" s="22" t="b">
        <v>0</v>
      </c>
      <c r="K900" s="22" t="b">
        <v>0</v>
      </c>
      <c r="L900" s="22" t="b">
        <v>0</v>
      </c>
      <c r="M900" s="21"/>
      <c r="N900" s="23">
        <v>0</v>
      </c>
      <c r="O900" s="24"/>
      <c r="P900" s="19"/>
      <c r="Q900" s="25"/>
      <c r="R900" s="25"/>
      <c r="S900" s="19"/>
      <c r="T900" s="26"/>
      <c r="U900" s="27" t="s">
        <v>21</v>
      </c>
      <c r="V900" s="28"/>
      <c r="W900" s="29" t="s">
        <v>26</v>
      </c>
    </row>
    <row r="901" spans="1:23" ht="30" customHeight="1">
      <c r="A901" s="19" t="s">
        <v>5595</v>
      </c>
      <c r="B901" s="19" t="s">
        <v>5569</v>
      </c>
      <c r="C901" s="19"/>
      <c r="D901" s="19" t="s">
        <v>3600</v>
      </c>
      <c r="E901" s="20" t="s">
        <v>3601</v>
      </c>
      <c r="F901" s="19"/>
      <c r="G901" s="21" t="s">
        <v>22</v>
      </c>
      <c r="H901" s="22" t="b">
        <v>0</v>
      </c>
      <c r="I901" s="22" t="b">
        <v>0</v>
      </c>
      <c r="J901" s="22" t="b">
        <v>0</v>
      </c>
      <c r="K901" s="22" t="b">
        <v>0</v>
      </c>
      <c r="L901" s="22" t="b">
        <v>0</v>
      </c>
      <c r="M901" s="21"/>
      <c r="N901" s="23">
        <v>0</v>
      </c>
      <c r="O901" s="24"/>
      <c r="P901" s="19"/>
      <c r="Q901" s="25"/>
      <c r="R901" s="25"/>
      <c r="S901" s="19"/>
      <c r="T901" s="26"/>
      <c r="U901" s="27" t="s">
        <v>21</v>
      </c>
      <c r="V901" s="28"/>
      <c r="W901" s="29" t="s">
        <v>26</v>
      </c>
    </row>
    <row r="902" spans="1:23" ht="30" customHeight="1">
      <c r="A902" s="19" t="s">
        <v>5595</v>
      </c>
      <c r="B902" s="19" t="s">
        <v>5569</v>
      </c>
      <c r="C902" s="19"/>
      <c r="D902" s="19" t="s">
        <v>3604</v>
      </c>
      <c r="E902" s="20" t="s">
        <v>3605</v>
      </c>
      <c r="F902" s="19"/>
      <c r="G902" s="21" t="s">
        <v>22</v>
      </c>
      <c r="H902" s="22" t="b">
        <v>0</v>
      </c>
      <c r="I902" s="22" t="b">
        <v>0</v>
      </c>
      <c r="J902" s="22" t="b">
        <v>0</v>
      </c>
      <c r="K902" s="22" t="b">
        <v>0</v>
      </c>
      <c r="L902" s="22" t="b">
        <v>0</v>
      </c>
      <c r="M902" s="21"/>
      <c r="N902" s="23">
        <v>0</v>
      </c>
      <c r="O902" s="24"/>
      <c r="P902" s="19"/>
      <c r="Q902" s="25"/>
      <c r="R902" s="25"/>
      <c r="S902" s="19"/>
      <c r="T902" s="26"/>
      <c r="U902" s="27" t="s">
        <v>21</v>
      </c>
      <c r="V902" s="28" t="s">
        <v>3606</v>
      </c>
      <c r="W902" s="29" t="s">
        <v>26</v>
      </c>
    </row>
    <row r="903" spans="1:23" ht="30" customHeight="1">
      <c r="A903" s="19" t="s">
        <v>5595</v>
      </c>
      <c r="B903" s="19" t="s">
        <v>5569</v>
      </c>
      <c r="C903" s="19"/>
      <c r="D903" s="19" t="s">
        <v>3609</v>
      </c>
      <c r="E903" s="20" t="s">
        <v>3610</v>
      </c>
      <c r="F903" s="19"/>
      <c r="G903" s="21" t="s">
        <v>22</v>
      </c>
      <c r="H903" s="22" t="b">
        <v>0</v>
      </c>
      <c r="I903" s="22" t="b">
        <v>0</v>
      </c>
      <c r="J903" s="22" t="b">
        <v>0</v>
      </c>
      <c r="K903" s="22" t="b">
        <v>0</v>
      </c>
      <c r="L903" s="22" t="b">
        <v>0</v>
      </c>
      <c r="M903" s="21"/>
      <c r="N903" s="23">
        <v>0</v>
      </c>
      <c r="O903" s="24"/>
      <c r="P903" s="19"/>
      <c r="Q903" s="25"/>
      <c r="R903" s="25"/>
      <c r="S903" s="19"/>
      <c r="T903" s="26"/>
      <c r="U903" s="27" t="s">
        <v>21</v>
      </c>
      <c r="V903" s="28" t="s">
        <v>3611</v>
      </c>
      <c r="W903" s="29" t="s">
        <v>26</v>
      </c>
    </row>
    <row r="904" spans="1:23" ht="30" customHeight="1">
      <c r="A904" s="19" t="s">
        <v>5595</v>
      </c>
      <c r="B904" s="19" t="s">
        <v>5569</v>
      </c>
      <c r="C904" s="19"/>
      <c r="D904" s="19" t="s">
        <v>3614</v>
      </c>
      <c r="E904" s="20" t="s">
        <v>3615</v>
      </c>
      <c r="F904" s="19"/>
      <c r="G904" s="21" t="s">
        <v>22</v>
      </c>
      <c r="H904" s="22" t="b">
        <v>0</v>
      </c>
      <c r="I904" s="22" t="b">
        <v>0</v>
      </c>
      <c r="J904" s="22" t="b">
        <v>0</v>
      </c>
      <c r="K904" s="22" t="b">
        <v>0</v>
      </c>
      <c r="L904" s="22" t="b">
        <v>0</v>
      </c>
      <c r="M904" s="21"/>
      <c r="N904" s="23">
        <v>0</v>
      </c>
      <c r="O904" s="24"/>
      <c r="P904" s="19"/>
      <c r="Q904" s="25"/>
      <c r="R904" s="25"/>
      <c r="S904" s="19"/>
      <c r="T904" s="26"/>
      <c r="U904" s="27" t="s">
        <v>21</v>
      </c>
      <c r="V904" s="28" t="s">
        <v>3616</v>
      </c>
      <c r="W904" s="29" t="s">
        <v>26</v>
      </c>
    </row>
    <row r="905" spans="1:23" ht="30" customHeight="1">
      <c r="A905" s="19" t="s">
        <v>5595</v>
      </c>
      <c r="B905" s="19" t="s">
        <v>5569</v>
      </c>
      <c r="C905" s="19"/>
      <c r="D905" s="19" t="s">
        <v>3619</v>
      </c>
      <c r="E905" s="20" t="s">
        <v>3620</v>
      </c>
      <c r="F905" s="19"/>
      <c r="G905" s="21" t="s">
        <v>22</v>
      </c>
      <c r="H905" s="22" t="b">
        <v>0</v>
      </c>
      <c r="I905" s="22" t="b">
        <v>0</v>
      </c>
      <c r="J905" s="22" t="b">
        <v>0</v>
      </c>
      <c r="K905" s="22" t="b">
        <v>0</v>
      </c>
      <c r="L905" s="22" t="b">
        <v>0</v>
      </c>
      <c r="M905" s="21"/>
      <c r="N905" s="23">
        <v>0</v>
      </c>
      <c r="O905" s="24"/>
      <c r="P905" s="19"/>
      <c r="Q905" s="25"/>
      <c r="R905" s="25"/>
      <c r="S905" s="19"/>
      <c r="T905" s="26"/>
      <c r="U905" s="27" t="s">
        <v>21</v>
      </c>
      <c r="V905" s="28"/>
      <c r="W905" s="29" t="s">
        <v>26</v>
      </c>
    </row>
    <row r="906" spans="1:23" ht="30" customHeight="1">
      <c r="A906" s="19" t="s">
        <v>5595</v>
      </c>
      <c r="B906" s="19" t="s">
        <v>5569</v>
      </c>
      <c r="C906" s="19"/>
      <c r="D906" s="19" t="s">
        <v>3623</v>
      </c>
      <c r="E906" s="20" t="s">
        <v>3624</v>
      </c>
      <c r="F906" s="19"/>
      <c r="G906" s="21" t="s">
        <v>22</v>
      </c>
      <c r="H906" s="22" t="b">
        <v>0</v>
      </c>
      <c r="I906" s="22" t="b">
        <v>0</v>
      </c>
      <c r="J906" s="22" t="b">
        <v>0</v>
      </c>
      <c r="K906" s="22" t="b">
        <v>0</v>
      </c>
      <c r="L906" s="22" t="b">
        <v>0</v>
      </c>
      <c r="M906" s="21"/>
      <c r="N906" s="23">
        <v>0</v>
      </c>
      <c r="O906" s="24"/>
      <c r="P906" s="19"/>
      <c r="Q906" s="25"/>
      <c r="R906" s="25"/>
      <c r="S906" s="19"/>
      <c r="T906" s="26"/>
      <c r="U906" s="27" t="s">
        <v>21</v>
      </c>
      <c r="V906" s="28"/>
      <c r="W906" s="29" t="s">
        <v>26</v>
      </c>
    </row>
    <row r="907" spans="1:23" ht="30" customHeight="1">
      <c r="A907" s="19" t="s">
        <v>5595</v>
      </c>
      <c r="B907" s="19" t="s">
        <v>5569</v>
      </c>
      <c r="C907" s="19"/>
      <c r="D907" s="19" t="s">
        <v>3627</v>
      </c>
      <c r="E907" s="20" t="s">
        <v>3628</v>
      </c>
      <c r="F907" s="19"/>
      <c r="G907" s="21" t="s">
        <v>22</v>
      </c>
      <c r="H907" s="22" t="b">
        <v>0</v>
      </c>
      <c r="I907" s="22" t="b">
        <v>0</v>
      </c>
      <c r="J907" s="22" t="b">
        <v>0</v>
      </c>
      <c r="K907" s="22" t="b">
        <v>0</v>
      </c>
      <c r="L907" s="22" t="b">
        <v>0</v>
      </c>
      <c r="M907" s="21"/>
      <c r="N907" s="23">
        <v>0</v>
      </c>
      <c r="O907" s="24"/>
      <c r="P907" s="19"/>
      <c r="Q907" s="25"/>
      <c r="R907" s="25"/>
      <c r="S907" s="19"/>
      <c r="T907" s="26"/>
      <c r="U907" s="27" t="s">
        <v>21</v>
      </c>
      <c r="V907" s="28" t="s">
        <v>3629</v>
      </c>
      <c r="W907" s="29" t="s">
        <v>26</v>
      </c>
    </row>
    <row r="908" spans="1:23" ht="30" customHeight="1">
      <c r="A908" s="19" t="s">
        <v>5595</v>
      </c>
      <c r="B908" s="19" t="s">
        <v>5569</v>
      </c>
      <c r="C908" s="19"/>
      <c r="D908" s="19" t="s">
        <v>3632</v>
      </c>
      <c r="E908" s="20" t="s">
        <v>3633</v>
      </c>
      <c r="F908" s="19"/>
      <c r="G908" s="21" t="s">
        <v>29</v>
      </c>
      <c r="H908" s="22" t="b">
        <v>0</v>
      </c>
      <c r="I908" s="22" t="b">
        <v>0</v>
      </c>
      <c r="J908" s="22" t="b">
        <v>0</v>
      </c>
      <c r="K908" s="22" t="b">
        <v>0</v>
      </c>
      <c r="L908" s="22" t="b">
        <v>0</v>
      </c>
      <c r="M908" s="21"/>
      <c r="N908" s="23">
        <v>0</v>
      </c>
      <c r="O908" s="24"/>
      <c r="P908" s="19"/>
      <c r="Q908" s="25"/>
      <c r="R908" s="25"/>
      <c r="S908" s="19"/>
      <c r="T908" s="26"/>
      <c r="U908" s="27" t="s">
        <v>21</v>
      </c>
      <c r="V908" s="28" t="s">
        <v>3634</v>
      </c>
      <c r="W908" s="29" t="s">
        <v>26</v>
      </c>
    </row>
    <row r="909" spans="1:23" ht="30" customHeight="1">
      <c r="A909" s="19" t="s">
        <v>5595</v>
      </c>
      <c r="B909" s="19" t="s">
        <v>5569</v>
      </c>
      <c r="C909" s="19"/>
      <c r="D909" s="19" t="s">
        <v>3637</v>
      </c>
      <c r="E909" s="20" t="s">
        <v>3638</v>
      </c>
      <c r="F909" s="19"/>
      <c r="G909" s="21" t="s">
        <v>29</v>
      </c>
      <c r="H909" s="22" t="b">
        <v>0</v>
      </c>
      <c r="I909" s="22" t="b">
        <v>0</v>
      </c>
      <c r="J909" s="22" t="b">
        <v>0</v>
      </c>
      <c r="K909" s="22" t="b">
        <v>0</v>
      </c>
      <c r="L909" s="22" t="b">
        <v>0</v>
      </c>
      <c r="M909" s="21"/>
      <c r="N909" s="23">
        <v>0</v>
      </c>
      <c r="O909" s="24"/>
      <c r="P909" s="19"/>
      <c r="Q909" s="25"/>
      <c r="R909" s="25"/>
      <c r="S909" s="19"/>
      <c r="T909" s="26"/>
      <c r="U909" s="27" t="s">
        <v>21</v>
      </c>
      <c r="V909" s="28" t="s">
        <v>3639</v>
      </c>
      <c r="W909" s="29" t="s">
        <v>26</v>
      </c>
    </row>
    <row r="910" spans="1:23" ht="30" customHeight="1">
      <c r="A910" s="19" t="s">
        <v>5595</v>
      </c>
      <c r="B910" s="19" t="s">
        <v>5569</v>
      </c>
      <c r="C910" s="19"/>
      <c r="D910" s="19" t="s">
        <v>3642</v>
      </c>
      <c r="E910" s="20" t="s">
        <v>3643</v>
      </c>
      <c r="F910" s="19"/>
      <c r="G910" s="21" t="s">
        <v>22</v>
      </c>
      <c r="H910" s="22" t="b">
        <v>0</v>
      </c>
      <c r="I910" s="22" t="b">
        <v>0</v>
      </c>
      <c r="J910" s="22" t="b">
        <v>0</v>
      </c>
      <c r="K910" s="22" t="b">
        <v>0</v>
      </c>
      <c r="L910" s="22" t="b">
        <v>0</v>
      </c>
      <c r="M910" s="21"/>
      <c r="N910" s="23">
        <v>0</v>
      </c>
      <c r="O910" s="24"/>
      <c r="P910" s="19"/>
      <c r="Q910" s="25"/>
      <c r="R910" s="25"/>
      <c r="S910" s="19"/>
      <c r="T910" s="26"/>
      <c r="U910" s="27" t="s">
        <v>21</v>
      </c>
      <c r="V910" s="28" t="s">
        <v>3644</v>
      </c>
      <c r="W910" s="29" t="s">
        <v>26</v>
      </c>
    </row>
    <row r="911" spans="1:23" ht="30" customHeight="1">
      <c r="A911" s="19" t="s">
        <v>5595</v>
      </c>
      <c r="B911" s="19" t="s">
        <v>5569</v>
      </c>
      <c r="C911" s="19"/>
      <c r="D911" s="19" t="s">
        <v>3647</v>
      </c>
      <c r="E911" s="20" t="s">
        <v>3648</v>
      </c>
      <c r="F911" s="19"/>
      <c r="G911" s="21" t="s">
        <v>22</v>
      </c>
      <c r="H911" s="22" t="b">
        <v>0</v>
      </c>
      <c r="I911" s="22" t="b">
        <v>0</v>
      </c>
      <c r="J911" s="22" t="b">
        <v>0</v>
      </c>
      <c r="K911" s="22" t="b">
        <v>0</v>
      </c>
      <c r="L911" s="22" t="b">
        <v>0</v>
      </c>
      <c r="M911" s="21"/>
      <c r="N911" s="23">
        <v>0</v>
      </c>
      <c r="O911" s="24"/>
      <c r="P911" s="19"/>
      <c r="Q911" s="25"/>
      <c r="R911" s="25"/>
      <c r="S911" s="19"/>
      <c r="T911" s="26"/>
      <c r="U911" s="27" t="s">
        <v>21</v>
      </c>
      <c r="V911" s="28" t="s">
        <v>3649</v>
      </c>
      <c r="W911" s="29" t="s">
        <v>26</v>
      </c>
    </row>
    <row r="912" spans="1:23" ht="30" customHeight="1">
      <c r="A912" s="19" t="s">
        <v>5595</v>
      </c>
      <c r="B912" s="19" t="s">
        <v>5569</v>
      </c>
      <c r="C912" s="19"/>
      <c r="D912" s="19" t="s">
        <v>3652</v>
      </c>
      <c r="E912" s="20" t="s">
        <v>3653</v>
      </c>
      <c r="F912" s="19"/>
      <c r="G912" s="21" t="s">
        <v>22</v>
      </c>
      <c r="H912" s="22" t="b">
        <v>0</v>
      </c>
      <c r="I912" s="22" t="b">
        <v>0</v>
      </c>
      <c r="J912" s="22" t="b">
        <v>0</v>
      </c>
      <c r="K912" s="22" t="b">
        <v>0</v>
      </c>
      <c r="L912" s="22" t="b">
        <v>0</v>
      </c>
      <c r="M912" s="21"/>
      <c r="N912" s="23">
        <v>0</v>
      </c>
      <c r="O912" s="24"/>
      <c r="P912" s="19"/>
      <c r="Q912" s="25"/>
      <c r="R912" s="25"/>
      <c r="S912" s="19"/>
      <c r="T912" s="26"/>
      <c r="U912" s="27" t="s">
        <v>21</v>
      </c>
      <c r="V912" s="28" t="s">
        <v>3654</v>
      </c>
      <c r="W912" s="29" t="s">
        <v>26</v>
      </c>
    </row>
    <row r="913" spans="1:23" ht="30" customHeight="1">
      <c r="A913" s="19" t="s">
        <v>5595</v>
      </c>
      <c r="B913" s="19" t="s">
        <v>5569</v>
      </c>
      <c r="C913" s="19"/>
      <c r="D913" s="19" t="s">
        <v>3657</v>
      </c>
      <c r="E913" s="20" t="s">
        <v>3658</v>
      </c>
      <c r="F913" s="19"/>
      <c r="G913" s="21" t="s">
        <v>29</v>
      </c>
      <c r="H913" s="22" t="b">
        <v>0</v>
      </c>
      <c r="I913" s="22" t="b">
        <v>0</v>
      </c>
      <c r="J913" s="22" t="b">
        <v>0</v>
      </c>
      <c r="K913" s="22" t="b">
        <v>0</v>
      </c>
      <c r="L913" s="22" t="b">
        <v>0</v>
      </c>
      <c r="M913" s="21"/>
      <c r="N913" s="23">
        <v>0</v>
      </c>
      <c r="O913" s="24"/>
      <c r="P913" s="19"/>
      <c r="Q913" s="25"/>
      <c r="R913" s="25"/>
      <c r="S913" s="19"/>
      <c r="T913" s="26"/>
      <c r="U913" s="27" t="s">
        <v>21</v>
      </c>
      <c r="V913" s="28"/>
      <c r="W913" s="29" t="s">
        <v>26</v>
      </c>
    </row>
    <row r="914" spans="1:23" ht="30" customHeight="1">
      <c r="A914" s="19" t="s">
        <v>5595</v>
      </c>
      <c r="B914" s="19" t="s">
        <v>5569</v>
      </c>
      <c r="C914" s="19"/>
      <c r="D914" s="19" t="s">
        <v>3660</v>
      </c>
      <c r="E914" s="20" t="s">
        <v>3661</v>
      </c>
      <c r="F914" s="19"/>
      <c r="G914" s="21" t="s">
        <v>22</v>
      </c>
      <c r="H914" s="22" t="b">
        <v>0</v>
      </c>
      <c r="I914" s="22" t="b">
        <v>0</v>
      </c>
      <c r="J914" s="22" t="b">
        <v>0</v>
      </c>
      <c r="K914" s="22" t="b">
        <v>0</v>
      </c>
      <c r="L914" s="22" t="b">
        <v>0</v>
      </c>
      <c r="M914" s="21"/>
      <c r="N914" s="23">
        <v>0</v>
      </c>
      <c r="O914" s="24"/>
      <c r="P914" s="19"/>
      <c r="Q914" s="25"/>
      <c r="R914" s="25"/>
      <c r="S914" s="19"/>
      <c r="T914" s="26"/>
      <c r="U914" s="27" t="s">
        <v>21</v>
      </c>
      <c r="V914" s="28" t="s">
        <v>3662</v>
      </c>
      <c r="W914" s="29" t="s">
        <v>26</v>
      </c>
    </row>
    <row r="915" spans="1:23" ht="30" customHeight="1">
      <c r="A915" s="19" t="s">
        <v>5595</v>
      </c>
      <c r="B915" s="19" t="s">
        <v>5569</v>
      </c>
      <c r="C915" s="19"/>
      <c r="D915" s="19" t="s">
        <v>3665</v>
      </c>
      <c r="E915" s="20" t="s">
        <v>3666</v>
      </c>
      <c r="F915" s="19"/>
      <c r="G915" s="21" t="s">
        <v>22</v>
      </c>
      <c r="H915" s="22" t="b">
        <v>0</v>
      </c>
      <c r="I915" s="22" t="b">
        <v>0</v>
      </c>
      <c r="J915" s="22" t="b">
        <v>0</v>
      </c>
      <c r="K915" s="22" t="b">
        <v>0</v>
      </c>
      <c r="L915" s="22" t="b">
        <v>0</v>
      </c>
      <c r="M915" s="21"/>
      <c r="N915" s="23">
        <v>0</v>
      </c>
      <c r="O915" s="24"/>
      <c r="P915" s="19"/>
      <c r="Q915" s="25"/>
      <c r="R915" s="25"/>
      <c r="S915" s="19"/>
      <c r="T915" s="26"/>
      <c r="U915" s="27" t="s">
        <v>21</v>
      </c>
      <c r="V915" s="28"/>
      <c r="W915" s="29" t="s">
        <v>26</v>
      </c>
    </row>
    <row r="916" spans="1:23" ht="30" customHeight="1">
      <c r="A916" s="19" t="s">
        <v>5595</v>
      </c>
      <c r="B916" s="19" t="s">
        <v>5569</v>
      </c>
      <c r="C916" s="19"/>
      <c r="D916" s="19" t="s">
        <v>3668</v>
      </c>
      <c r="E916" s="20" t="s">
        <v>3669</v>
      </c>
      <c r="F916" s="19"/>
      <c r="G916" s="21" t="s">
        <v>22</v>
      </c>
      <c r="H916" s="22" t="b">
        <v>0</v>
      </c>
      <c r="I916" s="22" t="b">
        <v>0</v>
      </c>
      <c r="J916" s="22" t="b">
        <v>0</v>
      </c>
      <c r="K916" s="22" t="b">
        <v>0</v>
      </c>
      <c r="L916" s="22" t="b">
        <v>0</v>
      </c>
      <c r="M916" s="21"/>
      <c r="N916" s="23">
        <v>0</v>
      </c>
      <c r="O916" s="24"/>
      <c r="P916" s="19"/>
      <c r="Q916" s="25"/>
      <c r="R916" s="25"/>
      <c r="S916" s="19"/>
      <c r="T916" s="26"/>
      <c r="U916" s="27" t="s">
        <v>21</v>
      </c>
      <c r="V916" s="28" t="s">
        <v>3670</v>
      </c>
      <c r="W916" s="29" t="s">
        <v>26</v>
      </c>
    </row>
    <row r="917" spans="1:23" ht="30" customHeight="1">
      <c r="A917" s="19" t="s">
        <v>5595</v>
      </c>
      <c r="B917" s="19" t="s">
        <v>5569</v>
      </c>
      <c r="C917" s="19"/>
      <c r="D917" s="19" t="s">
        <v>3672</v>
      </c>
      <c r="E917" s="20" t="s">
        <v>3673</v>
      </c>
      <c r="F917" s="19"/>
      <c r="G917" s="21" t="s">
        <v>29</v>
      </c>
      <c r="H917" s="22" t="b">
        <v>0</v>
      </c>
      <c r="I917" s="22" t="b">
        <v>0</v>
      </c>
      <c r="J917" s="22" t="b">
        <v>0</v>
      </c>
      <c r="K917" s="22" t="b">
        <v>0</v>
      </c>
      <c r="L917" s="22" t="b">
        <v>0</v>
      </c>
      <c r="M917" s="21"/>
      <c r="N917" s="23">
        <v>0</v>
      </c>
      <c r="O917" s="24"/>
      <c r="P917" s="19"/>
      <c r="Q917" s="25"/>
      <c r="R917" s="25"/>
      <c r="S917" s="19"/>
      <c r="T917" s="26"/>
      <c r="U917" s="27" t="s">
        <v>21</v>
      </c>
      <c r="V917" s="28" t="s">
        <v>3674</v>
      </c>
      <c r="W917" s="29" t="s">
        <v>26</v>
      </c>
    </row>
    <row r="918" spans="1:23" ht="30" customHeight="1">
      <c r="A918" s="19" t="s">
        <v>5595</v>
      </c>
      <c r="B918" s="19" t="s">
        <v>5569</v>
      </c>
      <c r="C918" s="19"/>
      <c r="D918" s="19" t="s">
        <v>3676</v>
      </c>
      <c r="E918" s="20" t="s">
        <v>3677</v>
      </c>
      <c r="F918" s="19"/>
      <c r="G918" s="21" t="s">
        <v>29</v>
      </c>
      <c r="H918" s="22" t="b">
        <v>0</v>
      </c>
      <c r="I918" s="22" t="b">
        <v>0</v>
      </c>
      <c r="J918" s="22" t="b">
        <v>0</v>
      </c>
      <c r="K918" s="22" t="b">
        <v>0</v>
      </c>
      <c r="L918" s="22" t="b">
        <v>0</v>
      </c>
      <c r="M918" s="21"/>
      <c r="N918" s="23">
        <v>0</v>
      </c>
      <c r="O918" s="24"/>
      <c r="P918" s="19"/>
      <c r="Q918" s="25"/>
      <c r="R918" s="25"/>
      <c r="S918" s="19"/>
      <c r="T918" s="26"/>
      <c r="U918" s="27" t="s">
        <v>21</v>
      </c>
      <c r="V918" s="28" t="s">
        <v>3678</v>
      </c>
      <c r="W918" s="29" t="s">
        <v>26</v>
      </c>
    </row>
    <row r="919" spans="1:23" ht="30" customHeight="1">
      <c r="A919" s="19" t="s">
        <v>5595</v>
      </c>
      <c r="B919" s="19" t="s">
        <v>5569</v>
      </c>
      <c r="C919" s="19"/>
      <c r="D919" s="19" t="s">
        <v>3680</v>
      </c>
      <c r="E919" s="20" t="s">
        <v>3681</v>
      </c>
      <c r="F919" s="19"/>
      <c r="G919" s="21" t="s">
        <v>22</v>
      </c>
      <c r="H919" s="22" t="b">
        <v>0</v>
      </c>
      <c r="I919" s="22" t="b">
        <v>0</v>
      </c>
      <c r="J919" s="22" t="b">
        <v>0</v>
      </c>
      <c r="K919" s="22" t="b">
        <v>0</v>
      </c>
      <c r="L919" s="22" t="b">
        <v>0</v>
      </c>
      <c r="M919" s="21"/>
      <c r="N919" s="23">
        <v>0</v>
      </c>
      <c r="O919" s="24"/>
      <c r="P919" s="19"/>
      <c r="Q919" s="25"/>
      <c r="R919" s="25"/>
      <c r="S919" s="19"/>
      <c r="T919" s="26"/>
      <c r="U919" s="27" t="s">
        <v>21</v>
      </c>
      <c r="V919" s="28" t="s">
        <v>3682</v>
      </c>
      <c r="W919" s="29" t="s">
        <v>26</v>
      </c>
    </row>
    <row r="920" spans="1:23" ht="30" customHeight="1">
      <c r="A920" s="19" t="s">
        <v>5595</v>
      </c>
      <c r="B920" s="19" t="s">
        <v>5569</v>
      </c>
      <c r="C920" s="19"/>
      <c r="D920" s="19" t="s">
        <v>3685</v>
      </c>
      <c r="E920" s="20" t="s">
        <v>3686</v>
      </c>
      <c r="F920" s="19"/>
      <c r="G920" s="21" t="s">
        <v>22</v>
      </c>
      <c r="H920" s="22" t="b">
        <v>0</v>
      </c>
      <c r="I920" s="22" t="b">
        <v>0</v>
      </c>
      <c r="J920" s="22" t="b">
        <v>0</v>
      </c>
      <c r="K920" s="22" t="b">
        <v>0</v>
      </c>
      <c r="L920" s="22" t="b">
        <v>0</v>
      </c>
      <c r="M920" s="21"/>
      <c r="N920" s="23">
        <v>0</v>
      </c>
      <c r="O920" s="24"/>
      <c r="P920" s="19"/>
      <c r="Q920" s="25"/>
      <c r="R920" s="25"/>
      <c r="S920" s="19"/>
      <c r="T920" s="26"/>
      <c r="U920" s="27" t="s">
        <v>21</v>
      </c>
      <c r="V920" s="28" t="s">
        <v>3687</v>
      </c>
      <c r="W920" s="29" t="s">
        <v>26</v>
      </c>
    </row>
    <row r="921" spans="1:23" ht="30" customHeight="1">
      <c r="A921" s="19" t="s">
        <v>5595</v>
      </c>
      <c r="B921" s="19" t="s">
        <v>5569</v>
      </c>
      <c r="C921" s="19"/>
      <c r="D921" s="19" t="s">
        <v>3690</v>
      </c>
      <c r="E921" s="20" t="s">
        <v>3691</v>
      </c>
      <c r="F921" s="19"/>
      <c r="G921" s="21" t="s">
        <v>22</v>
      </c>
      <c r="H921" s="22" t="b">
        <v>0</v>
      </c>
      <c r="I921" s="22" t="b">
        <v>0</v>
      </c>
      <c r="J921" s="22" t="b">
        <v>0</v>
      </c>
      <c r="K921" s="22" t="b">
        <v>0</v>
      </c>
      <c r="L921" s="22" t="b">
        <v>0</v>
      </c>
      <c r="M921" s="21"/>
      <c r="N921" s="23">
        <v>0</v>
      </c>
      <c r="O921" s="24"/>
      <c r="P921" s="19"/>
      <c r="Q921" s="25"/>
      <c r="R921" s="25"/>
      <c r="S921" s="19"/>
      <c r="T921" s="26"/>
      <c r="U921" s="27" t="s">
        <v>21</v>
      </c>
      <c r="V921" s="28" t="s">
        <v>3692</v>
      </c>
      <c r="W921" s="29" t="s">
        <v>26</v>
      </c>
    </row>
    <row r="922" spans="1:23" ht="30" customHeight="1">
      <c r="A922" s="19" t="s">
        <v>5595</v>
      </c>
      <c r="B922" s="19" t="s">
        <v>5569</v>
      </c>
      <c r="C922" s="19"/>
      <c r="D922" s="19" t="s">
        <v>3694</v>
      </c>
      <c r="E922" s="20" t="s">
        <v>3695</v>
      </c>
      <c r="F922" s="19"/>
      <c r="G922" s="21" t="s">
        <v>29</v>
      </c>
      <c r="H922" s="22" t="b">
        <v>0</v>
      </c>
      <c r="I922" s="22" t="b">
        <v>0</v>
      </c>
      <c r="J922" s="22" t="b">
        <v>0</v>
      </c>
      <c r="K922" s="22" t="b">
        <v>0</v>
      </c>
      <c r="L922" s="22" t="b">
        <v>0</v>
      </c>
      <c r="M922" s="21"/>
      <c r="N922" s="23">
        <v>0</v>
      </c>
      <c r="O922" s="24"/>
      <c r="P922" s="19"/>
      <c r="Q922" s="25"/>
      <c r="R922" s="25"/>
      <c r="S922" s="19"/>
      <c r="T922" s="26"/>
      <c r="U922" s="27" t="s">
        <v>21</v>
      </c>
      <c r="V922" s="28" t="s">
        <v>3696</v>
      </c>
      <c r="W922" s="29" t="s">
        <v>26</v>
      </c>
    </row>
    <row r="923" spans="1:23" ht="30" customHeight="1">
      <c r="A923" s="19" t="s">
        <v>5595</v>
      </c>
      <c r="B923" s="19" t="s">
        <v>5569</v>
      </c>
      <c r="C923" s="19"/>
      <c r="D923" s="19" t="s">
        <v>3699</v>
      </c>
      <c r="E923" s="20" t="s">
        <v>3700</v>
      </c>
      <c r="F923" s="19"/>
      <c r="G923" s="21" t="s">
        <v>22</v>
      </c>
      <c r="H923" s="22" t="b">
        <v>0</v>
      </c>
      <c r="I923" s="22" t="b">
        <v>0</v>
      </c>
      <c r="J923" s="22" t="b">
        <v>0</v>
      </c>
      <c r="K923" s="22" t="b">
        <v>0</v>
      </c>
      <c r="L923" s="22" t="b">
        <v>0</v>
      </c>
      <c r="M923" s="21"/>
      <c r="N923" s="23">
        <v>0</v>
      </c>
      <c r="O923" s="24"/>
      <c r="P923" s="19"/>
      <c r="Q923" s="25"/>
      <c r="R923" s="25"/>
      <c r="S923" s="19"/>
      <c r="T923" s="26"/>
      <c r="U923" s="27" t="s">
        <v>21</v>
      </c>
      <c r="V923" s="28" t="s">
        <v>3701</v>
      </c>
      <c r="W923" s="29" t="s">
        <v>26</v>
      </c>
    </row>
    <row r="924" spans="1:23" ht="30" customHeight="1">
      <c r="A924" s="19" t="s">
        <v>5595</v>
      </c>
      <c r="B924" s="19" t="s">
        <v>5569</v>
      </c>
      <c r="C924" s="19"/>
      <c r="D924" s="19" t="s">
        <v>3703</v>
      </c>
      <c r="E924" s="20" t="s">
        <v>3704</v>
      </c>
      <c r="F924" s="19"/>
      <c r="G924" s="21" t="s">
        <v>22</v>
      </c>
      <c r="H924" s="22" t="b">
        <v>0</v>
      </c>
      <c r="I924" s="22" t="b">
        <v>0</v>
      </c>
      <c r="J924" s="22" t="b">
        <v>0</v>
      </c>
      <c r="K924" s="22" t="b">
        <v>0</v>
      </c>
      <c r="L924" s="22" t="b">
        <v>0</v>
      </c>
      <c r="M924" s="21"/>
      <c r="N924" s="23">
        <v>0</v>
      </c>
      <c r="O924" s="24"/>
      <c r="P924" s="19"/>
      <c r="Q924" s="25"/>
      <c r="R924" s="25"/>
      <c r="S924" s="19"/>
      <c r="T924" s="26"/>
      <c r="U924" s="27" t="s">
        <v>21</v>
      </c>
      <c r="V924" s="28"/>
      <c r="W924" s="29" t="s">
        <v>26</v>
      </c>
    </row>
    <row r="925" spans="1:23" ht="30" customHeight="1">
      <c r="A925" s="19" t="s">
        <v>5595</v>
      </c>
      <c r="B925" s="19" t="s">
        <v>5569</v>
      </c>
      <c r="C925" s="19"/>
      <c r="D925" s="19" t="s">
        <v>3707</v>
      </c>
      <c r="E925" s="20" t="s">
        <v>3708</v>
      </c>
      <c r="F925" s="19"/>
      <c r="G925" s="21" t="s">
        <v>22</v>
      </c>
      <c r="H925" s="22" t="b">
        <v>0</v>
      </c>
      <c r="I925" s="22" t="b">
        <v>0</v>
      </c>
      <c r="J925" s="22" t="b">
        <v>0</v>
      </c>
      <c r="K925" s="22" t="b">
        <v>0</v>
      </c>
      <c r="L925" s="22" t="b">
        <v>0</v>
      </c>
      <c r="M925" s="21"/>
      <c r="N925" s="23">
        <v>0</v>
      </c>
      <c r="O925" s="24"/>
      <c r="P925" s="19"/>
      <c r="Q925" s="25"/>
      <c r="R925" s="25"/>
      <c r="S925" s="19"/>
      <c r="T925" s="26"/>
      <c r="U925" s="27" t="s">
        <v>21</v>
      </c>
      <c r="V925" s="28"/>
      <c r="W925" s="29" t="s">
        <v>26</v>
      </c>
    </row>
    <row r="926" spans="1:23" ht="30" customHeight="1">
      <c r="A926" s="19" t="s">
        <v>5595</v>
      </c>
      <c r="B926" s="19" t="s">
        <v>5569</v>
      </c>
      <c r="C926" s="19"/>
      <c r="D926" s="19" t="s">
        <v>3710</v>
      </c>
      <c r="E926" s="20" t="s">
        <v>3711</v>
      </c>
      <c r="F926" s="19"/>
      <c r="G926" s="21" t="s">
        <v>22</v>
      </c>
      <c r="H926" s="22" t="b">
        <v>0</v>
      </c>
      <c r="I926" s="22" t="b">
        <v>0</v>
      </c>
      <c r="J926" s="22" t="b">
        <v>0</v>
      </c>
      <c r="K926" s="22" t="b">
        <v>0</v>
      </c>
      <c r="L926" s="22" t="b">
        <v>0</v>
      </c>
      <c r="M926" s="21"/>
      <c r="N926" s="23">
        <v>0</v>
      </c>
      <c r="O926" s="24"/>
      <c r="P926" s="19"/>
      <c r="Q926" s="25"/>
      <c r="R926" s="25"/>
      <c r="S926" s="19"/>
      <c r="T926" s="26"/>
      <c r="U926" s="27" t="s">
        <v>21</v>
      </c>
      <c r="V926" s="28" t="s">
        <v>3712</v>
      </c>
      <c r="W926" s="29" t="s">
        <v>26</v>
      </c>
    </row>
    <row r="927" spans="1:23" ht="30" customHeight="1">
      <c r="A927" s="19" t="s">
        <v>5595</v>
      </c>
      <c r="B927" s="19" t="s">
        <v>5569</v>
      </c>
      <c r="C927" s="19"/>
      <c r="D927" s="19" t="s">
        <v>3714</v>
      </c>
      <c r="E927" s="20" t="s">
        <v>3715</v>
      </c>
      <c r="F927" s="19"/>
      <c r="G927" s="21" t="s">
        <v>22</v>
      </c>
      <c r="H927" s="22" t="b">
        <v>0</v>
      </c>
      <c r="I927" s="22" t="b">
        <v>0</v>
      </c>
      <c r="J927" s="22" t="b">
        <v>0</v>
      </c>
      <c r="K927" s="22" t="b">
        <v>0</v>
      </c>
      <c r="L927" s="22" t="b">
        <v>0</v>
      </c>
      <c r="M927" s="21"/>
      <c r="N927" s="23">
        <v>0</v>
      </c>
      <c r="O927" s="24"/>
      <c r="P927" s="19"/>
      <c r="Q927" s="25"/>
      <c r="R927" s="25"/>
      <c r="S927" s="19"/>
      <c r="T927" s="26"/>
      <c r="U927" s="27" t="s">
        <v>21</v>
      </c>
      <c r="V927" s="28" t="s">
        <v>913</v>
      </c>
      <c r="W927" s="29" t="s">
        <v>26</v>
      </c>
    </row>
    <row r="928" spans="1:23" ht="30" customHeight="1">
      <c r="A928" s="19" t="s">
        <v>5595</v>
      </c>
      <c r="B928" s="19" t="s">
        <v>5569</v>
      </c>
      <c r="C928" s="19"/>
      <c r="D928" s="19" t="s">
        <v>3718</v>
      </c>
      <c r="E928" s="20" t="s">
        <v>3719</v>
      </c>
      <c r="F928" s="19"/>
      <c r="G928" s="21" t="s">
        <v>29</v>
      </c>
      <c r="H928" s="22" t="b">
        <v>0</v>
      </c>
      <c r="I928" s="22" t="b">
        <v>0</v>
      </c>
      <c r="J928" s="22" t="b">
        <v>0</v>
      </c>
      <c r="K928" s="22" t="b">
        <v>0</v>
      </c>
      <c r="L928" s="22" t="b">
        <v>0</v>
      </c>
      <c r="M928" s="21"/>
      <c r="N928" s="23">
        <v>0</v>
      </c>
      <c r="O928" s="24"/>
      <c r="P928" s="19"/>
      <c r="Q928" s="25"/>
      <c r="R928" s="25"/>
      <c r="S928" s="19"/>
      <c r="T928" s="26"/>
      <c r="U928" s="27" t="s">
        <v>21</v>
      </c>
      <c r="V928" s="28"/>
      <c r="W928" s="29" t="s">
        <v>26</v>
      </c>
    </row>
    <row r="929" spans="1:23" ht="30" customHeight="1">
      <c r="A929" s="19" t="s">
        <v>5595</v>
      </c>
      <c r="B929" s="19" t="s">
        <v>5569</v>
      </c>
      <c r="C929" s="19"/>
      <c r="D929" s="19" t="s">
        <v>3721</v>
      </c>
      <c r="E929" s="20" t="s">
        <v>3722</v>
      </c>
      <c r="F929" s="19"/>
      <c r="G929" s="21" t="s">
        <v>22</v>
      </c>
      <c r="H929" s="22" t="b">
        <v>0</v>
      </c>
      <c r="I929" s="22" t="b">
        <v>0</v>
      </c>
      <c r="J929" s="22" t="b">
        <v>0</v>
      </c>
      <c r="K929" s="22" t="b">
        <v>0</v>
      </c>
      <c r="L929" s="22" t="b">
        <v>0</v>
      </c>
      <c r="M929" s="21"/>
      <c r="N929" s="23">
        <v>0</v>
      </c>
      <c r="O929" s="24"/>
      <c r="P929" s="19"/>
      <c r="Q929" s="25"/>
      <c r="R929" s="25"/>
      <c r="S929" s="19"/>
      <c r="T929" s="26"/>
      <c r="U929" s="27" t="s">
        <v>21</v>
      </c>
      <c r="V929" s="28"/>
      <c r="W929" s="29" t="s">
        <v>26</v>
      </c>
    </row>
    <row r="930" spans="1:23" ht="30" customHeight="1">
      <c r="A930" s="19" t="s">
        <v>5595</v>
      </c>
      <c r="B930" s="19" t="s">
        <v>5569</v>
      </c>
      <c r="C930" s="19"/>
      <c r="D930" s="19" t="s">
        <v>3725</v>
      </c>
      <c r="E930" s="20" t="s">
        <v>3726</v>
      </c>
      <c r="F930" s="19"/>
      <c r="G930" s="21" t="s">
        <v>22</v>
      </c>
      <c r="H930" s="22" t="b">
        <v>0</v>
      </c>
      <c r="I930" s="22" t="b">
        <v>0</v>
      </c>
      <c r="J930" s="22" t="b">
        <v>0</v>
      </c>
      <c r="K930" s="22" t="b">
        <v>0</v>
      </c>
      <c r="L930" s="22" t="b">
        <v>0</v>
      </c>
      <c r="M930" s="21"/>
      <c r="N930" s="23">
        <v>0</v>
      </c>
      <c r="O930" s="24"/>
      <c r="P930" s="19"/>
      <c r="Q930" s="25"/>
      <c r="R930" s="25"/>
      <c r="S930" s="19"/>
      <c r="T930" s="26"/>
      <c r="U930" s="27" t="s">
        <v>21</v>
      </c>
      <c r="V930" s="28"/>
      <c r="W930" s="29" t="s">
        <v>26</v>
      </c>
    </row>
    <row r="931" spans="1:23" ht="30" customHeight="1">
      <c r="A931" s="19" t="s">
        <v>5595</v>
      </c>
      <c r="B931" s="19" t="s">
        <v>5569</v>
      </c>
      <c r="C931" s="19"/>
      <c r="D931" s="19" t="s">
        <v>3729</v>
      </c>
      <c r="E931" s="20" t="s">
        <v>3730</v>
      </c>
      <c r="F931" s="19"/>
      <c r="G931" s="21" t="s">
        <v>22</v>
      </c>
      <c r="H931" s="22" t="b">
        <v>0</v>
      </c>
      <c r="I931" s="22" t="b">
        <v>0</v>
      </c>
      <c r="J931" s="22" t="b">
        <v>0</v>
      </c>
      <c r="K931" s="22" t="b">
        <v>0</v>
      </c>
      <c r="L931" s="22" t="b">
        <v>0</v>
      </c>
      <c r="M931" s="21"/>
      <c r="N931" s="23">
        <v>0</v>
      </c>
      <c r="O931" s="24"/>
      <c r="P931" s="19"/>
      <c r="Q931" s="25"/>
      <c r="R931" s="25"/>
      <c r="S931" s="19"/>
      <c r="T931" s="26"/>
      <c r="U931" s="27" t="s">
        <v>21</v>
      </c>
      <c r="V931" s="28" t="s">
        <v>3731</v>
      </c>
      <c r="W931" s="29" t="s">
        <v>26</v>
      </c>
    </row>
    <row r="932" spans="1:23" ht="30" customHeight="1">
      <c r="A932" s="19" t="s">
        <v>5595</v>
      </c>
      <c r="B932" s="19" t="s">
        <v>5569</v>
      </c>
      <c r="C932" s="19"/>
      <c r="D932" s="19" t="s">
        <v>3733</v>
      </c>
      <c r="E932" s="20" t="s">
        <v>3734</v>
      </c>
      <c r="F932" s="19"/>
      <c r="G932" s="21" t="s">
        <v>22</v>
      </c>
      <c r="H932" s="22" t="b">
        <v>0</v>
      </c>
      <c r="I932" s="22" t="b">
        <v>0</v>
      </c>
      <c r="J932" s="22" t="b">
        <v>0</v>
      </c>
      <c r="K932" s="22" t="b">
        <v>0</v>
      </c>
      <c r="L932" s="22" t="b">
        <v>0</v>
      </c>
      <c r="M932" s="21"/>
      <c r="N932" s="23">
        <v>0</v>
      </c>
      <c r="O932" s="24"/>
      <c r="P932" s="19"/>
      <c r="Q932" s="25"/>
      <c r="R932" s="25"/>
      <c r="S932" s="19"/>
      <c r="T932" s="26"/>
      <c r="U932" s="27" t="s">
        <v>21</v>
      </c>
      <c r="V932" s="28"/>
      <c r="W932" s="29" t="s">
        <v>26</v>
      </c>
    </row>
    <row r="933" spans="1:23" ht="30" customHeight="1">
      <c r="A933" s="19" t="s">
        <v>5595</v>
      </c>
      <c r="B933" s="19" t="s">
        <v>5569</v>
      </c>
      <c r="C933" s="19"/>
      <c r="D933" s="19" t="s">
        <v>3736</v>
      </c>
      <c r="E933" s="20" t="s">
        <v>3737</v>
      </c>
      <c r="F933" s="19"/>
      <c r="G933" s="21" t="s">
        <v>22</v>
      </c>
      <c r="H933" s="22" t="b">
        <v>0</v>
      </c>
      <c r="I933" s="22" t="b">
        <v>0</v>
      </c>
      <c r="J933" s="22" t="b">
        <v>0</v>
      </c>
      <c r="K933" s="22" t="b">
        <v>0</v>
      </c>
      <c r="L933" s="22" t="b">
        <v>0</v>
      </c>
      <c r="M933" s="21"/>
      <c r="N933" s="23">
        <v>0</v>
      </c>
      <c r="O933" s="24"/>
      <c r="P933" s="19"/>
      <c r="Q933" s="25"/>
      <c r="R933" s="25"/>
      <c r="S933" s="19"/>
      <c r="T933" s="26"/>
      <c r="U933" s="27" t="s">
        <v>21</v>
      </c>
      <c r="V933" s="28"/>
      <c r="W933" s="29" t="s">
        <v>26</v>
      </c>
    </row>
    <row r="934" spans="1:23" ht="30" customHeight="1">
      <c r="A934" s="19" t="s">
        <v>5595</v>
      </c>
      <c r="B934" s="19" t="s">
        <v>5569</v>
      </c>
      <c r="C934" s="19"/>
      <c r="D934" s="19" t="s">
        <v>3740</v>
      </c>
      <c r="E934" s="20" t="s">
        <v>3741</v>
      </c>
      <c r="F934" s="19"/>
      <c r="G934" s="21" t="s">
        <v>22</v>
      </c>
      <c r="H934" s="22" t="b">
        <v>0</v>
      </c>
      <c r="I934" s="22" t="b">
        <v>0</v>
      </c>
      <c r="J934" s="22" t="b">
        <v>0</v>
      </c>
      <c r="K934" s="22" t="b">
        <v>0</v>
      </c>
      <c r="L934" s="22" t="b">
        <v>0</v>
      </c>
      <c r="M934" s="21"/>
      <c r="N934" s="23">
        <v>0</v>
      </c>
      <c r="O934" s="24"/>
      <c r="P934" s="19"/>
      <c r="Q934" s="25"/>
      <c r="R934" s="25"/>
      <c r="S934" s="19"/>
      <c r="T934" s="26"/>
      <c r="U934" s="27" t="s">
        <v>21</v>
      </c>
      <c r="V934" s="28" t="s">
        <v>3742</v>
      </c>
      <c r="W934" s="29" t="s">
        <v>26</v>
      </c>
    </row>
    <row r="935" spans="1:23" ht="30" customHeight="1">
      <c r="A935" s="19" t="s">
        <v>5595</v>
      </c>
      <c r="B935" s="19" t="s">
        <v>5569</v>
      </c>
      <c r="C935" s="19"/>
      <c r="D935" s="19" t="s">
        <v>3744</v>
      </c>
      <c r="E935" s="20" t="s">
        <v>3745</v>
      </c>
      <c r="F935" s="19"/>
      <c r="G935" s="21" t="s">
        <v>22</v>
      </c>
      <c r="H935" s="22" t="b">
        <v>0</v>
      </c>
      <c r="I935" s="22" t="b">
        <v>0</v>
      </c>
      <c r="J935" s="22" t="b">
        <v>0</v>
      </c>
      <c r="K935" s="22" t="b">
        <v>0</v>
      </c>
      <c r="L935" s="22" t="b">
        <v>0</v>
      </c>
      <c r="M935" s="21"/>
      <c r="N935" s="23">
        <v>0</v>
      </c>
      <c r="O935" s="24"/>
      <c r="P935" s="19"/>
      <c r="Q935" s="25"/>
      <c r="R935" s="25"/>
      <c r="S935" s="19"/>
      <c r="T935" s="26"/>
      <c r="U935" s="27" t="s">
        <v>21</v>
      </c>
      <c r="V935" s="28" t="s">
        <v>3746</v>
      </c>
      <c r="W935" s="29" t="s">
        <v>26</v>
      </c>
    </row>
    <row r="936" spans="1:23" ht="30" customHeight="1">
      <c r="A936" s="19" t="s">
        <v>5595</v>
      </c>
      <c r="B936" s="19" t="s">
        <v>5569</v>
      </c>
      <c r="C936" s="19"/>
      <c r="D936" s="19" t="s">
        <v>3749</v>
      </c>
      <c r="E936" s="20" t="s">
        <v>3750</v>
      </c>
      <c r="F936" s="19"/>
      <c r="G936" s="21" t="s">
        <v>22</v>
      </c>
      <c r="H936" s="22" t="b">
        <v>0</v>
      </c>
      <c r="I936" s="22" t="b">
        <v>0</v>
      </c>
      <c r="J936" s="22" t="b">
        <v>0</v>
      </c>
      <c r="K936" s="22" t="b">
        <v>0</v>
      </c>
      <c r="L936" s="22" t="b">
        <v>0</v>
      </c>
      <c r="M936" s="21"/>
      <c r="N936" s="23">
        <v>0</v>
      </c>
      <c r="O936" s="24"/>
      <c r="P936" s="19"/>
      <c r="Q936" s="25"/>
      <c r="R936" s="25"/>
      <c r="S936" s="19"/>
      <c r="T936" s="26"/>
      <c r="U936" s="27" t="s">
        <v>21</v>
      </c>
      <c r="V936" s="28"/>
      <c r="W936" s="29" t="s">
        <v>26</v>
      </c>
    </row>
    <row r="937" spans="1:23" ht="30" customHeight="1">
      <c r="A937" s="19" t="s">
        <v>5595</v>
      </c>
      <c r="B937" s="19" t="s">
        <v>5569</v>
      </c>
      <c r="C937" s="19"/>
      <c r="D937" s="19" t="s">
        <v>3752</v>
      </c>
      <c r="E937" s="20" t="s">
        <v>3753</v>
      </c>
      <c r="F937" s="19"/>
      <c r="G937" s="21" t="s">
        <v>29</v>
      </c>
      <c r="H937" s="22" t="b">
        <v>0</v>
      </c>
      <c r="I937" s="22" t="b">
        <v>0</v>
      </c>
      <c r="J937" s="22" t="b">
        <v>0</v>
      </c>
      <c r="K937" s="22" t="b">
        <v>0</v>
      </c>
      <c r="L937" s="22" t="b">
        <v>0</v>
      </c>
      <c r="M937" s="21"/>
      <c r="N937" s="23">
        <v>0</v>
      </c>
      <c r="O937" s="24"/>
      <c r="P937" s="19"/>
      <c r="Q937" s="25"/>
      <c r="R937" s="25"/>
      <c r="S937" s="19"/>
      <c r="T937" s="26"/>
      <c r="U937" s="27" t="s">
        <v>21</v>
      </c>
      <c r="V937" s="28" t="s">
        <v>3754</v>
      </c>
      <c r="W937" s="29" t="s">
        <v>26</v>
      </c>
    </row>
    <row r="938" spans="1:23" ht="30" customHeight="1">
      <c r="A938" s="19" t="s">
        <v>5595</v>
      </c>
      <c r="B938" s="19" t="s">
        <v>5569</v>
      </c>
      <c r="C938" s="19"/>
      <c r="D938" s="19" t="s">
        <v>3757</v>
      </c>
      <c r="E938" s="20" t="s">
        <v>3758</v>
      </c>
      <c r="F938" s="19"/>
      <c r="G938" s="21" t="s">
        <v>22</v>
      </c>
      <c r="H938" s="22" t="b">
        <v>0</v>
      </c>
      <c r="I938" s="22" t="b">
        <v>0</v>
      </c>
      <c r="J938" s="22" t="b">
        <v>0</v>
      </c>
      <c r="K938" s="22" t="b">
        <v>0</v>
      </c>
      <c r="L938" s="22" t="b">
        <v>0</v>
      </c>
      <c r="M938" s="21"/>
      <c r="N938" s="23">
        <v>0</v>
      </c>
      <c r="O938" s="24"/>
      <c r="P938" s="19"/>
      <c r="Q938" s="25"/>
      <c r="R938" s="25"/>
      <c r="S938" s="19"/>
      <c r="T938" s="26"/>
      <c r="U938" s="27" t="s">
        <v>21</v>
      </c>
      <c r="V938" s="28"/>
      <c r="W938" s="29" t="s">
        <v>26</v>
      </c>
    </row>
    <row r="939" spans="1:23" ht="30" customHeight="1">
      <c r="A939" s="19" t="s">
        <v>5595</v>
      </c>
      <c r="B939" s="19" t="s">
        <v>5569</v>
      </c>
      <c r="C939" s="19"/>
      <c r="D939" s="19" t="s">
        <v>3760</v>
      </c>
      <c r="E939" s="20" t="s">
        <v>3761</v>
      </c>
      <c r="F939" s="19"/>
      <c r="G939" s="21" t="s">
        <v>22</v>
      </c>
      <c r="H939" s="22" t="b">
        <v>0</v>
      </c>
      <c r="I939" s="22" t="b">
        <v>0</v>
      </c>
      <c r="J939" s="22" t="b">
        <v>0</v>
      </c>
      <c r="K939" s="22" t="b">
        <v>0</v>
      </c>
      <c r="L939" s="22" t="b">
        <v>0</v>
      </c>
      <c r="M939" s="21"/>
      <c r="N939" s="23">
        <v>0</v>
      </c>
      <c r="O939" s="24"/>
      <c r="P939" s="19"/>
      <c r="Q939" s="25"/>
      <c r="R939" s="25"/>
      <c r="S939" s="19"/>
      <c r="T939" s="26"/>
      <c r="U939" s="27" t="s">
        <v>21</v>
      </c>
      <c r="V939" s="28" t="s">
        <v>3762</v>
      </c>
      <c r="W939" s="29" t="s">
        <v>26</v>
      </c>
    </row>
    <row r="940" spans="1:23" ht="30" customHeight="1">
      <c r="A940" s="19" t="s">
        <v>5595</v>
      </c>
      <c r="B940" s="19" t="s">
        <v>5569</v>
      </c>
      <c r="C940" s="19"/>
      <c r="D940" s="19" t="s">
        <v>3764</v>
      </c>
      <c r="E940" s="20" t="s">
        <v>3765</v>
      </c>
      <c r="F940" s="19"/>
      <c r="G940" s="21" t="s">
        <v>22</v>
      </c>
      <c r="H940" s="22" t="b">
        <v>0</v>
      </c>
      <c r="I940" s="22" t="b">
        <v>0</v>
      </c>
      <c r="J940" s="22" t="b">
        <v>0</v>
      </c>
      <c r="K940" s="22" t="b">
        <v>0</v>
      </c>
      <c r="L940" s="22" t="b">
        <v>0</v>
      </c>
      <c r="M940" s="21"/>
      <c r="N940" s="23">
        <v>0</v>
      </c>
      <c r="O940" s="24"/>
      <c r="P940" s="19"/>
      <c r="Q940" s="25"/>
      <c r="R940" s="25"/>
      <c r="S940" s="19"/>
      <c r="T940" s="26"/>
      <c r="U940" s="27" t="s">
        <v>21</v>
      </c>
      <c r="V940" s="28"/>
      <c r="W940" s="29" t="s">
        <v>26</v>
      </c>
    </row>
    <row r="941" spans="1:23" ht="30" customHeight="1">
      <c r="A941" s="19" t="s">
        <v>5595</v>
      </c>
      <c r="B941" s="19" t="s">
        <v>5569</v>
      </c>
      <c r="C941" s="19"/>
      <c r="D941" s="19" t="s">
        <v>3767</v>
      </c>
      <c r="E941" s="20" t="s">
        <v>3768</v>
      </c>
      <c r="F941" s="19"/>
      <c r="G941" s="21" t="s">
        <v>22</v>
      </c>
      <c r="H941" s="22" t="b">
        <v>0</v>
      </c>
      <c r="I941" s="22" t="b">
        <v>0</v>
      </c>
      <c r="J941" s="22" t="b">
        <v>0</v>
      </c>
      <c r="K941" s="22" t="b">
        <v>0</v>
      </c>
      <c r="L941" s="22" t="b">
        <v>0</v>
      </c>
      <c r="M941" s="21"/>
      <c r="N941" s="23">
        <v>0</v>
      </c>
      <c r="O941" s="24"/>
      <c r="P941" s="19"/>
      <c r="Q941" s="25"/>
      <c r="R941" s="25"/>
      <c r="S941" s="19"/>
      <c r="T941" s="26"/>
      <c r="U941" s="27" t="s">
        <v>21</v>
      </c>
      <c r="V941" s="28" t="s">
        <v>3769</v>
      </c>
      <c r="W941" s="29" t="s">
        <v>26</v>
      </c>
    </row>
    <row r="942" spans="1:23" ht="30" customHeight="1">
      <c r="A942" s="19" t="s">
        <v>5595</v>
      </c>
      <c r="B942" s="19" t="s">
        <v>5569</v>
      </c>
      <c r="C942" s="19"/>
      <c r="D942" s="19" t="s">
        <v>3771</v>
      </c>
      <c r="E942" s="20" t="s">
        <v>3772</v>
      </c>
      <c r="F942" s="19"/>
      <c r="G942" s="21" t="s">
        <v>29</v>
      </c>
      <c r="H942" s="22" t="b">
        <v>0</v>
      </c>
      <c r="I942" s="22" t="b">
        <v>0</v>
      </c>
      <c r="J942" s="22" t="b">
        <v>0</v>
      </c>
      <c r="K942" s="22" t="b">
        <v>0</v>
      </c>
      <c r="L942" s="22" t="b">
        <v>0</v>
      </c>
      <c r="M942" s="21"/>
      <c r="N942" s="23">
        <v>0</v>
      </c>
      <c r="O942" s="24"/>
      <c r="P942" s="19"/>
      <c r="Q942" s="25"/>
      <c r="R942" s="25"/>
      <c r="S942" s="19"/>
      <c r="T942" s="26"/>
      <c r="U942" s="27" t="s">
        <v>21</v>
      </c>
      <c r="V942" s="28"/>
      <c r="W942" s="29" t="s">
        <v>26</v>
      </c>
    </row>
    <row r="943" spans="1:23" ht="30" customHeight="1">
      <c r="A943" s="19" t="s">
        <v>5595</v>
      </c>
      <c r="B943" s="19" t="s">
        <v>5569</v>
      </c>
      <c r="C943" s="19"/>
      <c r="D943" s="19" t="s">
        <v>3775</v>
      </c>
      <c r="E943" s="20" t="s">
        <v>3776</v>
      </c>
      <c r="F943" s="19"/>
      <c r="G943" s="21" t="s">
        <v>22</v>
      </c>
      <c r="H943" s="22" t="b">
        <v>0</v>
      </c>
      <c r="I943" s="22" t="b">
        <v>0</v>
      </c>
      <c r="J943" s="22" t="b">
        <v>0</v>
      </c>
      <c r="K943" s="22" t="b">
        <v>0</v>
      </c>
      <c r="L943" s="22" t="b">
        <v>0</v>
      </c>
      <c r="M943" s="21"/>
      <c r="N943" s="23">
        <v>0</v>
      </c>
      <c r="O943" s="24"/>
      <c r="P943" s="19"/>
      <c r="Q943" s="25"/>
      <c r="R943" s="25"/>
      <c r="S943" s="19"/>
      <c r="T943" s="26"/>
      <c r="U943" s="27" t="s">
        <v>21</v>
      </c>
      <c r="V943" s="28"/>
      <c r="W943" s="29" t="s">
        <v>26</v>
      </c>
    </row>
    <row r="944" spans="1:23" ht="30" customHeight="1">
      <c r="A944" s="19" t="s">
        <v>5595</v>
      </c>
      <c r="B944" s="19" t="s">
        <v>5569</v>
      </c>
      <c r="C944" s="19"/>
      <c r="D944" s="19" t="s">
        <v>3778</v>
      </c>
      <c r="E944" s="20" t="s">
        <v>3779</v>
      </c>
      <c r="F944" s="19"/>
      <c r="G944" s="21" t="s">
        <v>22</v>
      </c>
      <c r="H944" s="22" t="b">
        <v>0</v>
      </c>
      <c r="I944" s="22" t="b">
        <v>0</v>
      </c>
      <c r="J944" s="22" t="b">
        <v>0</v>
      </c>
      <c r="K944" s="22" t="b">
        <v>0</v>
      </c>
      <c r="L944" s="22" t="b">
        <v>0</v>
      </c>
      <c r="M944" s="21"/>
      <c r="N944" s="23">
        <v>0</v>
      </c>
      <c r="O944" s="24"/>
      <c r="P944" s="19"/>
      <c r="Q944" s="25"/>
      <c r="R944" s="25"/>
      <c r="S944" s="19"/>
      <c r="T944" s="26"/>
      <c r="U944" s="27" t="s">
        <v>21</v>
      </c>
      <c r="V944" s="28"/>
      <c r="W944" s="29" t="s">
        <v>26</v>
      </c>
    </row>
    <row r="945" spans="1:23" ht="30" customHeight="1">
      <c r="A945" s="19" t="s">
        <v>5595</v>
      </c>
      <c r="B945" s="19" t="s">
        <v>5569</v>
      </c>
      <c r="C945" s="19"/>
      <c r="D945" s="19" t="s">
        <v>3782</v>
      </c>
      <c r="E945" s="20" t="s">
        <v>3783</v>
      </c>
      <c r="F945" s="19"/>
      <c r="G945" s="21" t="s">
        <v>22</v>
      </c>
      <c r="H945" s="22" t="b">
        <v>0</v>
      </c>
      <c r="I945" s="22" t="b">
        <v>0</v>
      </c>
      <c r="J945" s="22" t="b">
        <v>0</v>
      </c>
      <c r="K945" s="22" t="b">
        <v>0</v>
      </c>
      <c r="L945" s="22" t="b">
        <v>0</v>
      </c>
      <c r="M945" s="21"/>
      <c r="N945" s="23">
        <v>0</v>
      </c>
      <c r="O945" s="24"/>
      <c r="P945" s="19"/>
      <c r="Q945" s="25"/>
      <c r="R945" s="25"/>
      <c r="S945" s="19"/>
      <c r="T945" s="26"/>
      <c r="U945" s="27" t="s">
        <v>21</v>
      </c>
      <c r="V945" s="28" t="s">
        <v>3784</v>
      </c>
      <c r="W945" s="29" t="s">
        <v>26</v>
      </c>
    </row>
    <row r="946" spans="1:23" ht="30" customHeight="1">
      <c r="A946" s="19" t="s">
        <v>5595</v>
      </c>
      <c r="B946" s="19" t="s">
        <v>5569</v>
      </c>
      <c r="C946" s="19"/>
      <c r="D946" s="19" t="s">
        <v>3786</v>
      </c>
      <c r="E946" s="20" t="s">
        <v>3787</v>
      </c>
      <c r="F946" s="19"/>
      <c r="G946" s="21" t="s">
        <v>22</v>
      </c>
      <c r="H946" s="22" t="b">
        <v>0</v>
      </c>
      <c r="I946" s="22" t="b">
        <v>0</v>
      </c>
      <c r="J946" s="22" t="b">
        <v>0</v>
      </c>
      <c r="K946" s="22" t="b">
        <v>0</v>
      </c>
      <c r="L946" s="22" t="b">
        <v>0</v>
      </c>
      <c r="M946" s="21"/>
      <c r="N946" s="23">
        <v>0</v>
      </c>
      <c r="O946" s="24"/>
      <c r="P946" s="19"/>
      <c r="Q946" s="25"/>
      <c r="R946" s="25"/>
      <c r="S946" s="19"/>
      <c r="T946" s="26"/>
      <c r="U946" s="27" t="s">
        <v>21</v>
      </c>
      <c r="V946" s="28"/>
      <c r="W946" s="29" t="s">
        <v>26</v>
      </c>
    </row>
    <row r="947" spans="1:23" ht="30" customHeight="1">
      <c r="A947" s="19" t="s">
        <v>5595</v>
      </c>
      <c r="B947" s="19" t="s">
        <v>5569</v>
      </c>
      <c r="C947" s="19"/>
      <c r="D947" s="19" t="s">
        <v>3789</v>
      </c>
      <c r="E947" s="20" t="s">
        <v>3790</v>
      </c>
      <c r="F947" s="19"/>
      <c r="G947" s="21" t="s">
        <v>22</v>
      </c>
      <c r="H947" s="22" t="b">
        <v>0</v>
      </c>
      <c r="I947" s="22" t="b">
        <v>0</v>
      </c>
      <c r="J947" s="22" t="b">
        <v>0</v>
      </c>
      <c r="K947" s="22" t="b">
        <v>0</v>
      </c>
      <c r="L947" s="22" t="b">
        <v>0</v>
      </c>
      <c r="M947" s="21"/>
      <c r="N947" s="23">
        <v>0</v>
      </c>
      <c r="O947" s="24"/>
      <c r="P947" s="19"/>
      <c r="Q947" s="25"/>
      <c r="R947" s="25"/>
      <c r="S947" s="19"/>
      <c r="T947" s="26"/>
      <c r="U947" s="27" t="s">
        <v>21</v>
      </c>
      <c r="V947" s="28" t="s">
        <v>3791</v>
      </c>
      <c r="W947" s="29" t="s">
        <v>26</v>
      </c>
    </row>
    <row r="948" spans="1:23" ht="30" customHeight="1">
      <c r="A948" s="19" t="s">
        <v>5595</v>
      </c>
      <c r="B948" s="19" t="s">
        <v>5569</v>
      </c>
      <c r="C948" s="19"/>
      <c r="D948" s="19" t="s">
        <v>3794</v>
      </c>
      <c r="E948" s="20" t="s">
        <v>3795</v>
      </c>
      <c r="F948" s="19"/>
      <c r="G948" s="21" t="s">
        <v>22</v>
      </c>
      <c r="H948" s="22" t="b">
        <v>0</v>
      </c>
      <c r="I948" s="22" t="b">
        <v>0</v>
      </c>
      <c r="J948" s="22" t="b">
        <v>0</v>
      </c>
      <c r="K948" s="22" t="b">
        <v>0</v>
      </c>
      <c r="L948" s="22" t="b">
        <v>0</v>
      </c>
      <c r="M948" s="21"/>
      <c r="N948" s="23">
        <v>0</v>
      </c>
      <c r="O948" s="24"/>
      <c r="P948" s="19"/>
      <c r="Q948" s="25"/>
      <c r="R948" s="25"/>
      <c r="S948" s="19"/>
      <c r="T948" s="26"/>
      <c r="U948" s="27" t="s">
        <v>21</v>
      </c>
      <c r="V948" s="28"/>
      <c r="W948" s="29" t="s">
        <v>26</v>
      </c>
    </row>
    <row r="949" spans="1:23" ht="30" customHeight="1">
      <c r="A949" s="19" t="s">
        <v>5595</v>
      </c>
      <c r="B949" s="19" t="s">
        <v>5569</v>
      </c>
      <c r="C949" s="19"/>
      <c r="D949" s="19" t="s">
        <v>3797</v>
      </c>
      <c r="E949" s="20" t="s">
        <v>3798</v>
      </c>
      <c r="F949" s="19"/>
      <c r="G949" s="21" t="s">
        <v>156</v>
      </c>
      <c r="H949" s="22" t="b">
        <v>0</v>
      </c>
      <c r="I949" s="22" t="b">
        <v>0</v>
      </c>
      <c r="J949" s="22" t="b">
        <v>0</v>
      </c>
      <c r="K949" s="22" t="b">
        <v>0</v>
      </c>
      <c r="L949" s="22" t="b">
        <v>0</v>
      </c>
      <c r="M949" s="21"/>
      <c r="N949" s="23">
        <v>0</v>
      </c>
      <c r="O949" s="24"/>
      <c r="P949" s="19"/>
      <c r="Q949" s="25"/>
      <c r="R949" s="25"/>
      <c r="S949" s="19"/>
      <c r="T949" s="26"/>
      <c r="U949" s="27" t="s">
        <v>21</v>
      </c>
      <c r="V949" s="28" t="s">
        <v>3799</v>
      </c>
      <c r="W949" s="29" t="s">
        <v>26</v>
      </c>
    </row>
    <row r="950" spans="1:23" ht="30" customHeight="1">
      <c r="A950" s="19" t="s">
        <v>5595</v>
      </c>
      <c r="B950" s="19" t="s">
        <v>5569</v>
      </c>
      <c r="C950" s="19"/>
      <c r="D950" s="19" t="s">
        <v>3801</v>
      </c>
      <c r="E950" s="20" t="s">
        <v>3802</v>
      </c>
      <c r="F950" s="19"/>
      <c r="G950" s="21" t="s">
        <v>22</v>
      </c>
      <c r="H950" s="22" t="b">
        <v>0</v>
      </c>
      <c r="I950" s="22" t="b">
        <v>0</v>
      </c>
      <c r="J950" s="22" t="b">
        <v>0</v>
      </c>
      <c r="K950" s="22" t="b">
        <v>0</v>
      </c>
      <c r="L950" s="22" t="b">
        <v>0</v>
      </c>
      <c r="M950" s="21"/>
      <c r="N950" s="23">
        <v>0</v>
      </c>
      <c r="O950" s="24"/>
      <c r="P950" s="19"/>
      <c r="Q950" s="25"/>
      <c r="R950" s="25"/>
      <c r="S950" s="19"/>
      <c r="T950" s="26"/>
      <c r="U950" s="27" t="s">
        <v>21</v>
      </c>
      <c r="V950" s="28" t="s">
        <v>3803</v>
      </c>
      <c r="W950" s="29" t="s">
        <v>26</v>
      </c>
    </row>
    <row r="951" spans="1:23" ht="30" customHeight="1">
      <c r="A951" s="19" t="s">
        <v>5595</v>
      </c>
      <c r="B951" s="19" t="s">
        <v>5569</v>
      </c>
      <c r="C951" s="19"/>
      <c r="D951" s="19" t="s">
        <v>3805</v>
      </c>
      <c r="E951" s="20" t="s">
        <v>3806</v>
      </c>
      <c r="F951" s="19"/>
      <c r="G951" s="21" t="s">
        <v>22</v>
      </c>
      <c r="H951" s="22" t="b">
        <v>0</v>
      </c>
      <c r="I951" s="22" t="b">
        <v>0</v>
      </c>
      <c r="J951" s="22" t="b">
        <v>0</v>
      </c>
      <c r="K951" s="22" t="b">
        <v>0</v>
      </c>
      <c r="L951" s="22" t="b">
        <v>0</v>
      </c>
      <c r="M951" s="21"/>
      <c r="N951" s="23">
        <v>0</v>
      </c>
      <c r="O951" s="24"/>
      <c r="P951" s="19"/>
      <c r="Q951" s="25"/>
      <c r="R951" s="25"/>
      <c r="S951" s="19"/>
      <c r="T951" s="26"/>
      <c r="U951" s="30" t="s">
        <v>34</v>
      </c>
      <c r="V951" s="28" t="s">
        <v>3807</v>
      </c>
      <c r="W951" s="29" t="s">
        <v>26</v>
      </c>
    </row>
    <row r="952" spans="1:23" ht="30" customHeight="1">
      <c r="A952" s="19" t="s">
        <v>5595</v>
      </c>
      <c r="B952" s="19" t="s">
        <v>5569</v>
      </c>
      <c r="C952" s="19"/>
      <c r="D952" s="19" t="s">
        <v>3810</v>
      </c>
      <c r="E952" s="20" t="s">
        <v>3811</v>
      </c>
      <c r="F952" s="19"/>
      <c r="G952" s="21" t="s">
        <v>22</v>
      </c>
      <c r="H952" s="22" t="b">
        <v>0</v>
      </c>
      <c r="I952" s="22" t="b">
        <v>0</v>
      </c>
      <c r="J952" s="22" t="b">
        <v>0</v>
      </c>
      <c r="K952" s="22" t="b">
        <v>0</v>
      </c>
      <c r="L952" s="22" t="b">
        <v>0</v>
      </c>
      <c r="M952" s="21"/>
      <c r="N952" s="23">
        <v>0</v>
      </c>
      <c r="O952" s="24"/>
      <c r="P952" s="19"/>
      <c r="Q952" s="25"/>
      <c r="R952" s="25"/>
      <c r="S952" s="19"/>
      <c r="T952" s="26"/>
      <c r="U952" s="27" t="s">
        <v>21</v>
      </c>
      <c r="V952" s="28"/>
      <c r="W952" s="29" t="s">
        <v>26</v>
      </c>
    </row>
    <row r="953" spans="1:23" ht="30" customHeight="1">
      <c r="A953" s="19" t="s">
        <v>5595</v>
      </c>
      <c r="B953" s="19" t="s">
        <v>5569</v>
      </c>
      <c r="C953" s="19"/>
      <c r="D953" s="19" t="s">
        <v>3813</v>
      </c>
      <c r="E953" s="20" t="s">
        <v>3814</v>
      </c>
      <c r="F953" s="19"/>
      <c r="G953" s="21" t="s">
        <v>22</v>
      </c>
      <c r="H953" s="22" t="b">
        <v>0</v>
      </c>
      <c r="I953" s="22" t="b">
        <v>0</v>
      </c>
      <c r="J953" s="22" t="b">
        <v>0</v>
      </c>
      <c r="K953" s="22" t="b">
        <v>0</v>
      </c>
      <c r="L953" s="22" t="b">
        <v>0</v>
      </c>
      <c r="M953" s="21"/>
      <c r="N953" s="23">
        <v>0</v>
      </c>
      <c r="O953" s="24"/>
      <c r="P953" s="19"/>
      <c r="Q953" s="25"/>
      <c r="R953" s="25"/>
      <c r="S953" s="19"/>
      <c r="T953" s="26"/>
      <c r="U953" s="27" t="s">
        <v>21</v>
      </c>
      <c r="V953" s="28"/>
      <c r="W953" s="29" t="s">
        <v>26</v>
      </c>
    </row>
    <row r="954" spans="1:23" ht="30" customHeight="1">
      <c r="A954" s="19" t="s">
        <v>5595</v>
      </c>
      <c r="B954" s="19" t="s">
        <v>5569</v>
      </c>
      <c r="C954" s="19"/>
      <c r="D954" s="19" t="s">
        <v>3817</v>
      </c>
      <c r="E954" s="20" t="s">
        <v>3818</v>
      </c>
      <c r="F954" s="19"/>
      <c r="G954" s="21" t="s">
        <v>22</v>
      </c>
      <c r="H954" s="22" t="b">
        <v>0</v>
      </c>
      <c r="I954" s="22" t="b">
        <v>0</v>
      </c>
      <c r="J954" s="22" t="b">
        <v>0</v>
      </c>
      <c r="K954" s="22" t="b">
        <v>0</v>
      </c>
      <c r="L954" s="22" t="b">
        <v>0</v>
      </c>
      <c r="M954" s="21"/>
      <c r="N954" s="23">
        <v>0</v>
      </c>
      <c r="O954" s="24"/>
      <c r="P954" s="19"/>
      <c r="Q954" s="25"/>
      <c r="R954" s="25"/>
      <c r="S954" s="19"/>
      <c r="T954" s="26"/>
      <c r="U954" s="27" t="s">
        <v>21</v>
      </c>
      <c r="V954" s="28" t="s">
        <v>3819</v>
      </c>
      <c r="W954" s="29" t="s">
        <v>26</v>
      </c>
    </row>
    <row r="955" spans="1:23" ht="30" customHeight="1">
      <c r="A955" s="19" t="s">
        <v>5595</v>
      </c>
      <c r="B955" s="19" t="s">
        <v>5569</v>
      </c>
      <c r="C955" s="19"/>
      <c r="D955" s="19" t="s">
        <v>3822</v>
      </c>
      <c r="E955" s="20" t="s">
        <v>3823</v>
      </c>
      <c r="F955" s="19"/>
      <c r="G955" s="21" t="s">
        <v>29</v>
      </c>
      <c r="H955" s="22" t="b">
        <v>0</v>
      </c>
      <c r="I955" s="22" t="b">
        <v>0</v>
      </c>
      <c r="J955" s="22" t="b">
        <v>0</v>
      </c>
      <c r="K955" s="22" t="b">
        <v>0</v>
      </c>
      <c r="L955" s="22" t="b">
        <v>0</v>
      </c>
      <c r="M955" s="21"/>
      <c r="N955" s="23">
        <v>0</v>
      </c>
      <c r="O955" s="24"/>
      <c r="P955" s="19"/>
      <c r="Q955" s="25"/>
      <c r="R955" s="25"/>
      <c r="S955" s="19"/>
      <c r="T955" s="26"/>
      <c r="U955" s="27" t="s">
        <v>21</v>
      </c>
      <c r="V955" s="28"/>
      <c r="W955" s="29" t="s">
        <v>26</v>
      </c>
    </row>
    <row r="956" spans="1:23" ht="30" customHeight="1">
      <c r="A956" s="19" t="s">
        <v>5595</v>
      </c>
      <c r="B956" s="19" t="s">
        <v>5569</v>
      </c>
      <c r="C956" s="19"/>
      <c r="D956" s="19" t="s">
        <v>3826</v>
      </c>
      <c r="E956" s="20" t="s">
        <v>3827</v>
      </c>
      <c r="F956" s="19"/>
      <c r="G956" s="21" t="s">
        <v>22</v>
      </c>
      <c r="H956" s="22" t="b">
        <v>0</v>
      </c>
      <c r="I956" s="22" t="b">
        <v>0</v>
      </c>
      <c r="J956" s="22" t="b">
        <v>0</v>
      </c>
      <c r="K956" s="22" t="b">
        <v>0</v>
      </c>
      <c r="L956" s="22" t="b">
        <v>0</v>
      </c>
      <c r="M956" s="21"/>
      <c r="N956" s="23">
        <v>0</v>
      </c>
      <c r="O956" s="24"/>
      <c r="P956" s="19"/>
      <c r="Q956" s="25"/>
      <c r="R956" s="25"/>
      <c r="S956" s="19"/>
      <c r="T956" s="26"/>
      <c r="U956" s="27" t="s">
        <v>21</v>
      </c>
      <c r="V956" s="28" t="s">
        <v>3828</v>
      </c>
      <c r="W956" s="29" t="s">
        <v>26</v>
      </c>
    </row>
    <row r="957" spans="1:23" ht="30" customHeight="1">
      <c r="A957" s="19" t="s">
        <v>5595</v>
      </c>
      <c r="B957" s="19" t="s">
        <v>5569</v>
      </c>
      <c r="C957" s="19"/>
      <c r="D957" s="19" t="s">
        <v>3831</v>
      </c>
      <c r="E957" s="20" t="s">
        <v>3832</v>
      </c>
      <c r="F957" s="19"/>
      <c r="G957" s="21" t="s">
        <v>22</v>
      </c>
      <c r="H957" s="22" t="b">
        <v>0</v>
      </c>
      <c r="I957" s="22" t="b">
        <v>0</v>
      </c>
      <c r="J957" s="22" t="b">
        <v>0</v>
      </c>
      <c r="K957" s="22" t="b">
        <v>0</v>
      </c>
      <c r="L957" s="22" t="b">
        <v>0</v>
      </c>
      <c r="M957" s="21"/>
      <c r="N957" s="23">
        <v>0</v>
      </c>
      <c r="O957" s="24"/>
      <c r="P957" s="19"/>
      <c r="Q957" s="25"/>
      <c r="R957" s="25"/>
      <c r="S957" s="19"/>
      <c r="T957" s="26"/>
      <c r="U957" s="27" t="s">
        <v>21</v>
      </c>
      <c r="V957" s="28" t="s">
        <v>3833</v>
      </c>
      <c r="W957" s="29" t="s">
        <v>26</v>
      </c>
    </row>
    <row r="958" spans="1:23" ht="30" customHeight="1">
      <c r="A958" s="19" t="s">
        <v>5595</v>
      </c>
      <c r="B958" s="19" t="s">
        <v>5569</v>
      </c>
      <c r="C958" s="19"/>
      <c r="D958" s="19" t="s">
        <v>3835</v>
      </c>
      <c r="E958" s="20" t="s">
        <v>3836</v>
      </c>
      <c r="F958" s="19"/>
      <c r="G958" s="21" t="s">
        <v>22</v>
      </c>
      <c r="H958" s="22" t="b">
        <v>0</v>
      </c>
      <c r="I958" s="22" t="b">
        <v>0</v>
      </c>
      <c r="J958" s="22" t="b">
        <v>0</v>
      </c>
      <c r="K958" s="22" t="b">
        <v>0</v>
      </c>
      <c r="L958" s="22" t="b">
        <v>0</v>
      </c>
      <c r="M958" s="21"/>
      <c r="N958" s="23">
        <v>0</v>
      </c>
      <c r="O958" s="24"/>
      <c r="P958" s="19"/>
      <c r="Q958" s="25"/>
      <c r="R958" s="25"/>
      <c r="S958" s="19"/>
      <c r="T958" s="26"/>
      <c r="U958" s="27" t="s">
        <v>21</v>
      </c>
      <c r="V958" s="28" t="s">
        <v>3837</v>
      </c>
      <c r="W958" s="29" t="s">
        <v>26</v>
      </c>
    </row>
    <row r="959" spans="1:23" ht="30" customHeight="1">
      <c r="A959" s="19" t="s">
        <v>5595</v>
      </c>
      <c r="B959" s="19" t="s">
        <v>5569</v>
      </c>
      <c r="C959" s="19"/>
      <c r="D959" s="19" t="s">
        <v>3839</v>
      </c>
      <c r="E959" s="20" t="s">
        <v>3840</v>
      </c>
      <c r="F959" s="19"/>
      <c r="G959" s="21" t="s">
        <v>22</v>
      </c>
      <c r="H959" s="22" t="b">
        <v>0</v>
      </c>
      <c r="I959" s="22" t="b">
        <v>0</v>
      </c>
      <c r="J959" s="22" t="b">
        <v>0</v>
      </c>
      <c r="K959" s="22" t="b">
        <v>0</v>
      </c>
      <c r="L959" s="22" t="b">
        <v>0</v>
      </c>
      <c r="M959" s="21"/>
      <c r="N959" s="23">
        <v>0</v>
      </c>
      <c r="O959" s="24"/>
      <c r="P959" s="19"/>
      <c r="Q959" s="25"/>
      <c r="R959" s="25"/>
      <c r="S959" s="19"/>
      <c r="T959" s="26"/>
      <c r="U959" s="27" t="s">
        <v>21</v>
      </c>
      <c r="V959" s="28"/>
      <c r="W959" s="29" t="s">
        <v>26</v>
      </c>
    </row>
    <row r="960" spans="1:23" ht="30" customHeight="1">
      <c r="A960" s="19" t="s">
        <v>5595</v>
      </c>
      <c r="B960" s="19" t="s">
        <v>5569</v>
      </c>
      <c r="C960" s="19"/>
      <c r="D960" s="19" t="s">
        <v>3842</v>
      </c>
      <c r="E960" s="20" t="s">
        <v>3843</v>
      </c>
      <c r="F960" s="19"/>
      <c r="G960" s="21" t="s">
        <v>22</v>
      </c>
      <c r="H960" s="22" t="b">
        <v>0</v>
      </c>
      <c r="I960" s="22" t="b">
        <v>0</v>
      </c>
      <c r="J960" s="22" t="b">
        <v>0</v>
      </c>
      <c r="K960" s="22" t="b">
        <v>0</v>
      </c>
      <c r="L960" s="22" t="b">
        <v>0</v>
      </c>
      <c r="M960" s="21"/>
      <c r="N960" s="23">
        <v>0</v>
      </c>
      <c r="O960" s="24"/>
      <c r="P960" s="19"/>
      <c r="Q960" s="25"/>
      <c r="R960" s="25"/>
      <c r="S960" s="19"/>
      <c r="T960" s="26"/>
      <c r="U960" s="27" t="s">
        <v>21</v>
      </c>
      <c r="V960" s="28" t="s">
        <v>3844</v>
      </c>
      <c r="W960" s="29" t="s">
        <v>26</v>
      </c>
    </row>
    <row r="961" spans="1:23" ht="30" customHeight="1">
      <c r="A961" s="19" t="s">
        <v>5595</v>
      </c>
      <c r="B961" s="19" t="s">
        <v>5569</v>
      </c>
      <c r="C961" s="19"/>
      <c r="D961" s="19" t="s">
        <v>3846</v>
      </c>
      <c r="E961" s="20" t="s">
        <v>3847</v>
      </c>
      <c r="F961" s="19"/>
      <c r="G961" s="21" t="s">
        <v>29</v>
      </c>
      <c r="H961" s="22" t="b">
        <v>0</v>
      </c>
      <c r="I961" s="22" t="b">
        <v>0</v>
      </c>
      <c r="J961" s="22" t="b">
        <v>0</v>
      </c>
      <c r="K961" s="22" t="b">
        <v>0</v>
      </c>
      <c r="L961" s="22" t="b">
        <v>0</v>
      </c>
      <c r="M961" s="21"/>
      <c r="N961" s="23">
        <v>0</v>
      </c>
      <c r="O961" s="24"/>
      <c r="P961" s="19"/>
      <c r="Q961" s="25"/>
      <c r="R961" s="25"/>
      <c r="S961" s="19"/>
      <c r="T961" s="26"/>
      <c r="U961" s="27" t="s">
        <v>21</v>
      </c>
      <c r="V961" s="28"/>
      <c r="W961" s="29" t="s">
        <v>26</v>
      </c>
    </row>
    <row r="962" spans="1:23" ht="30" customHeight="1">
      <c r="A962" s="19" t="s">
        <v>5595</v>
      </c>
      <c r="B962" s="19" t="s">
        <v>5569</v>
      </c>
      <c r="C962" s="19"/>
      <c r="D962" s="19" t="s">
        <v>3849</v>
      </c>
      <c r="E962" s="20" t="s">
        <v>3850</v>
      </c>
      <c r="F962" s="19"/>
      <c r="G962" s="21" t="s">
        <v>29</v>
      </c>
      <c r="H962" s="22" t="b">
        <v>0</v>
      </c>
      <c r="I962" s="22" t="b">
        <v>0</v>
      </c>
      <c r="J962" s="22" t="b">
        <v>0</v>
      </c>
      <c r="K962" s="22" t="b">
        <v>0</v>
      </c>
      <c r="L962" s="22" t="b">
        <v>0</v>
      </c>
      <c r="M962" s="21"/>
      <c r="N962" s="23">
        <v>0</v>
      </c>
      <c r="O962" s="24"/>
      <c r="P962" s="19"/>
      <c r="Q962" s="25"/>
      <c r="R962" s="25"/>
      <c r="S962" s="19"/>
      <c r="T962" s="26"/>
      <c r="U962" s="27" t="s">
        <v>21</v>
      </c>
      <c r="V962" s="28"/>
      <c r="W962" s="29" t="s">
        <v>26</v>
      </c>
    </row>
    <row r="963" spans="1:23" ht="30" customHeight="1">
      <c r="A963" s="19" t="s">
        <v>5595</v>
      </c>
      <c r="B963" s="19" t="s">
        <v>5569</v>
      </c>
      <c r="C963" s="19"/>
      <c r="D963" s="19" t="s">
        <v>3853</v>
      </c>
      <c r="E963" s="20" t="s">
        <v>3854</v>
      </c>
      <c r="F963" s="19"/>
      <c r="G963" s="21" t="s">
        <v>22</v>
      </c>
      <c r="H963" s="22" t="b">
        <v>0</v>
      </c>
      <c r="I963" s="22" t="b">
        <v>0</v>
      </c>
      <c r="J963" s="22" t="b">
        <v>0</v>
      </c>
      <c r="K963" s="22" t="b">
        <v>0</v>
      </c>
      <c r="L963" s="22" t="b">
        <v>0</v>
      </c>
      <c r="M963" s="21"/>
      <c r="N963" s="23">
        <v>0</v>
      </c>
      <c r="O963" s="24"/>
      <c r="P963" s="19"/>
      <c r="Q963" s="25"/>
      <c r="R963" s="25"/>
      <c r="S963" s="19"/>
      <c r="T963" s="26"/>
      <c r="U963" s="27" t="s">
        <v>21</v>
      </c>
      <c r="V963" s="28" t="s">
        <v>180</v>
      </c>
      <c r="W963" s="29" t="s">
        <v>26</v>
      </c>
    </row>
    <row r="964" spans="1:23" ht="30" customHeight="1">
      <c r="A964" s="19" t="s">
        <v>5595</v>
      </c>
      <c r="B964" s="19" t="s">
        <v>5569</v>
      </c>
      <c r="C964" s="19"/>
      <c r="D964" s="19" t="s">
        <v>3856</v>
      </c>
      <c r="E964" s="20" t="s">
        <v>3857</v>
      </c>
      <c r="F964" s="19"/>
      <c r="G964" s="21" t="s">
        <v>22</v>
      </c>
      <c r="H964" s="22" t="b">
        <v>0</v>
      </c>
      <c r="I964" s="22" t="b">
        <v>0</v>
      </c>
      <c r="J964" s="22" t="b">
        <v>0</v>
      </c>
      <c r="K964" s="22" t="b">
        <v>0</v>
      </c>
      <c r="L964" s="22" t="b">
        <v>0</v>
      </c>
      <c r="M964" s="21"/>
      <c r="N964" s="23">
        <v>0</v>
      </c>
      <c r="O964" s="24"/>
      <c r="P964" s="19"/>
      <c r="Q964" s="25"/>
      <c r="R964" s="25"/>
      <c r="S964" s="19"/>
      <c r="T964" s="26"/>
      <c r="U964" s="27" t="s">
        <v>21</v>
      </c>
      <c r="V964" s="28"/>
      <c r="W964" s="29" t="s">
        <v>26</v>
      </c>
    </row>
    <row r="965" spans="1:23" ht="30" customHeight="1">
      <c r="A965" s="19" t="s">
        <v>5595</v>
      </c>
      <c r="B965" s="19" t="s">
        <v>5569</v>
      </c>
      <c r="C965" s="19"/>
      <c r="D965" s="19" t="s">
        <v>3860</v>
      </c>
      <c r="E965" s="20" t="s">
        <v>3861</v>
      </c>
      <c r="F965" s="19"/>
      <c r="G965" s="21" t="s">
        <v>22</v>
      </c>
      <c r="H965" s="22" t="b">
        <v>0</v>
      </c>
      <c r="I965" s="22" t="b">
        <v>0</v>
      </c>
      <c r="J965" s="22" t="b">
        <v>0</v>
      </c>
      <c r="K965" s="22" t="b">
        <v>0</v>
      </c>
      <c r="L965" s="22" t="b">
        <v>0</v>
      </c>
      <c r="M965" s="21"/>
      <c r="N965" s="23">
        <v>0</v>
      </c>
      <c r="O965" s="24"/>
      <c r="P965" s="19"/>
      <c r="Q965" s="25"/>
      <c r="R965" s="25"/>
      <c r="S965" s="19"/>
      <c r="T965" s="26"/>
      <c r="U965" s="27" t="s">
        <v>21</v>
      </c>
      <c r="V965" s="28" t="s">
        <v>3862</v>
      </c>
      <c r="W965" s="29" t="s">
        <v>26</v>
      </c>
    </row>
    <row r="966" spans="1:23" ht="30" customHeight="1">
      <c r="A966" s="19" t="s">
        <v>5595</v>
      </c>
      <c r="B966" s="19" t="s">
        <v>5569</v>
      </c>
      <c r="C966" s="19"/>
      <c r="D966" s="19" t="s">
        <v>3864</v>
      </c>
      <c r="E966" s="20" t="s">
        <v>3865</v>
      </c>
      <c r="F966" s="19"/>
      <c r="G966" s="21" t="s">
        <v>29</v>
      </c>
      <c r="H966" s="22" t="b">
        <v>0</v>
      </c>
      <c r="I966" s="22" t="b">
        <v>0</v>
      </c>
      <c r="J966" s="22" t="b">
        <v>0</v>
      </c>
      <c r="K966" s="22" t="b">
        <v>0</v>
      </c>
      <c r="L966" s="22" t="b">
        <v>0</v>
      </c>
      <c r="M966" s="21"/>
      <c r="N966" s="23">
        <v>0</v>
      </c>
      <c r="O966" s="24"/>
      <c r="P966" s="19"/>
      <c r="Q966" s="25"/>
      <c r="R966" s="25"/>
      <c r="S966" s="19"/>
      <c r="T966" s="26"/>
      <c r="U966" s="27" t="s">
        <v>21</v>
      </c>
      <c r="V966" s="28"/>
      <c r="W966" s="29" t="s">
        <v>26</v>
      </c>
    </row>
    <row r="967" spans="1:23" ht="30" customHeight="1">
      <c r="A967" s="19" t="s">
        <v>5595</v>
      </c>
      <c r="B967" s="19" t="s">
        <v>5569</v>
      </c>
      <c r="C967" s="19"/>
      <c r="D967" s="19" t="s">
        <v>3867</v>
      </c>
      <c r="E967" s="20" t="s">
        <v>3868</v>
      </c>
      <c r="F967" s="19"/>
      <c r="G967" s="21" t="s">
        <v>29</v>
      </c>
      <c r="H967" s="22" t="b">
        <v>0</v>
      </c>
      <c r="I967" s="22" t="b">
        <v>0</v>
      </c>
      <c r="J967" s="22" t="b">
        <v>0</v>
      </c>
      <c r="K967" s="22" t="b">
        <v>0</v>
      </c>
      <c r="L967" s="22" t="b">
        <v>0</v>
      </c>
      <c r="M967" s="21"/>
      <c r="N967" s="23">
        <v>0</v>
      </c>
      <c r="O967" s="24"/>
      <c r="P967" s="19"/>
      <c r="Q967" s="25"/>
      <c r="R967" s="25"/>
      <c r="S967" s="19"/>
      <c r="T967" s="26"/>
      <c r="U967" s="27" t="s">
        <v>21</v>
      </c>
      <c r="V967" s="28" t="s">
        <v>3869</v>
      </c>
      <c r="W967" s="29" t="s">
        <v>26</v>
      </c>
    </row>
    <row r="968" spans="1:23" ht="30" customHeight="1">
      <c r="A968" s="19" t="s">
        <v>5595</v>
      </c>
      <c r="B968" s="19" t="s">
        <v>5569</v>
      </c>
      <c r="C968" s="19"/>
      <c r="D968" s="19" t="s">
        <v>3871</v>
      </c>
      <c r="E968" s="20" t="s">
        <v>3872</v>
      </c>
      <c r="F968" s="19"/>
      <c r="G968" s="21" t="s">
        <v>22</v>
      </c>
      <c r="H968" s="22" t="b">
        <v>0</v>
      </c>
      <c r="I968" s="22" t="b">
        <v>0</v>
      </c>
      <c r="J968" s="22" t="b">
        <v>0</v>
      </c>
      <c r="K968" s="22" t="b">
        <v>0</v>
      </c>
      <c r="L968" s="22" t="b">
        <v>0</v>
      </c>
      <c r="M968" s="21"/>
      <c r="N968" s="23">
        <v>0</v>
      </c>
      <c r="O968" s="24"/>
      <c r="P968" s="19"/>
      <c r="Q968" s="25"/>
      <c r="R968" s="25"/>
      <c r="S968" s="19"/>
      <c r="T968" s="26"/>
      <c r="U968" s="30" t="s">
        <v>34</v>
      </c>
      <c r="V968" s="28" t="s">
        <v>3873</v>
      </c>
      <c r="W968" s="29" t="s">
        <v>26</v>
      </c>
    </row>
    <row r="969" spans="1:23" ht="30" customHeight="1">
      <c r="A969" s="19" t="s">
        <v>5595</v>
      </c>
      <c r="B969" s="19" t="s">
        <v>5569</v>
      </c>
      <c r="C969" s="19"/>
      <c r="D969" s="19" t="s">
        <v>3876</v>
      </c>
      <c r="E969" s="20" t="s">
        <v>3877</v>
      </c>
      <c r="F969" s="19"/>
      <c r="G969" s="21" t="s">
        <v>29</v>
      </c>
      <c r="H969" s="22" t="b">
        <v>0</v>
      </c>
      <c r="I969" s="22" t="b">
        <v>0</v>
      </c>
      <c r="J969" s="22" t="b">
        <v>0</v>
      </c>
      <c r="K969" s="22" t="b">
        <v>0</v>
      </c>
      <c r="L969" s="22" t="b">
        <v>0</v>
      </c>
      <c r="M969" s="21"/>
      <c r="N969" s="23">
        <v>0</v>
      </c>
      <c r="O969" s="24"/>
      <c r="P969" s="19"/>
      <c r="Q969" s="25"/>
      <c r="R969" s="25"/>
      <c r="S969" s="19"/>
      <c r="T969" s="26"/>
      <c r="U969" s="27" t="s">
        <v>21</v>
      </c>
      <c r="V969" s="28"/>
      <c r="W969" s="29" t="s">
        <v>26</v>
      </c>
    </row>
    <row r="970" spans="1:23" ht="30" customHeight="1">
      <c r="A970" s="19" t="s">
        <v>5595</v>
      </c>
      <c r="B970" s="19" t="s">
        <v>5569</v>
      </c>
      <c r="C970" s="19"/>
      <c r="D970" s="19" t="s">
        <v>3880</v>
      </c>
      <c r="E970" s="20" t="s">
        <v>3881</v>
      </c>
      <c r="F970" s="19"/>
      <c r="G970" s="21" t="s">
        <v>29</v>
      </c>
      <c r="H970" s="22" t="b">
        <v>0</v>
      </c>
      <c r="I970" s="22" t="b">
        <v>0</v>
      </c>
      <c r="J970" s="22" t="b">
        <v>0</v>
      </c>
      <c r="K970" s="22" t="b">
        <v>0</v>
      </c>
      <c r="L970" s="22" t="b">
        <v>0</v>
      </c>
      <c r="M970" s="21"/>
      <c r="N970" s="23">
        <v>0</v>
      </c>
      <c r="O970" s="24"/>
      <c r="P970" s="19"/>
      <c r="Q970" s="25"/>
      <c r="R970" s="25"/>
      <c r="S970" s="19"/>
      <c r="T970" s="26"/>
      <c r="U970" s="27" t="s">
        <v>21</v>
      </c>
      <c r="V970" s="28"/>
      <c r="W970" s="29" t="s">
        <v>26</v>
      </c>
    </row>
    <row r="971" spans="1:23" ht="30" customHeight="1">
      <c r="A971" s="19" t="s">
        <v>5595</v>
      </c>
      <c r="B971" s="19" t="s">
        <v>5569</v>
      </c>
      <c r="C971" s="19"/>
      <c r="D971" s="19" t="s">
        <v>3883</v>
      </c>
      <c r="E971" s="20" t="s">
        <v>3884</v>
      </c>
      <c r="F971" s="19"/>
      <c r="G971" s="21" t="s">
        <v>22</v>
      </c>
      <c r="H971" s="22" t="b">
        <v>0</v>
      </c>
      <c r="I971" s="22" t="b">
        <v>0</v>
      </c>
      <c r="J971" s="22" t="b">
        <v>0</v>
      </c>
      <c r="K971" s="22" t="b">
        <v>0</v>
      </c>
      <c r="L971" s="22" t="b">
        <v>0</v>
      </c>
      <c r="M971" s="21"/>
      <c r="N971" s="23">
        <v>0</v>
      </c>
      <c r="O971" s="24"/>
      <c r="P971" s="19"/>
      <c r="Q971" s="25"/>
      <c r="R971" s="25"/>
      <c r="S971" s="19"/>
      <c r="T971" s="26"/>
      <c r="U971" s="27" t="s">
        <v>21</v>
      </c>
      <c r="V971" s="28" t="s">
        <v>3885</v>
      </c>
      <c r="W971" s="29" t="s">
        <v>26</v>
      </c>
    </row>
    <row r="972" spans="1:23" ht="30" customHeight="1">
      <c r="A972" s="19" t="s">
        <v>5595</v>
      </c>
      <c r="B972" s="19" t="s">
        <v>5569</v>
      </c>
      <c r="C972" s="19"/>
      <c r="D972" s="19" t="s">
        <v>3888</v>
      </c>
      <c r="E972" s="20" t="s">
        <v>3889</v>
      </c>
      <c r="F972" s="19"/>
      <c r="G972" s="21" t="s">
        <v>39</v>
      </c>
      <c r="H972" s="22" t="b">
        <v>0</v>
      </c>
      <c r="I972" s="22" t="b">
        <v>0</v>
      </c>
      <c r="J972" s="22" t="b">
        <v>0</v>
      </c>
      <c r="K972" s="22" t="b">
        <v>0</v>
      </c>
      <c r="L972" s="22" t="b">
        <v>0</v>
      </c>
      <c r="M972" s="21"/>
      <c r="N972" s="23">
        <v>0</v>
      </c>
      <c r="O972" s="24"/>
      <c r="P972" s="19"/>
      <c r="Q972" s="25"/>
      <c r="R972" s="25"/>
      <c r="S972" s="19"/>
      <c r="T972" s="26"/>
      <c r="U972" s="27" t="s">
        <v>21</v>
      </c>
      <c r="V972" s="28" t="s">
        <v>3890</v>
      </c>
      <c r="W972" s="29" t="s">
        <v>26</v>
      </c>
    </row>
    <row r="973" spans="1:23" ht="30" customHeight="1">
      <c r="A973" s="19" t="s">
        <v>5595</v>
      </c>
      <c r="B973" s="19" t="s">
        <v>5569</v>
      </c>
      <c r="C973" s="19"/>
      <c r="D973" s="19" t="s">
        <v>3892</v>
      </c>
      <c r="E973" s="20" t="s">
        <v>3893</v>
      </c>
      <c r="F973" s="19"/>
      <c r="G973" s="21" t="s">
        <v>22</v>
      </c>
      <c r="H973" s="22" t="b">
        <v>0</v>
      </c>
      <c r="I973" s="22" t="b">
        <v>0</v>
      </c>
      <c r="J973" s="22" t="b">
        <v>0</v>
      </c>
      <c r="K973" s="22" t="b">
        <v>0</v>
      </c>
      <c r="L973" s="22" t="b">
        <v>0</v>
      </c>
      <c r="M973" s="21"/>
      <c r="N973" s="23">
        <v>0</v>
      </c>
      <c r="O973" s="24"/>
      <c r="P973" s="19"/>
      <c r="Q973" s="25"/>
      <c r="R973" s="25"/>
      <c r="S973" s="19"/>
      <c r="T973" s="26"/>
      <c r="U973" s="27" t="s">
        <v>21</v>
      </c>
      <c r="V973" s="28"/>
      <c r="W973" s="29" t="s">
        <v>26</v>
      </c>
    </row>
    <row r="974" spans="1:23" ht="30" customHeight="1">
      <c r="A974" s="19" t="s">
        <v>5595</v>
      </c>
      <c r="B974" s="19" t="s">
        <v>5569</v>
      </c>
      <c r="C974" s="19"/>
      <c r="D974" s="19" t="s">
        <v>3895</v>
      </c>
      <c r="E974" s="20" t="s">
        <v>3896</v>
      </c>
      <c r="F974" s="19"/>
      <c r="G974" s="21" t="s">
        <v>22</v>
      </c>
      <c r="H974" s="22" t="b">
        <v>0</v>
      </c>
      <c r="I974" s="22" t="b">
        <v>0</v>
      </c>
      <c r="J974" s="22" t="b">
        <v>0</v>
      </c>
      <c r="K974" s="22" t="b">
        <v>0</v>
      </c>
      <c r="L974" s="22" t="b">
        <v>0</v>
      </c>
      <c r="M974" s="21"/>
      <c r="N974" s="23">
        <v>0</v>
      </c>
      <c r="O974" s="24"/>
      <c r="P974" s="19"/>
      <c r="Q974" s="25"/>
      <c r="R974" s="25"/>
      <c r="S974" s="19"/>
      <c r="T974" s="26"/>
      <c r="U974" s="27" t="s">
        <v>21</v>
      </c>
      <c r="V974" s="28" t="s">
        <v>3897</v>
      </c>
      <c r="W974" s="29" t="s">
        <v>26</v>
      </c>
    </row>
    <row r="975" spans="1:23" ht="30" customHeight="1">
      <c r="A975" s="19" t="s">
        <v>5595</v>
      </c>
      <c r="B975" s="19" t="s">
        <v>5569</v>
      </c>
      <c r="C975" s="19"/>
      <c r="D975" s="19" t="s">
        <v>3899</v>
      </c>
      <c r="E975" s="20" t="s">
        <v>3900</v>
      </c>
      <c r="F975" s="19"/>
      <c r="G975" s="21" t="s">
        <v>22</v>
      </c>
      <c r="H975" s="22" t="b">
        <v>0</v>
      </c>
      <c r="I975" s="22" t="b">
        <v>0</v>
      </c>
      <c r="J975" s="22" t="b">
        <v>0</v>
      </c>
      <c r="K975" s="22" t="b">
        <v>0</v>
      </c>
      <c r="L975" s="22" t="b">
        <v>0</v>
      </c>
      <c r="M975" s="21"/>
      <c r="N975" s="23">
        <v>0</v>
      </c>
      <c r="O975" s="24"/>
      <c r="P975" s="19"/>
      <c r="Q975" s="25"/>
      <c r="R975" s="25"/>
      <c r="S975" s="19"/>
      <c r="T975" s="26"/>
      <c r="U975" s="27" t="s">
        <v>21</v>
      </c>
      <c r="V975" s="28" t="s">
        <v>3901</v>
      </c>
      <c r="W975" s="29" t="s">
        <v>26</v>
      </c>
    </row>
    <row r="976" spans="1:23" ht="30" customHeight="1">
      <c r="A976" s="19" t="s">
        <v>5595</v>
      </c>
      <c r="B976" s="19" t="s">
        <v>5569</v>
      </c>
      <c r="C976" s="19"/>
      <c r="D976" s="19" t="s">
        <v>3903</v>
      </c>
      <c r="E976" s="20" t="s">
        <v>3904</v>
      </c>
      <c r="F976" s="19"/>
      <c r="G976" s="21" t="s">
        <v>29</v>
      </c>
      <c r="H976" s="22" t="b">
        <v>0</v>
      </c>
      <c r="I976" s="22" t="b">
        <v>0</v>
      </c>
      <c r="J976" s="22" t="b">
        <v>0</v>
      </c>
      <c r="K976" s="22" t="b">
        <v>0</v>
      </c>
      <c r="L976" s="22" t="b">
        <v>0</v>
      </c>
      <c r="M976" s="21"/>
      <c r="N976" s="23">
        <v>0</v>
      </c>
      <c r="O976" s="24"/>
      <c r="P976" s="19"/>
      <c r="Q976" s="25"/>
      <c r="R976" s="25"/>
      <c r="S976" s="19"/>
      <c r="T976" s="26"/>
      <c r="U976" s="27" t="s">
        <v>21</v>
      </c>
      <c r="V976" s="28" t="s">
        <v>3905</v>
      </c>
      <c r="W976" s="29" t="s">
        <v>26</v>
      </c>
    </row>
    <row r="977" spans="1:23" ht="30" customHeight="1">
      <c r="A977" s="19" t="s">
        <v>5595</v>
      </c>
      <c r="B977" s="19" t="s">
        <v>5569</v>
      </c>
      <c r="C977" s="19"/>
      <c r="D977" s="19" t="s">
        <v>3907</v>
      </c>
      <c r="E977" s="20" t="s">
        <v>3908</v>
      </c>
      <c r="F977" s="19"/>
      <c r="G977" s="21" t="s">
        <v>22</v>
      </c>
      <c r="H977" s="22" t="b">
        <v>0</v>
      </c>
      <c r="I977" s="22" t="b">
        <v>0</v>
      </c>
      <c r="J977" s="22" t="b">
        <v>0</v>
      </c>
      <c r="K977" s="22" t="b">
        <v>0</v>
      </c>
      <c r="L977" s="22" t="b">
        <v>0</v>
      </c>
      <c r="M977" s="21"/>
      <c r="N977" s="23">
        <v>0</v>
      </c>
      <c r="O977" s="24"/>
      <c r="P977" s="19"/>
      <c r="Q977" s="25"/>
      <c r="R977" s="25"/>
      <c r="S977" s="19"/>
      <c r="T977" s="26"/>
      <c r="U977" s="27" t="s">
        <v>21</v>
      </c>
      <c r="V977" s="28"/>
      <c r="W977" s="29" t="s">
        <v>26</v>
      </c>
    </row>
    <row r="978" spans="1:23" ht="30" customHeight="1">
      <c r="A978" s="19" t="s">
        <v>5595</v>
      </c>
      <c r="B978" s="19" t="s">
        <v>5569</v>
      </c>
      <c r="C978" s="19"/>
      <c r="D978" s="19" t="s">
        <v>3911</v>
      </c>
      <c r="E978" s="20" t="s">
        <v>3912</v>
      </c>
      <c r="F978" s="19"/>
      <c r="G978" s="21" t="s">
        <v>22</v>
      </c>
      <c r="H978" s="22" t="b">
        <v>0</v>
      </c>
      <c r="I978" s="22" t="b">
        <v>0</v>
      </c>
      <c r="J978" s="22" t="b">
        <v>0</v>
      </c>
      <c r="K978" s="22" t="b">
        <v>0</v>
      </c>
      <c r="L978" s="22" t="b">
        <v>0</v>
      </c>
      <c r="M978" s="21"/>
      <c r="N978" s="23">
        <v>0</v>
      </c>
      <c r="O978" s="24"/>
      <c r="P978" s="19"/>
      <c r="Q978" s="25"/>
      <c r="R978" s="25"/>
      <c r="S978" s="19"/>
      <c r="T978" s="26"/>
      <c r="U978" s="27" t="s">
        <v>21</v>
      </c>
      <c r="V978" s="28" t="s">
        <v>3913</v>
      </c>
      <c r="W978" s="29" t="s">
        <v>26</v>
      </c>
    </row>
    <row r="979" spans="1:23" ht="30" customHeight="1">
      <c r="A979" s="19" t="s">
        <v>5595</v>
      </c>
      <c r="B979" s="19" t="s">
        <v>5569</v>
      </c>
      <c r="C979" s="19"/>
      <c r="D979" s="19" t="s">
        <v>3916</v>
      </c>
      <c r="E979" s="20" t="s">
        <v>3917</v>
      </c>
      <c r="F979" s="19"/>
      <c r="G979" s="21" t="s">
        <v>22</v>
      </c>
      <c r="H979" s="22" t="b">
        <v>0</v>
      </c>
      <c r="I979" s="22" t="b">
        <v>0</v>
      </c>
      <c r="J979" s="22" t="b">
        <v>0</v>
      </c>
      <c r="K979" s="22" t="b">
        <v>0</v>
      </c>
      <c r="L979" s="22" t="b">
        <v>0</v>
      </c>
      <c r="M979" s="21"/>
      <c r="N979" s="23">
        <v>0</v>
      </c>
      <c r="O979" s="24"/>
      <c r="P979" s="19"/>
      <c r="Q979" s="25"/>
      <c r="R979" s="25"/>
      <c r="S979" s="19"/>
      <c r="T979" s="26"/>
      <c r="U979" s="27" t="s">
        <v>21</v>
      </c>
      <c r="V979" s="28"/>
      <c r="W979" s="29" t="s">
        <v>26</v>
      </c>
    </row>
    <row r="980" spans="1:23" ht="30" customHeight="1">
      <c r="A980" s="19" t="s">
        <v>5595</v>
      </c>
      <c r="B980" s="19" t="s">
        <v>5569</v>
      </c>
      <c r="C980" s="19"/>
      <c r="D980" s="19" t="s">
        <v>3919</v>
      </c>
      <c r="E980" s="20" t="s">
        <v>3920</v>
      </c>
      <c r="F980" s="19"/>
      <c r="G980" s="21" t="s">
        <v>22</v>
      </c>
      <c r="H980" s="22" t="b">
        <v>0</v>
      </c>
      <c r="I980" s="22" t="b">
        <v>0</v>
      </c>
      <c r="J980" s="22" t="b">
        <v>0</v>
      </c>
      <c r="K980" s="22" t="b">
        <v>0</v>
      </c>
      <c r="L980" s="22" t="b">
        <v>0</v>
      </c>
      <c r="M980" s="21"/>
      <c r="N980" s="23">
        <v>0</v>
      </c>
      <c r="O980" s="24"/>
      <c r="P980" s="19"/>
      <c r="Q980" s="25"/>
      <c r="R980" s="25"/>
      <c r="S980" s="19"/>
      <c r="T980" s="26"/>
      <c r="U980" s="27" t="s">
        <v>21</v>
      </c>
      <c r="V980" s="28" t="s">
        <v>3921</v>
      </c>
      <c r="W980" s="29" t="s">
        <v>26</v>
      </c>
    </row>
    <row r="981" spans="1:23" ht="30" customHeight="1">
      <c r="A981" s="19" t="s">
        <v>5595</v>
      </c>
      <c r="B981" s="19" t="s">
        <v>5569</v>
      </c>
      <c r="C981" s="19"/>
      <c r="D981" s="19" t="s">
        <v>3923</v>
      </c>
      <c r="E981" s="20" t="s">
        <v>3924</v>
      </c>
      <c r="F981" s="19"/>
      <c r="G981" s="21" t="s">
        <v>22</v>
      </c>
      <c r="H981" s="22" t="b">
        <v>0</v>
      </c>
      <c r="I981" s="22" t="b">
        <v>0</v>
      </c>
      <c r="J981" s="22" t="b">
        <v>0</v>
      </c>
      <c r="K981" s="22" t="b">
        <v>0</v>
      </c>
      <c r="L981" s="22" t="b">
        <v>0</v>
      </c>
      <c r="M981" s="21"/>
      <c r="N981" s="23">
        <v>0</v>
      </c>
      <c r="O981" s="24"/>
      <c r="P981" s="19"/>
      <c r="Q981" s="25"/>
      <c r="R981" s="25"/>
      <c r="S981" s="19"/>
      <c r="T981" s="26"/>
      <c r="U981" s="30" t="s">
        <v>34</v>
      </c>
      <c r="V981" s="28" t="s">
        <v>3925</v>
      </c>
      <c r="W981" s="29" t="s">
        <v>26</v>
      </c>
    </row>
    <row r="982" spans="1:23" ht="30" customHeight="1">
      <c r="A982" s="19" t="s">
        <v>5595</v>
      </c>
      <c r="B982" s="19" t="s">
        <v>5569</v>
      </c>
      <c r="C982" s="19"/>
      <c r="D982" s="19" t="s">
        <v>3927</v>
      </c>
      <c r="E982" s="20" t="s">
        <v>3928</v>
      </c>
      <c r="F982" s="19"/>
      <c r="G982" s="21" t="s">
        <v>22</v>
      </c>
      <c r="H982" s="22" t="b">
        <v>0</v>
      </c>
      <c r="I982" s="22" t="b">
        <v>0</v>
      </c>
      <c r="J982" s="22" t="b">
        <v>0</v>
      </c>
      <c r="K982" s="22" t="b">
        <v>0</v>
      </c>
      <c r="L982" s="22" t="b">
        <v>0</v>
      </c>
      <c r="M982" s="21"/>
      <c r="N982" s="23">
        <v>0</v>
      </c>
      <c r="O982" s="24"/>
      <c r="P982" s="19"/>
      <c r="Q982" s="25"/>
      <c r="R982" s="25"/>
      <c r="S982" s="19"/>
      <c r="T982" s="26"/>
      <c r="U982" s="27" t="s">
        <v>21</v>
      </c>
      <c r="V982" s="28"/>
      <c r="W982" s="29" t="s">
        <v>26</v>
      </c>
    </row>
    <row r="983" spans="1:23" ht="30" customHeight="1">
      <c r="A983" s="19" t="s">
        <v>5595</v>
      </c>
      <c r="B983" s="19" t="s">
        <v>5569</v>
      </c>
      <c r="C983" s="19"/>
      <c r="D983" s="19" t="s">
        <v>3930</v>
      </c>
      <c r="E983" s="20" t="s">
        <v>3931</v>
      </c>
      <c r="F983" s="19"/>
      <c r="G983" s="21" t="s">
        <v>22</v>
      </c>
      <c r="H983" s="22" t="b">
        <v>0</v>
      </c>
      <c r="I983" s="22" t="b">
        <v>0</v>
      </c>
      <c r="J983" s="22" t="b">
        <v>0</v>
      </c>
      <c r="K983" s="22" t="b">
        <v>0</v>
      </c>
      <c r="L983" s="22" t="b">
        <v>0</v>
      </c>
      <c r="M983" s="21"/>
      <c r="N983" s="23">
        <v>0</v>
      </c>
      <c r="O983" s="24"/>
      <c r="P983" s="19"/>
      <c r="Q983" s="25"/>
      <c r="R983" s="25"/>
      <c r="S983" s="19"/>
      <c r="T983" s="26"/>
      <c r="U983" s="27" t="s">
        <v>21</v>
      </c>
      <c r="V983" s="28" t="s">
        <v>3932</v>
      </c>
      <c r="W983" s="29" t="s">
        <v>26</v>
      </c>
    </row>
    <row r="984" spans="1:23" ht="30" customHeight="1">
      <c r="A984" s="19" t="s">
        <v>5595</v>
      </c>
      <c r="B984" s="19" t="s">
        <v>5569</v>
      </c>
      <c r="C984" s="19"/>
      <c r="D984" s="19" t="s">
        <v>3934</v>
      </c>
      <c r="E984" s="20" t="s">
        <v>3935</v>
      </c>
      <c r="F984" s="19"/>
      <c r="G984" s="21" t="s">
        <v>22</v>
      </c>
      <c r="H984" s="22" t="b">
        <v>0</v>
      </c>
      <c r="I984" s="22" t="b">
        <v>0</v>
      </c>
      <c r="J984" s="22" t="b">
        <v>0</v>
      </c>
      <c r="K984" s="22" t="b">
        <v>0</v>
      </c>
      <c r="L984" s="22" t="b">
        <v>0</v>
      </c>
      <c r="M984" s="21"/>
      <c r="N984" s="23">
        <v>0</v>
      </c>
      <c r="O984" s="24"/>
      <c r="P984" s="19"/>
      <c r="Q984" s="25"/>
      <c r="R984" s="25"/>
      <c r="S984" s="19"/>
      <c r="T984" s="26"/>
      <c r="U984" s="27" t="s">
        <v>21</v>
      </c>
      <c r="V984" s="28" t="s">
        <v>3936</v>
      </c>
      <c r="W984" s="29" t="s">
        <v>26</v>
      </c>
    </row>
    <row r="985" spans="1:23" ht="30" customHeight="1">
      <c r="A985" s="19" t="s">
        <v>5595</v>
      </c>
      <c r="B985" s="19" t="s">
        <v>5569</v>
      </c>
      <c r="C985" s="19"/>
      <c r="D985" s="19" t="s">
        <v>3938</v>
      </c>
      <c r="E985" s="20" t="s">
        <v>3939</v>
      </c>
      <c r="F985" s="19"/>
      <c r="G985" s="21" t="s">
        <v>22</v>
      </c>
      <c r="H985" s="22" t="b">
        <v>0</v>
      </c>
      <c r="I985" s="22" t="b">
        <v>0</v>
      </c>
      <c r="J985" s="22" t="b">
        <v>0</v>
      </c>
      <c r="K985" s="22" t="b">
        <v>0</v>
      </c>
      <c r="L985" s="22" t="b">
        <v>0</v>
      </c>
      <c r="M985" s="21"/>
      <c r="N985" s="23">
        <v>0</v>
      </c>
      <c r="O985" s="24"/>
      <c r="P985" s="19"/>
      <c r="Q985" s="25"/>
      <c r="R985" s="25"/>
      <c r="S985" s="19"/>
      <c r="T985" s="26"/>
      <c r="U985" s="27" t="s">
        <v>21</v>
      </c>
      <c r="V985" s="28"/>
      <c r="W985" s="29" t="s">
        <v>26</v>
      </c>
    </row>
    <row r="986" spans="1:23" ht="30" customHeight="1">
      <c r="A986" s="19" t="s">
        <v>5595</v>
      </c>
      <c r="B986" s="19" t="s">
        <v>5569</v>
      </c>
      <c r="C986" s="19"/>
      <c r="D986" s="19" t="s">
        <v>3941</v>
      </c>
      <c r="E986" s="20" t="s">
        <v>3942</v>
      </c>
      <c r="F986" s="19"/>
      <c r="G986" s="21" t="s">
        <v>22</v>
      </c>
      <c r="H986" s="22" t="b">
        <v>0</v>
      </c>
      <c r="I986" s="22" t="b">
        <v>0</v>
      </c>
      <c r="J986" s="22" t="b">
        <v>0</v>
      </c>
      <c r="K986" s="22" t="b">
        <v>0</v>
      </c>
      <c r="L986" s="22" t="b">
        <v>0</v>
      </c>
      <c r="M986" s="21"/>
      <c r="N986" s="23">
        <v>0</v>
      </c>
      <c r="O986" s="24"/>
      <c r="P986" s="19"/>
      <c r="Q986" s="25"/>
      <c r="R986" s="25"/>
      <c r="S986" s="19"/>
      <c r="T986" s="26"/>
      <c r="U986" s="27" t="s">
        <v>21</v>
      </c>
      <c r="V986" s="28" t="s">
        <v>3943</v>
      </c>
      <c r="W986" s="29" t="s">
        <v>26</v>
      </c>
    </row>
    <row r="987" spans="1:23" ht="30" customHeight="1">
      <c r="A987" s="19" t="s">
        <v>5595</v>
      </c>
      <c r="B987" s="19" t="s">
        <v>5569</v>
      </c>
      <c r="C987" s="19"/>
      <c r="D987" s="19" t="s">
        <v>3945</v>
      </c>
      <c r="E987" s="20" t="s">
        <v>3946</v>
      </c>
      <c r="F987" s="19"/>
      <c r="G987" s="21" t="s">
        <v>22</v>
      </c>
      <c r="H987" s="22" t="b">
        <v>0</v>
      </c>
      <c r="I987" s="22" t="b">
        <v>0</v>
      </c>
      <c r="J987" s="22" t="b">
        <v>0</v>
      </c>
      <c r="K987" s="22" t="b">
        <v>0</v>
      </c>
      <c r="L987" s="22" t="b">
        <v>0</v>
      </c>
      <c r="M987" s="21"/>
      <c r="N987" s="23">
        <v>0</v>
      </c>
      <c r="O987" s="24"/>
      <c r="P987" s="19"/>
      <c r="Q987" s="25"/>
      <c r="R987" s="25"/>
      <c r="S987" s="19"/>
      <c r="T987" s="26"/>
      <c r="U987" s="27" t="s">
        <v>21</v>
      </c>
      <c r="V987" s="28" t="s">
        <v>3947</v>
      </c>
      <c r="W987" s="29" t="s">
        <v>26</v>
      </c>
    </row>
    <row r="988" spans="1:23" ht="30" customHeight="1">
      <c r="A988" s="19" t="s">
        <v>5595</v>
      </c>
      <c r="B988" s="19" t="s">
        <v>5569</v>
      </c>
      <c r="C988" s="19"/>
      <c r="D988" s="19" t="s">
        <v>3949</v>
      </c>
      <c r="E988" s="20" t="s">
        <v>3950</v>
      </c>
      <c r="F988" s="19"/>
      <c r="G988" s="21" t="s">
        <v>22</v>
      </c>
      <c r="H988" s="22" t="b">
        <v>0</v>
      </c>
      <c r="I988" s="22" t="b">
        <v>0</v>
      </c>
      <c r="J988" s="22" t="b">
        <v>0</v>
      </c>
      <c r="K988" s="22" t="b">
        <v>0</v>
      </c>
      <c r="L988" s="22" t="b">
        <v>0</v>
      </c>
      <c r="M988" s="21"/>
      <c r="N988" s="23">
        <v>0</v>
      </c>
      <c r="O988" s="24"/>
      <c r="P988" s="19"/>
      <c r="Q988" s="25"/>
      <c r="R988" s="25"/>
      <c r="S988" s="19"/>
      <c r="T988" s="26"/>
      <c r="U988" s="30" t="s">
        <v>34</v>
      </c>
      <c r="V988" s="28" t="s">
        <v>3951</v>
      </c>
      <c r="W988" s="29" t="s">
        <v>26</v>
      </c>
    </row>
    <row r="989" spans="1:23" ht="30" customHeight="1">
      <c r="A989" s="19" t="s">
        <v>5595</v>
      </c>
      <c r="B989" s="19" t="s">
        <v>5569</v>
      </c>
      <c r="C989" s="19"/>
      <c r="D989" s="19" t="s">
        <v>3953</v>
      </c>
      <c r="E989" s="20" t="s">
        <v>3954</v>
      </c>
      <c r="F989" s="19"/>
      <c r="G989" s="21" t="s">
        <v>22</v>
      </c>
      <c r="H989" s="22" t="b">
        <v>0</v>
      </c>
      <c r="I989" s="22" t="b">
        <v>0</v>
      </c>
      <c r="J989" s="22" t="b">
        <v>0</v>
      </c>
      <c r="K989" s="22" t="b">
        <v>0</v>
      </c>
      <c r="L989" s="22" t="b">
        <v>0</v>
      </c>
      <c r="M989" s="21"/>
      <c r="N989" s="23">
        <v>0</v>
      </c>
      <c r="O989" s="24"/>
      <c r="P989" s="19"/>
      <c r="Q989" s="25"/>
      <c r="R989" s="25"/>
      <c r="S989" s="19"/>
      <c r="T989" s="26"/>
      <c r="U989" s="27" t="s">
        <v>21</v>
      </c>
      <c r="V989" s="28"/>
      <c r="W989" s="29" t="s">
        <v>26</v>
      </c>
    </row>
    <row r="990" spans="1:23" ht="30" customHeight="1">
      <c r="A990" s="19" t="s">
        <v>5595</v>
      </c>
      <c r="B990" s="19" t="s">
        <v>5569</v>
      </c>
      <c r="C990" s="19"/>
      <c r="D990" s="19" t="s">
        <v>3956</v>
      </c>
      <c r="E990" s="20" t="s">
        <v>3957</v>
      </c>
      <c r="F990" s="19"/>
      <c r="G990" s="21" t="s">
        <v>22</v>
      </c>
      <c r="H990" s="22" t="b">
        <v>0</v>
      </c>
      <c r="I990" s="22" t="b">
        <v>0</v>
      </c>
      <c r="J990" s="22" t="b">
        <v>0</v>
      </c>
      <c r="K990" s="22" t="b">
        <v>0</v>
      </c>
      <c r="L990" s="22" t="b">
        <v>0</v>
      </c>
      <c r="M990" s="21"/>
      <c r="N990" s="23">
        <v>0</v>
      </c>
      <c r="O990" s="24"/>
      <c r="P990" s="19"/>
      <c r="Q990" s="25"/>
      <c r="R990" s="25"/>
      <c r="S990" s="19"/>
      <c r="T990" s="26"/>
      <c r="U990" s="27" t="s">
        <v>21</v>
      </c>
      <c r="V990" s="28" t="s">
        <v>3943</v>
      </c>
      <c r="W990" s="29" t="s">
        <v>26</v>
      </c>
    </row>
    <row r="991" spans="1:23" ht="30" customHeight="1">
      <c r="A991" s="19" t="s">
        <v>5595</v>
      </c>
      <c r="B991" s="19" t="s">
        <v>5569</v>
      </c>
      <c r="C991" s="19"/>
      <c r="D991" s="19" t="s">
        <v>3960</v>
      </c>
      <c r="E991" s="20" t="s">
        <v>3961</v>
      </c>
      <c r="F991" s="19"/>
      <c r="G991" s="21" t="s">
        <v>22</v>
      </c>
      <c r="H991" s="22" t="b">
        <v>0</v>
      </c>
      <c r="I991" s="22" t="b">
        <v>0</v>
      </c>
      <c r="J991" s="22" t="b">
        <v>0</v>
      </c>
      <c r="K991" s="22" t="b">
        <v>0</v>
      </c>
      <c r="L991" s="22" t="b">
        <v>0</v>
      </c>
      <c r="M991" s="21"/>
      <c r="N991" s="23">
        <v>0</v>
      </c>
      <c r="O991" s="24"/>
      <c r="P991" s="19"/>
      <c r="Q991" s="25"/>
      <c r="R991" s="25"/>
      <c r="S991" s="19"/>
      <c r="T991" s="26"/>
      <c r="U991" s="27" t="s">
        <v>21</v>
      </c>
      <c r="V991" s="28" t="s">
        <v>3962</v>
      </c>
      <c r="W991" s="29" t="s">
        <v>26</v>
      </c>
    </row>
    <row r="992" spans="1:23" ht="30" customHeight="1">
      <c r="A992" s="19" t="s">
        <v>5595</v>
      </c>
      <c r="B992" s="19" t="s">
        <v>5569</v>
      </c>
      <c r="C992" s="19"/>
      <c r="D992" s="19" t="s">
        <v>3965</v>
      </c>
      <c r="E992" s="20" t="s">
        <v>3966</v>
      </c>
      <c r="F992" s="19"/>
      <c r="G992" s="21" t="s">
        <v>29</v>
      </c>
      <c r="H992" s="22" t="b">
        <v>0</v>
      </c>
      <c r="I992" s="22" t="b">
        <v>0</v>
      </c>
      <c r="J992" s="22" t="b">
        <v>0</v>
      </c>
      <c r="K992" s="22" t="b">
        <v>0</v>
      </c>
      <c r="L992" s="22" t="b">
        <v>0</v>
      </c>
      <c r="M992" s="21"/>
      <c r="N992" s="23">
        <v>0</v>
      </c>
      <c r="O992" s="24"/>
      <c r="P992" s="19"/>
      <c r="Q992" s="25"/>
      <c r="R992" s="25"/>
      <c r="S992" s="19"/>
      <c r="T992" s="26"/>
      <c r="U992" s="27" t="s">
        <v>21</v>
      </c>
      <c r="V992" s="28" t="s">
        <v>3967</v>
      </c>
      <c r="W992" s="29" t="s">
        <v>26</v>
      </c>
    </row>
    <row r="993" spans="1:23" ht="30" customHeight="1">
      <c r="A993" s="19" t="s">
        <v>5595</v>
      </c>
      <c r="B993" s="19" t="s">
        <v>5569</v>
      </c>
      <c r="C993" s="19"/>
      <c r="D993" s="19" t="s">
        <v>3969</v>
      </c>
      <c r="E993" s="20" t="s">
        <v>3970</v>
      </c>
      <c r="F993" s="19"/>
      <c r="G993" s="21" t="s">
        <v>22</v>
      </c>
      <c r="H993" s="22" t="b">
        <v>0</v>
      </c>
      <c r="I993" s="22" t="b">
        <v>0</v>
      </c>
      <c r="J993" s="22" t="b">
        <v>0</v>
      </c>
      <c r="K993" s="22" t="b">
        <v>0</v>
      </c>
      <c r="L993" s="22" t="b">
        <v>0</v>
      </c>
      <c r="M993" s="21"/>
      <c r="N993" s="23">
        <v>0</v>
      </c>
      <c r="O993" s="24"/>
      <c r="P993" s="19"/>
      <c r="Q993" s="25"/>
      <c r="R993" s="25"/>
      <c r="S993" s="19"/>
      <c r="T993" s="26"/>
      <c r="U993" s="27" t="s">
        <v>21</v>
      </c>
      <c r="V993" s="28" t="s">
        <v>3943</v>
      </c>
      <c r="W993" s="29" t="s">
        <v>26</v>
      </c>
    </row>
    <row r="994" spans="1:23" ht="30" customHeight="1">
      <c r="A994" s="19" t="s">
        <v>5595</v>
      </c>
      <c r="B994" s="19" t="s">
        <v>5569</v>
      </c>
      <c r="C994" s="19"/>
      <c r="D994" s="19" t="s">
        <v>3972</v>
      </c>
      <c r="E994" s="20" t="s">
        <v>3973</v>
      </c>
      <c r="F994" s="19"/>
      <c r="G994" s="21" t="s">
        <v>39</v>
      </c>
      <c r="H994" s="22" t="b">
        <v>0</v>
      </c>
      <c r="I994" s="22" t="b">
        <v>0</v>
      </c>
      <c r="J994" s="22" t="b">
        <v>0</v>
      </c>
      <c r="K994" s="22" t="b">
        <v>0</v>
      </c>
      <c r="L994" s="22" t="b">
        <v>0</v>
      </c>
      <c r="M994" s="21"/>
      <c r="N994" s="23">
        <v>0</v>
      </c>
      <c r="O994" s="24"/>
      <c r="P994" s="19"/>
      <c r="Q994" s="25"/>
      <c r="R994" s="25"/>
      <c r="S994" s="19"/>
      <c r="T994" s="26"/>
      <c r="U994" s="27" t="s">
        <v>21</v>
      </c>
      <c r="V994" s="28" t="s">
        <v>3974</v>
      </c>
      <c r="W994" s="29" t="s">
        <v>26</v>
      </c>
    </row>
    <row r="995" spans="1:23" ht="30" customHeight="1">
      <c r="A995" s="19" t="s">
        <v>5595</v>
      </c>
      <c r="B995" s="19" t="s">
        <v>5569</v>
      </c>
      <c r="C995" s="19"/>
      <c r="D995" s="19" t="s">
        <v>3976</v>
      </c>
      <c r="E995" s="20" t="s">
        <v>3977</v>
      </c>
      <c r="F995" s="19"/>
      <c r="G995" s="21" t="s">
        <v>22</v>
      </c>
      <c r="H995" s="22" t="b">
        <v>0</v>
      </c>
      <c r="I995" s="22" t="b">
        <v>0</v>
      </c>
      <c r="J995" s="22" t="b">
        <v>0</v>
      </c>
      <c r="K995" s="22" t="b">
        <v>0</v>
      </c>
      <c r="L995" s="22" t="b">
        <v>0</v>
      </c>
      <c r="M995" s="21"/>
      <c r="N995" s="23">
        <v>0</v>
      </c>
      <c r="O995" s="24"/>
      <c r="P995" s="19"/>
      <c r="Q995" s="25"/>
      <c r="R995" s="25"/>
      <c r="S995" s="19"/>
      <c r="T995" s="26"/>
      <c r="U995" s="27" t="s">
        <v>21</v>
      </c>
      <c r="V995" s="28" t="s">
        <v>3978</v>
      </c>
      <c r="W995" s="29" t="s">
        <v>26</v>
      </c>
    </row>
    <row r="996" spans="1:23" ht="30" customHeight="1">
      <c r="A996" s="19" t="s">
        <v>5596</v>
      </c>
      <c r="B996" s="19" t="s">
        <v>5569</v>
      </c>
      <c r="C996" s="19"/>
      <c r="D996" s="19" t="s">
        <v>3982</v>
      </c>
      <c r="E996" s="20" t="s">
        <v>3983</v>
      </c>
      <c r="F996" s="19"/>
      <c r="G996" s="21" t="s">
        <v>22</v>
      </c>
      <c r="H996" s="22" t="b">
        <v>0</v>
      </c>
      <c r="I996" s="22" t="b">
        <v>0</v>
      </c>
      <c r="J996" s="22" t="b">
        <v>0</v>
      </c>
      <c r="K996" s="22" t="b">
        <v>0</v>
      </c>
      <c r="L996" s="22" t="b">
        <v>0</v>
      </c>
      <c r="M996" s="21"/>
      <c r="N996" s="23">
        <v>0</v>
      </c>
      <c r="O996" s="24"/>
      <c r="P996" s="19"/>
      <c r="Q996" s="25"/>
      <c r="R996" s="25"/>
      <c r="S996" s="19"/>
      <c r="T996" s="26"/>
      <c r="U996" s="30" t="s">
        <v>34</v>
      </c>
      <c r="V996" s="28" t="s">
        <v>3984</v>
      </c>
      <c r="W996" s="29" t="s">
        <v>26</v>
      </c>
    </row>
    <row r="997" spans="1:23" ht="30" customHeight="1">
      <c r="A997" s="19" t="s">
        <v>5596</v>
      </c>
      <c r="B997" s="19" t="s">
        <v>5569</v>
      </c>
      <c r="C997" s="19"/>
      <c r="D997" s="19" t="s">
        <v>3987</v>
      </c>
      <c r="E997" s="20" t="s">
        <v>3988</v>
      </c>
      <c r="F997" s="19"/>
      <c r="G997" s="21" t="s">
        <v>22</v>
      </c>
      <c r="H997" s="22" t="b">
        <v>0</v>
      </c>
      <c r="I997" s="22" t="b">
        <v>0</v>
      </c>
      <c r="J997" s="22" t="b">
        <v>0</v>
      </c>
      <c r="K997" s="22" t="b">
        <v>0</v>
      </c>
      <c r="L997" s="22" t="b">
        <v>0</v>
      </c>
      <c r="M997" s="21"/>
      <c r="N997" s="23">
        <v>0</v>
      </c>
      <c r="O997" s="24"/>
      <c r="P997" s="19"/>
      <c r="Q997" s="25"/>
      <c r="R997" s="25"/>
      <c r="S997" s="19"/>
      <c r="T997" s="26"/>
      <c r="U997" s="27" t="s">
        <v>21</v>
      </c>
      <c r="V997" s="28" t="s">
        <v>3611</v>
      </c>
      <c r="W997" s="29" t="s">
        <v>26</v>
      </c>
    </row>
    <row r="998" spans="1:23" ht="30" customHeight="1">
      <c r="A998" s="19" t="s">
        <v>5596</v>
      </c>
      <c r="B998" s="19" t="s">
        <v>5569</v>
      </c>
      <c r="C998" s="19"/>
      <c r="D998" s="19" t="s">
        <v>3991</v>
      </c>
      <c r="E998" s="20" t="s">
        <v>3992</v>
      </c>
      <c r="F998" s="19"/>
      <c r="G998" s="21" t="s">
        <v>29</v>
      </c>
      <c r="H998" s="22" t="b">
        <v>0</v>
      </c>
      <c r="I998" s="22" t="b">
        <v>0</v>
      </c>
      <c r="J998" s="22" t="b">
        <v>0</v>
      </c>
      <c r="K998" s="22" t="b">
        <v>0</v>
      </c>
      <c r="L998" s="22" t="b">
        <v>0</v>
      </c>
      <c r="M998" s="21"/>
      <c r="N998" s="23">
        <v>0</v>
      </c>
      <c r="O998" s="24"/>
      <c r="P998" s="19"/>
      <c r="Q998" s="25"/>
      <c r="R998" s="25"/>
      <c r="S998" s="19"/>
      <c r="T998" s="26"/>
      <c r="U998" s="27" t="s">
        <v>21</v>
      </c>
      <c r="V998" s="28" t="s">
        <v>3993</v>
      </c>
      <c r="W998" s="29" t="s">
        <v>26</v>
      </c>
    </row>
    <row r="999" spans="1:23" ht="30" customHeight="1">
      <c r="A999" s="19" t="s">
        <v>5596</v>
      </c>
      <c r="B999" s="19" t="s">
        <v>5569</v>
      </c>
      <c r="C999" s="19"/>
      <c r="D999" s="19" t="s">
        <v>3996</v>
      </c>
      <c r="E999" s="20" t="s">
        <v>3997</v>
      </c>
      <c r="F999" s="19"/>
      <c r="G999" s="21" t="s">
        <v>22</v>
      </c>
      <c r="H999" s="22" t="b">
        <v>0</v>
      </c>
      <c r="I999" s="22" t="b">
        <v>0</v>
      </c>
      <c r="J999" s="22" t="b">
        <v>0</v>
      </c>
      <c r="K999" s="22" t="b">
        <v>0</v>
      </c>
      <c r="L999" s="22" t="b">
        <v>0</v>
      </c>
      <c r="M999" s="21"/>
      <c r="N999" s="23">
        <v>0</v>
      </c>
      <c r="O999" s="24"/>
      <c r="P999" s="19"/>
      <c r="Q999" s="25"/>
      <c r="R999" s="25"/>
      <c r="S999" s="19"/>
      <c r="T999" s="26"/>
      <c r="U999" s="27" t="s">
        <v>21</v>
      </c>
      <c r="V999" s="28"/>
      <c r="W999" s="29" t="s">
        <v>26</v>
      </c>
    </row>
    <row r="1000" spans="1:23" ht="30" customHeight="1">
      <c r="A1000" s="19" t="s">
        <v>5596</v>
      </c>
      <c r="B1000" s="19" t="s">
        <v>5569</v>
      </c>
      <c r="C1000" s="19"/>
      <c r="D1000" s="19" t="s">
        <v>4000</v>
      </c>
      <c r="E1000" s="20" t="s">
        <v>4001</v>
      </c>
      <c r="F1000" s="19"/>
      <c r="G1000" s="21" t="s">
        <v>22</v>
      </c>
      <c r="H1000" s="22" t="b">
        <v>0</v>
      </c>
      <c r="I1000" s="22" t="b">
        <v>0</v>
      </c>
      <c r="J1000" s="22" t="b">
        <v>0</v>
      </c>
      <c r="K1000" s="22" t="b">
        <v>0</v>
      </c>
      <c r="L1000" s="22" t="b">
        <v>0</v>
      </c>
      <c r="M1000" s="21"/>
      <c r="N1000" s="23">
        <v>0</v>
      </c>
      <c r="O1000" s="24"/>
      <c r="P1000" s="19"/>
      <c r="Q1000" s="25"/>
      <c r="R1000" s="25"/>
      <c r="S1000" s="19"/>
      <c r="T1000" s="26"/>
      <c r="U1000" s="27" t="s">
        <v>21</v>
      </c>
      <c r="V1000" s="28"/>
      <c r="W1000" s="29" t="s">
        <v>26</v>
      </c>
    </row>
    <row r="1001" spans="1:23" ht="30" customHeight="1">
      <c r="A1001" s="19" t="s">
        <v>5596</v>
      </c>
      <c r="B1001" s="19" t="s">
        <v>5569</v>
      </c>
      <c r="C1001" s="19"/>
      <c r="D1001" s="19" t="s">
        <v>4004</v>
      </c>
      <c r="E1001" s="20" t="s">
        <v>4005</v>
      </c>
      <c r="F1001" s="19"/>
      <c r="G1001" s="21" t="s">
        <v>22</v>
      </c>
      <c r="H1001" s="22" t="b">
        <v>0</v>
      </c>
      <c r="I1001" s="22" t="b">
        <v>0</v>
      </c>
      <c r="J1001" s="22" t="b">
        <v>0</v>
      </c>
      <c r="K1001" s="22" t="b">
        <v>0</v>
      </c>
      <c r="L1001" s="22" t="b">
        <v>0</v>
      </c>
      <c r="M1001" s="21"/>
      <c r="N1001" s="23">
        <v>0</v>
      </c>
      <c r="O1001" s="24"/>
      <c r="P1001" s="19"/>
      <c r="Q1001" s="25"/>
      <c r="R1001" s="25"/>
      <c r="S1001" s="19"/>
      <c r="T1001" s="26"/>
      <c r="U1001" s="27" t="s">
        <v>21</v>
      </c>
      <c r="V1001" s="28" t="s">
        <v>3943</v>
      </c>
      <c r="W1001" s="29" t="s">
        <v>26</v>
      </c>
    </row>
    <row r="1002" spans="1:23" ht="30" customHeight="1">
      <c r="A1002" s="19" t="s">
        <v>5596</v>
      </c>
      <c r="B1002" s="19" t="s">
        <v>5569</v>
      </c>
      <c r="C1002" s="19"/>
      <c r="D1002" s="19" t="s">
        <v>4008</v>
      </c>
      <c r="E1002" s="20" t="s">
        <v>4009</v>
      </c>
      <c r="F1002" s="19"/>
      <c r="G1002" s="21" t="s">
        <v>22</v>
      </c>
      <c r="H1002" s="22" t="b">
        <v>0</v>
      </c>
      <c r="I1002" s="22" t="b">
        <v>0</v>
      </c>
      <c r="J1002" s="22" t="b">
        <v>0</v>
      </c>
      <c r="K1002" s="22" t="b">
        <v>0</v>
      </c>
      <c r="L1002" s="22" t="b">
        <v>0</v>
      </c>
      <c r="M1002" s="21"/>
      <c r="N1002" s="23">
        <v>0</v>
      </c>
      <c r="O1002" s="24"/>
      <c r="P1002" s="19"/>
      <c r="Q1002" s="25"/>
      <c r="R1002" s="25"/>
      <c r="S1002" s="19"/>
      <c r="T1002" s="26"/>
      <c r="U1002" s="27" t="s">
        <v>21</v>
      </c>
      <c r="V1002" s="28" t="s">
        <v>4010</v>
      </c>
      <c r="W1002" s="29" t="s">
        <v>26</v>
      </c>
    </row>
    <row r="1003" spans="1:23" ht="30" customHeight="1">
      <c r="A1003" s="19" t="s">
        <v>5596</v>
      </c>
      <c r="B1003" s="19" t="s">
        <v>5569</v>
      </c>
      <c r="C1003" s="19"/>
      <c r="D1003" s="19" t="s">
        <v>4013</v>
      </c>
      <c r="E1003" s="20" t="s">
        <v>4014</v>
      </c>
      <c r="F1003" s="19"/>
      <c r="G1003" s="21" t="s">
        <v>22</v>
      </c>
      <c r="H1003" s="22" t="b">
        <v>0</v>
      </c>
      <c r="I1003" s="22" t="b">
        <v>0</v>
      </c>
      <c r="J1003" s="22" t="b">
        <v>0</v>
      </c>
      <c r="K1003" s="22" t="b">
        <v>0</v>
      </c>
      <c r="L1003" s="22" t="b">
        <v>0</v>
      </c>
      <c r="M1003" s="21"/>
      <c r="N1003" s="23">
        <v>0</v>
      </c>
      <c r="O1003" s="24"/>
      <c r="P1003" s="19"/>
      <c r="Q1003" s="25"/>
      <c r="R1003" s="25"/>
      <c r="S1003" s="19"/>
      <c r="T1003" s="26"/>
      <c r="U1003" s="27" t="s">
        <v>21</v>
      </c>
      <c r="V1003" s="28" t="s">
        <v>3611</v>
      </c>
      <c r="W1003" s="29" t="s">
        <v>26</v>
      </c>
    </row>
    <row r="1004" spans="1:23" ht="30" customHeight="1">
      <c r="A1004" s="19" t="s">
        <v>5596</v>
      </c>
      <c r="B1004" s="19" t="s">
        <v>5569</v>
      </c>
      <c r="C1004" s="19"/>
      <c r="D1004" s="19" t="s">
        <v>4017</v>
      </c>
      <c r="E1004" s="20" t="s">
        <v>4018</v>
      </c>
      <c r="F1004" s="19"/>
      <c r="G1004" s="21" t="s">
        <v>22</v>
      </c>
      <c r="H1004" s="22" t="b">
        <v>0</v>
      </c>
      <c r="I1004" s="22" t="b">
        <v>0</v>
      </c>
      <c r="J1004" s="22" t="b">
        <v>0</v>
      </c>
      <c r="K1004" s="22" t="b">
        <v>0</v>
      </c>
      <c r="L1004" s="22" t="b">
        <v>0</v>
      </c>
      <c r="M1004" s="21"/>
      <c r="N1004" s="23">
        <v>0</v>
      </c>
      <c r="O1004" s="24"/>
      <c r="P1004" s="19"/>
      <c r="Q1004" s="25"/>
      <c r="R1004" s="25"/>
      <c r="S1004" s="19"/>
      <c r="T1004" s="26"/>
      <c r="U1004" s="27" t="s">
        <v>21</v>
      </c>
      <c r="V1004" s="28" t="s">
        <v>4019</v>
      </c>
      <c r="W1004" s="29" t="s">
        <v>26</v>
      </c>
    </row>
    <row r="1005" spans="1:23" ht="30" customHeight="1">
      <c r="A1005" s="19" t="s">
        <v>5596</v>
      </c>
      <c r="B1005" s="19" t="s">
        <v>5569</v>
      </c>
      <c r="C1005" s="19"/>
      <c r="D1005" s="19" t="s">
        <v>4022</v>
      </c>
      <c r="E1005" s="20" t="s">
        <v>4023</v>
      </c>
      <c r="F1005" s="19"/>
      <c r="G1005" s="21" t="s">
        <v>22</v>
      </c>
      <c r="H1005" s="22" t="b">
        <v>0</v>
      </c>
      <c r="I1005" s="22" t="b">
        <v>0</v>
      </c>
      <c r="J1005" s="22" t="b">
        <v>0</v>
      </c>
      <c r="K1005" s="22" t="b">
        <v>0</v>
      </c>
      <c r="L1005" s="22" t="b">
        <v>0</v>
      </c>
      <c r="M1005" s="21"/>
      <c r="N1005" s="23">
        <v>0</v>
      </c>
      <c r="O1005" s="24"/>
      <c r="P1005" s="19"/>
      <c r="Q1005" s="25"/>
      <c r="R1005" s="25"/>
      <c r="S1005" s="19"/>
      <c r="T1005" s="26"/>
      <c r="U1005" s="27" t="s">
        <v>21</v>
      </c>
      <c r="V1005" s="28" t="s">
        <v>4024</v>
      </c>
      <c r="W1005" s="29" t="s">
        <v>26</v>
      </c>
    </row>
    <row r="1006" spans="1:23" ht="30" customHeight="1">
      <c r="A1006" s="19" t="s">
        <v>5596</v>
      </c>
      <c r="B1006" s="19" t="s">
        <v>5569</v>
      </c>
      <c r="C1006" s="19"/>
      <c r="D1006" s="19" t="s">
        <v>4026</v>
      </c>
      <c r="E1006" s="20" t="s">
        <v>4027</v>
      </c>
      <c r="F1006" s="19"/>
      <c r="G1006" s="21" t="s">
        <v>22</v>
      </c>
      <c r="H1006" s="22" t="b">
        <v>0</v>
      </c>
      <c r="I1006" s="22" t="b">
        <v>0</v>
      </c>
      <c r="J1006" s="22" t="b">
        <v>0</v>
      </c>
      <c r="K1006" s="22" t="b">
        <v>0</v>
      </c>
      <c r="L1006" s="22" t="b">
        <v>0</v>
      </c>
      <c r="M1006" s="21"/>
      <c r="N1006" s="23">
        <v>0</v>
      </c>
      <c r="O1006" s="24"/>
      <c r="P1006" s="19"/>
      <c r="Q1006" s="25"/>
      <c r="R1006" s="25"/>
      <c r="S1006" s="19"/>
      <c r="T1006" s="26"/>
      <c r="U1006" s="27" t="s">
        <v>21</v>
      </c>
      <c r="V1006" s="28" t="s">
        <v>4028</v>
      </c>
      <c r="W1006" s="29" t="s">
        <v>26</v>
      </c>
    </row>
    <row r="1007" spans="1:23" ht="30" customHeight="1">
      <c r="A1007" s="19" t="s">
        <v>5596</v>
      </c>
      <c r="B1007" s="19" t="s">
        <v>5569</v>
      </c>
      <c r="C1007" s="19"/>
      <c r="D1007" s="19" t="s">
        <v>4030</v>
      </c>
      <c r="E1007" s="20" t="s">
        <v>4031</v>
      </c>
      <c r="F1007" s="19"/>
      <c r="G1007" s="21" t="s">
        <v>22</v>
      </c>
      <c r="H1007" s="22" t="b">
        <v>0</v>
      </c>
      <c r="I1007" s="22" t="b">
        <v>0</v>
      </c>
      <c r="J1007" s="22" t="b">
        <v>0</v>
      </c>
      <c r="K1007" s="22" t="b">
        <v>0</v>
      </c>
      <c r="L1007" s="22" t="b">
        <v>0</v>
      </c>
      <c r="M1007" s="21"/>
      <c r="N1007" s="23">
        <v>0</v>
      </c>
      <c r="O1007" s="24"/>
      <c r="P1007" s="19"/>
      <c r="Q1007" s="25"/>
      <c r="R1007" s="25"/>
      <c r="S1007" s="19"/>
      <c r="T1007" s="26"/>
      <c r="U1007" s="27" t="s">
        <v>21</v>
      </c>
      <c r="V1007" s="28" t="s">
        <v>3611</v>
      </c>
      <c r="W1007" s="29" t="s">
        <v>26</v>
      </c>
    </row>
    <row r="1008" spans="1:23" ht="30" customHeight="1">
      <c r="A1008" s="19" t="s">
        <v>5596</v>
      </c>
      <c r="B1008" s="19" t="s">
        <v>5569</v>
      </c>
      <c r="C1008" s="19"/>
      <c r="D1008" s="19" t="s">
        <v>4034</v>
      </c>
      <c r="E1008" s="20" t="s">
        <v>4035</v>
      </c>
      <c r="F1008" s="19"/>
      <c r="G1008" s="21" t="s">
        <v>22</v>
      </c>
      <c r="H1008" s="22" t="b">
        <v>0</v>
      </c>
      <c r="I1008" s="22" t="b">
        <v>0</v>
      </c>
      <c r="J1008" s="22" t="b">
        <v>0</v>
      </c>
      <c r="K1008" s="22" t="b">
        <v>0</v>
      </c>
      <c r="L1008" s="22" t="b">
        <v>0</v>
      </c>
      <c r="M1008" s="21"/>
      <c r="N1008" s="23">
        <v>0</v>
      </c>
      <c r="O1008" s="24"/>
      <c r="P1008" s="19"/>
      <c r="Q1008" s="25"/>
      <c r="R1008" s="25"/>
      <c r="S1008" s="19"/>
      <c r="T1008" s="26"/>
      <c r="U1008" s="27" t="s">
        <v>21</v>
      </c>
      <c r="V1008" s="28" t="s">
        <v>3611</v>
      </c>
      <c r="W1008" s="29" t="s">
        <v>26</v>
      </c>
    </row>
    <row r="1009" spans="1:23" ht="30" customHeight="1">
      <c r="A1009" s="19" t="s">
        <v>5596</v>
      </c>
      <c r="B1009" s="19" t="s">
        <v>5569</v>
      </c>
      <c r="C1009" s="19"/>
      <c r="D1009" s="19" t="s">
        <v>4038</v>
      </c>
      <c r="E1009" s="20" t="s">
        <v>4039</v>
      </c>
      <c r="F1009" s="19"/>
      <c r="G1009" s="21" t="s">
        <v>22</v>
      </c>
      <c r="H1009" s="22" t="b">
        <v>0</v>
      </c>
      <c r="I1009" s="22" t="b">
        <v>0</v>
      </c>
      <c r="J1009" s="22" t="b">
        <v>0</v>
      </c>
      <c r="K1009" s="22" t="b">
        <v>0</v>
      </c>
      <c r="L1009" s="22" t="b">
        <v>0</v>
      </c>
      <c r="M1009" s="21"/>
      <c r="N1009" s="23">
        <v>0</v>
      </c>
      <c r="O1009" s="24"/>
      <c r="P1009" s="19"/>
      <c r="Q1009" s="25"/>
      <c r="R1009" s="25"/>
      <c r="S1009" s="19"/>
      <c r="T1009" s="26"/>
      <c r="U1009" s="27" t="s">
        <v>21</v>
      </c>
      <c r="V1009" s="28" t="s">
        <v>3943</v>
      </c>
      <c r="W1009" s="29" t="s">
        <v>26</v>
      </c>
    </row>
    <row r="1010" spans="1:23" ht="30" customHeight="1">
      <c r="A1010" s="19" t="s">
        <v>5596</v>
      </c>
      <c r="B1010" s="19" t="s">
        <v>5569</v>
      </c>
      <c r="C1010" s="19"/>
      <c r="D1010" s="19" t="s">
        <v>4042</v>
      </c>
      <c r="E1010" s="20" t="s">
        <v>4043</v>
      </c>
      <c r="F1010" s="19"/>
      <c r="G1010" s="21" t="s">
        <v>22</v>
      </c>
      <c r="H1010" s="22" t="b">
        <v>0</v>
      </c>
      <c r="I1010" s="22" t="b">
        <v>0</v>
      </c>
      <c r="J1010" s="22" t="b">
        <v>0</v>
      </c>
      <c r="K1010" s="22" t="b">
        <v>0</v>
      </c>
      <c r="L1010" s="22" t="b">
        <v>0</v>
      </c>
      <c r="M1010" s="21"/>
      <c r="N1010" s="23">
        <v>0</v>
      </c>
      <c r="O1010" s="24"/>
      <c r="P1010" s="19"/>
      <c r="Q1010" s="25"/>
      <c r="R1010" s="25"/>
      <c r="S1010" s="19"/>
      <c r="T1010" s="26"/>
      <c r="U1010" s="27" t="s">
        <v>21</v>
      </c>
      <c r="V1010" s="28" t="s">
        <v>4044</v>
      </c>
      <c r="W1010" s="29" t="s">
        <v>26</v>
      </c>
    </row>
    <row r="1011" spans="1:23" ht="30" customHeight="1">
      <c r="A1011" s="19" t="s">
        <v>5596</v>
      </c>
      <c r="B1011" s="19" t="s">
        <v>5569</v>
      </c>
      <c r="C1011" s="19"/>
      <c r="D1011" s="19" t="s">
        <v>4047</v>
      </c>
      <c r="E1011" s="20" t="s">
        <v>4048</v>
      </c>
      <c r="F1011" s="19"/>
      <c r="G1011" s="21" t="s">
        <v>22</v>
      </c>
      <c r="H1011" s="22" t="b">
        <v>0</v>
      </c>
      <c r="I1011" s="22" t="b">
        <v>0</v>
      </c>
      <c r="J1011" s="22" t="b">
        <v>0</v>
      </c>
      <c r="K1011" s="22" t="b">
        <v>0</v>
      </c>
      <c r="L1011" s="22" t="b">
        <v>0</v>
      </c>
      <c r="M1011" s="21"/>
      <c r="N1011" s="23">
        <v>0</v>
      </c>
      <c r="O1011" s="24"/>
      <c r="P1011" s="19"/>
      <c r="Q1011" s="25"/>
      <c r="R1011" s="25"/>
      <c r="S1011" s="19"/>
      <c r="T1011" s="26"/>
      <c r="U1011" s="27" t="s">
        <v>21</v>
      </c>
      <c r="V1011" s="28"/>
      <c r="W1011" s="29" t="s">
        <v>26</v>
      </c>
    </row>
    <row r="1012" spans="1:23" ht="30" customHeight="1">
      <c r="A1012" s="19" t="s">
        <v>5596</v>
      </c>
      <c r="B1012" s="19" t="s">
        <v>5569</v>
      </c>
      <c r="C1012" s="19"/>
      <c r="D1012" s="19" t="s">
        <v>4050</v>
      </c>
      <c r="E1012" s="20" t="s">
        <v>4051</v>
      </c>
      <c r="F1012" s="19"/>
      <c r="G1012" s="21" t="s">
        <v>156</v>
      </c>
      <c r="H1012" s="22" t="b">
        <v>0</v>
      </c>
      <c r="I1012" s="22" t="b">
        <v>0</v>
      </c>
      <c r="J1012" s="22" t="b">
        <v>0</v>
      </c>
      <c r="K1012" s="22" t="b">
        <v>0</v>
      </c>
      <c r="L1012" s="22" t="b">
        <v>0</v>
      </c>
      <c r="M1012" s="21"/>
      <c r="N1012" s="23">
        <v>0</v>
      </c>
      <c r="O1012" s="24"/>
      <c r="P1012" s="19"/>
      <c r="Q1012" s="25"/>
      <c r="R1012" s="25"/>
      <c r="S1012" s="19"/>
      <c r="T1012" s="26"/>
      <c r="U1012" s="27" t="s">
        <v>21</v>
      </c>
      <c r="V1012" s="28"/>
      <c r="W1012" s="29" t="s">
        <v>26</v>
      </c>
    </row>
    <row r="1013" spans="1:23" ht="30" customHeight="1">
      <c r="A1013" s="19" t="s">
        <v>5596</v>
      </c>
      <c r="B1013" s="19" t="s">
        <v>5569</v>
      </c>
      <c r="C1013" s="19"/>
      <c r="D1013" s="19" t="s">
        <v>4053</v>
      </c>
      <c r="E1013" s="20" t="s">
        <v>4054</v>
      </c>
      <c r="F1013" s="19"/>
      <c r="G1013" s="21" t="s">
        <v>29</v>
      </c>
      <c r="H1013" s="22" t="b">
        <v>0</v>
      </c>
      <c r="I1013" s="22" t="b">
        <v>0</v>
      </c>
      <c r="J1013" s="22" t="b">
        <v>0</v>
      </c>
      <c r="K1013" s="22" t="b">
        <v>0</v>
      </c>
      <c r="L1013" s="22" t="b">
        <v>0</v>
      </c>
      <c r="M1013" s="21"/>
      <c r="N1013" s="23">
        <v>0</v>
      </c>
      <c r="O1013" s="24"/>
      <c r="P1013" s="19"/>
      <c r="Q1013" s="25"/>
      <c r="R1013" s="25"/>
      <c r="S1013" s="19"/>
      <c r="T1013" s="26"/>
      <c r="U1013" s="27" t="s">
        <v>21</v>
      </c>
      <c r="V1013" s="28" t="s">
        <v>3943</v>
      </c>
      <c r="W1013" s="29" t="s">
        <v>26</v>
      </c>
    </row>
    <row r="1014" spans="1:23" ht="30" customHeight="1">
      <c r="A1014" s="19" t="s">
        <v>5596</v>
      </c>
      <c r="B1014" s="19" t="s">
        <v>5569</v>
      </c>
      <c r="C1014" s="19"/>
      <c r="D1014" s="19" t="s">
        <v>4056</v>
      </c>
      <c r="E1014" s="20" t="s">
        <v>4057</v>
      </c>
      <c r="F1014" s="19"/>
      <c r="G1014" s="21" t="s">
        <v>22</v>
      </c>
      <c r="H1014" s="22" t="b">
        <v>0</v>
      </c>
      <c r="I1014" s="22" t="b">
        <v>0</v>
      </c>
      <c r="J1014" s="22" t="b">
        <v>0</v>
      </c>
      <c r="K1014" s="22" t="b">
        <v>0</v>
      </c>
      <c r="L1014" s="22" t="b">
        <v>0</v>
      </c>
      <c r="M1014" s="21"/>
      <c r="N1014" s="23">
        <v>0</v>
      </c>
      <c r="O1014" s="24"/>
      <c r="P1014" s="19"/>
      <c r="Q1014" s="25"/>
      <c r="R1014" s="25"/>
      <c r="S1014" s="19"/>
      <c r="T1014" s="26"/>
      <c r="U1014" s="27" t="s">
        <v>21</v>
      </c>
      <c r="V1014" s="28" t="s">
        <v>4058</v>
      </c>
      <c r="W1014" s="29" t="s">
        <v>26</v>
      </c>
    </row>
    <row r="1015" spans="1:23" ht="30" customHeight="1">
      <c r="A1015" s="19" t="s">
        <v>5596</v>
      </c>
      <c r="B1015" s="19" t="s">
        <v>5569</v>
      </c>
      <c r="C1015" s="19"/>
      <c r="D1015" s="19" t="s">
        <v>4060</v>
      </c>
      <c r="E1015" s="20" t="s">
        <v>4061</v>
      </c>
      <c r="F1015" s="19"/>
      <c r="G1015" s="21" t="s">
        <v>156</v>
      </c>
      <c r="H1015" s="22" t="b">
        <v>0</v>
      </c>
      <c r="I1015" s="22" t="b">
        <v>0</v>
      </c>
      <c r="J1015" s="22" t="b">
        <v>0</v>
      </c>
      <c r="K1015" s="22" t="b">
        <v>0</v>
      </c>
      <c r="L1015" s="22" t="b">
        <v>0</v>
      </c>
      <c r="M1015" s="21"/>
      <c r="N1015" s="23">
        <v>0</v>
      </c>
      <c r="O1015" s="24"/>
      <c r="P1015" s="19"/>
      <c r="Q1015" s="25"/>
      <c r="R1015" s="25"/>
      <c r="S1015" s="19"/>
      <c r="T1015" s="26"/>
      <c r="U1015" s="27" t="s">
        <v>21</v>
      </c>
      <c r="V1015" s="28"/>
      <c r="W1015" s="29" t="s">
        <v>26</v>
      </c>
    </row>
    <row r="1016" spans="1:23" ht="30" customHeight="1">
      <c r="A1016" s="19" t="s">
        <v>5596</v>
      </c>
      <c r="B1016" s="19" t="s">
        <v>5569</v>
      </c>
      <c r="C1016" s="19"/>
      <c r="D1016" s="19" t="s">
        <v>4063</v>
      </c>
      <c r="E1016" s="20" t="s">
        <v>4064</v>
      </c>
      <c r="F1016" s="19"/>
      <c r="G1016" s="21" t="s">
        <v>29</v>
      </c>
      <c r="H1016" s="22" t="b">
        <v>0</v>
      </c>
      <c r="I1016" s="22" t="b">
        <v>0</v>
      </c>
      <c r="J1016" s="22" t="b">
        <v>0</v>
      </c>
      <c r="K1016" s="22" t="b">
        <v>0</v>
      </c>
      <c r="L1016" s="22" t="b">
        <v>0</v>
      </c>
      <c r="M1016" s="21"/>
      <c r="N1016" s="23">
        <v>0</v>
      </c>
      <c r="O1016" s="24"/>
      <c r="P1016" s="19"/>
      <c r="Q1016" s="25"/>
      <c r="R1016" s="25"/>
      <c r="S1016" s="19"/>
      <c r="T1016" s="26"/>
      <c r="U1016" s="27" t="s">
        <v>21</v>
      </c>
      <c r="V1016" s="28"/>
      <c r="W1016" s="29" t="s">
        <v>26</v>
      </c>
    </row>
    <row r="1017" spans="1:23" ht="30" customHeight="1">
      <c r="A1017" s="19" t="s">
        <v>5596</v>
      </c>
      <c r="B1017" s="19" t="s">
        <v>5569</v>
      </c>
      <c r="C1017" s="19"/>
      <c r="D1017" s="19" t="s">
        <v>4066</v>
      </c>
      <c r="E1017" s="20" t="s">
        <v>4067</v>
      </c>
      <c r="F1017" s="19"/>
      <c r="G1017" s="21" t="s">
        <v>29</v>
      </c>
      <c r="H1017" s="22" t="b">
        <v>0</v>
      </c>
      <c r="I1017" s="22" t="b">
        <v>0</v>
      </c>
      <c r="J1017" s="22" t="b">
        <v>0</v>
      </c>
      <c r="K1017" s="22" t="b">
        <v>0</v>
      </c>
      <c r="L1017" s="22" t="b">
        <v>0</v>
      </c>
      <c r="M1017" s="21"/>
      <c r="N1017" s="23">
        <v>0</v>
      </c>
      <c r="O1017" s="24"/>
      <c r="P1017" s="19"/>
      <c r="Q1017" s="25"/>
      <c r="R1017" s="25"/>
      <c r="S1017" s="19"/>
      <c r="T1017" s="26"/>
      <c r="U1017" s="27" t="s">
        <v>21</v>
      </c>
      <c r="V1017" s="28"/>
      <c r="W1017" s="29" t="s">
        <v>26</v>
      </c>
    </row>
    <row r="1018" spans="1:23" ht="30" customHeight="1">
      <c r="A1018" s="19" t="s">
        <v>5596</v>
      </c>
      <c r="B1018" s="19" t="s">
        <v>5569</v>
      </c>
      <c r="C1018" s="19"/>
      <c r="D1018" s="19" t="s">
        <v>4069</v>
      </c>
      <c r="E1018" s="20" t="s">
        <v>4070</v>
      </c>
      <c r="F1018" s="19"/>
      <c r="G1018" s="21" t="s">
        <v>22</v>
      </c>
      <c r="H1018" s="22" t="b">
        <v>0</v>
      </c>
      <c r="I1018" s="22" t="b">
        <v>0</v>
      </c>
      <c r="J1018" s="22" t="b">
        <v>0</v>
      </c>
      <c r="K1018" s="22" t="b">
        <v>0</v>
      </c>
      <c r="L1018" s="22" t="b">
        <v>0</v>
      </c>
      <c r="M1018" s="21"/>
      <c r="N1018" s="23">
        <v>0</v>
      </c>
      <c r="O1018" s="24"/>
      <c r="P1018" s="19"/>
      <c r="Q1018" s="25"/>
      <c r="R1018" s="25"/>
      <c r="S1018" s="19"/>
      <c r="T1018" s="26"/>
      <c r="U1018" s="27" t="s">
        <v>21</v>
      </c>
      <c r="V1018" s="28"/>
      <c r="W1018" s="29" t="s">
        <v>26</v>
      </c>
    </row>
    <row r="1019" spans="1:23" ht="30" customHeight="1">
      <c r="A1019" s="19" t="s">
        <v>5596</v>
      </c>
      <c r="B1019" s="19" t="s">
        <v>5569</v>
      </c>
      <c r="C1019" s="19"/>
      <c r="D1019" s="19" t="s">
        <v>4072</v>
      </c>
      <c r="E1019" s="20" t="s">
        <v>4073</v>
      </c>
      <c r="F1019" s="19"/>
      <c r="G1019" s="21" t="s">
        <v>29</v>
      </c>
      <c r="H1019" s="22" t="b">
        <v>0</v>
      </c>
      <c r="I1019" s="22" t="b">
        <v>0</v>
      </c>
      <c r="J1019" s="22" t="b">
        <v>0</v>
      </c>
      <c r="K1019" s="22" t="b">
        <v>0</v>
      </c>
      <c r="L1019" s="22" t="b">
        <v>0</v>
      </c>
      <c r="M1019" s="21"/>
      <c r="N1019" s="23">
        <v>0</v>
      </c>
      <c r="O1019" s="24"/>
      <c r="P1019" s="19"/>
      <c r="Q1019" s="25"/>
      <c r="R1019" s="25"/>
      <c r="S1019" s="19"/>
      <c r="T1019" s="26"/>
      <c r="U1019" s="27" t="s">
        <v>21</v>
      </c>
      <c r="V1019" s="28" t="s">
        <v>4074</v>
      </c>
      <c r="W1019" s="29" t="s">
        <v>26</v>
      </c>
    </row>
    <row r="1020" spans="1:23" ht="30" customHeight="1">
      <c r="A1020" s="19" t="s">
        <v>5596</v>
      </c>
      <c r="B1020" s="19" t="s">
        <v>5569</v>
      </c>
      <c r="C1020" s="19"/>
      <c r="D1020" s="19" t="s">
        <v>4076</v>
      </c>
      <c r="E1020" s="20" t="s">
        <v>4077</v>
      </c>
      <c r="F1020" s="19"/>
      <c r="G1020" s="21" t="s">
        <v>22</v>
      </c>
      <c r="H1020" s="22" t="b">
        <v>0</v>
      </c>
      <c r="I1020" s="22" t="b">
        <v>0</v>
      </c>
      <c r="J1020" s="22" t="b">
        <v>0</v>
      </c>
      <c r="K1020" s="22" t="b">
        <v>0</v>
      </c>
      <c r="L1020" s="22" t="b">
        <v>0</v>
      </c>
      <c r="M1020" s="21"/>
      <c r="N1020" s="23">
        <v>0</v>
      </c>
      <c r="O1020" s="24"/>
      <c r="P1020" s="19"/>
      <c r="Q1020" s="25"/>
      <c r="R1020" s="25"/>
      <c r="S1020" s="19"/>
      <c r="T1020" s="26"/>
      <c r="U1020" s="27" t="s">
        <v>21</v>
      </c>
      <c r="V1020" s="28" t="s">
        <v>4078</v>
      </c>
      <c r="W1020" s="29" t="s">
        <v>26</v>
      </c>
    </row>
    <row r="1021" spans="1:23" ht="30" customHeight="1">
      <c r="A1021" s="19" t="s">
        <v>5596</v>
      </c>
      <c r="B1021" s="19" t="s">
        <v>5569</v>
      </c>
      <c r="C1021" s="19"/>
      <c r="D1021" s="19" t="s">
        <v>4080</v>
      </c>
      <c r="E1021" s="20" t="s">
        <v>4081</v>
      </c>
      <c r="F1021" s="19"/>
      <c r="G1021" s="21" t="s">
        <v>22</v>
      </c>
      <c r="H1021" s="22" t="b">
        <v>0</v>
      </c>
      <c r="I1021" s="22" t="b">
        <v>0</v>
      </c>
      <c r="J1021" s="22" t="b">
        <v>0</v>
      </c>
      <c r="K1021" s="22" t="b">
        <v>0</v>
      </c>
      <c r="L1021" s="22" t="b">
        <v>0</v>
      </c>
      <c r="M1021" s="21"/>
      <c r="N1021" s="23">
        <v>0</v>
      </c>
      <c r="O1021" s="24"/>
      <c r="P1021" s="19"/>
      <c r="Q1021" s="25"/>
      <c r="R1021" s="25"/>
      <c r="S1021" s="19"/>
      <c r="T1021" s="26"/>
      <c r="U1021" s="27" t="s">
        <v>21</v>
      </c>
      <c r="V1021" s="28" t="s">
        <v>4082</v>
      </c>
      <c r="W1021" s="29" t="s">
        <v>26</v>
      </c>
    </row>
    <row r="1022" spans="1:23" ht="30" customHeight="1">
      <c r="A1022" s="19" t="s">
        <v>5596</v>
      </c>
      <c r="B1022" s="19" t="s">
        <v>5569</v>
      </c>
      <c r="C1022" s="19"/>
      <c r="D1022" s="19" t="s">
        <v>4085</v>
      </c>
      <c r="E1022" s="20" t="s">
        <v>4086</v>
      </c>
      <c r="F1022" s="19"/>
      <c r="G1022" s="21" t="s">
        <v>22</v>
      </c>
      <c r="H1022" s="22" t="b">
        <v>0</v>
      </c>
      <c r="I1022" s="22" t="b">
        <v>0</v>
      </c>
      <c r="J1022" s="22" t="b">
        <v>0</v>
      </c>
      <c r="K1022" s="22" t="b">
        <v>0</v>
      </c>
      <c r="L1022" s="22" t="b">
        <v>0</v>
      </c>
      <c r="M1022" s="21"/>
      <c r="N1022" s="23">
        <v>0</v>
      </c>
      <c r="O1022" s="24"/>
      <c r="P1022" s="19"/>
      <c r="Q1022" s="25"/>
      <c r="R1022" s="25"/>
      <c r="S1022" s="19"/>
      <c r="T1022" s="26"/>
      <c r="U1022" s="27" t="s">
        <v>21</v>
      </c>
      <c r="V1022" s="28" t="s">
        <v>4087</v>
      </c>
      <c r="W1022" s="29" t="s">
        <v>26</v>
      </c>
    </row>
    <row r="1023" spans="1:23" ht="30" customHeight="1">
      <c r="A1023" s="19" t="s">
        <v>5596</v>
      </c>
      <c r="B1023" s="19" t="s">
        <v>5569</v>
      </c>
      <c r="C1023" s="19"/>
      <c r="D1023" s="19" t="s">
        <v>4089</v>
      </c>
      <c r="E1023" s="20" t="s">
        <v>4090</v>
      </c>
      <c r="F1023" s="19"/>
      <c r="G1023" s="21" t="s">
        <v>29</v>
      </c>
      <c r="H1023" s="22" t="b">
        <v>0</v>
      </c>
      <c r="I1023" s="22" t="b">
        <v>0</v>
      </c>
      <c r="J1023" s="22" t="b">
        <v>0</v>
      </c>
      <c r="K1023" s="22" t="b">
        <v>0</v>
      </c>
      <c r="L1023" s="22" t="b">
        <v>0</v>
      </c>
      <c r="M1023" s="21"/>
      <c r="N1023" s="23">
        <v>0</v>
      </c>
      <c r="O1023" s="24"/>
      <c r="P1023" s="19"/>
      <c r="Q1023" s="25"/>
      <c r="R1023" s="25"/>
      <c r="S1023" s="19"/>
      <c r="T1023" s="26"/>
      <c r="U1023" s="27" t="s">
        <v>21</v>
      </c>
      <c r="V1023" s="28"/>
      <c r="W1023" s="29" t="s">
        <v>26</v>
      </c>
    </row>
    <row r="1024" spans="1:23" ht="30" customHeight="1">
      <c r="A1024" s="19" t="s">
        <v>5596</v>
      </c>
      <c r="B1024" s="19" t="s">
        <v>5569</v>
      </c>
      <c r="C1024" s="19"/>
      <c r="D1024" s="19" t="s">
        <v>4093</v>
      </c>
      <c r="E1024" s="20" t="s">
        <v>4094</v>
      </c>
      <c r="F1024" s="19"/>
      <c r="G1024" s="21" t="s">
        <v>22</v>
      </c>
      <c r="H1024" s="22" t="b">
        <v>0</v>
      </c>
      <c r="I1024" s="22" t="b">
        <v>0</v>
      </c>
      <c r="J1024" s="22" t="b">
        <v>0</v>
      </c>
      <c r="K1024" s="22" t="b">
        <v>0</v>
      </c>
      <c r="L1024" s="22" t="b">
        <v>0</v>
      </c>
      <c r="M1024" s="21"/>
      <c r="N1024" s="23">
        <v>0</v>
      </c>
      <c r="O1024" s="24"/>
      <c r="P1024" s="19"/>
      <c r="Q1024" s="25"/>
      <c r="R1024" s="25"/>
      <c r="S1024" s="19"/>
      <c r="T1024" s="26"/>
      <c r="U1024" s="27" t="s">
        <v>21</v>
      </c>
      <c r="V1024" s="28"/>
      <c r="W1024" s="29" t="s">
        <v>26</v>
      </c>
    </row>
    <row r="1025" spans="1:23" ht="30" customHeight="1">
      <c r="A1025" s="19" t="s">
        <v>5596</v>
      </c>
      <c r="B1025" s="19" t="s">
        <v>5569</v>
      </c>
      <c r="C1025" s="19"/>
      <c r="D1025" s="19" t="s">
        <v>4096</v>
      </c>
      <c r="E1025" s="20" t="s">
        <v>4097</v>
      </c>
      <c r="F1025" s="19"/>
      <c r="G1025" s="21" t="s">
        <v>22</v>
      </c>
      <c r="H1025" s="22" t="b">
        <v>0</v>
      </c>
      <c r="I1025" s="22" t="b">
        <v>0</v>
      </c>
      <c r="J1025" s="22" t="b">
        <v>0</v>
      </c>
      <c r="K1025" s="22" t="b">
        <v>0</v>
      </c>
      <c r="L1025" s="22" t="b">
        <v>0</v>
      </c>
      <c r="M1025" s="21"/>
      <c r="N1025" s="23">
        <v>0</v>
      </c>
      <c r="O1025" s="24"/>
      <c r="P1025" s="19"/>
      <c r="Q1025" s="25"/>
      <c r="R1025" s="25"/>
      <c r="S1025" s="19"/>
      <c r="T1025" s="26"/>
      <c r="U1025" s="27" t="s">
        <v>21</v>
      </c>
      <c r="V1025" s="28"/>
      <c r="W1025" s="29" t="s">
        <v>26</v>
      </c>
    </row>
    <row r="1026" spans="1:23" ht="30" customHeight="1">
      <c r="A1026" s="19" t="s">
        <v>5596</v>
      </c>
      <c r="B1026" s="19" t="s">
        <v>5569</v>
      </c>
      <c r="C1026" s="19"/>
      <c r="D1026" s="19" t="s">
        <v>4100</v>
      </c>
      <c r="E1026" s="20" t="s">
        <v>4101</v>
      </c>
      <c r="F1026" s="19"/>
      <c r="G1026" s="21" t="s">
        <v>29</v>
      </c>
      <c r="H1026" s="22" t="b">
        <v>0</v>
      </c>
      <c r="I1026" s="22" t="b">
        <v>0</v>
      </c>
      <c r="J1026" s="22" t="b">
        <v>0</v>
      </c>
      <c r="K1026" s="22" t="b">
        <v>0</v>
      </c>
      <c r="L1026" s="22" t="b">
        <v>0</v>
      </c>
      <c r="M1026" s="21"/>
      <c r="N1026" s="23">
        <v>0</v>
      </c>
      <c r="O1026" s="24"/>
      <c r="P1026" s="19"/>
      <c r="Q1026" s="25"/>
      <c r="R1026" s="25"/>
      <c r="S1026" s="19"/>
      <c r="T1026" s="26"/>
      <c r="U1026" s="27" t="s">
        <v>21</v>
      </c>
      <c r="V1026" s="28" t="s">
        <v>4102</v>
      </c>
      <c r="W1026" s="29" t="s">
        <v>26</v>
      </c>
    </row>
    <row r="1027" spans="1:23" ht="30" customHeight="1">
      <c r="A1027" s="19" t="s">
        <v>5596</v>
      </c>
      <c r="B1027" s="19" t="s">
        <v>5569</v>
      </c>
      <c r="C1027" s="19"/>
      <c r="D1027" s="19" t="s">
        <v>4104</v>
      </c>
      <c r="E1027" s="20" t="s">
        <v>4105</v>
      </c>
      <c r="F1027" s="19"/>
      <c r="G1027" s="21" t="s">
        <v>22</v>
      </c>
      <c r="H1027" s="22" t="b">
        <v>0</v>
      </c>
      <c r="I1027" s="22" t="b">
        <v>0</v>
      </c>
      <c r="J1027" s="22" t="b">
        <v>0</v>
      </c>
      <c r="K1027" s="22" t="b">
        <v>0</v>
      </c>
      <c r="L1027" s="22" t="b">
        <v>0</v>
      </c>
      <c r="M1027" s="21"/>
      <c r="N1027" s="23">
        <v>0</v>
      </c>
      <c r="O1027" s="24"/>
      <c r="P1027" s="19"/>
      <c r="Q1027" s="25"/>
      <c r="R1027" s="25"/>
      <c r="S1027" s="19"/>
      <c r="T1027" s="26"/>
      <c r="U1027" s="27" t="s">
        <v>21</v>
      </c>
      <c r="V1027" s="28"/>
      <c r="W1027" s="29" t="s">
        <v>26</v>
      </c>
    </row>
    <row r="1028" spans="1:23" ht="30" customHeight="1">
      <c r="A1028" s="19" t="s">
        <v>5596</v>
      </c>
      <c r="B1028" s="19" t="s">
        <v>5569</v>
      </c>
      <c r="C1028" s="19"/>
      <c r="D1028" s="19" t="s">
        <v>4107</v>
      </c>
      <c r="E1028" s="20" t="s">
        <v>4108</v>
      </c>
      <c r="F1028" s="19"/>
      <c r="G1028" s="21" t="s">
        <v>22</v>
      </c>
      <c r="H1028" s="22" t="b">
        <v>0</v>
      </c>
      <c r="I1028" s="22" t="b">
        <v>0</v>
      </c>
      <c r="J1028" s="22" t="b">
        <v>0</v>
      </c>
      <c r="K1028" s="22" t="b">
        <v>0</v>
      </c>
      <c r="L1028" s="22" t="b">
        <v>0</v>
      </c>
      <c r="M1028" s="21"/>
      <c r="N1028" s="23">
        <v>0</v>
      </c>
      <c r="O1028" s="24"/>
      <c r="P1028" s="19"/>
      <c r="Q1028" s="25"/>
      <c r="R1028" s="25"/>
      <c r="S1028" s="19"/>
      <c r="T1028" s="26"/>
      <c r="U1028" s="27" t="s">
        <v>21</v>
      </c>
      <c r="V1028" s="28" t="s">
        <v>4109</v>
      </c>
      <c r="W1028" s="29" t="s">
        <v>26</v>
      </c>
    </row>
    <row r="1029" spans="1:23" ht="30" customHeight="1">
      <c r="A1029" s="19" t="s">
        <v>5596</v>
      </c>
      <c r="B1029" s="19" t="s">
        <v>5569</v>
      </c>
      <c r="C1029" s="19"/>
      <c r="D1029" s="19" t="s">
        <v>4111</v>
      </c>
      <c r="E1029" s="20" t="s">
        <v>4112</v>
      </c>
      <c r="F1029" s="19"/>
      <c r="G1029" s="21" t="s">
        <v>22</v>
      </c>
      <c r="H1029" s="22" t="b">
        <v>0</v>
      </c>
      <c r="I1029" s="22" t="b">
        <v>0</v>
      </c>
      <c r="J1029" s="22" t="b">
        <v>0</v>
      </c>
      <c r="K1029" s="22" t="b">
        <v>0</v>
      </c>
      <c r="L1029" s="22" t="b">
        <v>0</v>
      </c>
      <c r="M1029" s="21"/>
      <c r="N1029" s="23">
        <v>0</v>
      </c>
      <c r="O1029" s="24"/>
      <c r="P1029" s="19"/>
      <c r="Q1029" s="25"/>
      <c r="R1029" s="25"/>
      <c r="S1029" s="19"/>
      <c r="T1029" s="26"/>
      <c r="U1029" s="27" t="s">
        <v>21</v>
      </c>
      <c r="V1029" s="28"/>
      <c r="W1029" s="29" t="s">
        <v>26</v>
      </c>
    </row>
    <row r="1030" spans="1:23" ht="30" customHeight="1">
      <c r="A1030" s="19" t="s">
        <v>5596</v>
      </c>
      <c r="B1030" s="19" t="s">
        <v>5569</v>
      </c>
      <c r="C1030" s="19"/>
      <c r="D1030" s="19" t="s">
        <v>4114</v>
      </c>
      <c r="E1030" s="20" t="s">
        <v>4115</v>
      </c>
      <c r="F1030" s="19"/>
      <c r="G1030" s="21" t="s">
        <v>22</v>
      </c>
      <c r="H1030" s="22" t="b">
        <v>0</v>
      </c>
      <c r="I1030" s="22" t="b">
        <v>0</v>
      </c>
      <c r="J1030" s="22" t="b">
        <v>0</v>
      </c>
      <c r="K1030" s="22" t="b">
        <v>0</v>
      </c>
      <c r="L1030" s="22" t="b">
        <v>0</v>
      </c>
      <c r="M1030" s="21"/>
      <c r="N1030" s="23">
        <v>0</v>
      </c>
      <c r="O1030" s="24"/>
      <c r="P1030" s="19"/>
      <c r="Q1030" s="25"/>
      <c r="R1030" s="25"/>
      <c r="S1030" s="19"/>
      <c r="T1030" s="26"/>
      <c r="U1030" s="27" t="s">
        <v>21</v>
      </c>
      <c r="V1030" s="28"/>
      <c r="W1030" s="29" t="s">
        <v>26</v>
      </c>
    </row>
    <row r="1031" spans="1:23" ht="30" customHeight="1">
      <c r="A1031" s="19" t="s">
        <v>5596</v>
      </c>
      <c r="B1031" s="19" t="s">
        <v>5569</v>
      </c>
      <c r="C1031" s="19"/>
      <c r="D1031" s="19" t="s">
        <v>4117</v>
      </c>
      <c r="E1031" s="20" t="s">
        <v>4118</v>
      </c>
      <c r="F1031" s="19"/>
      <c r="G1031" s="21" t="s">
        <v>22</v>
      </c>
      <c r="H1031" s="22" t="b">
        <v>0</v>
      </c>
      <c r="I1031" s="22" t="b">
        <v>0</v>
      </c>
      <c r="J1031" s="22" t="b">
        <v>0</v>
      </c>
      <c r="K1031" s="22" t="b">
        <v>0</v>
      </c>
      <c r="L1031" s="22" t="b">
        <v>0</v>
      </c>
      <c r="M1031" s="21"/>
      <c r="N1031" s="23">
        <v>0</v>
      </c>
      <c r="O1031" s="24"/>
      <c r="P1031" s="19"/>
      <c r="Q1031" s="25"/>
      <c r="R1031" s="25"/>
      <c r="S1031" s="19"/>
      <c r="T1031" s="26"/>
      <c r="U1031" s="27" t="s">
        <v>21</v>
      </c>
      <c r="V1031" s="28"/>
      <c r="W1031" s="29" t="s">
        <v>26</v>
      </c>
    </row>
    <row r="1032" spans="1:23" ht="30" customHeight="1">
      <c r="A1032" s="19" t="s">
        <v>5596</v>
      </c>
      <c r="B1032" s="19" t="s">
        <v>5569</v>
      </c>
      <c r="C1032" s="19"/>
      <c r="D1032" s="19" t="s">
        <v>4121</v>
      </c>
      <c r="E1032" s="20" t="s">
        <v>4122</v>
      </c>
      <c r="F1032" s="19"/>
      <c r="G1032" s="21" t="s">
        <v>22</v>
      </c>
      <c r="H1032" s="22" t="b">
        <v>0</v>
      </c>
      <c r="I1032" s="22" t="b">
        <v>0</v>
      </c>
      <c r="J1032" s="22" t="b">
        <v>0</v>
      </c>
      <c r="K1032" s="22" t="b">
        <v>0</v>
      </c>
      <c r="L1032" s="22" t="b">
        <v>0</v>
      </c>
      <c r="M1032" s="21"/>
      <c r="N1032" s="23">
        <v>0</v>
      </c>
      <c r="O1032" s="24"/>
      <c r="P1032" s="19"/>
      <c r="Q1032" s="25"/>
      <c r="R1032" s="25"/>
      <c r="S1032" s="19"/>
      <c r="T1032" s="26"/>
      <c r="U1032" s="27" t="s">
        <v>21</v>
      </c>
      <c r="V1032" s="28" t="s">
        <v>4123</v>
      </c>
      <c r="W1032" s="29" t="s">
        <v>26</v>
      </c>
    </row>
    <row r="1033" spans="1:23" ht="30" customHeight="1">
      <c r="A1033" s="19" t="s">
        <v>5596</v>
      </c>
      <c r="B1033" s="19" t="s">
        <v>5569</v>
      </c>
      <c r="C1033" s="19"/>
      <c r="D1033" s="19" t="s">
        <v>4126</v>
      </c>
      <c r="E1033" s="20" t="s">
        <v>4127</v>
      </c>
      <c r="F1033" s="19"/>
      <c r="G1033" s="21" t="s">
        <v>22</v>
      </c>
      <c r="H1033" s="22" t="b">
        <v>0</v>
      </c>
      <c r="I1033" s="22" t="b">
        <v>0</v>
      </c>
      <c r="J1033" s="22" t="b">
        <v>0</v>
      </c>
      <c r="K1033" s="22" t="b">
        <v>0</v>
      </c>
      <c r="L1033" s="22" t="b">
        <v>0</v>
      </c>
      <c r="M1033" s="21"/>
      <c r="N1033" s="23">
        <v>0</v>
      </c>
      <c r="O1033" s="24"/>
      <c r="P1033" s="19"/>
      <c r="Q1033" s="25"/>
      <c r="R1033" s="25"/>
      <c r="S1033" s="19"/>
      <c r="T1033" s="26"/>
      <c r="U1033" s="27" t="s">
        <v>21</v>
      </c>
      <c r="V1033" s="28" t="s">
        <v>4128</v>
      </c>
      <c r="W1033" s="29" t="s">
        <v>26</v>
      </c>
    </row>
    <row r="1034" spans="1:23" ht="30" customHeight="1">
      <c r="A1034" s="19" t="s">
        <v>5596</v>
      </c>
      <c r="B1034" s="19" t="s">
        <v>5569</v>
      </c>
      <c r="C1034" s="19"/>
      <c r="D1034" s="19" t="s">
        <v>4131</v>
      </c>
      <c r="E1034" s="20" t="s">
        <v>4132</v>
      </c>
      <c r="F1034" s="19"/>
      <c r="G1034" s="21" t="s">
        <v>22</v>
      </c>
      <c r="H1034" s="22" t="b">
        <v>0</v>
      </c>
      <c r="I1034" s="22" t="b">
        <v>0</v>
      </c>
      <c r="J1034" s="22" t="b">
        <v>0</v>
      </c>
      <c r="K1034" s="22" t="b">
        <v>0</v>
      </c>
      <c r="L1034" s="22" t="b">
        <v>0</v>
      </c>
      <c r="M1034" s="21"/>
      <c r="N1034" s="23">
        <v>0</v>
      </c>
      <c r="O1034" s="24"/>
      <c r="P1034" s="19"/>
      <c r="Q1034" s="25"/>
      <c r="R1034" s="25"/>
      <c r="S1034" s="19"/>
      <c r="T1034" s="26"/>
      <c r="U1034" s="27" t="s">
        <v>21</v>
      </c>
      <c r="V1034" s="28" t="s">
        <v>4133</v>
      </c>
      <c r="W1034" s="29" t="s">
        <v>26</v>
      </c>
    </row>
    <row r="1035" spans="1:23" ht="30" customHeight="1">
      <c r="A1035" s="19" t="s">
        <v>5596</v>
      </c>
      <c r="B1035" s="19" t="s">
        <v>5569</v>
      </c>
      <c r="C1035" s="19"/>
      <c r="D1035" s="19" t="s">
        <v>4135</v>
      </c>
      <c r="E1035" s="20" t="s">
        <v>4136</v>
      </c>
      <c r="F1035" s="19"/>
      <c r="G1035" s="21" t="s">
        <v>22</v>
      </c>
      <c r="H1035" s="22" t="b">
        <v>0</v>
      </c>
      <c r="I1035" s="22" t="b">
        <v>0</v>
      </c>
      <c r="J1035" s="22" t="b">
        <v>0</v>
      </c>
      <c r="K1035" s="22" t="b">
        <v>0</v>
      </c>
      <c r="L1035" s="22" t="b">
        <v>0</v>
      </c>
      <c r="M1035" s="21"/>
      <c r="N1035" s="23">
        <v>0</v>
      </c>
      <c r="O1035" s="24"/>
      <c r="P1035" s="19"/>
      <c r="Q1035" s="25"/>
      <c r="R1035" s="25"/>
      <c r="S1035" s="19"/>
      <c r="T1035" s="26"/>
      <c r="U1035" s="27" t="s">
        <v>21</v>
      </c>
      <c r="V1035" s="28" t="s">
        <v>3943</v>
      </c>
      <c r="W1035" s="29" t="s">
        <v>26</v>
      </c>
    </row>
    <row r="1036" spans="1:23" ht="30" customHeight="1">
      <c r="A1036" s="19" t="s">
        <v>5596</v>
      </c>
      <c r="B1036" s="19" t="s">
        <v>5569</v>
      </c>
      <c r="C1036" s="19"/>
      <c r="D1036" s="19" t="s">
        <v>4139</v>
      </c>
      <c r="E1036" s="20" t="s">
        <v>4140</v>
      </c>
      <c r="F1036" s="19"/>
      <c r="G1036" s="21" t="s">
        <v>22</v>
      </c>
      <c r="H1036" s="22" t="b">
        <v>0</v>
      </c>
      <c r="I1036" s="22" t="b">
        <v>0</v>
      </c>
      <c r="J1036" s="22" t="b">
        <v>0</v>
      </c>
      <c r="K1036" s="22" t="b">
        <v>0</v>
      </c>
      <c r="L1036" s="22" t="b">
        <v>0</v>
      </c>
      <c r="M1036" s="21"/>
      <c r="N1036" s="23">
        <v>0</v>
      </c>
      <c r="O1036" s="24"/>
      <c r="P1036" s="19"/>
      <c r="Q1036" s="25"/>
      <c r="R1036" s="25"/>
      <c r="S1036" s="19"/>
      <c r="T1036" s="26"/>
      <c r="U1036" s="27" t="s">
        <v>21</v>
      </c>
      <c r="V1036" s="28" t="s">
        <v>3943</v>
      </c>
      <c r="W1036" s="29" t="s">
        <v>26</v>
      </c>
    </row>
    <row r="1037" spans="1:23" ht="30" customHeight="1">
      <c r="A1037" s="19" t="s">
        <v>5596</v>
      </c>
      <c r="B1037" s="19" t="s">
        <v>5569</v>
      </c>
      <c r="C1037" s="19"/>
      <c r="D1037" s="19" t="s">
        <v>4143</v>
      </c>
      <c r="E1037" s="20" t="s">
        <v>4144</v>
      </c>
      <c r="F1037" s="19"/>
      <c r="G1037" s="21" t="s">
        <v>39</v>
      </c>
      <c r="H1037" s="22" t="b">
        <v>0</v>
      </c>
      <c r="I1037" s="22" t="b">
        <v>0</v>
      </c>
      <c r="J1037" s="22" t="b">
        <v>0</v>
      </c>
      <c r="K1037" s="22" t="b">
        <v>0</v>
      </c>
      <c r="L1037" s="22" t="b">
        <v>0</v>
      </c>
      <c r="M1037" s="21"/>
      <c r="N1037" s="23">
        <v>0</v>
      </c>
      <c r="O1037" s="24"/>
      <c r="P1037" s="19"/>
      <c r="Q1037" s="25"/>
      <c r="R1037" s="25"/>
      <c r="S1037" s="19"/>
      <c r="T1037" s="26"/>
      <c r="U1037" s="27" t="s">
        <v>21</v>
      </c>
      <c r="V1037" s="28" t="s">
        <v>4145</v>
      </c>
      <c r="W1037" s="29" t="s">
        <v>26</v>
      </c>
    </row>
    <row r="1038" spans="1:23" ht="30" customHeight="1">
      <c r="A1038" s="19" t="s">
        <v>5596</v>
      </c>
      <c r="B1038" s="19" t="s">
        <v>5569</v>
      </c>
      <c r="C1038" s="19"/>
      <c r="D1038" s="19" t="s">
        <v>4147</v>
      </c>
      <c r="E1038" s="20" t="s">
        <v>4148</v>
      </c>
      <c r="F1038" s="19"/>
      <c r="G1038" s="21" t="s">
        <v>22</v>
      </c>
      <c r="H1038" s="22" t="b">
        <v>0</v>
      </c>
      <c r="I1038" s="22" t="b">
        <v>0</v>
      </c>
      <c r="J1038" s="22" t="b">
        <v>0</v>
      </c>
      <c r="K1038" s="22" t="b">
        <v>0</v>
      </c>
      <c r="L1038" s="22" t="b">
        <v>0</v>
      </c>
      <c r="M1038" s="21"/>
      <c r="N1038" s="23">
        <v>0</v>
      </c>
      <c r="O1038" s="24"/>
      <c r="P1038" s="19"/>
      <c r="Q1038" s="25"/>
      <c r="R1038" s="25"/>
      <c r="S1038" s="19"/>
      <c r="T1038" s="26"/>
      <c r="U1038" s="27" t="s">
        <v>21</v>
      </c>
      <c r="V1038" s="28" t="s">
        <v>3611</v>
      </c>
      <c r="W1038" s="29" t="s">
        <v>26</v>
      </c>
    </row>
    <row r="1039" spans="1:23" ht="30" customHeight="1">
      <c r="A1039" s="19" t="s">
        <v>5596</v>
      </c>
      <c r="B1039" s="19" t="s">
        <v>5569</v>
      </c>
      <c r="C1039" s="19"/>
      <c r="D1039" s="19" t="s">
        <v>4150</v>
      </c>
      <c r="E1039" s="20" t="s">
        <v>4151</v>
      </c>
      <c r="F1039" s="19"/>
      <c r="G1039" s="21" t="s">
        <v>22</v>
      </c>
      <c r="H1039" s="22" t="b">
        <v>0</v>
      </c>
      <c r="I1039" s="22" t="b">
        <v>0</v>
      </c>
      <c r="J1039" s="22" t="b">
        <v>0</v>
      </c>
      <c r="K1039" s="22" t="b">
        <v>0</v>
      </c>
      <c r="L1039" s="22" t="b">
        <v>0</v>
      </c>
      <c r="M1039" s="21"/>
      <c r="N1039" s="23">
        <v>0</v>
      </c>
      <c r="O1039" s="24"/>
      <c r="P1039" s="19"/>
      <c r="Q1039" s="25"/>
      <c r="R1039" s="25"/>
      <c r="S1039" s="19"/>
      <c r="T1039" s="26"/>
      <c r="U1039" s="27" t="s">
        <v>21</v>
      </c>
      <c r="V1039" s="28" t="s">
        <v>4152</v>
      </c>
      <c r="W1039" s="29" t="s">
        <v>26</v>
      </c>
    </row>
    <row r="1040" spans="1:23" ht="30" customHeight="1">
      <c r="A1040" s="19" t="s">
        <v>5596</v>
      </c>
      <c r="B1040" s="19" t="s">
        <v>5569</v>
      </c>
      <c r="C1040" s="19"/>
      <c r="D1040" s="19" t="s">
        <v>4154</v>
      </c>
      <c r="E1040" s="20" t="s">
        <v>4155</v>
      </c>
      <c r="F1040" s="19"/>
      <c r="G1040" s="21" t="s">
        <v>22</v>
      </c>
      <c r="H1040" s="22" t="b">
        <v>0</v>
      </c>
      <c r="I1040" s="22" t="b">
        <v>0</v>
      </c>
      <c r="J1040" s="22" t="b">
        <v>0</v>
      </c>
      <c r="K1040" s="22" t="b">
        <v>0</v>
      </c>
      <c r="L1040" s="22" t="b">
        <v>0</v>
      </c>
      <c r="M1040" s="21"/>
      <c r="N1040" s="23">
        <v>0</v>
      </c>
      <c r="O1040" s="24"/>
      <c r="P1040" s="19"/>
      <c r="Q1040" s="25"/>
      <c r="R1040" s="25"/>
      <c r="S1040" s="19"/>
      <c r="T1040" s="26"/>
      <c r="U1040" s="27" t="s">
        <v>21</v>
      </c>
      <c r="V1040" s="28" t="s">
        <v>4156</v>
      </c>
      <c r="W1040" s="29" t="s">
        <v>26</v>
      </c>
    </row>
    <row r="1041" spans="1:23" ht="30" customHeight="1">
      <c r="A1041" s="19" t="s">
        <v>5596</v>
      </c>
      <c r="B1041" s="19" t="s">
        <v>5569</v>
      </c>
      <c r="C1041" s="19"/>
      <c r="D1041" s="19" t="s">
        <v>4159</v>
      </c>
      <c r="E1041" s="20" t="s">
        <v>4160</v>
      </c>
      <c r="F1041" s="19"/>
      <c r="G1041" s="21" t="s">
        <v>22</v>
      </c>
      <c r="H1041" s="22" t="b">
        <v>0</v>
      </c>
      <c r="I1041" s="22" t="b">
        <v>0</v>
      </c>
      <c r="J1041" s="22" t="b">
        <v>0</v>
      </c>
      <c r="K1041" s="22" t="b">
        <v>0</v>
      </c>
      <c r="L1041" s="22" t="b">
        <v>0</v>
      </c>
      <c r="M1041" s="21"/>
      <c r="N1041" s="23">
        <v>0</v>
      </c>
      <c r="O1041" s="24"/>
      <c r="P1041" s="19"/>
      <c r="Q1041" s="25"/>
      <c r="R1041" s="25"/>
      <c r="S1041" s="19"/>
      <c r="T1041" s="26"/>
      <c r="U1041" s="27" t="s">
        <v>21</v>
      </c>
      <c r="V1041" s="28" t="s">
        <v>3611</v>
      </c>
      <c r="W1041" s="29" t="s">
        <v>26</v>
      </c>
    </row>
    <row r="1042" spans="1:23" ht="30" customHeight="1">
      <c r="A1042" s="19" t="s">
        <v>5596</v>
      </c>
      <c r="B1042" s="19" t="s">
        <v>5569</v>
      </c>
      <c r="C1042" s="19"/>
      <c r="D1042" s="19" t="s">
        <v>4162</v>
      </c>
      <c r="E1042" s="20" t="s">
        <v>4163</v>
      </c>
      <c r="F1042" s="19"/>
      <c r="G1042" s="21" t="s">
        <v>22</v>
      </c>
      <c r="H1042" s="22" t="b">
        <v>0</v>
      </c>
      <c r="I1042" s="22" t="b">
        <v>0</v>
      </c>
      <c r="J1042" s="22" t="b">
        <v>0</v>
      </c>
      <c r="K1042" s="22" t="b">
        <v>0</v>
      </c>
      <c r="L1042" s="22" t="b">
        <v>0</v>
      </c>
      <c r="M1042" s="21"/>
      <c r="N1042" s="23">
        <v>0</v>
      </c>
      <c r="O1042" s="24"/>
      <c r="P1042" s="19"/>
      <c r="Q1042" s="25"/>
      <c r="R1042" s="25"/>
      <c r="S1042" s="19"/>
      <c r="T1042" s="26"/>
      <c r="U1042" s="27" t="s">
        <v>21</v>
      </c>
      <c r="V1042" s="28" t="s">
        <v>3943</v>
      </c>
      <c r="W1042" s="29" t="s">
        <v>26</v>
      </c>
    </row>
    <row r="1043" spans="1:23" ht="30" customHeight="1">
      <c r="A1043" s="19" t="s">
        <v>5596</v>
      </c>
      <c r="B1043" s="19" t="s">
        <v>5569</v>
      </c>
      <c r="C1043" s="19"/>
      <c r="D1043" s="19" t="s">
        <v>4165</v>
      </c>
      <c r="E1043" s="20" t="s">
        <v>4166</v>
      </c>
      <c r="F1043" s="19"/>
      <c r="G1043" s="21" t="s">
        <v>22</v>
      </c>
      <c r="H1043" s="22" t="b">
        <v>0</v>
      </c>
      <c r="I1043" s="22" t="b">
        <v>0</v>
      </c>
      <c r="J1043" s="22" t="b">
        <v>0</v>
      </c>
      <c r="K1043" s="22" t="b">
        <v>0</v>
      </c>
      <c r="L1043" s="22" t="b">
        <v>0</v>
      </c>
      <c r="M1043" s="21"/>
      <c r="N1043" s="23">
        <v>0</v>
      </c>
      <c r="O1043" s="24"/>
      <c r="P1043" s="19"/>
      <c r="Q1043" s="25"/>
      <c r="R1043" s="25"/>
      <c r="S1043" s="19"/>
      <c r="T1043" s="26"/>
      <c r="U1043" s="27" t="s">
        <v>21</v>
      </c>
      <c r="V1043" s="28" t="s">
        <v>4167</v>
      </c>
      <c r="W1043" s="29" t="s">
        <v>26</v>
      </c>
    </row>
    <row r="1044" spans="1:23" ht="30" customHeight="1">
      <c r="A1044" s="19" t="s">
        <v>5596</v>
      </c>
      <c r="B1044" s="19" t="s">
        <v>5569</v>
      </c>
      <c r="C1044" s="19"/>
      <c r="D1044" s="19" t="s">
        <v>4169</v>
      </c>
      <c r="E1044" s="20" t="s">
        <v>4170</v>
      </c>
      <c r="F1044" s="19"/>
      <c r="G1044" s="21" t="s">
        <v>29</v>
      </c>
      <c r="H1044" s="22" t="b">
        <v>0</v>
      </c>
      <c r="I1044" s="22" t="b">
        <v>0</v>
      </c>
      <c r="J1044" s="22" t="b">
        <v>0</v>
      </c>
      <c r="K1044" s="22" t="b">
        <v>0</v>
      </c>
      <c r="L1044" s="22" t="b">
        <v>0</v>
      </c>
      <c r="M1044" s="21"/>
      <c r="N1044" s="23">
        <v>0</v>
      </c>
      <c r="O1044" s="24"/>
      <c r="P1044" s="19"/>
      <c r="Q1044" s="25"/>
      <c r="R1044" s="25"/>
      <c r="S1044" s="19"/>
      <c r="T1044" s="26"/>
      <c r="U1044" s="27" t="s">
        <v>21</v>
      </c>
      <c r="V1044" s="28"/>
      <c r="W1044" s="29" t="s">
        <v>26</v>
      </c>
    </row>
    <row r="1045" spans="1:23" ht="30" customHeight="1">
      <c r="A1045" s="19" t="s">
        <v>5596</v>
      </c>
      <c r="B1045" s="19" t="s">
        <v>5569</v>
      </c>
      <c r="C1045" s="19"/>
      <c r="D1045" s="19" t="s">
        <v>4172</v>
      </c>
      <c r="E1045" s="20" t="s">
        <v>4173</v>
      </c>
      <c r="F1045" s="19"/>
      <c r="G1045" s="21" t="s">
        <v>22</v>
      </c>
      <c r="H1045" s="22" t="b">
        <v>0</v>
      </c>
      <c r="I1045" s="22" t="b">
        <v>0</v>
      </c>
      <c r="J1045" s="22" t="b">
        <v>0</v>
      </c>
      <c r="K1045" s="22" t="b">
        <v>0</v>
      </c>
      <c r="L1045" s="22" t="b">
        <v>0</v>
      </c>
      <c r="M1045" s="21"/>
      <c r="N1045" s="23">
        <v>0</v>
      </c>
      <c r="O1045" s="24"/>
      <c r="P1045" s="19"/>
      <c r="Q1045" s="25"/>
      <c r="R1045" s="25"/>
      <c r="S1045" s="19"/>
      <c r="T1045" s="26"/>
      <c r="U1045" s="27" t="s">
        <v>21</v>
      </c>
      <c r="V1045" s="28"/>
      <c r="W1045" s="29" t="s">
        <v>26</v>
      </c>
    </row>
    <row r="1046" spans="1:23" ht="30" customHeight="1">
      <c r="A1046" s="19" t="s">
        <v>5596</v>
      </c>
      <c r="B1046" s="19" t="s">
        <v>5569</v>
      </c>
      <c r="C1046" s="19"/>
      <c r="D1046" s="19" t="s">
        <v>4175</v>
      </c>
      <c r="E1046" s="20" t="s">
        <v>4176</v>
      </c>
      <c r="F1046" s="19"/>
      <c r="G1046" s="21" t="s">
        <v>22</v>
      </c>
      <c r="H1046" s="22" t="b">
        <v>0</v>
      </c>
      <c r="I1046" s="22" t="b">
        <v>0</v>
      </c>
      <c r="J1046" s="22" t="b">
        <v>0</v>
      </c>
      <c r="K1046" s="22" t="b">
        <v>0</v>
      </c>
      <c r="L1046" s="22" t="b">
        <v>0</v>
      </c>
      <c r="M1046" s="21"/>
      <c r="N1046" s="23">
        <v>0</v>
      </c>
      <c r="O1046" s="24"/>
      <c r="P1046" s="19"/>
      <c r="Q1046" s="25"/>
      <c r="R1046" s="25"/>
      <c r="S1046" s="19"/>
      <c r="T1046" s="26"/>
      <c r="U1046" s="27" t="s">
        <v>21</v>
      </c>
      <c r="V1046" s="28"/>
      <c r="W1046" s="29" t="s">
        <v>26</v>
      </c>
    </row>
    <row r="1047" spans="1:23" ht="30" customHeight="1">
      <c r="A1047" s="19" t="s">
        <v>5596</v>
      </c>
      <c r="B1047" s="19" t="s">
        <v>5569</v>
      </c>
      <c r="C1047" s="19"/>
      <c r="D1047" s="19" t="s">
        <v>4178</v>
      </c>
      <c r="E1047" s="20" t="s">
        <v>4179</v>
      </c>
      <c r="F1047" s="19"/>
      <c r="G1047" s="21" t="s">
        <v>22</v>
      </c>
      <c r="H1047" s="22" t="b">
        <v>0</v>
      </c>
      <c r="I1047" s="22" t="b">
        <v>0</v>
      </c>
      <c r="J1047" s="22" t="b">
        <v>0</v>
      </c>
      <c r="K1047" s="22" t="b">
        <v>0</v>
      </c>
      <c r="L1047" s="22" t="b">
        <v>0</v>
      </c>
      <c r="M1047" s="21"/>
      <c r="N1047" s="23">
        <v>0</v>
      </c>
      <c r="O1047" s="24"/>
      <c r="P1047" s="19"/>
      <c r="Q1047" s="25"/>
      <c r="R1047" s="25"/>
      <c r="S1047" s="19"/>
      <c r="T1047" s="26"/>
      <c r="U1047" s="27" t="s">
        <v>21</v>
      </c>
      <c r="V1047" s="28" t="s">
        <v>4180</v>
      </c>
      <c r="W1047" s="29" t="s">
        <v>26</v>
      </c>
    </row>
    <row r="1048" spans="1:23" ht="30" customHeight="1">
      <c r="A1048" s="19" t="s">
        <v>5596</v>
      </c>
      <c r="B1048" s="19" t="s">
        <v>5569</v>
      </c>
      <c r="C1048" s="19"/>
      <c r="D1048" s="19" t="s">
        <v>4182</v>
      </c>
      <c r="E1048" s="20" t="s">
        <v>4183</v>
      </c>
      <c r="F1048" s="19"/>
      <c r="G1048" s="21" t="s">
        <v>22</v>
      </c>
      <c r="H1048" s="22" t="b">
        <v>0</v>
      </c>
      <c r="I1048" s="22" t="b">
        <v>0</v>
      </c>
      <c r="J1048" s="22" t="b">
        <v>0</v>
      </c>
      <c r="K1048" s="22" t="b">
        <v>0</v>
      </c>
      <c r="L1048" s="22" t="b">
        <v>0</v>
      </c>
      <c r="M1048" s="21"/>
      <c r="N1048" s="23">
        <v>0</v>
      </c>
      <c r="O1048" s="24"/>
      <c r="P1048" s="19"/>
      <c r="Q1048" s="25"/>
      <c r="R1048" s="25"/>
      <c r="S1048" s="19"/>
      <c r="T1048" s="26"/>
      <c r="U1048" s="30" t="s">
        <v>34</v>
      </c>
      <c r="V1048" s="28" t="s">
        <v>4184</v>
      </c>
      <c r="W1048" s="29" t="s">
        <v>26</v>
      </c>
    </row>
    <row r="1049" spans="1:23" ht="30" customHeight="1">
      <c r="A1049" s="19" t="s">
        <v>5596</v>
      </c>
      <c r="B1049" s="19" t="s">
        <v>5569</v>
      </c>
      <c r="C1049" s="19"/>
      <c r="D1049" s="19" t="s">
        <v>4186</v>
      </c>
      <c r="E1049" s="20" t="s">
        <v>4187</v>
      </c>
      <c r="F1049" s="19"/>
      <c r="G1049" s="21" t="s">
        <v>22</v>
      </c>
      <c r="H1049" s="22" t="b">
        <v>0</v>
      </c>
      <c r="I1049" s="22" t="b">
        <v>0</v>
      </c>
      <c r="J1049" s="22" t="b">
        <v>0</v>
      </c>
      <c r="K1049" s="22" t="b">
        <v>0</v>
      </c>
      <c r="L1049" s="22" t="b">
        <v>0</v>
      </c>
      <c r="M1049" s="21"/>
      <c r="N1049" s="23">
        <v>0</v>
      </c>
      <c r="O1049" s="24"/>
      <c r="P1049" s="19"/>
      <c r="Q1049" s="25"/>
      <c r="R1049" s="25"/>
      <c r="S1049" s="19"/>
      <c r="T1049" s="26"/>
      <c r="U1049" s="27" t="s">
        <v>21</v>
      </c>
      <c r="V1049" s="28" t="s">
        <v>4188</v>
      </c>
      <c r="W1049" s="29" t="s">
        <v>26</v>
      </c>
    </row>
    <row r="1050" spans="1:23" ht="30" customHeight="1">
      <c r="A1050" s="19" t="s">
        <v>5597</v>
      </c>
      <c r="B1050" s="19" t="s">
        <v>5569</v>
      </c>
      <c r="C1050" s="19"/>
      <c r="D1050" s="19" t="s">
        <v>4192</v>
      </c>
      <c r="E1050" s="20" t="s">
        <v>4193</v>
      </c>
      <c r="F1050" s="19"/>
      <c r="G1050" s="21" t="s">
        <v>22</v>
      </c>
      <c r="H1050" s="22" t="b">
        <v>0</v>
      </c>
      <c r="I1050" s="22" t="b">
        <v>0</v>
      </c>
      <c r="J1050" s="22" t="b">
        <v>0</v>
      </c>
      <c r="K1050" s="22" t="b">
        <v>0</v>
      </c>
      <c r="L1050" s="22" t="b">
        <v>0</v>
      </c>
      <c r="M1050" s="21"/>
      <c r="N1050" s="23">
        <v>0</v>
      </c>
      <c r="O1050" s="24"/>
      <c r="P1050" s="19"/>
      <c r="Q1050" s="25"/>
      <c r="R1050" s="25"/>
      <c r="S1050" s="19"/>
      <c r="T1050" s="26"/>
      <c r="U1050" s="27" t="s">
        <v>21</v>
      </c>
      <c r="V1050" s="28" t="s">
        <v>4194</v>
      </c>
      <c r="W1050" s="29" t="s">
        <v>26</v>
      </c>
    </row>
    <row r="1051" spans="1:23" ht="30" customHeight="1">
      <c r="A1051" s="19" t="s">
        <v>5597</v>
      </c>
      <c r="B1051" s="19" t="s">
        <v>5569</v>
      </c>
      <c r="C1051" s="19"/>
      <c r="D1051" s="19" t="s">
        <v>4197</v>
      </c>
      <c r="E1051" s="20" t="s">
        <v>4198</v>
      </c>
      <c r="F1051" s="19"/>
      <c r="G1051" s="21" t="s">
        <v>22</v>
      </c>
      <c r="H1051" s="22" t="b">
        <v>0</v>
      </c>
      <c r="I1051" s="22" t="b">
        <v>0</v>
      </c>
      <c r="J1051" s="22" t="b">
        <v>0</v>
      </c>
      <c r="K1051" s="22" t="b">
        <v>0</v>
      </c>
      <c r="L1051" s="22" t="b">
        <v>0</v>
      </c>
      <c r="M1051" s="21"/>
      <c r="N1051" s="23">
        <v>0</v>
      </c>
      <c r="O1051" s="24"/>
      <c r="P1051" s="19"/>
      <c r="Q1051" s="25"/>
      <c r="R1051" s="25"/>
      <c r="S1051" s="19"/>
      <c r="T1051" s="26"/>
      <c r="U1051" s="27" t="s">
        <v>21</v>
      </c>
      <c r="V1051" s="28" t="s">
        <v>3611</v>
      </c>
      <c r="W1051" s="29" t="s">
        <v>26</v>
      </c>
    </row>
    <row r="1052" spans="1:23" ht="30" customHeight="1">
      <c r="A1052" s="19" t="s">
        <v>5597</v>
      </c>
      <c r="B1052" s="19" t="s">
        <v>5569</v>
      </c>
      <c r="C1052" s="19"/>
      <c r="D1052" s="19" t="s">
        <v>4201</v>
      </c>
      <c r="E1052" s="20" t="s">
        <v>4202</v>
      </c>
      <c r="F1052" s="19"/>
      <c r="G1052" s="21" t="s">
        <v>29</v>
      </c>
      <c r="H1052" s="22" t="b">
        <v>0</v>
      </c>
      <c r="I1052" s="22" t="b">
        <v>0</v>
      </c>
      <c r="J1052" s="22" t="b">
        <v>0</v>
      </c>
      <c r="K1052" s="22" t="b">
        <v>0</v>
      </c>
      <c r="L1052" s="22" t="b">
        <v>0</v>
      </c>
      <c r="M1052" s="21"/>
      <c r="N1052" s="23">
        <v>0</v>
      </c>
      <c r="O1052" s="24"/>
      <c r="P1052" s="19"/>
      <c r="Q1052" s="25"/>
      <c r="R1052" s="25"/>
      <c r="S1052" s="19"/>
      <c r="T1052" s="26"/>
      <c r="U1052" s="27" t="s">
        <v>21</v>
      </c>
      <c r="V1052" s="28" t="s">
        <v>4203</v>
      </c>
      <c r="W1052" s="29" t="s">
        <v>26</v>
      </c>
    </row>
    <row r="1053" spans="1:23" ht="30" customHeight="1">
      <c r="A1053" s="19" t="s">
        <v>5597</v>
      </c>
      <c r="B1053" s="19" t="s">
        <v>5569</v>
      </c>
      <c r="C1053" s="19"/>
      <c r="D1053" s="19" t="s">
        <v>4206</v>
      </c>
      <c r="E1053" s="20" t="s">
        <v>4207</v>
      </c>
      <c r="F1053" s="19"/>
      <c r="G1053" s="21" t="s">
        <v>22</v>
      </c>
      <c r="H1053" s="22" t="b">
        <v>0</v>
      </c>
      <c r="I1053" s="22" t="b">
        <v>0</v>
      </c>
      <c r="J1053" s="22" t="b">
        <v>0</v>
      </c>
      <c r="K1053" s="22" t="b">
        <v>0</v>
      </c>
      <c r="L1053" s="22" t="b">
        <v>0</v>
      </c>
      <c r="M1053" s="21"/>
      <c r="N1053" s="23">
        <v>0</v>
      </c>
      <c r="O1053" s="24"/>
      <c r="P1053" s="19"/>
      <c r="Q1053" s="25"/>
      <c r="R1053" s="25"/>
      <c r="S1053" s="19"/>
      <c r="T1053" s="26"/>
      <c r="U1053" s="27" t="s">
        <v>21</v>
      </c>
      <c r="V1053" s="28" t="s">
        <v>4208</v>
      </c>
      <c r="W1053" s="29" t="s">
        <v>26</v>
      </c>
    </row>
    <row r="1054" spans="1:23" ht="30" customHeight="1">
      <c r="A1054" s="19" t="s">
        <v>5597</v>
      </c>
      <c r="B1054" s="19" t="s">
        <v>5569</v>
      </c>
      <c r="C1054" s="19"/>
      <c r="D1054" s="19" t="s">
        <v>4211</v>
      </c>
      <c r="E1054" s="20" t="s">
        <v>4212</v>
      </c>
      <c r="F1054" s="19"/>
      <c r="G1054" s="21" t="s">
        <v>22</v>
      </c>
      <c r="H1054" s="22" t="b">
        <v>0</v>
      </c>
      <c r="I1054" s="22" t="b">
        <v>0</v>
      </c>
      <c r="J1054" s="22" t="b">
        <v>0</v>
      </c>
      <c r="K1054" s="22" t="b">
        <v>0</v>
      </c>
      <c r="L1054" s="22" t="b">
        <v>0</v>
      </c>
      <c r="M1054" s="21"/>
      <c r="N1054" s="23">
        <v>0</v>
      </c>
      <c r="O1054" s="24"/>
      <c r="P1054" s="19"/>
      <c r="Q1054" s="25"/>
      <c r="R1054" s="25"/>
      <c r="S1054" s="19"/>
      <c r="T1054" s="26"/>
      <c r="U1054" s="27" t="s">
        <v>21</v>
      </c>
      <c r="V1054" s="28" t="s">
        <v>4213</v>
      </c>
      <c r="W1054" s="29" t="s">
        <v>26</v>
      </c>
    </row>
    <row r="1055" spans="1:23" ht="30" customHeight="1">
      <c r="A1055" s="19" t="s">
        <v>5597</v>
      </c>
      <c r="B1055" s="19" t="s">
        <v>5569</v>
      </c>
      <c r="C1055" s="19"/>
      <c r="D1055" s="19" t="s">
        <v>4215</v>
      </c>
      <c r="E1055" s="20" t="s">
        <v>4216</v>
      </c>
      <c r="F1055" s="19"/>
      <c r="G1055" s="21" t="s">
        <v>22</v>
      </c>
      <c r="H1055" s="22" t="b">
        <v>0</v>
      </c>
      <c r="I1055" s="22" t="b">
        <v>0</v>
      </c>
      <c r="J1055" s="22" t="b">
        <v>0</v>
      </c>
      <c r="K1055" s="22" t="b">
        <v>0</v>
      </c>
      <c r="L1055" s="22" t="b">
        <v>0</v>
      </c>
      <c r="M1055" s="21"/>
      <c r="N1055" s="23">
        <v>0</v>
      </c>
      <c r="O1055" s="24"/>
      <c r="P1055" s="19"/>
      <c r="Q1055" s="25"/>
      <c r="R1055" s="25"/>
      <c r="S1055" s="19"/>
      <c r="T1055" s="26"/>
      <c r="U1055" s="27" t="s">
        <v>21</v>
      </c>
      <c r="V1055" s="28" t="s">
        <v>4217</v>
      </c>
      <c r="W1055" s="29" t="s">
        <v>26</v>
      </c>
    </row>
    <row r="1056" spans="1:23" ht="30" customHeight="1">
      <c r="A1056" s="19" t="s">
        <v>5597</v>
      </c>
      <c r="B1056" s="19" t="s">
        <v>5569</v>
      </c>
      <c r="C1056" s="19"/>
      <c r="D1056" s="19" t="s">
        <v>4219</v>
      </c>
      <c r="E1056" s="20" t="s">
        <v>109</v>
      </c>
      <c r="F1056" s="19"/>
      <c r="G1056" s="21" t="s">
        <v>22</v>
      </c>
      <c r="H1056" s="22" t="b">
        <v>0</v>
      </c>
      <c r="I1056" s="22" t="b">
        <v>0</v>
      </c>
      <c r="J1056" s="22" t="b">
        <v>0</v>
      </c>
      <c r="K1056" s="22" t="b">
        <v>0</v>
      </c>
      <c r="L1056" s="22" t="b">
        <v>0</v>
      </c>
      <c r="M1056" s="21"/>
      <c r="N1056" s="23">
        <v>0</v>
      </c>
      <c r="O1056" s="24"/>
      <c r="P1056" s="19"/>
      <c r="Q1056" s="25"/>
      <c r="R1056" s="25"/>
      <c r="S1056" s="19"/>
      <c r="T1056" s="26"/>
      <c r="U1056" s="31" t="s">
        <v>110</v>
      </c>
      <c r="V1056" s="28" t="s">
        <v>4220</v>
      </c>
      <c r="W1056" s="29" t="s">
        <v>26</v>
      </c>
    </row>
    <row r="1057" spans="1:23" ht="30" customHeight="1">
      <c r="A1057" s="19" t="s">
        <v>5597</v>
      </c>
      <c r="B1057" s="19" t="s">
        <v>5569</v>
      </c>
      <c r="C1057" s="19"/>
      <c r="D1057" s="19" t="s">
        <v>4222</v>
      </c>
      <c r="E1057" s="20" t="s">
        <v>4223</v>
      </c>
      <c r="F1057" s="19"/>
      <c r="G1057" s="21" t="s">
        <v>22</v>
      </c>
      <c r="H1057" s="22" t="b">
        <v>0</v>
      </c>
      <c r="I1057" s="22" t="b">
        <v>0</v>
      </c>
      <c r="J1057" s="22" t="b">
        <v>0</v>
      </c>
      <c r="K1057" s="22" t="b">
        <v>0</v>
      </c>
      <c r="L1057" s="22" t="b">
        <v>0</v>
      </c>
      <c r="M1057" s="21"/>
      <c r="N1057" s="23">
        <v>0</v>
      </c>
      <c r="O1057" s="24"/>
      <c r="P1057" s="19"/>
      <c r="Q1057" s="25"/>
      <c r="R1057" s="25"/>
      <c r="S1057" s="19"/>
      <c r="T1057" s="26"/>
      <c r="U1057" s="27" t="s">
        <v>21</v>
      </c>
      <c r="V1057" s="28" t="s">
        <v>4224</v>
      </c>
      <c r="W1057" s="29" t="s">
        <v>26</v>
      </c>
    </row>
    <row r="1058" spans="1:23" ht="30" customHeight="1">
      <c r="A1058" s="19" t="s">
        <v>5597</v>
      </c>
      <c r="B1058" s="19" t="s">
        <v>5569</v>
      </c>
      <c r="C1058" s="19"/>
      <c r="D1058" s="19" t="s">
        <v>4226</v>
      </c>
      <c r="E1058" s="20" t="s">
        <v>4227</v>
      </c>
      <c r="F1058" s="19"/>
      <c r="G1058" s="21" t="s">
        <v>22</v>
      </c>
      <c r="H1058" s="22" t="b">
        <v>0</v>
      </c>
      <c r="I1058" s="22" t="b">
        <v>0</v>
      </c>
      <c r="J1058" s="22" t="b">
        <v>0</v>
      </c>
      <c r="K1058" s="22" t="b">
        <v>0</v>
      </c>
      <c r="L1058" s="22" t="b">
        <v>0</v>
      </c>
      <c r="M1058" s="21"/>
      <c r="N1058" s="23">
        <v>0</v>
      </c>
      <c r="O1058" s="24"/>
      <c r="P1058" s="19"/>
      <c r="Q1058" s="25"/>
      <c r="R1058" s="25"/>
      <c r="S1058" s="19"/>
      <c r="T1058" s="26"/>
      <c r="U1058" s="27" t="s">
        <v>21</v>
      </c>
      <c r="V1058" s="28" t="s">
        <v>3611</v>
      </c>
      <c r="W1058" s="29" t="s">
        <v>26</v>
      </c>
    </row>
    <row r="1059" spans="1:23" ht="30" customHeight="1">
      <c r="A1059" s="19" t="s">
        <v>5597</v>
      </c>
      <c r="B1059" s="19" t="s">
        <v>5569</v>
      </c>
      <c r="C1059" s="19"/>
      <c r="D1059" s="19" t="s">
        <v>4229</v>
      </c>
      <c r="E1059" s="20" t="s">
        <v>4230</v>
      </c>
      <c r="F1059" s="19"/>
      <c r="G1059" s="21" t="s">
        <v>22</v>
      </c>
      <c r="H1059" s="22" t="b">
        <v>0</v>
      </c>
      <c r="I1059" s="22" t="b">
        <v>0</v>
      </c>
      <c r="J1059" s="22" t="b">
        <v>0</v>
      </c>
      <c r="K1059" s="22" t="b">
        <v>0</v>
      </c>
      <c r="L1059" s="22" t="b">
        <v>0</v>
      </c>
      <c r="M1059" s="21"/>
      <c r="N1059" s="23">
        <v>0</v>
      </c>
      <c r="O1059" s="24"/>
      <c r="P1059" s="19"/>
      <c r="Q1059" s="25"/>
      <c r="R1059" s="25"/>
      <c r="S1059" s="19"/>
      <c r="T1059" s="26"/>
      <c r="U1059" s="27" t="s">
        <v>21</v>
      </c>
      <c r="V1059" s="28" t="s">
        <v>3611</v>
      </c>
      <c r="W1059" s="29" t="s">
        <v>26</v>
      </c>
    </row>
    <row r="1060" spans="1:23" ht="30" customHeight="1">
      <c r="A1060" s="19" t="s">
        <v>5597</v>
      </c>
      <c r="B1060" s="19" t="s">
        <v>5569</v>
      </c>
      <c r="C1060" s="19"/>
      <c r="D1060" s="19" t="s">
        <v>4233</v>
      </c>
      <c r="E1060" s="20" t="s">
        <v>4234</v>
      </c>
      <c r="F1060" s="19"/>
      <c r="G1060" s="21" t="s">
        <v>22</v>
      </c>
      <c r="H1060" s="22" t="b">
        <v>0</v>
      </c>
      <c r="I1060" s="22" t="b">
        <v>0</v>
      </c>
      <c r="J1060" s="22" t="b">
        <v>0</v>
      </c>
      <c r="K1060" s="22" t="b">
        <v>0</v>
      </c>
      <c r="L1060" s="22" t="b">
        <v>0</v>
      </c>
      <c r="M1060" s="21"/>
      <c r="N1060" s="23">
        <v>0</v>
      </c>
      <c r="O1060" s="24"/>
      <c r="P1060" s="19"/>
      <c r="Q1060" s="25"/>
      <c r="R1060" s="25"/>
      <c r="S1060" s="19"/>
      <c r="T1060" s="26"/>
      <c r="U1060" s="27" t="s">
        <v>21</v>
      </c>
      <c r="V1060" s="28" t="s">
        <v>3611</v>
      </c>
      <c r="W1060" s="29" t="s">
        <v>26</v>
      </c>
    </row>
    <row r="1061" spans="1:23" ht="30" customHeight="1">
      <c r="A1061" s="19" t="s">
        <v>5597</v>
      </c>
      <c r="B1061" s="19" t="s">
        <v>5569</v>
      </c>
      <c r="C1061" s="19"/>
      <c r="D1061" s="19" t="s">
        <v>4236</v>
      </c>
      <c r="E1061" s="20" t="s">
        <v>4237</v>
      </c>
      <c r="F1061" s="19"/>
      <c r="G1061" s="21" t="s">
        <v>22</v>
      </c>
      <c r="H1061" s="22" t="b">
        <v>0</v>
      </c>
      <c r="I1061" s="22" t="b">
        <v>0</v>
      </c>
      <c r="J1061" s="22" t="b">
        <v>0</v>
      </c>
      <c r="K1061" s="22" t="b">
        <v>0</v>
      </c>
      <c r="L1061" s="22" t="b">
        <v>0</v>
      </c>
      <c r="M1061" s="21"/>
      <c r="N1061" s="23">
        <v>0</v>
      </c>
      <c r="O1061" s="24"/>
      <c r="P1061" s="19"/>
      <c r="Q1061" s="25"/>
      <c r="R1061" s="25"/>
      <c r="S1061" s="19"/>
      <c r="T1061" s="26"/>
      <c r="U1061" s="27" t="s">
        <v>21</v>
      </c>
      <c r="V1061" s="28" t="s">
        <v>4238</v>
      </c>
      <c r="W1061" s="29" t="s">
        <v>26</v>
      </c>
    </row>
    <row r="1062" spans="1:23" ht="30" customHeight="1">
      <c r="A1062" s="19" t="s">
        <v>5597</v>
      </c>
      <c r="B1062" s="19" t="s">
        <v>5569</v>
      </c>
      <c r="C1062" s="19"/>
      <c r="D1062" s="19" t="s">
        <v>4240</v>
      </c>
      <c r="E1062" s="20" t="s">
        <v>4241</v>
      </c>
      <c r="F1062" s="19"/>
      <c r="G1062" s="21" t="s">
        <v>22</v>
      </c>
      <c r="H1062" s="22" t="b">
        <v>0</v>
      </c>
      <c r="I1062" s="22" t="b">
        <v>0</v>
      </c>
      <c r="J1062" s="22" t="b">
        <v>0</v>
      </c>
      <c r="K1062" s="22" t="b">
        <v>0</v>
      </c>
      <c r="L1062" s="22" t="b">
        <v>0</v>
      </c>
      <c r="M1062" s="21"/>
      <c r="N1062" s="23">
        <v>0</v>
      </c>
      <c r="O1062" s="24"/>
      <c r="P1062" s="19"/>
      <c r="Q1062" s="25"/>
      <c r="R1062" s="25"/>
      <c r="S1062" s="19"/>
      <c r="T1062" s="26"/>
      <c r="U1062" s="27" t="s">
        <v>21</v>
      </c>
      <c r="V1062" s="28" t="s">
        <v>4242</v>
      </c>
      <c r="W1062" s="29" t="s">
        <v>26</v>
      </c>
    </row>
    <row r="1063" spans="1:23" ht="30" customHeight="1">
      <c r="A1063" s="19" t="s">
        <v>5597</v>
      </c>
      <c r="B1063" s="19" t="s">
        <v>5569</v>
      </c>
      <c r="C1063" s="19"/>
      <c r="D1063" s="19" t="s">
        <v>4244</v>
      </c>
      <c r="E1063" s="20" t="s">
        <v>4245</v>
      </c>
      <c r="F1063" s="19"/>
      <c r="G1063" s="21" t="s">
        <v>22</v>
      </c>
      <c r="H1063" s="22" t="b">
        <v>0</v>
      </c>
      <c r="I1063" s="22" t="b">
        <v>0</v>
      </c>
      <c r="J1063" s="22" t="b">
        <v>0</v>
      </c>
      <c r="K1063" s="22" t="b">
        <v>0</v>
      </c>
      <c r="L1063" s="22" t="b">
        <v>0</v>
      </c>
      <c r="M1063" s="21"/>
      <c r="N1063" s="23">
        <v>0</v>
      </c>
      <c r="O1063" s="24"/>
      <c r="P1063" s="19"/>
      <c r="Q1063" s="25"/>
      <c r="R1063" s="25"/>
      <c r="S1063" s="19"/>
      <c r="T1063" s="26"/>
      <c r="U1063" s="27" t="s">
        <v>21</v>
      </c>
      <c r="V1063" s="28"/>
      <c r="W1063" s="29" t="s">
        <v>26</v>
      </c>
    </row>
    <row r="1064" spans="1:23" ht="30" customHeight="1">
      <c r="A1064" s="19" t="s">
        <v>5597</v>
      </c>
      <c r="B1064" s="19" t="s">
        <v>5569</v>
      </c>
      <c r="C1064" s="19"/>
      <c r="D1064" s="19" t="s">
        <v>4248</v>
      </c>
      <c r="E1064" s="20" t="s">
        <v>4249</v>
      </c>
      <c r="F1064" s="19"/>
      <c r="G1064" s="21" t="s">
        <v>29</v>
      </c>
      <c r="H1064" s="22" t="b">
        <v>0</v>
      </c>
      <c r="I1064" s="22" t="b">
        <v>0</v>
      </c>
      <c r="J1064" s="22" t="b">
        <v>0</v>
      </c>
      <c r="K1064" s="22" t="b">
        <v>0</v>
      </c>
      <c r="L1064" s="22" t="b">
        <v>0</v>
      </c>
      <c r="M1064" s="21"/>
      <c r="N1064" s="23">
        <v>0</v>
      </c>
      <c r="O1064" s="24"/>
      <c r="P1064" s="19"/>
      <c r="Q1064" s="25"/>
      <c r="R1064" s="25"/>
      <c r="S1064" s="19"/>
      <c r="T1064" s="26"/>
      <c r="U1064" s="27" t="s">
        <v>21</v>
      </c>
      <c r="V1064" s="28" t="s">
        <v>4250</v>
      </c>
      <c r="W1064" s="29" t="s">
        <v>26</v>
      </c>
    </row>
    <row r="1065" spans="1:23" ht="30" customHeight="1">
      <c r="A1065" s="19" t="s">
        <v>5597</v>
      </c>
      <c r="B1065" s="19" t="s">
        <v>5569</v>
      </c>
      <c r="C1065" s="19"/>
      <c r="D1065" s="19" t="s">
        <v>4253</v>
      </c>
      <c r="E1065" s="20" t="s">
        <v>4254</v>
      </c>
      <c r="F1065" s="19"/>
      <c r="G1065" s="21" t="s">
        <v>22</v>
      </c>
      <c r="H1065" s="22" t="b">
        <v>0</v>
      </c>
      <c r="I1065" s="22" t="b">
        <v>0</v>
      </c>
      <c r="J1065" s="22" t="b">
        <v>0</v>
      </c>
      <c r="K1065" s="22" t="b">
        <v>0</v>
      </c>
      <c r="L1065" s="22" t="b">
        <v>0</v>
      </c>
      <c r="M1065" s="21"/>
      <c r="N1065" s="23">
        <v>0</v>
      </c>
      <c r="O1065" s="24"/>
      <c r="P1065" s="19"/>
      <c r="Q1065" s="25"/>
      <c r="R1065" s="25"/>
      <c r="S1065" s="19"/>
      <c r="T1065" s="26"/>
      <c r="U1065" s="27" t="s">
        <v>21</v>
      </c>
      <c r="V1065" s="28" t="s">
        <v>3611</v>
      </c>
      <c r="W1065" s="29" t="s">
        <v>26</v>
      </c>
    </row>
    <row r="1066" spans="1:23" ht="30" customHeight="1">
      <c r="A1066" s="19" t="s">
        <v>5598</v>
      </c>
      <c r="B1066" s="19" t="s">
        <v>5569</v>
      </c>
      <c r="C1066" s="19"/>
      <c r="D1066" s="19" t="s">
        <v>4258</v>
      </c>
      <c r="E1066" s="20" t="s">
        <v>4259</v>
      </c>
      <c r="F1066" s="19"/>
      <c r="G1066" s="21" t="s">
        <v>22</v>
      </c>
      <c r="H1066" s="22" t="b">
        <v>0</v>
      </c>
      <c r="I1066" s="22" t="b">
        <v>0</v>
      </c>
      <c r="J1066" s="22" t="b">
        <v>0</v>
      </c>
      <c r="K1066" s="22" t="b">
        <v>0</v>
      </c>
      <c r="L1066" s="22" t="b">
        <v>0</v>
      </c>
      <c r="M1066" s="21"/>
      <c r="N1066" s="23">
        <v>0</v>
      </c>
      <c r="O1066" s="24"/>
      <c r="P1066" s="19"/>
      <c r="Q1066" s="25"/>
      <c r="R1066" s="25"/>
      <c r="S1066" s="19"/>
      <c r="T1066" s="26"/>
      <c r="U1066" s="27" t="s">
        <v>21</v>
      </c>
      <c r="V1066" s="28" t="s">
        <v>4260</v>
      </c>
      <c r="W1066" s="29" t="s">
        <v>26</v>
      </c>
    </row>
    <row r="1067" spans="1:23" ht="30" customHeight="1">
      <c r="A1067" s="19" t="s">
        <v>5598</v>
      </c>
      <c r="B1067" s="19" t="s">
        <v>5569</v>
      </c>
      <c r="C1067" s="19"/>
      <c r="D1067" s="19" t="s">
        <v>4263</v>
      </c>
      <c r="E1067" s="20" t="s">
        <v>4264</v>
      </c>
      <c r="F1067" s="19"/>
      <c r="G1067" s="21" t="s">
        <v>22</v>
      </c>
      <c r="H1067" s="22" t="b">
        <v>0</v>
      </c>
      <c r="I1067" s="22" t="b">
        <v>0</v>
      </c>
      <c r="J1067" s="22" t="b">
        <v>0</v>
      </c>
      <c r="K1067" s="22" t="b">
        <v>0</v>
      </c>
      <c r="L1067" s="22" t="b">
        <v>0</v>
      </c>
      <c r="M1067" s="21"/>
      <c r="N1067" s="23">
        <v>0</v>
      </c>
      <c r="O1067" s="24"/>
      <c r="P1067" s="19"/>
      <c r="Q1067" s="25"/>
      <c r="R1067" s="25"/>
      <c r="S1067" s="19"/>
      <c r="T1067" s="26"/>
      <c r="U1067" s="27" t="s">
        <v>21</v>
      </c>
      <c r="V1067" s="28" t="s">
        <v>4260</v>
      </c>
      <c r="W1067" s="29" t="s">
        <v>26</v>
      </c>
    </row>
    <row r="1068" spans="1:23" ht="30" customHeight="1">
      <c r="A1068" s="19" t="s">
        <v>5598</v>
      </c>
      <c r="B1068" s="19" t="s">
        <v>5569</v>
      </c>
      <c r="C1068" s="19"/>
      <c r="D1068" s="19" t="s">
        <v>4266</v>
      </c>
      <c r="E1068" s="20" t="s">
        <v>4267</v>
      </c>
      <c r="F1068" s="19"/>
      <c r="G1068" s="21" t="s">
        <v>22</v>
      </c>
      <c r="H1068" s="22" t="b">
        <v>0</v>
      </c>
      <c r="I1068" s="22" t="b">
        <v>0</v>
      </c>
      <c r="J1068" s="22" t="b">
        <v>0</v>
      </c>
      <c r="K1068" s="22" t="b">
        <v>0</v>
      </c>
      <c r="L1068" s="22" t="b">
        <v>0</v>
      </c>
      <c r="M1068" s="21"/>
      <c r="N1068" s="23">
        <v>0</v>
      </c>
      <c r="O1068" s="24"/>
      <c r="P1068" s="19"/>
      <c r="Q1068" s="25"/>
      <c r="R1068" s="25"/>
      <c r="S1068" s="19"/>
      <c r="T1068" s="26"/>
      <c r="U1068" s="27" t="s">
        <v>21</v>
      </c>
      <c r="V1068" s="28" t="s">
        <v>4260</v>
      </c>
      <c r="W1068" s="29" t="s">
        <v>26</v>
      </c>
    </row>
    <row r="1069" spans="1:23" ht="30" customHeight="1">
      <c r="A1069" s="19" t="s">
        <v>5598</v>
      </c>
      <c r="B1069" s="19" t="s">
        <v>5569</v>
      </c>
      <c r="C1069" s="19"/>
      <c r="D1069" s="19" t="s">
        <v>4270</v>
      </c>
      <c r="E1069" s="20" t="s">
        <v>4271</v>
      </c>
      <c r="F1069" s="19"/>
      <c r="G1069" s="21" t="s">
        <v>22</v>
      </c>
      <c r="H1069" s="22" t="b">
        <v>0</v>
      </c>
      <c r="I1069" s="22" t="b">
        <v>0</v>
      </c>
      <c r="J1069" s="22" t="b">
        <v>0</v>
      </c>
      <c r="K1069" s="22" t="b">
        <v>0</v>
      </c>
      <c r="L1069" s="22" t="b">
        <v>0</v>
      </c>
      <c r="M1069" s="21"/>
      <c r="N1069" s="23">
        <v>0</v>
      </c>
      <c r="O1069" s="24"/>
      <c r="P1069" s="19"/>
      <c r="Q1069" s="25"/>
      <c r="R1069" s="25"/>
      <c r="S1069" s="19"/>
      <c r="T1069" s="26"/>
      <c r="U1069" s="27" t="s">
        <v>21</v>
      </c>
      <c r="V1069" s="28" t="s">
        <v>4272</v>
      </c>
      <c r="W1069" s="29" t="s">
        <v>26</v>
      </c>
    </row>
    <row r="1070" spans="1:23" ht="30" customHeight="1">
      <c r="A1070" s="19" t="s">
        <v>5598</v>
      </c>
      <c r="B1070" s="19" t="s">
        <v>5569</v>
      </c>
      <c r="C1070" s="19"/>
      <c r="D1070" s="19" t="s">
        <v>4275</v>
      </c>
      <c r="E1070" s="20" t="s">
        <v>4276</v>
      </c>
      <c r="F1070" s="19"/>
      <c r="G1070" s="21" t="s">
        <v>29</v>
      </c>
      <c r="H1070" s="22" t="b">
        <v>0</v>
      </c>
      <c r="I1070" s="22" t="b">
        <v>0</v>
      </c>
      <c r="J1070" s="22" t="b">
        <v>0</v>
      </c>
      <c r="K1070" s="22" t="b">
        <v>0</v>
      </c>
      <c r="L1070" s="22" t="b">
        <v>0</v>
      </c>
      <c r="M1070" s="21"/>
      <c r="N1070" s="23">
        <v>0</v>
      </c>
      <c r="O1070" s="24"/>
      <c r="P1070" s="19"/>
      <c r="Q1070" s="25"/>
      <c r="R1070" s="25"/>
      <c r="S1070" s="19"/>
      <c r="T1070" s="26"/>
      <c r="U1070" s="27" t="s">
        <v>21</v>
      </c>
      <c r="V1070" s="28"/>
      <c r="W1070" s="29" t="s">
        <v>26</v>
      </c>
    </row>
    <row r="1071" spans="1:23" ht="30" customHeight="1">
      <c r="A1071" s="19" t="s">
        <v>5598</v>
      </c>
      <c r="B1071" s="19" t="s">
        <v>5569</v>
      </c>
      <c r="C1071" s="19"/>
      <c r="D1071" s="19" t="s">
        <v>4278</v>
      </c>
      <c r="E1071" s="20" t="s">
        <v>4279</v>
      </c>
      <c r="F1071" s="19"/>
      <c r="G1071" s="21" t="s">
        <v>22</v>
      </c>
      <c r="H1071" s="22" t="b">
        <v>0</v>
      </c>
      <c r="I1071" s="22" t="b">
        <v>0</v>
      </c>
      <c r="J1071" s="22" t="b">
        <v>0</v>
      </c>
      <c r="K1071" s="22" t="b">
        <v>0</v>
      </c>
      <c r="L1071" s="22" t="b">
        <v>0</v>
      </c>
      <c r="M1071" s="21"/>
      <c r="N1071" s="23">
        <v>0</v>
      </c>
      <c r="O1071" s="24"/>
      <c r="P1071" s="19"/>
      <c r="Q1071" s="25"/>
      <c r="R1071" s="25"/>
      <c r="S1071" s="19"/>
      <c r="T1071" s="26"/>
      <c r="U1071" s="27" t="s">
        <v>21</v>
      </c>
      <c r="V1071" s="28" t="s">
        <v>4260</v>
      </c>
      <c r="W1071" s="29" t="s">
        <v>26</v>
      </c>
    </row>
    <row r="1072" spans="1:23" ht="30" customHeight="1">
      <c r="A1072" s="19" t="s">
        <v>5598</v>
      </c>
      <c r="B1072" s="19" t="s">
        <v>5569</v>
      </c>
      <c r="C1072" s="19"/>
      <c r="D1072" s="19" t="s">
        <v>4282</v>
      </c>
      <c r="E1072" s="20" t="s">
        <v>4283</v>
      </c>
      <c r="F1072" s="19"/>
      <c r="G1072" s="21" t="s">
        <v>22</v>
      </c>
      <c r="H1072" s="22" t="b">
        <v>0</v>
      </c>
      <c r="I1072" s="22" t="b">
        <v>0</v>
      </c>
      <c r="J1072" s="22" t="b">
        <v>0</v>
      </c>
      <c r="K1072" s="22" t="b">
        <v>0</v>
      </c>
      <c r="L1072" s="22" t="b">
        <v>0</v>
      </c>
      <c r="M1072" s="21"/>
      <c r="N1072" s="23">
        <v>0</v>
      </c>
      <c r="O1072" s="24"/>
      <c r="P1072" s="19"/>
      <c r="Q1072" s="25"/>
      <c r="R1072" s="25"/>
      <c r="S1072" s="19"/>
      <c r="T1072" s="26"/>
      <c r="U1072" s="27" t="s">
        <v>21</v>
      </c>
      <c r="V1072" s="28" t="s">
        <v>4284</v>
      </c>
      <c r="W1072" s="29" t="s">
        <v>26</v>
      </c>
    </row>
    <row r="1073" spans="1:23" ht="30" customHeight="1">
      <c r="A1073" s="19" t="s">
        <v>5598</v>
      </c>
      <c r="B1073" s="19" t="s">
        <v>5569</v>
      </c>
      <c r="C1073" s="19"/>
      <c r="D1073" s="19" t="s">
        <v>4286</v>
      </c>
      <c r="E1073" s="20" t="s">
        <v>4287</v>
      </c>
      <c r="F1073" s="19"/>
      <c r="G1073" s="21" t="s">
        <v>22</v>
      </c>
      <c r="H1073" s="22" t="b">
        <v>0</v>
      </c>
      <c r="I1073" s="22" t="b">
        <v>0</v>
      </c>
      <c r="J1073" s="22" t="b">
        <v>0</v>
      </c>
      <c r="K1073" s="22" t="b">
        <v>0</v>
      </c>
      <c r="L1073" s="22" t="b">
        <v>0</v>
      </c>
      <c r="M1073" s="21"/>
      <c r="N1073" s="23">
        <v>0</v>
      </c>
      <c r="O1073" s="24"/>
      <c r="P1073" s="19"/>
      <c r="Q1073" s="25"/>
      <c r="R1073" s="25"/>
      <c r="S1073" s="19"/>
      <c r="T1073" s="26"/>
      <c r="U1073" s="27" t="s">
        <v>21</v>
      </c>
      <c r="V1073" s="28" t="s">
        <v>4260</v>
      </c>
      <c r="W1073" s="29" t="s">
        <v>26</v>
      </c>
    </row>
    <row r="1074" spans="1:23" ht="30" customHeight="1">
      <c r="A1074" s="19" t="s">
        <v>5598</v>
      </c>
      <c r="B1074" s="19" t="s">
        <v>5569</v>
      </c>
      <c r="C1074" s="19"/>
      <c r="D1074" s="19" t="s">
        <v>4290</v>
      </c>
      <c r="E1074" s="20" t="s">
        <v>4291</v>
      </c>
      <c r="F1074" s="19"/>
      <c r="G1074" s="21" t="s">
        <v>22</v>
      </c>
      <c r="H1074" s="22" t="b">
        <v>0</v>
      </c>
      <c r="I1074" s="22" t="b">
        <v>0</v>
      </c>
      <c r="J1074" s="22" t="b">
        <v>0</v>
      </c>
      <c r="K1074" s="22" t="b">
        <v>0</v>
      </c>
      <c r="L1074" s="22" t="b">
        <v>0</v>
      </c>
      <c r="M1074" s="21"/>
      <c r="N1074" s="23">
        <v>0</v>
      </c>
      <c r="O1074" s="24"/>
      <c r="P1074" s="19"/>
      <c r="Q1074" s="25"/>
      <c r="R1074" s="25"/>
      <c r="S1074" s="19"/>
      <c r="T1074" s="26"/>
      <c r="U1074" s="27" t="s">
        <v>21</v>
      </c>
      <c r="V1074" s="28" t="s">
        <v>4292</v>
      </c>
      <c r="W1074" s="29" t="s">
        <v>26</v>
      </c>
    </row>
    <row r="1075" spans="1:23" ht="30" customHeight="1">
      <c r="A1075" s="19" t="s">
        <v>5599</v>
      </c>
      <c r="B1075" s="19" t="s">
        <v>5569</v>
      </c>
      <c r="C1075" s="19"/>
      <c r="D1075" s="19" t="s">
        <v>4296</v>
      </c>
      <c r="E1075" s="20" t="s">
        <v>4297</v>
      </c>
      <c r="F1075" s="19"/>
      <c r="G1075" s="21" t="s">
        <v>22</v>
      </c>
      <c r="H1075" s="22" t="b">
        <v>0</v>
      </c>
      <c r="I1075" s="22" t="b">
        <v>0</v>
      </c>
      <c r="J1075" s="22" t="b">
        <v>0</v>
      </c>
      <c r="K1075" s="22" t="b">
        <v>0</v>
      </c>
      <c r="L1075" s="22" t="b">
        <v>0</v>
      </c>
      <c r="M1075" s="21"/>
      <c r="N1075" s="23">
        <v>0</v>
      </c>
      <c r="O1075" s="24"/>
      <c r="P1075" s="19"/>
      <c r="Q1075" s="25"/>
      <c r="R1075" s="25"/>
      <c r="S1075" s="19"/>
      <c r="T1075" s="26"/>
      <c r="U1075" s="27" t="s">
        <v>21</v>
      </c>
      <c r="V1075" s="28"/>
      <c r="W1075" s="29" t="s">
        <v>26</v>
      </c>
    </row>
    <row r="1076" spans="1:23" ht="30" customHeight="1">
      <c r="A1076" s="19" t="s">
        <v>5599</v>
      </c>
      <c r="B1076" s="19" t="s">
        <v>5569</v>
      </c>
      <c r="C1076" s="19"/>
      <c r="D1076" s="19" t="s">
        <v>4300</v>
      </c>
      <c r="E1076" s="20" t="s">
        <v>4301</v>
      </c>
      <c r="F1076" s="19"/>
      <c r="G1076" s="21" t="s">
        <v>22</v>
      </c>
      <c r="H1076" s="22" t="b">
        <v>0</v>
      </c>
      <c r="I1076" s="22" t="b">
        <v>0</v>
      </c>
      <c r="J1076" s="22" t="b">
        <v>0</v>
      </c>
      <c r="K1076" s="22" t="b">
        <v>0</v>
      </c>
      <c r="L1076" s="22" t="b">
        <v>0</v>
      </c>
      <c r="M1076" s="21"/>
      <c r="N1076" s="23">
        <v>0</v>
      </c>
      <c r="O1076" s="24"/>
      <c r="P1076" s="19"/>
      <c r="Q1076" s="25"/>
      <c r="R1076" s="25"/>
      <c r="S1076" s="19"/>
      <c r="T1076" s="26"/>
      <c r="U1076" s="27" t="s">
        <v>21</v>
      </c>
      <c r="V1076" s="28" t="s">
        <v>4302</v>
      </c>
      <c r="W1076" s="29" t="s">
        <v>26</v>
      </c>
    </row>
    <row r="1077" spans="1:23" ht="30" customHeight="1">
      <c r="A1077" s="19" t="s">
        <v>5599</v>
      </c>
      <c r="B1077" s="19" t="s">
        <v>5569</v>
      </c>
      <c r="C1077" s="19"/>
      <c r="D1077" s="19" t="s">
        <v>4304</v>
      </c>
      <c r="E1077" s="20" t="s">
        <v>4305</v>
      </c>
      <c r="F1077" s="19"/>
      <c r="G1077" s="21" t="s">
        <v>22</v>
      </c>
      <c r="H1077" s="22" t="b">
        <v>0</v>
      </c>
      <c r="I1077" s="22" t="b">
        <v>0</v>
      </c>
      <c r="J1077" s="22" t="b">
        <v>0</v>
      </c>
      <c r="K1077" s="22" t="b">
        <v>0</v>
      </c>
      <c r="L1077" s="22" t="b">
        <v>0</v>
      </c>
      <c r="M1077" s="21"/>
      <c r="N1077" s="23">
        <v>0</v>
      </c>
      <c r="O1077" s="24"/>
      <c r="P1077" s="19"/>
      <c r="Q1077" s="25"/>
      <c r="R1077" s="25"/>
      <c r="S1077" s="19"/>
      <c r="T1077" s="26"/>
      <c r="U1077" s="27" t="s">
        <v>21</v>
      </c>
      <c r="V1077" s="28" t="s">
        <v>4306</v>
      </c>
      <c r="W1077" s="29" t="s">
        <v>26</v>
      </c>
    </row>
    <row r="1078" spans="1:23" ht="30" customHeight="1">
      <c r="A1078" s="19" t="s">
        <v>5599</v>
      </c>
      <c r="B1078" s="19" t="s">
        <v>5569</v>
      </c>
      <c r="C1078" s="19"/>
      <c r="D1078" s="19" t="s">
        <v>4308</v>
      </c>
      <c r="E1078" s="20" t="s">
        <v>4309</v>
      </c>
      <c r="F1078" s="19"/>
      <c r="G1078" s="21" t="s">
        <v>22</v>
      </c>
      <c r="H1078" s="22" t="b">
        <v>0</v>
      </c>
      <c r="I1078" s="22" t="b">
        <v>0</v>
      </c>
      <c r="J1078" s="22" t="b">
        <v>0</v>
      </c>
      <c r="K1078" s="22" t="b">
        <v>0</v>
      </c>
      <c r="L1078" s="22" t="b">
        <v>0</v>
      </c>
      <c r="M1078" s="21"/>
      <c r="N1078" s="23">
        <v>0</v>
      </c>
      <c r="O1078" s="24"/>
      <c r="P1078" s="19"/>
      <c r="Q1078" s="25"/>
      <c r="R1078" s="25"/>
      <c r="S1078" s="19"/>
      <c r="T1078" s="26"/>
      <c r="U1078" s="27" t="s">
        <v>21</v>
      </c>
      <c r="V1078" s="28" t="s">
        <v>4306</v>
      </c>
      <c r="W1078" s="29" t="s">
        <v>26</v>
      </c>
    </row>
    <row r="1079" spans="1:23" ht="30" customHeight="1">
      <c r="A1079" s="19" t="s">
        <v>5599</v>
      </c>
      <c r="B1079" s="19" t="s">
        <v>5569</v>
      </c>
      <c r="C1079" s="19"/>
      <c r="D1079" s="19" t="s">
        <v>4312</v>
      </c>
      <c r="E1079" s="20" t="s">
        <v>4313</v>
      </c>
      <c r="F1079" s="19"/>
      <c r="G1079" s="21" t="s">
        <v>22</v>
      </c>
      <c r="H1079" s="22" t="b">
        <v>0</v>
      </c>
      <c r="I1079" s="22" t="b">
        <v>0</v>
      </c>
      <c r="J1079" s="22" t="b">
        <v>0</v>
      </c>
      <c r="K1079" s="22" t="b">
        <v>0</v>
      </c>
      <c r="L1079" s="22" t="b">
        <v>0</v>
      </c>
      <c r="M1079" s="21"/>
      <c r="N1079" s="23">
        <v>0</v>
      </c>
      <c r="O1079" s="24"/>
      <c r="P1079" s="19"/>
      <c r="Q1079" s="25"/>
      <c r="R1079" s="25"/>
      <c r="S1079" s="19"/>
      <c r="T1079" s="26"/>
      <c r="U1079" s="27" t="s">
        <v>21</v>
      </c>
      <c r="V1079" s="28" t="s">
        <v>4314</v>
      </c>
      <c r="W1079" s="29" t="s">
        <v>26</v>
      </c>
    </row>
    <row r="1080" spans="1:23" ht="30" customHeight="1">
      <c r="A1080" s="19" t="s">
        <v>5599</v>
      </c>
      <c r="B1080" s="19" t="s">
        <v>5569</v>
      </c>
      <c r="C1080" s="19"/>
      <c r="D1080" s="19" t="s">
        <v>4317</v>
      </c>
      <c r="E1080" s="20" t="s">
        <v>4318</v>
      </c>
      <c r="F1080" s="19"/>
      <c r="G1080" s="21" t="s">
        <v>29</v>
      </c>
      <c r="H1080" s="22" t="b">
        <v>0</v>
      </c>
      <c r="I1080" s="22" t="b">
        <v>0</v>
      </c>
      <c r="J1080" s="22" t="b">
        <v>0</v>
      </c>
      <c r="K1080" s="22" t="b">
        <v>0</v>
      </c>
      <c r="L1080" s="22" t="b">
        <v>0</v>
      </c>
      <c r="M1080" s="21"/>
      <c r="N1080" s="23">
        <v>0</v>
      </c>
      <c r="O1080" s="24"/>
      <c r="P1080" s="19"/>
      <c r="Q1080" s="25"/>
      <c r="R1080" s="25"/>
      <c r="S1080" s="19"/>
      <c r="T1080" s="26"/>
      <c r="U1080" s="27" t="s">
        <v>21</v>
      </c>
      <c r="V1080" s="28" t="s">
        <v>4306</v>
      </c>
      <c r="W1080" s="29" t="s">
        <v>26</v>
      </c>
    </row>
    <row r="1081" spans="1:23" ht="30" customHeight="1">
      <c r="A1081" s="19" t="s">
        <v>5599</v>
      </c>
      <c r="B1081" s="19" t="s">
        <v>5569</v>
      </c>
      <c r="C1081" s="19"/>
      <c r="D1081" s="19" t="s">
        <v>4320</v>
      </c>
      <c r="E1081" s="20" t="s">
        <v>4321</v>
      </c>
      <c r="F1081" s="19"/>
      <c r="G1081" s="21" t="s">
        <v>22</v>
      </c>
      <c r="H1081" s="22" t="b">
        <v>0</v>
      </c>
      <c r="I1081" s="22" t="b">
        <v>0</v>
      </c>
      <c r="J1081" s="22" t="b">
        <v>0</v>
      </c>
      <c r="K1081" s="22" t="b">
        <v>0</v>
      </c>
      <c r="L1081" s="22" t="b">
        <v>0</v>
      </c>
      <c r="M1081" s="21"/>
      <c r="N1081" s="23">
        <v>0</v>
      </c>
      <c r="O1081" s="24"/>
      <c r="P1081" s="19"/>
      <c r="Q1081" s="25"/>
      <c r="R1081" s="25"/>
      <c r="S1081" s="19"/>
      <c r="T1081" s="26"/>
      <c r="U1081" s="27" t="s">
        <v>21</v>
      </c>
      <c r="V1081" s="28"/>
      <c r="W1081" s="29" t="s">
        <v>26</v>
      </c>
    </row>
    <row r="1082" spans="1:23" ht="30" customHeight="1">
      <c r="A1082" s="19" t="s">
        <v>5599</v>
      </c>
      <c r="B1082" s="19" t="s">
        <v>5569</v>
      </c>
      <c r="C1082" s="19"/>
      <c r="D1082" s="19" t="s">
        <v>4323</v>
      </c>
      <c r="E1082" s="20" t="s">
        <v>4324</v>
      </c>
      <c r="F1082" s="19"/>
      <c r="G1082" s="21" t="s">
        <v>22</v>
      </c>
      <c r="H1082" s="22" t="b">
        <v>0</v>
      </c>
      <c r="I1082" s="22" t="b">
        <v>0</v>
      </c>
      <c r="J1082" s="22" t="b">
        <v>0</v>
      </c>
      <c r="K1082" s="22" t="b">
        <v>0</v>
      </c>
      <c r="L1082" s="22" t="b">
        <v>0</v>
      </c>
      <c r="M1082" s="21"/>
      <c r="N1082" s="23">
        <v>0</v>
      </c>
      <c r="O1082" s="24"/>
      <c r="P1082" s="19"/>
      <c r="Q1082" s="25"/>
      <c r="R1082" s="25"/>
      <c r="S1082" s="19"/>
      <c r="T1082" s="26"/>
      <c r="U1082" s="30" t="s">
        <v>34</v>
      </c>
      <c r="V1082" s="28" t="s">
        <v>4184</v>
      </c>
      <c r="W1082" s="29" t="s">
        <v>26</v>
      </c>
    </row>
    <row r="1083" spans="1:23" ht="30" customHeight="1">
      <c r="A1083" s="19" t="s">
        <v>5600</v>
      </c>
      <c r="B1083" s="19" t="s">
        <v>5569</v>
      </c>
      <c r="C1083" s="19"/>
      <c r="D1083" s="19" t="s">
        <v>4328</v>
      </c>
      <c r="E1083" s="20" t="s">
        <v>4329</v>
      </c>
      <c r="F1083" s="19"/>
      <c r="G1083" s="21" t="s">
        <v>22</v>
      </c>
      <c r="H1083" s="22" t="b">
        <v>0</v>
      </c>
      <c r="I1083" s="22" t="b">
        <v>0</v>
      </c>
      <c r="J1083" s="22" t="b">
        <v>0</v>
      </c>
      <c r="K1083" s="22" t="b">
        <v>0</v>
      </c>
      <c r="L1083" s="22" t="b">
        <v>0</v>
      </c>
      <c r="M1083" s="21"/>
      <c r="N1083" s="23">
        <v>0</v>
      </c>
      <c r="O1083" s="24"/>
      <c r="P1083" s="19"/>
      <c r="Q1083" s="25"/>
      <c r="R1083" s="25"/>
      <c r="S1083" s="19"/>
      <c r="T1083" s="26"/>
      <c r="U1083" s="27" t="s">
        <v>21</v>
      </c>
      <c r="V1083" s="28"/>
      <c r="W1083" s="29" t="s">
        <v>26</v>
      </c>
    </row>
    <row r="1084" spans="1:23" ht="30" customHeight="1">
      <c r="A1084" s="19" t="s">
        <v>5600</v>
      </c>
      <c r="B1084" s="19" t="s">
        <v>5569</v>
      </c>
      <c r="C1084" s="19"/>
      <c r="D1084" s="19" t="s">
        <v>4331</v>
      </c>
      <c r="E1084" s="20" t="s">
        <v>4332</v>
      </c>
      <c r="F1084" s="19"/>
      <c r="G1084" s="21" t="s">
        <v>22</v>
      </c>
      <c r="H1084" s="22" t="b">
        <v>0</v>
      </c>
      <c r="I1084" s="22" t="b">
        <v>0</v>
      </c>
      <c r="J1084" s="22" t="b">
        <v>0</v>
      </c>
      <c r="K1084" s="22" t="b">
        <v>0</v>
      </c>
      <c r="L1084" s="22" t="b">
        <v>0</v>
      </c>
      <c r="M1084" s="21"/>
      <c r="N1084" s="23">
        <v>0</v>
      </c>
      <c r="O1084" s="24"/>
      <c r="P1084" s="19"/>
      <c r="Q1084" s="25"/>
      <c r="R1084" s="25"/>
      <c r="S1084" s="19"/>
      <c r="T1084" s="26"/>
      <c r="U1084" s="27" t="s">
        <v>21</v>
      </c>
      <c r="V1084" s="28" t="s">
        <v>4333</v>
      </c>
      <c r="W1084" s="29" t="s">
        <v>26</v>
      </c>
    </row>
    <row r="1085" spans="1:23" ht="30" customHeight="1">
      <c r="A1085" s="19" t="s">
        <v>5600</v>
      </c>
      <c r="B1085" s="19" t="s">
        <v>5569</v>
      </c>
      <c r="C1085" s="19"/>
      <c r="D1085" s="19" t="s">
        <v>4336</v>
      </c>
      <c r="E1085" s="20" t="s">
        <v>4337</v>
      </c>
      <c r="F1085" s="19"/>
      <c r="G1085" s="21" t="s">
        <v>22</v>
      </c>
      <c r="H1085" s="22" t="b">
        <v>0</v>
      </c>
      <c r="I1085" s="22" t="b">
        <v>0</v>
      </c>
      <c r="J1085" s="22" t="b">
        <v>0</v>
      </c>
      <c r="K1085" s="22" t="b">
        <v>0</v>
      </c>
      <c r="L1085" s="22" t="b">
        <v>0</v>
      </c>
      <c r="M1085" s="21"/>
      <c r="N1085" s="23">
        <v>0</v>
      </c>
      <c r="O1085" s="24"/>
      <c r="P1085" s="19"/>
      <c r="Q1085" s="25"/>
      <c r="R1085" s="25"/>
      <c r="S1085" s="19"/>
      <c r="T1085" s="26"/>
      <c r="U1085" s="27" t="s">
        <v>21</v>
      </c>
      <c r="V1085" s="28" t="s">
        <v>4338</v>
      </c>
      <c r="W1085" s="29" t="s">
        <v>26</v>
      </c>
    </row>
    <row r="1086" spans="1:23" ht="30" customHeight="1">
      <c r="A1086" s="19" t="s">
        <v>5600</v>
      </c>
      <c r="B1086" s="19" t="s">
        <v>5569</v>
      </c>
      <c r="C1086" s="19"/>
      <c r="D1086" s="19" t="s">
        <v>4341</v>
      </c>
      <c r="E1086" s="20" t="s">
        <v>4342</v>
      </c>
      <c r="F1086" s="19"/>
      <c r="G1086" s="21" t="s">
        <v>22</v>
      </c>
      <c r="H1086" s="22" t="b">
        <v>0</v>
      </c>
      <c r="I1086" s="22" t="b">
        <v>0</v>
      </c>
      <c r="J1086" s="22" t="b">
        <v>0</v>
      </c>
      <c r="K1086" s="22" t="b">
        <v>0</v>
      </c>
      <c r="L1086" s="22" t="b">
        <v>0</v>
      </c>
      <c r="M1086" s="21"/>
      <c r="N1086" s="23">
        <v>0</v>
      </c>
      <c r="O1086" s="24"/>
      <c r="P1086" s="19"/>
      <c r="Q1086" s="25"/>
      <c r="R1086" s="25"/>
      <c r="S1086" s="19"/>
      <c r="T1086" s="26"/>
      <c r="U1086" s="27" t="s">
        <v>21</v>
      </c>
      <c r="V1086" s="28"/>
      <c r="W1086" s="29" t="s">
        <v>26</v>
      </c>
    </row>
    <row r="1087" spans="1:23" ht="30" customHeight="1">
      <c r="A1087" s="19" t="s">
        <v>5600</v>
      </c>
      <c r="B1087" s="19" t="s">
        <v>5569</v>
      </c>
      <c r="C1087" s="19"/>
      <c r="D1087" s="19" t="s">
        <v>4344</v>
      </c>
      <c r="E1087" s="20" t="s">
        <v>4345</v>
      </c>
      <c r="F1087" s="19"/>
      <c r="G1087" s="21" t="s">
        <v>22</v>
      </c>
      <c r="H1087" s="22" t="b">
        <v>0</v>
      </c>
      <c r="I1087" s="22" t="b">
        <v>0</v>
      </c>
      <c r="J1087" s="22" t="b">
        <v>0</v>
      </c>
      <c r="K1087" s="22" t="b">
        <v>0</v>
      </c>
      <c r="L1087" s="22" t="b">
        <v>0</v>
      </c>
      <c r="M1087" s="21"/>
      <c r="N1087" s="23">
        <v>0</v>
      </c>
      <c r="O1087" s="24"/>
      <c r="P1087" s="19"/>
      <c r="Q1087" s="25"/>
      <c r="R1087" s="25"/>
      <c r="S1087" s="19"/>
      <c r="T1087" s="26"/>
      <c r="U1087" s="27" t="s">
        <v>21</v>
      </c>
      <c r="V1087" s="28"/>
      <c r="W1087" s="29" t="s">
        <v>26</v>
      </c>
    </row>
    <row r="1088" spans="1:23" ht="30" customHeight="1">
      <c r="A1088" s="19" t="s">
        <v>5600</v>
      </c>
      <c r="B1088" s="19" t="s">
        <v>5569</v>
      </c>
      <c r="C1088" s="19"/>
      <c r="D1088" s="19" t="s">
        <v>4347</v>
      </c>
      <c r="E1088" s="20" t="s">
        <v>4348</v>
      </c>
      <c r="F1088" s="19"/>
      <c r="G1088" s="21" t="s">
        <v>22</v>
      </c>
      <c r="H1088" s="22" t="b">
        <v>0</v>
      </c>
      <c r="I1088" s="22" t="b">
        <v>0</v>
      </c>
      <c r="J1088" s="22" t="b">
        <v>0</v>
      </c>
      <c r="K1088" s="22" t="b">
        <v>0</v>
      </c>
      <c r="L1088" s="22" t="b">
        <v>0</v>
      </c>
      <c r="M1088" s="21"/>
      <c r="N1088" s="23">
        <v>0</v>
      </c>
      <c r="O1088" s="24"/>
      <c r="P1088" s="19"/>
      <c r="Q1088" s="25"/>
      <c r="R1088" s="25"/>
      <c r="S1088" s="19"/>
      <c r="T1088" s="26"/>
      <c r="U1088" s="27" t="s">
        <v>21</v>
      </c>
      <c r="V1088" s="28" t="s">
        <v>4349</v>
      </c>
      <c r="W1088" s="29" t="s">
        <v>26</v>
      </c>
    </row>
    <row r="1089" spans="1:23" ht="30" customHeight="1">
      <c r="A1089" s="19" t="s">
        <v>5600</v>
      </c>
      <c r="B1089" s="19" t="s">
        <v>5569</v>
      </c>
      <c r="C1089" s="19"/>
      <c r="D1089" s="19" t="s">
        <v>4352</v>
      </c>
      <c r="E1089" s="20" t="s">
        <v>4353</v>
      </c>
      <c r="F1089" s="19"/>
      <c r="G1089" s="21" t="s">
        <v>22</v>
      </c>
      <c r="H1089" s="22" t="b">
        <v>0</v>
      </c>
      <c r="I1089" s="22" t="b">
        <v>0</v>
      </c>
      <c r="J1089" s="22" t="b">
        <v>0</v>
      </c>
      <c r="K1089" s="22" t="b">
        <v>0</v>
      </c>
      <c r="L1089" s="22" t="b">
        <v>0</v>
      </c>
      <c r="M1089" s="21"/>
      <c r="N1089" s="23">
        <v>0</v>
      </c>
      <c r="O1089" s="24"/>
      <c r="P1089" s="19"/>
      <c r="Q1089" s="25"/>
      <c r="R1089" s="25"/>
      <c r="S1089" s="19"/>
      <c r="T1089" s="26"/>
      <c r="U1089" s="27" t="s">
        <v>21</v>
      </c>
      <c r="V1089" s="28"/>
      <c r="W1089" s="29" t="s">
        <v>26</v>
      </c>
    </row>
    <row r="1090" spans="1:23" ht="30" customHeight="1">
      <c r="A1090" s="19" t="s">
        <v>5600</v>
      </c>
      <c r="B1090" s="19" t="s">
        <v>5569</v>
      </c>
      <c r="C1090" s="19"/>
      <c r="D1090" s="19" t="s">
        <v>4355</v>
      </c>
      <c r="E1090" s="20" t="s">
        <v>4356</v>
      </c>
      <c r="F1090" s="19"/>
      <c r="G1090" s="21" t="s">
        <v>29</v>
      </c>
      <c r="H1090" s="22" t="b">
        <v>0</v>
      </c>
      <c r="I1090" s="22" t="b">
        <v>0</v>
      </c>
      <c r="J1090" s="22" t="b">
        <v>0</v>
      </c>
      <c r="K1090" s="22" t="b">
        <v>0</v>
      </c>
      <c r="L1090" s="22" t="b">
        <v>0</v>
      </c>
      <c r="M1090" s="21"/>
      <c r="N1090" s="23">
        <v>0</v>
      </c>
      <c r="O1090" s="24"/>
      <c r="P1090" s="19"/>
      <c r="Q1090" s="25"/>
      <c r="R1090" s="25"/>
      <c r="S1090" s="19"/>
      <c r="T1090" s="26"/>
      <c r="U1090" s="27" t="s">
        <v>21</v>
      </c>
      <c r="V1090" s="28"/>
      <c r="W1090" s="29" t="s">
        <v>26</v>
      </c>
    </row>
    <row r="1091" spans="1:23" ht="30" customHeight="1">
      <c r="A1091" s="19" t="s">
        <v>5600</v>
      </c>
      <c r="B1091" s="19" t="s">
        <v>5569</v>
      </c>
      <c r="C1091" s="19"/>
      <c r="D1091" s="19" t="s">
        <v>4358</v>
      </c>
      <c r="E1091" s="20" t="s">
        <v>4359</v>
      </c>
      <c r="F1091" s="19"/>
      <c r="G1091" s="21" t="s">
        <v>29</v>
      </c>
      <c r="H1091" s="22" t="b">
        <v>0</v>
      </c>
      <c r="I1091" s="22" t="b">
        <v>0</v>
      </c>
      <c r="J1091" s="22" t="b">
        <v>0</v>
      </c>
      <c r="K1091" s="22" t="b">
        <v>0</v>
      </c>
      <c r="L1091" s="22" t="b">
        <v>0</v>
      </c>
      <c r="M1091" s="21"/>
      <c r="N1091" s="23">
        <v>0</v>
      </c>
      <c r="O1091" s="24"/>
      <c r="P1091" s="19"/>
      <c r="Q1091" s="25"/>
      <c r="R1091" s="25"/>
      <c r="S1091" s="19"/>
      <c r="T1091" s="26"/>
      <c r="U1091" s="27" t="s">
        <v>21</v>
      </c>
      <c r="V1091" s="28" t="s">
        <v>4360</v>
      </c>
      <c r="W1091" s="29" t="s">
        <v>26</v>
      </c>
    </row>
    <row r="1092" spans="1:23" ht="30" customHeight="1">
      <c r="A1092" s="19" t="s">
        <v>5600</v>
      </c>
      <c r="B1092" s="19" t="s">
        <v>5569</v>
      </c>
      <c r="C1092" s="19"/>
      <c r="D1092" s="19" t="s">
        <v>4362</v>
      </c>
      <c r="E1092" s="20" t="s">
        <v>4363</v>
      </c>
      <c r="F1092" s="19"/>
      <c r="G1092" s="21" t="s">
        <v>22</v>
      </c>
      <c r="H1092" s="22" t="b">
        <v>0</v>
      </c>
      <c r="I1092" s="22" t="b">
        <v>0</v>
      </c>
      <c r="J1092" s="22" t="b">
        <v>0</v>
      </c>
      <c r="K1092" s="22" t="b">
        <v>0</v>
      </c>
      <c r="L1092" s="22" t="b">
        <v>0</v>
      </c>
      <c r="M1092" s="21"/>
      <c r="N1092" s="23">
        <v>0</v>
      </c>
      <c r="O1092" s="24"/>
      <c r="P1092" s="19"/>
      <c r="Q1092" s="25"/>
      <c r="R1092" s="25"/>
      <c r="S1092" s="19"/>
      <c r="T1092" s="26"/>
      <c r="U1092" s="27" t="s">
        <v>21</v>
      </c>
      <c r="V1092" s="28"/>
      <c r="W1092" s="29" t="s">
        <v>26</v>
      </c>
    </row>
    <row r="1093" spans="1:23" ht="30" customHeight="1">
      <c r="A1093" s="19" t="s">
        <v>5601</v>
      </c>
      <c r="B1093" s="19" t="s">
        <v>5569</v>
      </c>
      <c r="C1093" s="19"/>
      <c r="D1093" s="19" t="s">
        <v>4367</v>
      </c>
      <c r="E1093" s="20" t="s">
        <v>4368</v>
      </c>
      <c r="F1093" s="19"/>
      <c r="G1093" s="21" t="s">
        <v>29</v>
      </c>
      <c r="H1093" s="22" t="b">
        <v>0</v>
      </c>
      <c r="I1093" s="22" t="b">
        <v>0</v>
      </c>
      <c r="J1093" s="22" t="b">
        <v>0</v>
      </c>
      <c r="K1093" s="22" t="b">
        <v>0</v>
      </c>
      <c r="L1093" s="22" t="b">
        <v>0</v>
      </c>
      <c r="M1093" s="21"/>
      <c r="N1093" s="23">
        <v>0</v>
      </c>
      <c r="O1093" s="24"/>
      <c r="P1093" s="19"/>
      <c r="Q1093" s="25"/>
      <c r="R1093" s="25"/>
      <c r="S1093" s="19"/>
      <c r="T1093" s="26"/>
      <c r="U1093" s="27" t="s">
        <v>21</v>
      </c>
      <c r="V1093" s="28" t="s">
        <v>4369</v>
      </c>
      <c r="W1093" s="29" t="s">
        <v>26</v>
      </c>
    </row>
    <row r="1094" spans="1:23" ht="30" customHeight="1">
      <c r="A1094" s="19" t="s">
        <v>5601</v>
      </c>
      <c r="B1094" s="19" t="s">
        <v>5569</v>
      </c>
      <c r="C1094" s="19"/>
      <c r="D1094" s="19" t="s">
        <v>4372</v>
      </c>
      <c r="E1094" s="20" t="s">
        <v>4373</v>
      </c>
      <c r="F1094" s="19"/>
      <c r="G1094" s="21" t="s">
        <v>22</v>
      </c>
      <c r="H1094" s="22" t="b">
        <v>0</v>
      </c>
      <c r="I1094" s="22" t="b">
        <v>0</v>
      </c>
      <c r="J1094" s="22" t="b">
        <v>0</v>
      </c>
      <c r="K1094" s="22" t="b">
        <v>0</v>
      </c>
      <c r="L1094" s="22" t="b">
        <v>0</v>
      </c>
      <c r="M1094" s="21"/>
      <c r="N1094" s="23">
        <v>0</v>
      </c>
      <c r="O1094" s="24"/>
      <c r="P1094" s="19"/>
      <c r="Q1094" s="25"/>
      <c r="R1094" s="25"/>
      <c r="S1094" s="19"/>
      <c r="T1094" s="26"/>
      <c r="U1094" s="27" t="s">
        <v>21</v>
      </c>
      <c r="V1094" s="28" t="s">
        <v>4374</v>
      </c>
      <c r="W1094" s="29" t="s">
        <v>26</v>
      </c>
    </row>
    <row r="1095" spans="1:23" ht="30" customHeight="1">
      <c r="A1095" s="19" t="s">
        <v>5601</v>
      </c>
      <c r="B1095" s="19" t="s">
        <v>5569</v>
      </c>
      <c r="C1095" s="19"/>
      <c r="D1095" s="19" t="s">
        <v>4377</v>
      </c>
      <c r="E1095" s="20" t="s">
        <v>4378</v>
      </c>
      <c r="F1095" s="19"/>
      <c r="G1095" s="21" t="s">
        <v>22</v>
      </c>
      <c r="H1095" s="22" t="b">
        <v>0</v>
      </c>
      <c r="I1095" s="22" t="b">
        <v>0</v>
      </c>
      <c r="J1095" s="22" t="b">
        <v>0</v>
      </c>
      <c r="K1095" s="22" t="b">
        <v>0</v>
      </c>
      <c r="L1095" s="22" t="b">
        <v>0</v>
      </c>
      <c r="M1095" s="21"/>
      <c r="N1095" s="23">
        <v>0</v>
      </c>
      <c r="O1095" s="24"/>
      <c r="P1095" s="19"/>
      <c r="Q1095" s="25"/>
      <c r="R1095" s="25"/>
      <c r="S1095" s="19"/>
      <c r="T1095" s="26"/>
      <c r="U1095" s="27" t="s">
        <v>21</v>
      </c>
      <c r="V1095" s="28" t="s">
        <v>4379</v>
      </c>
      <c r="W1095" s="29" t="s">
        <v>26</v>
      </c>
    </row>
    <row r="1096" spans="1:23" ht="30" customHeight="1">
      <c r="A1096" s="19" t="s">
        <v>5601</v>
      </c>
      <c r="B1096" s="19" t="s">
        <v>5569</v>
      </c>
      <c r="C1096" s="19"/>
      <c r="D1096" s="19" t="s">
        <v>4382</v>
      </c>
      <c r="E1096" s="20" t="s">
        <v>4383</v>
      </c>
      <c r="F1096" s="19"/>
      <c r="G1096" s="21" t="s">
        <v>22</v>
      </c>
      <c r="H1096" s="22" t="b">
        <v>0</v>
      </c>
      <c r="I1096" s="22" t="b">
        <v>0</v>
      </c>
      <c r="J1096" s="22" t="b">
        <v>0</v>
      </c>
      <c r="K1096" s="22" t="b">
        <v>0</v>
      </c>
      <c r="L1096" s="22" t="b">
        <v>0</v>
      </c>
      <c r="M1096" s="21"/>
      <c r="N1096" s="23">
        <v>0</v>
      </c>
      <c r="O1096" s="24"/>
      <c r="P1096" s="19"/>
      <c r="Q1096" s="25"/>
      <c r="R1096" s="25"/>
      <c r="S1096" s="19"/>
      <c r="T1096" s="26"/>
      <c r="U1096" s="27" t="s">
        <v>21</v>
      </c>
      <c r="V1096" s="28" t="s">
        <v>4384</v>
      </c>
      <c r="W1096" s="29" t="s">
        <v>26</v>
      </c>
    </row>
    <row r="1097" spans="1:23" ht="30" customHeight="1">
      <c r="A1097" s="19" t="s">
        <v>5601</v>
      </c>
      <c r="B1097" s="19" t="s">
        <v>5569</v>
      </c>
      <c r="C1097" s="19"/>
      <c r="D1097" s="19" t="s">
        <v>4387</v>
      </c>
      <c r="E1097" s="20" t="s">
        <v>4388</v>
      </c>
      <c r="F1097" s="19"/>
      <c r="G1097" s="21" t="s">
        <v>22</v>
      </c>
      <c r="H1097" s="22" t="b">
        <v>0</v>
      </c>
      <c r="I1097" s="22" t="b">
        <v>0</v>
      </c>
      <c r="J1097" s="22" t="b">
        <v>0</v>
      </c>
      <c r="K1097" s="22" t="b">
        <v>0</v>
      </c>
      <c r="L1097" s="22" t="b">
        <v>0</v>
      </c>
      <c r="M1097" s="21"/>
      <c r="N1097" s="23">
        <v>0</v>
      </c>
      <c r="O1097" s="24"/>
      <c r="P1097" s="19"/>
      <c r="Q1097" s="25"/>
      <c r="R1097" s="25"/>
      <c r="S1097" s="19"/>
      <c r="T1097" s="26"/>
      <c r="U1097" s="27" t="s">
        <v>21</v>
      </c>
      <c r="V1097" s="28" t="s">
        <v>4389</v>
      </c>
      <c r="W1097" s="29" t="s">
        <v>26</v>
      </c>
    </row>
    <row r="1098" spans="1:23" ht="30" customHeight="1">
      <c r="A1098" s="19" t="s">
        <v>5601</v>
      </c>
      <c r="B1098" s="19" t="s">
        <v>5569</v>
      </c>
      <c r="C1098" s="19"/>
      <c r="D1098" s="19" t="s">
        <v>4392</v>
      </c>
      <c r="E1098" s="20" t="s">
        <v>4393</v>
      </c>
      <c r="F1098" s="19"/>
      <c r="G1098" s="21" t="s">
        <v>29</v>
      </c>
      <c r="H1098" s="22" t="b">
        <v>0</v>
      </c>
      <c r="I1098" s="22" t="b">
        <v>0</v>
      </c>
      <c r="J1098" s="22" t="b">
        <v>0</v>
      </c>
      <c r="K1098" s="22" t="b">
        <v>0</v>
      </c>
      <c r="L1098" s="22" t="b">
        <v>0</v>
      </c>
      <c r="M1098" s="21"/>
      <c r="N1098" s="23">
        <v>0</v>
      </c>
      <c r="O1098" s="24"/>
      <c r="P1098" s="19"/>
      <c r="Q1098" s="25"/>
      <c r="R1098" s="25"/>
      <c r="S1098" s="19"/>
      <c r="T1098" s="26"/>
      <c r="U1098" s="27" t="s">
        <v>21</v>
      </c>
      <c r="V1098" s="28" t="s">
        <v>4394</v>
      </c>
      <c r="W1098" s="29" t="s">
        <v>26</v>
      </c>
    </row>
    <row r="1099" spans="1:23" ht="30" customHeight="1">
      <c r="A1099" s="19" t="s">
        <v>5601</v>
      </c>
      <c r="B1099" s="19" t="s">
        <v>5569</v>
      </c>
      <c r="C1099" s="19"/>
      <c r="D1099" s="19" t="s">
        <v>4397</v>
      </c>
      <c r="E1099" s="20" t="s">
        <v>4398</v>
      </c>
      <c r="F1099" s="19"/>
      <c r="G1099" s="21" t="s">
        <v>4399</v>
      </c>
      <c r="H1099" s="22" t="b">
        <v>0</v>
      </c>
      <c r="I1099" s="22" t="b">
        <v>0</v>
      </c>
      <c r="J1099" s="22" t="b">
        <v>0</v>
      </c>
      <c r="K1099" s="22" t="b">
        <v>0</v>
      </c>
      <c r="L1099" s="22" t="b">
        <v>0</v>
      </c>
      <c r="M1099" s="21"/>
      <c r="N1099" s="23">
        <v>0</v>
      </c>
      <c r="O1099" s="24"/>
      <c r="P1099" s="19"/>
      <c r="Q1099" s="25"/>
      <c r="R1099" s="25"/>
      <c r="S1099" s="19"/>
      <c r="T1099" s="26"/>
      <c r="U1099" s="27" t="s">
        <v>21</v>
      </c>
      <c r="V1099" s="28"/>
      <c r="W1099" s="29" t="s">
        <v>26</v>
      </c>
    </row>
    <row r="1100" spans="1:23" ht="30" customHeight="1">
      <c r="A1100" s="19" t="s">
        <v>5601</v>
      </c>
      <c r="B1100" s="19" t="s">
        <v>5569</v>
      </c>
      <c r="C1100" s="19"/>
      <c r="D1100" s="19" t="s">
        <v>4402</v>
      </c>
      <c r="E1100" s="20" t="s">
        <v>4403</v>
      </c>
      <c r="F1100" s="19"/>
      <c r="G1100" s="21" t="s">
        <v>22</v>
      </c>
      <c r="H1100" s="22" t="b">
        <v>0</v>
      </c>
      <c r="I1100" s="22" t="b">
        <v>0</v>
      </c>
      <c r="J1100" s="22" t="b">
        <v>0</v>
      </c>
      <c r="K1100" s="22" t="b">
        <v>0</v>
      </c>
      <c r="L1100" s="22" t="b">
        <v>0</v>
      </c>
      <c r="M1100" s="21"/>
      <c r="N1100" s="23">
        <v>0</v>
      </c>
      <c r="O1100" s="24"/>
      <c r="P1100" s="19"/>
      <c r="Q1100" s="25"/>
      <c r="R1100" s="25"/>
      <c r="S1100" s="19"/>
      <c r="T1100" s="26"/>
      <c r="U1100" s="27" t="s">
        <v>21</v>
      </c>
      <c r="V1100" s="28" t="s">
        <v>4260</v>
      </c>
      <c r="W1100" s="29" t="s">
        <v>26</v>
      </c>
    </row>
    <row r="1101" spans="1:23" ht="30" customHeight="1">
      <c r="A1101" s="19" t="s">
        <v>5601</v>
      </c>
      <c r="B1101" s="19" t="s">
        <v>5569</v>
      </c>
      <c r="C1101" s="19"/>
      <c r="D1101" s="19" t="s">
        <v>4405</v>
      </c>
      <c r="E1101" s="20" t="s">
        <v>4406</v>
      </c>
      <c r="F1101" s="19"/>
      <c r="G1101" s="21" t="s">
        <v>22</v>
      </c>
      <c r="H1101" s="22" t="b">
        <v>0</v>
      </c>
      <c r="I1101" s="22" t="b">
        <v>0</v>
      </c>
      <c r="J1101" s="22" t="b">
        <v>0</v>
      </c>
      <c r="K1101" s="22" t="b">
        <v>0</v>
      </c>
      <c r="L1101" s="22" t="b">
        <v>0</v>
      </c>
      <c r="M1101" s="21"/>
      <c r="N1101" s="23">
        <v>0</v>
      </c>
      <c r="O1101" s="24"/>
      <c r="P1101" s="19"/>
      <c r="Q1101" s="25"/>
      <c r="R1101" s="25"/>
      <c r="S1101" s="19"/>
      <c r="T1101" s="26"/>
      <c r="U1101" s="27" t="s">
        <v>21</v>
      </c>
      <c r="V1101" s="28" t="s">
        <v>4407</v>
      </c>
      <c r="W1101" s="29" t="s">
        <v>26</v>
      </c>
    </row>
    <row r="1102" spans="1:23" ht="30" customHeight="1">
      <c r="A1102" s="19" t="s">
        <v>5601</v>
      </c>
      <c r="B1102" s="19" t="s">
        <v>5569</v>
      </c>
      <c r="C1102" s="19"/>
      <c r="D1102" s="19" t="s">
        <v>4410</v>
      </c>
      <c r="E1102" s="20" t="s">
        <v>4411</v>
      </c>
      <c r="F1102" s="19"/>
      <c r="G1102" s="21" t="s">
        <v>29</v>
      </c>
      <c r="H1102" s="22" t="b">
        <v>0</v>
      </c>
      <c r="I1102" s="22" t="b">
        <v>0</v>
      </c>
      <c r="J1102" s="22" t="b">
        <v>0</v>
      </c>
      <c r="K1102" s="22" t="b">
        <v>0</v>
      </c>
      <c r="L1102" s="22" t="b">
        <v>0</v>
      </c>
      <c r="M1102" s="21"/>
      <c r="N1102" s="23">
        <v>0</v>
      </c>
      <c r="O1102" s="24"/>
      <c r="P1102" s="19"/>
      <c r="Q1102" s="25"/>
      <c r="R1102" s="25"/>
      <c r="S1102" s="19"/>
      <c r="T1102" s="26"/>
      <c r="U1102" s="27" t="s">
        <v>21</v>
      </c>
      <c r="V1102" s="28" t="s">
        <v>4412</v>
      </c>
      <c r="W1102" s="29" t="s">
        <v>26</v>
      </c>
    </row>
    <row r="1103" spans="1:23" ht="30" customHeight="1">
      <c r="A1103" s="19" t="s">
        <v>5601</v>
      </c>
      <c r="B1103" s="19" t="s">
        <v>5569</v>
      </c>
      <c r="C1103" s="19"/>
      <c r="D1103" s="19" t="s">
        <v>4414</v>
      </c>
      <c r="E1103" s="20" t="s">
        <v>4415</v>
      </c>
      <c r="F1103" s="19"/>
      <c r="G1103" s="21" t="s">
        <v>22</v>
      </c>
      <c r="H1103" s="22" t="b">
        <v>0</v>
      </c>
      <c r="I1103" s="22" t="b">
        <v>0</v>
      </c>
      <c r="J1103" s="22" t="b">
        <v>0</v>
      </c>
      <c r="K1103" s="22" t="b">
        <v>0</v>
      </c>
      <c r="L1103" s="22" t="b">
        <v>0</v>
      </c>
      <c r="M1103" s="21"/>
      <c r="N1103" s="23">
        <v>0</v>
      </c>
      <c r="O1103" s="24"/>
      <c r="P1103" s="19"/>
      <c r="Q1103" s="25"/>
      <c r="R1103" s="25"/>
      <c r="S1103" s="19"/>
      <c r="T1103" s="26"/>
      <c r="U1103" s="27" t="s">
        <v>21</v>
      </c>
      <c r="V1103" s="28"/>
      <c r="W1103" s="29" t="s">
        <v>26</v>
      </c>
    </row>
    <row r="1104" spans="1:23" ht="30" customHeight="1">
      <c r="A1104" s="19" t="s">
        <v>5601</v>
      </c>
      <c r="B1104" s="19" t="s">
        <v>5569</v>
      </c>
      <c r="C1104" s="19"/>
      <c r="D1104" s="19" t="s">
        <v>4417</v>
      </c>
      <c r="E1104" s="20" t="s">
        <v>4418</v>
      </c>
      <c r="F1104" s="19"/>
      <c r="G1104" s="21" t="s">
        <v>29</v>
      </c>
      <c r="H1104" s="22" t="b">
        <v>0</v>
      </c>
      <c r="I1104" s="22" t="b">
        <v>0</v>
      </c>
      <c r="J1104" s="22" t="b">
        <v>0</v>
      </c>
      <c r="K1104" s="22" t="b">
        <v>0</v>
      </c>
      <c r="L1104" s="22" t="b">
        <v>0</v>
      </c>
      <c r="M1104" s="21"/>
      <c r="N1104" s="23">
        <v>0</v>
      </c>
      <c r="O1104" s="24"/>
      <c r="P1104" s="19"/>
      <c r="Q1104" s="25"/>
      <c r="R1104" s="25"/>
      <c r="S1104" s="19"/>
      <c r="T1104" s="26"/>
      <c r="U1104" s="27" t="s">
        <v>21</v>
      </c>
      <c r="V1104" s="28"/>
      <c r="W1104" s="29" t="s">
        <v>26</v>
      </c>
    </row>
    <row r="1105" spans="1:23" ht="30" customHeight="1">
      <c r="A1105" s="19" t="s">
        <v>5601</v>
      </c>
      <c r="B1105" s="19" t="s">
        <v>5569</v>
      </c>
      <c r="C1105" s="19"/>
      <c r="D1105" s="19" t="s">
        <v>4421</v>
      </c>
      <c r="E1105" s="20" t="s">
        <v>4422</v>
      </c>
      <c r="F1105" s="19"/>
      <c r="G1105" s="21" t="s">
        <v>22</v>
      </c>
      <c r="H1105" s="22" t="b">
        <v>0</v>
      </c>
      <c r="I1105" s="22" t="b">
        <v>0</v>
      </c>
      <c r="J1105" s="22" t="b">
        <v>0</v>
      </c>
      <c r="K1105" s="22" t="b">
        <v>0</v>
      </c>
      <c r="L1105" s="22" t="b">
        <v>0</v>
      </c>
      <c r="M1105" s="21"/>
      <c r="N1105" s="23">
        <v>0</v>
      </c>
      <c r="O1105" s="24"/>
      <c r="P1105" s="19"/>
      <c r="Q1105" s="25"/>
      <c r="R1105" s="25"/>
      <c r="S1105" s="19"/>
      <c r="T1105" s="26"/>
      <c r="U1105" s="27" t="s">
        <v>21</v>
      </c>
      <c r="V1105" s="28" t="s">
        <v>4423</v>
      </c>
      <c r="W1105" s="29" t="s">
        <v>26</v>
      </c>
    </row>
    <row r="1106" spans="1:23" ht="30" customHeight="1">
      <c r="A1106" s="19" t="s">
        <v>5601</v>
      </c>
      <c r="B1106" s="19" t="s">
        <v>5569</v>
      </c>
      <c r="C1106" s="19"/>
      <c r="D1106" s="19" t="s">
        <v>4425</v>
      </c>
      <c r="E1106" s="20" t="s">
        <v>4426</v>
      </c>
      <c r="F1106" s="19"/>
      <c r="G1106" s="21" t="s">
        <v>29</v>
      </c>
      <c r="H1106" s="22" t="b">
        <v>0</v>
      </c>
      <c r="I1106" s="22" t="b">
        <v>0</v>
      </c>
      <c r="J1106" s="22" t="b">
        <v>0</v>
      </c>
      <c r="K1106" s="22" t="b">
        <v>0</v>
      </c>
      <c r="L1106" s="22" t="b">
        <v>0</v>
      </c>
      <c r="M1106" s="21"/>
      <c r="N1106" s="23">
        <v>0</v>
      </c>
      <c r="O1106" s="24"/>
      <c r="P1106" s="19"/>
      <c r="Q1106" s="25"/>
      <c r="R1106" s="25"/>
      <c r="S1106" s="19"/>
      <c r="T1106" s="26"/>
      <c r="U1106" s="27" t="s">
        <v>21</v>
      </c>
      <c r="V1106" s="28" t="s">
        <v>4427</v>
      </c>
      <c r="W1106" s="29" t="s">
        <v>26</v>
      </c>
    </row>
    <row r="1107" spans="1:23" ht="30" customHeight="1">
      <c r="A1107" s="19" t="s">
        <v>5601</v>
      </c>
      <c r="B1107" s="19" t="s">
        <v>5569</v>
      </c>
      <c r="C1107" s="19"/>
      <c r="D1107" s="19" t="s">
        <v>4429</v>
      </c>
      <c r="E1107" s="20" t="s">
        <v>4430</v>
      </c>
      <c r="F1107" s="19"/>
      <c r="G1107" s="21" t="s">
        <v>29</v>
      </c>
      <c r="H1107" s="22" t="b">
        <v>0</v>
      </c>
      <c r="I1107" s="22" t="b">
        <v>0</v>
      </c>
      <c r="J1107" s="22" t="b">
        <v>0</v>
      </c>
      <c r="K1107" s="22" t="b">
        <v>0</v>
      </c>
      <c r="L1107" s="22" t="b">
        <v>0</v>
      </c>
      <c r="M1107" s="21"/>
      <c r="N1107" s="23">
        <v>0</v>
      </c>
      <c r="O1107" s="24"/>
      <c r="P1107" s="19"/>
      <c r="Q1107" s="25"/>
      <c r="R1107" s="25"/>
      <c r="S1107" s="19"/>
      <c r="T1107" s="26"/>
      <c r="U1107" s="27" t="s">
        <v>21</v>
      </c>
      <c r="V1107" s="28" t="s">
        <v>4431</v>
      </c>
      <c r="W1107" s="29" t="s">
        <v>26</v>
      </c>
    </row>
    <row r="1108" spans="1:23" ht="30" customHeight="1">
      <c r="A1108" s="19" t="s">
        <v>5601</v>
      </c>
      <c r="B1108" s="19" t="s">
        <v>5569</v>
      </c>
      <c r="C1108" s="19"/>
      <c r="D1108" s="19" t="s">
        <v>4434</v>
      </c>
      <c r="E1108" s="20" t="s">
        <v>4435</v>
      </c>
      <c r="F1108" s="19"/>
      <c r="G1108" s="21" t="s">
        <v>22</v>
      </c>
      <c r="H1108" s="22" t="b">
        <v>0</v>
      </c>
      <c r="I1108" s="22" t="b">
        <v>0</v>
      </c>
      <c r="J1108" s="22" t="b">
        <v>0</v>
      </c>
      <c r="K1108" s="22" t="b">
        <v>0</v>
      </c>
      <c r="L1108" s="22" t="b">
        <v>0</v>
      </c>
      <c r="M1108" s="21"/>
      <c r="N1108" s="23">
        <v>0</v>
      </c>
      <c r="O1108" s="24"/>
      <c r="P1108" s="19"/>
      <c r="Q1108" s="25"/>
      <c r="R1108" s="25"/>
      <c r="S1108" s="19"/>
      <c r="T1108" s="26"/>
      <c r="U1108" s="27" t="s">
        <v>21</v>
      </c>
      <c r="V1108" s="28" t="s">
        <v>4436</v>
      </c>
      <c r="W1108" s="29" t="s">
        <v>26</v>
      </c>
    </row>
    <row r="1109" spans="1:23" ht="30" customHeight="1">
      <c r="A1109" s="19" t="s">
        <v>5601</v>
      </c>
      <c r="B1109" s="19" t="s">
        <v>5569</v>
      </c>
      <c r="C1109" s="19"/>
      <c r="D1109" s="19" t="s">
        <v>4438</v>
      </c>
      <c r="E1109" s="20" t="s">
        <v>4439</v>
      </c>
      <c r="F1109" s="19"/>
      <c r="G1109" s="21" t="s">
        <v>22</v>
      </c>
      <c r="H1109" s="22" t="b">
        <v>0</v>
      </c>
      <c r="I1109" s="22" t="b">
        <v>0</v>
      </c>
      <c r="J1109" s="22" t="b">
        <v>0</v>
      </c>
      <c r="K1109" s="22" t="b">
        <v>0</v>
      </c>
      <c r="L1109" s="22" t="b">
        <v>0</v>
      </c>
      <c r="M1109" s="21"/>
      <c r="N1109" s="23">
        <v>0</v>
      </c>
      <c r="O1109" s="24"/>
      <c r="P1109" s="19"/>
      <c r="Q1109" s="25"/>
      <c r="R1109" s="25"/>
      <c r="S1109" s="19"/>
      <c r="T1109" s="26"/>
      <c r="U1109" s="27" t="s">
        <v>21</v>
      </c>
      <c r="V1109" s="28" t="s">
        <v>3611</v>
      </c>
      <c r="W1109" s="29" t="s">
        <v>26</v>
      </c>
    </row>
    <row r="1110" spans="1:23" ht="30" customHeight="1">
      <c r="A1110" s="19" t="s">
        <v>5601</v>
      </c>
      <c r="B1110" s="19" t="s">
        <v>5569</v>
      </c>
      <c r="C1110" s="19"/>
      <c r="D1110" s="19" t="s">
        <v>4442</v>
      </c>
      <c r="E1110" s="20" t="s">
        <v>4443</v>
      </c>
      <c r="F1110" s="19"/>
      <c r="G1110" s="21" t="s">
        <v>22</v>
      </c>
      <c r="H1110" s="22" t="b">
        <v>0</v>
      </c>
      <c r="I1110" s="22" t="b">
        <v>0</v>
      </c>
      <c r="J1110" s="22" t="b">
        <v>0</v>
      </c>
      <c r="K1110" s="22" t="b">
        <v>0</v>
      </c>
      <c r="L1110" s="22" t="b">
        <v>0</v>
      </c>
      <c r="M1110" s="21"/>
      <c r="N1110" s="23">
        <v>0</v>
      </c>
      <c r="O1110" s="24"/>
      <c r="P1110" s="19"/>
      <c r="Q1110" s="25"/>
      <c r="R1110" s="25"/>
      <c r="S1110" s="19"/>
      <c r="T1110" s="26"/>
      <c r="U1110" s="27" t="s">
        <v>21</v>
      </c>
      <c r="V1110" s="28" t="s">
        <v>3611</v>
      </c>
      <c r="W1110" s="29" t="s">
        <v>26</v>
      </c>
    </row>
    <row r="1111" spans="1:23" ht="30" customHeight="1">
      <c r="A1111" s="19" t="s">
        <v>5601</v>
      </c>
      <c r="B1111" s="19" t="s">
        <v>5569</v>
      </c>
      <c r="C1111" s="19"/>
      <c r="D1111" s="19" t="s">
        <v>4445</v>
      </c>
      <c r="E1111" s="20" t="s">
        <v>4446</v>
      </c>
      <c r="F1111" s="19"/>
      <c r="G1111" s="21" t="s">
        <v>22</v>
      </c>
      <c r="H1111" s="22" t="b">
        <v>0</v>
      </c>
      <c r="I1111" s="22" t="b">
        <v>0</v>
      </c>
      <c r="J1111" s="22" t="b">
        <v>0</v>
      </c>
      <c r="K1111" s="22" t="b">
        <v>0</v>
      </c>
      <c r="L1111" s="22" t="b">
        <v>0</v>
      </c>
      <c r="M1111" s="21"/>
      <c r="N1111" s="23">
        <v>0</v>
      </c>
      <c r="O1111" s="24"/>
      <c r="P1111" s="19"/>
      <c r="Q1111" s="25"/>
      <c r="R1111" s="25"/>
      <c r="S1111" s="19"/>
      <c r="T1111" s="26"/>
      <c r="U1111" s="27" t="s">
        <v>21</v>
      </c>
      <c r="V1111" s="28"/>
      <c r="W1111" s="29" t="s">
        <v>26</v>
      </c>
    </row>
    <row r="1112" spans="1:23" ht="30" customHeight="1">
      <c r="A1112" s="19" t="s">
        <v>5601</v>
      </c>
      <c r="B1112" s="19" t="s">
        <v>5569</v>
      </c>
      <c r="C1112" s="19"/>
      <c r="D1112" s="19" t="s">
        <v>4448</v>
      </c>
      <c r="E1112" s="20" t="s">
        <v>4449</v>
      </c>
      <c r="F1112" s="19"/>
      <c r="G1112" s="21" t="s">
        <v>22</v>
      </c>
      <c r="H1112" s="22" t="b">
        <v>0</v>
      </c>
      <c r="I1112" s="22" t="b">
        <v>0</v>
      </c>
      <c r="J1112" s="22" t="b">
        <v>0</v>
      </c>
      <c r="K1112" s="22" t="b">
        <v>0</v>
      </c>
      <c r="L1112" s="22" t="b">
        <v>0</v>
      </c>
      <c r="M1112" s="21"/>
      <c r="N1112" s="23">
        <v>0</v>
      </c>
      <c r="O1112" s="24"/>
      <c r="P1112" s="19"/>
      <c r="Q1112" s="25"/>
      <c r="R1112" s="25"/>
      <c r="S1112" s="19"/>
      <c r="T1112" s="26"/>
      <c r="U1112" s="27" t="s">
        <v>21</v>
      </c>
      <c r="V1112" s="28" t="s">
        <v>4450</v>
      </c>
      <c r="W1112" s="29" t="s">
        <v>26</v>
      </c>
    </row>
    <row r="1113" spans="1:23" ht="30" customHeight="1">
      <c r="A1113" s="19" t="s">
        <v>5601</v>
      </c>
      <c r="B1113" s="19" t="s">
        <v>5569</v>
      </c>
      <c r="C1113" s="19"/>
      <c r="D1113" s="19" t="s">
        <v>4452</v>
      </c>
      <c r="E1113" s="20" t="s">
        <v>4453</v>
      </c>
      <c r="F1113" s="19"/>
      <c r="G1113" s="21" t="s">
        <v>29</v>
      </c>
      <c r="H1113" s="22" t="b">
        <v>0</v>
      </c>
      <c r="I1113" s="22" t="b">
        <v>0</v>
      </c>
      <c r="J1113" s="22" t="b">
        <v>0</v>
      </c>
      <c r="K1113" s="22" t="b">
        <v>0</v>
      </c>
      <c r="L1113" s="22" t="b">
        <v>0</v>
      </c>
      <c r="M1113" s="21"/>
      <c r="N1113" s="23">
        <v>0</v>
      </c>
      <c r="O1113" s="24"/>
      <c r="P1113" s="19"/>
      <c r="Q1113" s="25"/>
      <c r="R1113" s="25"/>
      <c r="S1113" s="19"/>
      <c r="T1113" s="26"/>
      <c r="U1113" s="27" t="s">
        <v>21</v>
      </c>
      <c r="V1113" s="28" t="s">
        <v>4454</v>
      </c>
      <c r="W1113" s="29" t="s">
        <v>26</v>
      </c>
    </row>
    <row r="1114" spans="1:23" ht="30" customHeight="1">
      <c r="A1114" s="19" t="s">
        <v>5601</v>
      </c>
      <c r="B1114" s="19" t="s">
        <v>5569</v>
      </c>
      <c r="C1114" s="19"/>
      <c r="D1114" s="19" t="s">
        <v>4457</v>
      </c>
      <c r="E1114" s="20" t="s">
        <v>4458</v>
      </c>
      <c r="F1114" s="19"/>
      <c r="G1114" s="21" t="s">
        <v>22</v>
      </c>
      <c r="H1114" s="22" t="b">
        <v>0</v>
      </c>
      <c r="I1114" s="22" t="b">
        <v>0</v>
      </c>
      <c r="J1114" s="22" t="b">
        <v>0</v>
      </c>
      <c r="K1114" s="22" t="b">
        <v>0</v>
      </c>
      <c r="L1114" s="22" t="b">
        <v>0</v>
      </c>
      <c r="M1114" s="21"/>
      <c r="N1114" s="23">
        <v>0</v>
      </c>
      <c r="O1114" s="24"/>
      <c r="P1114" s="19"/>
      <c r="Q1114" s="25"/>
      <c r="R1114" s="25"/>
      <c r="S1114" s="19"/>
      <c r="T1114" s="26"/>
      <c r="U1114" s="27" t="s">
        <v>21</v>
      </c>
      <c r="V1114" s="28" t="s">
        <v>4459</v>
      </c>
      <c r="W1114" s="29" t="s">
        <v>26</v>
      </c>
    </row>
    <row r="1115" spans="1:23" ht="30" customHeight="1">
      <c r="A1115" s="19" t="s">
        <v>5601</v>
      </c>
      <c r="B1115" s="19" t="s">
        <v>5569</v>
      </c>
      <c r="C1115" s="19"/>
      <c r="D1115" s="19" t="s">
        <v>4461</v>
      </c>
      <c r="E1115" s="20" t="s">
        <v>4462</v>
      </c>
      <c r="F1115" s="19"/>
      <c r="G1115" s="21" t="s">
        <v>22</v>
      </c>
      <c r="H1115" s="22" t="b">
        <v>0</v>
      </c>
      <c r="I1115" s="22" t="b">
        <v>0</v>
      </c>
      <c r="J1115" s="22" t="b">
        <v>0</v>
      </c>
      <c r="K1115" s="22" t="b">
        <v>0</v>
      </c>
      <c r="L1115" s="22" t="b">
        <v>0</v>
      </c>
      <c r="M1115" s="21"/>
      <c r="N1115" s="23">
        <v>0</v>
      </c>
      <c r="O1115" s="24"/>
      <c r="P1115" s="19"/>
      <c r="Q1115" s="25"/>
      <c r="R1115" s="25"/>
      <c r="S1115" s="19"/>
      <c r="T1115" s="26"/>
      <c r="U1115" s="27" t="s">
        <v>21</v>
      </c>
      <c r="V1115" s="28"/>
      <c r="W1115" s="29" t="s">
        <v>26</v>
      </c>
    </row>
    <row r="1116" spans="1:23" ht="30" customHeight="1">
      <c r="A1116" s="19" t="s">
        <v>5602</v>
      </c>
      <c r="B1116" s="19" t="s">
        <v>5569</v>
      </c>
      <c r="C1116" s="19"/>
      <c r="D1116" s="19" t="s">
        <v>4466</v>
      </c>
      <c r="E1116" s="20" t="s">
        <v>4467</v>
      </c>
      <c r="F1116" s="19"/>
      <c r="G1116" s="21" t="s">
        <v>22</v>
      </c>
      <c r="H1116" s="22" t="b">
        <v>0</v>
      </c>
      <c r="I1116" s="22" t="b">
        <v>0</v>
      </c>
      <c r="J1116" s="22" t="b">
        <v>0</v>
      </c>
      <c r="K1116" s="22" t="b">
        <v>0</v>
      </c>
      <c r="L1116" s="22" t="b">
        <v>0</v>
      </c>
      <c r="M1116" s="21"/>
      <c r="N1116" s="23">
        <v>0</v>
      </c>
      <c r="O1116" s="24"/>
      <c r="P1116" s="19"/>
      <c r="Q1116" s="25"/>
      <c r="R1116" s="25"/>
      <c r="S1116" s="19"/>
      <c r="T1116" s="26"/>
      <c r="U1116" s="27" t="s">
        <v>21</v>
      </c>
      <c r="V1116" s="28" t="s">
        <v>4468</v>
      </c>
      <c r="W1116" s="29" t="s">
        <v>26</v>
      </c>
    </row>
    <row r="1117" spans="1:23" ht="30" customHeight="1">
      <c r="A1117" s="19" t="s">
        <v>5602</v>
      </c>
      <c r="B1117" s="19" t="s">
        <v>5569</v>
      </c>
      <c r="C1117" s="19"/>
      <c r="D1117" s="19" t="s">
        <v>4471</v>
      </c>
      <c r="E1117" s="20" t="s">
        <v>4472</v>
      </c>
      <c r="F1117" s="19"/>
      <c r="G1117" s="21" t="s">
        <v>22</v>
      </c>
      <c r="H1117" s="22" t="b">
        <v>0</v>
      </c>
      <c r="I1117" s="22" t="b">
        <v>0</v>
      </c>
      <c r="J1117" s="22" t="b">
        <v>0</v>
      </c>
      <c r="K1117" s="22" t="b">
        <v>0</v>
      </c>
      <c r="L1117" s="22" t="b">
        <v>0</v>
      </c>
      <c r="M1117" s="21"/>
      <c r="N1117" s="23">
        <v>0</v>
      </c>
      <c r="O1117" s="24"/>
      <c r="P1117" s="19"/>
      <c r="Q1117" s="25"/>
      <c r="R1117" s="25"/>
      <c r="S1117" s="19"/>
      <c r="T1117" s="26"/>
      <c r="U1117" s="27" t="s">
        <v>21</v>
      </c>
      <c r="V1117" s="28" t="s">
        <v>180</v>
      </c>
      <c r="W1117" s="29" t="s">
        <v>26</v>
      </c>
    </row>
    <row r="1118" spans="1:23" ht="30" customHeight="1">
      <c r="A1118" s="19" t="s">
        <v>5602</v>
      </c>
      <c r="B1118" s="19" t="s">
        <v>5569</v>
      </c>
      <c r="C1118" s="19"/>
      <c r="D1118" s="19" t="s">
        <v>4474</v>
      </c>
      <c r="E1118" s="20" t="s">
        <v>4475</v>
      </c>
      <c r="F1118" s="19"/>
      <c r="G1118" s="21" t="s">
        <v>22</v>
      </c>
      <c r="H1118" s="22" t="b">
        <v>0</v>
      </c>
      <c r="I1118" s="22" t="b">
        <v>0</v>
      </c>
      <c r="J1118" s="22" t="b">
        <v>0</v>
      </c>
      <c r="K1118" s="22" t="b">
        <v>0</v>
      </c>
      <c r="L1118" s="22" t="b">
        <v>0</v>
      </c>
      <c r="M1118" s="21"/>
      <c r="N1118" s="23">
        <v>0</v>
      </c>
      <c r="O1118" s="24"/>
      <c r="P1118" s="19"/>
      <c r="Q1118" s="25"/>
      <c r="R1118" s="25"/>
      <c r="S1118" s="19"/>
      <c r="T1118" s="26"/>
      <c r="U1118" s="27" t="s">
        <v>21</v>
      </c>
      <c r="V1118" s="28" t="s">
        <v>4476</v>
      </c>
      <c r="W1118" s="29" t="s">
        <v>26</v>
      </c>
    </row>
    <row r="1119" spans="1:23" ht="30" customHeight="1">
      <c r="A1119" s="19" t="s">
        <v>5602</v>
      </c>
      <c r="B1119" s="19" t="s">
        <v>5569</v>
      </c>
      <c r="C1119" s="19"/>
      <c r="D1119" s="19" t="s">
        <v>4479</v>
      </c>
      <c r="E1119" s="20" t="s">
        <v>4480</v>
      </c>
      <c r="F1119" s="19"/>
      <c r="G1119" s="21" t="s">
        <v>29</v>
      </c>
      <c r="H1119" s="22" t="b">
        <v>0</v>
      </c>
      <c r="I1119" s="22" t="b">
        <v>0</v>
      </c>
      <c r="J1119" s="22" t="b">
        <v>0</v>
      </c>
      <c r="K1119" s="22" t="b">
        <v>0</v>
      </c>
      <c r="L1119" s="22" t="b">
        <v>0</v>
      </c>
      <c r="M1119" s="21"/>
      <c r="N1119" s="23">
        <v>0</v>
      </c>
      <c r="O1119" s="24"/>
      <c r="P1119" s="19"/>
      <c r="Q1119" s="25"/>
      <c r="R1119" s="25"/>
      <c r="S1119" s="19"/>
      <c r="T1119" s="26"/>
      <c r="U1119" s="27" t="s">
        <v>21</v>
      </c>
      <c r="V1119" s="28" t="s">
        <v>4481</v>
      </c>
      <c r="W1119" s="29" t="s">
        <v>26</v>
      </c>
    </row>
    <row r="1120" spans="1:23" ht="30" customHeight="1">
      <c r="A1120" s="19" t="s">
        <v>5602</v>
      </c>
      <c r="B1120" s="19" t="s">
        <v>5569</v>
      </c>
      <c r="C1120" s="19"/>
      <c r="D1120" s="19" t="s">
        <v>4484</v>
      </c>
      <c r="E1120" s="20" t="s">
        <v>4485</v>
      </c>
      <c r="F1120" s="19"/>
      <c r="G1120" s="21" t="s">
        <v>22</v>
      </c>
      <c r="H1120" s="22" t="b">
        <v>0</v>
      </c>
      <c r="I1120" s="22" t="b">
        <v>0</v>
      </c>
      <c r="J1120" s="22" t="b">
        <v>0</v>
      </c>
      <c r="K1120" s="22" t="b">
        <v>0</v>
      </c>
      <c r="L1120" s="22" t="b">
        <v>0</v>
      </c>
      <c r="M1120" s="21"/>
      <c r="N1120" s="23">
        <v>0</v>
      </c>
      <c r="O1120" s="24"/>
      <c r="P1120" s="19"/>
      <c r="Q1120" s="25"/>
      <c r="R1120" s="25"/>
      <c r="S1120" s="19"/>
      <c r="T1120" s="26"/>
      <c r="U1120" s="27" t="s">
        <v>21</v>
      </c>
      <c r="V1120" s="28"/>
      <c r="W1120" s="29" t="s">
        <v>26</v>
      </c>
    </row>
    <row r="1121" spans="1:23" ht="30" customHeight="1">
      <c r="A1121" s="19" t="s">
        <v>5602</v>
      </c>
      <c r="B1121" s="19" t="s">
        <v>5569</v>
      </c>
      <c r="C1121" s="19"/>
      <c r="D1121" s="19" t="s">
        <v>4487</v>
      </c>
      <c r="E1121" s="20" t="s">
        <v>4488</v>
      </c>
      <c r="F1121" s="19"/>
      <c r="G1121" s="21" t="s">
        <v>22</v>
      </c>
      <c r="H1121" s="22" t="b">
        <v>0</v>
      </c>
      <c r="I1121" s="22" t="b">
        <v>0</v>
      </c>
      <c r="J1121" s="22" t="b">
        <v>0</v>
      </c>
      <c r="K1121" s="22" t="b">
        <v>0</v>
      </c>
      <c r="L1121" s="22" t="b">
        <v>0</v>
      </c>
      <c r="M1121" s="21"/>
      <c r="N1121" s="23">
        <v>0</v>
      </c>
      <c r="O1121" s="24"/>
      <c r="P1121" s="19"/>
      <c r="Q1121" s="25"/>
      <c r="R1121" s="25"/>
      <c r="S1121" s="19"/>
      <c r="T1121" s="26"/>
      <c r="U1121" s="27" t="s">
        <v>21</v>
      </c>
      <c r="V1121" s="28" t="s">
        <v>4489</v>
      </c>
      <c r="W1121" s="29" t="s">
        <v>26</v>
      </c>
    </row>
    <row r="1122" spans="1:23" ht="30" customHeight="1">
      <c r="A1122" s="19" t="s">
        <v>5602</v>
      </c>
      <c r="B1122" s="19" t="s">
        <v>5569</v>
      </c>
      <c r="C1122" s="19"/>
      <c r="D1122" s="19" t="s">
        <v>4491</v>
      </c>
      <c r="E1122" s="20" t="s">
        <v>4492</v>
      </c>
      <c r="F1122" s="19"/>
      <c r="G1122" s="21" t="s">
        <v>22</v>
      </c>
      <c r="H1122" s="22" t="b">
        <v>0</v>
      </c>
      <c r="I1122" s="22" t="b">
        <v>0</v>
      </c>
      <c r="J1122" s="22" t="b">
        <v>0</v>
      </c>
      <c r="K1122" s="22" t="b">
        <v>0</v>
      </c>
      <c r="L1122" s="22" t="b">
        <v>0</v>
      </c>
      <c r="M1122" s="21"/>
      <c r="N1122" s="23">
        <v>0</v>
      </c>
      <c r="O1122" s="24"/>
      <c r="P1122" s="19"/>
      <c r="Q1122" s="25"/>
      <c r="R1122" s="25"/>
      <c r="S1122" s="19"/>
      <c r="T1122" s="26"/>
      <c r="U1122" s="27" t="s">
        <v>21</v>
      </c>
      <c r="V1122" s="28" t="s">
        <v>4493</v>
      </c>
      <c r="W1122" s="29" t="s">
        <v>26</v>
      </c>
    </row>
    <row r="1123" spans="1:23" ht="30" customHeight="1">
      <c r="A1123" s="19" t="s">
        <v>5602</v>
      </c>
      <c r="B1123" s="19" t="s">
        <v>5569</v>
      </c>
      <c r="C1123" s="19"/>
      <c r="D1123" s="19" t="s">
        <v>4496</v>
      </c>
      <c r="E1123" s="20" t="s">
        <v>4497</v>
      </c>
      <c r="F1123" s="19"/>
      <c r="G1123" s="21" t="s">
        <v>22</v>
      </c>
      <c r="H1123" s="22" t="b">
        <v>0</v>
      </c>
      <c r="I1123" s="22" t="b">
        <v>0</v>
      </c>
      <c r="J1123" s="22" t="b">
        <v>0</v>
      </c>
      <c r="K1123" s="22" t="b">
        <v>0</v>
      </c>
      <c r="L1123" s="22" t="b">
        <v>0</v>
      </c>
      <c r="M1123" s="21"/>
      <c r="N1123" s="23">
        <v>0</v>
      </c>
      <c r="O1123" s="24"/>
      <c r="P1123" s="19"/>
      <c r="Q1123" s="25"/>
      <c r="R1123" s="25"/>
      <c r="S1123" s="19"/>
      <c r="T1123" s="26"/>
      <c r="U1123" s="27" t="s">
        <v>21</v>
      </c>
      <c r="V1123" s="28" t="s">
        <v>4498</v>
      </c>
      <c r="W1123" s="29" t="s">
        <v>26</v>
      </c>
    </row>
    <row r="1124" spans="1:23" ht="30" customHeight="1">
      <c r="A1124" s="19" t="s">
        <v>5602</v>
      </c>
      <c r="B1124" s="19" t="s">
        <v>5569</v>
      </c>
      <c r="C1124" s="19"/>
      <c r="D1124" s="19" t="s">
        <v>4500</v>
      </c>
      <c r="E1124" s="20" t="s">
        <v>4501</v>
      </c>
      <c r="F1124" s="19"/>
      <c r="G1124" s="21" t="s">
        <v>22</v>
      </c>
      <c r="H1124" s="22" t="b">
        <v>0</v>
      </c>
      <c r="I1124" s="22" t="b">
        <v>0</v>
      </c>
      <c r="J1124" s="22" t="b">
        <v>0</v>
      </c>
      <c r="K1124" s="22" t="b">
        <v>0</v>
      </c>
      <c r="L1124" s="22" t="b">
        <v>0</v>
      </c>
      <c r="M1124" s="21"/>
      <c r="N1124" s="23">
        <v>0</v>
      </c>
      <c r="O1124" s="24"/>
      <c r="P1124" s="19"/>
      <c r="Q1124" s="25"/>
      <c r="R1124" s="25"/>
      <c r="S1124" s="19"/>
      <c r="T1124" s="26"/>
      <c r="U1124" s="27" t="s">
        <v>21</v>
      </c>
      <c r="V1124" s="28"/>
      <c r="W1124" s="29" t="s">
        <v>26</v>
      </c>
    </row>
    <row r="1125" spans="1:23" ht="30" customHeight="1">
      <c r="A1125" s="19" t="s">
        <v>5602</v>
      </c>
      <c r="B1125" s="19" t="s">
        <v>5569</v>
      </c>
      <c r="C1125" s="19"/>
      <c r="D1125" s="19" t="s">
        <v>4503</v>
      </c>
      <c r="E1125" s="20" t="s">
        <v>4504</v>
      </c>
      <c r="F1125" s="19"/>
      <c r="G1125" s="21" t="s">
        <v>29</v>
      </c>
      <c r="H1125" s="22" t="b">
        <v>0</v>
      </c>
      <c r="I1125" s="22" t="b">
        <v>0</v>
      </c>
      <c r="J1125" s="22" t="b">
        <v>0</v>
      </c>
      <c r="K1125" s="22" t="b">
        <v>0</v>
      </c>
      <c r="L1125" s="22" t="b">
        <v>0</v>
      </c>
      <c r="M1125" s="21"/>
      <c r="N1125" s="23">
        <v>0</v>
      </c>
      <c r="O1125" s="24"/>
      <c r="P1125" s="19"/>
      <c r="Q1125" s="25"/>
      <c r="R1125" s="25"/>
      <c r="S1125" s="19"/>
      <c r="T1125" s="26"/>
      <c r="U1125" s="27" t="s">
        <v>21</v>
      </c>
      <c r="V1125" s="28"/>
      <c r="W1125" s="29" t="s">
        <v>26</v>
      </c>
    </row>
    <row r="1126" spans="1:23" ht="30" customHeight="1">
      <c r="A1126" s="19" t="s">
        <v>5602</v>
      </c>
      <c r="B1126" s="19" t="s">
        <v>5569</v>
      </c>
      <c r="C1126" s="19"/>
      <c r="D1126" s="19" t="s">
        <v>4507</v>
      </c>
      <c r="E1126" s="20" t="s">
        <v>4508</v>
      </c>
      <c r="F1126" s="19"/>
      <c r="G1126" s="21" t="s">
        <v>29</v>
      </c>
      <c r="H1126" s="22" t="b">
        <v>0</v>
      </c>
      <c r="I1126" s="22" t="b">
        <v>0</v>
      </c>
      <c r="J1126" s="22" t="b">
        <v>0</v>
      </c>
      <c r="K1126" s="22" t="b">
        <v>0</v>
      </c>
      <c r="L1126" s="22" t="b">
        <v>0</v>
      </c>
      <c r="M1126" s="21"/>
      <c r="N1126" s="23">
        <v>0</v>
      </c>
      <c r="O1126" s="24"/>
      <c r="P1126" s="19"/>
      <c r="Q1126" s="25"/>
      <c r="R1126" s="25"/>
      <c r="S1126" s="19"/>
      <c r="T1126" s="26"/>
      <c r="U1126" s="27" t="s">
        <v>21</v>
      </c>
      <c r="V1126" s="28" t="s">
        <v>4509</v>
      </c>
      <c r="W1126" s="29" t="s">
        <v>26</v>
      </c>
    </row>
    <row r="1127" spans="1:23" ht="30" customHeight="1">
      <c r="A1127" s="19" t="s">
        <v>5602</v>
      </c>
      <c r="B1127" s="19" t="s">
        <v>5569</v>
      </c>
      <c r="C1127" s="19"/>
      <c r="D1127" s="19" t="s">
        <v>4512</v>
      </c>
      <c r="E1127" s="20" t="s">
        <v>4513</v>
      </c>
      <c r="F1127" s="19"/>
      <c r="G1127" s="21" t="s">
        <v>29</v>
      </c>
      <c r="H1127" s="22" t="b">
        <v>0</v>
      </c>
      <c r="I1127" s="22" t="b">
        <v>0</v>
      </c>
      <c r="J1127" s="22" t="b">
        <v>0</v>
      </c>
      <c r="K1127" s="22" t="b">
        <v>0</v>
      </c>
      <c r="L1127" s="22" t="b">
        <v>0</v>
      </c>
      <c r="M1127" s="21"/>
      <c r="N1127" s="23">
        <v>0</v>
      </c>
      <c r="O1127" s="24"/>
      <c r="P1127" s="19"/>
      <c r="Q1127" s="25"/>
      <c r="R1127" s="25"/>
      <c r="S1127" s="19"/>
      <c r="T1127" s="26"/>
      <c r="U1127" s="27" t="s">
        <v>21</v>
      </c>
      <c r="V1127" s="28" t="s">
        <v>4514</v>
      </c>
      <c r="W1127" s="29" t="s">
        <v>26</v>
      </c>
    </row>
    <row r="1128" spans="1:23" ht="30" customHeight="1">
      <c r="A1128" s="19" t="s">
        <v>5602</v>
      </c>
      <c r="B1128" s="19" t="s">
        <v>5569</v>
      </c>
      <c r="C1128" s="19"/>
      <c r="D1128" s="19" t="s">
        <v>4516</v>
      </c>
      <c r="E1128" s="20" t="s">
        <v>4517</v>
      </c>
      <c r="F1128" s="19"/>
      <c r="G1128" s="21" t="s">
        <v>29</v>
      </c>
      <c r="H1128" s="22" t="b">
        <v>0</v>
      </c>
      <c r="I1128" s="22" t="b">
        <v>0</v>
      </c>
      <c r="J1128" s="22" t="b">
        <v>0</v>
      </c>
      <c r="K1128" s="22" t="b">
        <v>0</v>
      </c>
      <c r="L1128" s="22" t="b">
        <v>0</v>
      </c>
      <c r="M1128" s="21"/>
      <c r="N1128" s="23">
        <v>0</v>
      </c>
      <c r="O1128" s="24"/>
      <c r="P1128" s="19"/>
      <c r="Q1128" s="25"/>
      <c r="R1128" s="25"/>
      <c r="S1128" s="19"/>
      <c r="T1128" s="26"/>
      <c r="U1128" s="27" t="s">
        <v>21</v>
      </c>
      <c r="V1128" s="28" t="s">
        <v>4518</v>
      </c>
      <c r="W1128" s="29" t="s">
        <v>26</v>
      </c>
    </row>
    <row r="1129" spans="1:23" ht="30" customHeight="1">
      <c r="A1129" s="19" t="s">
        <v>5602</v>
      </c>
      <c r="B1129" s="19" t="s">
        <v>5569</v>
      </c>
      <c r="C1129" s="19"/>
      <c r="D1129" s="19" t="s">
        <v>4521</v>
      </c>
      <c r="E1129" s="20" t="s">
        <v>4522</v>
      </c>
      <c r="F1129" s="19"/>
      <c r="G1129" s="21" t="s">
        <v>22</v>
      </c>
      <c r="H1129" s="22" t="b">
        <v>0</v>
      </c>
      <c r="I1129" s="22" t="b">
        <v>0</v>
      </c>
      <c r="J1129" s="22" t="b">
        <v>0</v>
      </c>
      <c r="K1129" s="22" t="b">
        <v>0</v>
      </c>
      <c r="L1129" s="22" t="b">
        <v>0</v>
      </c>
      <c r="M1129" s="21"/>
      <c r="N1129" s="23">
        <v>0</v>
      </c>
      <c r="O1129" s="24"/>
      <c r="P1129" s="19"/>
      <c r="Q1129" s="25"/>
      <c r="R1129" s="25"/>
      <c r="S1129" s="19"/>
      <c r="T1129" s="26"/>
      <c r="U1129" s="27" t="s">
        <v>21</v>
      </c>
      <c r="V1129" s="28" t="s">
        <v>180</v>
      </c>
      <c r="W1129" s="29" t="s">
        <v>26</v>
      </c>
    </row>
    <row r="1130" spans="1:23" ht="30" customHeight="1">
      <c r="A1130" s="19" t="s">
        <v>5602</v>
      </c>
      <c r="B1130" s="19" t="s">
        <v>5569</v>
      </c>
      <c r="C1130" s="19"/>
      <c r="D1130" s="19" t="s">
        <v>4525</v>
      </c>
      <c r="E1130" s="20" t="s">
        <v>4526</v>
      </c>
      <c r="F1130" s="19"/>
      <c r="G1130" s="21" t="s">
        <v>29</v>
      </c>
      <c r="H1130" s="22" t="b">
        <v>0</v>
      </c>
      <c r="I1130" s="22" t="b">
        <v>0</v>
      </c>
      <c r="J1130" s="22" t="b">
        <v>0</v>
      </c>
      <c r="K1130" s="22" t="b">
        <v>0</v>
      </c>
      <c r="L1130" s="22" t="b">
        <v>0</v>
      </c>
      <c r="M1130" s="21"/>
      <c r="N1130" s="23">
        <v>0</v>
      </c>
      <c r="O1130" s="24"/>
      <c r="P1130" s="19"/>
      <c r="Q1130" s="25"/>
      <c r="R1130" s="25"/>
      <c r="S1130" s="19"/>
      <c r="T1130" s="26"/>
      <c r="U1130" s="27" t="s">
        <v>21</v>
      </c>
      <c r="V1130" s="28"/>
      <c r="W1130" s="29" t="s">
        <v>26</v>
      </c>
    </row>
    <row r="1131" spans="1:23" ht="30" customHeight="1">
      <c r="A1131" s="19" t="s">
        <v>5602</v>
      </c>
      <c r="B1131" s="19" t="s">
        <v>5569</v>
      </c>
      <c r="C1131" s="19"/>
      <c r="D1131" s="19" t="s">
        <v>4529</v>
      </c>
      <c r="E1131" s="20" t="s">
        <v>4530</v>
      </c>
      <c r="F1131" s="19"/>
      <c r="G1131" s="21" t="s">
        <v>22</v>
      </c>
      <c r="H1131" s="22" t="b">
        <v>0</v>
      </c>
      <c r="I1131" s="22" t="b">
        <v>0</v>
      </c>
      <c r="J1131" s="22" t="b">
        <v>0</v>
      </c>
      <c r="K1131" s="22" t="b">
        <v>0</v>
      </c>
      <c r="L1131" s="22" t="b">
        <v>0</v>
      </c>
      <c r="M1131" s="21"/>
      <c r="N1131" s="23">
        <v>0</v>
      </c>
      <c r="O1131" s="24"/>
      <c r="P1131" s="19"/>
      <c r="Q1131" s="25"/>
      <c r="R1131" s="25"/>
      <c r="S1131" s="19"/>
      <c r="T1131" s="26"/>
      <c r="U1131" s="27" t="s">
        <v>21</v>
      </c>
      <c r="V1131" s="28"/>
      <c r="W1131" s="29" t="s">
        <v>26</v>
      </c>
    </row>
    <row r="1132" spans="1:23" ht="30" customHeight="1">
      <c r="A1132" s="19" t="s">
        <v>5602</v>
      </c>
      <c r="B1132" s="19" t="s">
        <v>5569</v>
      </c>
      <c r="C1132" s="19"/>
      <c r="D1132" s="19" t="s">
        <v>4532</v>
      </c>
      <c r="E1132" s="20" t="s">
        <v>4533</v>
      </c>
      <c r="F1132" s="19"/>
      <c r="G1132" s="21" t="s">
        <v>22</v>
      </c>
      <c r="H1132" s="22" t="b">
        <v>0</v>
      </c>
      <c r="I1132" s="22" t="b">
        <v>0</v>
      </c>
      <c r="J1132" s="22" t="b">
        <v>0</v>
      </c>
      <c r="K1132" s="22" t="b">
        <v>0</v>
      </c>
      <c r="L1132" s="22" t="b">
        <v>0</v>
      </c>
      <c r="M1132" s="21"/>
      <c r="N1132" s="23">
        <v>0</v>
      </c>
      <c r="O1132" s="24"/>
      <c r="P1132" s="19"/>
      <c r="Q1132" s="25"/>
      <c r="R1132" s="25"/>
      <c r="S1132" s="19"/>
      <c r="T1132" s="26"/>
      <c r="U1132" s="27" t="s">
        <v>21</v>
      </c>
      <c r="V1132" s="28"/>
      <c r="W1132" s="29" t="s">
        <v>26</v>
      </c>
    </row>
    <row r="1133" spans="1:23" ht="30" customHeight="1">
      <c r="A1133" s="19" t="s">
        <v>5602</v>
      </c>
      <c r="B1133" s="19" t="s">
        <v>5569</v>
      </c>
      <c r="C1133" s="19"/>
      <c r="D1133" s="19" t="s">
        <v>4535</v>
      </c>
      <c r="E1133" s="20" t="s">
        <v>4536</v>
      </c>
      <c r="F1133" s="19"/>
      <c r="G1133" s="21" t="s">
        <v>22</v>
      </c>
      <c r="H1133" s="22" t="b">
        <v>0</v>
      </c>
      <c r="I1133" s="22" t="b">
        <v>0</v>
      </c>
      <c r="J1133" s="22" t="b">
        <v>0</v>
      </c>
      <c r="K1133" s="22" t="b">
        <v>0</v>
      </c>
      <c r="L1133" s="22" t="b">
        <v>0</v>
      </c>
      <c r="M1133" s="21"/>
      <c r="N1133" s="23">
        <v>0</v>
      </c>
      <c r="O1133" s="24"/>
      <c r="P1133" s="19"/>
      <c r="Q1133" s="25"/>
      <c r="R1133" s="25"/>
      <c r="S1133" s="19"/>
      <c r="T1133" s="26"/>
      <c r="U1133" s="27" t="s">
        <v>21</v>
      </c>
      <c r="V1133" s="28"/>
      <c r="W1133" s="29" t="s">
        <v>26</v>
      </c>
    </row>
    <row r="1134" spans="1:23" ht="30" customHeight="1">
      <c r="A1134" s="19" t="s">
        <v>5602</v>
      </c>
      <c r="B1134" s="19" t="s">
        <v>5569</v>
      </c>
      <c r="C1134" s="19"/>
      <c r="D1134" s="19" t="s">
        <v>4538</v>
      </c>
      <c r="E1134" s="20" t="s">
        <v>4539</v>
      </c>
      <c r="F1134" s="19"/>
      <c r="G1134" s="21" t="s">
        <v>22</v>
      </c>
      <c r="H1134" s="22" t="b">
        <v>0</v>
      </c>
      <c r="I1134" s="22" t="b">
        <v>0</v>
      </c>
      <c r="J1134" s="22" t="b">
        <v>0</v>
      </c>
      <c r="K1134" s="22" t="b">
        <v>0</v>
      </c>
      <c r="L1134" s="22" t="b">
        <v>0</v>
      </c>
      <c r="M1134" s="21"/>
      <c r="N1134" s="23">
        <v>0</v>
      </c>
      <c r="O1134" s="24"/>
      <c r="P1134" s="19"/>
      <c r="Q1134" s="25"/>
      <c r="R1134" s="25"/>
      <c r="S1134" s="19"/>
      <c r="T1134" s="26"/>
      <c r="U1134" s="27" t="s">
        <v>21</v>
      </c>
      <c r="V1134" s="28" t="s">
        <v>4540</v>
      </c>
      <c r="W1134" s="29" t="s">
        <v>26</v>
      </c>
    </row>
    <row r="1135" spans="1:23" ht="30" customHeight="1">
      <c r="A1135" s="19" t="s">
        <v>5602</v>
      </c>
      <c r="B1135" s="19" t="s">
        <v>5569</v>
      </c>
      <c r="C1135" s="19"/>
      <c r="D1135" s="19" t="s">
        <v>4542</v>
      </c>
      <c r="E1135" s="20" t="s">
        <v>4543</v>
      </c>
      <c r="F1135" s="19"/>
      <c r="G1135" s="21" t="s">
        <v>22</v>
      </c>
      <c r="H1135" s="22" t="b">
        <v>0</v>
      </c>
      <c r="I1135" s="22" t="b">
        <v>0</v>
      </c>
      <c r="J1135" s="22" t="b">
        <v>0</v>
      </c>
      <c r="K1135" s="22" t="b">
        <v>0</v>
      </c>
      <c r="L1135" s="22" t="b">
        <v>0</v>
      </c>
      <c r="M1135" s="21"/>
      <c r="N1135" s="23">
        <v>0</v>
      </c>
      <c r="O1135" s="24"/>
      <c r="P1135" s="19"/>
      <c r="Q1135" s="25"/>
      <c r="R1135" s="25"/>
      <c r="S1135" s="19"/>
      <c r="T1135" s="26"/>
      <c r="U1135" s="27" t="s">
        <v>21</v>
      </c>
      <c r="V1135" s="28" t="s">
        <v>4544</v>
      </c>
      <c r="W1135" s="29" t="s">
        <v>26</v>
      </c>
    </row>
    <row r="1136" spans="1:23" ht="30" customHeight="1">
      <c r="A1136" s="19" t="s">
        <v>5602</v>
      </c>
      <c r="B1136" s="19" t="s">
        <v>5569</v>
      </c>
      <c r="C1136" s="19"/>
      <c r="D1136" s="19" t="s">
        <v>4546</v>
      </c>
      <c r="E1136" s="20" t="s">
        <v>4547</v>
      </c>
      <c r="F1136" s="19"/>
      <c r="G1136" s="21" t="s">
        <v>22</v>
      </c>
      <c r="H1136" s="22" t="b">
        <v>0</v>
      </c>
      <c r="I1136" s="22" t="b">
        <v>0</v>
      </c>
      <c r="J1136" s="22" t="b">
        <v>0</v>
      </c>
      <c r="K1136" s="22" t="b">
        <v>0</v>
      </c>
      <c r="L1136" s="22" t="b">
        <v>0</v>
      </c>
      <c r="M1136" s="21"/>
      <c r="N1136" s="23">
        <v>0</v>
      </c>
      <c r="O1136" s="24"/>
      <c r="P1136" s="19"/>
      <c r="Q1136" s="25"/>
      <c r="R1136" s="25"/>
      <c r="S1136" s="19"/>
      <c r="T1136" s="26"/>
      <c r="U1136" s="27" t="s">
        <v>21</v>
      </c>
      <c r="V1136" s="28" t="s">
        <v>3611</v>
      </c>
      <c r="W1136" s="29" t="s">
        <v>26</v>
      </c>
    </row>
    <row r="1137" spans="1:23" ht="30" customHeight="1">
      <c r="A1137" s="19" t="s">
        <v>5602</v>
      </c>
      <c r="B1137" s="19" t="s">
        <v>5569</v>
      </c>
      <c r="C1137" s="19"/>
      <c r="D1137" s="19" t="s">
        <v>4549</v>
      </c>
      <c r="E1137" s="20" t="s">
        <v>4550</v>
      </c>
      <c r="F1137" s="19"/>
      <c r="G1137" s="21" t="s">
        <v>22</v>
      </c>
      <c r="H1137" s="22" t="b">
        <v>0</v>
      </c>
      <c r="I1137" s="22" t="b">
        <v>0</v>
      </c>
      <c r="J1137" s="22" t="b">
        <v>0</v>
      </c>
      <c r="K1137" s="22" t="b">
        <v>0</v>
      </c>
      <c r="L1137" s="22" t="b">
        <v>0</v>
      </c>
      <c r="M1137" s="21"/>
      <c r="N1137" s="23">
        <v>0</v>
      </c>
      <c r="O1137" s="24"/>
      <c r="P1137" s="19"/>
      <c r="Q1137" s="25"/>
      <c r="R1137" s="25"/>
      <c r="S1137" s="19"/>
      <c r="T1137" s="26"/>
      <c r="U1137" s="27" t="s">
        <v>21</v>
      </c>
      <c r="V1137" s="28" t="s">
        <v>4551</v>
      </c>
      <c r="W1137" s="29" t="s">
        <v>26</v>
      </c>
    </row>
    <row r="1138" spans="1:23" ht="30" customHeight="1">
      <c r="A1138" s="19" t="s">
        <v>5602</v>
      </c>
      <c r="B1138" s="19" t="s">
        <v>5569</v>
      </c>
      <c r="C1138" s="19"/>
      <c r="D1138" s="19" t="s">
        <v>4553</v>
      </c>
      <c r="E1138" s="20" t="s">
        <v>4554</v>
      </c>
      <c r="F1138" s="19"/>
      <c r="G1138" s="21" t="s">
        <v>22</v>
      </c>
      <c r="H1138" s="22" t="b">
        <v>0</v>
      </c>
      <c r="I1138" s="22" t="b">
        <v>0</v>
      </c>
      <c r="J1138" s="22" t="b">
        <v>0</v>
      </c>
      <c r="K1138" s="22" t="b">
        <v>0</v>
      </c>
      <c r="L1138" s="22" t="b">
        <v>0</v>
      </c>
      <c r="M1138" s="21"/>
      <c r="N1138" s="23">
        <v>0</v>
      </c>
      <c r="O1138" s="24"/>
      <c r="P1138" s="19"/>
      <c r="Q1138" s="25"/>
      <c r="R1138" s="25"/>
      <c r="S1138" s="19"/>
      <c r="T1138" s="26"/>
      <c r="U1138" s="27" t="s">
        <v>21</v>
      </c>
      <c r="V1138" s="28" t="s">
        <v>3611</v>
      </c>
      <c r="W1138" s="29" t="s">
        <v>26</v>
      </c>
    </row>
    <row r="1139" spans="1:23" ht="30" customHeight="1">
      <c r="A1139" s="19" t="s">
        <v>5602</v>
      </c>
      <c r="B1139" s="19" t="s">
        <v>5569</v>
      </c>
      <c r="C1139" s="19"/>
      <c r="D1139" s="19" t="s">
        <v>4556</v>
      </c>
      <c r="E1139" s="20" t="s">
        <v>4557</v>
      </c>
      <c r="F1139" s="19"/>
      <c r="G1139" s="21" t="s">
        <v>22</v>
      </c>
      <c r="H1139" s="22" t="b">
        <v>0</v>
      </c>
      <c r="I1139" s="22" t="b">
        <v>0</v>
      </c>
      <c r="J1139" s="22" t="b">
        <v>0</v>
      </c>
      <c r="K1139" s="22" t="b">
        <v>0</v>
      </c>
      <c r="L1139" s="22" t="b">
        <v>0</v>
      </c>
      <c r="M1139" s="21"/>
      <c r="N1139" s="23">
        <v>0</v>
      </c>
      <c r="O1139" s="24"/>
      <c r="P1139" s="19"/>
      <c r="Q1139" s="25"/>
      <c r="R1139" s="25"/>
      <c r="S1139" s="19"/>
      <c r="T1139" s="26"/>
      <c r="U1139" s="27" t="s">
        <v>21</v>
      </c>
      <c r="V1139" s="28" t="s">
        <v>4558</v>
      </c>
      <c r="W1139" s="29" t="s">
        <v>26</v>
      </c>
    </row>
    <row r="1140" spans="1:23" ht="30" customHeight="1">
      <c r="A1140" s="19" t="s">
        <v>5602</v>
      </c>
      <c r="B1140" s="19" t="s">
        <v>5569</v>
      </c>
      <c r="C1140" s="19"/>
      <c r="D1140" s="19" t="s">
        <v>4561</v>
      </c>
      <c r="E1140" s="20" t="s">
        <v>4562</v>
      </c>
      <c r="F1140" s="19"/>
      <c r="G1140" s="21" t="s">
        <v>485</v>
      </c>
      <c r="H1140" s="22" t="b">
        <v>0</v>
      </c>
      <c r="I1140" s="22" t="b">
        <v>0</v>
      </c>
      <c r="J1140" s="22" t="b">
        <v>0</v>
      </c>
      <c r="K1140" s="22" t="b">
        <v>0</v>
      </c>
      <c r="L1140" s="22" t="b">
        <v>0</v>
      </c>
      <c r="M1140" s="21"/>
      <c r="N1140" s="23">
        <v>0</v>
      </c>
      <c r="O1140" s="24"/>
      <c r="P1140" s="19"/>
      <c r="Q1140" s="25"/>
      <c r="R1140" s="25"/>
      <c r="S1140" s="19"/>
      <c r="T1140" s="26"/>
      <c r="U1140" s="27" t="s">
        <v>21</v>
      </c>
      <c r="V1140" s="28" t="s">
        <v>4563</v>
      </c>
      <c r="W1140" s="29" t="s">
        <v>26</v>
      </c>
    </row>
    <row r="1141" spans="1:23" ht="30" customHeight="1">
      <c r="A1141" s="19" t="s">
        <v>5602</v>
      </c>
      <c r="B1141" s="19" t="s">
        <v>5569</v>
      </c>
      <c r="C1141" s="19"/>
      <c r="D1141" s="19" t="s">
        <v>4566</v>
      </c>
      <c r="E1141" s="20" t="s">
        <v>4567</v>
      </c>
      <c r="F1141" s="19"/>
      <c r="G1141" s="21" t="s">
        <v>22</v>
      </c>
      <c r="H1141" s="22" t="b">
        <v>0</v>
      </c>
      <c r="I1141" s="22" t="b">
        <v>0</v>
      </c>
      <c r="J1141" s="22" t="b">
        <v>0</v>
      </c>
      <c r="K1141" s="22" t="b">
        <v>0</v>
      </c>
      <c r="L1141" s="22" t="b">
        <v>0</v>
      </c>
      <c r="M1141" s="21"/>
      <c r="N1141" s="23">
        <v>0</v>
      </c>
      <c r="O1141" s="24"/>
      <c r="P1141" s="19"/>
      <c r="Q1141" s="25"/>
      <c r="R1141" s="25"/>
      <c r="S1141" s="19"/>
      <c r="T1141" s="26"/>
      <c r="U1141" s="30" t="s">
        <v>34</v>
      </c>
      <c r="V1141" s="28" t="s">
        <v>4184</v>
      </c>
      <c r="W1141" s="29" t="s">
        <v>26</v>
      </c>
    </row>
    <row r="1142" spans="1:23" ht="30" customHeight="1">
      <c r="A1142" s="19" t="s">
        <v>5602</v>
      </c>
      <c r="B1142" s="19" t="s">
        <v>5569</v>
      </c>
      <c r="C1142" s="19"/>
      <c r="D1142" s="19" t="s">
        <v>4569</v>
      </c>
      <c r="E1142" s="20" t="s">
        <v>4570</v>
      </c>
      <c r="F1142" s="19"/>
      <c r="G1142" s="21" t="s">
        <v>22</v>
      </c>
      <c r="H1142" s="22" t="b">
        <v>0</v>
      </c>
      <c r="I1142" s="22" t="b">
        <v>0</v>
      </c>
      <c r="J1142" s="22" t="b">
        <v>0</v>
      </c>
      <c r="K1142" s="22" t="b">
        <v>0</v>
      </c>
      <c r="L1142" s="22" t="b">
        <v>0</v>
      </c>
      <c r="M1142" s="21"/>
      <c r="N1142" s="23">
        <v>0</v>
      </c>
      <c r="O1142" s="24"/>
      <c r="P1142" s="19"/>
      <c r="Q1142" s="25"/>
      <c r="R1142" s="25"/>
      <c r="S1142" s="19"/>
      <c r="T1142" s="26"/>
      <c r="U1142" s="27" t="s">
        <v>21</v>
      </c>
      <c r="V1142" s="28"/>
      <c r="W1142" s="29" t="s">
        <v>26</v>
      </c>
    </row>
    <row r="1143" spans="1:23" ht="30" customHeight="1">
      <c r="A1143" s="19" t="s">
        <v>5602</v>
      </c>
      <c r="B1143" s="19" t="s">
        <v>5569</v>
      </c>
      <c r="C1143" s="19"/>
      <c r="D1143" s="19" t="s">
        <v>4572</v>
      </c>
      <c r="E1143" s="20" t="s">
        <v>4573</v>
      </c>
      <c r="F1143" s="19"/>
      <c r="G1143" s="21" t="s">
        <v>22</v>
      </c>
      <c r="H1143" s="22" t="b">
        <v>0</v>
      </c>
      <c r="I1143" s="22" t="b">
        <v>0</v>
      </c>
      <c r="J1143" s="22" t="b">
        <v>0</v>
      </c>
      <c r="K1143" s="22" t="b">
        <v>0</v>
      </c>
      <c r="L1143" s="22" t="b">
        <v>0</v>
      </c>
      <c r="M1143" s="21"/>
      <c r="N1143" s="23">
        <v>0</v>
      </c>
      <c r="O1143" s="24"/>
      <c r="P1143" s="19"/>
      <c r="Q1143" s="25"/>
      <c r="R1143" s="25"/>
      <c r="S1143" s="19"/>
      <c r="T1143" s="26"/>
      <c r="U1143" s="27" t="s">
        <v>21</v>
      </c>
      <c r="V1143" s="28"/>
      <c r="W1143" s="29" t="s">
        <v>26</v>
      </c>
    </row>
    <row r="1144" spans="1:23" ht="30" customHeight="1">
      <c r="A1144" s="19" t="s">
        <v>5602</v>
      </c>
      <c r="B1144" s="19" t="s">
        <v>5569</v>
      </c>
      <c r="C1144" s="19"/>
      <c r="D1144" s="19" t="s">
        <v>4576</v>
      </c>
      <c r="E1144" s="20" t="s">
        <v>4577</v>
      </c>
      <c r="F1144" s="19"/>
      <c r="G1144" s="21" t="s">
        <v>29</v>
      </c>
      <c r="H1144" s="22" t="b">
        <v>0</v>
      </c>
      <c r="I1144" s="22" t="b">
        <v>0</v>
      </c>
      <c r="J1144" s="22" t="b">
        <v>0</v>
      </c>
      <c r="K1144" s="22" t="b">
        <v>0</v>
      </c>
      <c r="L1144" s="22" t="b">
        <v>0</v>
      </c>
      <c r="M1144" s="21"/>
      <c r="N1144" s="23">
        <v>0</v>
      </c>
      <c r="O1144" s="24"/>
      <c r="P1144" s="19"/>
      <c r="Q1144" s="25"/>
      <c r="R1144" s="25"/>
      <c r="S1144" s="19"/>
      <c r="T1144" s="26"/>
      <c r="U1144" s="27" t="s">
        <v>21</v>
      </c>
      <c r="V1144" s="28"/>
      <c r="W1144" s="29" t="s">
        <v>26</v>
      </c>
    </row>
    <row r="1145" spans="1:23" ht="30" customHeight="1">
      <c r="A1145" s="19" t="s">
        <v>5602</v>
      </c>
      <c r="B1145" s="19" t="s">
        <v>5569</v>
      </c>
      <c r="C1145" s="19"/>
      <c r="D1145" s="19" t="s">
        <v>4580</v>
      </c>
      <c r="E1145" s="20" t="s">
        <v>4581</v>
      </c>
      <c r="F1145" s="19"/>
      <c r="G1145" s="21" t="s">
        <v>22</v>
      </c>
      <c r="H1145" s="22" t="b">
        <v>0</v>
      </c>
      <c r="I1145" s="22" t="b">
        <v>0</v>
      </c>
      <c r="J1145" s="22" t="b">
        <v>0</v>
      </c>
      <c r="K1145" s="22" t="b">
        <v>0</v>
      </c>
      <c r="L1145" s="22" t="b">
        <v>0</v>
      </c>
      <c r="M1145" s="21"/>
      <c r="N1145" s="23">
        <v>0</v>
      </c>
      <c r="O1145" s="24"/>
      <c r="P1145" s="19"/>
      <c r="Q1145" s="25"/>
      <c r="R1145" s="25"/>
      <c r="S1145" s="19"/>
      <c r="T1145" s="26"/>
      <c r="U1145" s="27" t="s">
        <v>21</v>
      </c>
      <c r="V1145" s="28"/>
      <c r="W1145" s="29" t="s">
        <v>26</v>
      </c>
    </row>
    <row r="1146" spans="1:23" ht="30" customHeight="1">
      <c r="A1146" s="19" t="s">
        <v>5602</v>
      </c>
      <c r="B1146" s="19" t="s">
        <v>5569</v>
      </c>
      <c r="C1146" s="19"/>
      <c r="D1146" s="19" t="s">
        <v>4583</v>
      </c>
      <c r="E1146" s="20" t="s">
        <v>4584</v>
      </c>
      <c r="F1146" s="19"/>
      <c r="G1146" s="21" t="s">
        <v>22</v>
      </c>
      <c r="H1146" s="22" t="b">
        <v>0</v>
      </c>
      <c r="I1146" s="22" t="b">
        <v>0</v>
      </c>
      <c r="J1146" s="22" t="b">
        <v>0</v>
      </c>
      <c r="K1146" s="22" t="b">
        <v>0</v>
      </c>
      <c r="L1146" s="22" t="b">
        <v>0</v>
      </c>
      <c r="M1146" s="21"/>
      <c r="N1146" s="23">
        <v>0</v>
      </c>
      <c r="O1146" s="24"/>
      <c r="P1146" s="19"/>
      <c r="Q1146" s="25"/>
      <c r="R1146" s="25"/>
      <c r="S1146" s="19"/>
      <c r="T1146" s="26"/>
      <c r="U1146" s="27" t="s">
        <v>21</v>
      </c>
      <c r="V1146" s="28"/>
      <c r="W1146" s="29" t="s">
        <v>26</v>
      </c>
    </row>
    <row r="1147" spans="1:23" ht="30" customHeight="1">
      <c r="A1147" s="19" t="s">
        <v>5602</v>
      </c>
      <c r="B1147" s="19" t="s">
        <v>5569</v>
      </c>
      <c r="C1147" s="19"/>
      <c r="D1147" s="19" t="s">
        <v>4586</v>
      </c>
      <c r="E1147" s="20" t="s">
        <v>4587</v>
      </c>
      <c r="F1147" s="19"/>
      <c r="G1147" s="21" t="s">
        <v>22</v>
      </c>
      <c r="H1147" s="22" t="b">
        <v>0</v>
      </c>
      <c r="I1147" s="22" t="b">
        <v>0</v>
      </c>
      <c r="J1147" s="22" t="b">
        <v>0</v>
      </c>
      <c r="K1147" s="22" t="b">
        <v>0</v>
      </c>
      <c r="L1147" s="22" t="b">
        <v>0</v>
      </c>
      <c r="M1147" s="21"/>
      <c r="N1147" s="23">
        <v>0</v>
      </c>
      <c r="O1147" s="24"/>
      <c r="P1147" s="19"/>
      <c r="Q1147" s="25"/>
      <c r="R1147" s="25"/>
      <c r="S1147" s="19"/>
      <c r="T1147" s="26"/>
      <c r="U1147" s="27" t="s">
        <v>21</v>
      </c>
      <c r="V1147" s="28"/>
      <c r="W1147" s="29" t="s">
        <v>26</v>
      </c>
    </row>
    <row r="1148" spans="1:23" ht="30" customHeight="1">
      <c r="A1148" s="19" t="s">
        <v>5602</v>
      </c>
      <c r="B1148" s="19" t="s">
        <v>5569</v>
      </c>
      <c r="C1148" s="19"/>
      <c r="D1148" s="19" t="s">
        <v>4589</v>
      </c>
      <c r="E1148" s="20" t="s">
        <v>4590</v>
      </c>
      <c r="F1148" s="19"/>
      <c r="G1148" s="21" t="s">
        <v>22</v>
      </c>
      <c r="H1148" s="22" t="b">
        <v>0</v>
      </c>
      <c r="I1148" s="22" t="b">
        <v>0</v>
      </c>
      <c r="J1148" s="22" t="b">
        <v>0</v>
      </c>
      <c r="K1148" s="22" t="b">
        <v>0</v>
      </c>
      <c r="L1148" s="22" t="b">
        <v>0</v>
      </c>
      <c r="M1148" s="21"/>
      <c r="N1148" s="23">
        <v>0</v>
      </c>
      <c r="O1148" s="24"/>
      <c r="P1148" s="19"/>
      <c r="Q1148" s="25"/>
      <c r="R1148" s="25"/>
      <c r="S1148" s="19"/>
      <c r="T1148" s="26"/>
      <c r="U1148" s="27" t="s">
        <v>21</v>
      </c>
      <c r="V1148" s="28" t="s">
        <v>4591</v>
      </c>
      <c r="W1148" s="29" t="s">
        <v>26</v>
      </c>
    </row>
    <row r="1149" spans="1:23" ht="30" customHeight="1">
      <c r="A1149" s="19" t="s">
        <v>5602</v>
      </c>
      <c r="B1149" s="19" t="s">
        <v>5569</v>
      </c>
      <c r="C1149" s="19"/>
      <c r="D1149" s="19" t="s">
        <v>4594</v>
      </c>
      <c r="E1149" s="20" t="s">
        <v>4595</v>
      </c>
      <c r="F1149" s="19"/>
      <c r="G1149" s="21" t="s">
        <v>22</v>
      </c>
      <c r="H1149" s="22" t="b">
        <v>0</v>
      </c>
      <c r="I1149" s="22" t="b">
        <v>0</v>
      </c>
      <c r="J1149" s="22" t="b">
        <v>0</v>
      </c>
      <c r="K1149" s="22" t="b">
        <v>0</v>
      </c>
      <c r="L1149" s="22" t="b">
        <v>0</v>
      </c>
      <c r="M1149" s="21"/>
      <c r="N1149" s="23">
        <v>0</v>
      </c>
      <c r="O1149" s="24"/>
      <c r="P1149" s="19"/>
      <c r="Q1149" s="25"/>
      <c r="R1149" s="25"/>
      <c r="S1149" s="19"/>
      <c r="T1149" s="26"/>
      <c r="U1149" s="27" t="s">
        <v>21</v>
      </c>
      <c r="V1149" s="28"/>
      <c r="W1149" s="29" t="s">
        <v>26</v>
      </c>
    </row>
    <row r="1150" spans="1:23" ht="30" customHeight="1">
      <c r="A1150" s="19" t="s">
        <v>5602</v>
      </c>
      <c r="B1150" s="19" t="s">
        <v>5569</v>
      </c>
      <c r="C1150" s="19"/>
      <c r="D1150" s="19" t="s">
        <v>4598</v>
      </c>
      <c r="E1150" s="20" t="s">
        <v>4599</v>
      </c>
      <c r="F1150" s="19"/>
      <c r="G1150" s="21" t="s">
        <v>22</v>
      </c>
      <c r="H1150" s="22" t="b">
        <v>0</v>
      </c>
      <c r="I1150" s="22" t="b">
        <v>0</v>
      </c>
      <c r="J1150" s="22" t="b">
        <v>0</v>
      </c>
      <c r="K1150" s="22" t="b">
        <v>0</v>
      </c>
      <c r="L1150" s="22" t="b">
        <v>0</v>
      </c>
      <c r="M1150" s="21"/>
      <c r="N1150" s="23">
        <v>0</v>
      </c>
      <c r="O1150" s="24"/>
      <c r="P1150" s="19"/>
      <c r="Q1150" s="25"/>
      <c r="R1150" s="25"/>
      <c r="S1150" s="19"/>
      <c r="T1150" s="26"/>
      <c r="U1150" s="27" t="s">
        <v>21</v>
      </c>
      <c r="V1150" s="28"/>
      <c r="W1150" s="29" t="s">
        <v>26</v>
      </c>
    </row>
    <row r="1151" spans="1:23" ht="30" customHeight="1">
      <c r="A1151" s="19" t="s">
        <v>5602</v>
      </c>
      <c r="B1151" s="19" t="s">
        <v>5569</v>
      </c>
      <c r="C1151" s="19"/>
      <c r="D1151" s="19" t="s">
        <v>4601</v>
      </c>
      <c r="E1151" s="20" t="s">
        <v>4602</v>
      </c>
      <c r="F1151" s="19"/>
      <c r="G1151" s="21" t="s">
        <v>22</v>
      </c>
      <c r="H1151" s="22" t="b">
        <v>0</v>
      </c>
      <c r="I1151" s="22" t="b">
        <v>0</v>
      </c>
      <c r="J1151" s="22" t="b">
        <v>0</v>
      </c>
      <c r="K1151" s="22" t="b">
        <v>0</v>
      </c>
      <c r="L1151" s="22" t="b">
        <v>0</v>
      </c>
      <c r="M1151" s="21"/>
      <c r="N1151" s="23">
        <v>0</v>
      </c>
      <c r="O1151" s="24"/>
      <c r="P1151" s="19"/>
      <c r="Q1151" s="25"/>
      <c r="R1151" s="25"/>
      <c r="S1151" s="19"/>
      <c r="T1151" s="26"/>
      <c r="U1151" s="27" t="s">
        <v>21</v>
      </c>
      <c r="V1151" s="28"/>
      <c r="W1151" s="29" t="s">
        <v>26</v>
      </c>
    </row>
    <row r="1152" spans="1:23" ht="30" customHeight="1">
      <c r="A1152" s="19" t="s">
        <v>5602</v>
      </c>
      <c r="B1152" s="19" t="s">
        <v>5569</v>
      </c>
      <c r="C1152" s="19"/>
      <c r="D1152" s="19" t="s">
        <v>4604</v>
      </c>
      <c r="E1152" s="20" t="s">
        <v>4605</v>
      </c>
      <c r="F1152" s="19"/>
      <c r="G1152" s="21" t="s">
        <v>22</v>
      </c>
      <c r="H1152" s="22" t="b">
        <v>0</v>
      </c>
      <c r="I1152" s="22" t="b">
        <v>0</v>
      </c>
      <c r="J1152" s="22" t="b">
        <v>0</v>
      </c>
      <c r="K1152" s="22" t="b">
        <v>0</v>
      </c>
      <c r="L1152" s="22" t="b">
        <v>0</v>
      </c>
      <c r="M1152" s="21"/>
      <c r="N1152" s="23">
        <v>0</v>
      </c>
      <c r="O1152" s="24"/>
      <c r="P1152" s="19"/>
      <c r="Q1152" s="25"/>
      <c r="R1152" s="25"/>
      <c r="S1152" s="19"/>
      <c r="T1152" s="26"/>
      <c r="U1152" s="27" t="s">
        <v>21</v>
      </c>
      <c r="V1152" s="28" t="s">
        <v>4606</v>
      </c>
      <c r="W1152" s="29" t="s">
        <v>26</v>
      </c>
    </row>
    <row r="1153" spans="1:23" ht="30" customHeight="1">
      <c r="A1153" s="19" t="s">
        <v>5603</v>
      </c>
      <c r="B1153" s="19" t="s">
        <v>5569</v>
      </c>
      <c r="C1153" s="19"/>
      <c r="D1153" s="19" t="s">
        <v>4610</v>
      </c>
      <c r="E1153" s="20" t="s">
        <v>4611</v>
      </c>
      <c r="F1153" s="19"/>
      <c r="G1153" s="21" t="s">
        <v>29</v>
      </c>
      <c r="H1153" s="22" t="b">
        <v>0</v>
      </c>
      <c r="I1153" s="22" t="b">
        <v>0</v>
      </c>
      <c r="J1153" s="22" t="b">
        <v>0</v>
      </c>
      <c r="K1153" s="22" t="b">
        <v>0</v>
      </c>
      <c r="L1153" s="22" t="b">
        <v>0</v>
      </c>
      <c r="M1153" s="21"/>
      <c r="N1153" s="23">
        <v>0</v>
      </c>
      <c r="O1153" s="24"/>
      <c r="P1153" s="19"/>
      <c r="Q1153" s="25"/>
      <c r="R1153" s="25"/>
      <c r="S1153" s="19"/>
      <c r="T1153" s="26"/>
      <c r="U1153" s="27" t="s">
        <v>21</v>
      </c>
      <c r="V1153" s="28"/>
      <c r="W1153" s="29" t="s">
        <v>26</v>
      </c>
    </row>
    <row r="1154" spans="1:23" ht="30" customHeight="1">
      <c r="A1154" s="19" t="s">
        <v>5603</v>
      </c>
      <c r="B1154" s="19" t="s">
        <v>5569</v>
      </c>
      <c r="C1154" s="19"/>
      <c r="D1154" s="19" t="s">
        <v>4613</v>
      </c>
      <c r="E1154" s="20" t="s">
        <v>4614</v>
      </c>
      <c r="F1154" s="19"/>
      <c r="G1154" s="21" t="s">
        <v>29</v>
      </c>
      <c r="H1154" s="22" t="b">
        <v>0</v>
      </c>
      <c r="I1154" s="22" t="b">
        <v>0</v>
      </c>
      <c r="J1154" s="22" t="b">
        <v>0</v>
      </c>
      <c r="K1154" s="22" t="b">
        <v>0</v>
      </c>
      <c r="L1154" s="22" t="b">
        <v>0</v>
      </c>
      <c r="M1154" s="21"/>
      <c r="N1154" s="23">
        <v>0</v>
      </c>
      <c r="O1154" s="24"/>
      <c r="P1154" s="19"/>
      <c r="Q1154" s="25"/>
      <c r="R1154" s="25"/>
      <c r="S1154" s="19"/>
      <c r="T1154" s="26"/>
      <c r="U1154" s="27" t="s">
        <v>21</v>
      </c>
      <c r="V1154" s="28" t="s">
        <v>4615</v>
      </c>
      <c r="W1154" s="29" t="s">
        <v>26</v>
      </c>
    </row>
    <row r="1155" spans="1:23" ht="30" customHeight="1">
      <c r="A1155" s="19" t="s">
        <v>5603</v>
      </c>
      <c r="B1155" s="19" t="s">
        <v>5569</v>
      </c>
      <c r="C1155" s="19"/>
      <c r="D1155" s="19" t="s">
        <v>4617</v>
      </c>
      <c r="E1155" s="20" t="s">
        <v>4618</v>
      </c>
      <c r="F1155" s="19"/>
      <c r="G1155" s="21" t="s">
        <v>22</v>
      </c>
      <c r="H1155" s="22" t="b">
        <v>0</v>
      </c>
      <c r="I1155" s="22" t="b">
        <v>0</v>
      </c>
      <c r="J1155" s="22" t="b">
        <v>0</v>
      </c>
      <c r="K1155" s="22" t="b">
        <v>0</v>
      </c>
      <c r="L1155" s="22" t="b">
        <v>0</v>
      </c>
      <c r="M1155" s="21"/>
      <c r="N1155" s="23">
        <v>0</v>
      </c>
      <c r="O1155" s="24"/>
      <c r="P1155" s="19"/>
      <c r="Q1155" s="25"/>
      <c r="R1155" s="25"/>
      <c r="S1155" s="19"/>
      <c r="T1155" s="26"/>
      <c r="U1155" s="27" t="s">
        <v>21</v>
      </c>
      <c r="V1155" s="28"/>
      <c r="W1155" s="29" t="s">
        <v>26</v>
      </c>
    </row>
    <row r="1156" spans="1:23" ht="30" customHeight="1">
      <c r="A1156" s="19" t="s">
        <v>5603</v>
      </c>
      <c r="B1156" s="19" t="s">
        <v>5569</v>
      </c>
      <c r="C1156" s="19"/>
      <c r="D1156" s="19" t="s">
        <v>4621</v>
      </c>
      <c r="E1156" s="20" t="s">
        <v>4622</v>
      </c>
      <c r="F1156" s="19"/>
      <c r="G1156" s="21" t="s">
        <v>22</v>
      </c>
      <c r="H1156" s="22" t="b">
        <v>0</v>
      </c>
      <c r="I1156" s="22" t="b">
        <v>0</v>
      </c>
      <c r="J1156" s="22" t="b">
        <v>0</v>
      </c>
      <c r="K1156" s="22" t="b">
        <v>0</v>
      </c>
      <c r="L1156" s="22" t="b">
        <v>0</v>
      </c>
      <c r="M1156" s="21"/>
      <c r="N1156" s="23">
        <v>0</v>
      </c>
      <c r="O1156" s="24"/>
      <c r="P1156" s="19"/>
      <c r="Q1156" s="25"/>
      <c r="R1156" s="25"/>
      <c r="S1156" s="19"/>
      <c r="T1156" s="26"/>
      <c r="U1156" s="27" t="s">
        <v>21</v>
      </c>
      <c r="V1156" s="28" t="s">
        <v>4623</v>
      </c>
      <c r="W1156" s="29" t="s">
        <v>26</v>
      </c>
    </row>
    <row r="1157" spans="1:23" ht="30" customHeight="1">
      <c r="A1157" s="19" t="s">
        <v>5603</v>
      </c>
      <c r="B1157" s="19" t="s">
        <v>5569</v>
      </c>
      <c r="C1157" s="19"/>
      <c r="D1157" s="19" t="s">
        <v>4626</v>
      </c>
      <c r="E1157" s="20" t="s">
        <v>4627</v>
      </c>
      <c r="F1157" s="19"/>
      <c r="G1157" s="21" t="s">
        <v>29</v>
      </c>
      <c r="H1157" s="22" t="b">
        <v>0</v>
      </c>
      <c r="I1157" s="22" t="b">
        <v>0</v>
      </c>
      <c r="J1157" s="22" t="b">
        <v>0</v>
      </c>
      <c r="K1157" s="22" t="b">
        <v>0</v>
      </c>
      <c r="L1157" s="22" t="b">
        <v>0</v>
      </c>
      <c r="M1157" s="21"/>
      <c r="N1157" s="23">
        <v>0</v>
      </c>
      <c r="O1157" s="24"/>
      <c r="P1157" s="19"/>
      <c r="Q1157" s="25"/>
      <c r="R1157" s="25"/>
      <c r="S1157" s="19"/>
      <c r="T1157" s="26"/>
      <c r="U1157" s="27" t="s">
        <v>21</v>
      </c>
      <c r="V1157" s="28"/>
      <c r="W1157" s="29" t="s">
        <v>26</v>
      </c>
    </row>
    <row r="1158" spans="1:23" ht="30" customHeight="1">
      <c r="A1158" s="19" t="s">
        <v>5603</v>
      </c>
      <c r="B1158" s="19" t="s">
        <v>5569</v>
      </c>
      <c r="C1158" s="19"/>
      <c r="D1158" s="19" t="s">
        <v>4629</v>
      </c>
      <c r="E1158" s="20" t="s">
        <v>4630</v>
      </c>
      <c r="F1158" s="19"/>
      <c r="G1158" s="21" t="s">
        <v>29</v>
      </c>
      <c r="H1158" s="22" t="b">
        <v>0</v>
      </c>
      <c r="I1158" s="22" t="b">
        <v>0</v>
      </c>
      <c r="J1158" s="22" t="b">
        <v>0</v>
      </c>
      <c r="K1158" s="22" t="b">
        <v>0</v>
      </c>
      <c r="L1158" s="22" t="b">
        <v>0</v>
      </c>
      <c r="M1158" s="21"/>
      <c r="N1158" s="23">
        <v>0</v>
      </c>
      <c r="O1158" s="24"/>
      <c r="P1158" s="19"/>
      <c r="Q1158" s="25"/>
      <c r="R1158" s="25"/>
      <c r="S1158" s="19"/>
      <c r="T1158" s="26"/>
      <c r="U1158" s="27" t="s">
        <v>21</v>
      </c>
      <c r="V1158" s="28" t="s">
        <v>4631</v>
      </c>
      <c r="W1158" s="29" t="s">
        <v>26</v>
      </c>
    </row>
    <row r="1159" spans="1:23" ht="30" customHeight="1">
      <c r="A1159" s="19" t="s">
        <v>5603</v>
      </c>
      <c r="B1159" s="19" t="s">
        <v>5569</v>
      </c>
      <c r="C1159" s="19"/>
      <c r="D1159" s="19" t="s">
        <v>4634</v>
      </c>
      <c r="E1159" s="20" t="s">
        <v>4635</v>
      </c>
      <c r="F1159" s="19"/>
      <c r="G1159" s="21" t="s">
        <v>29</v>
      </c>
      <c r="H1159" s="22" t="b">
        <v>0</v>
      </c>
      <c r="I1159" s="22" t="b">
        <v>0</v>
      </c>
      <c r="J1159" s="22" t="b">
        <v>0</v>
      </c>
      <c r="K1159" s="22" t="b">
        <v>0</v>
      </c>
      <c r="L1159" s="22" t="b">
        <v>0</v>
      </c>
      <c r="M1159" s="21"/>
      <c r="N1159" s="23">
        <v>0</v>
      </c>
      <c r="O1159" s="24"/>
      <c r="P1159" s="19"/>
      <c r="Q1159" s="25"/>
      <c r="R1159" s="25"/>
      <c r="S1159" s="19"/>
      <c r="T1159" s="26"/>
      <c r="U1159" s="27" t="s">
        <v>21</v>
      </c>
      <c r="V1159" s="28" t="s">
        <v>4636</v>
      </c>
      <c r="W1159" s="29" t="s">
        <v>26</v>
      </c>
    </row>
    <row r="1160" spans="1:23" ht="30" customHeight="1">
      <c r="A1160" s="19" t="s">
        <v>5603</v>
      </c>
      <c r="B1160" s="19" t="s">
        <v>5569</v>
      </c>
      <c r="C1160" s="19"/>
      <c r="D1160" s="19" t="s">
        <v>4639</v>
      </c>
      <c r="E1160" s="20" t="s">
        <v>4640</v>
      </c>
      <c r="F1160" s="19"/>
      <c r="G1160" s="21" t="s">
        <v>22</v>
      </c>
      <c r="H1160" s="22" t="b">
        <v>0</v>
      </c>
      <c r="I1160" s="22" t="b">
        <v>0</v>
      </c>
      <c r="J1160" s="22" t="b">
        <v>0</v>
      </c>
      <c r="K1160" s="22" t="b">
        <v>0</v>
      </c>
      <c r="L1160" s="22" t="b">
        <v>0</v>
      </c>
      <c r="M1160" s="21"/>
      <c r="N1160" s="23">
        <v>0</v>
      </c>
      <c r="O1160" s="24"/>
      <c r="P1160" s="19"/>
      <c r="Q1160" s="25"/>
      <c r="R1160" s="25"/>
      <c r="S1160" s="19"/>
      <c r="T1160" s="26"/>
      <c r="U1160" s="27" t="s">
        <v>21</v>
      </c>
      <c r="V1160" s="28" t="s">
        <v>4641</v>
      </c>
      <c r="W1160" s="29" t="s">
        <v>26</v>
      </c>
    </row>
    <row r="1161" spans="1:23" ht="30" customHeight="1">
      <c r="A1161" s="19" t="s">
        <v>5603</v>
      </c>
      <c r="B1161" s="19" t="s">
        <v>5569</v>
      </c>
      <c r="C1161" s="19"/>
      <c r="D1161" s="19" t="s">
        <v>4644</v>
      </c>
      <c r="E1161" s="20" t="s">
        <v>4645</v>
      </c>
      <c r="F1161" s="19"/>
      <c r="G1161" s="21" t="s">
        <v>29</v>
      </c>
      <c r="H1161" s="22" t="b">
        <v>0</v>
      </c>
      <c r="I1161" s="22" t="b">
        <v>0</v>
      </c>
      <c r="J1161" s="22" t="b">
        <v>0</v>
      </c>
      <c r="K1161" s="22" t="b">
        <v>0</v>
      </c>
      <c r="L1161" s="22" t="b">
        <v>0</v>
      </c>
      <c r="M1161" s="21"/>
      <c r="N1161" s="23">
        <v>0</v>
      </c>
      <c r="O1161" s="24"/>
      <c r="P1161" s="19"/>
      <c r="Q1161" s="25"/>
      <c r="R1161" s="25"/>
      <c r="S1161" s="19"/>
      <c r="T1161" s="26"/>
      <c r="U1161" s="27" t="s">
        <v>21</v>
      </c>
      <c r="V1161" s="28" t="s">
        <v>4646</v>
      </c>
      <c r="W1161" s="29" t="s">
        <v>26</v>
      </c>
    </row>
    <row r="1162" spans="1:23" ht="30" customHeight="1">
      <c r="A1162" s="19" t="s">
        <v>5603</v>
      </c>
      <c r="B1162" s="19" t="s">
        <v>5569</v>
      </c>
      <c r="C1162" s="19"/>
      <c r="D1162" s="19" t="s">
        <v>4649</v>
      </c>
      <c r="E1162" s="20" t="s">
        <v>4650</v>
      </c>
      <c r="F1162" s="19"/>
      <c r="G1162" s="21" t="s">
        <v>29</v>
      </c>
      <c r="H1162" s="22" t="b">
        <v>0</v>
      </c>
      <c r="I1162" s="22" t="b">
        <v>0</v>
      </c>
      <c r="J1162" s="22" t="b">
        <v>0</v>
      </c>
      <c r="K1162" s="22" t="b">
        <v>0</v>
      </c>
      <c r="L1162" s="22" t="b">
        <v>0</v>
      </c>
      <c r="M1162" s="21"/>
      <c r="N1162" s="23">
        <v>0</v>
      </c>
      <c r="O1162" s="24"/>
      <c r="P1162" s="19"/>
      <c r="Q1162" s="25"/>
      <c r="R1162" s="25"/>
      <c r="S1162" s="19"/>
      <c r="T1162" s="26"/>
      <c r="U1162" s="27" t="s">
        <v>21</v>
      </c>
      <c r="V1162" s="28"/>
      <c r="W1162" s="29" t="s">
        <v>26</v>
      </c>
    </row>
    <row r="1163" spans="1:23" ht="30" customHeight="1">
      <c r="A1163" s="19" t="s">
        <v>5603</v>
      </c>
      <c r="B1163" s="19" t="s">
        <v>5569</v>
      </c>
      <c r="C1163" s="19"/>
      <c r="D1163" s="19" t="s">
        <v>4652</v>
      </c>
      <c r="E1163" s="20" t="s">
        <v>4653</v>
      </c>
      <c r="F1163" s="19"/>
      <c r="G1163" s="21" t="s">
        <v>22</v>
      </c>
      <c r="H1163" s="22" t="b">
        <v>0</v>
      </c>
      <c r="I1163" s="22" t="b">
        <v>0</v>
      </c>
      <c r="J1163" s="22" t="b">
        <v>0</v>
      </c>
      <c r="K1163" s="22" t="b">
        <v>0</v>
      </c>
      <c r="L1163" s="22" t="b">
        <v>0</v>
      </c>
      <c r="M1163" s="21"/>
      <c r="N1163" s="23">
        <v>0</v>
      </c>
      <c r="O1163" s="24"/>
      <c r="P1163" s="19"/>
      <c r="Q1163" s="25"/>
      <c r="R1163" s="25"/>
      <c r="S1163" s="19"/>
      <c r="T1163" s="26"/>
      <c r="U1163" s="27" t="s">
        <v>21</v>
      </c>
      <c r="V1163" s="28"/>
      <c r="W1163" s="29" t="s">
        <v>26</v>
      </c>
    </row>
    <row r="1164" spans="1:23" ht="30" customHeight="1">
      <c r="A1164" s="19" t="s">
        <v>5603</v>
      </c>
      <c r="B1164" s="19" t="s">
        <v>5569</v>
      </c>
      <c r="C1164" s="19"/>
      <c r="D1164" s="19" t="s">
        <v>4656</v>
      </c>
      <c r="E1164" s="20" t="s">
        <v>4657</v>
      </c>
      <c r="F1164" s="19"/>
      <c r="G1164" s="21" t="s">
        <v>22</v>
      </c>
      <c r="H1164" s="22" t="b">
        <v>0</v>
      </c>
      <c r="I1164" s="22" t="b">
        <v>0</v>
      </c>
      <c r="J1164" s="22" t="b">
        <v>0</v>
      </c>
      <c r="K1164" s="22" t="b">
        <v>0</v>
      </c>
      <c r="L1164" s="22" t="b">
        <v>0</v>
      </c>
      <c r="M1164" s="21"/>
      <c r="N1164" s="23">
        <v>0</v>
      </c>
      <c r="O1164" s="24"/>
      <c r="P1164" s="19"/>
      <c r="Q1164" s="25"/>
      <c r="R1164" s="25"/>
      <c r="S1164" s="19"/>
      <c r="T1164" s="26"/>
      <c r="U1164" s="27" t="s">
        <v>21</v>
      </c>
      <c r="V1164" s="28" t="s">
        <v>3611</v>
      </c>
      <c r="W1164" s="29" t="s">
        <v>26</v>
      </c>
    </row>
    <row r="1165" spans="1:23" ht="30" customHeight="1">
      <c r="A1165" s="19" t="s">
        <v>5603</v>
      </c>
      <c r="B1165" s="19" t="s">
        <v>5569</v>
      </c>
      <c r="C1165" s="19"/>
      <c r="D1165" s="19" t="s">
        <v>4659</v>
      </c>
      <c r="E1165" s="20" t="s">
        <v>4660</v>
      </c>
      <c r="F1165" s="19"/>
      <c r="G1165" s="21" t="s">
        <v>29</v>
      </c>
      <c r="H1165" s="22" t="b">
        <v>0</v>
      </c>
      <c r="I1165" s="22" t="b">
        <v>0</v>
      </c>
      <c r="J1165" s="22" t="b">
        <v>0</v>
      </c>
      <c r="K1165" s="22" t="b">
        <v>0</v>
      </c>
      <c r="L1165" s="22" t="b">
        <v>0</v>
      </c>
      <c r="M1165" s="21"/>
      <c r="N1165" s="23">
        <v>0</v>
      </c>
      <c r="O1165" s="24"/>
      <c r="P1165" s="19"/>
      <c r="Q1165" s="25"/>
      <c r="R1165" s="25"/>
      <c r="S1165" s="19"/>
      <c r="T1165" s="26"/>
      <c r="U1165" s="27" t="s">
        <v>21</v>
      </c>
      <c r="V1165" s="28" t="s">
        <v>4661</v>
      </c>
      <c r="W1165" s="29" t="s">
        <v>26</v>
      </c>
    </row>
    <row r="1166" spans="1:23" ht="30" customHeight="1">
      <c r="A1166" s="19" t="s">
        <v>5603</v>
      </c>
      <c r="B1166" s="19" t="s">
        <v>5569</v>
      </c>
      <c r="C1166" s="19"/>
      <c r="D1166" s="19" t="s">
        <v>4664</v>
      </c>
      <c r="E1166" s="20" t="s">
        <v>4665</v>
      </c>
      <c r="F1166" s="19"/>
      <c r="G1166" s="21" t="s">
        <v>29</v>
      </c>
      <c r="H1166" s="22" t="b">
        <v>0</v>
      </c>
      <c r="I1166" s="22" t="b">
        <v>0</v>
      </c>
      <c r="J1166" s="22" t="b">
        <v>0</v>
      </c>
      <c r="K1166" s="22" t="b">
        <v>0</v>
      </c>
      <c r="L1166" s="22" t="b">
        <v>0</v>
      </c>
      <c r="M1166" s="21"/>
      <c r="N1166" s="23">
        <v>0</v>
      </c>
      <c r="O1166" s="24"/>
      <c r="P1166" s="19"/>
      <c r="Q1166" s="25"/>
      <c r="R1166" s="25"/>
      <c r="S1166" s="19"/>
      <c r="T1166" s="26"/>
      <c r="U1166" s="27" t="s">
        <v>21</v>
      </c>
      <c r="V1166" s="28"/>
      <c r="W1166" s="29" t="s">
        <v>26</v>
      </c>
    </row>
    <row r="1167" spans="1:23" ht="30" customHeight="1">
      <c r="A1167" s="19" t="s">
        <v>5603</v>
      </c>
      <c r="B1167" s="19" t="s">
        <v>5569</v>
      </c>
      <c r="C1167" s="19"/>
      <c r="D1167" s="19" t="s">
        <v>4667</v>
      </c>
      <c r="E1167" s="20" t="s">
        <v>4668</v>
      </c>
      <c r="F1167" s="19"/>
      <c r="G1167" s="21" t="s">
        <v>22</v>
      </c>
      <c r="H1167" s="22" t="b">
        <v>0</v>
      </c>
      <c r="I1167" s="22" t="b">
        <v>0</v>
      </c>
      <c r="J1167" s="22" t="b">
        <v>0</v>
      </c>
      <c r="K1167" s="22" t="b">
        <v>0</v>
      </c>
      <c r="L1167" s="22" t="b">
        <v>0</v>
      </c>
      <c r="M1167" s="21"/>
      <c r="N1167" s="23">
        <v>0</v>
      </c>
      <c r="O1167" s="24"/>
      <c r="P1167" s="19"/>
      <c r="Q1167" s="25"/>
      <c r="R1167" s="25"/>
      <c r="S1167" s="19"/>
      <c r="T1167" s="26"/>
      <c r="U1167" s="27" t="s">
        <v>21</v>
      </c>
      <c r="V1167" s="28"/>
      <c r="W1167" s="29" t="s">
        <v>26</v>
      </c>
    </row>
    <row r="1168" spans="1:23" ht="30" customHeight="1">
      <c r="A1168" s="19" t="s">
        <v>5603</v>
      </c>
      <c r="B1168" s="19" t="s">
        <v>5569</v>
      </c>
      <c r="C1168" s="19"/>
      <c r="D1168" s="19" t="s">
        <v>4671</v>
      </c>
      <c r="E1168" s="20" t="s">
        <v>4672</v>
      </c>
      <c r="F1168" s="19"/>
      <c r="G1168" s="21" t="s">
        <v>22</v>
      </c>
      <c r="H1168" s="22" t="b">
        <v>0</v>
      </c>
      <c r="I1168" s="22" t="b">
        <v>0</v>
      </c>
      <c r="J1168" s="22" t="b">
        <v>0</v>
      </c>
      <c r="K1168" s="22" t="b">
        <v>0</v>
      </c>
      <c r="L1168" s="22" t="b">
        <v>0</v>
      </c>
      <c r="M1168" s="21"/>
      <c r="N1168" s="23">
        <v>0</v>
      </c>
      <c r="O1168" s="24"/>
      <c r="P1168" s="19"/>
      <c r="Q1168" s="25"/>
      <c r="R1168" s="25"/>
      <c r="S1168" s="19"/>
      <c r="T1168" s="26"/>
      <c r="U1168" s="27" t="s">
        <v>21</v>
      </c>
      <c r="V1168" s="28" t="s">
        <v>4673</v>
      </c>
      <c r="W1168" s="29" t="s">
        <v>26</v>
      </c>
    </row>
    <row r="1169" spans="1:23" ht="30" customHeight="1">
      <c r="A1169" s="19" t="s">
        <v>5603</v>
      </c>
      <c r="B1169" s="19" t="s">
        <v>5569</v>
      </c>
      <c r="C1169" s="19"/>
      <c r="D1169" s="19" t="s">
        <v>4675</v>
      </c>
      <c r="E1169" s="20" t="s">
        <v>4676</v>
      </c>
      <c r="F1169" s="19"/>
      <c r="G1169" s="21" t="s">
        <v>29</v>
      </c>
      <c r="H1169" s="22" t="b">
        <v>0</v>
      </c>
      <c r="I1169" s="22" t="b">
        <v>0</v>
      </c>
      <c r="J1169" s="22" t="b">
        <v>0</v>
      </c>
      <c r="K1169" s="22" t="b">
        <v>0</v>
      </c>
      <c r="L1169" s="22" t="b">
        <v>0</v>
      </c>
      <c r="M1169" s="21"/>
      <c r="N1169" s="23">
        <v>0</v>
      </c>
      <c r="O1169" s="24"/>
      <c r="P1169" s="19"/>
      <c r="Q1169" s="25"/>
      <c r="R1169" s="25"/>
      <c r="S1169" s="19"/>
      <c r="T1169" s="26"/>
      <c r="U1169" s="27" t="s">
        <v>21</v>
      </c>
      <c r="V1169" s="28"/>
      <c r="W1169" s="29" t="s">
        <v>26</v>
      </c>
    </row>
    <row r="1170" spans="1:23" ht="30" customHeight="1">
      <c r="A1170" s="19" t="s">
        <v>5603</v>
      </c>
      <c r="B1170" s="19" t="s">
        <v>5569</v>
      </c>
      <c r="C1170" s="19"/>
      <c r="D1170" s="19" t="s">
        <v>4678</v>
      </c>
      <c r="E1170" s="20" t="s">
        <v>4679</v>
      </c>
      <c r="F1170" s="19"/>
      <c r="G1170" s="21" t="s">
        <v>29</v>
      </c>
      <c r="H1170" s="22" t="b">
        <v>0</v>
      </c>
      <c r="I1170" s="22" t="b">
        <v>0</v>
      </c>
      <c r="J1170" s="22" t="b">
        <v>0</v>
      </c>
      <c r="K1170" s="22" t="b">
        <v>0</v>
      </c>
      <c r="L1170" s="22" t="b">
        <v>0</v>
      </c>
      <c r="M1170" s="21"/>
      <c r="N1170" s="23">
        <v>0</v>
      </c>
      <c r="O1170" s="24"/>
      <c r="P1170" s="19"/>
      <c r="Q1170" s="25"/>
      <c r="R1170" s="25"/>
      <c r="S1170" s="19"/>
      <c r="T1170" s="26"/>
      <c r="U1170" s="27" t="s">
        <v>21</v>
      </c>
      <c r="V1170" s="28" t="s">
        <v>4680</v>
      </c>
      <c r="W1170" s="29" t="s">
        <v>26</v>
      </c>
    </row>
    <row r="1171" spans="1:23" ht="30" customHeight="1">
      <c r="A1171" s="19" t="s">
        <v>5603</v>
      </c>
      <c r="B1171" s="19" t="s">
        <v>5569</v>
      </c>
      <c r="C1171" s="19"/>
      <c r="D1171" s="19" t="s">
        <v>4683</v>
      </c>
      <c r="E1171" s="20" t="s">
        <v>4684</v>
      </c>
      <c r="F1171" s="19"/>
      <c r="G1171" s="21" t="s">
        <v>29</v>
      </c>
      <c r="H1171" s="22" t="b">
        <v>0</v>
      </c>
      <c r="I1171" s="22" t="b">
        <v>0</v>
      </c>
      <c r="J1171" s="22" t="b">
        <v>0</v>
      </c>
      <c r="K1171" s="22" t="b">
        <v>0</v>
      </c>
      <c r="L1171" s="22" t="b">
        <v>0</v>
      </c>
      <c r="M1171" s="21"/>
      <c r="N1171" s="23">
        <v>0</v>
      </c>
      <c r="O1171" s="24"/>
      <c r="P1171" s="19"/>
      <c r="Q1171" s="25"/>
      <c r="R1171" s="25"/>
      <c r="S1171" s="19"/>
      <c r="T1171" s="26"/>
      <c r="U1171" s="27" t="s">
        <v>21</v>
      </c>
      <c r="V1171" s="28"/>
      <c r="W1171" s="29" t="s">
        <v>26</v>
      </c>
    </row>
    <row r="1172" spans="1:23" ht="30" customHeight="1">
      <c r="A1172" s="19" t="s">
        <v>5603</v>
      </c>
      <c r="B1172" s="19" t="s">
        <v>5569</v>
      </c>
      <c r="C1172" s="19"/>
      <c r="D1172" s="19" t="s">
        <v>4686</v>
      </c>
      <c r="E1172" s="20" t="s">
        <v>4687</v>
      </c>
      <c r="F1172" s="19"/>
      <c r="G1172" s="21" t="s">
        <v>29</v>
      </c>
      <c r="H1172" s="22" t="b">
        <v>0</v>
      </c>
      <c r="I1172" s="22" t="b">
        <v>0</v>
      </c>
      <c r="J1172" s="22" t="b">
        <v>0</v>
      </c>
      <c r="K1172" s="22" t="b">
        <v>0</v>
      </c>
      <c r="L1172" s="22" t="b">
        <v>0</v>
      </c>
      <c r="M1172" s="21"/>
      <c r="N1172" s="23">
        <v>0</v>
      </c>
      <c r="O1172" s="24"/>
      <c r="P1172" s="19"/>
      <c r="Q1172" s="25"/>
      <c r="R1172" s="25"/>
      <c r="S1172" s="19"/>
      <c r="T1172" s="26"/>
      <c r="U1172" s="27" t="s">
        <v>21</v>
      </c>
      <c r="V1172" s="28" t="s">
        <v>4688</v>
      </c>
      <c r="W1172" s="29" t="s">
        <v>26</v>
      </c>
    </row>
    <row r="1173" spans="1:23" ht="30" customHeight="1">
      <c r="A1173" s="19" t="s">
        <v>5603</v>
      </c>
      <c r="B1173" s="19" t="s">
        <v>5569</v>
      </c>
      <c r="C1173" s="19"/>
      <c r="D1173" s="19" t="s">
        <v>4691</v>
      </c>
      <c r="E1173" s="20" t="s">
        <v>4692</v>
      </c>
      <c r="F1173" s="19"/>
      <c r="G1173" s="21" t="s">
        <v>29</v>
      </c>
      <c r="H1173" s="22" t="b">
        <v>0</v>
      </c>
      <c r="I1173" s="22" t="b">
        <v>0</v>
      </c>
      <c r="J1173" s="22" t="b">
        <v>0</v>
      </c>
      <c r="K1173" s="22" t="b">
        <v>0</v>
      </c>
      <c r="L1173" s="22" t="b">
        <v>0</v>
      </c>
      <c r="M1173" s="21"/>
      <c r="N1173" s="23">
        <v>0</v>
      </c>
      <c r="O1173" s="24"/>
      <c r="P1173" s="19"/>
      <c r="Q1173" s="25"/>
      <c r="R1173" s="25"/>
      <c r="S1173" s="19"/>
      <c r="T1173" s="26"/>
      <c r="U1173" s="27" t="s">
        <v>21</v>
      </c>
      <c r="V1173" s="28" t="s">
        <v>4693</v>
      </c>
      <c r="W1173" s="29" t="s">
        <v>26</v>
      </c>
    </row>
    <row r="1174" spans="1:23" ht="30" customHeight="1">
      <c r="A1174" s="19" t="s">
        <v>5604</v>
      </c>
      <c r="B1174" s="19" t="s">
        <v>5569</v>
      </c>
      <c r="C1174" s="19"/>
      <c r="D1174" s="19" t="s">
        <v>4697</v>
      </c>
      <c r="E1174" s="20" t="s">
        <v>4698</v>
      </c>
      <c r="F1174" s="19"/>
      <c r="G1174" s="21" t="s">
        <v>22</v>
      </c>
      <c r="H1174" s="22" t="b">
        <v>0</v>
      </c>
      <c r="I1174" s="22" t="b">
        <v>0</v>
      </c>
      <c r="J1174" s="22" t="b">
        <v>0</v>
      </c>
      <c r="K1174" s="22" t="b">
        <v>0</v>
      </c>
      <c r="L1174" s="22" t="b">
        <v>0</v>
      </c>
      <c r="M1174" s="21"/>
      <c r="N1174" s="23">
        <v>0</v>
      </c>
      <c r="O1174" s="24"/>
      <c r="P1174" s="19"/>
      <c r="Q1174" s="25"/>
      <c r="R1174" s="25"/>
      <c r="S1174" s="19"/>
      <c r="T1174" s="26"/>
      <c r="U1174" s="27" t="s">
        <v>21</v>
      </c>
      <c r="V1174" s="28" t="s">
        <v>4699</v>
      </c>
      <c r="W1174" s="29" t="s">
        <v>26</v>
      </c>
    </row>
    <row r="1175" spans="1:23" ht="30" customHeight="1">
      <c r="A1175" s="19" t="s">
        <v>5604</v>
      </c>
      <c r="B1175" s="19" t="s">
        <v>5569</v>
      </c>
      <c r="C1175" s="19"/>
      <c r="D1175" s="19" t="s">
        <v>4701</v>
      </c>
      <c r="E1175" s="20" t="s">
        <v>4702</v>
      </c>
      <c r="F1175" s="19"/>
      <c r="G1175" s="21" t="s">
        <v>22</v>
      </c>
      <c r="H1175" s="22" t="b">
        <v>0</v>
      </c>
      <c r="I1175" s="22" t="b">
        <v>0</v>
      </c>
      <c r="J1175" s="22" t="b">
        <v>0</v>
      </c>
      <c r="K1175" s="22" t="b">
        <v>0</v>
      </c>
      <c r="L1175" s="22" t="b">
        <v>0</v>
      </c>
      <c r="M1175" s="21"/>
      <c r="N1175" s="23">
        <v>0</v>
      </c>
      <c r="O1175" s="24"/>
      <c r="P1175" s="19"/>
      <c r="Q1175" s="25"/>
      <c r="R1175" s="25"/>
      <c r="S1175" s="19"/>
      <c r="T1175" s="26"/>
      <c r="U1175" s="27" t="s">
        <v>21</v>
      </c>
      <c r="V1175" s="28" t="s">
        <v>3943</v>
      </c>
      <c r="W1175" s="29" t="s">
        <v>26</v>
      </c>
    </row>
    <row r="1176" spans="1:23" ht="30" customHeight="1">
      <c r="A1176" s="19" t="s">
        <v>5604</v>
      </c>
      <c r="B1176" s="19" t="s">
        <v>5569</v>
      </c>
      <c r="C1176" s="19"/>
      <c r="D1176" s="19" t="s">
        <v>4704</v>
      </c>
      <c r="E1176" s="20" t="s">
        <v>4705</v>
      </c>
      <c r="F1176" s="19"/>
      <c r="G1176" s="21" t="s">
        <v>22</v>
      </c>
      <c r="H1176" s="22" t="b">
        <v>0</v>
      </c>
      <c r="I1176" s="22" t="b">
        <v>0</v>
      </c>
      <c r="J1176" s="22" t="b">
        <v>0</v>
      </c>
      <c r="K1176" s="22" t="b">
        <v>0</v>
      </c>
      <c r="L1176" s="22" t="b">
        <v>0</v>
      </c>
      <c r="M1176" s="21"/>
      <c r="N1176" s="23">
        <v>0</v>
      </c>
      <c r="O1176" s="24"/>
      <c r="P1176" s="19"/>
      <c r="Q1176" s="25"/>
      <c r="R1176" s="25"/>
      <c r="S1176" s="19"/>
      <c r="T1176" s="26"/>
      <c r="U1176" s="27" t="s">
        <v>21</v>
      </c>
      <c r="V1176" s="28" t="s">
        <v>3611</v>
      </c>
      <c r="W1176" s="29" t="s">
        <v>26</v>
      </c>
    </row>
    <row r="1177" spans="1:23" ht="30" customHeight="1">
      <c r="A1177" s="19" t="s">
        <v>5605</v>
      </c>
      <c r="B1177" s="19" t="s">
        <v>5569</v>
      </c>
      <c r="C1177" s="19"/>
      <c r="D1177" s="19" t="s">
        <v>4709</v>
      </c>
      <c r="E1177" s="20" t="s">
        <v>4710</v>
      </c>
      <c r="F1177" s="19"/>
      <c r="G1177" s="21" t="s">
        <v>22</v>
      </c>
      <c r="H1177" s="22" t="b">
        <v>0</v>
      </c>
      <c r="I1177" s="22" t="b">
        <v>0</v>
      </c>
      <c r="J1177" s="22" t="b">
        <v>0</v>
      </c>
      <c r="K1177" s="22" t="b">
        <v>0</v>
      </c>
      <c r="L1177" s="22" t="b">
        <v>0</v>
      </c>
      <c r="M1177" s="21"/>
      <c r="N1177" s="23">
        <v>0</v>
      </c>
      <c r="O1177" s="24"/>
      <c r="P1177" s="19"/>
      <c r="Q1177" s="25"/>
      <c r="R1177" s="25"/>
      <c r="S1177" s="19"/>
      <c r="T1177" s="26"/>
      <c r="U1177" s="30" t="s">
        <v>34</v>
      </c>
      <c r="V1177" s="28" t="s">
        <v>4711</v>
      </c>
      <c r="W1177" s="29" t="s">
        <v>26</v>
      </c>
    </row>
    <row r="1178" spans="1:23" ht="30" customHeight="1">
      <c r="A1178" s="19" t="s">
        <v>5605</v>
      </c>
      <c r="B1178" s="19" t="s">
        <v>5569</v>
      </c>
      <c r="C1178" s="19"/>
      <c r="D1178" s="19" t="s">
        <v>4713</v>
      </c>
      <c r="E1178" s="20" t="s">
        <v>4714</v>
      </c>
      <c r="F1178" s="19"/>
      <c r="G1178" s="21" t="s">
        <v>22</v>
      </c>
      <c r="H1178" s="22" t="b">
        <v>0</v>
      </c>
      <c r="I1178" s="22" t="b">
        <v>0</v>
      </c>
      <c r="J1178" s="22" t="b">
        <v>0</v>
      </c>
      <c r="K1178" s="22" t="b">
        <v>0</v>
      </c>
      <c r="L1178" s="22" t="b">
        <v>0</v>
      </c>
      <c r="M1178" s="21"/>
      <c r="N1178" s="23">
        <v>0</v>
      </c>
      <c r="O1178" s="24"/>
      <c r="P1178" s="19"/>
      <c r="Q1178" s="25"/>
      <c r="R1178" s="25"/>
      <c r="S1178" s="19"/>
      <c r="T1178" s="26"/>
      <c r="U1178" s="27" t="s">
        <v>21</v>
      </c>
      <c r="V1178" s="28"/>
      <c r="W1178" s="29" t="s">
        <v>26</v>
      </c>
    </row>
    <row r="1179" spans="1:23" ht="30" customHeight="1">
      <c r="A1179" s="19" t="s">
        <v>5605</v>
      </c>
      <c r="B1179" s="19" t="s">
        <v>5569</v>
      </c>
      <c r="C1179" s="19"/>
      <c r="D1179" s="19" t="s">
        <v>4717</v>
      </c>
      <c r="E1179" s="20" t="s">
        <v>4718</v>
      </c>
      <c r="F1179" s="19"/>
      <c r="G1179" s="21" t="s">
        <v>22</v>
      </c>
      <c r="H1179" s="22" t="b">
        <v>0</v>
      </c>
      <c r="I1179" s="22" t="b">
        <v>0</v>
      </c>
      <c r="J1179" s="22" t="b">
        <v>0</v>
      </c>
      <c r="K1179" s="22" t="b">
        <v>0</v>
      </c>
      <c r="L1179" s="22" t="b">
        <v>0</v>
      </c>
      <c r="M1179" s="21"/>
      <c r="N1179" s="23">
        <v>0</v>
      </c>
      <c r="O1179" s="24"/>
      <c r="P1179" s="19"/>
      <c r="Q1179" s="25"/>
      <c r="R1179" s="25"/>
      <c r="S1179" s="19"/>
      <c r="T1179" s="26"/>
      <c r="U1179" s="27" t="s">
        <v>21</v>
      </c>
      <c r="V1179" s="28"/>
      <c r="W1179" s="29" t="s">
        <v>26</v>
      </c>
    </row>
    <row r="1180" spans="1:23" ht="30" customHeight="1">
      <c r="A1180" s="19" t="s">
        <v>5605</v>
      </c>
      <c r="B1180" s="19" t="s">
        <v>5569</v>
      </c>
      <c r="C1180" s="19"/>
      <c r="D1180" s="19" t="s">
        <v>4720</v>
      </c>
      <c r="E1180" s="20" t="s">
        <v>4721</v>
      </c>
      <c r="F1180" s="19"/>
      <c r="G1180" s="21" t="s">
        <v>29</v>
      </c>
      <c r="H1180" s="22" t="b">
        <v>0</v>
      </c>
      <c r="I1180" s="22" t="b">
        <v>0</v>
      </c>
      <c r="J1180" s="22" t="b">
        <v>0</v>
      </c>
      <c r="K1180" s="22" t="b">
        <v>0</v>
      </c>
      <c r="L1180" s="22" t="b">
        <v>0</v>
      </c>
      <c r="M1180" s="21"/>
      <c r="N1180" s="23">
        <v>0</v>
      </c>
      <c r="O1180" s="24"/>
      <c r="P1180" s="19"/>
      <c r="Q1180" s="25"/>
      <c r="R1180" s="25"/>
      <c r="S1180" s="19"/>
      <c r="T1180" s="26"/>
      <c r="U1180" s="27" t="s">
        <v>21</v>
      </c>
      <c r="V1180" s="28" t="s">
        <v>4722</v>
      </c>
      <c r="W1180" s="29" t="s">
        <v>26</v>
      </c>
    </row>
    <row r="1181" spans="1:23" ht="30" customHeight="1">
      <c r="A1181" s="19" t="s">
        <v>5605</v>
      </c>
      <c r="B1181" s="19" t="s">
        <v>5569</v>
      </c>
      <c r="C1181" s="19"/>
      <c r="D1181" s="19" t="s">
        <v>4724</v>
      </c>
      <c r="E1181" s="20" t="s">
        <v>4725</v>
      </c>
      <c r="F1181" s="19"/>
      <c r="G1181" s="21" t="s">
        <v>22</v>
      </c>
      <c r="H1181" s="22" t="b">
        <v>0</v>
      </c>
      <c r="I1181" s="22" t="b">
        <v>0</v>
      </c>
      <c r="J1181" s="22" t="b">
        <v>0</v>
      </c>
      <c r="K1181" s="22" t="b">
        <v>0</v>
      </c>
      <c r="L1181" s="22" t="b">
        <v>0</v>
      </c>
      <c r="M1181" s="21"/>
      <c r="N1181" s="23">
        <v>0</v>
      </c>
      <c r="O1181" s="24"/>
      <c r="P1181" s="19"/>
      <c r="Q1181" s="25"/>
      <c r="R1181" s="25"/>
      <c r="S1181" s="19"/>
      <c r="T1181" s="26"/>
      <c r="U1181" s="27" t="s">
        <v>21</v>
      </c>
      <c r="V1181" s="28" t="s">
        <v>3611</v>
      </c>
      <c r="W1181" s="29" t="s">
        <v>26</v>
      </c>
    </row>
    <row r="1182" spans="1:23" ht="30" customHeight="1">
      <c r="A1182" s="19" t="s">
        <v>5605</v>
      </c>
      <c r="B1182" s="19" t="s">
        <v>5569</v>
      </c>
      <c r="C1182" s="19"/>
      <c r="D1182" s="19" t="s">
        <v>4728</v>
      </c>
      <c r="E1182" s="20" t="s">
        <v>4729</v>
      </c>
      <c r="F1182" s="19"/>
      <c r="G1182" s="21" t="s">
        <v>29</v>
      </c>
      <c r="H1182" s="22" t="b">
        <v>0</v>
      </c>
      <c r="I1182" s="22" t="b">
        <v>0</v>
      </c>
      <c r="J1182" s="22" t="b">
        <v>0</v>
      </c>
      <c r="K1182" s="22" t="b">
        <v>0</v>
      </c>
      <c r="L1182" s="22" t="b">
        <v>0</v>
      </c>
      <c r="M1182" s="21"/>
      <c r="N1182" s="23">
        <v>0</v>
      </c>
      <c r="O1182" s="24"/>
      <c r="P1182" s="19"/>
      <c r="Q1182" s="25"/>
      <c r="R1182" s="25"/>
      <c r="S1182" s="19"/>
      <c r="T1182" s="26"/>
      <c r="U1182" s="27" t="s">
        <v>21</v>
      </c>
      <c r="V1182" s="28"/>
      <c r="W1182" s="29" t="s">
        <v>26</v>
      </c>
    </row>
    <row r="1183" spans="1:23" ht="30" customHeight="1">
      <c r="A1183" s="19" t="s">
        <v>5605</v>
      </c>
      <c r="B1183" s="19" t="s">
        <v>5569</v>
      </c>
      <c r="C1183" s="19"/>
      <c r="D1183" s="19" t="s">
        <v>4732</v>
      </c>
      <c r="E1183" s="20" t="s">
        <v>4733</v>
      </c>
      <c r="F1183" s="19"/>
      <c r="G1183" s="21" t="s">
        <v>29</v>
      </c>
      <c r="H1183" s="22" t="b">
        <v>0</v>
      </c>
      <c r="I1183" s="22" t="b">
        <v>0</v>
      </c>
      <c r="J1183" s="22" t="b">
        <v>0</v>
      </c>
      <c r="K1183" s="22" t="b">
        <v>0</v>
      </c>
      <c r="L1183" s="22" t="b">
        <v>0</v>
      </c>
      <c r="M1183" s="21"/>
      <c r="N1183" s="23">
        <v>0</v>
      </c>
      <c r="O1183" s="24"/>
      <c r="P1183" s="19"/>
      <c r="Q1183" s="25"/>
      <c r="R1183" s="25"/>
      <c r="S1183" s="19"/>
      <c r="T1183" s="26"/>
      <c r="U1183" s="27" t="s">
        <v>21</v>
      </c>
      <c r="V1183" s="28" t="s">
        <v>4734</v>
      </c>
      <c r="W1183" s="29" t="s">
        <v>26</v>
      </c>
    </row>
    <row r="1184" spans="1:23" ht="30" customHeight="1">
      <c r="A1184" s="19" t="s">
        <v>5605</v>
      </c>
      <c r="B1184" s="19" t="s">
        <v>5569</v>
      </c>
      <c r="C1184" s="19"/>
      <c r="D1184" s="19" t="s">
        <v>4737</v>
      </c>
      <c r="E1184" s="20" t="s">
        <v>4738</v>
      </c>
      <c r="F1184" s="19"/>
      <c r="G1184" s="21" t="s">
        <v>29</v>
      </c>
      <c r="H1184" s="22" t="b">
        <v>0</v>
      </c>
      <c r="I1184" s="22" t="b">
        <v>0</v>
      </c>
      <c r="J1184" s="22" t="b">
        <v>0</v>
      </c>
      <c r="K1184" s="22" t="b">
        <v>0</v>
      </c>
      <c r="L1184" s="22" t="b">
        <v>0</v>
      </c>
      <c r="M1184" s="21"/>
      <c r="N1184" s="23">
        <v>0</v>
      </c>
      <c r="O1184" s="24"/>
      <c r="P1184" s="19"/>
      <c r="Q1184" s="25"/>
      <c r="R1184" s="25"/>
      <c r="S1184" s="19"/>
      <c r="T1184" s="26"/>
      <c r="U1184" s="27" t="s">
        <v>21</v>
      </c>
      <c r="V1184" s="28" t="s">
        <v>4739</v>
      </c>
      <c r="W1184" s="29" t="s">
        <v>26</v>
      </c>
    </row>
    <row r="1185" spans="1:23" ht="30" customHeight="1">
      <c r="A1185" s="19" t="s">
        <v>5605</v>
      </c>
      <c r="B1185" s="19" t="s">
        <v>5569</v>
      </c>
      <c r="C1185" s="19"/>
      <c r="D1185" s="19" t="s">
        <v>4741</v>
      </c>
      <c r="E1185" s="20" t="s">
        <v>4742</v>
      </c>
      <c r="F1185" s="19"/>
      <c r="G1185" s="21" t="s">
        <v>29</v>
      </c>
      <c r="H1185" s="22" t="b">
        <v>0</v>
      </c>
      <c r="I1185" s="22" t="b">
        <v>0</v>
      </c>
      <c r="J1185" s="22" t="b">
        <v>0</v>
      </c>
      <c r="K1185" s="22" t="b">
        <v>0</v>
      </c>
      <c r="L1185" s="22" t="b">
        <v>0</v>
      </c>
      <c r="M1185" s="21"/>
      <c r="N1185" s="23">
        <v>0</v>
      </c>
      <c r="O1185" s="24"/>
      <c r="P1185" s="19"/>
      <c r="Q1185" s="25"/>
      <c r="R1185" s="25"/>
      <c r="S1185" s="19"/>
      <c r="T1185" s="26"/>
      <c r="U1185" s="27" t="s">
        <v>21</v>
      </c>
      <c r="V1185" s="28" t="s">
        <v>4743</v>
      </c>
      <c r="W1185" s="29" t="s">
        <v>26</v>
      </c>
    </row>
    <row r="1186" spans="1:23" ht="30" customHeight="1">
      <c r="A1186" s="19" t="s">
        <v>5605</v>
      </c>
      <c r="B1186" s="19" t="s">
        <v>5569</v>
      </c>
      <c r="C1186" s="19"/>
      <c r="D1186" s="19" t="s">
        <v>4746</v>
      </c>
      <c r="E1186" s="20" t="s">
        <v>4747</v>
      </c>
      <c r="F1186" s="19"/>
      <c r="G1186" s="21" t="s">
        <v>29</v>
      </c>
      <c r="H1186" s="22" t="b">
        <v>0</v>
      </c>
      <c r="I1186" s="22" t="b">
        <v>0</v>
      </c>
      <c r="J1186" s="22" t="b">
        <v>0</v>
      </c>
      <c r="K1186" s="22" t="b">
        <v>0</v>
      </c>
      <c r="L1186" s="22" t="b">
        <v>0</v>
      </c>
      <c r="M1186" s="21"/>
      <c r="N1186" s="23">
        <v>0</v>
      </c>
      <c r="O1186" s="24"/>
      <c r="P1186" s="19"/>
      <c r="Q1186" s="25"/>
      <c r="R1186" s="25"/>
      <c r="S1186" s="19"/>
      <c r="T1186" s="26"/>
      <c r="U1186" s="27" t="s">
        <v>21</v>
      </c>
      <c r="V1186" s="28" t="s">
        <v>4748</v>
      </c>
      <c r="W1186" s="29" t="s">
        <v>26</v>
      </c>
    </row>
    <row r="1187" spans="1:23" ht="30" customHeight="1">
      <c r="A1187" s="19" t="s">
        <v>5606</v>
      </c>
      <c r="B1187" s="19" t="s">
        <v>5569</v>
      </c>
      <c r="C1187" s="19"/>
      <c r="D1187" s="19" t="s">
        <v>4752</v>
      </c>
      <c r="E1187" s="20" t="s">
        <v>4753</v>
      </c>
      <c r="F1187" s="19"/>
      <c r="G1187" s="21" t="s">
        <v>22</v>
      </c>
      <c r="H1187" s="22" t="b">
        <v>0</v>
      </c>
      <c r="I1187" s="22" t="b">
        <v>0</v>
      </c>
      <c r="J1187" s="22" t="b">
        <v>0</v>
      </c>
      <c r="K1187" s="22" t="b">
        <v>0</v>
      </c>
      <c r="L1187" s="22" t="b">
        <v>0</v>
      </c>
      <c r="M1187" s="21"/>
      <c r="N1187" s="23">
        <v>0</v>
      </c>
      <c r="O1187" s="24"/>
      <c r="P1187" s="19"/>
      <c r="Q1187" s="25"/>
      <c r="R1187" s="25"/>
      <c r="S1187" s="19"/>
      <c r="T1187" s="26"/>
      <c r="U1187" s="27" t="s">
        <v>21</v>
      </c>
      <c r="V1187" s="28" t="s">
        <v>3611</v>
      </c>
      <c r="W1187" s="29" t="s">
        <v>26</v>
      </c>
    </row>
    <row r="1188" spans="1:23" ht="30" customHeight="1">
      <c r="A1188" s="19" t="s">
        <v>5606</v>
      </c>
      <c r="B1188" s="19" t="s">
        <v>5569</v>
      </c>
      <c r="C1188" s="19"/>
      <c r="D1188" s="19" t="s">
        <v>4756</v>
      </c>
      <c r="E1188" s="20" t="s">
        <v>4757</v>
      </c>
      <c r="F1188" s="19"/>
      <c r="G1188" s="21" t="s">
        <v>29</v>
      </c>
      <c r="H1188" s="22" t="b">
        <v>0</v>
      </c>
      <c r="I1188" s="22" t="b">
        <v>0</v>
      </c>
      <c r="J1188" s="22" t="b">
        <v>0</v>
      </c>
      <c r="K1188" s="22" t="b">
        <v>0</v>
      </c>
      <c r="L1188" s="22" t="b">
        <v>0</v>
      </c>
      <c r="M1188" s="21"/>
      <c r="N1188" s="23">
        <v>0</v>
      </c>
      <c r="O1188" s="24"/>
      <c r="P1188" s="19"/>
      <c r="Q1188" s="25"/>
      <c r="R1188" s="25"/>
      <c r="S1188" s="19"/>
      <c r="T1188" s="26"/>
      <c r="U1188" s="27" t="s">
        <v>21</v>
      </c>
      <c r="V1188" s="28" t="s">
        <v>4758</v>
      </c>
      <c r="W1188" s="29" t="s">
        <v>26</v>
      </c>
    </row>
    <row r="1189" spans="1:23" ht="30" customHeight="1">
      <c r="A1189" s="19" t="s">
        <v>5606</v>
      </c>
      <c r="B1189" s="19" t="s">
        <v>5569</v>
      </c>
      <c r="C1189" s="19"/>
      <c r="D1189" s="19" t="s">
        <v>4760</v>
      </c>
      <c r="E1189" s="20" t="s">
        <v>4761</v>
      </c>
      <c r="F1189" s="19"/>
      <c r="G1189" s="21"/>
      <c r="H1189" s="22" t="b">
        <v>0</v>
      </c>
      <c r="I1189" s="22" t="b">
        <v>0</v>
      </c>
      <c r="J1189" s="22" t="b">
        <v>0</v>
      </c>
      <c r="K1189" s="22" t="b">
        <v>0</v>
      </c>
      <c r="L1189" s="22" t="b">
        <v>0</v>
      </c>
      <c r="M1189" s="21"/>
      <c r="N1189" s="23">
        <v>0</v>
      </c>
      <c r="O1189" s="24"/>
      <c r="P1189" s="19"/>
      <c r="Q1189" s="25"/>
      <c r="R1189" s="25"/>
      <c r="S1189" s="19"/>
      <c r="T1189" s="26"/>
      <c r="U1189" s="30" t="s">
        <v>34</v>
      </c>
      <c r="V1189" s="28" t="s">
        <v>4762</v>
      </c>
      <c r="W1189" s="29" t="s">
        <v>26</v>
      </c>
    </row>
    <row r="1190" spans="1:23" ht="30" customHeight="1">
      <c r="A1190" s="19" t="s">
        <v>5606</v>
      </c>
      <c r="B1190" s="19" t="s">
        <v>5569</v>
      </c>
      <c r="C1190" s="19"/>
      <c r="D1190" s="19" t="s">
        <v>4764</v>
      </c>
      <c r="E1190" s="20" t="s">
        <v>4765</v>
      </c>
      <c r="F1190" s="19"/>
      <c r="G1190" s="21" t="s">
        <v>22</v>
      </c>
      <c r="H1190" s="22" t="b">
        <v>0</v>
      </c>
      <c r="I1190" s="22" t="b">
        <v>0</v>
      </c>
      <c r="J1190" s="22" t="b">
        <v>0</v>
      </c>
      <c r="K1190" s="22" t="b">
        <v>0</v>
      </c>
      <c r="L1190" s="22" t="b">
        <v>0</v>
      </c>
      <c r="M1190" s="21"/>
      <c r="N1190" s="23">
        <v>0</v>
      </c>
      <c r="O1190" s="24"/>
      <c r="P1190" s="19"/>
      <c r="Q1190" s="25"/>
      <c r="R1190" s="25"/>
      <c r="S1190" s="19"/>
      <c r="T1190" s="26"/>
      <c r="U1190" s="27" t="s">
        <v>21</v>
      </c>
      <c r="V1190" s="28" t="s">
        <v>4766</v>
      </c>
      <c r="W1190" s="29" t="s">
        <v>26</v>
      </c>
    </row>
    <row r="1191" spans="1:23" ht="30" customHeight="1">
      <c r="A1191" s="19" t="s">
        <v>5606</v>
      </c>
      <c r="B1191" s="19" t="s">
        <v>5569</v>
      </c>
      <c r="C1191" s="19"/>
      <c r="D1191" s="19" t="s">
        <v>4768</v>
      </c>
      <c r="E1191" s="20" t="s">
        <v>4769</v>
      </c>
      <c r="F1191" s="19"/>
      <c r="G1191" s="21" t="s">
        <v>29</v>
      </c>
      <c r="H1191" s="22" t="b">
        <v>0</v>
      </c>
      <c r="I1191" s="22" t="b">
        <v>0</v>
      </c>
      <c r="J1191" s="22" t="b">
        <v>0</v>
      </c>
      <c r="K1191" s="22" t="b">
        <v>0</v>
      </c>
      <c r="L1191" s="22" t="b">
        <v>0</v>
      </c>
      <c r="M1191" s="21"/>
      <c r="N1191" s="23">
        <v>0</v>
      </c>
      <c r="O1191" s="24"/>
      <c r="P1191" s="19"/>
      <c r="Q1191" s="25"/>
      <c r="R1191" s="25"/>
      <c r="S1191" s="19"/>
      <c r="T1191" s="26"/>
      <c r="U1191" s="27" t="s">
        <v>21</v>
      </c>
      <c r="V1191" s="28" t="s">
        <v>4770</v>
      </c>
      <c r="W1191" s="29" t="s">
        <v>26</v>
      </c>
    </row>
    <row r="1192" spans="1:23" ht="30" customHeight="1">
      <c r="A1192" s="19" t="s">
        <v>5606</v>
      </c>
      <c r="B1192" s="19" t="s">
        <v>5569</v>
      </c>
      <c r="C1192" s="19"/>
      <c r="D1192" s="19" t="s">
        <v>4772</v>
      </c>
      <c r="E1192" s="20" t="s">
        <v>4773</v>
      </c>
      <c r="F1192" s="19"/>
      <c r="G1192" s="21" t="s">
        <v>4774</v>
      </c>
      <c r="H1192" s="22" t="b">
        <v>0</v>
      </c>
      <c r="I1192" s="22" t="b">
        <v>0</v>
      </c>
      <c r="J1192" s="22" t="b">
        <v>0</v>
      </c>
      <c r="K1192" s="22" t="b">
        <v>0</v>
      </c>
      <c r="L1192" s="22" t="b">
        <v>0</v>
      </c>
      <c r="M1192" s="21"/>
      <c r="N1192" s="23">
        <v>0</v>
      </c>
      <c r="O1192" s="24"/>
      <c r="P1192" s="19"/>
      <c r="Q1192" s="25"/>
      <c r="R1192" s="25"/>
      <c r="S1192" s="19"/>
      <c r="T1192" s="26"/>
      <c r="U1192" s="27" t="s">
        <v>21</v>
      </c>
      <c r="V1192" s="28"/>
      <c r="W1192" s="29" t="s">
        <v>26</v>
      </c>
    </row>
    <row r="1193" spans="1:23" ht="30" customHeight="1">
      <c r="A1193" s="19" t="s">
        <v>5606</v>
      </c>
      <c r="B1193" s="19" t="s">
        <v>5569</v>
      </c>
      <c r="C1193" s="19"/>
      <c r="D1193" s="19" t="s">
        <v>4777</v>
      </c>
      <c r="E1193" s="20" t="s">
        <v>4778</v>
      </c>
      <c r="F1193" s="19"/>
      <c r="G1193" s="21" t="s">
        <v>4774</v>
      </c>
      <c r="H1193" s="22" t="b">
        <v>0</v>
      </c>
      <c r="I1193" s="22" t="b">
        <v>0</v>
      </c>
      <c r="J1193" s="22" t="b">
        <v>0</v>
      </c>
      <c r="K1193" s="22" t="b">
        <v>0</v>
      </c>
      <c r="L1193" s="22" t="b">
        <v>0</v>
      </c>
      <c r="M1193" s="21"/>
      <c r="N1193" s="23">
        <v>0</v>
      </c>
      <c r="O1193" s="24"/>
      <c r="P1193" s="19"/>
      <c r="Q1193" s="25"/>
      <c r="R1193" s="25"/>
      <c r="S1193" s="19"/>
      <c r="T1193" s="26"/>
      <c r="U1193" s="27" t="s">
        <v>21</v>
      </c>
      <c r="V1193" s="28" t="s">
        <v>4779</v>
      </c>
      <c r="W1193" s="29" t="s">
        <v>26</v>
      </c>
    </row>
    <row r="1194" spans="1:23" ht="30" customHeight="1">
      <c r="A1194" s="19" t="s">
        <v>5606</v>
      </c>
      <c r="B1194" s="19" t="s">
        <v>5569</v>
      </c>
      <c r="C1194" s="19"/>
      <c r="D1194" s="19" t="s">
        <v>4781</v>
      </c>
      <c r="E1194" s="20" t="s">
        <v>4782</v>
      </c>
      <c r="F1194" s="19"/>
      <c r="G1194" s="21" t="s">
        <v>29</v>
      </c>
      <c r="H1194" s="22" t="b">
        <v>0</v>
      </c>
      <c r="I1194" s="22" t="b">
        <v>0</v>
      </c>
      <c r="J1194" s="22" t="b">
        <v>0</v>
      </c>
      <c r="K1194" s="22" t="b">
        <v>0</v>
      </c>
      <c r="L1194" s="22" t="b">
        <v>0</v>
      </c>
      <c r="M1194" s="21"/>
      <c r="N1194" s="23">
        <v>0</v>
      </c>
      <c r="O1194" s="24"/>
      <c r="P1194" s="19"/>
      <c r="Q1194" s="25"/>
      <c r="R1194" s="25"/>
      <c r="S1194" s="19"/>
      <c r="T1194" s="26"/>
      <c r="U1194" s="27" t="s">
        <v>21</v>
      </c>
      <c r="V1194" s="28"/>
      <c r="W1194" s="29" t="s">
        <v>26</v>
      </c>
    </row>
    <row r="1195" spans="1:23" ht="30" customHeight="1">
      <c r="A1195" s="19" t="s">
        <v>5606</v>
      </c>
      <c r="B1195" s="19" t="s">
        <v>5569</v>
      </c>
      <c r="C1195" s="19"/>
      <c r="D1195" s="19" t="s">
        <v>4784</v>
      </c>
      <c r="E1195" s="20" t="s">
        <v>4785</v>
      </c>
      <c r="F1195" s="19"/>
      <c r="G1195" s="21" t="s">
        <v>22</v>
      </c>
      <c r="H1195" s="22" t="b">
        <v>0</v>
      </c>
      <c r="I1195" s="22" t="b">
        <v>0</v>
      </c>
      <c r="J1195" s="22" t="b">
        <v>0</v>
      </c>
      <c r="K1195" s="22" t="b">
        <v>0</v>
      </c>
      <c r="L1195" s="22" t="b">
        <v>0</v>
      </c>
      <c r="M1195" s="21"/>
      <c r="N1195" s="23">
        <v>0</v>
      </c>
      <c r="O1195" s="24"/>
      <c r="P1195" s="19"/>
      <c r="Q1195" s="25"/>
      <c r="R1195" s="25"/>
      <c r="S1195" s="19"/>
      <c r="T1195" s="26"/>
      <c r="U1195" s="27" t="s">
        <v>21</v>
      </c>
      <c r="V1195" s="28" t="s">
        <v>4786</v>
      </c>
      <c r="W1195" s="29" t="s">
        <v>26</v>
      </c>
    </row>
    <row r="1196" spans="1:23" ht="30" customHeight="1">
      <c r="A1196" s="19" t="s">
        <v>5606</v>
      </c>
      <c r="B1196" s="19" t="s">
        <v>5569</v>
      </c>
      <c r="C1196" s="19"/>
      <c r="D1196" s="19" t="s">
        <v>4788</v>
      </c>
      <c r="E1196" s="20" t="s">
        <v>4789</v>
      </c>
      <c r="F1196" s="19"/>
      <c r="G1196" s="21" t="s">
        <v>29</v>
      </c>
      <c r="H1196" s="22" t="b">
        <v>0</v>
      </c>
      <c r="I1196" s="22" t="b">
        <v>0</v>
      </c>
      <c r="J1196" s="22" t="b">
        <v>0</v>
      </c>
      <c r="K1196" s="22" t="b">
        <v>0</v>
      </c>
      <c r="L1196" s="22" t="b">
        <v>0</v>
      </c>
      <c r="M1196" s="21"/>
      <c r="N1196" s="23">
        <v>0</v>
      </c>
      <c r="O1196" s="24"/>
      <c r="P1196" s="19"/>
      <c r="Q1196" s="25"/>
      <c r="R1196" s="25"/>
      <c r="S1196" s="19"/>
      <c r="T1196" s="26"/>
      <c r="U1196" s="27" t="s">
        <v>21</v>
      </c>
      <c r="V1196" s="28"/>
      <c r="W1196" s="29" t="s">
        <v>26</v>
      </c>
    </row>
    <row r="1197" spans="1:23" ht="30" customHeight="1">
      <c r="A1197" s="19" t="s">
        <v>5606</v>
      </c>
      <c r="B1197" s="19" t="s">
        <v>5569</v>
      </c>
      <c r="C1197" s="19"/>
      <c r="D1197" s="19" t="s">
        <v>4791</v>
      </c>
      <c r="E1197" s="20" t="s">
        <v>4792</v>
      </c>
      <c r="F1197" s="19"/>
      <c r="G1197" s="21" t="s">
        <v>22</v>
      </c>
      <c r="H1197" s="22" t="b">
        <v>0</v>
      </c>
      <c r="I1197" s="22" t="b">
        <v>0</v>
      </c>
      <c r="J1197" s="22" t="b">
        <v>0</v>
      </c>
      <c r="K1197" s="22" t="b">
        <v>0</v>
      </c>
      <c r="L1197" s="22" t="b">
        <v>0</v>
      </c>
      <c r="M1197" s="21"/>
      <c r="N1197" s="23">
        <v>0</v>
      </c>
      <c r="O1197" s="24"/>
      <c r="P1197" s="19"/>
      <c r="Q1197" s="25"/>
      <c r="R1197" s="25"/>
      <c r="S1197" s="19"/>
      <c r="T1197" s="26"/>
      <c r="U1197" s="27" t="s">
        <v>21</v>
      </c>
      <c r="V1197" s="28" t="s">
        <v>4793</v>
      </c>
      <c r="W1197" s="29" t="s">
        <v>26</v>
      </c>
    </row>
    <row r="1198" spans="1:23" ht="30" customHeight="1">
      <c r="A1198" s="19" t="s">
        <v>5606</v>
      </c>
      <c r="B1198" s="19" t="s">
        <v>5569</v>
      </c>
      <c r="C1198" s="19"/>
      <c r="D1198" s="19" t="s">
        <v>4795</v>
      </c>
      <c r="E1198" s="20" t="s">
        <v>4796</v>
      </c>
      <c r="F1198" s="19"/>
      <c r="G1198" s="21" t="s">
        <v>29</v>
      </c>
      <c r="H1198" s="22" t="b">
        <v>0</v>
      </c>
      <c r="I1198" s="22" t="b">
        <v>0</v>
      </c>
      <c r="J1198" s="22" t="b">
        <v>0</v>
      </c>
      <c r="K1198" s="22" t="b">
        <v>0</v>
      </c>
      <c r="L1198" s="22" t="b">
        <v>0</v>
      </c>
      <c r="M1198" s="21"/>
      <c r="N1198" s="23">
        <v>0</v>
      </c>
      <c r="O1198" s="24"/>
      <c r="P1198" s="19"/>
      <c r="Q1198" s="25"/>
      <c r="R1198" s="25"/>
      <c r="S1198" s="19"/>
      <c r="T1198" s="26"/>
      <c r="U1198" s="27" t="s">
        <v>21</v>
      </c>
      <c r="V1198" s="28" t="s">
        <v>4797</v>
      </c>
      <c r="W1198" s="29" t="s">
        <v>26</v>
      </c>
    </row>
    <row r="1199" spans="1:23" ht="30" customHeight="1">
      <c r="A1199" s="19" t="s">
        <v>5606</v>
      </c>
      <c r="B1199" s="19" t="s">
        <v>5569</v>
      </c>
      <c r="C1199" s="19"/>
      <c r="D1199" s="19" t="s">
        <v>4799</v>
      </c>
      <c r="E1199" s="20" t="s">
        <v>4800</v>
      </c>
      <c r="F1199" s="19"/>
      <c r="G1199" s="21" t="s">
        <v>22</v>
      </c>
      <c r="H1199" s="22" t="b">
        <v>0</v>
      </c>
      <c r="I1199" s="22" t="b">
        <v>0</v>
      </c>
      <c r="J1199" s="22" t="b">
        <v>0</v>
      </c>
      <c r="K1199" s="22" t="b">
        <v>0</v>
      </c>
      <c r="L1199" s="22" t="b">
        <v>0</v>
      </c>
      <c r="M1199" s="21"/>
      <c r="N1199" s="23">
        <v>0</v>
      </c>
      <c r="O1199" s="24"/>
      <c r="P1199" s="19"/>
      <c r="Q1199" s="25"/>
      <c r="R1199" s="25"/>
      <c r="S1199" s="19"/>
      <c r="T1199" s="26"/>
      <c r="U1199" s="27" t="s">
        <v>21</v>
      </c>
      <c r="V1199" s="28" t="s">
        <v>4801</v>
      </c>
      <c r="W1199" s="29" t="s">
        <v>26</v>
      </c>
    </row>
    <row r="1200" spans="1:23" ht="30" customHeight="1">
      <c r="A1200" s="19" t="s">
        <v>5606</v>
      </c>
      <c r="B1200" s="19" t="s">
        <v>5569</v>
      </c>
      <c r="C1200" s="19"/>
      <c r="D1200" s="19" t="s">
        <v>4804</v>
      </c>
      <c r="E1200" s="20" t="s">
        <v>4805</v>
      </c>
      <c r="F1200" s="19"/>
      <c r="G1200" s="21" t="s">
        <v>22</v>
      </c>
      <c r="H1200" s="22" t="b">
        <v>0</v>
      </c>
      <c r="I1200" s="22" t="b">
        <v>0</v>
      </c>
      <c r="J1200" s="22" t="b">
        <v>0</v>
      </c>
      <c r="K1200" s="22" t="b">
        <v>0</v>
      </c>
      <c r="L1200" s="22" t="b">
        <v>0</v>
      </c>
      <c r="M1200" s="21"/>
      <c r="N1200" s="23">
        <v>0</v>
      </c>
      <c r="O1200" s="24"/>
      <c r="P1200" s="19"/>
      <c r="Q1200" s="25"/>
      <c r="R1200" s="25"/>
      <c r="S1200" s="19"/>
      <c r="T1200" s="26"/>
      <c r="U1200" s="27" t="s">
        <v>21</v>
      </c>
      <c r="V1200" s="28" t="s">
        <v>4806</v>
      </c>
      <c r="W1200" s="29" t="s">
        <v>26</v>
      </c>
    </row>
    <row r="1201" spans="1:23" ht="30" customHeight="1">
      <c r="A1201" s="19" t="s">
        <v>5607</v>
      </c>
      <c r="B1201" s="19" t="s">
        <v>5569</v>
      </c>
      <c r="C1201" s="19"/>
      <c r="D1201" s="19" t="s">
        <v>4810</v>
      </c>
      <c r="E1201" s="20" t="s">
        <v>4811</v>
      </c>
      <c r="F1201" s="19"/>
      <c r="G1201" s="21" t="s">
        <v>22</v>
      </c>
      <c r="H1201" s="22" t="b">
        <v>0</v>
      </c>
      <c r="I1201" s="22" t="b">
        <v>0</v>
      </c>
      <c r="J1201" s="22" t="b">
        <v>0</v>
      </c>
      <c r="K1201" s="22" t="b">
        <v>0</v>
      </c>
      <c r="L1201" s="22" t="b">
        <v>0</v>
      </c>
      <c r="M1201" s="21"/>
      <c r="N1201" s="23">
        <v>0</v>
      </c>
      <c r="O1201" s="24"/>
      <c r="P1201" s="19"/>
      <c r="Q1201" s="25"/>
      <c r="R1201" s="25"/>
      <c r="S1201" s="19"/>
      <c r="T1201" s="26"/>
      <c r="U1201" s="27" t="s">
        <v>21</v>
      </c>
      <c r="V1201" s="28" t="s">
        <v>4812</v>
      </c>
      <c r="W1201" s="29" t="s">
        <v>26</v>
      </c>
    </row>
    <row r="1202" spans="1:23" ht="30" customHeight="1">
      <c r="A1202" s="19" t="s">
        <v>5607</v>
      </c>
      <c r="B1202" s="19" t="s">
        <v>5569</v>
      </c>
      <c r="C1202" s="19"/>
      <c r="D1202" s="19" t="s">
        <v>4814</v>
      </c>
      <c r="E1202" s="20" t="s">
        <v>4815</v>
      </c>
      <c r="F1202" s="19"/>
      <c r="G1202" s="21" t="s">
        <v>22</v>
      </c>
      <c r="H1202" s="22" t="b">
        <v>0</v>
      </c>
      <c r="I1202" s="22" t="b">
        <v>0</v>
      </c>
      <c r="J1202" s="22" t="b">
        <v>0</v>
      </c>
      <c r="K1202" s="22" t="b">
        <v>0</v>
      </c>
      <c r="L1202" s="22" t="b">
        <v>0</v>
      </c>
      <c r="M1202" s="21"/>
      <c r="N1202" s="23">
        <v>0</v>
      </c>
      <c r="O1202" s="24"/>
      <c r="P1202" s="19"/>
      <c r="Q1202" s="25"/>
      <c r="R1202" s="25"/>
      <c r="S1202" s="19"/>
      <c r="T1202" s="26"/>
      <c r="U1202" s="27" t="s">
        <v>21</v>
      </c>
      <c r="V1202" s="28" t="s">
        <v>4816</v>
      </c>
      <c r="W1202" s="29" t="s">
        <v>26</v>
      </c>
    </row>
    <row r="1203" spans="1:23" ht="30" customHeight="1">
      <c r="A1203" s="19" t="s">
        <v>5607</v>
      </c>
      <c r="B1203" s="19" t="s">
        <v>5569</v>
      </c>
      <c r="C1203" s="19"/>
      <c r="D1203" s="19" t="s">
        <v>4818</v>
      </c>
      <c r="E1203" s="20" t="s">
        <v>4819</v>
      </c>
      <c r="F1203" s="19"/>
      <c r="G1203" s="21" t="s">
        <v>29</v>
      </c>
      <c r="H1203" s="22" t="b">
        <v>0</v>
      </c>
      <c r="I1203" s="22" t="b">
        <v>0</v>
      </c>
      <c r="J1203" s="22" t="b">
        <v>0</v>
      </c>
      <c r="K1203" s="22" t="b">
        <v>0</v>
      </c>
      <c r="L1203" s="22" t="b">
        <v>0</v>
      </c>
      <c r="M1203" s="21"/>
      <c r="N1203" s="23">
        <v>0</v>
      </c>
      <c r="O1203" s="24"/>
      <c r="P1203" s="19"/>
      <c r="Q1203" s="25"/>
      <c r="R1203" s="25"/>
      <c r="S1203" s="19"/>
      <c r="T1203" s="26"/>
      <c r="U1203" s="27" t="s">
        <v>21</v>
      </c>
      <c r="V1203" s="28"/>
      <c r="W1203" s="29" t="s">
        <v>26</v>
      </c>
    </row>
    <row r="1204" spans="1:23" ht="30" customHeight="1">
      <c r="A1204" s="19" t="s">
        <v>5607</v>
      </c>
      <c r="B1204" s="19" t="s">
        <v>5569</v>
      </c>
      <c r="C1204" s="19"/>
      <c r="D1204" s="19" t="s">
        <v>4822</v>
      </c>
      <c r="E1204" s="20" t="s">
        <v>4823</v>
      </c>
      <c r="F1204" s="19"/>
      <c r="G1204" s="21" t="s">
        <v>22</v>
      </c>
      <c r="H1204" s="22" t="b">
        <v>0</v>
      </c>
      <c r="I1204" s="22" t="b">
        <v>0</v>
      </c>
      <c r="J1204" s="22" t="b">
        <v>0</v>
      </c>
      <c r="K1204" s="22" t="b">
        <v>0</v>
      </c>
      <c r="L1204" s="22" t="b">
        <v>0</v>
      </c>
      <c r="M1204" s="21"/>
      <c r="N1204" s="23">
        <v>0</v>
      </c>
      <c r="O1204" s="24"/>
      <c r="P1204" s="19"/>
      <c r="Q1204" s="25"/>
      <c r="R1204" s="25"/>
      <c r="S1204" s="19"/>
      <c r="T1204" s="26"/>
      <c r="U1204" s="27" t="s">
        <v>21</v>
      </c>
      <c r="V1204" s="28" t="s">
        <v>4824</v>
      </c>
      <c r="W1204" s="29" t="s">
        <v>26</v>
      </c>
    </row>
    <row r="1205" spans="1:23" ht="30" customHeight="1">
      <c r="A1205" s="19" t="s">
        <v>5607</v>
      </c>
      <c r="B1205" s="19" t="s">
        <v>5569</v>
      </c>
      <c r="C1205" s="19"/>
      <c r="D1205" s="19" t="s">
        <v>4826</v>
      </c>
      <c r="E1205" s="20" t="s">
        <v>4827</v>
      </c>
      <c r="F1205" s="19"/>
      <c r="G1205" s="21" t="s">
        <v>39</v>
      </c>
      <c r="H1205" s="22" t="b">
        <v>0</v>
      </c>
      <c r="I1205" s="22" t="b">
        <v>0</v>
      </c>
      <c r="J1205" s="22" t="b">
        <v>0</v>
      </c>
      <c r="K1205" s="22" t="b">
        <v>0</v>
      </c>
      <c r="L1205" s="22" t="b">
        <v>0</v>
      </c>
      <c r="M1205" s="21"/>
      <c r="N1205" s="23">
        <v>0</v>
      </c>
      <c r="O1205" s="24"/>
      <c r="P1205" s="19"/>
      <c r="Q1205" s="25"/>
      <c r="R1205" s="25"/>
      <c r="S1205" s="19"/>
      <c r="T1205" s="26"/>
      <c r="U1205" s="27" t="s">
        <v>21</v>
      </c>
      <c r="V1205" s="28" t="s">
        <v>4828</v>
      </c>
      <c r="W1205" s="29" t="s">
        <v>26</v>
      </c>
    </row>
    <row r="1206" spans="1:23" ht="30" customHeight="1">
      <c r="A1206" s="19" t="s">
        <v>5607</v>
      </c>
      <c r="B1206" s="19" t="s">
        <v>5569</v>
      </c>
      <c r="C1206" s="19"/>
      <c r="D1206" s="19" t="s">
        <v>4830</v>
      </c>
      <c r="E1206" s="20" t="s">
        <v>4831</v>
      </c>
      <c r="F1206" s="19"/>
      <c r="G1206" s="21" t="s">
        <v>22</v>
      </c>
      <c r="H1206" s="22" t="b">
        <v>0</v>
      </c>
      <c r="I1206" s="22" t="b">
        <v>0</v>
      </c>
      <c r="J1206" s="22" t="b">
        <v>0</v>
      </c>
      <c r="K1206" s="22" t="b">
        <v>0</v>
      </c>
      <c r="L1206" s="22" t="b">
        <v>0</v>
      </c>
      <c r="M1206" s="21"/>
      <c r="N1206" s="23">
        <v>0</v>
      </c>
      <c r="O1206" s="24"/>
      <c r="P1206" s="19"/>
      <c r="Q1206" s="25"/>
      <c r="R1206" s="25"/>
      <c r="S1206" s="19"/>
      <c r="T1206" s="26"/>
      <c r="U1206" s="27" t="s">
        <v>21</v>
      </c>
      <c r="V1206" s="28" t="s">
        <v>3611</v>
      </c>
      <c r="W1206" s="29" t="s">
        <v>26</v>
      </c>
    </row>
    <row r="1207" spans="1:23" ht="30" customHeight="1">
      <c r="A1207" s="19" t="s">
        <v>5607</v>
      </c>
      <c r="B1207" s="19" t="s">
        <v>5569</v>
      </c>
      <c r="C1207" s="19"/>
      <c r="D1207" s="19" t="s">
        <v>4833</v>
      </c>
      <c r="E1207" s="20" t="s">
        <v>4834</v>
      </c>
      <c r="F1207" s="19"/>
      <c r="G1207" s="21" t="s">
        <v>22</v>
      </c>
      <c r="H1207" s="22" t="b">
        <v>0</v>
      </c>
      <c r="I1207" s="22" t="b">
        <v>0</v>
      </c>
      <c r="J1207" s="22" t="b">
        <v>0</v>
      </c>
      <c r="K1207" s="22" t="b">
        <v>0</v>
      </c>
      <c r="L1207" s="22" t="b">
        <v>0</v>
      </c>
      <c r="M1207" s="21"/>
      <c r="N1207" s="23">
        <v>0</v>
      </c>
      <c r="O1207" s="24"/>
      <c r="P1207" s="19"/>
      <c r="Q1207" s="25"/>
      <c r="R1207" s="25"/>
      <c r="S1207" s="19"/>
      <c r="T1207" s="26"/>
      <c r="U1207" s="27" t="s">
        <v>21</v>
      </c>
      <c r="V1207" s="28" t="s">
        <v>3611</v>
      </c>
      <c r="W1207" s="29" t="s">
        <v>26</v>
      </c>
    </row>
    <row r="1208" spans="1:23" ht="30" customHeight="1">
      <c r="A1208" s="19" t="s">
        <v>5607</v>
      </c>
      <c r="B1208" s="19" t="s">
        <v>5569</v>
      </c>
      <c r="C1208" s="19"/>
      <c r="D1208" s="19" t="s">
        <v>4836</v>
      </c>
      <c r="E1208" s="20" t="s">
        <v>4837</v>
      </c>
      <c r="F1208" s="19"/>
      <c r="G1208" s="21" t="s">
        <v>22</v>
      </c>
      <c r="H1208" s="22" t="b">
        <v>0</v>
      </c>
      <c r="I1208" s="22" t="b">
        <v>0</v>
      </c>
      <c r="J1208" s="22" t="b">
        <v>0</v>
      </c>
      <c r="K1208" s="22" t="b">
        <v>0</v>
      </c>
      <c r="L1208" s="22" t="b">
        <v>0</v>
      </c>
      <c r="M1208" s="21"/>
      <c r="N1208" s="23">
        <v>0</v>
      </c>
      <c r="O1208" s="24"/>
      <c r="P1208" s="19"/>
      <c r="Q1208" s="25"/>
      <c r="R1208" s="25"/>
      <c r="S1208" s="19"/>
      <c r="T1208" s="26"/>
      <c r="U1208" s="27" t="s">
        <v>21</v>
      </c>
      <c r="V1208" s="28" t="s">
        <v>4838</v>
      </c>
      <c r="W1208" s="29" t="s">
        <v>26</v>
      </c>
    </row>
    <row r="1209" spans="1:23" ht="30" customHeight="1">
      <c r="A1209" s="19" t="s">
        <v>5607</v>
      </c>
      <c r="B1209" s="19" t="s">
        <v>5569</v>
      </c>
      <c r="C1209" s="19"/>
      <c r="D1209" s="19" t="s">
        <v>4841</v>
      </c>
      <c r="E1209" s="20" t="s">
        <v>4842</v>
      </c>
      <c r="F1209" s="19"/>
      <c r="G1209" s="21" t="s">
        <v>22</v>
      </c>
      <c r="H1209" s="22" t="b">
        <v>0</v>
      </c>
      <c r="I1209" s="22" t="b">
        <v>0</v>
      </c>
      <c r="J1209" s="22" t="b">
        <v>0</v>
      </c>
      <c r="K1209" s="22" t="b">
        <v>0</v>
      </c>
      <c r="L1209" s="22" t="b">
        <v>0</v>
      </c>
      <c r="M1209" s="21"/>
      <c r="N1209" s="23">
        <v>0</v>
      </c>
      <c r="O1209" s="24"/>
      <c r="P1209" s="19"/>
      <c r="Q1209" s="25"/>
      <c r="R1209" s="25"/>
      <c r="S1209" s="19"/>
      <c r="T1209" s="26"/>
      <c r="U1209" s="27" t="s">
        <v>21</v>
      </c>
      <c r="V1209" s="28" t="s">
        <v>4843</v>
      </c>
      <c r="W1209" s="29" t="s">
        <v>26</v>
      </c>
    </row>
    <row r="1210" spans="1:23" ht="30" customHeight="1">
      <c r="A1210" s="19" t="s">
        <v>5608</v>
      </c>
      <c r="B1210" s="19" t="s">
        <v>5569</v>
      </c>
      <c r="C1210" s="19"/>
      <c r="D1210" s="19" t="s">
        <v>4847</v>
      </c>
      <c r="E1210" s="20" t="s">
        <v>4848</v>
      </c>
      <c r="F1210" s="19"/>
      <c r="G1210" s="21" t="s">
        <v>4774</v>
      </c>
      <c r="H1210" s="22" t="b">
        <v>0</v>
      </c>
      <c r="I1210" s="22" t="b">
        <v>0</v>
      </c>
      <c r="J1210" s="22" t="b">
        <v>0</v>
      </c>
      <c r="K1210" s="22" t="b">
        <v>0</v>
      </c>
      <c r="L1210" s="22" t="b">
        <v>0</v>
      </c>
      <c r="M1210" s="21"/>
      <c r="N1210" s="23">
        <v>0</v>
      </c>
      <c r="O1210" s="24"/>
      <c r="P1210" s="19"/>
      <c r="Q1210" s="25"/>
      <c r="R1210" s="25"/>
      <c r="S1210" s="19"/>
      <c r="T1210" s="26"/>
      <c r="U1210" s="27" t="s">
        <v>21</v>
      </c>
      <c r="V1210" s="28"/>
      <c r="W1210" s="29" t="s">
        <v>26</v>
      </c>
    </row>
    <row r="1211" spans="1:23" ht="30" customHeight="1">
      <c r="A1211" s="19" t="s">
        <v>5608</v>
      </c>
      <c r="B1211" s="19" t="s">
        <v>5569</v>
      </c>
      <c r="C1211" s="19"/>
      <c r="D1211" s="19" t="s">
        <v>4851</v>
      </c>
      <c r="E1211" s="20" t="s">
        <v>4852</v>
      </c>
      <c r="F1211" s="19"/>
      <c r="G1211" s="21" t="s">
        <v>4774</v>
      </c>
      <c r="H1211" s="22" t="b">
        <v>0</v>
      </c>
      <c r="I1211" s="22" t="b">
        <v>0</v>
      </c>
      <c r="J1211" s="22" t="b">
        <v>0</v>
      </c>
      <c r="K1211" s="22" t="b">
        <v>0</v>
      </c>
      <c r="L1211" s="22" t="b">
        <v>0</v>
      </c>
      <c r="M1211" s="21"/>
      <c r="N1211" s="23">
        <v>0</v>
      </c>
      <c r="O1211" s="24"/>
      <c r="P1211" s="19"/>
      <c r="Q1211" s="25"/>
      <c r="R1211" s="25"/>
      <c r="S1211" s="19"/>
      <c r="T1211" s="26"/>
      <c r="U1211" s="27" t="s">
        <v>21</v>
      </c>
      <c r="V1211" s="28" t="s">
        <v>4853</v>
      </c>
      <c r="W1211" s="29" t="s">
        <v>26</v>
      </c>
    </row>
    <row r="1212" spans="1:23" ht="30" customHeight="1">
      <c r="A1212" s="19" t="s">
        <v>5608</v>
      </c>
      <c r="B1212" s="19" t="s">
        <v>5569</v>
      </c>
      <c r="C1212" s="19"/>
      <c r="D1212" s="19" t="s">
        <v>4856</v>
      </c>
      <c r="E1212" s="20" t="s">
        <v>4857</v>
      </c>
      <c r="F1212" s="19"/>
      <c r="G1212" s="21" t="s">
        <v>29</v>
      </c>
      <c r="H1212" s="22" t="b">
        <v>0</v>
      </c>
      <c r="I1212" s="22" t="b">
        <v>0</v>
      </c>
      <c r="J1212" s="22" t="b">
        <v>0</v>
      </c>
      <c r="K1212" s="22" t="b">
        <v>0</v>
      </c>
      <c r="L1212" s="22" t="b">
        <v>0</v>
      </c>
      <c r="M1212" s="21"/>
      <c r="N1212" s="23">
        <v>0</v>
      </c>
      <c r="O1212" s="24"/>
      <c r="P1212" s="19"/>
      <c r="Q1212" s="25"/>
      <c r="R1212" s="25"/>
      <c r="S1212" s="19"/>
      <c r="T1212" s="26"/>
      <c r="U1212" s="27" t="s">
        <v>21</v>
      </c>
      <c r="V1212" s="28"/>
      <c r="W1212" s="29" t="s">
        <v>26</v>
      </c>
    </row>
    <row r="1213" spans="1:23" ht="30" customHeight="1">
      <c r="A1213" s="19" t="s">
        <v>5608</v>
      </c>
      <c r="B1213" s="19" t="s">
        <v>5569</v>
      </c>
      <c r="C1213" s="19"/>
      <c r="D1213" s="19" t="s">
        <v>4860</v>
      </c>
      <c r="E1213" s="20" t="s">
        <v>4861</v>
      </c>
      <c r="F1213" s="19"/>
      <c r="G1213" s="21" t="s">
        <v>29</v>
      </c>
      <c r="H1213" s="22" t="b">
        <v>0</v>
      </c>
      <c r="I1213" s="22" t="b">
        <v>0</v>
      </c>
      <c r="J1213" s="22" t="b">
        <v>0</v>
      </c>
      <c r="K1213" s="22" t="b">
        <v>0</v>
      </c>
      <c r="L1213" s="22" t="b">
        <v>0</v>
      </c>
      <c r="M1213" s="21"/>
      <c r="N1213" s="23">
        <v>0</v>
      </c>
      <c r="O1213" s="24"/>
      <c r="P1213" s="19"/>
      <c r="Q1213" s="25"/>
      <c r="R1213" s="25"/>
      <c r="S1213" s="19"/>
      <c r="T1213" s="26"/>
      <c r="U1213" s="27" t="s">
        <v>21</v>
      </c>
      <c r="V1213" s="28"/>
      <c r="W1213" s="29" t="s">
        <v>26</v>
      </c>
    </row>
    <row r="1214" spans="1:23" ht="30" customHeight="1">
      <c r="A1214" s="19" t="s">
        <v>5608</v>
      </c>
      <c r="B1214" s="19" t="s">
        <v>5569</v>
      </c>
      <c r="C1214" s="19"/>
      <c r="D1214" s="19" t="s">
        <v>4864</v>
      </c>
      <c r="E1214" s="20" t="s">
        <v>4865</v>
      </c>
      <c r="F1214" s="19"/>
      <c r="G1214" s="21" t="s">
        <v>4399</v>
      </c>
      <c r="H1214" s="22" t="b">
        <v>0</v>
      </c>
      <c r="I1214" s="22" t="b">
        <v>0</v>
      </c>
      <c r="J1214" s="22" t="b">
        <v>0</v>
      </c>
      <c r="K1214" s="22" t="b">
        <v>0</v>
      </c>
      <c r="L1214" s="22" t="b">
        <v>0</v>
      </c>
      <c r="M1214" s="21"/>
      <c r="N1214" s="23">
        <v>0</v>
      </c>
      <c r="O1214" s="24"/>
      <c r="P1214" s="19"/>
      <c r="Q1214" s="25"/>
      <c r="R1214" s="25"/>
      <c r="S1214" s="19"/>
      <c r="T1214" s="26"/>
      <c r="U1214" s="27" t="s">
        <v>21</v>
      </c>
      <c r="V1214" s="28"/>
      <c r="W1214" s="29" t="s">
        <v>26</v>
      </c>
    </row>
    <row r="1215" spans="1:23" ht="30" customHeight="1">
      <c r="A1215" s="19" t="s">
        <v>5608</v>
      </c>
      <c r="B1215" s="19" t="s">
        <v>5569</v>
      </c>
      <c r="C1215" s="19"/>
      <c r="D1215" s="19" t="s">
        <v>4868</v>
      </c>
      <c r="E1215" s="20" t="s">
        <v>4869</v>
      </c>
      <c r="F1215" s="19"/>
      <c r="G1215" s="21" t="s">
        <v>22</v>
      </c>
      <c r="H1215" s="22" t="b">
        <v>0</v>
      </c>
      <c r="I1215" s="22" t="b">
        <v>0</v>
      </c>
      <c r="J1215" s="22" t="b">
        <v>0</v>
      </c>
      <c r="K1215" s="22" t="b">
        <v>0</v>
      </c>
      <c r="L1215" s="22" t="b">
        <v>0</v>
      </c>
      <c r="M1215" s="21"/>
      <c r="N1215" s="23">
        <v>0</v>
      </c>
      <c r="O1215" s="24"/>
      <c r="P1215" s="19"/>
      <c r="Q1215" s="25"/>
      <c r="R1215" s="25"/>
      <c r="S1215" s="19"/>
      <c r="T1215" s="26"/>
      <c r="U1215" s="27" t="s">
        <v>21</v>
      </c>
      <c r="V1215" s="28" t="s">
        <v>4870</v>
      </c>
      <c r="W1215" s="29" t="s">
        <v>26</v>
      </c>
    </row>
    <row r="1216" spans="1:23" ht="30" customHeight="1">
      <c r="A1216" s="19" t="s">
        <v>5608</v>
      </c>
      <c r="B1216" s="19" t="s">
        <v>5569</v>
      </c>
      <c r="C1216" s="19"/>
      <c r="D1216" s="19" t="s">
        <v>4873</v>
      </c>
      <c r="E1216" s="20" t="s">
        <v>4874</v>
      </c>
      <c r="F1216" s="19"/>
      <c r="G1216" s="21" t="s">
        <v>29</v>
      </c>
      <c r="H1216" s="22" t="b">
        <v>0</v>
      </c>
      <c r="I1216" s="22" t="b">
        <v>0</v>
      </c>
      <c r="J1216" s="22" t="b">
        <v>0</v>
      </c>
      <c r="K1216" s="22" t="b">
        <v>0</v>
      </c>
      <c r="L1216" s="22" t="b">
        <v>0</v>
      </c>
      <c r="M1216" s="21"/>
      <c r="N1216" s="23">
        <v>0</v>
      </c>
      <c r="O1216" s="24"/>
      <c r="P1216" s="19"/>
      <c r="Q1216" s="25"/>
      <c r="R1216" s="25"/>
      <c r="S1216" s="19"/>
      <c r="T1216" s="26"/>
      <c r="U1216" s="27" t="s">
        <v>21</v>
      </c>
      <c r="V1216" s="28"/>
      <c r="W1216" s="29" t="s">
        <v>26</v>
      </c>
    </row>
    <row r="1217" spans="1:23" ht="30" customHeight="1">
      <c r="A1217" s="19" t="s">
        <v>5608</v>
      </c>
      <c r="B1217" s="19" t="s">
        <v>5569</v>
      </c>
      <c r="C1217" s="19"/>
      <c r="D1217" s="19" t="s">
        <v>4877</v>
      </c>
      <c r="E1217" s="20" t="s">
        <v>4878</v>
      </c>
      <c r="F1217" s="19"/>
      <c r="G1217" s="21" t="s">
        <v>29</v>
      </c>
      <c r="H1217" s="22" t="b">
        <v>0</v>
      </c>
      <c r="I1217" s="22" t="b">
        <v>0</v>
      </c>
      <c r="J1217" s="22" t="b">
        <v>0</v>
      </c>
      <c r="K1217" s="22" t="b">
        <v>0</v>
      </c>
      <c r="L1217" s="22" t="b">
        <v>0</v>
      </c>
      <c r="M1217" s="21"/>
      <c r="N1217" s="23">
        <v>0</v>
      </c>
      <c r="O1217" s="24"/>
      <c r="P1217" s="19"/>
      <c r="Q1217" s="25"/>
      <c r="R1217" s="25"/>
      <c r="S1217" s="19"/>
      <c r="T1217" s="26"/>
      <c r="U1217" s="27" t="s">
        <v>21</v>
      </c>
      <c r="V1217" s="28" t="s">
        <v>4879</v>
      </c>
      <c r="W1217" s="29" t="s">
        <v>26</v>
      </c>
    </row>
    <row r="1218" spans="1:23" ht="30" customHeight="1">
      <c r="A1218" s="19" t="s">
        <v>5608</v>
      </c>
      <c r="B1218" s="19" t="s">
        <v>5569</v>
      </c>
      <c r="C1218" s="19"/>
      <c r="D1218" s="19" t="s">
        <v>4881</v>
      </c>
      <c r="E1218" s="20" t="s">
        <v>4882</v>
      </c>
      <c r="F1218" s="19"/>
      <c r="G1218" s="21" t="s">
        <v>29</v>
      </c>
      <c r="H1218" s="22" t="b">
        <v>0</v>
      </c>
      <c r="I1218" s="22" t="b">
        <v>0</v>
      </c>
      <c r="J1218" s="22" t="b">
        <v>0</v>
      </c>
      <c r="K1218" s="22" t="b">
        <v>0</v>
      </c>
      <c r="L1218" s="22" t="b">
        <v>0</v>
      </c>
      <c r="M1218" s="21"/>
      <c r="N1218" s="23">
        <v>0</v>
      </c>
      <c r="O1218" s="24"/>
      <c r="P1218" s="19"/>
      <c r="Q1218" s="25"/>
      <c r="R1218" s="25"/>
      <c r="S1218" s="19"/>
      <c r="T1218" s="26"/>
      <c r="U1218" s="27" t="s">
        <v>21</v>
      </c>
      <c r="V1218" s="28" t="s">
        <v>4883</v>
      </c>
      <c r="W1218" s="29" t="s">
        <v>26</v>
      </c>
    </row>
    <row r="1219" spans="1:23" ht="30" customHeight="1">
      <c r="A1219" s="19" t="s">
        <v>5608</v>
      </c>
      <c r="B1219" s="19" t="s">
        <v>5569</v>
      </c>
      <c r="C1219" s="19"/>
      <c r="D1219" s="19" t="s">
        <v>4885</v>
      </c>
      <c r="E1219" s="20" t="s">
        <v>4886</v>
      </c>
      <c r="F1219" s="19"/>
      <c r="G1219" s="21" t="s">
        <v>22</v>
      </c>
      <c r="H1219" s="22" t="b">
        <v>0</v>
      </c>
      <c r="I1219" s="22" t="b">
        <v>0</v>
      </c>
      <c r="J1219" s="22" t="b">
        <v>0</v>
      </c>
      <c r="K1219" s="22" t="b">
        <v>0</v>
      </c>
      <c r="L1219" s="22" t="b">
        <v>0</v>
      </c>
      <c r="M1219" s="21"/>
      <c r="N1219" s="23">
        <v>0</v>
      </c>
      <c r="O1219" s="24"/>
      <c r="P1219" s="19"/>
      <c r="Q1219" s="25"/>
      <c r="R1219" s="25"/>
      <c r="S1219" s="19"/>
      <c r="T1219" s="26"/>
      <c r="U1219" s="27" t="s">
        <v>21</v>
      </c>
      <c r="V1219" s="28" t="s">
        <v>4887</v>
      </c>
      <c r="W1219" s="29" t="s">
        <v>26</v>
      </c>
    </row>
    <row r="1220" spans="1:23" ht="30" customHeight="1">
      <c r="A1220" s="19" t="s">
        <v>5608</v>
      </c>
      <c r="B1220" s="19" t="s">
        <v>5569</v>
      </c>
      <c r="C1220" s="19"/>
      <c r="D1220" s="19" t="s">
        <v>4890</v>
      </c>
      <c r="E1220" s="20" t="s">
        <v>4891</v>
      </c>
      <c r="F1220" s="19"/>
      <c r="G1220" s="21" t="s">
        <v>485</v>
      </c>
      <c r="H1220" s="22" t="b">
        <v>0</v>
      </c>
      <c r="I1220" s="22" t="b">
        <v>0</v>
      </c>
      <c r="J1220" s="22" t="b">
        <v>0</v>
      </c>
      <c r="K1220" s="22" t="b">
        <v>0</v>
      </c>
      <c r="L1220" s="22" t="b">
        <v>0</v>
      </c>
      <c r="M1220" s="21"/>
      <c r="N1220" s="23">
        <v>0</v>
      </c>
      <c r="O1220" s="24"/>
      <c r="P1220" s="19"/>
      <c r="Q1220" s="25"/>
      <c r="R1220" s="25"/>
      <c r="S1220" s="19"/>
      <c r="T1220" s="26"/>
      <c r="U1220" s="27" t="s">
        <v>21</v>
      </c>
      <c r="V1220" s="28"/>
      <c r="W1220" s="29" t="s">
        <v>26</v>
      </c>
    </row>
    <row r="1221" spans="1:23" ht="30" customHeight="1">
      <c r="A1221" s="19" t="s">
        <v>5608</v>
      </c>
      <c r="B1221" s="19" t="s">
        <v>5569</v>
      </c>
      <c r="C1221" s="19"/>
      <c r="D1221" s="19" t="s">
        <v>4893</v>
      </c>
      <c r="E1221" s="20" t="s">
        <v>4894</v>
      </c>
      <c r="F1221" s="19"/>
      <c r="G1221" s="21" t="s">
        <v>22</v>
      </c>
      <c r="H1221" s="22" t="b">
        <v>0</v>
      </c>
      <c r="I1221" s="22" t="b">
        <v>0</v>
      </c>
      <c r="J1221" s="22" t="b">
        <v>0</v>
      </c>
      <c r="K1221" s="22" t="b">
        <v>0</v>
      </c>
      <c r="L1221" s="22" t="b">
        <v>0</v>
      </c>
      <c r="M1221" s="21"/>
      <c r="N1221" s="23">
        <v>0</v>
      </c>
      <c r="O1221" s="24"/>
      <c r="P1221" s="19"/>
      <c r="Q1221" s="25"/>
      <c r="R1221" s="25"/>
      <c r="S1221" s="19"/>
      <c r="T1221" s="26"/>
      <c r="U1221" s="27" t="s">
        <v>21</v>
      </c>
      <c r="V1221" s="28" t="s">
        <v>4895</v>
      </c>
      <c r="W1221" s="29" t="s">
        <v>26</v>
      </c>
    </row>
    <row r="1222" spans="1:23" ht="30" customHeight="1">
      <c r="A1222" s="19" t="s">
        <v>5608</v>
      </c>
      <c r="B1222" s="19" t="s">
        <v>5569</v>
      </c>
      <c r="C1222" s="19"/>
      <c r="D1222" s="19" t="s">
        <v>4897</v>
      </c>
      <c r="E1222" s="20" t="s">
        <v>4898</v>
      </c>
      <c r="F1222" s="19"/>
      <c r="G1222" s="21" t="s">
        <v>22</v>
      </c>
      <c r="H1222" s="22" t="b">
        <v>0</v>
      </c>
      <c r="I1222" s="22" t="b">
        <v>0</v>
      </c>
      <c r="J1222" s="22" t="b">
        <v>0</v>
      </c>
      <c r="K1222" s="22" t="b">
        <v>0</v>
      </c>
      <c r="L1222" s="22" t="b">
        <v>0</v>
      </c>
      <c r="M1222" s="21"/>
      <c r="N1222" s="23">
        <v>0</v>
      </c>
      <c r="O1222" s="24"/>
      <c r="P1222" s="19"/>
      <c r="Q1222" s="25"/>
      <c r="R1222" s="25"/>
      <c r="S1222" s="19"/>
      <c r="T1222" s="26"/>
      <c r="U1222" s="27" t="s">
        <v>21</v>
      </c>
      <c r="V1222" s="28" t="s">
        <v>4899</v>
      </c>
      <c r="W1222" s="29" t="s">
        <v>26</v>
      </c>
    </row>
    <row r="1223" spans="1:23" ht="30" customHeight="1">
      <c r="A1223" s="19" t="s">
        <v>5608</v>
      </c>
      <c r="B1223" s="19" t="s">
        <v>5569</v>
      </c>
      <c r="C1223" s="19"/>
      <c r="D1223" s="19" t="s">
        <v>4902</v>
      </c>
      <c r="E1223" s="20" t="s">
        <v>4903</v>
      </c>
      <c r="F1223" s="19"/>
      <c r="G1223" s="21" t="s">
        <v>22</v>
      </c>
      <c r="H1223" s="22" t="b">
        <v>0</v>
      </c>
      <c r="I1223" s="22" t="b">
        <v>0</v>
      </c>
      <c r="J1223" s="22" t="b">
        <v>0</v>
      </c>
      <c r="K1223" s="22" t="b">
        <v>0</v>
      </c>
      <c r="L1223" s="22" t="b">
        <v>0</v>
      </c>
      <c r="M1223" s="21"/>
      <c r="N1223" s="23">
        <v>0</v>
      </c>
      <c r="O1223" s="24"/>
      <c r="P1223" s="19"/>
      <c r="Q1223" s="25"/>
      <c r="R1223" s="25"/>
      <c r="S1223" s="19"/>
      <c r="T1223" s="26"/>
      <c r="U1223" s="27" t="s">
        <v>21</v>
      </c>
      <c r="V1223" s="28"/>
      <c r="W1223" s="29" t="s">
        <v>26</v>
      </c>
    </row>
    <row r="1224" spans="1:23" ht="30" customHeight="1">
      <c r="A1224" s="19" t="s">
        <v>5608</v>
      </c>
      <c r="B1224" s="19" t="s">
        <v>5569</v>
      </c>
      <c r="C1224" s="19"/>
      <c r="D1224" s="19" t="s">
        <v>4906</v>
      </c>
      <c r="E1224" s="20" t="s">
        <v>4907</v>
      </c>
      <c r="F1224" s="19"/>
      <c r="G1224" s="21" t="s">
        <v>29</v>
      </c>
      <c r="H1224" s="22" t="b">
        <v>0</v>
      </c>
      <c r="I1224" s="22" t="b">
        <v>0</v>
      </c>
      <c r="J1224" s="22" t="b">
        <v>0</v>
      </c>
      <c r="K1224" s="22" t="b">
        <v>0</v>
      </c>
      <c r="L1224" s="22" t="b">
        <v>0</v>
      </c>
      <c r="M1224" s="21"/>
      <c r="N1224" s="23">
        <v>0</v>
      </c>
      <c r="O1224" s="24"/>
      <c r="P1224" s="19"/>
      <c r="Q1224" s="25"/>
      <c r="R1224" s="25"/>
      <c r="S1224" s="19"/>
      <c r="T1224" s="26"/>
      <c r="U1224" s="27" t="s">
        <v>21</v>
      </c>
      <c r="V1224" s="28"/>
      <c r="W1224" s="29" t="s">
        <v>26</v>
      </c>
    </row>
    <row r="1225" spans="1:23" ht="30" customHeight="1">
      <c r="A1225" s="19" t="s">
        <v>5608</v>
      </c>
      <c r="B1225" s="19" t="s">
        <v>5569</v>
      </c>
      <c r="C1225" s="19"/>
      <c r="D1225" s="19" t="s">
        <v>4910</v>
      </c>
      <c r="E1225" s="20" t="s">
        <v>4911</v>
      </c>
      <c r="F1225" s="19"/>
      <c r="G1225" s="21" t="s">
        <v>22</v>
      </c>
      <c r="H1225" s="22" t="b">
        <v>0</v>
      </c>
      <c r="I1225" s="22" t="b">
        <v>0</v>
      </c>
      <c r="J1225" s="22" t="b">
        <v>0</v>
      </c>
      <c r="K1225" s="22" t="b">
        <v>0</v>
      </c>
      <c r="L1225" s="22" t="b">
        <v>0</v>
      </c>
      <c r="M1225" s="21"/>
      <c r="N1225" s="23">
        <v>0</v>
      </c>
      <c r="O1225" s="24"/>
      <c r="P1225" s="19"/>
      <c r="Q1225" s="25"/>
      <c r="R1225" s="25"/>
      <c r="S1225" s="19"/>
      <c r="T1225" s="26"/>
      <c r="U1225" s="27" t="s">
        <v>21</v>
      </c>
      <c r="V1225" s="28"/>
      <c r="W1225" s="29" t="s">
        <v>26</v>
      </c>
    </row>
    <row r="1226" spans="1:23" ht="30" customHeight="1">
      <c r="A1226" s="19" t="s">
        <v>5608</v>
      </c>
      <c r="B1226" s="19" t="s">
        <v>5569</v>
      </c>
      <c r="C1226" s="19"/>
      <c r="D1226" s="19" t="s">
        <v>4913</v>
      </c>
      <c r="E1226" s="20" t="s">
        <v>4914</v>
      </c>
      <c r="F1226" s="19"/>
      <c r="G1226" s="21" t="s">
        <v>29</v>
      </c>
      <c r="H1226" s="22" t="b">
        <v>0</v>
      </c>
      <c r="I1226" s="22" t="b">
        <v>0</v>
      </c>
      <c r="J1226" s="22" t="b">
        <v>0</v>
      </c>
      <c r="K1226" s="22" t="b">
        <v>0</v>
      </c>
      <c r="L1226" s="22" t="b">
        <v>0</v>
      </c>
      <c r="M1226" s="21"/>
      <c r="N1226" s="23">
        <v>0</v>
      </c>
      <c r="O1226" s="24"/>
      <c r="P1226" s="19"/>
      <c r="Q1226" s="25"/>
      <c r="R1226" s="25"/>
      <c r="S1226" s="19"/>
      <c r="T1226" s="26"/>
      <c r="U1226" s="27" t="s">
        <v>21</v>
      </c>
      <c r="V1226" s="28"/>
      <c r="W1226" s="29" t="s">
        <v>26</v>
      </c>
    </row>
    <row r="1227" spans="1:23" ht="30" customHeight="1">
      <c r="A1227" s="19" t="s">
        <v>5608</v>
      </c>
      <c r="B1227" s="19" t="s">
        <v>5569</v>
      </c>
      <c r="C1227" s="19"/>
      <c r="D1227" s="19" t="s">
        <v>4917</v>
      </c>
      <c r="E1227" s="20" t="s">
        <v>4918</v>
      </c>
      <c r="F1227" s="19"/>
      <c r="G1227" s="21" t="s">
        <v>29</v>
      </c>
      <c r="H1227" s="22" t="b">
        <v>0</v>
      </c>
      <c r="I1227" s="22" t="b">
        <v>0</v>
      </c>
      <c r="J1227" s="22" t="b">
        <v>0</v>
      </c>
      <c r="K1227" s="22" t="b">
        <v>0</v>
      </c>
      <c r="L1227" s="22" t="b">
        <v>0</v>
      </c>
      <c r="M1227" s="21"/>
      <c r="N1227" s="23">
        <v>0</v>
      </c>
      <c r="O1227" s="24"/>
      <c r="P1227" s="19"/>
      <c r="Q1227" s="25"/>
      <c r="R1227" s="25"/>
      <c r="S1227" s="19"/>
      <c r="T1227" s="26"/>
      <c r="U1227" s="27" t="s">
        <v>21</v>
      </c>
      <c r="V1227" s="28" t="s">
        <v>4919</v>
      </c>
      <c r="W1227" s="29" t="s">
        <v>26</v>
      </c>
    </row>
    <row r="1228" spans="1:23" ht="30" customHeight="1">
      <c r="A1228" s="19" t="s">
        <v>5608</v>
      </c>
      <c r="B1228" s="19" t="s">
        <v>5569</v>
      </c>
      <c r="C1228" s="19"/>
      <c r="D1228" s="19" t="s">
        <v>4921</v>
      </c>
      <c r="E1228" s="20" t="s">
        <v>4922</v>
      </c>
      <c r="F1228" s="19"/>
      <c r="G1228" s="21" t="s">
        <v>22</v>
      </c>
      <c r="H1228" s="22" t="b">
        <v>0</v>
      </c>
      <c r="I1228" s="22" t="b">
        <v>0</v>
      </c>
      <c r="J1228" s="22" t="b">
        <v>0</v>
      </c>
      <c r="K1228" s="22" t="b">
        <v>0</v>
      </c>
      <c r="L1228" s="22" t="b">
        <v>0</v>
      </c>
      <c r="M1228" s="21"/>
      <c r="N1228" s="23">
        <v>0</v>
      </c>
      <c r="O1228" s="24"/>
      <c r="P1228" s="19"/>
      <c r="Q1228" s="25"/>
      <c r="R1228" s="25"/>
      <c r="S1228" s="19"/>
      <c r="T1228" s="26"/>
      <c r="U1228" s="27" t="s">
        <v>21</v>
      </c>
      <c r="V1228" s="28" t="s">
        <v>4923</v>
      </c>
      <c r="W1228" s="29" t="s">
        <v>26</v>
      </c>
    </row>
    <row r="1229" spans="1:23" ht="30" customHeight="1">
      <c r="A1229" s="19" t="s">
        <v>5608</v>
      </c>
      <c r="B1229" s="19" t="s">
        <v>5569</v>
      </c>
      <c r="C1229" s="19"/>
      <c r="D1229" s="19" t="s">
        <v>4926</v>
      </c>
      <c r="E1229" s="20" t="s">
        <v>4927</v>
      </c>
      <c r="F1229" s="19"/>
      <c r="G1229" s="21" t="s">
        <v>22</v>
      </c>
      <c r="H1229" s="22" t="b">
        <v>0</v>
      </c>
      <c r="I1229" s="22" t="b">
        <v>0</v>
      </c>
      <c r="J1229" s="22" t="b">
        <v>0</v>
      </c>
      <c r="K1229" s="22" t="b">
        <v>0</v>
      </c>
      <c r="L1229" s="22" t="b">
        <v>0</v>
      </c>
      <c r="M1229" s="21"/>
      <c r="N1229" s="23">
        <v>0</v>
      </c>
      <c r="O1229" s="24"/>
      <c r="P1229" s="19"/>
      <c r="Q1229" s="25"/>
      <c r="R1229" s="25"/>
      <c r="S1229" s="19"/>
      <c r="T1229" s="26"/>
      <c r="U1229" s="27" t="s">
        <v>21</v>
      </c>
      <c r="V1229" s="28" t="s">
        <v>3611</v>
      </c>
      <c r="W1229" s="29" t="s">
        <v>26</v>
      </c>
    </row>
    <row r="1230" spans="1:23" ht="30" customHeight="1">
      <c r="A1230" s="19" t="s">
        <v>5608</v>
      </c>
      <c r="B1230" s="19" t="s">
        <v>5569</v>
      </c>
      <c r="C1230" s="19"/>
      <c r="D1230" s="19" t="s">
        <v>4929</v>
      </c>
      <c r="E1230" s="20" t="s">
        <v>4930</v>
      </c>
      <c r="F1230" s="19"/>
      <c r="G1230" s="21" t="s">
        <v>29</v>
      </c>
      <c r="H1230" s="22" t="b">
        <v>0</v>
      </c>
      <c r="I1230" s="22" t="b">
        <v>0</v>
      </c>
      <c r="J1230" s="22" t="b">
        <v>0</v>
      </c>
      <c r="K1230" s="22" t="b">
        <v>0</v>
      </c>
      <c r="L1230" s="22" t="b">
        <v>0</v>
      </c>
      <c r="M1230" s="21"/>
      <c r="N1230" s="23">
        <v>0</v>
      </c>
      <c r="O1230" s="24"/>
      <c r="P1230" s="19"/>
      <c r="Q1230" s="25"/>
      <c r="R1230" s="25"/>
      <c r="S1230" s="19"/>
      <c r="T1230" s="26"/>
      <c r="U1230" s="27" t="s">
        <v>21</v>
      </c>
      <c r="V1230" s="28"/>
      <c r="W1230" s="29" t="s">
        <v>26</v>
      </c>
    </row>
    <row r="1231" spans="1:23" ht="30" customHeight="1">
      <c r="A1231" s="19" t="s">
        <v>5608</v>
      </c>
      <c r="B1231" s="19" t="s">
        <v>5569</v>
      </c>
      <c r="C1231" s="19"/>
      <c r="D1231" s="19" t="s">
        <v>4932</v>
      </c>
      <c r="E1231" s="20" t="s">
        <v>4933</v>
      </c>
      <c r="F1231" s="19"/>
      <c r="G1231" s="21" t="s">
        <v>29</v>
      </c>
      <c r="H1231" s="22" t="b">
        <v>0</v>
      </c>
      <c r="I1231" s="22" t="b">
        <v>0</v>
      </c>
      <c r="J1231" s="22" t="b">
        <v>0</v>
      </c>
      <c r="K1231" s="22" t="b">
        <v>0</v>
      </c>
      <c r="L1231" s="22" t="b">
        <v>0</v>
      </c>
      <c r="M1231" s="21"/>
      <c r="N1231" s="23">
        <v>0</v>
      </c>
      <c r="O1231" s="24"/>
      <c r="P1231" s="19"/>
      <c r="Q1231" s="25"/>
      <c r="R1231" s="25"/>
      <c r="S1231" s="19"/>
      <c r="T1231" s="26"/>
      <c r="U1231" s="27" t="s">
        <v>21</v>
      </c>
      <c r="V1231" s="28"/>
      <c r="W1231" s="29" t="s">
        <v>26</v>
      </c>
    </row>
    <row r="1232" spans="1:23" ht="30" customHeight="1">
      <c r="A1232" s="19" t="s">
        <v>5608</v>
      </c>
      <c r="B1232" s="19" t="s">
        <v>5569</v>
      </c>
      <c r="C1232" s="19"/>
      <c r="D1232" s="19" t="s">
        <v>4936</v>
      </c>
      <c r="E1232" s="20" t="s">
        <v>4937</v>
      </c>
      <c r="F1232" s="19"/>
      <c r="G1232" s="21" t="s">
        <v>22</v>
      </c>
      <c r="H1232" s="22" t="b">
        <v>0</v>
      </c>
      <c r="I1232" s="22" t="b">
        <v>0</v>
      </c>
      <c r="J1232" s="22" t="b">
        <v>0</v>
      </c>
      <c r="K1232" s="22" t="b">
        <v>0</v>
      </c>
      <c r="L1232" s="22" t="b">
        <v>0</v>
      </c>
      <c r="M1232" s="21"/>
      <c r="N1232" s="23">
        <v>0</v>
      </c>
      <c r="O1232" s="24"/>
      <c r="P1232" s="19"/>
      <c r="Q1232" s="25"/>
      <c r="R1232" s="25"/>
      <c r="S1232" s="19"/>
      <c r="T1232" s="26"/>
      <c r="U1232" s="27" t="s">
        <v>21</v>
      </c>
      <c r="V1232" s="28" t="s">
        <v>3611</v>
      </c>
      <c r="W1232" s="29" t="s">
        <v>26</v>
      </c>
    </row>
    <row r="1233" spans="1:23" ht="30" customHeight="1">
      <c r="A1233" s="19" t="s">
        <v>5608</v>
      </c>
      <c r="B1233" s="19" t="s">
        <v>5569</v>
      </c>
      <c r="C1233" s="19"/>
      <c r="D1233" s="19" t="s">
        <v>4939</v>
      </c>
      <c r="E1233" s="20" t="s">
        <v>4940</v>
      </c>
      <c r="F1233" s="19"/>
      <c r="G1233" s="21" t="s">
        <v>22</v>
      </c>
      <c r="H1233" s="22" t="b">
        <v>0</v>
      </c>
      <c r="I1233" s="22" t="b">
        <v>0</v>
      </c>
      <c r="J1233" s="22" t="b">
        <v>0</v>
      </c>
      <c r="K1233" s="22" t="b">
        <v>0</v>
      </c>
      <c r="L1233" s="22" t="b">
        <v>0</v>
      </c>
      <c r="M1233" s="21"/>
      <c r="N1233" s="23">
        <v>0</v>
      </c>
      <c r="O1233" s="24"/>
      <c r="P1233" s="19"/>
      <c r="Q1233" s="25"/>
      <c r="R1233" s="25"/>
      <c r="S1233" s="19"/>
      <c r="T1233" s="26"/>
      <c r="U1233" s="27" t="s">
        <v>21</v>
      </c>
      <c r="V1233" s="28" t="s">
        <v>4941</v>
      </c>
      <c r="W1233" s="29" t="s">
        <v>26</v>
      </c>
    </row>
    <row r="1234" spans="1:23" ht="30" customHeight="1">
      <c r="A1234" s="19" t="s">
        <v>5608</v>
      </c>
      <c r="B1234" s="19" t="s">
        <v>5569</v>
      </c>
      <c r="C1234" s="19"/>
      <c r="D1234" s="19" t="s">
        <v>4943</v>
      </c>
      <c r="E1234" s="20" t="s">
        <v>4944</v>
      </c>
      <c r="F1234" s="19"/>
      <c r="G1234" s="21" t="s">
        <v>29</v>
      </c>
      <c r="H1234" s="22" t="b">
        <v>0</v>
      </c>
      <c r="I1234" s="22" t="b">
        <v>0</v>
      </c>
      <c r="J1234" s="22" t="b">
        <v>0</v>
      </c>
      <c r="K1234" s="22" t="b">
        <v>0</v>
      </c>
      <c r="L1234" s="22" t="b">
        <v>0</v>
      </c>
      <c r="M1234" s="21"/>
      <c r="N1234" s="23">
        <v>0</v>
      </c>
      <c r="O1234" s="24"/>
      <c r="P1234" s="19"/>
      <c r="Q1234" s="25"/>
      <c r="R1234" s="25"/>
      <c r="S1234" s="19"/>
      <c r="T1234" s="26"/>
      <c r="U1234" s="27" t="s">
        <v>21</v>
      </c>
      <c r="V1234" s="28"/>
      <c r="W1234" s="29" t="s">
        <v>26</v>
      </c>
    </row>
    <row r="1235" spans="1:23" ht="30" customHeight="1">
      <c r="A1235" s="19" t="s">
        <v>5608</v>
      </c>
      <c r="B1235" s="19" t="s">
        <v>5569</v>
      </c>
      <c r="C1235" s="19"/>
      <c r="D1235" s="19" t="s">
        <v>4946</v>
      </c>
      <c r="E1235" s="20" t="s">
        <v>4947</v>
      </c>
      <c r="F1235" s="19"/>
      <c r="G1235" s="21" t="s">
        <v>29</v>
      </c>
      <c r="H1235" s="22" t="b">
        <v>0</v>
      </c>
      <c r="I1235" s="22" t="b">
        <v>0</v>
      </c>
      <c r="J1235" s="22" t="b">
        <v>0</v>
      </c>
      <c r="K1235" s="22" t="b">
        <v>0</v>
      </c>
      <c r="L1235" s="22" t="b">
        <v>0</v>
      </c>
      <c r="M1235" s="21"/>
      <c r="N1235" s="23">
        <v>0</v>
      </c>
      <c r="O1235" s="24"/>
      <c r="P1235" s="19"/>
      <c r="Q1235" s="25"/>
      <c r="R1235" s="25"/>
      <c r="S1235" s="19"/>
      <c r="T1235" s="26"/>
      <c r="U1235" s="30" t="s">
        <v>34</v>
      </c>
      <c r="V1235" s="28" t="s">
        <v>4948</v>
      </c>
      <c r="W1235" s="29" t="s">
        <v>26</v>
      </c>
    </row>
    <row r="1236" spans="1:23" ht="30" customHeight="1">
      <c r="A1236" s="19" t="s">
        <v>5608</v>
      </c>
      <c r="B1236" s="19" t="s">
        <v>5569</v>
      </c>
      <c r="C1236" s="19"/>
      <c r="D1236" s="19" t="s">
        <v>4950</v>
      </c>
      <c r="E1236" s="20" t="s">
        <v>4951</v>
      </c>
      <c r="F1236" s="19"/>
      <c r="G1236" s="21" t="s">
        <v>22</v>
      </c>
      <c r="H1236" s="22" t="b">
        <v>0</v>
      </c>
      <c r="I1236" s="22" t="b">
        <v>0</v>
      </c>
      <c r="J1236" s="22" t="b">
        <v>0</v>
      </c>
      <c r="K1236" s="22" t="b">
        <v>0</v>
      </c>
      <c r="L1236" s="22" t="b">
        <v>0</v>
      </c>
      <c r="M1236" s="21"/>
      <c r="N1236" s="23">
        <v>0</v>
      </c>
      <c r="O1236" s="24"/>
      <c r="P1236" s="19"/>
      <c r="Q1236" s="25"/>
      <c r="R1236" s="25"/>
      <c r="S1236" s="19"/>
      <c r="T1236" s="26"/>
      <c r="U1236" s="27" t="s">
        <v>21</v>
      </c>
      <c r="V1236" s="28"/>
      <c r="W1236" s="29" t="s">
        <v>26</v>
      </c>
    </row>
    <row r="1237" spans="1:23" ht="30" customHeight="1">
      <c r="A1237" s="19" t="s">
        <v>5608</v>
      </c>
      <c r="B1237" s="19" t="s">
        <v>5569</v>
      </c>
      <c r="C1237" s="19"/>
      <c r="D1237" s="19" t="s">
        <v>4953</v>
      </c>
      <c r="E1237" s="20" t="s">
        <v>4954</v>
      </c>
      <c r="F1237" s="19"/>
      <c r="G1237" s="21" t="s">
        <v>22</v>
      </c>
      <c r="H1237" s="22" t="b">
        <v>0</v>
      </c>
      <c r="I1237" s="22" t="b">
        <v>0</v>
      </c>
      <c r="J1237" s="22" t="b">
        <v>0</v>
      </c>
      <c r="K1237" s="22" t="b">
        <v>0</v>
      </c>
      <c r="L1237" s="22" t="b">
        <v>0</v>
      </c>
      <c r="M1237" s="21"/>
      <c r="N1237" s="23">
        <v>0</v>
      </c>
      <c r="O1237" s="24"/>
      <c r="P1237" s="19"/>
      <c r="Q1237" s="25"/>
      <c r="R1237" s="25"/>
      <c r="S1237" s="19"/>
      <c r="T1237" s="26"/>
      <c r="U1237" s="27" t="s">
        <v>21</v>
      </c>
      <c r="V1237" s="28"/>
      <c r="W1237" s="29" t="s">
        <v>26</v>
      </c>
    </row>
    <row r="1238" spans="1:23" ht="30" customHeight="1">
      <c r="A1238" s="19" t="s">
        <v>5608</v>
      </c>
      <c r="B1238" s="19" t="s">
        <v>5569</v>
      </c>
      <c r="C1238" s="19"/>
      <c r="D1238" s="19" t="s">
        <v>4957</v>
      </c>
      <c r="E1238" s="20" t="s">
        <v>4958</v>
      </c>
      <c r="F1238" s="19"/>
      <c r="G1238" s="21" t="s">
        <v>4774</v>
      </c>
      <c r="H1238" s="22" t="b">
        <v>0</v>
      </c>
      <c r="I1238" s="22" t="b">
        <v>0</v>
      </c>
      <c r="J1238" s="22" t="b">
        <v>0</v>
      </c>
      <c r="K1238" s="22" t="b">
        <v>0</v>
      </c>
      <c r="L1238" s="22" t="b">
        <v>0</v>
      </c>
      <c r="M1238" s="21"/>
      <c r="N1238" s="23">
        <v>0</v>
      </c>
      <c r="O1238" s="24"/>
      <c r="P1238" s="19"/>
      <c r="Q1238" s="25"/>
      <c r="R1238" s="25"/>
      <c r="S1238" s="19"/>
      <c r="T1238" s="26"/>
      <c r="U1238" s="27" t="s">
        <v>21</v>
      </c>
      <c r="V1238" s="28"/>
      <c r="W1238" s="29" t="s">
        <v>26</v>
      </c>
    </row>
    <row r="1239" spans="1:23" ht="30" customHeight="1">
      <c r="A1239" s="19" t="s">
        <v>5608</v>
      </c>
      <c r="B1239" s="19" t="s">
        <v>5569</v>
      </c>
      <c r="C1239" s="19"/>
      <c r="D1239" s="19" t="s">
        <v>4960</v>
      </c>
      <c r="E1239" s="20" t="s">
        <v>4961</v>
      </c>
      <c r="F1239" s="19"/>
      <c r="G1239" s="21" t="s">
        <v>29</v>
      </c>
      <c r="H1239" s="22" t="b">
        <v>0</v>
      </c>
      <c r="I1239" s="22" t="b">
        <v>0</v>
      </c>
      <c r="J1239" s="22" t="b">
        <v>0</v>
      </c>
      <c r="K1239" s="22" t="b">
        <v>0</v>
      </c>
      <c r="L1239" s="22" t="b">
        <v>0</v>
      </c>
      <c r="M1239" s="21"/>
      <c r="N1239" s="23">
        <v>0</v>
      </c>
      <c r="O1239" s="24"/>
      <c r="P1239" s="19"/>
      <c r="Q1239" s="25"/>
      <c r="R1239" s="25"/>
      <c r="S1239" s="19"/>
      <c r="T1239" s="26"/>
      <c r="U1239" s="27" t="s">
        <v>21</v>
      </c>
      <c r="V1239" s="28"/>
      <c r="W1239" s="29" t="s">
        <v>26</v>
      </c>
    </row>
    <row r="1240" spans="1:23" ht="30" customHeight="1">
      <c r="A1240" s="19" t="s">
        <v>5608</v>
      </c>
      <c r="B1240" s="19" t="s">
        <v>5569</v>
      </c>
      <c r="C1240" s="19"/>
      <c r="D1240" s="19" t="s">
        <v>4964</v>
      </c>
      <c r="E1240" s="20" t="s">
        <v>4965</v>
      </c>
      <c r="F1240" s="19"/>
      <c r="G1240" s="21" t="s">
        <v>22</v>
      </c>
      <c r="H1240" s="22" t="b">
        <v>0</v>
      </c>
      <c r="I1240" s="22" t="b">
        <v>0</v>
      </c>
      <c r="J1240" s="22" t="b">
        <v>0</v>
      </c>
      <c r="K1240" s="22" t="b">
        <v>0</v>
      </c>
      <c r="L1240" s="22" t="b">
        <v>0</v>
      </c>
      <c r="M1240" s="21"/>
      <c r="N1240" s="23">
        <v>0</v>
      </c>
      <c r="O1240" s="24"/>
      <c r="P1240" s="19"/>
      <c r="Q1240" s="25"/>
      <c r="R1240" s="25"/>
      <c r="S1240" s="19"/>
      <c r="T1240" s="26"/>
      <c r="U1240" s="27" t="s">
        <v>21</v>
      </c>
      <c r="V1240" s="28"/>
      <c r="W1240" s="29" t="s">
        <v>26</v>
      </c>
    </row>
    <row r="1241" spans="1:23" ht="30" customHeight="1">
      <c r="A1241" s="19" t="s">
        <v>5608</v>
      </c>
      <c r="B1241" s="19" t="s">
        <v>5569</v>
      </c>
      <c r="C1241" s="19"/>
      <c r="D1241" s="19" t="s">
        <v>4968</v>
      </c>
      <c r="E1241" s="20" t="s">
        <v>4969</v>
      </c>
      <c r="F1241" s="19"/>
      <c r="G1241" s="21" t="s">
        <v>22</v>
      </c>
      <c r="H1241" s="22" t="b">
        <v>0</v>
      </c>
      <c r="I1241" s="22" t="b">
        <v>0</v>
      </c>
      <c r="J1241" s="22" t="b">
        <v>0</v>
      </c>
      <c r="K1241" s="22" t="b">
        <v>0</v>
      </c>
      <c r="L1241" s="22" t="b">
        <v>0</v>
      </c>
      <c r="M1241" s="21"/>
      <c r="N1241" s="23">
        <v>0</v>
      </c>
      <c r="O1241" s="24"/>
      <c r="P1241" s="19"/>
      <c r="Q1241" s="25"/>
      <c r="R1241" s="25"/>
      <c r="S1241" s="19"/>
      <c r="T1241" s="26"/>
      <c r="U1241" s="27" t="s">
        <v>21</v>
      </c>
      <c r="V1241" s="28"/>
      <c r="W1241" s="29" t="s">
        <v>26</v>
      </c>
    </row>
    <row r="1242" spans="1:23" ht="30" customHeight="1">
      <c r="A1242" s="19" t="s">
        <v>5608</v>
      </c>
      <c r="B1242" s="19" t="s">
        <v>5569</v>
      </c>
      <c r="C1242" s="19"/>
      <c r="D1242" s="19" t="s">
        <v>4972</v>
      </c>
      <c r="E1242" s="20" t="s">
        <v>4973</v>
      </c>
      <c r="F1242" s="19"/>
      <c r="G1242" s="21" t="s">
        <v>22</v>
      </c>
      <c r="H1242" s="22" t="b">
        <v>0</v>
      </c>
      <c r="I1242" s="22" t="b">
        <v>0</v>
      </c>
      <c r="J1242" s="22" t="b">
        <v>0</v>
      </c>
      <c r="K1242" s="22" t="b">
        <v>0</v>
      </c>
      <c r="L1242" s="22" t="b">
        <v>0</v>
      </c>
      <c r="M1242" s="21"/>
      <c r="N1242" s="23">
        <v>0</v>
      </c>
      <c r="O1242" s="24"/>
      <c r="P1242" s="19"/>
      <c r="Q1242" s="25"/>
      <c r="R1242" s="25"/>
      <c r="S1242" s="19"/>
      <c r="T1242" s="26"/>
      <c r="U1242" s="27" t="s">
        <v>21</v>
      </c>
      <c r="V1242" s="28" t="s">
        <v>4974</v>
      </c>
      <c r="W1242" s="29" t="s">
        <v>26</v>
      </c>
    </row>
    <row r="1243" spans="1:23" ht="30" customHeight="1">
      <c r="A1243" s="19" t="s">
        <v>5608</v>
      </c>
      <c r="B1243" s="19" t="s">
        <v>5569</v>
      </c>
      <c r="C1243" s="19"/>
      <c r="D1243" s="19" t="s">
        <v>4977</v>
      </c>
      <c r="E1243" s="20" t="s">
        <v>4978</v>
      </c>
      <c r="F1243" s="19"/>
      <c r="G1243" s="21" t="s">
        <v>22</v>
      </c>
      <c r="H1243" s="22" t="b">
        <v>0</v>
      </c>
      <c r="I1243" s="22" t="b">
        <v>0</v>
      </c>
      <c r="J1243" s="22" t="b">
        <v>0</v>
      </c>
      <c r="K1243" s="22" t="b">
        <v>0</v>
      </c>
      <c r="L1243" s="22" t="b">
        <v>0</v>
      </c>
      <c r="M1243" s="21"/>
      <c r="N1243" s="23">
        <v>0</v>
      </c>
      <c r="O1243" s="24"/>
      <c r="P1243" s="19"/>
      <c r="Q1243" s="25"/>
      <c r="R1243" s="25"/>
      <c r="S1243" s="19"/>
      <c r="T1243" s="26"/>
      <c r="U1243" s="27" t="s">
        <v>21</v>
      </c>
      <c r="V1243" s="28" t="s">
        <v>4979</v>
      </c>
      <c r="W1243" s="29" t="s">
        <v>26</v>
      </c>
    </row>
    <row r="1244" spans="1:23" ht="30" customHeight="1">
      <c r="A1244" s="19" t="s">
        <v>5608</v>
      </c>
      <c r="B1244" s="19" t="s">
        <v>5569</v>
      </c>
      <c r="C1244" s="19"/>
      <c r="D1244" s="19" t="s">
        <v>4982</v>
      </c>
      <c r="E1244" s="20" t="s">
        <v>4983</v>
      </c>
      <c r="F1244" s="19"/>
      <c r="G1244" s="21" t="s">
        <v>22</v>
      </c>
      <c r="H1244" s="22" t="b">
        <v>0</v>
      </c>
      <c r="I1244" s="22" t="b">
        <v>0</v>
      </c>
      <c r="J1244" s="22" t="b">
        <v>0</v>
      </c>
      <c r="K1244" s="22" t="b">
        <v>0</v>
      </c>
      <c r="L1244" s="22" t="b">
        <v>0</v>
      </c>
      <c r="M1244" s="21"/>
      <c r="N1244" s="23">
        <v>0</v>
      </c>
      <c r="O1244" s="24"/>
      <c r="P1244" s="19"/>
      <c r="Q1244" s="25"/>
      <c r="R1244" s="25"/>
      <c r="S1244" s="19"/>
      <c r="T1244" s="26"/>
      <c r="U1244" s="27" t="s">
        <v>21</v>
      </c>
      <c r="V1244" s="28" t="s">
        <v>4984</v>
      </c>
      <c r="W1244" s="29" t="s">
        <v>26</v>
      </c>
    </row>
    <row r="1245" spans="1:23" ht="30" customHeight="1">
      <c r="A1245" s="19" t="s">
        <v>5608</v>
      </c>
      <c r="B1245" s="19" t="s">
        <v>5569</v>
      </c>
      <c r="C1245" s="19"/>
      <c r="D1245" s="19" t="s">
        <v>4986</v>
      </c>
      <c r="E1245" s="20" t="s">
        <v>4987</v>
      </c>
      <c r="F1245" s="19"/>
      <c r="G1245" s="21" t="s">
        <v>29</v>
      </c>
      <c r="H1245" s="22" t="b">
        <v>0</v>
      </c>
      <c r="I1245" s="22" t="b">
        <v>0</v>
      </c>
      <c r="J1245" s="22" t="b">
        <v>0</v>
      </c>
      <c r="K1245" s="22" t="b">
        <v>0</v>
      </c>
      <c r="L1245" s="22" t="b">
        <v>0</v>
      </c>
      <c r="M1245" s="21"/>
      <c r="N1245" s="23">
        <v>0</v>
      </c>
      <c r="O1245" s="24"/>
      <c r="P1245" s="19"/>
      <c r="Q1245" s="25"/>
      <c r="R1245" s="25"/>
      <c r="S1245" s="19"/>
      <c r="T1245" s="26"/>
      <c r="U1245" s="27" t="s">
        <v>21</v>
      </c>
      <c r="V1245" s="28"/>
      <c r="W1245" s="29" t="s">
        <v>26</v>
      </c>
    </row>
    <row r="1246" spans="1:23" ht="30" customHeight="1">
      <c r="A1246" s="19" t="s">
        <v>5608</v>
      </c>
      <c r="B1246" s="19" t="s">
        <v>5569</v>
      </c>
      <c r="C1246" s="19"/>
      <c r="D1246" s="19" t="s">
        <v>4989</v>
      </c>
      <c r="E1246" s="20" t="s">
        <v>4990</v>
      </c>
      <c r="F1246" s="19"/>
      <c r="G1246" s="21" t="s">
        <v>29</v>
      </c>
      <c r="H1246" s="22" t="b">
        <v>0</v>
      </c>
      <c r="I1246" s="22" t="b">
        <v>0</v>
      </c>
      <c r="J1246" s="22" t="b">
        <v>0</v>
      </c>
      <c r="K1246" s="22" t="b">
        <v>0</v>
      </c>
      <c r="L1246" s="22" t="b">
        <v>0</v>
      </c>
      <c r="M1246" s="21"/>
      <c r="N1246" s="23">
        <v>0</v>
      </c>
      <c r="O1246" s="24"/>
      <c r="P1246" s="19"/>
      <c r="Q1246" s="25"/>
      <c r="R1246" s="25"/>
      <c r="S1246" s="19"/>
      <c r="T1246" s="26"/>
      <c r="U1246" s="27" t="s">
        <v>21</v>
      </c>
      <c r="V1246" s="28"/>
      <c r="W1246" s="29" t="s">
        <v>26</v>
      </c>
    </row>
    <row r="1247" spans="1:23" ht="30" customHeight="1">
      <c r="A1247" s="19" t="s">
        <v>5608</v>
      </c>
      <c r="B1247" s="19" t="s">
        <v>5569</v>
      </c>
      <c r="C1247" s="19"/>
      <c r="D1247" s="19" t="s">
        <v>4992</v>
      </c>
      <c r="E1247" s="20" t="s">
        <v>4993</v>
      </c>
      <c r="F1247" s="19"/>
      <c r="G1247" s="21" t="s">
        <v>29</v>
      </c>
      <c r="H1247" s="22" t="b">
        <v>0</v>
      </c>
      <c r="I1247" s="22" t="b">
        <v>0</v>
      </c>
      <c r="J1247" s="22" t="b">
        <v>0</v>
      </c>
      <c r="K1247" s="22" t="b">
        <v>0</v>
      </c>
      <c r="L1247" s="22" t="b">
        <v>0</v>
      </c>
      <c r="M1247" s="21"/>
      <c r="N1247" s="23">
        <v>0</v>
      </c>
      <c r="O1247" s="24"/>
      <c r="P1247" s="19"/>
      <c r="Q1247" s="25"/>
      <c r="R1247" s="25"/>
      <c r="S1247" s="19"/>
      <c r="T1247" s="26"/>
      <c r="U1247" s="27" t="s">
        <v>21</v>
      </c>
      <c r="V1247" s="28"/>
      <c r="W1247" s="29" t="s">
        <v>26</v>
      </c>
    </row>
    <row r="1248" spans="1:23" ht="30" customHeight="1">
      <c r="A1248" s="19" t="s">
        <v>5608</v>
      </c>
      <c r="B1248" s="19" t="s">
        <v>5569</v>
      </c>
      <c r="C1248" s="19"/>
      <c r="D1248" s="19" t="s">
        <v>4995</v>
      </c>
      <c r="E1248" s="20" t="s">
        <v>4996</v>
      </c>
      <c r="F1248" s="19"/>
      <c r="G1248" s="21" t="s">
        <v>22</v>
      </c>
      <c r="H1248" s="22" t="b">
        <v>0</v>
      </c>
      <c r="I1248" s="22" t="b">
        <v>0</v>
      </c>
      <c r="J1248" s="22" t="b">
        <v>0</v>
      </c>
      <c r="K1248" s="22" t="b">
        <v>0</v>
      </c>
      <c r="L1248" s="22" t="b">
        <v>0</v>
      </c>
      <c r="M1248" s="21"/>
      <c r="N1248" s="23">
        <v>0</v>
      </c>
      <c r="O1248" s="24"/>
      <c r="P1248" s="19"/>
      <c r="Q1248" s="25"/>
      <c r="R1248" s="25"/>
      <c r="S1248" s="19"/>
      <c r="T1248" s="26"/>
      <c r="U1248" s="27" t="s">
        <v>21</v>
      </c>
      <c r="V1248" s="28" t="s">
        <v>4997</v>
      </c>
      <c r="W1248" s="29" t="s">
        <v>26</v>
      </c>
    </row>
    <row r="1249" spans="1:23" ht="30" customHeight="1">
      <c r="A1249" s="19" t="s">
        <v>5608</v>
      </c>
      <c r="B1249" s="19" t="s">
        <v>5569</v>
      </c>
      <c r="C1249" s="19"/>
      <c r="D1249" s="19" t="s">
        <v>4999</v>
      </c>
      <c r="E1249" s="20" t="s">
        <v>5000</v>
      </c>
      <c r="F1249" s="19"/>
      <c r="G1249" s="21" t="s">
        <v>22</v>
      </c>
      <c r="H1249" s="22" t="b">
        <v>0</v>
      </c>
      <c r="I1249" s="22" t="b">
        <v>0</v>
      </c>
      <c r="J1249" s="22" t="b">
        <v>0</v>
      </c>
      <c r="K1249" s="22" t="b">
        <v>0</v>
      </c>
      <c r="L1249" s="22" t="b">
        <v>0</v>
      </c>
      <c r="M1249" s="21"/>
      <c r="N1249" s="23">
        <v>0</v>
      </c>
      <c r="O1249" s="24"/>
      <c r="P1249" s="19"/>
      <c r="Q1249" s="25"/>
      <c r="R1249" s="25"/>
      <c r="S1249" s="19"/>
      <c r="T1249" s="26"/>
      <c r="U1249" s="27" t="s">
        <v>21</v>
      </c>
      <c r="V1249" s="28"/>
      <c r="W1249" s="29" t="s">
        <v>26</v>
      </c>
    </row>
    <row r="1250" spans="1:23" ht="30" customHeight="1">
      <c r="A1250" s="19" t="s">
        <v>5608</v>
      </c>
      <c r="B1250" s="19" t="s">
        <v>5569</v>
      </c>
      <c r="C1250" s="19"/>
      <c r="D1250" s="19" t="s">
        <v>5003</v>
      </c>
      <c r="E1250" s="20" t="s">
        <v>5004</v>
      </c>
      <c r="F1250" s="19"/>
      <c r="G1250" s="21" t="s">
        <v>156</v>
      </c>
      <c r="H1250" s="22" t="b">
        <v>0</v>
      </c>
      <c r="I1250" s="22" t="b">
        <v>0</v>
      </c>
      <c r="J1250" s="22" t="b">
        <v>0</v>
      </c>
      <c r="K1250" s="22" t="b">
        <v>0</v>
      </c>
      <c r="L1250" s="22" t="b">
        <v>0</v>
      </c>
      <c r="M1250" s="21"/>
      <c r="N1250" s="23">
        <v>0</v>
      </c>
      <c r="O1250" s="24"/>
      <c r="P1250" s="19"/>
      <c r="Q1250" s="25"/>
      <c r="R1250" s="25"/>
      <c r="S1250" s="19"/>
      <c r="T1250" s="26"/>
      <c r="U1250" s="27" t="s">
        <v>21</v>
      </c>
      <c r="V1250" s="28" t="s">
        <v>5005</v>
      </c>
      <c r="W1250" s="29" t="s">
        <v>26</v>
      </c>
    </row>
    <row r="1251" spans="1:23" ht="30" customHeight="1">
      <c r="A1251" s="19" t="s">
        <v>5608</v>
      </c>
      <c r="B1251" s="19" t="s">
        <v>5569</v>
      </c>
      <c r="C1251" s="19"/>
      <c r="D1251" s="19" t="s">
        <v>5007</v>
      </c>
      <c r="E1251" s="20" t="s">
        <v>5008</v>
      </c>
      <c r="F1251" s="19"/>
      <c r="G1251" s="21" t="s">
        <v>29</v>
      </c>
      <c r="H1251" s="22" t="b">
        <v>0</v>
      </c>
      <c r="I1251" s="22" t="b">
        <v>0</v>
      </c>
      <c r="J1251" s="22" t="b">
        <v>0</v>
      </c>
      <c r="K1251" s="22" t="b">
        <v>0</v>
      </c>
      <c r="L1251" s="22" t="b">
        <v>0</v>
      </c>
      <c r="M1251" s="21"/>
      <c r="N1251" s="23">
        <v>0</v>
      </c>
      <c r="O1251" s="24"/>
      <c r="P1251" s="19"/>
      <c r="Q1251" s="25"/>
      <c r="R1251" s="25"/>
      <c r="S1251" s="19"/>
      <c r="T1251" s="26"/>
      <c r="U1251" s="27" t="s">
        <v>21</v>
      </c>
      <c r="V1251" s="28" t="s">
        <v>5009</v>
      </c>
      <c r="W1251" s="29" t="s">
        <v>26</v>
      </c>
    </row>
    <row r="1252" spans="1:23" ht="30" customHeight="1">
      <c r="A1252" s="19" t="s">
        <v>5608</v>
      </c>
      <c r="B1252" s="19" t="s">
        <v>5569</v>
      </c>
      <c r="C1252" s="19"/>
      <c r="D1252" s="19" t="s">
        <v>5011</v>
      </c>
      <c r="E1252" s="20" t="s">
        <v>5012</v>
      </c>
      <c r="F1252" s="19"/>
      <c r="G1252" s="21" t="s">
        <v>29</v>
      </c>
      <c r="H1252" s="22" t="b">
        <v>0</v>
      </c>
      <c r="I1252" s="22" t="b">
        <v>0</v>
      </c>
      <c r="J1252" s="22" t="b">
        <v>0</v>
      </c>
      <c r="K1252" s="22" t="b">
        <v>0</v>
      </c>
      <c r="L1252" s="22" t="b">
        <v>0</v>
      </c>
      <c r="M1252" s="21"/>
      <c r="N1252" s="23">
        <v>0</v>
      </c>
      <c r="O1252" s="24"/>
      <c r="P1252" s="19"/>
      <c r="Q1252" s="25"/>
      <c r="R1252" s="25"/>
      <c r="S1252" s="19"/>
      <c r="T1252" s="26"/>
      <c r="U1252" s="27" t="s">
        <v>21</v>
      </c>
      <c r="V1252" s="28"/>
      <c r="W1252" s="29" t="s">
        <v>26</v>
      </c>
    </row>
    <row r="1253" spans="1:23" ht="30" customHeight="1">
      <c r="A1253" s="19" t="s">
        <v>5608</v>
      </c>
      <c r="B1253" s="19" t="s">
        <v>5569</v>
      </c>
      <c r="C1253" s="19"/>
      <c r="D1253" s="19" t="s">
        <v>5014</v>
      </c>
      <c r="E1253" s="20" t="s">
        <v>5015</v>
      </c>
      <c r="F1253" s="19"/>
      <c r="G1253" s="21" t="s">
        <v>29</v>
      </c>
      <c r="H1253" s="22" t="b">
        <v>0</v>
      </c>
      <c r="I1253" s="22" t="b">
        <v>0</v>
      </c>
      <c r="J1253" s="22" t="b">
        <v>0</v>
      </c>
      <c r="K1253" s="22" t="b">
        <v>0</v>
      </c>
      <c r="L1253" s="22" t="b">
        <v>0</v>
      </c>
      <c r="M1253" s="21"/>
      <c r="N1253" s="23">
        <v>0</v>
      </c>
      <c r="O1253" s="24"/>
      <c r="P1253" s="19"/>
      <c r="Q1253" s="25"/>
      <c r="R1253" s="25"/>
      <c r="S1253" s="19"/>
      <c r="T1253" s="26"/>
      <c r="U1253" s="27" t="s">
        <v>21</v>
      </c>
      <c r="V1253" s="28" t="s">
        <v>5016</v>
      </c>
      <c r="W1253" s="29" t="s">
        <v>26</v>
      </c>
    </row>
    <row r="1254" spans="1:23" ht="30" customHeight="1">
      <c r="A1254" s="19" t="s">
        <v>5608</v>
      </c>
      <c r="B1254" s="19" t="s">
        <v>5569</v>
      </c>
      <c r="C1254" s="19"/>
      <c r="D1254" s="19" t="s">
        <v>5019</v>
      </c>
      <c r="E1254" s="20" t="s">
        <v>5020</v>
      </c>
      <c r="F1254" s="19"/>
      <c r="G1254" s="21" t="s">
        <v>156</v>
      </c>
      <c r="H1254" s="22" t="b">
        <v>0</v>
      </c>
      <c r="I1254" s="22" t="b">
        <v>0</v>
      </c>
      <c r="J1254" s="22" t="b">
        <v>0</v>
      </c>
      <c r="K1254" s="22" t="b">
        <v>0</v>
      </c>
      <c r="L1254" s="22" t="b">
        <v>0</v>
      </c>
      <c r="M1254" s="21"/>
      <c r="N1254" s="23">
        <v>0</v>
      </c>
      <c r="O1254" s="24"/>
      <c r="P1254" s="19"/>
      <c r="Q1254" s="25"/>
      <c r="R1254" s="25"/>
      <c r="S1254" s="19"/>
      <c r="T1254" s="26"/>
      <c r="U1254" s="27" t="s">
        <v>21</v>
      </c>
      <c r="V1254" s="28"/>
      <c r="W1254" s="29" t="s">
        <v>26</v>
      </c>
    </row>
    <row r="1255" spans="1:23" ht="30" customHeight="1">
      <c r="A1255" s="19" t="s">
        <v>5608</v>
      </c>
      <c r="B1255" s="19" t="s">
        <v>5569</v>
      </c>
      <c r="C1255" s="19"/>
      <c r="D1255" s="19" t="s">
        <v>5022</v>
      </c>
      <c r="E1255" s="20" t="s">
        <v>5023</v>
      </c>
      <c r="F1255" s="19"/>
      <c r="G1255" s="21" t="s">
        <v>29</v>
      </c>
      <c r="H1255" s="22" t="b">
        <v>0</v>
      </c>
      <c r="I1255" s="22" t="b">
        <v>0</v>
      </c>
      <c r="J1255" s="22" t="b">
        <v>0</v>
      </c>
      <c r="K1255" s="22" t="b">
        <v>0</v>
      </c>
      <c r="L1255" s="22" t="b">
        <v>0</v>
      </c>
      <c r="M1255" s="21"/>
      <c r="N1255" s="23">
        <v>0</v>
      </c>
      <c r="O1255" s="24"/>
      <c r="P1255" s="19"/>
      <c r="Q1255" s="25"/>
      <c r="R1255" s="25"/>
      <c r="S1255" s="19"/>
      <c r="T1255" s="26"/>
      <c r="U1255" s="27" t="s">
        <v>21</v>
      </c>
      <c r="V1255" s="28" t="s">
        <v>5024</v>
      </c>
      <c r="W1255" s="29" t="s">
        <v>26</v>
      </c>
    </row>
    <row r="1256" spans="1:23" ht="30" customHeight="1">
      <c r="A1256" s="19" t="s">
        <v>5608</v>
      </c>
      <c r="B1256" s="19" t="s">
        <v>5569</v>
      </c>
      <c r="C1256" s="19"/>
      <c r="D1256" s="19" t="s">
        <v>5026</v>
      </c>
      <c r="E1256" s="20" t="s">
        <v>5027</v>
      </c>
      <c r="F1256" s="19"/>
      <c r="G1256" s="21" t="s">
        <v>22</v>
      </c>
      <c r="H1256" s="22" t="b">
        <v>0</v>
      </c>
      <c r="I1256" s="22" t="b">
        <v>0</v>
      </c>
      <c r="J1256" s="22" t="b">
        <v>0</v>
      </c>
      <c r="K1256" s="22" t="b">
        <v>0</v>
      </c>
      <c r="L1256" s="22" t="b">
        <v>0</v>
      </c>
      <c r="M1256" s="21"/>
      <c r="N1256" s="23">
        <v>0</v>
      </c>
      <c r="O1256" s="24"/>
      <c r="P1256" s="19"/>
      <c r="Q1256" s="25"/>
      <c r="R1256" s="25"/>
      <c r="S1256" s="19"/>
      <c r="T1256" s="26"/>
      <c r="U1256" s="27" t="s">
        <v>21</v>
      </c>
      <c r="V1256" s="28" t="s">
        <v>5028</v>
      </c>
      <c r="W1256" s="29" t="s">
        <v>26</v>
      </c>
    </row>
    <row r="1257" spans="1:23" ht="30" customHeight="1">
      <c r="A1257" s="19" t="s">
        <v>5608</v>
      </c>
      <c r="B1257" s="19" t="s">
        <v>5569</v>
      </c>
      <c r="C1257" s="19"/>
      <c r="D1257" s="19" t="s">
        <v>5030</v>
      </c>
      <c r="E1257" s="20" t="s">
        <v>5031</v>
      </c>
      <c r="F1257" s="19"/>
      <c r="G1257" s="21" t="s">
        <v>22</v>
      </c>
      <c r="H1257" s="22" t="b">
        <v>0</v>
      </c>
      <c r="I1257" s="22" t="b">
        <v>0</v>
      </c>
      <c r="J1257" s="22" t="b">
        <v>0</v>
      </c>
      <c r="K1257" s="22" t="b">
        <v>0</v>
      </c>
      <c r="L1257" s="22" t="b">
        <v>0</v>
      </c>
      <c r="M1257" s="21"/>
      <c r="N1257" s="23">
        <v>0</v>
      </c>
      <c r="O1257" s="24"/>
      <c r="P1257" s="19"/>
      <c r="Q1257" s="25"/>
      <c r="R1257" s="25"/>
      <c r="S1257" s="19"/>
      <c r="T1257" s="26"/>
      <c r="U1257" s="27" t="s">
        <v>21</v>
      </c>
      <c r="V1257" s="28" t="s">
        <v>5032</v>
      </c>
      <c r="W1257" s="29" t="s">
        <v>26</v>
      </c>
    </row>
    <row r="1258" spans="1:23" ht="30" customHeight="1">
      <c r="A1258" s="19" t="s">
        <v>5608</v>
      </c>
      <c r="B1258" s="19" t="s">
        <v>5569</v>
      </c>
      <c r="C1258" s="19"/>
      <c r="D1258" s="19" t="s">
        <v>5034</v>
      </c>
      <c r="E1258" s="20" t="s">
        <v>5035</v>
      </c>
      <c r="F1258" s="19"/>
      <c r="G1258" s="21" t="s">
        <v>22</v>
      </c>
      <c r="H1258" s="22" t="b">
        <v>0</v>
      </c>
      <c r="I1258" s="22" t="b">
        <v>0</v>
      </c>
      <c r="J1258" s="22" t="b">
        <v>0</v>
      </c>
      <c r="K1258" s="22" t="b">
        <v>0</v>
      </c>
      <c r="L1258" s="22" t="b">
        <v>0</v>
      </c>
      <c r="M1258" s="21"/>
      <c r="N1258" s="23">
        <v>0</v>
      </c>
      <c r="O1258" s="24"/>
      <c r="P1258" s="19"/>
      <c r="Q1258" s="25"/>
      <c r="R1258" s="25"/>
      <c r="S1258" s="19"/>
      <c r="T1258" s="26"/>
      <c r="U1258" s="27" t="s">
        <v>21</v>
      </c>
      <c r="V1258" s="28" t="s">
        <v>3611</v>
      </c>
      <c r="W1258" s="29" t="s">
        <v>26</v>
      </c>
    </row>
    <row r="1259" spans="1:23" ht="30" customHeight="1">
      <c r="A1259" s="19" t="s">
        <v>5608</v>
      </c>
      <c r="B1259" s="19" t="s">
        <v>5569</v>
      </c>
      <c r="C1259" s="19"/>
      <c r="D1259" s="19" t="s">
        <v>5037</v>
      </c>
      <c r="E1259" s="20" t="s">
        <v>5038</v>
      </c>
      <c r="F1259" s="19"/>
      <c r="G1259" s="21" t="s">
        <v>22</v>
      </c>
      <c r="H1259" s="22" t="b">
        <v>0</v>
      </c>
      <c r="I1259" s="22" t="b">
        <v>0</v>
      </c>
      <c r="J1259" s="22" t="b">
        <v>0</v>
      </c>
      <c r="K1259" s="22" t="b">
        <v>0</v>
      </c>
      <c r="L1259" s="22" t="b">
        <v>0</v>
      </c>
      <c r="M1259" s="21"/>
      <c r="N1259" s="23">
        <v>0</v>
      </c>
      <c r="O1259" s="24"/>
      <c r="P1259" s="19"/>
      <c r="Q1259" s="25"/>
      <c r="R1259" s="25"/>
      <c r="S1259" s="19"/>
      <c r="T1259" s="26"/>
      <c r="U1259" s="27" t="s">
        <v>21</v>
      </c>
      <c r="V1259" s="28"/>
      <c r="W1259" s="29" t="s">
        <v>26</v>
      </c>
    </row>
    <row r="1260" spans="1:23" ht="30" customHeight="1">
      <c r="A1260" s="19" t="s">
        <v>5608</v>
      </c>
      <c r="B1260" s="19" t="s">
        <v>5569</v>
      </c>
      <c r="C1260" s="19"/>
      <c r="D1260" s="19" t="s">
        <v>5041</v>
      </c>
      <c r="E1260" s="20" t="s">
        <v>5042</v>
      </c>
      <c r="F1260" s="19"/>
      <c r="G1260" s="21" t="s">
        <v>29</v>
      </c>
      <c r="H1260" s="22" t="b">
        <v>0</v>
      </c>
      <c r="I1260" s="22" t="b">
        <v>0</v>
      </c>
      <c r="J1260" s="22" t="b">
        <v>0</v>
      </c>
      <c r="K1260" s="22" t="b">
        <v>0</v>
      </c>
      <c r="L1260" s="22" t="b">
        <v>0</v>
      </c>
      <c r="M1260" s="21"/>
      <c r="N1260" s="23">
        <v>0</v>
      </c>
      <c r="O1260" s="24"/>
      <c r="P1260" s="19"/>
      <c r="Q1260" s="25"/>
      <c r="R1260" s="25"/>
      <c r="S1260" s="19"/>
      <c r="T1260" s="26"/>
      <c r="U1260" s="27" t="s">
        <v>21</v>
      </c>
      <c r="V1260" s="28"/>
      <c r="W1260" s="29" t="s">
        <v>26</v>
      </c>
    </row>
    <row r="1261" spans="1:23" ht="30" customHeight="1">
      <c r="A1261" s="19" t="s">
        <v>5608</v>
      </c>
      <c r="B1261" s="19" t="s">
        <v>5569</v>
      </c>
      <c r="C1261" s="19"/>
      <c r="D1261" s="19" t="s">
        <v>5044</v>
      </c>
      <c r="E1261" s="20" t="s">
        <v>5045</v>
      </c>
      <c r="F1261" s="19"/>
      <c r="G1261" s="21" t="s">
        <v>29</v>
      </c>
      <c r="H1261" s="22" t="b">
        <v>0</v>
      </c>
      <c r="I1261" s="22" t="b">
        <v>0</v>
      </c>
      <c r="J1261" s="22" t="b">
        <v>0</v>
      </c>
      <c r="K1261" s="22" t="b">
        <v>0</v>
      </c>
      <c r="L1261" s="22" t="b">
        <v>0</v>
      </c>
      <c r="M1261" s="21"/>
      <c r="N1261" s="23">
        <v>0</v>
      </c>
      <c r="O1261" s="24"/>
      <c r="P1261" s="19"/>
      <c r="Q1261" s="25"/>
      <c r="R1261" s="25"/>
      <c r="S1261" s="19"/>
      <c r="T1261" s="26"/>
      <c r="U1261" s="27" t="s">
        <v>21</v>
      </c>
      <c r="V1261" s="28"/>
      <c r="W1261" s="29" t="s">
        <v>26</v>
      </c>
    </row>
    <row r="1262" spans="1:23" ht="30" customHeight="1">
      <c r="A1262" s="19" t="s">
        <v>5608</v>
      </c>
      <c r="B1262" s="19" t="s">
        <v>5569</v>
      </c>
      <c r="C1262" s="19"/>
      <c r="D1262" s="19" t="s">
        <v>5047</v>
      </c>
      <c r="E1262" s="20" t="s">
        <v>5048</v>
      </c>
      <c r="F1262" s="19"/>
      <c r="G1262" s="21" t="s">
        <v>29</v>
      </c>
      <c r="H1262" s="22" t="b">
        <v>0</v>
      </c>
      <c r="I1262" s="22" t="b">
        <v>0</v>
      </c>
      <c r="J1262" s="22" t="b">
        <v>0</v>
      </c>
      <c r="K1262" s="22" t="b">
        <v>0</v>
      </c>
      <c r="L1262" s="22" t="b">
        <v>0</v>
      </c>
      <c r="M1262" s="21"/>
      <c r="N1262" s="23">
        <v>0</v>
      </c>
      <c r="O1262" s="24"/>
      <c r="P1262" s="19"/>
      <c r="Q1262" s="25"/>
      <c r="R1262" s="25"/>
      <c r="S1262" s="19"/>
      <c r="T1262" s="26"/>
      <c r="U1262" s="27" t="s">
        <v>21</v>
      </c>
      <c r="V1262" s="28"/>
      <c r="W1262" s="29" t="s">
        <v>26</v>
      </c>
    </row>
    <row r="1263" spans="1:23" ht="30" customHeight="1">
      <c r="A1263" s="19" t="s">
        <v>5608</v>
      </c>
      <c r="B1263" s="19" t="s">
        <v>5569</v>
      </c>
      <c r="C1263" s="19"/>
      <c r="D1263" s="19" t="s">
        <v>5050</v>
      </c>
      <c r="E1263" s="20" t="s">
        <v>5051</v>
      </c>
      <c r="F1263" s="19"/>
      <c r="G1263" s="21" t="s">
        <v>22</v>
      </c>
      <c r="H1263" s="22" t="b">
        <v>0</v>
      </c>
      <c r="I1263" s="22" t="b">
        <v>0</v>
      </c>
      <c r="J1263" s="22" t="b">
        <v>0</v>
      </c>
      <c r="K1263" s="22" t="b">
        <v>0</v>
      </c>
      <c r="L1263" s="22" t="b">
        <v>0</v>
      </c>
      <c r="M1263" s="21"/>
      <c r="N1263" s="23">
        <v>0</v>
      </c>
      <c r="O1263" s="24"/>
      <c r="P1263" s="19"/>
      <c r="Q1263" s="25"/>
      <c r="R1263" s="25"/>
      <c r="S1263" s="19"/>
      <c r="T1263" s="26"/>
      <c r="U1263" s="27" t="s">
        <v>21</v>
      </c>
      <c r="V1263" s="28"/>
      <c r="W1263" s="29" t="s">
        <v>26</v>
      </c>
    </row>
    <row r="1264" spans="1:23" ht="30" customHeight="1">
      <c r="A1264" s="19" t="s">
        <v>5608</v>
      </c>
      <c r="B1264" s="19" t="s">
        <v>5569</v>
      </c>
      <c r="C1264" s="19"/>
      <c r="D1264" s="19" t="s">
        <v>5054</v>
      </c>
      <c r="E1264" s="20" t="s">
        <v>5055</v>
      </c>
      <c r="F1264" s="19"/>
      <c r="G1264" s="21" t="s">
        <v>22</v>
      </c>
      <c r="H1264" s="22" t="b">
        <v>0</v>
      </c>
      <c r="I1264" s="22" t="b">
        <v>0</v>
      </c>
      <c r="J1264" s="22" t="b">
        <v>0</v>
      </c>
      <c r="K1264" s="22" t="b">
        <v>0</v>
      </c>
      <c r="L1264" s="22" t="b">
        <v>0</v>
      </c>
      <c r="M1264" s="21"/>
      <c r="N1264" s="23">
        <v>0</v>
      </c>
      <c r="O1264" s="24"/>
      <c r="P1264" s="19"/>
      <c r="Q1264" s="25"/>
      <c r="R1264" s="25"/>
      <c r="S1264" s="19"/>
      <c r="T1264" s="26"/>
      <c r="U1264" s="27" t="s">
        <v>21</v>
      </c>
      <c r="V1264" s="28" t="s">
        <v>3611</v>
      </c>
      <c r="W1264" s="29" t="s">
        <v>26</v>
      </c>
    </row>
    <row r="1265" spans="1:23" ht="30" customHeight="1">
      <c r="A1265" s="19" t="s">
        <v>5608</v>
      </c>
      <c r="B1265" s="19" t="s">
        <v>5569</v>
      </c>
      <c r="C1265" s="19"/>
      <c r="D1265" s="19" t="s">
        <v>5058</v>
      </c>
      <c r="E1265" s="20" t="s">
        <v>5059</v>
      </c>
      <c r="F1265" s="19"/>
      <c r="G1265" s="21" t="s">
        <v>22</v>
      </c>
      <c r="H1265" s="22" t="b">
        <v>0</v>
      </c>
      <c r="I1265" s="22" t="b">
        <v>0</v>
      </c>
      <c r="J1265" s="22" t="b">
        <v>0</v>
      </c>
      <c r="K1265" s="22" t="b">
        <v>0</v>
      </c>
      <c r="L1265" s="22" t="b">
        <v>0</v>
      </c>
      <c r="M1265" s="21"/>
      <c r="N1265" s="23">
        <v>0</v>
      </c>
      <c r="O1265" s="24"/>
      <c r="P1265" s="19"/>
      <c r="Q1265" s="25"/>
      <c r="R1265" s="25"/>
      <c r="S1265" s="19"/>
      <c r="T1265" s="26"/>
      <c r="U1265" s="27" t="s">
        <v>21</v>
      </c>
      <c r="V1265" s="28" t="s">
        <v>5060</v>
      </c>
      <c r="W1265" s="29" t="s">
        <v>26</v>
      </c>
    </row>
    <row r="1266" spans="1:23" ht="30" customHeight="1">
      <c r="A1266" s="19" t="s">
        <v>5608</v>
      </c>
      <c r="B1266" s="19" t="s">
        <v>5569</v>
      </c>
      <c r="C1266" s="19"/>
      <c r="D1266" s="19" t="s">
        <v>5062</v>
      </c>
      <c r="E1266" s="20" t="s">
        <v>5063</v>
      </c>
      <c r="F1266" s="19"/>
      <c r="G1266" s="21" t="s">
        <v>29</v>
      </c>
      <c r="H1266" s="22" t="b">
        <v>0</v>
      </c>
      <c r="I1266" s="22" t="b">
        <v>0</v>
      </c>
      <c r="J1266" s="22" t="b">
        <v>0</v>
      </c>
      <c r="K1266" s="22" t="b">
        <v>0</v>
      </c>
      <c r="L1266" s="22" t="b">
        <v>0</v>
      </c>
      <c r="M1266" s="21"/>
      <c r="N1266" s="23">
        <v>0</v>
      </c>
      <c r="O1266" s="24"/>
      <c r="P1266" s="19"/>
      <c r="Q1266" s="25"/>
      <c r="R1266" s="25"/>
      <c r="S1266" s="19"/>
      <c r="T1266" s="26"/>
      <c r="U1266" s="27" t="s">
        <v>21</v>
      </c>
      <c r="V1266" s="28"/>
      <c r="W1266" s="29" t="s">
        <v>26</v>
      </c>
    </row>
    <row r="1267" spans="1:23" ht="30" customHeight="1">
      <c r="A1267" s="19" t="s">
        <v>5608</v>
      </c>
      <c r="B1267" s="19" t="s">
        <v>5569</v>
      </c>
      <c r="C1267" s="19"/>
      <c r="D1267" s="19" t="s">
        <v>5066</v>
      </c>
      <c r="E1267" s="20" t="s">
        <v>5067</v>
      </c>
      <c r="F1267" s="19"/>
      <c r="G1267" s="21" t="s">
        <v>29</v>
      </c>
      <c r="H1267" s="22" t="b">
        <v>0</v>
      </c>
      <c r="I1267" s="22" t="b">
        <v>0</v>
      </c>
      <c r="J1267" s="22" t="b">
        <v>0</v>
      </c>
      <c r="K1267" s="22" t="b">
        <v>0</v>
      </c>
      <c r="L1267" s="22" t="b">
        <v>0</v>
      </c>
      <c r="M1267" s="21"/>
      <c r="N1267" s="23">
        <v>0</v>
      </c>
      <c r="O1267" s="24"/>
      <c r="P1267" s="19"/>
      <c r="Q1267" s="25"/>
      <c r="R1267" s="25"/>
      <c r="S1267" s="19"/>
      <c r="T1267" s="26"/>
      <c r="U1267" s="27" t="s">
        <v>21</v>
      </c>
      <c r="V1267" s="28"/>
      <c r="W1267" s="29" t="s">
        <v>26</v>
      </c>
    </row>
    <row r="1268" spans="1:23" ht="30" customHeight="1">
      <c r="A1268" s="19" t="s">
        <v>5608</v>
      </c>
      <c r="B1268" s="19" t="s">
        <v>5569</v>
      </c>
      <c r="C1268" s="19"/>
      <c r="D1268" s="19" t="s">
        <v>5069</v>
      </c>
      <c r="E1268" s="20" t="s">
        <v>5070</v>
      </c>
      <c r="F1268" s="19"/>
      <c r="G1268" s="21" t="s">
        <v>22</v>
      </c>
      <c r="H1268" s="22" t="b">
        <v>0</v>
      </c>
      <c r="I1268" s="22" t="b">
        <v>0</v>
      </c>
      <c r="J1268" s="22" t="b">
        <v>0</v>
      </c>
      <c r="K1268" s="22" t="b">
        <v>0</v>
      </c>
      <c r="L1268" s="22" t="b">
        <v>0</v>
      </c>
      <c r="M1268" s="21"/>
      <c r="N1268" s="23">
        <v>0</v>
      </c>
      <c r="O1268" s="24"/>
      <c r="P1268" s="19"/>
      <c r="Q1268" s="25"/>
      <c r="R1268" s="25"/>
      <c r="S1268" s="19"/>
      <c r="T1268" s="26"/>
      <c r="U1268" s="27" t="s">
        <v>21</v>
      </c>
      <c r="V1268" s="28"/>
      <c r="W1268" s="29" t="s">
        <v>26</v>
      </c>
    </row>
    <row r="1269" spans="1:23" ht="30" customHeight="1">
      <c r="A1269" s="19" t="s">
        <v>5608</v>
      </c>
      <c r="B1269" s="19" t="s">
        <v>5569</v>
      </c>
      <c r="C1269" s="19"/>
      <c r="D1269" s="19" t="s">
        <v>5072</v>
      </c>
      <c r="E1269" s="20" t="s">
        <v>5073</v>
      </c>
      <c r="F1269" s="19"/>
      <c r="G1269" s="21" t="s">
        <v>29</v>
      </c>
      <c r="H1269" s="22" t="b">
        <v>0</v>
      </c>
      <c r="I1269" s="22" t="b">
        <v>0</v>
      </c>
      <c r="J1269" s="22" t="b">
        <v>0</v>
      </c>
      <c r="K1269" s="22" t="b">
        <v>0</v>
      </c>
      <c r="L1269" s="22" t="b">
        <v>0</v>
      </c>
      <c r="M1269" s="21"/>
      <c r="N1269" s="23">
        <v>0</v>
      </c>
      <c r="O1269" s="24"/>
      <c r="P1269" s="19"/>
      <c r="Q1269" s="25"/>
      <c r="R1269" s="25"/>
      <c r="S1269" s="19"/>
      <c r="T1269" s="26"/>
      <c r="U1269" s="27" t="s">
        <v>21</v>
      </c>
      <c r="V1269" s="28"/>
      <c r="W1269" s="29" t="s">
        <v>26</v>
      </c>
    </row>
    <row r="1270" spans="1:23" ht="30" customHeight="1">
      <c r="A1270" s="19" t="s">
        <v>5609</v>
      </c>
      <c r="B1270" s="19" t="s">
        <v>5569</v>
      </c>
      <c r="C1270" s="19"/>
      <c r="D1270" s="19" t="s">
        <v>5077</v>
      </c>
      <c r="E1270" s="20" t="s">
        <v>5078</v>
      </c>
      <c r="F1270" s="19"/>
      <c r="G1270" s="21" t="s">
        <v>29</v>
      </c>
      <c r="H1270" s="22" t="b">
        <v>0</v>
      </c>
      <c r="I1270" s="22" t="b">
        <v>0</v>
      </c>
      <c r="J1270" s="22" t="b">
        <v>0</v>
      </c>
      <c r="K1270" s="22" t="b">
        <v>0</v>
      </c>
      <c r="L1270" s="22" t="b">
        <v>0</v>
      </c>
      <c r="M1270" s="21"/>
      <c r="N1270" s="23">
        <v>0</v>
      </c>
      <c r="O1270" s="24"/>
      <c r="P1270" s="19"/>
      <c r="Q1270" s="25"/>
      <c r="R1270" s="25"/>
      <c r="S1270" s="19"/>
      <c r="T1270" s="26"/>
      <c r="U1270" s="27" t="s">
        <v>21</v>
      </c>
      <c r="V1270" s="28" t="s">
        <v>5079</v>
      </c>
      <c r="W1270" s="29" t="s">
        <v>26</v>
      </c>
    </row>
    <row r="1271" spans="1:23" ht="30" customHeight="1">
      <c r="A1271" s="19" t="s">
        <v>5609</v>
      </c>
      <c r="B1271" s="19" t="s">
        <v>5569</v>
      </c>
      <c r="C1271" s="19"/>
      <c r="D1271" s="19" t="s">
        <v>5082</v>
      </c>
      <c r="E1271" s="20" t="s">
        <v>5083</v>
      </c>
      <c r="F1271" s="19"/>
      <c r="G1271" s="21" t="s">
        <v>22</v>
      </c>
      <c r="H1271" s="22" t="b">
        <v>0</v>
      </c>
      <c r="I1271" s="22" t="b">
        <v>0</v>
      </c>
      <c r="J1271" s="22" t="b">
        <v>0</v>
      </c>
      <c r="K1271" s="22" t="b">
        <v>0</v>
      </c>
      <c r="L1271" s="22" t="b">
        <v>0</v>
      </c>
      <c r="M1271" s="21"/>
      <c r="N1271" s="23">
        <v>0</v>
      </c>
      <c r="O1271" s="24"/>
      <c r="P1271" s="19"/>
      <c r="Q1271" s="25"/>
      <c r="R1271" s="25"/>
      <c r="S1271" s="19"/>
      <c r="T1271" s="26"/>
      <c r="U1271" s="27" t="s">
        <v>21</v>
      </c>
      <c r="V1271" s="28" t="s">
        <v>5084</v>
      </c>
      <c r="W1271" s="29" t="s">
        <v>26</v>
      </c>
    </row>
    <row r="1272" spans="1:23" ht="30" customHeight="1">
      <c r="A1272" s="19" t="s">
        <v>5609</v>
      </c>
      <c r="B1272" s="19" t="s">
        <v>5569</v>
      </c>
      <c r="C1272" s="19"/>
      <c r="D1272" s="19" t="s">
        <v>5086</v>
      </c>
      <c r="E1272" s="20" t="s">
        <v>5087</v>
      </c>
      <c r="F1272" s="19"/>
      <c r="G1272" s="21" t="s">
        <v>29</v>
      </c>
      <c r="H1272" s="22" t="b">
        <v>0</v>
      </c>
      <c r="I1272" s="22" t="b">
        <v>0</v>
      </c>
      <c r="J1272" s="22" t="b">
        <v>0</v>
      </c>
      <c r="K1272" s="22" t="b">
        <v>0</v>
      </c>
      <c r="L1272" s="22" t="b">
        <v>0</v>
      </c>
      <c r="M1272" s="21"/>
      <c r="N1272" s="23">
        <v>0</v>
      </c>
      <c r="O1272" s="24"/>
      <c r="P1272" s="19"/>
      <c r="Q1272" s="25"/>
      <c r="R1272" s="25"/>
      <c r="S1272" s="19"/>
      <c r="T1272" s="26"/>
      <c r="U1272" s="27" t="s">
        <v>21</v>
      </c>
      <c r="V1272" s="28" t="s">
        <v>5088</v>
      </c>
      <c r="W1272" s="29" t="s">
        <v>26</v>
      </c>
    </row>
    <row r="1273" spans="1:23" ht="30" customHeight="1">
      <c r="A1273" s="19" t="s">
        <v>5609</v>
      </c>
      <c r="B1273" s="19" t="s">
        <v>5569</v>
      </c>
      <c r="C1273" s="19"/>
      <c r="D1273" s="19" t="s">
        <v>5090</v>
      </c>
      <c r="E1273" s="20" t="s">
        <v>5091</v>
      </c>
      <c r="F1273" s="19"/>
      <c r="G1273" s="21" t="s">
        <v>29</v>
      </c>
      <c r="H1273" s="22" t="b">
        <v>0</v>
      </c>
      <c r="I1273" s="22" t="b">
        <v>0</v>
      </c>
      <c r="J1273" s="22" t="b">
        <v>0</v>
      </c>
      <c r="K1273" s="22" t="b">
        <v>0</v>
      </c>
      <c r="L1273" s="22" t="b">
        <v>0</v>
      </c>
      <c r="M1273" s="21"/>
      <c r="N1273" s="23">
        <v>0</v>
      </c>
      <c r="O1273" s="24"/>
      <c r="P1273" s="19"/>
      <c r="Q1273" s="25"/>
      <c r="R1273" s="25"/>
      <c r="S1273" s="19"/>
      <c r="T1273" s="26"/>
      <c r="U1273" s="27" t="s">
        <v>21</v>
      </c>
      <c r="V1273" s="28" t="s">
        <v>5092</v>
      </c>
      <c r="W1273" s="29" t="s">
        <v>26</v>
      </c>
    </row>
    <row r="1274" spans="1:23" ht="30" customHeight="1">
      <c r="A1274" s="19" t="s">
        <v>5609</v>
      </c>
      <c r="B1274" s="19" t="s">
        <v>5569</v>
      </c>
      <c r="C1274" s="19"/>
      <c r="D1274" s="19" t="s">
        <v>5094</v>
      </c>
      <c r="E1274" s="20" t="s">
        <v>5095</v>
      </c>
      <c r="F1274" s="19"/>
      <c r="G1274" s="21" t="s">
        <v>29</v>
      </c>
      <c r="H1274" s="22" t="b">
        <v>0</v>
      </c>
      <c r="I1274" s="22" t="b">
        <v>0</v>
      </c>
      <c r="J1274" s="22" t="b">
        <v>0</v>
      </c>
      <c r="K1274" s="22" t="b">
        <v>0</v>
      </c>
      <c r="L1274" s="22" t="b">
        <v>0</v>
      </c>
      <c r="M1274" s="21"/>
      <c r="N1274" s="23">
        <v>0</v>
      </c>
      <c r="O1274" s="24"/>
      <c r="P1274" s="19"/>
      <c r="Q1274" s="25"/>
      <c r="R1274" s="25"/>
      <c r="S1274" s="19"/>
      <c r="T1274" s="26"/>
      <c r="U1274" s="27" t="s">
        <v>21</v>
      </c>
      <c r="V1274" s="28" t="s">
        <v>3611</v>
      </c>
      <c r="W1274" s="29" t="s">
        <v>26</v>
      </c>
    </row>
    <row r="1275" spans="1:23" ht="30" customHeight="1">
      <c r="A1275" s="19" t="s">
        <v>5609</v>
      </c>
      <c r="B1275" s="19" t="s">
        <v>5569</v>
      </c>
      <c r="C1275" s="19"/>
      <c r="D1275" s="19" t="s">
        <v>5098</v>
      </c>
      <c r="E1275" s="20" t="s">
        <v>5099</v>
      </c>
      <c r="F1275" s="19"/>
      <c r="G1275" s="21" t="s">
        <v>22</v>
      </c>
      <c r="H1275" s="22" t="b">
        <v>0</v>
      </c>
      <c r="I1275" s="22" t="b">
        <v>0</v>
      </c>
      <c r="J1275" s="22" t="b">
        <v>0</v>
      </c>
      <c r="K1275" s="22" t="b">
        <v>0</v>
      </c>
      <c r="L1275" s="22" t="b">
        <v>0</v>
      </c>
      <c r="M1275" s="21"/>
      <c r="N1275" s="23">
        <v>0</v>
      </c>
      <c r="O1275" s="24"/>
      <c r="P1275" s="19"/>
      <c r="Q1275" s="25"/>
      <c r="R1275" s="25"/>
      <c r="S1275" s="19"/>
      <c r="T1275" s="26"/>
      <c r="U1275" s="27" t="s">
        <v>21</v>
      </c>
      <c r="V1275" s="28" t="s">
        <v>3611</v>
      </c>
      <c r="W1275" s="29" t="s">
        <v>26</v>
      </c>
    </row>
    <row r="1276" spans="1:23" ht="30" customHeight="1">
      <c r="A1276" s="19" t="s">
        <v>5609</v>
      </c>
      <c r="B1276" s="19" t="s">
        <v>5569</v>
      </c>
      <c r="C1276" s="19"/>
      <c r="D1276" s="19" t="s">
        <v>5101</v>
      </c>
      <c r="E1276" s="20" t="s">
        <v>5102</v>
      </c>
      <c r="F1276" s="19"/>
      <c r="G1276" s="21" t="s">
        <v>156</v>
      </c>
      <c r="H1276" s="22" t="b">
        <v>0</v>
      </c>
      <c r="I1276" s="22" t="b">
        <v>0</v>
      </c>
      <c r="J1276" s="22" t="b">
        <v>0</v>
      </c>
      <c r="K1276" s="22" t="b">
        <v>0</v>
      </c>
      <c r="L1276" s="22" t="b">
        <v>0</v>
      </c>
      <c r="M1276" s="21"/>
      <c r="N1276" s="23">
        <v>0</v>
      </c>
      <c r="O1276" s="24"/>
      <c r="P1276" s="19"/>
      <c r="Q1276" s="25"/>
      <c r="R1276" s="25"/>
      <c r="S1276" s="19"/>
      <c r="T1276" s="26"/>
      <c r="U1276" s="27" t="s">
        <v>21</v>
      </c>
      <c r="V1276" s="28" t="s">
        <v>5103</v>
      </c>
      <c r="W1276" s="29" t="s">
        <v>26</v>
      </c>
    </row>
    <row r="1277" spans="1:23" ht="30" customHeight="1">
      <c r="A1277" s="19" t="s">
        <v>5609</v>
      </c>
      <c r="B1277" s="19" t="s">
        <v>5569</v>
      </c>
      <c r="C1277" s="19"/>
      <c r="D1277" s="19" t="s">
        <v>5105</v>
      </c>
      <c r="E1277" s="20" t="s">
        <v>5106</v>
      </c>
      <c r="F1277" s="19"/>
      <c r="G1277" s="21" t="s">
        <v>22</v>
      </c>
      <c r="H1277" s="22" t="b">
        <v>0</v>
      </c>
      <c r="I1277" s="22" t="b">
        <v>0</v>
      </c>
      <c r="J1277" s="22" t="b">
        <v>0</v>
      </c>
      <c r="K1277" s="22" t="b">
        <v>0</v>
      </c>
      <c r="L1277" s="22" t="b">
        <v>0</v>
      </c>
      <c r="M1277" s="21"/>
      <c r="N1277" s="23">
        <v>0</v>
      </c>
      <c r="O1277" s="24"/>
      <c r="P1277" s="19"/>
      <c r="Q1277" s="25"/>
      <c r="R1277" s="25"/>
      <c r="S1277" s="19"/>
      <c r="T1277" s="26"/>
      <c r="U1277" s="27" t="s">
        <v>21</v>
      </c>
      <c r="V1277" s="28" t="s">
        <v>3611</v>
      </c>
      <c r="W1277" s="29" t="s">
        <v>26</v>
      </c>
    </row>
    <row r="1278" spans="1:23" ht="30" customHeight="1">
      <c r="A1278" s="19" t="s">
        <v>5609</v>
      </c>
      <c r="B1278" s="19" t="s">
        <v>5569</v>
      </c>
      <c r="C1278" s="19"/>
      <c r="D1278" s="19" t="s">
        <v>5109</v>
      </c>
      <c r="E1278" s="20" t="s">
        <v>5110</v>
      </c>
      <c r="F1278" s="19"/>
      <c r="G1278" s="21" t="s">
        <v>22</v>
      </c>
      <c r="H1278" s="22" t="b">
        <v>0</v>
      </c>
      <c r="I1278" s="22" t="b">
        <v>0</v>
      </c>
      <c r="J1278" s="22" t="b">
        <v>0</v>
      </c>
      <c r="K1278" s="22" t="b">
        <v>0</v>
      </c>
      <c r="L1278" s="22" t="b">
        <v>0</v>
      </c>
      <c r="M1278" s="21"/>
      <c r="N1278" s="23">
        <v>0</v>
      </c>
      <c r="O1278" s="24"/>
      <c r="P1278" s="19"/>
      <c r="Q1278" s="25"/>
      <c r="R1278" s="25"/>
      <c r="S1278" s="19"/>
      <c r="T1278" s="26"/>
      <c r="U1278" s="27" t="s">
        <v>21</v>
      </c>
      <c r="V1278" s="28" t="s">
        <v>5111</v>
      </c>
      <c r="W1278" s="29" t="s">
        <v>26</v>
      </c>
    </row>
    <row r="1279" spans="1:23" ht="30" customHeight="1">
      <c r="A1279" s="19" t="s">
        <v>5610</v>
      </c>
      <c r="B1279" s="19" t="s">
        <v>5569</v>
      </c>
      <c r="C1279" s="19"/>
      <c r="D1279" s="19" t="s">
        <v>5115</v>
      </c>
      <c r="E1279" s="20" t="s">
        <v>5116</v>
      </c>
      <c r="F1279" s="19"/>
      <c r="G1279" s="21" t="s">
        <v>22</v>
      </c>
      <c r="H1279" s="22" t="b">
        <v>0</v>
      </c>
      <c r="I1279" s="22" t="b">
        <v>0</v>
      </c>
      <c r="J1279" s="22" t="b">
        <v>0</v>
      </c>
      <c r="K1279" s="22" t="b">
        <v>0</v>
      </c>
      <c r="L1279" s="22" t="b">
        <v>0</v>
      </c>
      <c r="M1279" s="21"/>
      <c r="N1279" s="23">
        <v>0</v>
      </c>
      <c r="O1279" s="24"/>
      <c r="P1279" s="19"/>
      <c r="Q1279" s="25"/>
      <c r="R1279" s="25"/>
      <c r="S1279" s="19"/>
      <c r="T1279" s="26"/>
      <c r="U1279" s="27" t="s">
        <v>21</v>
      </c>
      <c r="V1279" s="28" t="s">
        <v>5117</v>
      </c>
      <c r="W1279" s="29" t="s">
        <v>26</v>
      </c>
    </row>
    <row r="1280" spans="1:23" ht="30" customHeight="1">
      <c r="A1280" s="19" t="s">
        <v>5610</v>
      </c>
      <c r="B1280" s="19" t="s">
        <v>5569</v>
      </c>
      <c r="C1280" s="19"/>
      <c r="D1280" s="19" t="s">
        <v>5119</v>
      </c>
      <c r="E1280" s="20" t="s">
        <v>5120</v>
      </c>
      <c r="F1280" s="19"/>
      <c r="G1280" s="21" t="s">
        <v>29</v>
      </c>
      <c r="H1280" s="22" t="b">
        <v>0</v>
      </c>
      <c r="I1280" s="22" t="b">
        <v>0</v>
      </c>
      <c r="J1280" s="22" t="b">
        <v>0</v>
      </c>
      <c r="K1280" s="22" t="b">
        <v>0</v>
      </c>
      <c r="L1280" s="22" t="b">
        <v>0</v>
      </c>
      <c r="M1280" s="21"/>
      <c r="N1280" s="23">
        <v>0</v>
      </c>
      <c r="O1280" s="24"/>
      <c r="P1280" s="19"/>
      <c r="Q1280" s="25"/>
      <c r="R1280" s="25"/>
      <c r="S1280" s="19"/>
      <c r="T1280" s="26"/>
      <c r="U1280" s="27" t="s">
        <v>21</v>
      </c>
      <c r="V1280" s="28"/>
      <c r="W1280" s="29" t="s">
        <v>26</v>
      </c>
    </row>
    <row r="1281" spans="1:23" ht="30" customHeight="1">
      <c r="A1281" s="19" t="s">
        <v>5610</v>
      </c>
      <c r="B1281" s="19" t="s">
        <v>5569</v>
      </c>
      <c r="C1281" s="19"/>
      <c r="D1281" s="19" t="s">
        <v>5123</v>
      </c>
      <c r="E1281" s="20" t="s">
        <v>5124</v>
      </c>
      <c r="F1281" s="19"/>
      <c r="G1281" s="21" t="s">
        <v>29</v>
      </c>
      <c r="H1281" s="22" t="b">
        <v>0</v>
      </c>
      <c r="I1281" s="22" t="b">
        <v>0</v>
      </c>
      <c r="J1281" s="22" t="b">
        <v>0</v>
      </c>
      <c r="K1281" s="22" t="b">
        <v>0</v>
      </c>
      <c r="L1281" s="22" t="b">
        <v>0</v>
      </c>
      <c r="M1281" s="21"/>
      <c r="N1281" s="23">
        <v>0</v>
      </c>
      <c r="O1281" s="24"/>
      <c r="P1281" s="19"/>
      <c r="Q1281" s="25"/>
      <c r="R1281" s="25"/>
      <c r="S1281" s="19"/>
      <c r="T1281" s="26"/>
      <c r="U1281" s="27" t="s">
        <v>21</v>
      </c>
      <c r="V1281" s="28" t="s">
        <v>5125</v>
      </c>
      <c r="W1281" s="29" t="s">
        <v>26</v>
      </c>
    </row>
    <row r="1282" spans="1:23" ht="30" customHeight="1">
      <c r="A1282" s="19" t="s">
        <v>5610</v>
      </c>
      <c r="B1282" s="19" t="s">
        <v>5569</v>
      </c>
      <c r="C1282" s="19"/>
      <c r="D1282" s="19" t="s">
        <v>5127</v>
      </c>
      <c r="E1282" s="20" t="s">
        <v>5128</v>
      </c>
      <c r="F1282" s="19"/>
      <c r="G1282" s="21" t="s">
        <v>29</v>
      </c>
      <c r="H1282" s="22" t="b">
        <v>0</v>
      </c>
      <c r="I1282" s="22" t="b">
        <v>0</v>
      </c>
      <c r="J1282" s="22" t="b">
        <v>0</v>
      </c>
      <c r="K1282" s="22" t="b">
        <v>0</v>
      </c>
      <c r="L1282" s="22" t="b">
        <v>0</v>
      </c>
      <c r="M1282" s="21"/>
      <c r="N1282" s="23">
        <v>0</v>
      </c>
      <c r="O1282" s="24"/>
      <c r="P1282" s="19"/>
      <c r="Q1282" s="25"/>
      <c r="R1282" s="25"/>
      <c r="S1282" s="19"/>
      <c r="T1282" s="26"/>
      <c r="U1282" s="30" t="s">
        <v>34</v>
      </c>
      <c r="V1282" s="28" t="s">
        <v>4184</v>
      </c>
      <c r="W1282" s="29" t="s">
        <v>26</v>
      </c>
    </row>
    <row r="1283" spans="1:23" ht="30" customHeight="1">
      <c r="A1283" s="19" t="s">
        <v>5610</v>
      </c>
      <c r="B1283" s="19" t="s">
        <v>5569</v>
      </c>
      <c r="C1283" s="19"/>
      <c r="D1283" s="19" t="s">
        <v>5131</v>
      </c>
      <c r="E1283" s="20" t="s">
        <v>5132</v>
      </c>
      <c r="F1283" s="19"/>
      <c r="G1283" s="21" t="s">
        <v>29</v>
      </c>
      <c r="H1283" s="22" t="b">
        <v>0</v>
      </c>
      <c r="I1283" s="22" t="b">
        <v>0</v>
      </c>
      <c r="J1283" s="22" t="b">
        <v>0</v>
      </c>
      <c r="K1283" s="22" t="b">
        <v>0</v>
      </c>
      <c r="L1283" s="22" t="b">
        <v>0</v>
      </c>
      <c r="M1283" s="21"/>
      <c r="N1283" s="23">
        <v>0</v>
      </c>
      <c r="O1283" s="24"/>
      <c r="P1283" s="19"/>
      <c r="Q1283" s="25"/>
      <c r="R1283" s="25"/>
      <c r="S1283" s="19"/>
      <c r="T1283" s="26"/>
      <c r="U1283" s="27" t="s">
        <v>21</v>
      </c>
      <c r="V1283" s="28" t="s">
        <v>5133</v>
      </c>
      <c r="W1283" s="29" t="s">
        <v>26</v>
      </c>
    </row>
    <row r="1284" spans="1:23" ht="30" customHeight="1">
      <c r="A1284" s="19" t="s">
        <v>5610</v>
      </c>
      <c r="B1284" s="19" t="s">
        <v>5569</v>
      </c>
      <c r="C1284" s="19"/>
      <c r="D1284" s="19" t="s">
        <v>5135</v>
      </c>
      <c r="E1284" s="20" t="s">
        <v>5136</v>
      </c>
      <c r="F1284" s="19"/>
      <c r="G1284" s="21" t="s">
        <v>22</v>
      </c>
      <c r="H1284" s="22" t="b">
        <v>0</v>
      </c>
      <c r="I1284" s="22" t="b">
        <v>0</v>
      </c>
      <c r="J1284" s="22" t="b">
        <v>0</v>
      </c>
      <c r="K1284" s="22" t="b">
        <v>0</v>
      </c>
      <c r="L1284" s="22" t="b">
        <v>0</v>
      </c>
      <c r="M1284" s="21"/>
      <c r="N1284" s="23">
        <v>0</v>
      </c>
      <c r="O1284" s="24"/>
      <c r="P1284" s="19"/>
      <c r="Q1284" s="25"/>
      <c r="R1284" s="25"/>
      <c r="S1284" s="19"/>
      <c r="T1284" s="26"/>
      <c r="U1284" s="27" t="s">
        <v>21</v>
      </c>
      <c r="V1284" s="28"/>
      <c r="W1284" s="29" t="s">
        <v>26</v>
      </c>
    </row>
    <row r="1285" spans="1:23" ht="30" customHeight="1">
      <c r="A1285" s="19" t="s">
        <v>5610</v>
      </c>
      <c r="B1285" s="19" t="s">
        <v>5569</v>
      </c>
      <c r="C1285" s="19"/>
      <c r="D1285" s="19" t="s">
        <v>5138</v>
      </c>
      <c r="E1285" s="20" t="s">
        <v>5139</v>
      </c>
      <c r="F1285" s="19"/>
      <c r="G1285" s="21" t="s">
        <v>156</v>
      </c>
      <c r="H1285" s="22" t="b">
        <v>0</v>
      </c>
      <c r="I1285" s="22" t="b">
        <v>0</v>
      </c>
      <c r="J1285" s="22" t="b">
        <v>0</v>
      </c>
      <c r="K1285" s="22" t="b">
        <v>0</v>
      </c>
      <c r="L1285" s="22" t="b">
        <v>0</v>
      </c>
      <c r="M1285" s="21"/>
      <c r="N1285" s="23">
        <v>0</v>
      </c>
      <c r="O1285" s="24"/>
      <c r="P1285" s="19"/>
      <c r="Q1285" s="25"/>
      <c r="R1285" s="25"/>
      <c r="S1285" s="19"/>
      <c r="T1285" s="26"/>
      <c r="U1285" s="27" t="s">
        <v>21</v>
      </c>
      <c r="V1285" s="28" t="s">
        <v>5140</v>
      </c>
      <c r="W1285" s="29" t="s">
        <v>26</v>
      </c>
    </row>
    <row r="1286" spans="1:23" ht="30" customHeight="1">
      <c r="A1286" s="19" t="s">
        <v>5610</v>
      </c>
      <c r="B1286" s="19" t="s">
        <v>5569</v>
      </c>
      <c r="C1286" s="19"/>
      <c r="D1286" s="19" t="s">
        <v>5142</v>
      </c>
      <c r="E1286" s="20" t="s">
        <v>5143</v>
      </c>
      <c r="F1286" s="19"/>
      <c r="G1286" s="21" t="s">
        <v>22</v>
      </c>
      <c r="H1286" s="22" t="b">
        <v>0</v>
      </c>
      <c r="I1286" s="22" t="b">
        <v>0</v>
      </c>
      <c r="J1286" s="22" t="b">
        <v>0</v>
      </c>
      <c r="K1286" s="22" t="b">
        <v>0</v>
      </c>
      <c r="L1286" s="22" t="b">
        <v>0</v>
      </c>
      <c r="M1286" s="21"/>
      <c r="N1286" s="23">
        <v>0</v>
      </c>
      <c r="O1286" s="24"/>
      <c r="P1286" s="19"/>
      <c r="Q1286" s="25"/>
      <c r="R1286" s="25"/>
      <c r="S1286" s="19"/>
      <c r="T1286" s="26"/>
      <c r="U1286" s="30" t="s">
        <v>34</v>
      </c>
      <c r="V1286" s="28" t="s">
        <v>5144</v>
      </c>
      <c r="W1286" s="29" t="s">
        <v>26</v>
      </c>
    </row>
    <row r="1287" spans="1:23" ht="30" customHeight="1">
      <c r="A1287" s="19" t="s">
        <v>5610</v>
      </c>
      <c r="B1287" s="19" t="s">
        <v>5569</v>
      </c>
      <c r="C1287" s="19"/>
      <c r="D1287" s="19" t="s">
        <v>5147</v>
      </c>
      <c r="E1287" s="20" t="s">
        <v>5148</v>
      </c>
      <c r="F1287" s="19"/>
      <c r="G1287" s="21" t="s">
        <v>22</v>
      </c>
      <c r="H1287" s="22" t="b">
        <v>0</v>
      </c>
      <c r="I1287" s="22" t="b">
        <v>0</v>
      </c>
      <c r="J1287" s="22" t="b">
        <v>0</v>
      </c>
      <c r="K1287" s="22" t="b">
        <v>0</v>
      </c>
      <c r="L1287" s="22" t="b">
        <v>0</v>
      </c>
      <c r="M1287" s="21"/>
      <c r="N1287" s="23">
        <v>0</v>
      </c>
      <c r="O1287" s="24"/>
      <c r="P1287" s="19"/>
      <c r="Q1287" s="25"/>
      <c r="R1287" s="25"/>
      <c r="S1287" s="19"/>
      <c r="T1287" s="26"/>
      <c r="U1287" s="27" t="s">
        <v>21</v>
      </c>
      <c r="V1287" s="28"/>
      <c r="W1287" s="29" t="s">
        <v>26</v>
      </c>
    </row>
    <row r="1288" spans="1:23" ht="30" customHeight="1">
      <c r="A1288" s="19" t="s">
        <v>5610</v>
      </c>
      <c r="B1288" s="19" t="s">
        <v>5569</v>
      </c>
      <c r="C1288" s="19"/>
      <c r="D1288" s="19" t="s">
        <v>5150</v>
      </c>
      <c r="E1288" s="20" t="s">
        <v>5151</v>
      </c>
      <c r="F1288" s="19"/>
      <c r="G1288" s="21" t="s">
        <v>22</v>
      </c>
      <c r="H1288" s="22" t="b">
        <v>0</v>
      </c>
      <c r="I1288" s="22" t="b">
        <v>0</v>
      </c>
      <c r="J1288" s="22" t="b">
        <v>0</v>
      </c>
      <c r="K1288" s="22" t="b">
        <v>0</v>
      </c>
      <c r="L1288" s="22" t="b">
        <v>0</v>
      </c>
      <c r="M1288" s="21"/>
      <c r="N1288" s="23">
        <v>0</v>
      </c>
      <c r="O1288" s="24"/>
      <c r="P1288" s="19"/>
      <c r="Q1288" s="25"/>
      <c r="R1288" s="25"/>
      <c r="S1288" s="19"/>
      <c r="T1288" s="26"/>
      <c r="U1288" s="27" t="s">
        <v>21</v>
      </c>
      <c r="V1288" s="28" t="s">
        <v>180</v>
      </c>
      <c r="W1288" s="29" t="s">
        <v>26</v>
      </c>
    </row>
    <row r="1289" spans="1:23" ht="30" customHeight="1">
      <c r="A1289" s="19" t="s">
        <v>5610</v>
      </c>
      <c r="B1289" s="19" t="s">
        <v>5569</v>
      </c>
      <c r="C1289" s="19"/>
      <c r="D1289" s="19" t="s">
        <v>5154</v>
      </c>
      <c r="E1289" s="20" t="s">
        <v>5155</v>
      </c>
      <c r="F1289" s="19"/>
      <c r="G1289" s="21" t="s">
        <v>22</v>
      </c>
      <c r="H1289" s="22" t="b">
        <v>0</v>
      </c>
      <c r="I1289" s="22" t="b">
        <v>0</v>
      </c>
      <c r="J1289" s="22" t="b">
        <v>0</v>
      </c>
      <c r="K1289" s="22" t="b">
        <v>0</v>
      </c>
      <c r="L1289" s="22" t="b">
        <v>0</v>
      </c>
      <c r="M1289" s="21"/>
      <c r="N1289" s="23">
        <v>0</v>
      </c>
      <c r="O1289" s="24"/>
      <c r="P1289" s="19"/>
      <c r="Q1289" s="25"/>
      <c r="R1289" s="25"/>
      <c r="S1289" s="19"/>
      <c r="T1289" s="26"/>
      <c r="U1289" s="27" t="s">
        <v>21</v>
      </c>
      <c r="V1289" s="28" t="s">
        <v>180</v>
      </c>
      <c r="W1289" s="29" t="s">
        <v>26</v>
      </c>
    </row>
    <row r="1290" spans="1:23" ht="30" customHeight="1">
      <c r="A1290" s="19" t="s">
        <v>5610</v>
      </c>
      <c r="B1290" s="19" t="s">
        <v>5569</v>
      </c>
      <c r="C1290" s="19"/>
      <c r="D1290" s="19" t="s">
        <v>5157</v>
      </c>
      <c r="E1290" s="20" t="s">
        <v>5158</v>
      </c>
      <c r="F1290" s="19"/>
      <c r="G1290" s="21" t="s">
        <v>22</v>
      </c>
      <c r="H1290" s="22" t="b">
        <v>0</v>
      </c>
      <c r="I1290" s="22" t="b">
        <v>0</v>
      </c>
      <c r="J1290" s="22" t="b">
        <v>0</v>
      </c>
      <c r="K1290" s="22" t="b">
        <v>0</v>
      </c>
      <c r="L1290" s="22" t="b">
        <v>0</v>
      </c>
      <c r="M1290" s="21"/>
      <c r="N1290" s="23">
        <v>0</v>
      </c>
      <c r="O1290" s="24"/>
      <c r="P1290" s="19"/>
      <c r="Q1290" s="25"/>
      <c r="R1290" s="25"/>
      <c r="S1290" s="19"/>
      <c r="T1290" s="26"/>
      <c r="U1290" s="27" t="s">
        <v>21</v>
      </c>
      <c r="V1290" s="28" t="s">
        <v>5159</v>
      </c>
      <c r="W1290" s="29" t="s">
        <v>26</v>
      </c>
    </row>
    <row r="1291" spans="1:23" ht="30" customHeight="1">
      <c r="A1291" s="19" t="s">
        <v>5610</v>
      </c>
      <c r="B1291" s="19" t="s">
        <v>5569</v>
      </c>
      <c r="C1291" s="19"/>
      <c r="D1291" s="19" t="s">
        <v>5161</v>
      </c>
      <c r="E1291" s="20" t="s">
        <v>5162</v>
      </c>
      <c r="F1291" s="19"/>
      <c r="G1291" s="21" t="s">
        <v>22</v>
      </c>
      <c r="H1291" s="22" t="b">
        <v>0</v>
      </c>
      <c r="I1291" s="22" t="b">
        <v>0</v>
      </c>
      <c r="J1291" s="22" t="b">
        <v>0</v>
      </c>
      <c r="K1291" s="22" t="b">
        <v>0</v>
      </c>
      <c r="L1291" s="22" t="b">
        <v>0</v>
      </c>
      <c r="M1291" s="21"/>
      <c r="N1291" s="23">
        <v>0</v>
      </c>
      <c r="O1291" s="24"/>
      <c r="P1291" s="19"/>
      <c r="Q1291" s="25"/>
      <c r="R1291" s="25"/>
      <c r="S1291" s="19"/>
      <c r="T1291" s="26"/>
      <c r="U1291" s="27" t="s">
        <v>21</v>
      </c>
      <c r="V1291" s="28"/>
      <c r="W1291" s="29" t="s">
        <v>26</v>
      </c>
    </row>
    <row r="1292" spans="1:23" ht="30" customHeight="1">
      <c r="A1292" s="19" t="s">
        <v>5610</v>
      </c>
      <c r="B1292" s="19" t="s">
        <v>5569</v>
      </c>
      <c r="C1292" s="19"/>
      <c r="D1292" s="19" t="s">
        <v>5164</v>
      </c>
      <c r="E1292" s="20" t="s">
        <v>5165</v>
      </c>
      <c r="F1292" s="19"/>
      <c r="G1292" s="21" t="s">
        <v>29</v>
      </c>
      <c r="H1292" s="22" t="b">
        <v>0</v>
      </c>
      <c r="I1292" s="22" t="b">
        <v>0</v>
      </c>
      <c r="J1292" s="22" t="b">
        <v>0</v>
      </c>
      <c r="K1292" s="22" t="b">
        <v>0</v>
      </c>
      <c r="L1292" s="22" t="b">
        <v>0</v>
      </c>
      <c r="M1292" s="21"/>
      <c r="N1292" s="23">
        <v>0</v>
      </c>
      <c r="O1292" s="24"/>
      <c r="P1292" s="19"/>
      <c r="Q1292" s="25"/>
      <c r="R1292" s="25"/>
      <c r="S1292" s="19"/>
      <c r="T1292" s="26"/>
      <c r="U1292" s="27" t="s">
        <v>21</v>
      </c>
      <c r="V1292" s="28" t="s">
        <v>5166</v>
      </c>
      <c r="W1292" s="29" t="s">
        <v>26</v>
      </c>
    </row>
    <row r="1293" spans="1:23" ht="30" customHeight="1">
      <c r="A1293" s="19" t="s">
        <v>5610</v>
      </c>
      <c r="B1293" s="19" t="s">
        <v>5569</v>
      </c>
      <c r="C1293" s="19"/>
      <c r="D1293" s="19" t="s">
        <v>5169</v>
      </c>
      <c r="E1293" s="20" t="s">
        <v>5170</v>
      </c>
      <c r="F1293" s="19"/>
      <c r="G1293" s="21" t="s">
        <v>29</v>
      </c>
      <c r="H1293" s="22" t="b">
        <v>0</v>
      </c>
      <c r="I1293" s="22" t="b">
        <v>0</v>
      </c>
      <c r="J1293" s="22" t="b">
        <v>0</v>
      </c>
      <c r="K1293" s="22" t="b">
        <v>0</v>
      </c>
      <c r="L1293" s="22" t="b">
        <v>0</v>
      </c>
      <c r="M1293" s="21"/>
      <c r="N1293" s="23">
        <v>0</v>
      </c>
      <c r="O1293" s="24"/>
      <c r="P1293" s="19"/>
      <c r="Q1293" s="25"/>
      <c r="R1293" s="25"/>
      <c r="S1293" s="19"/>
      <c r="T1293" s="26"/>
      <c r="U1293" s="27" t="s">
        <v>21</v>
      </c>
      <c r="V1293" s="28" t="s">
        <v>5171</v>
      </c>
      <c r="W1293" s="29" t="s">
        <v>26</v>
      </c>
    </row>
    <row r="1294" spans="1:23" ht="30" customHeight="1">
      <c r="A1294" s="19" t="s">
        <v>5610</v>
      </c>
      <c r="B1294" s="19" t="s">
        <v>5569</v>
      </c>
      <c r="C1294" s="19"/>
      <c r="D1294" s="19" t="s">
        <v>5173</v>
      </c>
      <c r="E1294" s="20" t="s">
        <v>5174</v>
      </c>
      <c r="F1294" s="19"/>
      <c r="G1294" s="21" t="s">
        <v>29</v>
      </c>
      <c r="H1294" s="22" t="b">
        <v>0</v>
      </c>
      <c r="I1294" s="22" t="b">
        <v>0</v>
      </c>
      <c r="J1294" s="22" t="b">
        <v>0</v>
      </c>
      <c r="K1294" s="22" t="b">
        <v>0</v>
      </c>
      <c r="L1294" s="22" t="b">
        <v>0</v>
      </c>
      <c r="M1294" s="21"/>
      <c r="N1294" s="23">
        <v>0</v>
      </c>
      <c r="O1294" s="24"/>
      <c r="P1294" s="19"/>
      <c r="Q1294" s="25"/>
      <c r="R1294" s="25"/>
      <c r="S1294" s="19"/>
      <c r="T1294" s="26"/>
      <c r="U1294" s="27" t="s">
        <v>21</v>
      </c>
      <c r="V1294" s="28"/>
      <c r="W1294" s="29" t="s">
        <v>26</v>
      </c>
    </row>
    <row r="1295" spans="1:23" ht="30" customHeight="1">
      <c r="A1295" s="19" t="s">
        <v>5610</v>
      </c>
      <c r="B1295" s="19" t="s">
        <v>5569</v>
      </c>
      <c r="C1295" s="19"/>
      <c r="D1295" s="19" t="s">
        <v>5176</v>
      </c>
      <c r="E1295" s="20" t="s">
        <v>5177</v>
      </c>
      <c r="F1295" s="19"/>
      <c r="G1295" s="21" t="s">
        <v>29</v>
      </c>
      <c r="H1295" s="22" t="b">
        <v>0</v>
      </c>
      <c r="I1295" s="22" t="b">
        <v>0</v>
      </c>
      <c r="J1295" s="22" t="b">
        <v>0</v>
      </c>
      <c r="K1295" s="22" t="b">
        <v>0</v>
      </c>
      <c r="L1295" s="22" t="b">
        <v>0</v>
      </c>
      <c r="M1295" s="21"/>
      <c r="N1295" s="23">
        <v>0</v>
      </c>
      <c r="O1295" s="24"/>
      <c r="P1295" s="19"/>
      <c r="Q1295" s="25"/>
      <c r="R1295" s="25"/>
      <c r="S1295" s="19"/>
      <c r="T1295" s="26"/>
      <c r="U1295" s="27" t="s">
        <v>21</v>
      </c>
      <c r="V1295" s="28" t="s">
        <v>5178</v>
      </c>
      <c r="W1295" s="29" t="s">
        <v>26</v>
      </c>
    </row>
    <row r="1296" spans="1:23" ht="30" customHeight="1">
      <c r="A1296" s="19" t="s">
        <v>5610</v>
      </c>
      <c r="B1296" s="19" t="s">
        <v>5569</v>
      </c>
      <c r="C1296" s="19"/>
      <c r="D1296" s="19" t="s">
        <v>5180</v>
      </c>
      <c r="E1296" s="20" t="s">
        <v>5181</v>
      </c>
      <c r="F1296" s="19"/>
      <c r="G1296" s="21" t="s">
        <v>22</v>
      </c>
      <c r="H1296" s="22" t="b">
        <v>0</v>
      </c>
      <c r="I1296" s="22" t="b">
        <v>0</v>
      </c>
      <c r="J1296" s="22" t="b">
        <v>0</v>
      </c>
      <c r="K1296" s="22" t="b">
        <v>0</v>
      </c>
      <c r="L1296" s="22" t="b">
        <v>0</v>
      </c>
      <c r="M1296" s="21"/>
      <c r="N1296" s="23">
        <v>0</v>
      </c>
      <c r="O1296" s="24"/>
      <c r="P1296" s="19"/>
      <c r="Q1296" s="25"/>
      <c r="R1296" s="25"/>
      <c r="S1296" s="19"/>
      <c r="T1296" s="26"/>
      <c r="U1296" s="27" t="s">
        <v>21</v>
      </c>
      <c r="V1296" s="28" t="s">
        <v>5182</v>
      </c>
      <c r="W1296" s="29" t="s">
        <v>26</v>
      </c>
    </row>
    <row r="1297" spans="1:23" ht="30" customHeight="1">
      <c r="A1297" s="19" t="s">
        <v>5610</v>
      </c>
      <c r="B1297" s="19" t="s">
        <v>5569</v>
      </c>
      <c r="C1297" s="19"/>
      <c r="D1297" s="19" t="s">
        <v>5184</v>
      </c>
      <c r="E1297" s="20" t="s">
        <v>5185</v>
      </c>
      <c r="F1297" s="19"/>
      <c r="G1297" s="21" t="s">
        <v>156</v>
      </c>
      <c r="H1297" s="22" t="b">
        <v>0</v>
      </c>
      <c r="I1297" s="22" t="b">
        <v>0</v>
      </c>
      <c r="J1297" s="22" t="b">
        <v>0</v>
      </c>
      <c r="K1297" s="22" t="b">
        <v>0</v>
      </c>
      <c r="L1297" s="22" t="b">
        <v>0</v>
      </c>
      <c r="M1297" s="21"/>
      <c r="N1297" s="23">
        <v>0</v>
      </c>
      <c r="O1297" s="24"/>
      <c r="P1297" s="19"/>
      <c r="Q1297" s="25"/>
      <c r="R1297" s="25"/>
      <c r="S1297" s="19"/>
      <c r="T1297" s="26"/>
      <c r="U1297" s="27" t="s">
        <v>21</v>
      </c>
      <c r="V1297" s="28"/>
      <c r="W1297" s="29" t="s">
        <v>26</v>
      </c>
    </row>
    <row r="1298" spans="1:23" ht="30" customHeight="1">
      <c r="A1298" s="19" t="s">
        <v>5610</v>
      </c>
      <c r="B1298" s="19" t="s">
        <v>5569</v>
      </c>
      <c r="C1298" s="19"/>
      <c r="D1298" s="19" t="s">
        <v>5187</v>
      </c>
      <c r="E1298" s="20" t="s">
        <v>5188</v>
      </c>
      <c r="F1298" s="19"/>
      <c r="G1298" s="21" t="s">
        <v>22</v>
      </c>
      <c r="H1298" s="22" t="b">
        <v>0</v>
      </c>
      <c r="I1298" s="22" t="b">
        <v>0</v>
      </c>
      <c r="J1298" s="22" t="b">
        <v>0</v>
      </c>
      <c r="K1298" s="22" t="b">
        <v>0</v>
      </c>
      <c r="L1298" s="22" t="b">
        <v>0</v>
      </c>
      <c r="M1298" s="21"/>
      <c r="N1298" s="23">
        <v>0</v>
      </c>
      <c r="O1298" s="24"/>
      <c r="P1298" s="19"/>
      <c r="Q1298" s="25"/>
      <c r="R1298" s="25"/>
      <c r="S1298" s="19"/>
      <c r="T1298" s="26"/>
      <c r="U1298" s="30" t="s">
        <v>34</v>
      </c>
      <c r="V1298" s="28" t="s">
        <v>5189</v>
      </c>
      <c r="W1298" s="29" t="s">
        <v>26</v>
      </c>
    </row>
    <row r="1299" spans="1:23" ht="30" customHeight="1">
      <c r="A1299" s="19" t="s">
        <v>5610</v>
      </c>
      <c r="B1299" s="19" t="s">
        <v>5569</v>
      </c>
      <c r="C1299" s="19"/>
      <c r="D1299" s="19" t="s">
        <v>5191</v>
      </c>
      <c r="E1299" s="20" t="s">
        <v>5192</v>
      </c>
      <c r="F1299" s="19"/>
      <c r="G1299" s="21" t="s">
        <v>22</v>
      </c>
      <c r="H1299" s="22" t="b">
        <v>0</v>
      </c>
      <c r="I1299" s="22" t="b">
        <v>0</v>
      </c>
      <c r="J1299" s="22" t="b">
        <v>0</v>
      </c>
      <c r="K1299" s="22" t="b">
        <v>0</v>
      </c>
      <c r="L1299" s="22" t="b">
        <v>0</v>
      </c>
      <c r="M1299" s="21"/>
      <c r="N1299" s="23">
        <v>0</v>
      </c>
      <c r="O1299" s="24"/>
      <c r="P1299" s="19"/>
      <c r="Q1299" s="25"/>
      <c r="R1299" s="25"/>
      <c r="S1299" s="19"/>
      <c r="T1299" s="26"/>
      <c r="U1299" s="27" t="s">
        <v>21</v>
      </c>
      <c r="V1299" s="28"/>
      <c r="W1299" s="29" t="s">
        <v>26</v>
      </c>
    </row>
    <row r="1300" spans="1:23" ht="30" customHeight="1">
      <c r="A1300" s="19" t="s">
        <v>5610</v>
      </c>
      <c r="B1300" s="19" t="s">
        <v>5569</v>
      </c>
      <c r="C1300" s="19"/>
      <c r="D1300" s="19" t="s">
        <v>5194</v>
      </c>
      <c r="E1300" s="20" t="s">
        <v>5195</v>
      </c>
      <c r="F1300" s="19"/>
      <c r="G1300" s="21" t="s">
        <v>29</v>
      </c>
      <c r="H1300" s="22" t="b">
        <v>0</v>
      </c>
      <c r="I1300" s="22" t="b">
        <v>0</v>
      </c>
      <c r="J1300" s="22" t="b">
        <v>0</v>
      </c>
      <c r="K1300" s="22" t="b">
        <v>0</v>
      </c>
      <c r="L1300" s="22" t="b">
        <v>0</v>
      </c>
      <c r="M1300" s="21"/>
      <c r="N1300" s="23">
        <v>0</v>
      </c>
      <c r="O1300" s="24"/>
      <c r="P1300" s="19"/>
      <c r="Q1300" s="25"/>
      <c r="R1300" s="25"/>
      <c r="S1300" s="19"/>
      <c r="T1300" s="26"/>
      <c r="U1300" s="27" t="s">
        <v>21</v>
      </c>
      <c r="V1300" s="28"/>
      <c r="W1300" s="29" t="s">
        <v>26</v>
      </c>
    </row>
    <row r="1301" spans="1:23" ht="30" customHeight="1">
      <c r="A1301" s="19" t="s">
        <v>5611</v>
      </c>
      <c r="B1301" s="19" t="s">
        <v>5569</v>
      </c>
      <c r="C1301" s="19"/>
      <c r="D1301" s="19" t="s">
        <v>5199</v>
      </c>
      <c r="E1301" s="20" t="s">
        <v>5200</v>
      </c>
      <c r="F1301" s="19"/>
      <c r="G1301" s="21" t="s">
        <v>29</v>
      </c>
      <c r="H1301" s="22" t="b">
        <v>0</v>
      </c>
      <c r="I1301" s="22" t="b">
        <v>0</v>
      </c>
      <c r="J1301" s="22" t="b">
        <v>0</v>
      </c>
      <c r="K1301" s="22" t="b">
        <v>0</v>
      </c>
      <c r="L1301" s="22" t="b">
        <v>0</v>
      </c>
      <c r="M1301" s="21"/>
      <c r="N1301" s="23">
        <v>0</v>
      </c>
      <c r="O1301" s="24"/>
      <c r="P1301" s="19"/>
      <c r="Q1301" s="25"/>
      <c r="R1301" s="25"/>
      <c r="S1301" s="19"/>
      <c r="T1301" s="26"/>
      <c r="U1301" s="27" t="s">
        <v>21</v>
      </c>
      <c r="V1301" s="28" t="s">
        <v>5201</v>
      </c>
      <c r="W1301" s="29" t="s">
        <v>26</v>
      </c>
    </row>
    <row r="1302" spans="1:23" ht="30" customHeight="1">
      <c r="A1302" s="19" t="s">
        <v>5611</v>
      </c>
      <c r="B1302" s="19" t="s">
        <v>5569</v>
      </c>
      <c r="C1302" s="19"/>
      <c r="D1302" s="19" t="s">
        <v>5204</v>
      </c>
      <c r="E1302" s="20" t="s">
        <v>5205</v>
      </c>
      <c r="F1302" s="19"/>
      <c r="G1302" s="21" t="s">
        <v>4774</v>
      </c>
      <c r="H1302" s="22" t="b">
        <v>0</v>
      </c>
      <c r="I1302" s="22" t="b">
        <v>0</v>
      </c>
      <c r="J1302" s="22" t="b">
        <v>0</v>
      </c>
      <c r="K1302" s="22" t="b">
        <v>0</v>
      </c>
      <c r="L1302" s="22" t="b">
        <v>0</v>
      </c>
      <c r="M1302" s="21"/>
      <c r="N1302" s="23">
        <v>0</v>
      </c>
      <c r="O1302" s="24"/>
      <c r="P1302" s="19"/>
      <c r="Q1302" s="25"/>
      <c r="R1302" s="25"/>
      <c r="S1302" s="19"/>
      <c r="T1302" s="26"/>
      <c r="U1302" s="27" t="s">
        <v>21</v>
      </c>
      <c r="V1302" s="28"/>
      <c r="W1302" s="29" t="s">
        <v>26</v>
      </c>
    </row>
    <row r="1303" spans="1:23" ht="30" customHeight="1">
      <c r="A1303" s="19" t="s">
        <v>5611</v>
      </c>
      <c r="B1303" s="19" t="s">
        <v>5569</v>
      </c>
      <c r="C1303" s="19"/>
      <c r="D1303" s="19" t="s">
        <v>5208</v>
      </c>
      <c r="E1303" s="20" t="s">
        <v>5209</v>
      </c>
      <c r="F1303" s="19"/>
      <c r="G1303" s="21" t="s">
        <v>29</v>
      </c>
      <c r="H1303" s="22" t="b">
        <v>0</v>
      </c>
      <c r="I1303" s="22" t="b">
        <v>0</v>
      </c>
      <c r="J1303" s="22" t="b">
        <v>0</v>
      </c>
      <c r="K1303" s="22" t="b">
        <v>0</v>
      </c>
      <c r="L1303" s="22" t="b">
        <v>0</v>
      </c>
      <c r="M1303" s="21"/>
      <c r="N1303" s="23">
        <v>0</v>
      </c>
      <c r="O1303" s="24"/>
      <c r="P1303" s="19"/>
      <c r="Q1303" s="25"/>
      <c r="R1303" s="25"/>
      <c r="S1303" s="19"/>
      <c r="T1303" s="26"/>
      <c r="U1303" s="27" t="s">
        <v>21</v>
      </c>
      <c r="V1303" s="28" t="s">
        <v>5210</v>
      </c>
      <c r="W1303" s="29" t="s">
        <v>26</v>
      </c>
    </row>
    <row r="1304" spans="1:23" ht="30" customHeight="1">
      <c r="A1304" s="19" t="s">
        <v>5611</v>
      </c>
      <c r="B1304" s="19" t="s">
        <v>5569</v>
      </c>
      <c r="C1304" s="19"/>
      <c r="D1304" s="19" t="s">
        <v>5212</v>
      </c>
      <c r="E1304" s="20" t="s">
        <v>5213</v>
      </c>
      <c r="F1304" s="19"/>
      <c r="G1304" s="21" t="s">
        <v>22</v>
      </c>
      <c r="H1304" s="22" t="b">
        <v>0</v>
      </c>
      <c r="I1304" s="22" t="b">
        <v>0</v>
      </c>
      <c r="J1304" s="22" t="b">
        <v>0</v>
      </c>
      <c r="K1304" s="22" t="b">
        <v>0</v>
      </c>
      <c r="L1304" s="22" t="b">
        <v>0</v>
      </c>
      <c r="M1304" s="21"/>
      <c r="N1304" s="23">
        <v>0</v>
      </c>
      <c r="O1304" s="24"/>
      <c r="P1304" s="19"/>
      <c r="Q1304" s="25"/>
      <c r="R1304" s="25"/>
      <c r="S1304" s="19"/>
      <c r="T1304" s="26"/>
      <c r="U1304" s="27" t="s">
        <v>21</v>
      </c>
      <c r="V1304" s="28"/>
      <c r="W1304" s="29" t="s">
        <v>26</v>
      </c>
    </row>
    <row r="1305" spans="1:23" ht="30" customHeight="1">
      <c r="A1305" s="19" t="s">
        <v>5611</v>
      </c>
      <c r="B1305" s="19" t="s">
        <v>5569</v>
      </c>
      <c r="C1305" s="19"/>
      <c r="D1305" s="19" t="s">
        <v>5215</v>
      </c>
      <c r="E1305" s="20" t="s">
        <v>5216</v>
      </c>
      <c r="F1305" s="19"/>
      <c r="G1305" s="21" t="s">
        <v>22</v>
      </c>
      <c r="H1305" s="22" t="b">
        <v>0</v>
      </c>
      <c r="I1305" s="22" t="b">
        <v>0</v>
      </c>
      <c r="J1305" s="22" t="b">
        <v>0</v>
      </c>
      <c r="K1305" s="22" t="b">
        <v>0</v>
      </c>
      <c r="L1305" s="22" t="b">
        <v>0</v>
      </c>
      <c r="M1305" s="21"/>
      <c r="N1305" s="23">
        <v>0</v>
      </c>
      <c r="O1305" s="24"/>
      <c r="P1305" s="19"/>
      <c r="Q1305" s="25"/>
      <c r="R1305" s="25"/>
      <c r="S1305" s="19"/>
      <c r="T1305" s="26"/>
      <c r="U1305" s="27" t="s">
        <v>21</v>
      </c>
      <c r="V1305" s="28" t="s">
        <v>5217</v>
      </c>
      <c r="W1305" s="29" t="s">
        <v>26</v>
      </c>
    </row>
    <row r="1306" spans="1:23" ht="30" customHeight="1">
      <c r="A1306" s="19" t="s">
        <v>5611</v>
      </c>
      <c r="B1306" s="19" t="s">
        <v>5569</v>
      </c>
      <c r="C1306" s="19"/>
      <c r="D1306" s="19" t="s">
        <v>5219</v>
      </c>
      <c r="E1306" s="20" t="s">
        <v>5220</v>
      </c>
      <c r="F1306" s="19"/>
      <c r="G1306" s="21" t="s">
        <v>29</v>
      </c>
      <c r="H1306" s="22" t="b">
        <v>0</v>
      </c>
      <c r="I1306" s="22" t="b">
        <v>0</v>
      </c>
      <c r="J1306" s="22" t="b">
        <v>0</v>
      </c>
      <c r="K1306" s="22" t="b">
        <v>0</v>
      </c>
      <c r="L1306" s="22" t="b">
        <v>0</v>
      </c>
      <c r="M1306" s="21"/>
      <c r="N1306" s="23">
        <v>0</v>
      </c>
      <c r="O1306" s="24"/>
      <c r="P1306" s="19"/>
      <c r="Q1306" s="25"/>
      <c r="R1306" s="25"/>
      <c r="S1306" s="19"/>
      <c r="T1306" s="26"/>
      <c r="U1306" s="27" t="s">
        <v>21</v>
      </c>
      <c r="V1306" s="28"/>
      <c r="W1306" s="29" t="s">
        <v>26</v>
      </c>
    </row>
    <row r="1307" spans="1:23" ht="30" customHeight="1">
      <c r="A1307" s="19" t="s">
        <v>5611</v>
      </c>
      <c r="B1307" s="19" t="s">
        <v>5569</v>
      </c>
      <c r="C1307" s="19"/>
      <c r="D1307" s="19" t="s">
        <v>5222</v>
      </c>
      <c r="E1307" s="20" t="s">
        <v>5223</v>
      </c>
      <c r="F1307" s="19"/>
      <c r="G1307" s="21" t="s">
        <v>22</v>
      </c>
      <c r="H1307" s="22" t="b">
        <v>0</v>
      </c>
      <c r="I1307" s="22" t="b">
        <v>0</v>
      </c>
      <c r="J1307" s="22" t="b">
        <v>0</v>
      </c>
      <c r="K1307" s="22" t="b">
        <v>0</v>
      </c>
      <c r="L1307" s="22" t="b">
        <v>0</v>
      </c>
      <c r="M1307" s="21"/>
      <c r="N1307" s="23">
        <v>0</v>
      </c>
      <c r="O1307" s="24"/>
      <c r="P1307" s="19"/>
      <c r="Q1307" s="25"/>
      <c r="R1307" s="25"/>
      <c r="S1307" s="19"/>
      <c r="T1307" s="26"/>
      <c r="U1307" s="27" t="s">
        <v>21</v>
      </c>
      <c r="V1307" s="28"/>
      <c r="W1307" s="29" t="s">
        <v>26</v>
      </c>
    </row>
    <row r="1308" spans="1:23" ht="30" customHeight="1">
      <c r="A1308" s="19" t="s">
        <v>5611</v>
      </c>
      <c r="B1308" s="19" t="s">
        <v>5569</v>
      </c>
      <c r="C1308" s="19"/>
      <c r="D1308" s="19" t="s">
        <v>5226</v>
      </c>
      <c r="E1308" s="20" t="s">
        <v>5227</v>
      </c>
      <c r="F1308" s="19"/>
      <c r="G1308" s="21" t="s">
        <v>22</v>
      </c>
      <c r="H1308" s="22" t="b">
        <v>0</v>
      </c>
      <c r="I1308" s="22" t="b">
        <v>0</v>
      </c>
      <c r="J1308" s="22" t="b">
        <v>0</v>
      </c>
      <c r="K1308" s="22" t="b">
        <v>0</v>
      </c>
      <c r="L1308" s="22" t="b">
        <v>0</v>
      </c>
      <c r="M1308" s="21"/>
      <c r="N1308" s="23">
        <v>0</v>
      </c>
      <c r="O1308" s="24"/>
      <c r="P1308" s="19"/>
      <c r="Q1308" s="25"/>
      <c r="R1308" s="25"/>
      <c r="S1308" s="19"/>
      <c r="T1308" s="26"/>
      <c r="U1308" s="27" t="s">
        <v>21</v>
      </c>
      <c r="V1308" s="28" t="s">
        <v>5228</v>
      </c>
      <c r="W1308" s="29" t="s">
        <v>26</v>
      </c>
    </row>
    <row r="1309" spans="1:23" ht="30" customHeight="1">
      <c r="A1309" s="19" t="s">
        <v>5611</v>
      </c>
      <c r="B1309" s="19" t="s">
        <v>5569</v>
      </c>
      <c r="C1309" s="19"/>
      <c r="D1309" s="19" t="s">
        <v>5230</v>
      </c>
      <c r="E1309" s="20" t="s">
        <v>5231</v>
      </c>
      <c r="F1309" s="19"/>
      <c r="G1309" s="21" t="s">
        <v>29</v>
      </c>
      <c r="H1309" s="22" t="b">
        <v>0</v>
      </c>
      <c r="I1309" s="22" t="b">
        <v>0</v>
      </c>
      <c r="J1309" s="22" t="b">
        <v>0</v>
      </c>
      <c r="K1309" s="22" t="b">
        <v>0</v>
      </c>
      <c r="L1309" s="22" t="b">
        <v>0</v>
      </c>
      <c r="M1309" s="21"/>
      <c r="N1309" s="23">
        <v>0</v>
      </c>
      <c r="O1309" s="24"/>
      <c r="P1309" s="19"/>
      <c r="Q1309" s="25"/>
      <c r="R1309" s="25"/>
      <c r="S1309" s="19"/>
      <c r="T1309" s="26"/>
      <c r="U1309" s="27" t="s">
        <v>21</v>
      </c>
      <c r="V1309" s="28" t="s">
        <v>5232</v>
      </c>
      <c r="W1309" s="29" t="s">
        <v>26</v>
      </c>
    </row>
    <row r="1310" spans="1:23" ht="30" customHeight="1">
      <c r="A1310" s="19" t="s">
        <v>5611</v>
      </c>
      <c r="B1310" s="19" t="s">
        <v>5569</v>
      </c>
      <c r="C1310" s="19"/>
      <c r="D1310" s="19" t="s">
        <v>5235</v>
      </c>
      <c r="E1310" s="20" t="s">
        <v>5236</v>
      </c>
      <c r="F1310" s="19"/>
      <c r="G1310" s="21" t="s">
        <v>22</v>
      </c>
      <c r="H1310" s="22" t="b">
        <v>0</v>
      </c>
      <c r="I1310" s="22" t="b">
        <v>0</v>
      </c>
      <c r="J1310" s="22" t="b">
        <v>0</v>
      </c>
      <c r="K1310" s="22" t="b">
        <v>0</v>
      </c>
      <c r="L1310" s="22" t="b">
        <v>0</v>
      </c>
      <c r="M1310" s="21"/>
      <c r="N1310" s="23">
        <v>0</v>
      </c>
      <c r="O1310" s="24"/>
      <c r="P1310" s="19"/>
      <c r="Q1310" s="25"/>
      <c r="R1310" s="25"/>
      <c r="S1310" s="19"/>
      <c r="T1310" s="26"/>
      <c r="U1310" s="27" t="s">
        <v>21</v>
      </c>
      <c r="V1310" s="28" t="s">
        <v>3611</v>
      </c>
      <c r="W1310" s="29" t="s">
        <v>26</v>
      </c>
    </row>
    <row r="1311" spans="1:23" ht="30" customHeight="1">
      <c r="A1311" s="19" t="s">
        <v>5611</v>
      </c>
      <c r="B1311" s="19" t="s">
        <v>5569</v>
      </c>
      <c r="C1311" s="19"/>
      <c r="D1311" s="19" t="s">
        <v>5238</v>
      </c>
      <c r="E1311" s="20" t="s">
        <v>5239</v>
      </c>
      <c r="F1311" s="19"/>
      <c r="G1311" s="21" t="s">
        <v>29</v>
      </c>
      <c r="H1311" s="22" t="b">
        <v>0</v>
      </c>
      <c r="I1311" s="22" t="b">
        <v>0</v>
      </c>
      <c r="J1311" s="22" t="b">
        <v>0</v>
      </c>
      <c r="K1311" s="22" t="b">
        <v>0</v>
      </c>
      <c r="L1311" s="22" t="b">
        <v>0</v>
      </c>
      <c r="M1311" s="21"/>
      <c r="N1311" s="23">
        <v>0</v>
      </c>
      <c r="O1311" s="24"/>
      <c r="P1311" s="19"/>
      <c r="Q1311" s="25"/>
      <c r="R1311" s="25"/>
      <c r="S1311" s="19"/>
      <c r="T1311" s="26"/>
      <c r="U1311" s="27" t="s">
        <v>21</v>
      </c>
      <c r="V1311" s="28"/>
      <c r="W1311" s="29" t="s">
        <v>26</v>
      </c>
    </row>
    <row r="1312" spans="1:23" ht="30" customHeight="1">
      <c r="A1312" s="19" t="s">
        <v>5611</v>
      </c>
      <c r="B1312" s="19" t="s">
        <v>5569</v>
      </c>
      <c r="C1312" s="19"/>
      <c r="D1312" s="19" t="s">
        <v>5242</v>
      </c>
      <c r="E1312" s="20" t="s">
        <v>5243</v>
      </c>
      <c r="F1312" s="19"/>
      <c r="G1312" s="21" t="s">
        <v>29</v>
      </c>
      <c r="H1312" s="22" t="b">
        <v>0</v>
      </c>
      <c r="I1312" s="22" t="b">
        <v>0</v>
      </c>
      <c r="J1312" s="22" t="b">
        <v>0</v>
      </c>
      <c r="K1312" s="22" t="b">
        <v>0</v>
      </c>
      <c r="L1312" s="22" t="b">
        <v>0</v>
      </c>
      <c r="M1312" s="21"/>
      <c r="N1312" s="23">
        <v>0</v>
      </c>
      <c r="O1312" s="24"/>
      <c r="P1312" s="19"/>
      <c r="Q1312" s="25"/>
      <c r="R1312" s="25"/>
      <c r="S1312" s="19"/>
      <c r="T1312" s="26"/>
      <c r="U1312" s="27" t="s">
        <v>21</v>
      </c>
      <c r="V1312" s="28"/>
      <c r="W1312" s="29" t="s">
        <v>26</v>
      </c>
    </row>
    <row r="1313" spans="1:23" ht="30" customHeight="1">
      <c r="A1313" s="19" t="s">
        <v>5611</v>
      </c>
      <c r="B1313" s="19" t="s">
        <v>5569</v>
      </c>
      <c r="C1313" s="19"/>
      <c r="D1313" s="19" t="s">
        <v>5245</v>
      </c>
      <c r="E1313" s="20" t="s">
        <v>5246</v>
      </c>
      <c r="F1313" s="19"/>
      <c r="G1313" s="21" t="s">
        <v>22</v>
      </c>
      <c r="H1313" s="22" t="b">
        <v>0</v>
      </c>
      <c r="I1313" s="22" t="b">
        <v>0</v>
      </c>
      <c r="J1313" s="22" t="b">
        <v>0</v>
      </c>
      <c r="K1313" s="22" t="b">
        <v>0</v>
      </c>
      <c r="L1313" s="22" t="b">
        <v>0</v>
      </c>
      <c r="M1313" s="21"/>
      <c r="N1313" s="23">
        <v>0</v>
      </c>
      <c r="O1313" s="24"/>
      <c r="P1313" s="19"/>
      <c r="Q1313" s="25"/>
      <c r="R1313" s="25"/>
      <c r="S1313" s="19"/>
      <c r="T1313" s="26"/>
      <c r="U1313" s="27" t="s">
        <v>21</v>
      </c>
      <c r="V1313" s="28" t="s">
        <v>5247</v>
      </c>
      <c r="W1313" s="29" t="s">
        <v>26</v>
      </c>
    </row>
    <row r="1314" spans="1:23" ht="30" customHeight="1">
      <c r="A1314" s="19" t="s">
        <v>5611</v>
      </c>
      <c r="B1314" s="19" t="s">
        <v>5569</v>
      </c>
      <c r="C1314" s="19"/>
      <c r="D1314" s="19" t="s">
        <v>5249</v>
      </c>
      <c r="E1314" s="20" t="s">
        <v>5250</v>
      </c>
      <c r="F1314" s="19"/>
      <c r="G1314" s="21" t="s">
        <v>22</v>
      </c>
      <c r="H1314" s="22" t="b">
        <v>0</v>
      </c>
      <c r="I1314" s="22" t="b">
        <v>0</v>
      </c>
      <c r="J1314" s="22" t="b">
        <v>0</v>
      </c>
      <c r="K1314" s="22" t="b">
        <v>0</v>
      </c>
      <c r="L1314" s="22" t="b">
        <v>0</v>
      </c>
      <c r="M1314" s="21"/>
      <c r="N1314" s="23">
        <v>0</v>
      </c>
      <c r="O1314" s="24"/>
      <c r="P1314" s="19"/>
      <c r="Q1314" s="25"/>
      <c r="R1314" s="25"/>
      <c r="S1314" s="19"/>
      <c r="T1314" s="26"/>
      <c r="U1314" s="27" t="s">
        <v>21</v>
      </c>
      <c r="V1314" s="28" t="s">
        <v>5251</v>
      </c>
      <c r="W1314" s="29" t="s">
        <v>26</v>
      </c>
    </row>
    <row r="1315" spans="1:23" ht="30" customHeight="1">
      <c r="A1315" s="19" t="s">
        <v>5611</v>
      </c>
      <c r="B1315" s="19" t="s">
        <v>5569</v>
      </c>
      <c r="C1315" s="19"/>
      <c r="D1315" s="19" t="s">
        <v>5254</v>
      </c>
      <c r="E1315" s="20" t="s">
        <v>5255</v>
      </c>
      <c r="F1315" s="19"/>
      <c r="G1315" s="21" t="s">
        <v>29</v>
      </c>
      <c r="H1315" s="22" t="b">
        <v>0</v>
      </c>
      <c r="I1315" s="22" t="b">
        <v>0</v>
      </c>
      <c r="J1315" s="22" t="b">
        <v>0</v>
      </c>
      <c r="K1315" s="22" t="b">
        <v>0</v>
      </c>
      <c r="L1315" s="22" t="b">
        <v>0</v>
      </c>
      <c r="M1315" s="21"/>
      <c r="N1315" s="23">
        <v>0</v>
      </c>
      <c r="O1315" s="24"/>
      <c r="P1315" s="19"/>
      <c r="Q1315" s="25"/>
      <c r="R1315" s="25"/>
      <c r="S1315" s="19"/>
      <c r="T1315" s="26"/>
      <c r="U1315" s="27" t="s">
        <v>21</v>
      </c>
      <c r="V1315" s="28"/>
      <c r="W1315" s="29" t="s">
        <v>26</v>
      </c>
    </row>
    <row r="1316" spans="1:23" ht="30" customHeight="1">
      <c r="A1316" s="19" t="s">
        <v>5611</v>
      </c>
      <c r="B1316" s="19" t="s">
        <v>5569</v>
      </c>
      <c r="C1316" s="19"/>
      <c r="D1316" s="19" t="s">
        <v>5258</v>
      </c>
      <c r="E1316" s="20" t="s">
        <v>5259</v>
      </c>
      <c r="F1316" s="19"/>
      <c r="G1316" s="21" t="s">
        <v>29</v>
      </c>
      <c r="H1316" s="22" t="b">
        <v>0</v>
      </c>
      <c r="I1316" s="22" t="b">
        <v>0</v>
      </c>
      <c r="J1316" s="22" t="b">
        <v>0</v>
      </c>
      <c r="K1316" s="22" t="b">
        <v>0</v>
      </c>
      <c r="L1316" s="22" t="b">
        <v>0</v>
      </c>
      <c r="M1316" s="21"/>
      <c r="N1316" s="23">
        <v>0</v>
      </c>
      <c r="O1316" s="24"/>
      <c r="P1316" s="19"/>
      <c r="Q1316" s="25"/>
      <c r="R1316" s="25"/>
      <c r="S1316" s="19"/>
      <c r="T1316" s="26"/>
      <c r="U1316" s="27" t="s">
        <v>21</v>
      </c>
      <c r="V1316" s="28"/>
      <c r="W1316" s="29" t="s">
        <v>26</v>
      </c>
    </row>
    <row r="1317" spans="1:23" ht="30" customHeight="1">
      <c r="A1317" s="19" t="s">
        <v>5611</v>
      </c>
      <c r="B1317" s="19" t="s">
        <v>5569</v>
      </c>
      <c r="C1317" s="19"/>
      <c r="D1317" s="19" t="s">
        <v>5261</v>
      </c>
      <c r="E1317" s="20" t="s">
        <v>5262</v>
      </c>
      <c r="F1317" s="19"/>
      <c r="G1317" s="21" t="s">
        <v>29</v>
      </c>
      <c r="H1317" s="22" t="b">
        <v>0</v>
      </c>
      <c r="I1317" s="22" t="b">
        <v>0</v>
      </c>
      <c r="J1317" s="22" t="b">
        <v>0</v>
      </c>
      <c r="K1317" s="22" t="b">
        <v>0</v>
      </c>
      <c r="L1317" s="22" t="b">
        <v>0</v>
      </c>
      <c r="M1317" s="21"/>
      <c r="N1317" s="23">
        <v>0</v>
      </c>
      <c r="O1317" s="24"/>
      <c r="P1317" s="19"/>
      <c r="Q1317" s="25"/>
      <c r="R1317" s="25"/>
      <c r="S1317" s="19"/>
      <c r="T1317" s="26"/>
      <c r="U1317" s="27" t="s">
        <v>21</v>
      </c>
      <c r="V1317" s="28"/>
      <c r="W1317" s="29" t="s">
        <v>26</v>
      </c>
    </row>
    <row r="1318" spans="1:23" ht="30" customHeight="1">
      <c r="A1318" s="19" t="s">
        <v>5611</v>
      </c>
      <c r="B1318" s="19" t="s">
        <v>5569</v>
      </c>
      <c r="C1318" s="19"/>
      <c r="D1318" s="19" t="s">
        <v>5264</v>
      </c>
      <c r="E1318" s="20" t="s">
        <v>5250</v>
      </c>
      <c r="F1318" s="19"/>
      <c r="G1318" s="21" t="s">
        <v>22</v>
      </c>
      <c r="H1318" s="22" t="b">
        <v>0</v>
      </c>
      <c r="I1318" s="22" t="b">
        <v>0</v>
      </c>
      <c r="J1318" s="22" t="b">
        <v>0</v>
      </c>
      <c r="K1318" s="22" t="b">
        <v>0</v>
      </c>
      <c r="L1318" s="22" t="b">
        <v>0</v>
      </c>
      <c r="M1318" s="21"/>
      <c r="N1318" s="23">
        <v>0</v>
      </c>
      <c r="O1318" s="24"/>
      <c r="P1318" s="19"/>
      <c r="Q1318" s="25"/>
      <c r="R1318" s="25"/>
      <c r="S1318" s="19"/>
      <c r="T1318" s="26"/>
      <c r="U1318" s="27" t="s">
        <v>21</v>
      </c>
      <c r="V1318" s="28" t="s">
        <v>5265</v>
      </c>
      <c r="W1318" s="29" t="s">
        <v>26</v>
      </c>
    </row>
    <row r="1319" spans="1:23" ht="30" customHeight="1">
      <c r="A1319" s="19" t="s">
        <v>5611</v>
      </c>
      <c r="B1319" s="19" t="s">
        <v>5569</v>
      </c>
      <c r="C1319" s="19"/>
      <c r="D1319" s="19" t="s">
        <v>5267</v>
      </c>
      <c r="E1319" s="20" t="s">
        <v>5268</v>
      </c>
      <c r="F1319" s="19"/>
      <c r="G1319" s="21" t="s">
        <v>22</v>
      </c>
      <c r="H1319" s="22" t="b">
        <v>0</v>
      </c>
      <c r="I1319" s="22" t="b">
        <v>0</v>
      </c>
      <c r="J1319" s="22" t="b">
        <v>0</v>
      </c>
      <c r="K1319" s="22" t="b">
        <v>0</v>
      </c>
      <c r="L1319" s="22" t="b">
        <v>0</v>
      </c>
      <c r="M1319" s="21"/>
      <c r="N1319" s="23">
        <v>0</v>
      </c>
      <c r="O1319" s="24"/>
      <c r="P1319" s="19"/>
      <c r="Q1319" s="25"/>
      <c r="R1319" s="25"/>
      <c r="S1319" s="19"/>
      <c r="T1319" s="26"/>
      <c r="U1319" s="27" t="s">
        <v>21</v>
      </c>
      <c r="V1319" s="28"/>
      <c r="W1319" s="29" t="s">
        <v>26</v>
      </c>
    </row>
    <row r="1320" spans="1:23" ht="30" customHeight="1">
      <c r="A1320" s="19" t="s">
        <v>5611</v>
      </c>
      <c r="B1320" s="19" t="s">
        <v>5569</v>
      </c>
      <c r="C1320" s="19"/>
      <c r="D1320" s="19" t="s">
        <v>5271</v>
      </c>
      <c r="E1320" s="20" t="s">
        <v>5272</v>
      </c>
      <c r="F1320" s="19"/>
      <c r="G1320" s="21" t="s">
        <v>22</v>
      </c>
      <c r="H1320" s="22" t="b">
        <v>0</v>
      </c>
      <c r="I1320" s="22" t="b">
        <v>0</v>
      </c>
      <c r="J1320" s="22" t="b">
        <v>0</v>
      </c>
      <c r="K1320" s="22" t="b">
        <v>0</v>
      </c>
      <c r="L1320" s="22" t="b">
        <v>0</v>
      </c>
      <c r="M1320" s="21"/>
      <c r="N1320" s="23">
        <v>0</v>
      </c>
      <c r="O1320" s="24"/>
      <c r="P1320" s="19"/>
      <c r="Q1320" s="25"/>
      <c r="R1320" s="25"/>
      <c r="S1320" s="19"/>
      <c r="T1320" s="26"/>
      <c r="U1320" s="27" t="s">
        <v>21</v>
      </c>
      <c r="V1320" s="28" t="s">
        <v>5273</v>
      </c>
      <c r="W1320" s="29" t="s">
        <v>26</v>
      </c>
    </row>
    <row r="1321" spans="1:23" ht="30" customHeight="1">
      <c r="A1321" s="19" t="s">
        <v>5611</v>
      </c>
      <c r="B1321" s="19" t="s">
        <v>5569</v>
      </c>
      <c r="C1321" s="19"/>
      <c r="D1321" s="19" t="s">
        <v>5276</v>
      </c>
      <c r="E1321" s="20" t="s">
        <v>5277</v>
      </c>
      <c r="F1321" s="19"/>
      <c r="G1321" s="21" t="s">
        <v>29</v>
      </c>
      <c r="H1321" s="22" t="b">
        <v>0</v>
      </c>
      <c r="I1321" s="22" t="b">
        <v>0</v>
      </c>
      <c r="J1321" s="22" t="b">
        <v>0</v>
      </c>
      <c r="K1321" s="22" t="b">
        <v>0</v>
      </c>
      <c r="L1321" s="22" t="b">
        <v>0</v>
      </c>
      <c r="M1321" s="21"/>
      <c r="N1321" s="23">
        <v>0</v>
      </c>
      <c r="O1321" s="24"/>
      <c r="P1321" s="19"/>
      <c r="Q1321" s="25"/>
      <c r="R1321" s="25"/>
      <c r="S1321" s="19"/>
      <c r="T1321" s="26"/>
      <c r="U1321" s="27" t="s">
        <v>21</v>
      </c>
      <c r="V1321" s="28" t="s">
        <v>5278</v>
      </c>
      <c r="W1321" s="29" t="s">
        <v>26</v>
      </c>
    </row>
    <row r="1322" spans="1:23" ht="30" customHeight="1">
      <c r="A1322" s="19" t="s">
        <v>5611</v>
      </c>
      <c r="B1322" s="19" t="s">
        <v>5569</v>
      </c>
      <c r="C1322" s="19"/>
      <c r="D1322" s="19" t="s">
        <v>5280</v>
      </c>
      <c r="E1322" s="20" t="s">
        <v>5281</v>
      </c>
      <c r="F1322" s="19"/>
      <c r="G1322" s="21" t="s">
        <v>22</v>
      </c>
      <c r="H1322" s="22" t="b">
        <v>0</v>
      </c>
      <c r="I1322" s="22" t="b">
        <v>0</v>
      </c>
      <c r="J1322" s="22" t="b">
        <v>0</v>
      </c>
      <c r="K1322" s="22" t="b">
        <v>0</v>
      </c>
      <c r="L1322" s="22" t="b">
        <v>0</v>
      </c>
      <c r="M1322" s="21"/>
      <c r="N1322" s="23">
        <v>0</v>
      </c>
      <c r="O1322" s="24"/>
      <c r="P1322" s="19"/>
      <c r="Q1322" s="25"/>
      <c r="R1322" s="25"/>
      <c r="S1322" s="19"/>
      <c r="T1322" s="26"/>
      <c r="U1322" s="27" t="s">
        <v>21</v>
      </c>
      <c r="V1322" s="28"/>
      <c r="W1322" s="29" t="s">
        <v>26</v>
      </c>
    </row>
    <row r="1323" spans="1:23" ht="30" customHeight="1">
      <c r="A1323" s="19" t="s">
        <v>5611</v>
      </c>
      <c r="B1323" s="19" t="s">
        <v>5569</v>
      </c>
      <c r="C1323" s="19"/>
      <c r="D1323" s="19" t="s">
        <v>5284</v>
      </c>
      <c r="E1323" s="20" t="s">
        <v>5285</v>
      </c>
      <c r="F1323" s="19"/>
      <c r="G1323" s="21" t="s">
        <v>22</v>
      </c>
      <c r="H1323" s="22" t="b">
        <v>0</v>
      </c>
      <c r="I1323" s="22" t="b">
        <v>0</v>
      </c>
      <c r="J1323" s="22" t="b">
        <v>0</v>
      </c>
      <c r="K1323" s="22" t="b">
        <v>0</v>
      </c>
      <c r="L1323" s="22" t="b">
        <v>0</v>
      </c>
      <c r="M1323" s="21"/>
      <c r="N1323" s="23">
        <v>0</v>
      </c>
      <c r="O1323" s="24"/>
      <c r="P1323" s="19"/>
      <c r="Q1323" s="25"/>
      <c r="R1323" s="25"/>
      <c r="S1323" s="19"/>
      <c r="T1323" s="26"/>
      <c r="U1323" s="30" t="s">
        <v>34</v>
      </c>
      <c r="V1323" s="28" t="s">
        <v>5286</v>
      </c>
      <c r="W1323" s="29" t="s">
        <v>26</v>
      </c>
    </row>
    <row r="1324" spans="1:23" ht="30" customHeight="1">
      <c r="A1324" s="19" t="s">
        <v>5611</v>
      </c>
      <c r="B1324" s="19" t="s">
        <v>5569</v>
      </c>
      <c r="C1324" s="19"/>
      <c r="D1324" s="19" t="s">
        <v>5288</v>
      </c>
      <c r="E1324" s="20" t="s">
        <v>5289</v>
      </c>
      <c r="F1324" s="19"/>
      <c r="G1324" s="21" t="s">
        <v>22</v>
      </c>
      <c r="H1324" s="22" t="b">
        <v>0</v>
      </c>
      <c r="I1324" s="22" t="b">
        <v>0</v>
      </c>
      <c r="J1324" s="22" t="b">
        <v>0</v>
      </c>
      <c r="K1324" s="22" t="b">
        <v>0</v>
      </c>
      <c r="L1324" s="22" t="b">
        <v>0</v>
      </c>
      <c r="M1324" s="21"/>
      <c r="N1324" s="23">
        <v>0</v>
      </c>
      <c r="O1324" s="24"/>
      <c r="P1324" s="19"/>
      <c r="Q1324" s="25"/>
      <c r="R1324" s="25"/>
      <c r="S1324" s="19"/>
      <c r="T1324" s="26"/>
      <c r="U1324" s="27" t="s">
        <v>21</v>
      </c>
      <c r="V1324" s="28" t="s">
        <v>5290</v>
      </c>
      <c r="W1324" s="29" t="s">
        <v>26</v>
      </c>
    </row>
    <row r="1325" spans="1:23" ht="30" customHeight="1">
      <c r="A1325" s="19" t="s">
        <v>5612</v>
      </c>
      <c r="B1325" s="19" t="s">
        <v>5569</v>
      </c>
      <c r="C1325" s="19"/>
      <c r="D1325" s="19" t="s">
        <v>5294</v>
      </c>
      <c r="E1325" s="20" t="s">
        <v>5295</v>
      </c>
      <c r="F1325" s="19"/>
      <c r="G1325" s="21" t="s">
        <v>22</v>
      </c>
      <c r="H1325" s="22" t="b">
        <v>0</v>
      </c>
      <c r="I1325" s="22" t="b">
        <v>0</v>
      </c>
      <c r="J1325" s="22" t="b">
        <v>0</v>
      </c>
      <c r="K1325" s="22" t="b">
        <v>0</v>
      </c>
      <c r="L1325" s="22" t="b">
        <v>0</v>
      </c>
      <c r="M1325" s="21"/>
      <c r="N1325" s="23">
        <v>0</v>
      </c>
      <c r="O1325" s="24"/>
      <c r="P1325" s="19"/>
      <c r="Q1325" s="25"/>
      <c r="R1325" s="25"/>
      <c r="S1325" s="19"/>
      <c r="T1325" s="26"/>
      <c r="U1325" s="27" t="s">
        <v>21</v>
      </c>
      <c r="V1325" s="28" t="s">
        <v>5296</v>
      </c>
      <c r="W1325" s="29" t="s">
        <v>26</v>
      </c>
    </row>
    <row r="1326" spans="1:23" ht="30" customHeight="1">
      <c r="A1326" s="19" t="s">
        <v>5612</v>
      </c>
      <c r="B1326" s="19" t="s">
        <v>5569</v>
      </c>
      <c r="C1326" s="19"/>
      <c r="D1326" s="19" t="s">
        <v>5299</v>
      </c>
      <c r="E1326" s="20" t="s">
        <v>5300</v>
      </c>
      <c r="F1326" s="19"/>
      <c r="G1326" s="21" t="s">
        <v>22</v>
      </c>
      <c r="H1326" s="22" t="b">
        <v>0</v>
      </c>
      <c r="I1326" s="22" t="b">
        <v>0</v>
      </c>
      <c r="J1326" s="22" t="b">
        <v>0</v>
      </c>
      <c r="K1326" s="22" t="b">
        <v>0</v>
      </c>
      <c r="L1326" s="22" t="b">
        <v>0</v>
      </c>
      <c r="M1326" s="21"/>
      <c r="N1326" s="23">
        <v>0</v>
      </c>
      <c r="O1326" s="24"/>
      <c r="P1326" s="19"/>
      <c r="Q1326" s="25"/>
      <c r="R1326" s="25"/>
      <c r="S1326" s="19"/>
      <c r="T1326" s="26"/>
      <c r="U1326" s="27" t="s">
        <v>21</v>
      </c>
      <c r="V1326" s="28" t="s">
        <v>3611</v>
      </c>
      <c r="W1326" s="29" t="s">
        <v>26</v>
      </c>
    </row>
    <row r="1327" spans="1:23" ht="30" customHeight="1">
      <c r="A1327" s="19" t="s">
        <v>5612</v>
      </c>
      <c r="B1327" s="19" t="s">
        <v>5569</v>
      </c>
      <c r="C1327" s="19"/>
      <c r="D1327" s="19" t="s">
        <v>5302</v>
      </c>
      <c r="E1327" s="20" t="s">
        <v>5303</v>
      </c>
      <c r="F1327" s="19"/>
      <c r="G1327" s="21" t="s">
        <v>29</v>
      </c>
      <c r="H1327" s="22" t="b">
        <v>0</v>
      </c>
      <c r="I1327" s="22" t="b">
        <v>0</v>
      </c>
      <c r="J1327" s="22" t="b">
        <v>0</v>
      </c>
      <c r="K1327" s="22" t="b">
        <v>0</v>
      </c>
      <c r="L1327" s="22" t="b">
        <v>0</v>
      </c>
      <c r="M1327" s="21"/>
      <c r="N1327" s="23">
        <v>0</v>
      </c>
      <c r="O1327" s="24"/>
      <c r="P1327" s="19"/>
      <c r="Q1327" s="25"/>
      <c r="R1327" s="25"/>
      <c r="S1327" s="19"/>
      <c r="T1327" s="26"/>
      <c r="U1327" s="27" t="s">
        <v>21</v>
      </c>
      <c r="V1327" s="28" t="s">
        <v>5304</v>
      </c>
      <c r="W1327" s="29" t="s">
        <v>26</v>
      </c>
    </row>
    <row r="1328" spans="1:23" ht="30" customHeight="1">
      <c r="A1328" s="19" t="s">
        <v>5612</v>
      </c>
      <c r="B1328" s="19" t="s">
        <v>5569</v>
      </c>
      <c r="C1328" s="19"/>
      <c r="D1328" s="19" t="s">
        <v>5306</v>
      </c>
      <c r="E1328" s="20" t="s">
        <v>5307</v>
      </c>
      <c r="F1328" s="19"/>
      <c r="G1328" s="21" t="s">
        <v>22</v>
      </c>
      <c r="H1328" s="22" t="b">
        <v>0</v>
      </c>
      <c r="I1328" s="22" t="b">
        <v>0</v>
      </c>
      <c r="J1328" s="22" t="b">
        <v>0</v>
      </c>
      <c r="K1328" s="22" t="b">
        <v>0</v>
      </c>
      <c r="L1328" s="22" t="b">
        <v>0</v>
      </c>
      <c r="M1328" s="21"/>
      <c r="N1328" s="23">
        <v>0</v>
      </c>
      <c r="O1328" s="24"/>
      <c r="P1328" s="19"/>
      <c r="Q1328" s="25"/>
      <c r="R1328" s="25"/>
      <c r="S1328" s="19"/>
      <c r="T1328" s="26"/>
      <c r="U1328" s="27" t="s">
        <v>21</v>
      </c>
      <c r="V1328" s="28"/>
      <c r="W1328" s="29" t="s">
        <v>26</v>
      </c>
    </row>
    <row r="1329" spans="1:23" ht="30" customHeight="1">
      <c r="A1329" s="19" t="s">
        <v>5612</v>
      </c>
      <c r="B1329" s="19" t="s">
        <v>5569</v>
      </c>
      <c r="C1329" s="19"/>
      <c r="D1329" s="19" t="s">
        <v>5309</v>
      </c>
      <c r="E1329" s="20" t="s">
        <v>5310</v>
      </c>
      <c r="F1329" s="19"/>
      <c r="G1329" s="21" t="s">
        <v>29</v>
      </c>
      <c r="H1329" s="22" t="b">
        <v>0</v>
      </c>
      <c r="I1329" s="22" t="b">
        <v>0</v>
      </c>
      <c r="J1329" s="22" t="b">
        <v>0</v>
      </c>
      <c r="K1329" s="22" t="b">
        <v>0</v>
      </c>
      <c r="L1329" s="22" t="b">
        <v>0</v>
      </c>
      <c r="M1329" s="21"/>
      <c r="N1329" s="23">
        <v>0</v>
      </c>
      <c r="O1329" s="24"/>
      <c r="P1329" s="19"/>
      <c r="Q1329" s="25"/>
      <c r="R1329" s="25"/>
      <c r="S1329" s="19"/>
      <c r="T1329" s="26"/>
      <c r="U1329" s="27" t="s">
        <v>21</v>
      </c>
      <c r="V1329" s="28" t="s">
        <v>5311</v>
      </c>
      <c r="W1329" s="29" t="s">
        <v>26</v>
      </c>
    </row>
    <row r="1330" spans="1:23" ht="30" customHeight="1">
      <c r="A1330" s="19" t="s">
        <v>5612</v>
      </c>
      <c r="B1330" s="19" t="s">
        <v>5569</v>
      </c>
      <c r="C1330" s="19"/>
      <c r="D1330" s="19" t="s">
        <v>5314</v>
      </c>
      <c r="E1330" s="20" t="s">
        <v>5315</v>
      </c>
      <c r="F1330" s="19"/>
      <c r="G1330" s="21" t="s">
        <v>29</v>
      </c>
      <c r="H1330" s="22" t="b">
        <v>0</v>
      </c>
      <c r="I1330" s="22" t="b">
        <v>0</v>
      </c>
      <c r="J1330" s="22" t="b">
        <v>0</v>
      </c>
      <c r="K1330" s="22" t="b">
        <v>0</v>
      </c>
      <c r="L1330" s="22" t="b">
        <v>0</v>
      </c>
      <c r="M1330" s="21"/>
      <c r="N1330" s="23">
        <v>0</v>
      </c>
      <c r="O1330" s="24"/>
      <c r="P1330" s="19"/>
      <c r="Q1330" s="25"/>
      <c r="R1330" s="25"/>
      <c r="S1330" s="19"/>
      <c r="T1330" s="26"/>
      <c r="U1330" s="27" t="s">
        <v>21</v>
      </c>
      <c r="V1330" s="28" t="s">
        <v>5032</v>
      </c>
      <c r="W1330" s="29" t="s">
        <v>26</v>
      </c>
    </row>
    <row r="1331" spans="1:23" ht="30" customHeight="1">
      <c r="A1331" s="19" t="s">
        <v>5612</v>
      </c>
      <c r="B1331" s="19" t="s">
        <v>5569</v>
      </c>
      <c r="C1331" s="19"/>
      <c r="D1331" s="19" t="s">
        <v>5317</v>
      </c>
      <c r="E1331" s="20" t="s">
        <v>5318</v>
      </c>
      <c r="F1331" s="19"/>
      <c r="G1331" s="21" t="s">
        <v>29</v>
      </c>
      <c r="H1331" s="22" t="b">
        <v>0</v>
      </c>
      <c r="I1331" s="22" t="b">
        <v>0</v>
      </c>
      <c r="J1331" s="22" t="b">
        <v>0</v>
      </c>
      <c r="K1331" s="22" t="b">
        <v>0</v>
      </c>
      <c r="L1331" s="22" t="b">
        <v>0</v>
      </c>
      <c r="M1331" s="21"/>
      <c r="N1331" s="23">
        <v>0</v>
      </c>
      <c r="O1331" s="24"/>
      <c r="P1331" s="19"/>
      <c r="Q1331" s="25"/>
      <c r="R1331" s="25"/>
      <c r="S1331" s="19"/>
      <c r="T1331" s="26"/>
      <c r="U1331" s="27" t="s">
        <v>21</v>
      </c>
      <c r="V1331" s="28" t="s">
        <v>5319</v>
      </c>
      <c r="W1331" s="29" t="s">
        <v>26</v>
      </c>
    </row>
    <row r="1332" spans="1:23" ht="30" customHeight="1">
      <c r="A1332" s="19" t="s">
        <v>5612</v>
      </c>
      <c r="B1332" s="19" t="s">
        <v>5569</v>
      </c>
      <c r="C1332" s="19"/>
      <c r="D1332" s="19" t="s">
        <v>5322</v>
      </c>
      <c r="E1332" s="20" t="s">
        <v>5323</v>
      </c>
      <c r="F1332" s="19"/>
      <c r="G1332" s="21" t="s">
        <v>29</v>
      </c>
      <c r="H1332" s="22" t="b">
        <v>0</v>
      </c>
      <c r="I1332" s="22" t="b">
        <v>0</v>
      </c>
      <c r="J1332" s="22" t="b">
        <v>0</v>
      </c>
      <c r="K1332" s="22" t="b">
        <v>0</v>
      </c>
      <c r="L1332" s="22" t="b">
        <v>0</v>
      </c>
      <c r="M1332" s="21"/>
      <c r="N1332" s="23">
        <v>0</v>
      </c>
      <c r="O1332" s="24"/>
      <c r="P1332" s="19"/>
      <c r="Q1332" s="25"/>
      <c r="R1332" s="25"/>
      <c r="S1332" s="19"/>
      <c r="T1332" s="26"/>
      <c r="U1332" s="27" t="s">
        <v>21</v>
      </c>
      <c r="V1332" s="28"/>
      <c r="W1332" s="29" t="s">
        <v>26</v>
      </c>
    </row>
    <row r="1333" spans="1:23" ht="30" customHeight="1">
      <c r="A1333" s="19" t="s">
        <v>5612</v>
      </c>
      <c r="B1333" s="19" t="s">
        <v>5569</v>
      </c>
      <c r="C1333" s="19"/>
      <c r="D1333" s="19" t="s">
        <v>5326</v>
      </c>
      <c r="E1333" s="20" t="s">
        <v>5327</v>
      </c>
      <c r="F1333" s="19"/>
      <c r="G1333" s="21" t="s">
        <v>29</v>
      </c>
      <c r="H1333" s="22" t="b">
        <v>0</v>
      </c>
      <c r="I1333" s="22" t="b">
        <v>0</v>
      </c>
      <c r="J1333" s="22" t="b">
        <v>0</v>
      </c>
      <c r="K1333" s="22" t="b">
        <v>0</v>
      </c>
      <c r="L1333" s="22" t="b">
        <v>0</v>
      </c>
      <c r="M1333" s="21"/>
      <c r="N1333" s="23">
        <v>0</v>
      </c>
      <c r="O1333" s="24"/>
      <c r="P1333" s="19"/>
      <c r="Q1333" s="25"/>
      <c r="R1333" s="25"/>
      <c r="S1333" s="19"/>
      <c r="T1333" s="26"/>
      <c r="U1333" s="27" t="s">
        <v>21</v>
      </c>
      <c r="V1333" s="28" t="s">
        <v>5328</v>
      </c>
      <c r="W1333" s="29" t="s">
        <v>26</v>
      </c>
    </row>
    <row r="1334" spans="1:23" ht="30" customHeight="1">
      <c r="A1334" s="19" t="s">
        <v>5612</v>
      </c>
      <c r="B1334" s="19" t="s">
        <v>5569</v>
      </c>
      <c r="C1334" s="19"/>
      <c r="D1334" s="19" t="s">
        <v>5330</v>
      </c>
      <c r="E1334" s="20" t="s">
        <v>5331</v>
      </c>
      <c r="F1334" s="19"/>
      <c r="G1334" s="21" t="s">
        <v>29</v>
      </c>
      <c r="H1334" s="22" t="b">
        <v>0</v>
      </c>
      <c r="I1334" s="22" t="b">
        <v>0</v>
      </c>
      <c r="J1334" s="22" t="b">
        <v>0</v>
      </c>
      <c r="K1334" s="22" t="b">
        <v>0</v>
      </c>
      <c r="L1334" s="22" t="b">
        <v>0</v>
      </c>
      <c r="M1334" s="21"/>
      <c r="N1334" s="23">
        <v>0</v>
      </c>
      <c r="O1334" s="24"/>
      <c r="P1334" s="19"/>
      <c r="Q1334" s="25"/>
      <c r="R1334" s="25"/>
      <c r="S1334" s="19"/>
      <c r="T1334" s="26"/>
      <c r="U1334" s="27" t="s">
        <v>21</v>
      </c>
      <c r="V1334" s="28"/>
      <c r="W1334" s="29" t="s">
        <v>26</v>
      </c>
    </row>
    <row r="1335" spans="1:23" ht="30" customHeight="1">
      <c r="A1335" s="19" t="s">
        <v>5612</v>
      </c>
      <c r="B1335" s="19" t="s">
        <v>5569</v>
      </c>
      <c r="C1335" s="19"/>
      <c r="D1335" s="19" t="s">
        <v>5334</v>
      </c>
      <c r="E1335" s="20" t="s">
        <v>5335</v>
      </c>
      <c r="F1335" s="19"/>
      <c r="G1335" s="21" t="s">
        <v>29</v>
      </c>
      <c r="H1335" s="22" t="b">
        <v>0</v>
      </c>
      <c r="I1335" s="22" t="b">
        <v>0</v>
      </c>
      <c r="J1335" s="22" t="b">
        <v>0</v>
      </c>
      <c r="K1335" s="22" t="b">
        <v>0</v>
      </c>
      <c r="L1335" s="22" t="b">
        <v>0</v>
      </c>
      <c r="M1335" s="21"/>
      <c r="N1335" s="23">
        <v>0</v>
      </c>
      <c r="O1335" s="24"/>
      <c r="P1335" s="19"/>
      <c r="Q1335" s="25"/>
      <c r="R1335" s="25"/>
      <c r="S1335" s="19"/>
      <c r="T1335" s="26"/>
      <c r="U1335" s="27" t="s">
        <v>21</v>
      </c>
      <c r="V1335" s="28" t="s">
        <v>5336</v>
      </c>
      <c r="W1335" s="29" t="s">
        <v>26</v>
      </c>
    </row>
    <row r="1336" spans="1:23" ht="30" customHeight="1">
      <c r="A1336" s="19" t="s">
        <v>5612</v>
      </c>
      <c r="B1336" s="19" t="s">
        <v>5569</v>
      </c>
      <c r="C1336" s="19"/>
      <c r="D1336" s="19" t="s">
        <v>5338</v>
      </c>
      <c r="E1336" s="20" t="s">
        <v>5339</v>
      </c>
      <c r="F1336" s="19"/>
      <c r="G1336" s="21" t="s">
        <v>29</v>
      </c>
      <c r="H1336" s="22" t="b">
        <v>0</v>
      </c>
      <c r="I1336" s="22" t="b">
        <v>0</v>
      </c>
      <c r="J1336" s="22" t="b">
        <v>0</v>
      </c>
      <c r="K1336" s="22" t="b">
        <v>0</v>
      </c>
      <c r="L1336" s="22" t="b">
        <v>0</v>
      </c>
      <c r="M1336" s="21"/>
      <c r="N1336" s="23">
        <v>0</v>
      </c>
      <c r="O1336" s="24"/>
      <c r="P1336" s="19"/>
      <c r="Q1336" s="25"/>
      <c r="R1336" s="25"/>
      <c r="S1336" s="19"/>
      <c r="T1336" s="26"/>
      <c r="U1336" s="27" t="s">
        <v>21</v>
      </c>
      <c r="V1336" s="28"/>
      <c r="W1336" s="29" t="s">
        <v>26</v>
      </c>
    </row>
    <row r="1337" spans="1:23" ht="30" customHeight="1">
      <c r="A1337" s="19" t="s">
        <v>5612</v>
      </c>
      <c r="B1337" s="19" t="s">
        <v>5569</v>
      </c>
      <c r="C1337" s="19"/>
      <c r="D1337" s="19" t="s">
        <v>5342</v>
      </c>
      <c r="E1337" s="20" t="s">
        <v>5343</v>
      </c>
      <c r="F1337" s="19"/>
      <c r="G1337" s="21" t="s">
        <v>29</v>
      </c>
      <c r="H1337" s="22" t="b">
        <v>0</v>
      </c>
      <c r="I1337" s="22" t="b">
        <v>0</v>
      </c>
      <c r="J1337" s="22" t="b">
        <v>0</v>
      </c>
      <c r="K1337" s="22" t="b">
        <v>0</v>
      </c>
      <c r="L1337" s="22" t="b">
        <v>0</v>
      </c>
      <c r="M1337" s="21"/>
      <c r="N1337" s="23">
        <v>0</v>
      </c>
      <c r="O1337" s="24"/>
      <c r="P1337" s="19"/>
      <c r="Q1337" s="25"/>
      <c r="R1337" s="25"/>
      <c r="S1337" s="19"/>
      <c r="T1337" s="26"/>
      <c r="U1337" s="27" t="s">
        <v>21</v>
      </c>
      <c r="V1337" s="28" t="s">
        <v>5344</v>
      </c>
      <c r="W1337" s="29" t="s">
        <v>26</v>
      </c>
    </row>
    <row r="1338" spans="1:23" ht="30" customHeight="1">
      <c r="A1338" s="19" t="s">
        <v>5612</v>
      </c>
      <c r="B1338" s="19" t="s">
        <v>5569</v>
      </c>
      <c r="C1338" s="19"/>
      <c r="D1338" s="19" t="s">
        <v>5346</v>
      </c>
      <c r="E1338" s="20" t="s">
        <v>5347</v>
      </c>
      <c r="F1338" s="19"/>
      <c r="G1338" s="21" t="s">
        <v>29</v>
      </c>
      <c r="H1338" s="22" t="b">
        <v>0</v>
      </c>
      <c r="I1338" s="22" t="b">
        <v>0</v>
      </c>
      <c r="J1338" s="22" t="b">
        <v>0</v>
      </c>
      <c r="K1338" s="22" t="b">
        <v>0</v>
      </c>
      <c r="L1338" s="22" t="b">
        <v>0</v>
      </c>
      <c r="M1338" s="21"/>
      <c r="N1338" s="23">
        <v>0</v>
      </c>
      <c r="O1338" s="24"/>
      <c r="P1338" s="19"/>
      <c r="Q1338" s="25"/>
      <c r="R1338" s="25"/>
      <c r="S1338" s="19"/>
      <c r="T1338" s="26"/>
      <c r="U1338" s="27" t="s">
        <v>21</v>
      </c>
      <c r="V1338" s="28" t="s">
        <v>5348</v>
      </c>
      <c r="W1338" s="29" t="s">
        <v>26</v>
      </c>
    </row>
    <row r="1339" spans="1:23" ht="30" customHeight="1">
      <c r="A1339" s="19" t="s">
        <v>5613</v>
      </c>
      <c r="B1339" s="19" t="s">
        <v>5569</v>
      </c>
      <c r="C1339" s="19"/>
      <c r="D1339" s="19" t="s">
        <v>5352</v>
      </c>
      <c r="E1339" s="20" t="s">
        <v>5353</v>
      </c>
      <c r="F1339" s="19"/>
      <c r="G1339" s="21" t="s">
        <v>29</v>
      </c>
      <c r="H1339" s="22" t="b">
        <v>0</v>
      </c>
      <c r="I1339" s="22" t="b">
        <v>0</v>
      </c>
      <c r="J1339" s="22" t="b">
        <v>0</v>
      </c>
      <c r="K1339" s="22" t="b">
        <v>0</v>
      </c>
      <c r="L1339" s="22" t="b">
        <v>0</v>
      </c>
      <c r="M1339" s="21"/>
      <c r="N1339" s="23">
        <v>0</v>
      </c>
      <c r="O1339" s="24"/>
      <c r="P1339" s="19"/>
      <c r="Q1339" s="25"/>
      <c r="R1339" s="25"/>
      <c r="S1339" s="19"/>
      <c r="T1339" s="26"/>
      <c r="U1339" s="27" t="s">
        <v>21</v>
      </c>
      <c r="V1339" s="28" t="s">
        <v>5354</v>
      </c>
      <c r="W1339" s="29" t="s">
        <v>26</v>
      </c>
    </row>
    <row r="1340" spans="1:23" ht="30" customHeight="1">
      <c r="A1340" s="19" t="s">
        <v>5613</v>
      </c>
      <c r="B1340" s="19" t="s">
        <v>5569</v>
      </c>
      <c r="C1340" s="19"/>
      <c r="D1340" s="19" t="s">
        <v>5357</v>
      </c>
      <c r="E1340" s="20" t="s">
        <v>5358</v>
      </c>
      <c r="F1340" s="19"/>
      <c r="G1340" s="21" t="s">
        <v>29</v>
      </c>
      <c r="H1340" s="22" t="b">
        <v>0</v>
      </c>
      <c r="I1340" s="22" t="b">
        <v>0</v>
      </c>
      <c r="J1340" s="22" t="b">
        <v>0</v>
      </c>
      <c r="K1340" s="22" t="b">
        <v>0</v>
      </c>
      <c r="L1340" s="22" t="b">
        <v>0</v>
      </c>
      <c r="M1340" s="21"/>
      <c r="N1340" s="23">
        <v>0</v>
      </c>
      <c r="O1340" s="24"/>
      <c r="P1340" s="19"/>
      <c r="Q1340" s="25"/>
      <c r="R1340" s="25"/>
      <c r="S1340" s="19"/>
      <c r="T1340" s="26"/>
      <c r="U1340" s="27" t="s">
        <v>21</v>
      </c>
      <c r="V1340" s="28" t="s">
        <v>5359</v>
      </c>
      <c r="W1340" s="29" t="s">
        <v>26</v>
      </c>
    </row>
    <row r="1341" spans="1:23" ht="30" customHeight="1">
      <c r="A1341" s="19" t="s">
        <v>5613</v>
      </c>
      <c r="B1341" s="19" t="s">
        <v>5569</v>
      </c>
      <c r="C1341" s="19"/>
      <c r="D1341" s="19" t="s">
        <v>5362</v>
      </c>
      <c r="E1341" s="20" t="s">
        <v>5363</v>
      </c>
      <c r="F1341" s="19"/>
      <c r="G1341" s="21" t="s">
        <v>29</v>
      </c>
      <c r="H1341" s="22" t="b">
        <v>0</v>
      </c>
      <c r="I1341" s="22" t="b">
        <v>0</v>
      </c>
      <c r="J1341" s="22" t="b">
        <v>0</v>
      </c>
      <c r="K1341" s="22" t="b">
        <v>0</v>
      </c>
      <c r="L1341" s="22" t="b">
        <v>0</v>
      </c>
      <c r="M1341" s="21"/>
      <c r="N1341" s="23">
        <v>0</v>
      </c>
      <c r="O1341" s="24"/>
      <c r="P1341" s="19"/>
      <c r="Q1341" s="25"/>
      <c r="R1341" s="25"/>
      <c r="S1341" s="19"/>
      <c r="T1341" s="26"/>
      <c r="U1341" s="27" t="s">
        <v>21</v>
      </c>
      <c r="V1341" s="28" t="s">
        <v>5364</v>
      </c>
      <c r="W1341" s="29" t="s">
        <v>26</v>
      </c>
    </row>
    <row r="1342" spans="1:23" ht="30" customHeight="1">
      <c r="A1342" s="19" t="s">
        <v>5613</v>
      </c>
      <c r="B1342" s="19" t="s">
        <v>5569</v>
      </c>
      <c r="C1342" s="19"/>
      <c r="D1342" s="19" t="s">
        <v>5367</v>
      </c>
      <c r="E1342" s="20" t="s">
        <v>5368</v>
      </c>
      <c r="F1342" s="19"/>
      <c r="G1342" s="21" t="s">
        <v>29</v>
      </c>
      <c r="H1342" s="22" t="b">
        <v>0</v>
      </c>
      <c r="I1342" s="22" t="b">
        <v>0</v>
      </c>
      <c r="J1342" s="22" t="b">
        <v>0</v>
      </c>
      <c r="K1342" s="22" t="b">
        <v>0</v>
      </c>
      <c r="L1342" s="22" t="b">
        <v>0</v>
      </c>
      <c r="M1342" s="21"/>
      <c r="N1342" s="23">
        <v>0</v>
      </c>
      <c r="O1342" s="24"/>
      <c r="P1342" s="19"/>
      <c r="Q1342" s="25"/>
      <c r="R1342" s="25"/>
      <c r="S1342" s="19"/>
      <c r="T1342" s="26"/>
      <c r="U1342" s="27" t="s">
        <v>21</v>
      </c>
      <c r="V1342" s="28" t="s">
        <v>5369</v>
      </c>
      <c r="W1342" s="29" t="s">
        <v>26</v>
      </c>
    </row>
    <row r="1343" spans="1:23" ht="30" customHeight="1">
      <c r="A1343" s="19" t="s">
        <v>5613</v>
      </c>
      <c r="B1343" s="19" t="s">
        <v>5569</v>
      </c>
      <c r="C1343" s="19"/>
      <c r="D1343" s="19" t="s">
        <v>5372</v>
      </c>
      <c r="E1343" s="20" t="s">
        <v>5373</v>
      </c>
      <c r="F1343" s="19"/>
      <c r="G1343" s="21" t="s">
        <v>156</v>
      </c>
      <c r="H1343" s="22" t="b">
        <v>0</v>
      </c>
      <c r="I1343" s="22" t="b">
        <v>0</v>
      </c>
      <c r="J1343" s="22" t="b">
        <v>0</v>
      </c>
      <c r="K1343" s="22" t="b">
        <v>0</v>
      </c>
      <c r="L1343" s="22" t="b">
        <v>0</v>
      </c>
      <c r="M1343" s="21"/>
      <c r="N1343" s="23">
        <v>0</v>
      </c>
      <c r="O1343" s="24"/>
      <c r="P1343" s="19"/>
      <c r="Q1343" s="25"/>
      <c r="R1343" s="25"/>
      <c r="S1343" s="19"/>
      <c r="T1343" s="26"/>
      <c r="U1343" s="27" t="s">
        <v>21</v>
      </c>
      <c r="V1343" s="28" t="s">
        <v>5374</v>
      </c>
      <c r="W1343" s="29" t="s">
        <v>26</v>
      </c>
    </row>
    <row r="1344" spans="1:23" ht="30" customHeight="1">
      <c r="A1344" s="19" t="s">
        <v>5613</v>
      </c>
      <c r="B1344" s="19" t="s">
        <v>5569</v>
      </c>
      <c r="C1344" s="19"/>
      <c r="D1344" s="19" t="s">
        <v>5377</v>
      </c>
      <c r="E1344" s="20" t="s">
        <v>5378</v>
      </c>
      <c r="F1344" s="19"/>
      <c r="G1344" s="21" t="s">
        <v>22</v>
      </c>
      <c r="H1344" s="22" t="b">
        <v>0</v>
      </c>
      <c r="I1344" s="22" t="b">
        <v>0</v>
      </c>
      <c r="J1344" s="22" t="b">
        <v>0</v>
      </c>
      <c r="K1344" s="22" t="b">
        <v>0</v>
      </c>
      <c r="L1344" s="22" t="b">
        <v>0</v>
      </c>
      <c r="M1344" s="21"/>
      <c r="N1344" s="23">
        <v>0</v>
      </c>
      <c r="O1344" s="24"/>
      <c r="P1344" s="19"/>
      <c r="Q1344" s="25"/>
      <c r="R1344" s="25"/>
      <c r="S1344" s="19"/>
      <c r="T1344" s="26"/>
      <c r="U1344" s="30" t="s">
        <v>34</v>
      </c>
      <c r="V1344" s="28" t="s">
        <v>5379</v>
      </c>
      <c r="W1344" s="29" t="s">
        <v>26</v>
      </c>
    </row>
    <row r="1345" spans="1:23" ht="30" customHeight="1">
      <c r="A1345" s="19" t="s">
        <v>5613</v>
      </c>
      <c r="B1345" s="19" t="s">
        <v>5569</v>
      </c>
      <c r="C1345" s="19"/>
      <c r="D1345" s="19" t="s">
        <v>5381</v>
      </c>
      <c r="E1345" s="20" t="s">
        <v>5382</v>
      </c>
      <c r="F1345" s="19"/>
      <c r="G1345" s="21" t="s">
        <v>29</v>
      </c>
      <c r="H1345" s="22" t="b">
        <v>0</v>
      </c>
      <c r="I1345" s="22" t="b">
        <v>0</v>
      </c>
      <c r="J1345" s="22" t="b">
        <v>0</v>
      </c>
      <c r="K1345" s="22" t="b">
        <v>0</v>
      </c>
      <c r="L1345" s="22" t="b">
        <v>0</v>
      </c>
      <c r="M1345" s="21"/>
      <c r="N1345" s="23">
        <v>0</v>
      </c>
      <c r="O1345" s="24"/>
      <c r="P1345" s="19"/>
      <c r="Q1345" s="25"/>
      <c r="R1345" s="25"/>
      <c r="S1345" s="19"/>
      <c r="T1345" s="26"/>
      <c r="U1345" s="27" t="s">
        <v>21</v>
      </c>
      <c r="V1345" s="28" t="s">
        <v>5383</v>
      </c>
      <c r="W1345" s="29" t="s">
        <v>26</v>
      </c>
    </row>
    <row r="1346" spans="1:23" ht="30" customHeight="1">
      <c r="A1346" s="19" t="s">
        <v>5613</v>
      </c>
      <c r="B1346" s="19" t="s">
        <v>5569</v>
      </c>
      <c r="C1346" s="19"/>
      <c r="D1346" s="19" t="s">
        <v>5385</v>
      </c>
      <c r="E1346" s="20" t="s">
        <v>5386</v>
      </c>
      <c r="F1346" s="19"/>
      <c r="G1346" s="21" t="s">
        <v>29</v>
      </c>
      <c r="H1346" s="22" t="b">
        <v>0</v>
      </c>
      <c r="I1346" s="22" t="b">
        <v>0</v>
      </c>
      <c r="J1346" s="22" t="b">
        <v>0</v>
      </c>
      <c r="K1346" s="22" t="b">
        <v>0</v>
      </c>
      <c r="L1346" s="22" t="b">
        <v>0</v>
      </c>
      <c r="M1346" s="21"/>
      <c r="N1346" s="23">
        <v>0</v>
      </c>
      <c r="O1346" s="24"/>
      <c r="P1346" s="19"/>
      <c r="Q1346" s="25"/>
      <c r="R1346" s="25"/>
      <c r="S1346" s="19"/>
      <c r="T1346" s="26"/>
      <c r="U1346" s="27" t="s">
        <v>21</v>
      </c>
      <c r="V1346" s="28" t="s">
        <v>3943</v>
      </c>
      <c r="W1346" s="29" t="s">
        <v>26</v>
      </c>
    </row>
    <row r="1347" spans="1:23" ht="30" customHeight="1">
      <c r="A1347" s="19" t="s">
        <v>5613</v>
      </c>
      <c r="B1347" s="19" t="s">
        <v>5569</v>
      </c>
      <c r="C1347" s="19"/>
      <c r="D1347" s="19" t="s">
        <v>5388</v>
      </c>
      <c r="E1347" s="20" t="s">
        <v>5389</v>
      </c>
      <c r="F1347" s="19"/>
      <c r="G1347" s="21" t="s">
        <v>22</v>
      </c>
      <c r="H1347" s="22" t="b">
        <v>0</v>
      </c>
      <c r="I1347" s="22" t="b">
        <v>0</v>
      </c>
      <c r="J1347" s="22" t="b">
        <v>0</v>
      </c>
      <c r="K1347" s="22" t="b">
        <v>0</v>
      </c>
      <c r="L1347" s="22" t="b">
        <v>0</v>
      </c>
      <c r="M1347" s="21"/>
      <c r="N1347" s="23">
        <v>0</v>
      </c>
      <c r="O1347" s="24"/>
      <c r="P1347" s="19"/>
      <c r="Q1347" s="25"/>
      <c r="R1347" s="25"/>
      <c r="S1347" s="19"/>
      <c r="T1347" s="26"/>
      <c r="U1347" s="27" t="s">
        <v>21</v>
      </c>
      <c r="V1347" s="28" t="s">
        <v>3943</v>
      </c>
      <c r="W1347" s="29" t="s">
        <v>26</v>
      </c>
    </row>
    <row r="1348" spans="1:23" ht="30" customHeight="1">
      <c r="A1348" s="19" t="s">
        <v>5613</v>
      </c>
      <c r="B1348" s="19" t="s">
        <v>5569</v>
      </c>
      <c r="C1348" s="19"/>
      <c r="D1348" s="19" t="s">
        <v>5391</v>
      </c>
      <c r="E1348" s="20" t="s">
        <v>5392</v>
      </c>
      <c r="F1348" s="19"/>
      <c r="G1348" s="21" t="s">
        <v>156</v>
      </c>
      <c r="H1348" s="22" t="b">
        <v>0</v>
      </c>
      <c r="I1348" s="22" t="b">
        <v>0</v>
      </c>
      <c r="J1348" s="22" t="b">
        <v>0</v>
      </c>
      <c r="K1348" s="22" t="b">
        <v>0</v>
      </c>
      <c r="L1348" s="22" t="b">
        <v>0</v>
      </c>
      <c r="M1348" s="21"/>
      <c r="N1348" s="23">
        <v>0</v>
      </c>
      <c r="O1348" s="24"/>
      <c r="P1348" s="19"/>
      <c r="Q1348" s="25"/>
      <c r="R1348" s="25"/>
      <c r="S1348" s="19"/>
      <c r="T1348" s="26"/>
      <c r="U1348" s="27" t="s">
        <v>21</v>
      </c>
      <c r="V1348" s="28" t="s">
        <v>5393</v>
      </c>
      <c r="W1348" s="29" t="s">
        <v>26</v>
      </c>
    </row>
    <row r="1349" spans="1:23" ht="30" customHeight="1">
      <c r="A1349" s="19" t="s">
        <v>5613</v>
      </c>
      <c r="B1349" s="19" t="s">
        <v>5569</v>
      </c>
      <c r="C1349" s="19"/>
      <c r="D1349" s="19" t="s">
        <v>5396</v>
      </c>
      <c r="E1349" s="20" t="s">
        <v>5397</v>
      </c>
      <c r="F1349" s="19"/>
      <c r="G1349" s="21" t="s">
        <v>29</v>
      </c>
      <c r="H1349" s="22" t="b">
        <v>0</v>
      </c>
      <c r="I1349" s="22" t="b">
        <v>0</v>
      </c>
      <c r="J1349" s="22" t="b">
        <v>0</v>
      </c>
      <c r="K1349" s="22" t="b">
        <v>0</v>
      </c>
      <c r="L1349" s="22" t="b">
        <v>0</v>
      </c>
      <c r="M1349" s="21"/>
      <c r="N1349" s="23">
        <v>0</v>
      </c>
      <c r="O1349" s="24"/>
      <c r="P1349" s="19"/>
      <c r="Q1349" s="25"/>
      <c r="R1349" s="25"/>
      <c r="S1349" s="19"/>
      <c r="T1349" s="26"/>
      <c r="U1349" s="27" t="s">
        <v>21</v>
      </c>
      <c r="V1349" s="28" t="s">
        <v>5359</v>
      </c>
      <c r="W1349" s="29" t="s">
        <v>26</v>
      </c>
    </row>
    <row r="1350" spans="1:23" ht="30" customHeight="1">
      <c r="A1350" s="19" t="s">
        <v>5613</v>
      </c>
      <c r="B1350" s="19" t="s">
        <v>5569</v>
      </c>
      <c r="C1350" s="19"/>
      <c r="D1350" s="19" t="s">
        <v>5399</v>
      </c>
      <c r="E1350" s="20" t="s">
        <v>5400</v>
      </c>
      <c r="F1350" s="19"/>
      <c r="G1350" s="21" t="s">
        <v>22</v>
      </c>
      <c r="H1350" s="22" t="b">
        <v>0</v>
      </c>
      <c r="I1350" s="22" t="b">
        <v>0</v>
      </c>
      <c r="J1350" s="22" t="b">
        <v>0</v>
      </c>
      <c r="K1350" s="22" t="b">
        <v>0</v>
      </c>
      <c r="L1350" s="22" t="b">
        <v>0</v>
      </c>
      <c r="M1350" s="21"/>
      <c r="N1350" s="23">
        <v>0</v>
      </c>
      <c r="O1350" s="24"/>
      <c r="P1350" s="19"/>
      <c r="Q1350" s="25"/>
      <c r="R1350" s="25"/>
      <c r="S1350" s="19"/>
      <c r="T1350" s="26"/>
      <c r="U1350" s="27" t="s">
        <v>21</v>
      </c>
      <c r="V1350" s="28" t="s">
        <v>5401</v>
      </c>
      <c r="W1350" s="29" t="s">
        <v>26</v>
      </c>
    </row>
    <row r="1351" spans="1:23" ht="30" customHeight="1">
      <c r="A1351" s="19" t="s">
        <v>5613</v>
      </c>
      <c r="B1351" s="19" t="s">
        <v>5569</v>
      </c>
      <c r="C1351" s="19"/>
      <c r="D1351" s="19" t="s">
        <v>5403</v>
      </c>
      <c r="E1351" s="20" t="s">
        <v>5404</v>
      </c>
      <c r="F1351" s="19"/>
      <c r="G1351" s="21" t="s">
        <v>29</v>
      </c>
      <c r="H1351" s="22" t="b">
        <v>0</v>
      </c>
      <c r="I1351" s="22" t="b">
        <v>0</v>
      </c>
      <c r="J1351" s="22" t="b">
        <v>0</v>
      </c>
      <c r="K1351" s="22" t="b">
        <v>0</v>
      </c>
      <c r="L1351" s="22" t="b">
        <v>0</v>
      </c>
      <c r="M1351" s="21"/>
      <c r="N1351" s="23">
        <v>0</v>
      </c>
      <c r="O1351" s="24"/>
      <c r="P1351" s="19"/>
      <c r="Q1351" s="25"/>
      <c r="R1351" s="25"/>
      <c r="S1351" s="19"/>
      <c r="T1351" s="26"/>
      <c r="U1351" s="27" t="s">
        <v>21</v>
      </c>
      <c r="V1351" s="28" t="s">
        <v>5405</v>
      </c>
      <c r="W1351" s="29" t="s">
        <v>26</v>
      </c>
    </row>
    <row r="1352" spans="1:23" ht="30" customHeight="1">
      <c r="A1352" s="19" t="s">
        <v>5613</v>
      </c>
      <c r="B1352" s="19" t="s">
        <v>5569</v>
      </c>
      <c r="C1352" s="19"/>
      <c r="D1352" s="19" t="s">
        <v>5407</v>
      </c>
      <c r="E1352" s="20" t="s">
        <v>5408</v>
      </c>
      <c r="F1352" s="19"/>
      <c r="G1352" s="21" t="s">
        <v>29</v>
      </c>
      <c r="H1352" s="22" t="b">
        <v>0</v>
      </c>
      <c r="I1352" s="22" t="b">
        <v>0</v>
      </c>
      <c r="J1352" s="22" t="b">
        <v>0</v>
      </c>
      <c r="K1352" s="22" t="b">
        <v>0</v>
      </c>
      <c r="L1352" s="22" t="b">
        <v>0</v>
      </c>
      <c r="M1352" s="21"/>
      <c r="N1352" s="23">
        <v>0</v>
      </c>
      <c r="O1352" s="24"/>
      <c r="P1352" s="19"/>
      <c r="Q1352" s="25"/>
      <c r="R1352" s="25"/>
      <c r="S1352" s="19"/>
      <c r="T1352" s="26"/>
      <c r="U1352" s="30" t="s">
        <v>34</v>
      </c>
      <c r="V1352" s="28" t="s">
        <v>5409</v>
      </c>
      <c r="W1352" s="29" t="s">
        <v>26</v>
      </c>
    </row>
    <row r="1353" spans="1:23" ht="30" customHeight="1">
      <c r="A1353" s="19" t="s">
        <v>5613</v>
      </c>
      <c r="B1353" s="19" t="s">
        <v>5569</v>
      </c>
      <c r="C1353" s="19"/>
      <c r="D1353" s="19" t="s">
        <v>5411</v>
      </c>
      <c r="E1353" s="20" t="s">
        <v>5412</v>
      </c>
      <c r="F1353" s="19"/>
      <c r="G1353" s="21" t="s">
        <v>156</v>
      </c>
      <c r="H1353" s="22" t="b">
        <v>0</v>
      </c>
      <c r="I1353" s="22" t="b">
        <v>0</v>
      </c>
      <c r="J1353" s="22" t="b">
        <v>0</v>
      </c>
      <c r="K1353" s="22" t="b">
        <v>0</v>
      </c>
      <c r="L1353" s="22" t="b">
        <v>0</v>
      </c>
      <c r="M1353" s="21"/>
      <c r="N1353" s="23">
        <v>0</v>
      </c>
      <c r="O1353" s="24"/>
      <c r="P1353" s="19"/>
      <c r="Q1353" s="25"/>
      <c r="R1353" s="25"/>
      <c r="S1353" s="19"/>
      <c r="T1353" s="26"/>
      <c r="U1353" s="27" t="s">
        <v>21</v>
      </c>
      <c r="V1353" s="28" t="s">
        <v>5413</v>
      </c>
      <c r="W1353" s="29" t="s">
        <v>26</v>
      </c>
    </row>
    <row r="1354" spans="1:23" ht="30" customHeight="1">
      <c r="A1354" s="19" t="s">
        <v>5614</v>
      </c>
      <c r="B1354" s="19" t="s">
        <v>5569</v>
      </c>
      <c r="C1354" s="19"/>
      <c r="D1354" s="19" t="s">
        <v>5417</v>
      </c>
      <c r="E1354" s="20" t="s">
        <v>5418</v>
      </c>
      <c r="F1354" s="19"/>
      <c r="G1354" s="21" t="s">
        <v>22</v>
      </c>
      <c r="H1354" s="22" t="b">
        <v>0</v>
      </c>
      <c r="I1354" s="22" t="b">
        <v>0</v>
      </c>
      <c r="J1354" s="22" t="b">
        <v>0</v>
      </c>
      <c r="K1354" s="22" t="b">
        <v>0</v>
      </c>
      <c r="L1354" s="22" t="b">
        <v>0</v>
      </c>
      <c r="M1354" s="21"/>
      <c r="N1354" s="23">
        <v>0</v>
      </c>
      <c r="O1354" s="24"/>
      <c r="P1354" s="19"/>
      <c r="Q1354" s="25"/>
      <c r="R1354" s="25"/>
      <c r="S1354" s="19"/>
      <c r="T1354" s="26"/>
      <c r="U1354" s="27" t="s">
        <v>21</v>
      </c>
      <c r="V1354" s="28" t="s">
        <v>5419</v>
      </c>
      <c r="W1354" s="29" t="s">
        <v>26</v>
      </c>
    </row>
    <row r="1355" spans="1:23" ht="30" customHeight="1">
      <c r="A1355" s="19" t="s">
        <v>5614</v>
      </c>
      <c r="B1355" s="19" t="s">
        <v>5569</v>
      </c>
      <c r="C1355" s="19"/>
      <c r="D1355" s="19" t="s">
        <v>5422</v>
      </c>
      <c r="E1355" s="20" t="s">
        <v>5423</v>
      </c>
      <c r="F1355" s="19"/>
      <c r="G1355" s="21" t="s">
        <v>29</v>
      </c>
      <c r="H1355" s="22" t="b">
        <v>0</v>
      </c>
      <c r="I1355" s="22" t="b">
        <v>0</v>
      </c>
      <c r="J1355" s="22" t="b">
        <v>0</v>
      </c>
      <c r="K1355" s="22" t="b">
        <v>0</v>
      </c>
      <c r="L1355" s="22" t="b">
        <v>0</v>
      </c>
      <c r="M1355" s="21"/>
      <c r="N1355" s="23">
        <v>0</v>
      </c>
      <c r="O1355" s="24"/>
      <c r="P1355" s="19"/>
      <c r="Q1355" s="25"/>
      <c r="R1355" s="25"/>
      <c r="S1355" s="19"/>
      <c r="T1355" s="26"/>
      <c r="U1355" s="27" t="s">
        <v>21</v>
      </c>
      <c r="V1355" s="28" t="s">
        <v>5424</v>
      </c>
      <c r="W1355" s="29" t="s">
        <v>26</v>
      </c>
    </row>
    <row r="1356" spans="1:23" ht="30" customHeight="1">
      <c r="A1356" s="19" t="s">
        <v>5614</v>
      </c>
      <c r="B1356" s="19" t="s">
        <v>5569</v>
      </c>
      <c r="C1356" s="19"/>
      <c r="D1356" s="19" t="s">
        <v>5427</v>
      </c>
      <c r="E1356" s="20" t="s">
        <v>5428</v>
      </c>
      <c r="F1356" s="19"/>
      <c r="G1356" s="21" t="s">
        <v>22</v>
      </c>
      <c r="H1356" s="22" t="b">
        <v>0</v>
      </c>
      <c r="I1356" s="22" t="b">
        <v>0</v>
      </c>
      <c r="J1356" s="22" t="b">
        <v>0</v>
      </c>
      <c r="K1356" s="22" t="b">
        <v>0</v>
      </c>
      <c r="L1356" s="22" t="b">
        <v>0</v>
      </c>
      <c r="M1356" s="21"/>
      <c r="N1356" s="23">
        <v>0</v>
      </c>
      <c r="O1356" s="24"/>
      <c r="P1356" s="19"/>
      <c r="Q1356" s="25"/>
      <c r="R1356" s="25"/>
      <c r="S1356" s="19"/>
      <c r="T1356" s="26"/>
      <c r="U1356" s="27" t="s">
        <v>21</v>
      </c>
      <c r="V1356" s="28" t="s">
        <v>5429</v>
      </c>
      <c r="W1356" s="29" t="s">
        <v>26</v>
      </c>
    </row>
    <row r="1357" spans="1:23" ht="30" customHeight="1">
      <c r="A1357" s="19" t="s">
        <v>5614</v>
      </c>
      <c r="B1357" s="19" t="s">
        <v>5569</v>
      </c>
      <c r="C1357" s="19"/>
      <c r="D1357" s="19" t="s">
        <v>5432</v>
      </c>
      <c r="E1357" s="20" t="s">
        <v>5433</v>
      </c>
      <c r="F1357" s="19"/>
      <c r="G1357" s="21" t="s">
        <v>22</v>
      </c>
      <c r="H1357" s="22" t="b">
        <v>0</v>
      </c>
      <c r="I1357" s="22" t="b">
        <v>0</v>
      </c>
      <c r="J1357" s="22" t="b">
        <v>0</v>
      </c>
      <c r="K1357" s="22" t="b">
        <v>0</v>
      </c>
      <c r="L1357" s="22" t="b">
        <v>0</v>
      </c>
      <c r="M1357" s="21"/>
      <c r="N1357" s="23">
        <v>0</v>
      </c>
      <c r="O1357" s="24"/>
      <c r="P1357" s="19"/>
      <c r="Q1357" s="25"/>
      <c r="R1357" s="25"/>
      <c r="S1357" s="19"/>
      <c r="T1357" s="26"/>
      <c r="U1357" s="27" t="s">
        <v>21</v>
      </c>
      <c r="V1357" s="28" t="s">
        <v>5434</v>
      </c>
      <c r="W1357" s="29" t="s">
        <v>26</v>
      </c>
    </row>
    <row r="1358" spans="1:23" ht="30" customHeight="1">
      <c r="A1358" s="19" t="s">
        <v>5614</v>
      </c>
      <c r="B1358" s="19" t="s">
        <v>5569</v>
      </c>
      <c r="C1358" s="19"/>
      <c r="D1358" s="19" t="s">
        <v>5436</v>
      </c>
      <c r="E1358" s="20" t="s">
        <v>5437</v>
      </c>
      <c r="F1358" s="19"/>
      <c r="G1358" s="21" t="s">
        <v>29</v>
      </c>
      <c r="H1358" s="22" t="b">
        <v>0</v>
      </c>
      <c r="I1358" s="22" t="b">
        <v>0</v>
      </c>
      <c r="J1358" s="22" t="b">
        <v>0</v>
      </c>
      <c r="K1358" s="22" t="b">
        <v>0</v>
      </c>
      <c r="L1358" s="22" t="b">
        <v>0</v>
      </c>
      <c r="M1358" s="21"/>
      <c r="N1358" s="23">
        <v>0</v>
      </c>
      <c r="O1358" s="24"/>
      <c r="P1358" s="19"/>
      <c r="Q1358" s="25"/>
      <c r="R1358" s="25"/>
      <c r="S1358" s="19"/>
      <c r="T1358" s="26"/>
      <c r="U1358" s="27" t="s">
        <v>21</v>
      </c>
      <c r="V1358" s="28"/>
      <c r="W1358" s="29" t="s">
        <v>26</v>
      </c>
    </row>
    <row r="1359" spans="1:23" ht="30" customHeight="1">
      <c r="A1359" s="19" t="s">
        <v>5614</v>
      </c>
      <c r="B1359" s="19" t="s">
        <v>5569</v>
      </c>
      <c r="C1359" s="19"/>
      <c r="D1359" s="19" t="s">
        <v>5439</v>
      </c>
      <c r="E1359" s="20" t="s">
        <v>5440</v>
      </c>
      <c r="F1359" s="19"/>
      <c r="G1359" s="21" t="s">
        <v>22</v>
      </c>
      <c r="H1359" s="22" t="b">
        <v>0</v>
      </c>
      <c r="I1359" s="22" t="b">
        <v>0</v>
      </c>
      <c r="J1359" s="22" t="b">
        <v>0</v>
      </c>
      <c r="K1359" s="22" t="b">
        <v>0</v>
      </c>
      <c r="L1359" s="22" t="b">
        <v>0</v>
      </c>
      <c r="M1359" s="21"/>
      <c r="N1359" s="23">
        <v>0</v>
      </c>
      <c r="O1359" s="24"/>
      <c r="P1359" s="19"/>
      <c r="Q1359" s="25"/>
      <c r="R1359" s="25"/>
      <c r="S1359" s="19"/>
      <c r="T1359" s="26"/>
      <c r="U1359" s="27" t="s">
        <v>21</v>
      </c>
      <c r="V1359" s="28"/>
      <c r="W1359" s="29" t="s">
        <v>26</v>
      </c>
    </row>
    <row r="1360" spans="1:23" ht="30" customHeight="1">
      <c r="A1360" s="19" t="s">
        <v>5614</v>
      </c>
      <c r="B1360" s="19" t="s">
        <v>5569</v>
      </c>
      <c r="C1360" s="19"/>
      <c r="D1360" s="19" t="s">
        <v>5442</v>
      </c>
      <c r="E1360" s="20" t="s">
        <v>5443</v>
      </c>
      <c r="F1360" s="19"/>
      <c r="G1360" s="21" t="s">
        <v>4774</v>
      </c>
      <c r="H1360" s="22" t="b">
        <v>0</v>
      </c>
      <c r="I1360" s="22" t="b">
        <v>0</v>
      </c>
      <c r="J1360" s="22" t="b">
        <v>0</v>
      </c>
      <c r="K1360" s="22" t="b">
        <v>0</v>
      </c>
      <c r="L1360" s="22" t="b">
        <v>0</v>
      </c>
      <c r="M1360" s="21"/>
      <c r="N1360" s="23">
        <v>0</v>
      </c>
      <c r="O1360" s="24"/>
      <c r="P1360" s="19"/>
      <c r="Q1360" s="25"/>
      <c r="R1360" s="25"/>
      <c r="S1360" s="19"/>
      <c r="T1360" s="26"/>
      <c r="U1360" s="27" t="s">
        <v>21</v>
      </c>
      <c r="V1360" s="28" t="s">
        <v>5444</v>
      </c>
      <c r="W1360" s="29" t="s">
        <v>26</v>
      </c>
    </row>
    <row r="1361" spans="1:23" ht="30" customHeight="1">
      <c r="A1361" s="19" t="s">
        <v>5614</v>
      </c>
      <c r="B1361" s="19" t="s">
        <v>5569</v>
      </c>
      <c r="C1361" s="19"/>
      <c r="D1361" s="19" t="s">
        <v>5446</v>
      </c>
      <c r="E1361" s="20" t="s">
        <v>5447</v>
      </c>
      <c r="F1361" s="19"/>
      <c r="G1361" s="21" t="s">
        <v>22</v>
      </c>
      <c r="H1361" s="22" t="b">
        <v>0</v>
      </c>
      <c r="I1361" s="22" t="b">
        <v>0</v>
      </c>
      <c r="J1361" s="22" t="b">
        <v>0</v>
      </c>
      <c r="K1361" s="22" t="b">
        <v>0</v>
      </c>
      <c r="L1361" s="22" t="b">
        <v>0</v>
      </c>
      <c r="M1361" s="21"/>
      <c r="N1361" s="23">
        <v>0</v>
      </c>
      <c r="O1361" s="24"/>
      <c r="P1361" s="19"/>
      <c r="Q1361" s="25"/>
      <c r="R1361" s="25"/>
      <c r="S1361" s="19"/>
      <c r="T1361" s="26"/>
      <c r="U1361" s="27" t="s">
        <v>21</v>
      </c>
      <c r="V1361" s="28" t="s">
        <v>5448</v>
      </c>
      <c r="W1361" s="29" t="s">
        <v>26</v>
      </c>
    </row>
    <row r="1362" spans="1:23" ht="30" customHeight="1">
      <c r="A1362" s="19" t="s">
        <v>5614</v>
      </c>
      <c r="B1362" s="19" t="s">
        <v>5569</v>
      </c>
      <c r="C1362" s="19"/>
      <c r="D1362" s="19" t="s">
        <v>5450</v>
      </c>
      <c r="E1362" s="20" t="s">
        <v>5451</v>
      </c>
      <c r="F1362" s="19"/>
      <c r="G1362" s="21" t="s">
        <v>29</v>
      </c>
      <c r="H1362" s="22" t="b">
        <v>0</v>
      </c>
      <c r="I1362" s="22" t="b">
        <v>0</v>
      </c>
      <c r="J1362" s="22" t="b">
        <v>0</v>
      </c>
      <c r="K1362" s="22" t="b">
        <v>0</v>
      </c>
      <c r="L1362" s="22" t="b">
        <v>0</v>
      </c>
      <c r="M1362" s="21"/>
      <c r="N1362" s="23">
        <v>0</v>
      </c>
      <c r="O1362" s="24"/>
      <c r="P1362" s="19"/>
      <c r="Q1362" s="25"/>
      <c r="R1362" s="25"/>
      <c r="S1362" s="19"/>
      <c r="T1362" s="26"/>
      <c r="U1362" s="27" t="s">
        <v>21</v>
      </c>
      <c r="V1362" s="28"/>
      <c r="W1362" s="29" t="s">
        <v>26</v>
      </c>
    </row>
    <row r="1363" spans="1:23" ht="30" customHeight="1">
      <c r="A1363" s="19" t="s">
        <v>5614</v>
      </c>
      <c r="B1363" s="19" t="s">
        <v>5569</v>
      </c>
      <c r="C1363" s="19"/>
      <c r="D1363" s="19" t="s">
        <v>5453</v>
      </c>
      <c r="E1363" s="20" t="s">
        <v>5454</v>
      </c>
      <c r="F1363" s="19"/>
      <c r="G1363" s="21" t="s">
        <v>29</v>
      </c>
      <c r="H1363" s="22" t="b">
        <v>0</v>
      </c>
      <c r="I1363" s="22" t="b">
        <v>0</v>
      </c>
      <c r="J1363" s="22" t="b">
        <v>0</v>
      </c>
      <c r="K1363" s="22" t="b">
        <v>0</v>
      </c>
      <c r="L1363" s="22" t="b">
        <v>0</v>
      </c>
      <c r="M1363" s="21"/>
      <c r="N1363" s="23">
        <v>0</v>
      </c>
      <c r="O1363" s="24"/>
      <c r="P1363" s="19"/>
      <c r="Q1363" s="25"/>
      <c r="R1363" s="25"/>
      <c r="S1363" s="19"/>
      <c r="T1363" s="26"/>
      <c r="U1363" s="27" t="s">
        <v>21</v>
      </c>
      <c r="V1363" s="28"/>
      <c r="W1363" s="29" t="s">
        <v>26</v>
      </c>
    </row>
    <row r="1364" spans="1:23" ht="30" customHeight="1">
      <c r="A1364" s="19" t="s">
        <v>5614</v>
      </c>
      <c r="B1364" s="19" t="s">
        <v>5569</v>
      </c>
      <c r="C1364" s="19"/>
      <c r="D1364" s="19" t="s">
        <v>5457</v>
      </c>
      <c r="E1364" s="20" t="s">
        <v>5458</v>
      </c>
      <c r="F1364" s="19"/>
      <c r="G1364" s="21" t="s">
        <v>22</v>
      </c>
      <c r="H1364" s="22" t="b">
        <v>0</v>
      </c>
      <c r="I1364" s="22" t="b">
        <v>0</v>
      </c>
      <c r="J1364" s="22" t="b">
        <v>0</v>
      </c>
      <c r="K1364" s="22" t="b">
        <v>0</v>
      </c>
      <c r="L1364" s="22" t="b">
        <v>0</v>
      </c>
      <c r="M1364" s="21"/>
      <c r="N1364" s="23">
        <v>0</v>
      </c>
      <c r="O1364" s="24"/>
      <c r="P1364" s="19"/>
      <c r="Q1364" s="25"/>
      <c r="R1364" s="25"/>
      <c r="S1364" s="19"/>
      <c r="T1364" s="26"/>
      <c r="U1364" s="27" t="s">
        <v>21</v>
      </c>
      <c r="V1364" s="28" t="s">
        <v>5459</v>
      </c>
      <c r="W1364" s="29" t="s">
        <v>26</v>
      </c>
    </row>
    <row r="1365" spans="1:23" ht="30" customHeight="1">
      <c r="A1365" s="19" t="s">
        <v>5614</v>
      </c>
      <c r="B1365" s="19" t="s">
        <v>5569</v>
      </c>
      <c r="C1365" s="19"/>
      <c r="D1365" s="19" t="s">
        <v>5462</v>
      </c>
      <c r="E1365" s="20" t="s">
        <v>5463</v>
      </c>
      <c r="F1365" s="19"/>
      <c r="G1365" s="21" t="s">
        <v>156</v>
      </c>
      <c r="H1365" s="22" t="b">
        <v>0</v>
      </c>
      <c r="I1365" s="22" t="b">
        <v>0</v>
      </c>
      <c r="J1365" s="22" t="b">
        <v>0</v>
      </c>
      <c r="K1365" s="22" t="b">
        <v>0</v>
      </c>
      <c r="L1365" s="22" t="b">
        <v>0</v>
      </c>
      <c r="M1365" s="21"/>
      <c r="N1365" s="23">
        <v>0</v>
      </c>
      <c r="O1365" s="24"/>
      <c r="P1365" s="19"/>
      <c r="Q1365" s="25"/>
      <c r="R1365" s="25"/>
      <c r="S1365" s="19"/>
      <c r="T1365" s="26"/>
      <c r="U1365" s="27" t="s">
        <v>21</v>
      </c>
      <c r="V1365" s="28" t="s">
        <v>5464</v>
      </c>
      <c r="W1365" s="29" t="s">
        <v>26</v>
      </c>
    </row>
    <row r="1366" spans="1:23" ht="30" customHeight="1">
      <c r="A1366" s="19" t="s">
        <v>5614</v>
      </c>
      <c r="B1366" s="19" t="s">
        <v>5569</v>
      </c>
      <c r="C1366" s="19"/>
      <c r="D1366" s="19" t="s">
        <v>5467</v>
      </c>
      <c r="E1366" s="20" t="s">
        <v>5468</v>
      </c>
      <c r="F1366" s="19"/>
      <c r="G1366" s="21" t="s">
        <v>29</v>
      </c>
      <c r="H1366" s="22" t="b">
        <v>0</v>
      </c>
      <c r="I1366" s="22" t="b">
        <v>0</v>
      </c>
      <c r="J1366" s="22" t="b">
        <v>0</v>
      </c>
      <c r="K1366" s="22" t="b">
        <v>0</v>
      </c>
      <c r="L1366" s="22" t="b">
        <v>0</v>
      </c>
      <c r="M1366" s="21"/>
      <c r="N1366" s="23">
        <v>0</v>
      </c>
      <c r="O1366" s="24"/>
      <c r="P1366" s="19"/>
      <c r="Q1366" s="25"/>
      <c r="R1366" s="25"/>
      <c r="S1366" s="19"/>
      <c r="T1366" s="26"/>
      <c r="U1366" s="27" t="s">
        <v>21</v>
      </c>
      <c r="V1366" s="28" t="s">
        <v>5469</v>
      </c>
      <c r="W1366" s="29" t="s">
        <v>26</v>
      </c>
    </row>
    <row r="1367" spans="1:23" ht="30" customHeight="1">
      <c r="A1367" s="19" t="s">
        <v>5614</v>
      </c>
      <c r="B1367" s="19" t="s">
        <v>5569</v>
      </c>
      <c r="C1367" s="19"/>
      <c r="D1367" s="19" t="s">
        <v>5471</v>
      </c>
      <c r="E1367" s="20" t="s">
        <v>5472</v>
      </c>
      <c r="F1367" s="19"/>
      <c r="G1367" s="21" t="s">
        <v>22</v>
      </c>
      <c r="H1367" s="22" t="b">
        <v>0</v>
      </c>
      <c r="I1367" s="22" t="b">
        <v>0</v>
      </c>
      <c r="J1367" s="22" t="b">
        <v>0</v>
      </c>
      <c r="K1367" s="22" t="b">
        <v>0</v>
      </c>
      <c r="L1367" s="22" t="b">
        <v>0</v>
      </c>
      <c r="M1367" s="21"/>
      <c r="N1367" s="23">
        <v>0</v>
      </c>
      <c r="O1367" s="24"/>
      <c r="P1367" s="19"/>
      <c r="Q1367" s="25"/>
      <c r="R1367" s="25"/>
      <c r="S1367" s="19"/>
      <c r="T1367" s="26"/>
      <c r="U1367" s="27" t="s">
        <v>21</v>
      </c>
      <c r="V1367" s="28" t="s">
        <v>5473</v>
      </c>
      <c r="W1367" s="29" t="s">
        <v>26</v>
      </c>
    </row>
    <row r="1368" spans="1:23" ht="30" customHeight="1">
      <c r="A1368" s="19" t="s">
        <v>5614</v>
      </c>
      <c r="B1368" s="19" t="s">
        <v>5569</v>
      </c>
      <c r="C1368" s="19"/>
      <c r="D1368" s="19" t="s">
        <v>5476</v>
      </c>
      <c r="E1368" s="20" t="s">
        <v>5477</v>
      </c>
      <c r="F1368" s="19"/>
      <c r="G1368" s="21" t="s">
        <v>29</v>
      </c>
      <c r="H1368" s="22" t="b">
        <v>0</v>
      </c>
      <c r="I1368" s="22" t="b">
        <v>0</v>
      </c>
      <c r="J1368" s="22" t="b">
        <v>0</v>
      </c>
      <c r="K1368" s="22" t="b">
        <v>0</v>
      </c>
      <c r="L1368" s="22" t="b">
        <v>0</v>
      </c>
      <c r="M1368" s="21"/>
      <c r="N1368" s="23">
        <v>0</v>
      </c>
      <c r="O1368" s="24"/>
      <c r="P1368" s="19"/>
      <c r="Q1368" s="25"/>
      <c r="R1368" s="25"/>
      <c r="S1368" s="19"/>
      <c r="T1368" s="26"/>
      <c r="U1368" s="27" t="s">
        <v>21</v>
      </c>
      <c r="V1368" s="28"/>
      <c r="W1368" s="29" t="s">
        <v>26</v>
      </c>
    </row>
    <row r="1369" spans="1:23" ht="30" customHeight="1">
      <c r="A1369" s="19" t="s">
        <v>5614</v>
      </c>
      <c r="B1369" s="19" t="s">
        <v>5569</v>
      </c>
      <c r="C1369" s="19"/>
      <c r="D1369" s="19" t="s">
        <v>5479</v>
      </c>
      <c r="E1369" s="20" t="s">
        <v>5480</v>
      </c>
      <c r="F1369" s="19"/>
      <c r="G1369" s="21" t="s">
        <v>29</v>
      </c>
      <c r="H1369" s="22" t="b">
        <v>0</v>
      </c>
      <c r="I1369" s="22" t="b">
        <v>0</v>
      </c>
      <c r="J1369" s="22" t="b">
        <v>0</v>
      </c>
      <c r="K1369" s="22" t="b">
        <v>0</v>
      </c>
      <c r="L1369" s="22" t="b">
        <v>0</v>
      </c>
      <c r="M1369" s="21"/>
      <c r="N1369" s="23">
        <v>0</v>
      </c>
      <c r="O1369" s="24"/>
      <c r="P1369" s="19"/>
      <c r="Q1369" s="25"/>
      <c r="R1369" s="25"/>
      <c r="S1369" s="19"/>
      <c r="T1369" s="26"/>
      <c r="U1369" s="27" t="s">
        <v>21</v>
      </c>
      <c r="V1369" s="28" t="s">
        <v>5481</v>
      </c>
      <c r="W1369" s="29" t="s">
        <v>26</v>
      </c>
    </row>
    <row r="1370" spans="1:23" ht="30" customHeight="1">
      <c r="A1370" s="19" t="s">
        <v>5614</v>
      </c>
      <c r="B1370" s="19" t="s">
        <v>5569</v>
      </c>
      <c r="C1370" s="19"/>
      <c r="D1370" s="19" t="s">
        <v>5484</v>
      </c>
      <c r="E1370" s="20" t="s">
        <v>5485</v>
      </c>
      <c r="F1370" s="19"/>
      <c r="G1370" s="21" t="s">
        <v>29</v>
      </c>
      <c r="H1370" s="22" t="b">
        <v>0</v>
      </c>
      <c r="I1370" s="22" t="b">
        <v>0</v>
      </c>
      <c r="J1370" s="22" t="b">
        <v>0</v>
      </c>
      <c r="K1370" s="22" t="b">
        <v>0</v>
      </c>
      <c r="L1370" s="22" t="b">
        <v>0</v>
      </c>
      <c r="M1370" s="21"/>
      <c r="N1370" s="23">
        <v>0</v>
      </c>
      <c r="O1370" s="24"/>
      <c r="P1370" s="19"/>
      <c r="Q1370" s="25"/>
      <c r="R1370" s="25"/>
      <c r="S1370" s="19"/>
      <c r="T1370" s="26"/>
      <c r="U1370" s="27" t="s">
        <v>21</v>
      </c>
      <c r="V1370" s="28"/>
      <c r="W1370" s="29" t="s">
        <v>26</v>
      </c>
    </row>
    <row r="1371" spans="1:23" ht="30" customHeight="1">
      <c r="A1371" s="19" t="s">
        <v>5614</v>
      </c>
      <c r="B1371" s="19" t="s">
        <v>5569</v>
      </c>
      <c r="C1371" s="19"/>
      <c r="D1371" s="19" t="s">
        <v>5488</v>
      </c>
      <c r="E1371" s="20" t="s">
        <v>5489</v>
      </c>
      <c r="F1371" s="19"/>
      <c r="G1371" s="21" t="s">
        <v>29</v>
      </c>
      <c r="H1371" s="22" t="b">
        <v>0</v>
      </c>
      <c r="I1371" s="22" t="b">
        <v>0</v>
      </c>
      <c r="J1371" s="22" t="b">
        <v>0</v>
      </c>
      <c r="K1371" s="22" t="b">
        <v>0</v>
      </c>
      <c r="L1371" s="22" t="b">
        <v>0</v>
      </c>
      <c r="M1371" s="21"/>
      <c r="N1371" s="23">
        <v>0</v>
      </c>
      <c r="O1371" s="24"/>
      <c r="P1371" s="19"/>
      <c r="Q1371" s="25"/>
      <c r="R1371" s="25"/>
      <c r="S1371" s="19"/>
      <c r="T1371" s="26"/>
      <c r="U1371" s="27" t="s">
        <v>21</v>
      </c>
      <c r="V1371" s="28"/>
      <c r="W1371" s="29" t="s">
        <v>26</v>
      </c>
    </row>
    <row r="1372" spans="1:23" ht="30" customHeight="1">
      <c r="A1372" s="19" t="s">
        <v>5614</v>
      </c>
      <c r="B1372" s="19" t="s">
        <v>5569</v>
      </c>
      <c r="C1372" s="19"/>
      <c r="D1372" s="19" t="s">
        <v>5492</v>
      </c>
      <c r="E1372" s="20" t="s">
        <v>5493</v>
      </c>
      <c r="F1372" s="19"/>
      <c r="G1372" s="21" t="s">
        <v>22</v>
      </c>
      <c r="H1372" s="22" t="b">
        <v>0</v>
      </c>
      <c r="I1372" s="22" t="b">
        <v>0</v>
      </c>
      <c r="J1372" s="22" t="b">
        <v>0</v>
      </c>
      <c r="K1372" s="22" t="b">
        <v>0</v>
      </c>
      <c r="L1372" s="22" t="b">
        <v>0</v>
      </c>
      <c r="M1372" s="21"/>
      <c r="N1372" s="23">
        <v>0</v>
      </c>
      <c r="O1372" s="24"/>
      <c r="P1372" s="19"/>
      <c r="Q1372" s="25"/>
      <c r="R1372" s="25"/>
      <c r="S1372" s="19"/>
      <c r="T1372" s="26"/>
      <c r="U1372" s="30" t="s">
        <v>34</v>
      </c>
      <c r="V1372" s="28" t="s">
        <v>5494</v>
      </c>
      <c r="W1372" s="29" t="s">
        <v>26</v>
      </c>
    </row>
    <row r="1373" spans="1:23" ht="30" customHeight="1">
      <c r="A1373" s="19" t="s">
        <v>5614</v>
      </c>
      <c r="B1373" s="19" t="s">
        <v>5569</v>
      </c>
      <c r="C1373" s="19"/>
      <c r="D1373" s="19" t="s">
        <v>5496</v>
      </c>
      <c r="E1373" s="20" t="s">
        <v>5497</v>
      </c>
      <c r="F1373" s="19"/>
      <c r="G1373" s="21" t="s">
        <v>22</v>
      </c>
      <c r="H1373" s="22" t="b">
        <v>0</v>
      </c>
      <c r="I1373" s="22" t="b">
        <v>0</v>
      </c>
      <c r="J1373" s="22" t="b">
        <v>0</v>
      </c>
      <c r="K1373" s="22" t="b">
        <v>0</v>
      </c>
      <c r="L1373" s="22" t="b">
        <v>0</v>
      </c>
      <c r="M1373" s="21"/>
      <c r="N1373" s="23">
        <v>0</v>
      </c>
      <c r="O1373" s="24"/>
      <c r="P1373" s="19"/>
      <c r="Q1373" s="25"/>
      <c r="R1373" s="25"/>
      <c r="S1373" s="19"/>
      <c r="T1373" s="26"/>
      <c r="U1373" s="27" t="s">
        <v>21</v>
      </c>
      <c r="V1373" s="28" t="s">
        <v>5498</v>
      </c>
      <c r="W1373" s="29" t="s">
        <v>26</v>
      </c>
    </row>
    <row r="1374" spans="1:23" ht="30" customHeight="1">
      <c r="A1374" s="19" t="s">
        <v>5614</v>
      </c>
      <c r="B1374" s="19" t="s">
        <v>5569</v>
      </c>
      <c r="C1374" s="19"/>
      <c r="D1374" s="19" t="s">
        <v>5501</v>
      </c>
      <c r="E1374" s="20" t="s">
        <v>5502</v>
      </c>
      <c r="F1374" s="19"/>
      <c r="G1374" s="21" t="s">
        <v>156</v>
      </c>
      <c r="H1374" s="22" t="b">
        <v>0</v>
      </c>
      <c r="I1374" s="22" t="b">
        <v>0</v>
      </c>
      <c r="J1374" s="22" t="b">
        <v>0</v>
      </c>
      <c r="K1374" s="22" t="b">
        <v>0</v>
      </c>
      <c r="L1374" s="22" t="b">
        <v>0</v>
      </c>
      <c r="M1374" s="21"/>
      <c r="N1374" s="23">
        <v>0</v>
      </c>
      <c r="O1374" s="24"/>
      <c r="P1374" s="19"/>
      <c r="Q1374" s="25"/>
      <c r="R1374" s="25"/>
      <c r="S1374" s="19"/>
      <c r="T1374" s="26"/>
      <c r="U1374" s="27" t="s">
        <v>21</v>
      </c>
      <c r="V1374" s="28" t="s">
        <v>5503</v>
      </c>
      <c r="W1374" s="29" t="s">
        <v>26</v>
      </c>
    </row>
    <row r="1375" spans="1:23" ht="30" customHeight="1">
      <c r="A1375" s="19" t="s">
        <v>5614</v>
      </c>
      <c r="B1375" s="19" t="s">
        <v>5569</v>
      </c>
      <c r="C1375" s="19"/>
      <c r="D1375" s="19" t="s">
        <v>5506</v>
      </c>
      <c r="E1375" s="20" t="s">
        <v>5507</v>
      </c>
      <c r="F1375" s="19"/>
      <c r="G1375" s="21" t="s">
        <v>29</v>
      </c>
      <c r="H1375" s="22" t="b">
        <v>0</v>
      </c>
      <c r="I1375" s="22" t="b">
        <v>0</v>
      </c>
      <c r="J1375" s="22" t="b">
        <v>0</v>
      </c>
      <c r="K1375" s="22" t="b">
        <v>0</v>
      </c>
      <c r="L1375" s="22" t="b">
        <v>0</v>
      </c>
      <c r="M1375" s="21"/>
      <c r="N1375" s="23">
        <v>0</v>
      </c>
      <c r="O1375" s="24"/>
      <c r="P1375" s="19"/>
      <c r="Q1375" s="25"/>
      <c r="R1375" s="25"/>
      <c r="S1375" s="19"/>
      <c r="T1375" s="26"/>
      <c r="U1375" s="27" t="s">
        <v>21</v>
      </c>
      <c r="V1375" s="28" t="s">
        <v>5508</v>
      </c>
      <c r="W1375" s="29" t="s">
        <v>26</v>
      </c>
    </row>
    <row r="1376" spans="1:23" ht="30" customHeight="1">
      <c r="A1376" s="19" t="s">
        <v>5615</v>
      </c>
      <c r="B1376" s="19" t="s">
        <v>5569</v>
      </c>
      <c r="C1376" s="19"/>
      <c r="D1376" s="19" t="s">
        <v>5512</v>
      </c>
      <c r="E1376" s="20" t="s">
        <v>5513</v>
      </c>
      <c r="F1376" s="19"/>
      <c r="G1376" s="21" t="s">
        <v>22</v>
      </c>
      <c r="H1376" s="22" t="b">
        <v>0</v>
      </c>
      <c r="I1376" s="22" t="b">
        <v>0</v>
      </c>
      <c r="J1376" s="22" t="b">
        <v>0</v>
      </c>
      <c r="K1376" s="22" t="b">
        <v>0</v>
      </c>
      <c r="L1376" s="22" t="b">
        <v>0</v>
      </c>
      <c r="M1376" s="21"/>
      <c r="N1376" s="23">
        <v>0</v>
      </c>
      <c r="O1376" s="24"/>
      <c r="P1376" s="19"/>
      <c r="Q1376" s="25"/>
      <c r="R1376" s="25"/>
      <c r="S1376" s="19"/>
      <c r="T1376" s="26"/>
      <c r="U1376" s="27" t="s">
        <v>21</v>
      </c>
      <c r="V1376" s="28" t="s">
        <v>5514</v>
      </c>
      <c r="W1376" s="29" t="s">
        <v>26</v>
      </c>
    </row>
    <row r="1377" spans="1:23" ht="30" customHeight="1">
      <c r="A1377" s="19" t="s">
        <v>5615</v>
      </c>
      <c r="B1377" s="19" t="s">
        <v>5569</v>
      </c>
      <c r="C1377" s="19"/>
      <c r="D1377" s="19" t="s">
        <v>5517</v>
      </c>
      <c r="E1377" s="20" t="s">
        <v>5518</v>
      </c>
      <c r="F1377" s="19"/>
      <c r="G1377" s="21" t="s">
        <v>22</v>
      </c>
      <c r="H1377" s="22" t="b">
        <v>0</v>
      </c>
      <c r="I1377" s="22" t="b">
        <v>0</v>
      </c>
      <c r="J1377" s="22" t="b">
        <v>0</v>
      </c>
      <c r="K1377" s="22" t="b">
        <v>0</v>
      </c>
      <c r="L1377" s="22" t="b">
        <v>0</v>
      </c>
      <c r="M1377" s="21"/>
      <c r="N1377" s="23">
        <v>0</v>
      </c>
      <c r="O1377" s="24"/>
      <c r="P1377" s="19"/>
      <c r="Q1377" s="25"/>
      <c r="R1377" s="25"/>
      <c r="S1377" s="19"/>
      <c r="T1377" s="26"/>
      <c r="U1377" s="30" t="s">
        <v>34</v>
      </c>
      <c r="V1377" s="28" t="s">
        <v>5519</v>
      </c>
      <c r="W1377" s="29" t="s">
        <v>26</v>
      </c>
    </row>
    <row r="1378" spans="1:23" ht="30" customHeight="1">
      <c r="A1378" s="19" t="s">
        <v>5615</v>
      </c>
      <c r="B1378" s="19" t="s">
        <v>5569</v>
      </c>
      <c r="C1378" s="19"/>
      <c r="D1378" s="19" t="s">
        <v>5522</v>
      </c>
      <c r="E1378" s="20" t="s">
        <v>5523</v>
      </c>
      <c r="F1378" s="19"/>
      <c r="G1378" s="21" t="s">
        <v>22</v>
      </c>
      <c r="H1378" s="22" t="b">
        <v>0</v>
      </c>
      <c r="I1378" s="22" t="b">
        <v>0</v>
      </c>
      <c r="J1378" s="22" t="b">
        <v>0</v>
      </c>
      <c r="K1378" s="22" t="b">
        <v>0</v>
      </c>
      <c r="L1378" s="22" t="b">
        <v>0</v>
      </c>
      <c r="M1378" s="21"/>
      <c r="N1378" s="23">
        <v>0</v>
      </c>
      <c r="O1378" s="24"/>
      <c r="P1378" s="19"/>
      <c r="Q1378" s="25"/>
      <c r="R1378" s="25"/>
      <c r="S1378" s="19"/>
      <c r="T1378" s="26"/>
      <c r="U1378" s="27" t="s">
        <v>21</v>
      </c>
      <c r="V1378" s="28" t="s">
        <v>5524</v>
      </c>
      <c r="W1378" s="29" t="s">
        <v>26</v>
      </c>
    </row>
    <row r="1379" spans="1:23" ht="30" customHeight="1">
      <c r="A1379" s="19" t="s">
        <v>5615</v>
      </c>
      <c r="B1379" s="19" t="s">
        <v>5569</v>
      </c>
      <c r="C1379" s="19"/>
      <c r="D1379" s="19" t="s">
        <v>5527</v>
      </c>
      <c r="E1379" s="20" t="s">
        <v>5528</v>
      </c>
      <c r="F1379" s="19"/>
      <c r="G1379" s="21" t="s">
        <v>22</v>
      </c>
      <c r="H1379" s="22" t="b">
        <v>0</v>
      </c>
      <c r="I1379" s="22" t="b">
        <v>0</v>
      </c>
      <c r="J1379" s="22" t="b">
        <v>0</v>
      </c>
      <c r="K1379" s="22" t="b">
        <v>0</v>
      </c>
      <c r="L1379" s="22" t="b">
        <v>0</v>
      </c>
      <c r="M1379" s="21"/>
      <c r="N1379" s="23">
        <v>0</v>
      </c>
      <c r="O1379" s="24"/>
      <c r="P1379" s="19"/>
      <c r="Q1379" s="25"/>
      <c r="R1379" s="25"/>
      <c r="S1379" s="19"/>
      <c r="T1379" s="26"/>
      <c r="U1379" s="27" t="s">
        <v>21</v>
      </c>
      <c r="V1379" s="28" t="s">
        <v>5529</v>
      </c>
      <c r="W1379" s="29" t="s">
        <v>26</v>
      </c>
    </row>
    <row r="1380" spans="1:23" ht="30" customHeight="1">
      <c r="A1380" s="19" t="s">
        <v>5615</v>
      </c>
      <c r="B1380" s="19" t="s">
        <v>5569</v>
      </c>
      <c r="C1380" s="19"/>
      <c r="D1380" s="19" t="s">
        <v>5531</v>
      </c>
      <c r="E1380" s="20" t="s">
        <v>5532</v>
      </c>
      <c r="F1380" s="19"/>
      <c r="G1380" s="21" t="s">
        <v>22</v>
      </c>
      <c r="H1380" s="22" t="b">
        <v>0</v>
      </c>
      <c r="I1380" s="22" t="b">
        <v>0</v>
      </c>
      <c r="J1380" s="22" t="b">
        <v>0</v>
      </c>
      <c r="K1380" s="22" t="b">
        <v>0</v>
      </c>
      <c r="L1380" s="22" t="b">
        <v>0</v>
      </c>
      <c r="M1380" s="21"/>
      <c r="N1380" s="23">
        <v>0</v>
      </c>
      <c r="O1380" s="24"/>
      <c r="P1380" s="19"/>
      <c r="Q1380" s="25"/>
      <c r="R1380" s="25"/>
      <c r="S1380" s="19"/>
      <c r="T1380" s="26"/>
      <c r="U1380" s="27" t="s">
        <v>21</v>
      </c>
      <c r="V1380" s="28" t="s">
        <v>5533</v>
      </c>
      <c r="W1380" s="29" t="s">
        <v>26</v>
      </c>
    </row>
    <row r="1381" spans="1:23" ht="30" customHeight="1">
      <c r="A1381" s="19" t="s">
        <v>5615</v>
      </c>
      <c r="B1381" s="19" t="s">
        <v>5569</v>
      </c>
      <c r="C1381" s="19"/>
      <c r="D1381" s="19" t="s">
        <v>5536</v>
      </c>
      <c r="E1381" s="20" t="s">
        <v>5537</v>
      </c>
      <c r="F1381" s="19"/>
      <c r="G1381" s="21" t="s">
        <v>22</v>
      </c>
      <c r="H1381" s="22" t="b">
        <v>0</v>
      </c>
      <c r="I1381" s="22" t="b">
        <v>0</v>
      </c>
      <c r="J1381" s="22" t="b">
        <v>0</v>
      </c>
      <c r="K1381" s="22" t="b">
        <v>0</v>
      </c>
      <c r="L1381" s="22" t="b">
        <v>0</v>
      </c>
      <c r="M1381" s="21"/>
      <c r="N1381" s="23">
        <v>0</v>
      </c>
      <c r="O1381" s="24"/>
      <c r="P1381" s="19"/>
      <c r="Q1381" s="25"/>
      <c r="R1381" s="25"/>
      <c r="S1381" s="19"/>
      <c r="T1381" s="26"/>
      <c r="U1381" s="27" t="s">
        <v>21</v>
      </c>
      <c r="V1381" s="28" t="s">
        <v>5538</v>
      </c>
      <c r="W1381" s="29" t="s">
        <v>26</v>
      </c>
    </row>
    <row r="1382" spans="1:23" ht="30" customHeight="1">
      <c r="A1382" s="19" t="s">
        <v>5615</v>
      </c>
      <c r="B1382" s="19" t="s">
        <v>5569</v>
      </c>
      <c r="C1382" s="19"/>
      <c r="D1382" s="19" t="s">
        <v>5541</v>
      </c>
      <c r="E1382" s="20" t="s">
        <v>5542</v>
      </c>
      <c r="F1382" s="19"/>
      <c r="G1382" s="21" t="s">
        <v>22</v>
      </c>
      <c r="H1382" s="22" t="b">
        <v>0</v>
      </c>
      <c r="I1382" s="22" t="b">
        <v>0</v>
      </c>
      <c r="J1382" s="22" t="b">
        <v>0</v>
      </c>
      <c r="K1382" s="22" t="b">
        <v>0</v>
      </c>
      <c r="L1382" s="22" t="b">
        <v>0</v>
      </c>
      <c r="M1382" s="21"/>
      <c r="N1382" s="23">
        <v>0</v>
      </c>
      <c r="O1382" s="24"/>
      <c r="P1382" s="19"/>
      <c r="Q1382" s="25"/>
      <c r="R1382" s="25"/>
      <c r="S1382" s="19"/>
      <c r="T1382" s="26"/>
      <c r="U1382" s="27" t="s">
        <v>21</v>
      </c>
      <c r="V1382" s="28" t="s">
        <v>5543</v>
      </c>
      <c r="W1382" s="29" t="s">
        <v>26</v>
      </c>
    </row>
    <row r="1383" spans="1:23" ht="30" customHeight="1">
      <c r="A1383" s="19" t="s">
        <v>5615</v>
      </c>
      <c r="B1383" s="19" t="s">
        <v>5569</v>
      </c>
      <c r="C1383" s="19"/>
      <c r="D1383" s="19" t="s">
        <v>5546</v>
      </c>
      <c r="E1383" s="20" t="s">
        <v>5547</v>
      </c>
      <c r="F1383" s="19"/>
      <c r="G1383" s="21" t="s">
        <v>22</v>
      </c>
      <c r="H1383" s="22" t="b">
        <v>0</v>
      </c>
      <c r="I1383" s="22" t="b">
        <v>0</v>
      </c>
      <c r="J1383" s="22" t="b">
        <v>0</v>
      </c>
      <c r="K1383" s="22" t="b">
        <v>0</v>
      </c>
      <c r="L1383" s="22" t="b">
        <v>0</v>
      </c>
      <c r="M1383" s="21"/>
      <c r="N1383" s="23">
        <v>0</v>
      </c>
      <c r="O1383" s="24"/>
      <c r="P1383" s="19"/>
      <c r="Q1383" s="25"/>
      <c r="R1383" s="25"/>
      <c r="S1383" s="19"/>
      <c r="T1383" s="26"/>
      <c r="U1383" s="27" t="s">
        <v>21</v>
      </c>
      <c r="V1383" s="28" t="s">
        <v>5548</v>
      </c>
      <c r="W1383" s="29" t="s">
        <v>26</v>
      </c>
    </row>
  </sheetData>
  <autoFilter ref="A5:W1383"/>
  <conditionalFormatting sqref="A6:W1383">
    <cfRule type="expression" dxfId="0" priority="1">
      <formula>$K6=TRUE</formula>
    </cfRule>
    <cfRule type="expression" dxfId="2" priority="2">
      <formula>$I6=TRUE</formula>
    </cfRule>
    <cfRule type="expression" dxfId="3" priority="3">
      <formula>OR($L6=TRUE,$P6="受付NG",$P6="担当者NG")</formula>
    </cfRule>
  </conditionalFormatting>
  <dataValidations count="6">
    <dataValidation type="list" allowBlank="1" showInputMessage="1" showErrorMessage="1" sqref="F6:F1383">
      <formula1>"新規,継続"</formula1>
    </dataValidation>
    <dataValidation type="list" allowBlank="1" showInputMessage="1" showErrorMessage="1" sqref="M6:M1383">
      <formula1>"進学校（60以上）,中堅（45〜59）,中堅以下（44以下）"</formula1>
    </dataValidation>
    <dataValidation type="list" allowBlank="1" showInputMessage="1" showErrorMessage="1" sqref="P6:P1383">
      <formula1>"担当不在,受付NG,担当者NG,資料送付,商談希望,不通,受付時間外,番号不明"</formula1>
    </dataValidation>
    <dataValidation type="date" operator="greaterThan" allowBlank="1" showInputMessage="1" showErrorMessage="1" errorTitle="日付" error="日付で入力してください（例：10/7）" sqref="O6:O1383">
      <formula1>36526</formula1>
    </dataValidation>
    <dataValidation type="whole" operator="greaterThanOrEqual" allowBlank="1" showInputMessage="1" showErrorMessage="1" sqref="N6:N1383">
      <formula1>0</formula1>
    </dataValidation>
    <dataValidation type="whole" allowBlank="1" showInputMessage="1" showErrorMessage="1" sqref="T6:T1383">
      <formula1>20</formula1>
      <formula2>80</formula2>
    </dataValidation>
  </dataValidations>
  <hyperlinks>
    <hyperlink ref="B2" location="'使い方・注意事項'!A1" display="DXハイスクール テレアポ架電優先順位・運用ルール（私立高校 全国版）"/>
    <hyperlink ref="W6" r:id="rId1"/>
    <hyperlink ref="W7" r:id="rId2"/>
    <hyperlink ref="W8" r:id="rId3"/>
    <hyperlink ref="W9" r:id="rId4"/>
    <hyperlink ref="W10" r:id="rId5"/>
    <hyperlink ref="W11" r:id="rId6"/>
    <hyperlink ref="W12" r:id="rId7"/>
    <hyperlink ref="W13" r:id="rId8"/>
    <hyperlink ref="W14" r:id="rId9"/>
    <hyperlink ref="W15" r:id="rId10"/>
    <hyperlink ref="W16" r:id="rId11"/>
    <hyperlink ref="W17" r:id="rId12"/>
    <hyperlink ref="W18" r:id="rId13"/>
    <hyperlink ref="W19" r:id="rId14"/>
    <hyperlink ref="W20" r:id="rId15"/>
    <hyperlink ref="W21" r:id="rId16"/>
    <hyperlink ref="W22" r:id="rId17"/>
    <hyperlink ref="W23" r:id="rId18"/>
    <hyperlink ref="W24" r:id="rId19"/>
    <hyperlink ref="W25" r:id="rId20"/>
    <hyperlink ref="W26" r:id="rId21"/>
    <hyperlink ref="W27" r:id="rId22"/>
    <hyperlink ref="W28" r:id="rId23"/>
    <hyperlink ref="W29" r:id="rId24"/>
    <hyperlink ref="W30" r:id="rId25"/>
    <hyperlink ref="W31" r:id="rId26"/>
    <hyperlink ref="W32" r:id="rId27"/>
    <hyperlink ref="W33" r:id="rId28"/>
    <hyperlink ref="W34" r:id="rId29"/>
    <hyperlink ref="W35" r:id="rId30"/>
    <hyperlink ref="W36" r:id="rId31"/>
    <hyperlink ref="W37" r:id="rId32"/>
    <hyperlink ref="W38" r:id="rId33"/>
    <hyperlink ref="W39" r:id="rId34"/>
    <hyperlink ref="W40" r:id="rId35"/>
    <hyperlink ref="W41" r:id="rId36"/>
    <hyperlink ref="W42" r:id="rId37"/>
    <hyperlink ref="W43" r:id="rId38"/>
    <hyperlink ref="W44" r:id="rId39"/>
    <hyperlink ref="W45" r:id="rId40"/>
    <hyperlink ref="W46" r:id="rId41"/>
    <hyperlink ref="W47" r:id="rId42"/>
    <hyperlink ref="W48" r:id="rId43"/>
    <hyperlink ref="W49" r:id="rId44"/>
    <hyperlink ref="W50" r:id="rId45"/>
    <hyperlink ref="W51" r:id="rId46"/>
    <hyperlink ref="W52" r:id="rId47"/>
    <hyperlink ref="W53" r:id="rId48"/>
    <hyperlink ref="W54" r:id="rId49"/>
    <hyperlink ref="W55" r:id="rId50"/>
    <hyperlink ref="W56" r:id="rId51"/>
    <hyperlink ref="W57" r:id="rId52"/>
    <hyperlink ref="W58" r:id="rId53"/>
    <hyperlink ref="W59" r:id="rId54"/>
    <hyperlink ref="W60" r:id="rId55"/>
    <hyperlink ref="W61" r:id="rId56"/>
    <hyperlink ref="W62" r:id="rId57"/>
    <hyperlink ref="W63" r:id="rId58"/>
    <hyperlink ref="W64" r:id="rId59"/>
    <hyperlink ref="W65" r:id="rId60"/>
    <hyperlink ref="W66" r:id="rId61"/>
    <hyperlink ref="W67" r:id="rId62"/>
    <hyperlink ref="W68" r:id="rId63"/>
    <hyperlink ref="W69" r:id="rId64"/>
    <hyperlink ref="W70" r:id="rId65"/>
    <hyperlink ref="W71" r:id="rId66"/>
    <hyperlink ref="W72" r:id="rId67"/>
    <hyperlink ref="W73" r:id="rId68"/>
    <hyperlink ref="W74" r:id="rId69"/>
    <hyperlink ref="W75" r:id="rId70"/>
    <hyperlink ref="W76" r:id="rId71"/>
    <hyperlink ref="W77" r:id="rId72"/>
    <hyperlink ref="W78" r:id="rId73"/>
    <hyperlink ref="W79" r:id="rId74"/>
    <hyperlink ref="W80" r:id="rId75"/>
    <hyperlink ref="W81" r:id="rId76"/>
    <hyperlink ref="W82" r:id="rId77"/>
    <hyperlink ref="W83" r:id="rId78"/>
    <hyperlink ref="W84" r:id="rId79"/>
    <hyperlink ref="W85" r:id="rId80"/>
    <hyperlink ref="W86" r:id="rId81"/>
    <hyperlink ref="W87" r:id="rId82"/>
    <hyperlink ref="W88" r:id="rId83"/>
    <hyperlink ref="W89" r:id="rId84"/>
    <hyperlink ref="W90" r:id="rId85"/>
    <hyperlink ref="W91" r:id="rId86"/>
    <hyperlink ref="W92" r:id="rId87"/>
    <hyperlink ref="W93" r:id="rId88"/>
    <hyperlink ref="W94" r:id="rId89"/>
    <hyperlink ref="W95" r:id="rId90"/>
    <hyperlink ref="W96" r:id="rId91"/>
    <hyperlink ref="W97" r:id="rId92"/>
    <hyperlink ref="W98" r:id="rId93"/>
    <hyperlink ref="W99" r:id="rId94"/>
    <hyperlink ref="W100" r:id="rId95"/>
    <hyperlink ref="W101" r:id="rId96"/>
    <hyperlink ref="W102" r:id="rId97"/>
    <hyperlink ref="W103" r:id="rId98"/>
    <hyperlink ref="W104" r:id="rId99"/>
    <hyperlink ref="W105" r:id="rId100"/>
    <hyperlink ref="W106" r:id="rId101"/>
    <hyperlink ref="W107" r:id="rId102"/>
    <hyperlink ref="W108" r:id="rId103"/>
    <hyperlink ref="W109" r:id="rId104"/>
    <hyperlink ref="W110" r:id="rId105"/>
    <hyperlink ref="W111" r:id="rId106"/>
    <hyperlink ref="W112" r:id="rId107"/>
    <hyperlink ref="W113" r:id="rId108"/>
    <hyperlink ref="W114" r:id="rId109"/>
    <hyperlink ref="W115" r:id="rId110"/>
    <hyperlink ref="W116" r:id="rId111"/>
    <hyperlink ref="W117" r:id="rId112"/>
    <hyperlink ref="W118" r:id="rId113"/>
    <hyperlink ref="W119" r:id="rId114"/>
    <hyperlink ref="W120" r:id="rId115"/>
    <hyperlink ref="W121" r:id="rId116"/>
    <hyperlink ref="W122" r:id="rId117"/>
    <hyperlink ref="W123" r:id="rId118"/>
    <hyperlink ref="W124" r:id="rId119"/>
    <hyperlink ref="W125" r:id="rId120"/>
    <hyperlink ref="W126" r:id="rId121"/>
    <hyperlink ref="W127" r:id="rId122"/>
    <hyperlink ref="W128" r:id="rId123"/>
    <hyperlink ref="W129" r:id="rId124"/>
    <hyperlink ref="W130" r:id="rId125"/>
    <hyperlink ref="W131" r:id="rId126"/>
    <hyperlink ref="W132" r:id="rId127"/>
    <hyperlink ref="W133" r:id="rId128"/>
    <hyperlink ref="W134" r:id="rId129"/>
    <hyperlink ref="W135" r:id="rId130"/>
    <hyperlink ref="W136" r:id="rId131"/>
    <hyperlink ref="W137" r:id="rId132"/>
    <hyperlink ref="W138" r:id="rId133"/>
    <hyperlink ref="W139" r:id="rId134"/>
    <hyperlink ref="W140" r:id="rId135"/>
    <hyperlink ref="W141" r:id="rId136"/>
    <hyperlink ref="W142" r:id="rId137"/>
    <hyperlink ref="W143" r:id="rId138"/>
    <hyperlink ref="W144" r:id="rId139"/>
    <hyperlink ref="W145" r:id="rId140"/>
    <hyperlink ref="W146" r:id="rId141"/>
    <hyperlink ref="W147" r:id="rId142"/>
    <hyperlink ref="W148" r:id="rId143"/>
    <hyperlink ref="W149" r:id="rId144"/>
    <hyperlink ref="W150" r:id="rId145"/>
    <hyperlink ref="W151" r:id="rId146"/>
    <hyperlink ref="W152" r:id="rId147"/>
    <hyperlink ref="W153" r:id="rId148"/>
    <hyperlink ref="W154" r:id="rId149"/>
    <hyperlink ref="W155" r:id="rId150"/>
    <hyperlink ref="W156" r:id="rId151"/>
    <hyperlink ref="W157" r:id="rId152"/>
    <hyperlink ref="W158" r:id="rId153"/>
    <hyperlink ref="W159" r:id="rId154"/>
    <hyperlink ref="W160" r:id="rId155"/>
    <hyperlink ref="W161" r:id="rId156"/>
    <hyperlink ref="W162" r:id="rId157"/>
    <hyperlink ref="W163" r:id="rId158"/>
    <hyperlink ref="W164" r:id="rId159"/>
    <hyperlink ref="W165" r:id="rId160"/>
    <hyperlink ref="W166" r:id="rId161"/>
    <hyperlink ref="W167" r:id="rId162"/>
    <hyperlink ref="W168" r:id="rId163"/>
    <hyperlink ref="W169" r:id="rId164"/>
    <hyperlink ref="W170" r:id="rId165"/>
    <hyperlink ref="W171" r:id="rId166"/>
    <hyperlink ref="W172" r:id="rId167"/>
    <hyperlink ref="W173" r:id="rId168"/>
    <hyperlink ref="W174" r:id="rId169"/>
    <hyperlink ref="W175" r:id="rId170"/>
    <hyperlink ref="W176" r:id="rId171"/>
    <hyperlink ref="W177" r:id="rId172"/>
    <hyperlink ref="W178" r:id="rId173"/>
    <hyperlink ref="W179" r:id="rId174"/>
    <hyperlink ref="W180" r:id="rId175"/>
    <hyperlink ref="W181" r:id="rId176"/>
    <hyperlink ref="W182" r:id="rId177"/>
    <hyperlink ref="W183" r:id="rId178"/>
    <hyperlink ref="W184" r:id="rId179"/>
    <hyperlink ref="W185" r:id="rId180"/>
    <hyperlink ref="W186" r:id="rId181"/>
    <hyperlink ref="W187" r:id="rId182"/>
    <hyperlink ref="W188" r:id="rId183"/>
    <hyperlink ref="W189" r:id="rId184"/>
    <hyperlink ref="W190" r:id="rId185"/>
    <hyperlink ref="W191" r:id="rId186"/>
    <hyperlink ref="W192" r:id="rId187"/>
    <hyperlink ref="W193" r:id="rId188"/>
    <hyperlink ref="W194" r:id="rId189"/>
    <hyperlink ref="W195" r:id="rId190"/>
    <hyperlink ref="W196" r:id="rId191"/>
    <hyperlink ref="W197" r:id="rId192"/>
    <hyperlink ref="W198" r:id="rId193"/>
    <hyperlink ref="W199" r:id="rId194"/>
    <hyperlink ref="W200" r:id="rId195"/>
    <hyperlink ref="W201" r:id="rId196"/>
    <hyperlink ref="W202" r:id="rId197"/>
    <hyperlink ref="W203" r:id="rId198"/>
    <hyperlink ref="W204" r:id="rId199"/>
    <hyperlink ref="W205" r:id="rId200"/>
    <hyperlink ref="W206" r:id="rId201"/>
    <hyperlink ref="W207" r:id="rId202"/>
    <hyperlink ref="W208" r:id="rId203"/>
    <hyperlink ref="W209" r:id="rId204"/>
    <hyperlink ref="W210" r:id="rId205"/>
    <hyperlink ref="W211" r:id="rId206"/>
    <hyperlink ref="W212" r:id="rId207"/>
    <hyperlink ref="W213" r:id="rId208"/>
    <hyperlink ref="W214" r:id="rId209"/>
    <hyperlink ref="W215" r:id="rId210"/>
    <hyperlink ref="W216" r:id="rId211"/>
    <hyperlink ref="W217" r:id="rId212"/>
    <hyperlink ref="W218" r:id="rId213"/>
    <hyperlink ref="W219" r:id="rId214"/>
    <hyperlink ref="W220" r:id="rId215"/>
    <hyperlink ref="W221" r:id="rId216"/>
    <hyperlink ref="W222" r:id="rId217"/>
    <hyperlink ref="W223" r:id="rId218"/>
    <hyperlink ref="W224" r:id="rId219"/>
    <hyperlink ref="W225" r:id="rId220"/>
    <hyperlink ref="W226" r:id="rId221"/>
    <hyperlink ref="W227" r:id="rId222"/>
    <hyperlink ref="W228" r:id="rId223"/>
    <hyperlink ref="W229" r:id="rId224"/>
    <hyperlink ref="W230" r:id="rId225"/>
    <hyperlink ref="W231" r:id="rId226"/>
    <hyperlink ref="W232" r:id="rId227"/>
    <hyperlink ref="W233" r:id="rId228"/>
    <hyperlink ref="W234" r:id="rId229"/>
    <hyperlink ref="W235" r:id="rId230"/>
    <hyperlink ref="W236" r:id="rId231"/>
    <hyperlink ref="W237" r:id="rId232"/>
    <hyperlink ref="W238" r:id="rId233"/>
    <hyperlink ref="W239" r:id="rId234"/>
    <hyperlink ref="W240" r:id="rId235"/>
    <hyperlink ref="W241" r:id="rId236"/>
    <hyperlink ref="W242" r:id="rId237"/>
    <hyperlink ref="W243" r:id="rId238"/>
    <hyperlink ref="W244" r:id="rId239"/>
    <hyperlink ref="W245" r:id="rId240"/>
    <hyperlink ref="W246" r:id="rId241"/>
    <hyperlink ref="W247" r:id="rId242"/>
    <hyperlink ref="W248" r:id="rId243"/>
    <hyperlink ref="W249" r:id="rId244"/>
    <hyperlink ref="W250" r:id="rId245"/>
    <hyperlink ref="W251" r:id="rId246"/>
    <hyperlink ref="W252" r:id="rId247"/>
    <hyperlink ref="W253" r:id="rId248"/>
    <hyperlink ref="W254" r:id="rId249"/>
    <hyperlink ref="W255" r:id="rId250"/>
    <hyperlink ref="W256" r:id="rId251"/>
    <hyperlink ref="W257" r:id="rId252"/>
    <hyperlink ref="W258" r:id="rId253"/>
    <hyperlink ref="W259" r:id="rId254"/>
    <hyperlink ref="W260" r:id="rId255"/>
    <hyperlink ref="W261" r:id="rId256"/>
    <hyperlink ref="W262" r:id="rId257"/>
    <hyperlink ref="W263" r:id="rId258"/>
    <hyperlink ref="W264" r:id="rId259"/>
    <hyperlink ref="W265" r:id="rId260"/>
    <hyperlink ref="W266" r:id="rId261"/>
    <hyperlink ref="W267" r:id="rId262"/>
    <hyperlink ref="W268" r:id="rId263"/>
    <hyperlink ref="W269" r:id="rId264"/>
    <hyperlink ref="W270" r:id="rId265"/>
    <hyperlink ref="W271" r:id="rId266"/>
    <hyperlink ref="W272" r:id="rId267"/>
    <hyperlink ref="W273" r:id="rId268"/>
    <hyperlink ref="W274" r:id="rId269"/>
    <hyperlink ref="W275" r:id="rId270"/>
    <hyperlink ref="W276" r:id="rId271"/>
    <hyperlink ref="W277" r:id="rId272"/>
    <hyperlink ref="W278" r:id="rId273"/>
    <hyperlink ref="W279" r:id="rId274"/>
    <hyperlink ref="W280" r:id="rId275"/>
    <hyperlink ref="W281" r:id="rId276"/>
    <hyperlink ref="W282" r:id="rId277"/>
    <hyperlink ref="W283" r:id="rId278"/>
    <hyperlink ref="W284" r:id="rId279"/>
    <hyperlink ref="W285" r:id="rId280"/>
    <hyperlink ref="W286" r:id="rId281"/>
    <hyperlink ref="W287" r:id="rId282"/>
    <hyperlink ref="W288" r:id="rId283"/>
    <hyperlink ref="W289" r:id="rId284"/>
    <hyperlink ref="W290" r:id="rId285"/>
    <hyperlink ref="W291" r:id="rId286"/>
    <hyperlink ref="W292" r:id="rId287"/>
    <hyperlink ref="W293" r:id="rId288"/>
    <hyperlink ref="W294" r:id="rId289"/>
    <hyperlink ref="W295" r:id="rId290"/>
    <hyperlink ref="W296" r:id="rId291"/>
    <hyperlink ref="W297" r:id="rId292"/>
    <hyperlink ref="W298" r:id="rId293"/>
    <hyperlink ref="W299" r:id="rId294"/>
    <hyperlink ref="W300" r:id="rId295"/>
    <hyperlink ref="W301" r:id="rId296"/>
    <hyperlink ref="W302" r:id="rId297"/>
    <hyperlink ref="W303" r:id="rId298"/>
    <hyperlink ref="W304" r:id="rId299"/>
    <hyperlink ref="W305" r:id="rId300"/>
    <hyperlink ref="W306" r:id="rId301"/>
    <hyperlink ref="W307" r:id="rId302"/>
    <hyperlink ref="W308" r:id="rId303"/>
    <hyperlink ref="W309" r:id="rId304"/>
    <hyperlink ref="W310" r:id="rId305"/>
    <hyperlink ref="W311" r:id="rId306"/>
    <hyperlink ref="W312" r:id="rId307"/>
    <hyperlink ref="W313" r:id="rId308"/>
    <hyperlink ref="W314" r:id="rId309"/>
    <hyperlink ref="W315" r:id="rId310"/>
    <hyperlink ref="W316" r:id="rId311"/>
    <hyperlink ref="W317" r:id="rId312"/>
    <hyperlink ref="W318" r:id="rId313"/>
    <hyperlink ref="W319" r:id="rId314"/>
    <hyperlink ref="W320" r:id="rId315"/>
    <hyperlink ref="W321" r:id="rId316"/>
    <hyperlink ref="W322" r:id="rId317"/>
    <hyperlink ref="W323" r:id="rId318"/>
    <hyperlink ref="W324" r:id="rId319"/>
    <hyperlink ref="W325" r:id="rId320"/>
    <hyperlink ref="W326" r:id="rId321"/>
    <hyperlink ref="W327" r:id="rId322"/>
    <hyperlink ref="W328" r:id="rId323"/>
    <hyperlink ref="W329" r:id="rId324"/>
    <hyperlink ref="W330" r:id="rId325"/>
    <hyperlink ref="W331" r:id="rId326"/>
    <hyperlink ref="W332" r:id="rId327"/>
    <hyperlink ref="W333" r:id="rId328"/>
    <hyperlink ref="W334" r:id="rId329"/>
    <hyperlink ref="W335" r:id="rId330"/>
    <hyperlink ref="W336" r:id="rId331"/>
    <hyperlink ref="W337" r:id="rId332"/>
    <hyperlink ref="W338" r:id="rId333"/>
    <hyperlink ref="W339" r:id="rId334"/>
    <hyperlink ref="W340" r:id="rId335"/>
    <hyperlink ref="W341" r:id="rId336"/>
    <hyperlink ref="W342" r:id="rId337"/>
    <hyperlink ref="W343" r:id="rId338"/>
    <hyperlink ref="W344" r:id="rId339"/>
    <hyperlink ref="W345" r:id="rId340"/>
    <hyperlink ref="W346" r:id="rId341"/>
    <hyperlink ref="W347" r:id="rId342"/>
    <hyperlink ref="W348" r:id="rId343"/>
    <hyperlink ref="W349" r:id="rId344"/>
    <hyperlink ref="W350" r:id="rId345"/>
    <hyperlink ref="W351" r:id="rId346"/>
    <hyperlink ref="W352" r:id="rId347"/>
    <hyperlink ref="W353" r:id="rId348"/>
    <hyperlink ref="W354" r:id="rId349"/>
    <hyperlink ref="W355" r:id="rId350"/>
    <hyperlink ref="W356" r:id="rId351"/>
    <hyperlink ref="W357" r:id="rId352"/>
    <hyperlink ref="W358" r:id="rId353"/>
    <hyperlink ref="W359" r:id="rId354"/>
    <hyperlink ref="W360" r:id="rId355"/>
    <hyperlink ref="W361" r:id="rId356"/>
    <hyperlink ref="W362" r:id="rId357"/>
    <hyperlink ref="W363" r:id="rId358"/>
    <hyperlink ref="W364" r:id="rId359"/>
    <hyperlink ref="W365" r:id="rId360"/>
    <hyperlink ref="W366" r:id="rId361"/>
    <hyperlink ref="W367" r:id="rId362"/>
    <hyperlink ref="W368" r:id="rId363"/>
    <hyperlink ref="W369" r:id="rId364"/>
    <hyperlink ref="W370" r:id="rId365"/>
    <hyperlink ref="W371" r:id="rId366"/>
    <hyperlink ref="W372" r:id="rId367"/>
    <hyperlink ref="W373" r:id="rId368"/>
    <hyperlink ref="W374" r:id="rId369"/>
    <hyperlink ref="W375" r:id="rId370"/>
    <hyperlink ref="W376" r:id="rId371"/>
    <hyperlink ref="W377" r:id="rId372"/>
    <hyperlink ref="W378" r:id="rId373"/>
    <hyperlink ref="W379" r:id="rId374"/>
    <hyperlink ref="W380" r:id="rId375"/>
    <hyperlink ref="W381" r:id="rId376"/>
    <hyperlink ref="W382" r:id="rId377"/>
    <hyperlink ref="W383" r:id="rId378"/>
    <hyperlink ref="W384" r:id="rId379"/>
    <hyperlink ref="W385" r:id="rId380"/>
    <hyperlink ref="W386" r:id="rId381"/>
    <hyperlink ref="W387" r:id="rId382"/>
    <hyperlink ref="W388" r:id="rId383"/>
    <hyperlink ref="W389" r:id="rId384"/>
    <hyperlink ref="W390" r:id="rId385"/>
    <hyperlink ref="W391" r:id="rId386"/>
    <hyperlink ref="W392" r:id="rId387"/>
    <hyperlink ref="W393" r:id="rId388"/>
    <hyperlink ref="W394" r:id="rId389"/>
    <hyperlink ref="W395" r:id="rId390"/>
    <hyperlink ref="W396" r:id="rId391"/>
    <hyperlink ref="W397" r:id="rId392"/>
    <hyperlink ref="W398" r:id="rId393"/>
    <hyperlink ref="W399" r:id="rId394"/>
    <hyperlink ref="W400" r:id="rId395"/>
    <hyperlink ref="W401" r:id="rId396"/>
    <hyperlink ref="W402" r:id="rId397"/>
    <hyperlink ref="W403" r:id="rId398"/>
    <hyperlink ref="W404" r:id="rId399"/>
    <hyperlink ref="W405" r:id="rId400"/>
    <hyperlink ref="W406" r:id="rId401"/>
    <hyperlink ref="W407" r:id="rId402"/>
    <hyperlink ref="W408" r:id="rId403"/>
    <hyperlink ref="W409" r:id="rId404"/>
    <hyperlink ref="W410" r:id="rId405"/>
    <hyperlink ref="W411" r:id="rId406"/>
    <hyperlink ref="W412" r:id="rId407"/>
    <hyperlink ref="W413" r:id="rId408"/>
    <hyperlink ref="W414" r:id="rId409"/>
    <hyperlink ref="W415" r:id="rId410"/>
    <hyperlink ref="W416" r:id="rId411"/>
    <hyperlink ref="W417" r:id="rId412"/>
    <hyperlink ref="W418" r:id="rId413"/>
    <hyperlink ref="W419" r:id="rId414"/>
    <hyperlink ref="W420" r:id="rId415"/>
    <hyperlink ref="W421" r:id="rId416"/>
    <hyperlink ref="W422" r:id="rId417"/>
    <hyperlink ref="W423" r:id="rId418"/>
    <hyperlink ref="W424" r:id="rId419"/>
    <hyperlink ref="W425" r:id="rId420"/>
    <hyperlink ref="W426" r:id="rId421"/>
    <hyperlink ref="W427" r:id="rId422"/>
    <hyperlink ref="W428" r:id="rId423"/>
    <hyperlink ref="W429" r:id="rId424"/>
    <hyperlink ref="W430" r:id="rId425"/>
    <hyperlink ref="W431" r:id="rId426"/>
    <hyperlink ref="W432" r:id="rId427"/>
    <hyperlink ref="W433" r:id="rId428"/>
    <hyperlink ref="W434" r:id="rId429"/>
    <hyperlink ref="W435" r:id="rId430"/>
    <hyperlink ref="W436" r:id="rId431"/>
    <hyperlink ref="W437" r:id="rId432"/>
    <hyperlink ref="W438" r:id="rId433"/>
    <hyperlink ref="W439" r:id="rId434"/>
    <hyperlink ref="W440" r:id="rId435"/>
    <hyperlink ref="W441" r:id="rId436"/>
    <hyperlink ref="W442" r:id="rId437"/>
    <hyperlink ref="W443" r:id="rId438"/>
    <hyperlink ref="W444" r:id="rId439"/>
    <hyperlink ref="W445" r:id="rId440"/>
    <hyperlink ref="W446" r:id="rId441"/>
    <hyperlink ref="W447" r:id="rId442"/>
    <hyperlink ref="W448" r:id="rId443"/>
    <hyperlink ref="W449" r:id="rId444"/>
    <hyperlink ref="W450" r:id="rId445"/>
    <hyperlink ref="W451" r:id="rId446"/>
    <hyperlink ref="W452" r:id="rId447"/>
    <hyperlink ref="W453" r:id="rId448"/>
    <hyperlink ref="W454" r:id="rId449"/>
    <hyperlink ref="W455" r:id="rId450"/>
    <hyperlink ref="W456" r:id="rId451"/>
    <hyperlink ref="W457" r:id="rId452"/>
    <hyperlink ref="W458" r:id="rId453"/>
    <hyperlink ref="W459" r:id="rId454"/>
    <hyperlink ref="W460" r:id="rId455"/>
    <hyperlink ref="W461" r:id="rId456"/>
    <hyperlink ref="W462" r:id="rId457"/>
    <hyperlink ref="W463" r:id="rId458"/>
    <hyperlink ref="W464" r:id="rId459"/>
    <hyperlink ref="W465" r:id="rId460"/>
    <hyperlink ref="W466" r:id="rId461"/>
    <hyperlink ref="W467" r:id="rId462"/>
    <hyperlink ref="W468" r:id="rId463"/>
    <hyperlink ref="W469" r:id="rId464"/>
    <hyperlink ref="W470" r:id="rId465"/>
    <hyperlink ref="W471" r:id="rId466"/>
    <hyperlink ref="W472" r:id="rId467"/>
    <hyperlink ref="W473" r:id="rId468"/>
    <hyperlink ref="W474" r:id="rId469"/>
    <hyperlink ref="W475" r:id="rId470"/>
    <hyperlink ref="W476" r:id="rId471"/>
    <hyperlink ref="W477" r:id="rId472"/>
    <hyperlink ref="W478" r:id="rId473"/>
    <hyperlink ref="W479" r:id="rId474"/>
    <hyperlink ref="W480" r:id="rId475"/>
    <hyperlink ref="W481" r:id="rId476"/>
    <hyperlink ref="W482" r:id="rId477"/>
    <hyperlink ref="W483" r:id="rId478"/>
    <hyperlink ref="W484" r:id="rId479"/>
    <hyperlink ref="W485" r:id="rId480"/>
    <hyperlink ref="W486" r:id="rId481"/>
    <hyperlink ref="W487" r:id="rId482"/>
    <hyperlink ref="W488" r:id="rId483"/>
    <hyperlink ref="W489" r:id="rId484"/>
    <hyperlink ref="W490" r:id="rId485"/>
    <hyperlink ref="W491" r:id="rId486"/>
    <hyperlink ref="W492" r:id="rId487"/>
    <hyperlink ref="W493" r:id="rId488"/>
    <hyperlink ref="W494" r:id="rId489"/>
    <hyperlink ref="W495" r:id="rId490"/>
    <hyperlink ref="W496" r:id="rId491"/>
    <hyperlink ref="W497" r:id="rId492"/>
    <hyperlink ref="W498" r:id="rId493"/>
    <hyperlink ref="W499" r:id="rId494"/>
    <hyperlink ref="W500" r:id="rId495"/>
    <hyperlink ref="W501" r:id="rId496"/>
    <hyperlink ref="W502" r:id="rId497"/>
    <hyperlink ref="W503" r:id="rId498"/>
    <hyperlink ref="W504" r:id="rId499"/>
    <hyperlink ref="W505" r:id="rId500"/>
    <hyperlink ref="W506" r:id="rId501"/>
    <hyperlink ref="W507" r:id="rId502"/>
    <hyperlink ref="W508" r:id="rId503"/>
    <hyperlink ref="W509" r:id="rId504"/>
    <hyperlink ref="W510" r:id="rId505"/>
    <hyperlink ref="W511" r:id="rId506"/>
    <hyperlink ref="W512" r:id="rId507"/>
    <hyperlink ref="W513" r:id="rId508"/>
    <hyperlink ref="W514" r:id="rId509"/>
    <hyperlink ref="W515" r:id="rId510"/>
    <hyperlink ref="W516" r:id="rId511"/>
    <hyperlink ref="W517" r:id="rId512"/>
    <hyperlink ref="W518" r:id="rId513"/>
    <hyperlink ref="W519" r:id="rId514"/>
    <hyperlink ref="W520" r:id="rId515"/>
    <hyperlink ref="W521" r:id="rId516"/>
    <hyperlink ref="W522" r:id="rId517"/>
    <hyperlink ref="W523" r:id="rId518"/>
    <hyperlink ref="W524" r:id="rId519"/>
    <hyperlink ref="W525" r:id="rId520"/>
    <hyperlink ref="W526" r:id="rId521"/>
    <hyperlink ref="W527" r:id="rId522"/>
    <hyperlink ref="W528" r:id="rId523"/>
    <hyperlink ref="W529" r:id="rId524"/>
    <hyperlink ref="W530" r:id="rId525"/>
    <hyperlink ref="W531" r:id="rId526"/>
    <hyperlink ref="W532" r:id="rId527"/>
    <hyperlink ref="W533" r:id="rId528"/>
    <hyperlink ref="W534" r:id="rId529"/>
    <hyperlink ref="W535" r:id="rId530"/>
    <hyperlink ref="W536" r:id="rId531"/>
    <hyperlink ref="W537" r:id="rId532"/>
    <hyperlink ref="W538" r:id="rId533"/>
    <hyperlink ref="W539" r:id="rId534"/>
    <hyperlink ref="W540" r:id="rId535"/>
    <hyperlink ref="W541" r:id="rId536"/>
    <hyperlink ref="W542" r:id="rId537"/>
    <hyperlink ref="W543" r:id="rId538"/>
    <hyperlink ref="W544" r:id="rId539"/>
    <hyperlink ref="W545" r:id="rId540"/>
    <hyperlink ref="W546" r:id="rId541"/>
    <hyperlink ref="W547" r:id="rId542"/>
    <hyperlink ref="W548" r:id="rId543"/>
    <hyperlink ref="W549" r:id="rId544"/>
    <hyperlink ref="W550" r:id="rId545"/>
    <hyperlink ref="W551" r:id="rId546"/>
    <hyperlink ref="W552" r:id="rId547"/>
    <hyperlink ref="W553" r:id="rId548"/>
    <hyperlink ref="W554" r:id="rId549"/>
    <hyperlink ref="W555" r:id="rId550"/>
    <hyperlink ref="W556" r:id="rId551"/>
    <hyperlink ref="W557" r:id="rId552"/>
    <hyperlink ref="W558" r:id="rId553"/>
    <hyperlink ref="W559" r:id="rId554"/>
    <hyperlink ref="W560" r:id="rId555"/>
    <hyperlink ref="W561" r:id="rId556"/>
    <hyperlink ref="W562" r:id="rId557"/>
    <hyperlink ref="W563" r:id="rId558"/>
    <hyperlink ref="W564" r:id="rId559"/>
    <hyperlink ref="W565" r:id="rId560"/>
    <hyperlink ref="W566" r:id="rId561"/>
    <hyperlink ref="W567" r:id="rId562"/>
    <hyperlink ref="W568" r:id="rId563"/>
    <hyperlink ref="W569" r:id="rId564"/>
    <hyperlink ref="W570" r:id="rId565"/>
    <hyperlink ref="W571" r:id="rId566"/>
    <hyperlink ref="W572" r:id="rId567"/>
    <hyperlink ref="W573" r:id="rId568"/>
    <hyperlink ref="W574" r:id="rId569"/>
    <hyperlink ref="W575" r:id="rId570"/>
    <hyperlink ref="W576" r:id="rId571"/>
    <hyperlink ref="W577" r:id="rId572"/>
    <hyperlink ref="W578" r:id="rId573"/>
    <hyperlink ref="W579" r:id="rId574"/>
    <hyperlink ref="W580" r:id="rId575"/>
    <hyperlink ref="W581" r:id="rId576"/>
    <hyperlink ref="W582" r:id="rId577"/>
    <hyperlink ref="W583" r:id="rId578"/>
    <hyperlink ref="W584" r:id="rId579"/>
    <hyperlink ref="W585" r:id="rId580"/>
    <hyperlink ref="W586" r:id="rId581"/>
    <hyperlink ref="W587" r:id="rId582"/>
    <hyperlink ref="W588" r:id="rId583"/>
    <hyperlink ref="W589" r:id="rId584"/>
    <hyperlink ref="W590" r:id="rId585"/>
    <hyperlink ref="W591" r:id="rId586"/>
    <hyperlink ref="W592" r:id="rId587"/>
    <hyperlink ref="W593" r:id="rId588"/>
    <hyperlink ref="W594" r:id="rId589"/>
    <hyperlink ref="W595" r:id="rId590"/>
    <hyperlink ref="W596" r:id="rId591"/>
    <hyperlink ref="W597" r:id="rId592"/>
    <hyperlink ref="W598" r:id="rId593"/>
    <hyperlink ref="W599" r:id="rId594"/>
    <hyperlink ref="W600" r:id="rId595"/>
    <hyperlink ref="W601" r:id="rId596"/>
    <hyperlink ref="W602" r:id="rId597"/>
    <hyperlink ref="W603" r:id="rId598"/>
    <hyperlink ref="W604" r:id="rId599"/>
    <hyperlink ref="W605" r:id="rId600"/>
    <hyperlink ref="W606" r:id="rId601"/>
    <hyperlink ref="W607" r:id="rId602"/>
    <hyperlink ref="W608" r:id="rId603"/>
    <hyperlink ref="W609" r:id="rId604"/>
    <hyperlink ref="W610" r:id="rId605"/>
    <hyperlink ref="W611" r:id="rId606"/>
    <hyperlink ref="W612" r:id="rId607"/>
    <hyperlink ref="W613" r:id="rId608"/>
    <hyperlink ref="W614" r:id="rId609"/>
    <hyperlink ref="W615" r:id="rId610"/>
    <hyperlink ref="W616" r:id="rId611"/>
    <hyperlink ref="W617" r:id="rId612"/>
    <hyperlink ref="W618" r:id="rId613"/>
    <hyperlink ref="W619" r:id="rId614"/>
    <hyperlink ref="W620" r:id="rId615"/>
    <hyperlink ref="W621" r:id="rId616"/>
    <hyperlink ref="W622" r:id="rId617"/>
    <hyperlink ref="W623" r:id="rId618"/>
    <hyperlink ref="W624" r:id="rId619"/>
    <hyperlink ref="W625" r:id="rId620"/>
    <hyperlink ref="W626" r:id="rId621"/>
    <hyperlink ref="W627" r:id="rId622"/>
    <hyperlink ref="W628" r:id="rId623"/>
    <hyperlink ref="W629" r:id="rId624"/>
    <hyperlink ref="W630" r:id="rId625"/>
    <hyperlink ref="W631" r:id="rId626"/>
    <hyperlink ref="W632" r:id="rId627"/>
    <hyperlink ref="W633" r:id="rId628"/>
    <hyperlink ref="W634" r:id="rId629"/>
    <hyperlink ref="W635" r:id="rId630"/>
    <hyperlink ref="W636" r:id="rId631"/>
    <hyperlink ref="W637" r:id="rId632"/>
    <hyperlink ref="W638" r:id="rId633"/>
    <hyperlink ref="W639" r:id="rId634"/>
    <hyperlink ref="W640" r:id="rId635"/>
    <hyperlink ref="W641" r:id="rId636"/>
    <hyperlink ref="W642" r:id="rId637"/>
    <hyperlink ref="W643" r:id="rId638"/>
    <hyperlink ref="W644" r:id="rId639"/>
    <hyperlink ref="W645" r:id="rId640"/>
    <hyperlink ref="W646" r:id="rId641"/>
    <hyperlink ref="W647" r:id="rId642"/>
    <hyperlink ref="W648" r:id="rId643"/>
    <hyperlink ref="W649" r:id="rId644"/>
    <hyperlink ref="W650" r:id="rId645"/>
    <hyperlink ref="W651" r:id="rId646"/>
    <hyperlink ref="W652" r:id="rId647"/>
    <hyperlink ref="W653" r:id="rId648"/>
    <hyperlink ref="W654" r:id="rId649"/>
    <hyperlink ref="W655" r:id="rId650"/>
    <hyperlink ref="W656" r:id="rId651"/>
    <hyperlink ref="W657" r:id="rId652"/>
    <hyperlink ref="W658" r:id="rId653"/>
    <hyperlink ref="W659" r:id="rId654"/>
    <hyperlink ref="W660" r:id="rId655"/>
    <hyperlink ref="W661" r:id="rId656"/>
    <hyperlink ref="W662" r:id="rId657"/>
    <hyperlink ref="W663" r:id="rId658"/>
    <hyperlink ref="W664" r:id="rId659"/>
    <hyperlink ref="W665" r:id="rId660"/>
    <hyperlink ref="W666" r:id="rId661"/>
    <hyperlink ref="W667" r:id="rId662"/>
    <hyperlink ref="W668" r:id="rId663"/>
    <hyperlink ref="W669" r:id="rId664"/>
    <hyperlink ref="W670" r:id="rId665"/>
    <hyperlink ref="W671" r:id="rId666"/>
    <hyperlink ref="W672" r:id="rId667"/>
    <hyperlink ref="W673" r:id="rId668"/>
    <hyperlink ref="W674" r:id="rId669"/>
    <hyperlink ref="W675" r:id="rId670"/>
    <hyperlink ref="W676" r:id="rId671"/>
    <hyperlink ref="W677" r:id="rId672"/>
    <hyperlink ref="W678" r:id="rId673"/>
    <hyperlink ref="W679" r:id="rId674"/>
    <hyperlink ref="W680" r:id="rId675"/>
    <hyperlink ref="W681" r:id="rId676"/>
    <hyperlink ref="W682" r:id="rId677"/>
    <hyperlink ref="W683" r:id="rId678"/>
    <hyperlink ref="W684" r:id="rId679"/>
    <hyperlink ref="W685" r:id="rId680"/>
    <hyperlink ref="W686" r:id="rId681"/>
    <hyperlink ref="W687" r:id="rId682"/>
    <hyperlink ref="W688" r:id="rId683"/>
    <hyperlink ref="W689" r:id="rId684"/>
    <hyperlink ref="W690" r:id="rId685"/>
    <hyperlink ref="W691" r:id="rId686"/>
    <hyperlink ref="W692" r:id="rId687"/>
    <hyperlink ref="W693" r:id="rId688"/>
    <hyperlink ref="W694" r:id="rId689"/>
    <hyperlink ref="W695" r:id="rId690"/>
    <hyperlink ref="W696" r:id="rId691"/>
    <hyperlink ref="W697" r:id="rId692"/>
    <hyperlink ref="W698" r:id="rId693"/>
    <hyperlink ref="W699" r:id="rId694"/>
    <hyperlink ref="W700" r:id="rId695"/>
    <hyperlink ref="W701" r:id="rId696"/>
    <hyperlink ref="W702" r:id="rId697"/>
    <hyperlink ref="W703" r:id="rId698"/>
    <hyperlink ref="W704" r:id="rId699"/>
    <hyperlink ref="W705" r:id="rId700"/>
    <hyperlink ref="W706" r:id="rId701"/>
    <hyperlink ref="W707" r:id="rId702"/>
    <hyperlink ref="W708" r:id="rId703"/>
    <hyperlink ref="W709" r:id="rId704"/>
    <hyperlink ref="W710" r:id="rId705"/>
    <hyperlink ref="W711" r:id="rId706"/>
    <hyperlink ref="W712" r:id="rId707"/>
    <hyperlink ref="W713" r:id="rId708"/>
    <hyperlink ref="W714" r:id="rId709"/>
    <hyperlink ref="W715" r:id="rId710"/>
    <hyperlink ref="W716" r:id="rId711"/>
    <hyperlink ref="W717" r:id="rId712"/>
    <hyperlink ref="W718" r:id="rId713"/>
    <hyperlink ref="W719" r:id="rId714"/>
    <hyperlink ref="W720" r:id="rId715"/>
    <hyperlink ref="W721" r:id="rId716"/>
    <hyperlink ref="W722" r:id="rId717"/>
    <hyperlink ref="W723" r:id="rId718"/>
    <hyperlink ref="W724" r:id="rId719"/>
    <hyperlink ref="W725" r:id="rId720"/>
    <hyperlink ref="W726" r:id="rId721"/>
    <hyperlink ref="W727" r:id="rId722"/>
    <hyperlink ref="W728" r:id="rId723"/>
    <hyperlink ref="W729" r:id="rId724"/>
    <hyperlink ref="W730" r:id="rId725"/>
    <hyperlink ref="W731" r:id="rId726"/>
    <hyperlink ref="W732" r:id="rId727"/>
    <hyperlink ref="W733" r:id="rId728"/>
    <hyperlink ref="W734" r:id="rId729"/>
    <hyperlink ref="W735" r:id="rId730"/>
    <hyperlink ref="W736" r:id="rId731"/>
    <hyperlink ref="W737" r:id="rId732"/>
    <hyperlink ref="W738" r:id="rId733"/>
    <hyperlink ref="W739" r:id="rId734"/>
    <hyperlink ref="W740" r:id="rId735"/>
    <hyperlink ref="W741" r:id="rId736"/>
    <hyperlink ref="W742" r:id="rId737"/>
    <hyperlink ref="W743" r:id="rId738"/>
    <hyperlink ref="W744" r:id="rId739"/>
    <hyperlink ref="W745" r:id="rId740"/>
    <hyperlink ref="W746" r:id="rId741"/>
    <hyperlink ref="W747" r:id="rId742"/>
    <hyperlink ref="W748" r:id="rId743"/>
    <hyperlink ref="W749" r:id="rId744"/>
    <hyperlink ref="W750" r:id="rId745"/>
    <hyperlink ref="W751" r:id="rId746"/>
    <hyperlink ref="W752" r:id="rId747"/>
    <hyperlink ref="W753" r:id="rId748"/>
    <hyperlink ref="W754" r:id="rId749"/>
    <hyperlink ref="W755" r:id="rId750"/>
    <hyperlink ref="W756" r:id="rId751"/>
    <hyperlink ref="W757" r:id="rId752"/>
    <hyperlink ref="W758" r:id="rId753"/>
    <hyperlink ref="W759" r:id="rId754"/>
    <hyperlink ref="W760" r:id="rId755"/>
    <hyperlink ref="W761" r:id="rId756"/>
    <hyperlink ref="W762" r:id="rId757"/>
    <hyperlink ref="W763" r:id="rId758"/>
    <hyperlink ref="W764" r:id="rId759"/>
    <hyperlink ref="W765" r:id="rId760"/>
    <hyperlink ref="W766" r:id="rId761"/>
    <hyperlink ref="W767" r:id="rId762"/>
    <hyperlink ref="W768" r:id="rId763"/>
    <hyperlink ref="W769" r:id="rId764"/>
    <hyperlink ref="W770" r:id="rId765"/>
    <hyperlink ref="W771" r:id="rId766"/>
    <hyperlink ref="W772" r:id="rId767"/>
    <hyperlink ref="W773" r:id="rId768"/>
    <hyperlink ref="W774" r:id="rId769"/>
    <hyperlink ref="W775" r:id="rId770"/>
    <hyperlink ref="W776" r:id="rId771"/>
    <hyperlink ref="W777" r:id="rId772"/>
    <hyperlink ref="W778" r:id="rId773"/>
    <hyperlink ref="W779" r:id="rId774"/>
    <hyperlink ref="W780" r:id="rId775"/>
    <hyperlink ref="W781" r:id="rId776"/>
    <hyperlink ref="W782" r:id="rId777"/>
    <hyperlink ref="W783" r:id="rId778"/>
    <hyperlink ref="W784" r:id="rId779"/>
    <hyperlink ref="W785" r:id="rId780"/>
    <hyperlink ref="W786" r:id="rId781"/>
    <hyperlink ref="W787" r:id="rId782"/>
    <hyperlink ref="W788" r:id="rId783"/>
    <hyperlink ref="W789" r:id="rId784"/>
    <hyperlink ref="W790" r:id="rId785"/>
    <hyperlink ref="W791" r:id="rId786"/>
    <hyperlink ref="W792" r:id="rId787"/>
    <hyperlink ref="W793" r:id="rId788"/>
    <hyperlink ref="W794" r:id="rId789"/>
    <hyperlink ref="W795" r:id="rId790"/>
    <hyperlink ref="W796" r:id="rId791"/>
    <hyperlink ref="W797" r:id="rId792"/>
    <hyperlink ref="W798" r:id="rId793"/>
    <hyperlink ref="W799" r:id="rId794"/>
    <hyperlink ref="W800" r:id="rId795"/>
    <hyperlink ref="W801" r:id="rId796"/>
    <hyperlink ref="W802" r:id="rId797"/>
    <hyperlink ref="W803" r:id="rId798"/>
    <hyperlink ref="W804" r:id="rId799"/>
    <hyperlink ref="W805" r:id="rId800"/>
    <hyperlink ref="W806" r:id="rId801"/>
    <hyperlink ref="W807" r:id="rId802"/>
    <hyperlink ref="W808" r:id="rId803"/>
    <hyperlink ref="W809" r:id="rId804"/>
    <hyperlink ref="W810" r:id="rId805"/>
    <hyperlink ref="W811" r:id="rId806"/>
    <hyperlink ref="W812" r:id="rId807"/>
    <hyperlink ref="W813" r:id="rId808"/>
    <hyperlink ref="W814" r:id="rId809"/>
    <hyperlink ref="W815" r:id="rId810"/>
    <hyperlink ref="W816" r:id="rId811"/>
    <hyperlink ref="W817" r:id="rId812"/>
    <hyperlink ref="W818" r:id="rId813"/>
    <hyperlink ref="W819" r:id="rId814"/>
    <hyperlink ref="W820" r:id="rId815"/>
    <hyperlink ref="W821" r:id="rId816"/>
    <hyperlink ref="W822" r:id="rId817"/>
    <hyperlink ref="W823" r:id="rId818"/>
    <hyperlink ref="W824" r:id="rId819"/>
    <hyperlink ref="W825" r:id="rId820"/>
    <hyperlink ref="W826" r:id="rId821"/>
    <hyperlink ref="W827" r:id="rId822"/>
    <hyperlink ref="W828" r:id="rId823"/>
    <hyperlink ref="W829" r:id="rId824"/>
    <hyperlink ref="W830" r:id="rId825"/>
    <hyperlink ref="W831" r:id="rId826"/>
    <hyperlink ref="W832" r:id="rId827"/>
    <hyperlink ref="W833" r:id="rId828"/>
    <hyperlink ref="W834" r:id="rId829"/>
    <hyperlink ref="W835" r:id="rId830"/>
    <hyperlink ref="W836" r:id="rId831"/>
    <hyperlink ref="W837" r:id="rId832"/>
    <hyperlink ref="W838" r:id="rId833"/>
    <hyperlink ref="W839" r:id="rId834"/>
    <hyperlink ref="W840" r:id="rId835"/>
    <hyperlink ref="W841" r:id="rId836"/>
    <hyperlink ref="W842" r:id="rId837"/>
    <hyperlink ref="W843" r:id="rId838"/>
    <hyperlink ref="W844" r:id="rId839"/>
    <hyperlink ref="W845" r:id="rId840"/>
    <hyperlink ref="W846" r:id="rId841"/>
    <hyperlink ref="W847" r:id="rId842"/>
    <hyperlink ref="W848" r:id="rId843"/>
    <hyperlink ref="W849" r:id="rId844"/>
    <hyperlink ref="W850" r:id="rId845"/>
    <hyperlink ref="W851" r:id="rId846"/>
    <hyperlink ref="W852" r:id="rId847"/>
    <hyperlink ref="W853" r:id="rId848"/>
    <hyperlink ref="W854" r:id="rId849"/>
    <hyperlink ref="W855" r:id="rId850"/>
    <hyperlink ref="W856" r:id="rId851"/>
    <hyperlink ref="W857" r:id="rId852"/>
    <hyperlink ref="W858" r:id="rId853"/>
    <hyperlink ref="W859" r:id="rId854"/>
    <hyperlink ref="W860" r:id="rId855"/>
    <hyperlink ref="W861" r:id="rId856"/>
    <hyperlink ref="W862" r:id="rId857"/>
    <hyperlink ref="W863" r:id="rId858"/>
    <hyperlink ref="W864" r:id="rId859"/>
    <hyperlink ref="W865" r:id="rId860"/>
    <hyperlink ref="W866" r:id="rId861"/>
    <hyperlink ref="W867" r:id="rId862"/>
    <hyperlink ref="W868" r:id="rId863"/>
    <hyperlink ref="W869" r:id="rId864"/>
    <hyperlink ref="W870" r:id="rId865"/>
    <hyperlink ref="W871" r:id="rId866"/>
    <hyperlink ref="W872" r:id="rId867"/>
    <hyperlink ref="W873" r:id="rId868"/>
    <hyperlink ref="W874" r:id="rId869"/>
    <hyperlink ref="W875" r:id="rId870"/>
    <hyperlink ref="W876" r:id="rId871"/>
    <hyperlink ref="W877" r:id="rId872"/>
    <hyperlink ref="W878" r:id="rId873"/>
    <hyperlink ref="W879" r:id="rId874"/>
    <hyperlink ref="W880" r:id="rId875"/>
    <hyperlink ref="W881" r:id="rId876"/>
    <hyperlink ref="W882" r:id="rId877"/>
    <hyperlink ref="W883" r:id="rId878"/>
    <hyperlink ref="W884" r:id="rId879"/>
    <hyperlink ref="W885" r:id="rId880"/>
    <hyperlink ref="W886" r:id="rId881"/>
    <hyperlink ref="W887" r:id="rId882"/>
    <hyperlink ref="W888" r:id="rId883"/>
    <hyperlink ref="W889" r:id="rId884"/>
    <hyperlink ref="W890" r:id="rId885"/>
    <hyperlink ref="W891" r:id="rId886"/>
    <hyperlink ref="W892" r:id="rId887"/>
    <hyperlink ref="W893" r:id="rId888"/>
    <hyperlink ref="W894" r:id="rId889"/>
    <hyperlink ref="W895" r:id="rId890"/>
    <hyperlink ref="W896" r:id="rId891"/>
    <hyperlink ref="W897" r:id="rId892"/>
    <hyperlink ref="W898" r:id="rId893"/>
    <hyperlink ref="W899" r:id="rId894"/>
    <hyperlink ref="W900" r:id="rId895"/>
    <hyperlink ref="W901" r:id="rId896"/>
    <hyperlink ref="W902" r:id="rId897"/>
    <hyperlink ref="W903" r:id="rId898"/>
    <hyperlink ref="W904" r:id="rId899"/>
    <hyperlink ref="W905" r:id="rId900"/>
    <hyperlink ref="W906" r:id="rId901"/>
    <hyperlink ref="W907" r:id="rId902"/>
    <hyperlink ref="W908" r:id="rId903"/>
    <hyperlink ref="W909" r:id="rId904"/>
    <hyperlink ref="W910" r:id="rId905"/>
    <hyperlink ref="W911" r:id="rId906"/>
    <hyperlink ref="W912" r:id="rId907"/>
    <hyperlink ref="W913" r:id="rId908"/>
    <hyperlink ref="W914" r:id="rId909"/>
    <hyperlink ref="W915" r:id="rId910"/>
    <hyperlink ref="W916" r:id="rId911"/>
    <hyperlink ref="W917" r:id="rId912"/>
    <hyperlink ref="W918" r:id="rId913"/>
    <hyperlink ref="W919" r:id="rId914"/>
    <hyperlink ref="W920" r:id="rId915"/>
    <hyperlink ref="W921" r:id="rId916"/>
    <hyperlink ref="W922" r:id="rId917"/>
    <hyperlink ref="W923" r:id="rId918"/>
    <hyperlink ref="W924" r:id="rId919"/>
    <hyperlink ref="W925" r:id="rId920"/>
    <hyperlink ref="W926" r:id="rId921"/>
    <hyperlink ref="W927" r:id="rId922"/>
    <hyperlink ref="W928" r:id="rId923"/>
    <hyperlink ref="W929" r:id="rId924"/>
    <hyperlink ref="W930" r:id="rId925"/>
    <hyperlink ref="W931" r:id="rId926"/>
    <hyperlink ref="W932" r:id="rId927"/>
    <hyperlink ref="W933" r:id="rId928"/>
    <hyperlink ref="W934" r:id="rId929"/>
    <hyperlink ref="W935" r:id="rId930"/>
    <hyperlink ref="W936" r:id="rId931"/>
    <hyperlink ref="W937" r:id="rId932"/>
    <hyperlink ref="W938" r:id="rId933"/>
    <hyperlink ref="W939" r:id="rId934"/>
    <hyperlink ref="W940" r:id="rId935"/>
    <hyperlink ref="W941" r:id="rId936"/>
    <hyperlink ref="W942" r:id="rId937"/>
    <hyperlink ref="W943" r:id="rId938"/>
    <hyperlink ref="W944" r:id="rId939"/>
    <hyperlink ref="W945" r:id="rId940"/>
    <hyperlink ref="W946" r:id="rId941"/>
    <hyperlink ref="W947" r:id="rId942"/>
    <hyperlink ref="W948" r:id="rId943"/>
    <hyperlink ref="W949" r:id="rId944"/>
    <hyperlink ref="W950" r:id="rId945"/>
    <hyperlink ref="W951" r:id="rId946"/>
    <hyperlink ref="W952" r:id="rId947"/>
    <hyperlink ref="W953" r:id="rId948"/>
    <hyperlink ref="W954" r:id="rId949"/>
    <hyperlink ref="W955" r:id="rId950"/>
    <hyperlink ref="W956" r:id="rId951"/>
    <hyperlink ref="W957" r:id="rId952"/>
    <hyperlink ref="W958" r:id="rId953"/>
    <hyperlink ref="W959" r:id="rId954"/>
    <hyperlink ref="W960" r:id="rId955"/>
    <hyperlink ref="W961" r:id="rId956"/>
    <hyperlink ref="W962" r:id="rId957"/>
    <hyperlink ref="W963" r:id="rId958"/>
    <hyperlink ref="W964" r:id="rId959"/>
    <hyperlink ref="W965" r:id="rId960"/>
    <hyperlink ref="W966" r:id="rId961"/>
    <hyperlink ref="W967" r:id="rId962"/>
    <hyperlink ref="W968" r:id="rId963"/>
    <hyperlink ref="W969" r:id="rId964"/>
    <hyperlink ref="W970" r:id="rId965"/>
    <hyperlink ref="W971" r:id="rId966"/>
    <hyperlink ref="W972" r:id="rId967"/>
    <hyperlink ref="W973" r:id="rId968"/>
    <hyperlink ref="W974" r:id="rId969"/>
    <hyperlink ref="W975" r:id="rId970"/>
    <hyperlink ref="W976" r:id="rId971"/>
    <hyperlink ref="W977" r:id="rId972"/>
    <hyperlink ref="W978" r:id="rId973"/>
    <hyperlink ref="W979" r:id="rId974"/>
    <hyperlink ref="W980" r:id="rId975"/>
    <hyperlink ref="W981" r:id="rId976"/>
    <hyperlink ref="W982" r:id="rId977"/>
    <hyperlink ref="W983" r:id="rId978"/>
    <hyperlink ref="W984" r:id="rId979"/>
    <hyperlink ref="W985" r:id="rId980"/>
    <hyperlink ref="W986" r:id="rId981"/>
    <hyperlink ref="W987" r:id="rId982"/>
    <hyperlink ref="W988" r:id="rId983"/>
    <hyperlink ref="W989" r:id="rId984"/>
    <hyperlink ref="W990" r:id="rId985"/>
    <hyperlink ref="W991" r:id="rId986"/>
    <hyperlink ref="W992" r:id="rId987"/>
    <hyperlink ref="W993" r:id="rId988"/>
    <hyperlink ref="W994" r:id="rId989"/>
    <hyperlink ref="W995" r:id="rId990"/>
    <hyperlink ref="W996" r:id="rId991"/>
    <hyperlink ref="W997" r:id="rId992"/>
    <hyperlink ref="W998" r:id="rId993"/>
    <hyperlink ref="W999" r:id="rId994"/>
    <hyperlink ref="W1000" r:id="rId995"/>
    <hyperlink ref="W1001" r:id="rId996"/>
    <hyperlink ref="W1002" r:id="rId997"/>
    <hyperlink ref="W1003" r:id="rId998"/>
    <hyperlink ref="W1004" r:id="rId999"/>
    <hyperlink ref="W1005" r:id="rId1000"/>
    <hyperlink ref="W1006" r:id="rId1001"/>
    <hyperlink ref="W1007" r:id="rId1002"/>
    <hyperlink ref="W1008" r:id="rId1003"/>
    <hyperlink ref="W1009" r:id="rId1004"/>
    <hyperlink ref="W1010" r:id="rId1005"/>
    <hyperlink ref="W1011" r:id="rId1006"/>
    <hyperlink ref="W1012" r:id="rId1007"/>
    <hyperlink ref="W1013" r:id="rId1008"/>
    <hyperlink ref="W1014" r:id="rId1009"/>
    <hyperlink ref="W1015" r:id="rId1010"/>
    <hyperlink ref="W1016" r:id="rId1011"/>
    <hyperlink ref="W1017" r:id="rId1012"/>
    <hyperlink ref="W1018" r:id="rId1013"/>
    <hyperlink ref="W1019" r:id="rId1014"/>
    <hyperlink ref="W1020" r:id="rId1015"/>
    <hyperlink ref="W1021" r:id="rId1016"/>
    <hyperlink ref="W1022" r:id="rId1017"/>
    <hyperlink ref="W1023" r:id="rId1018"/>
    <hyperlink ref="W1024" r:id="rId1019"/>
    <hyperlink ref="W1025" r:id="rId1020"/>
    <hyperlink ref="W1026" r:id="rId1021"/>
    <hyperlink ref="W1027" r:id="rId1022"/>
    <hyperlink ref="W1028" r:id="rId1023"/>
    <hyperlink ref="W1029" r:id="rId1024"/>
    <hyperlink ref="W1030" r:id="rId1025"/>
    <hyperlink ref="W1031" r:id="rId1026"/>
    <hyperlink ref="W1032" r:id="rId1027"/>
    <hyperlink ref="W1033" r:id="rId1028"/>
    <hyperlink ref="W1034" r:id="rId1029"/>
    <hyperlink ref="W1035" r:id="rId1030"/>
    <hyperlink ref="W1036" r:id="rId1031"/>
    <hyperlink ref="W1037" r:id="rId1032"/>
    <hyperlink ref="W1038" r:id="rId1033"/>
    <hyperlink ref="W1039" r:id="rId1034"/>
    <hyperlink ref="W1040" r:id="rId1035"/>
    <hyperlink ref="W1041" r:id="rId1036"/>
    <hyperlink ref="W1042" r:id="rId1037"/>
    <hyperlink ref="W1043" r:id="rId1038"/>
    <hyperlink ref="W1044" r:id="rId1039"/>
    <hyperlink ref="W1045" r:id="rId1040"/>
    <hyperlink ref="W1046" r:id="rId1041"/>
    <hyperlink ref="W1047" r:id="rId1042"/>
    <hyperlink ref="W1048" r:id="rId1043"/>
    <hyperlink ref="W1049" r:id="rId1044"/>
    <hyperlink ref="W1050" r:id="rId1045"/>
    <hyperlink ref="W1051" r:id="rId1046"/>
    <hyperlink ref="W1052" r:id="rId1047"/>
    <hyperlink ref="W1053" r:id="rId1048"/>
    <hyperlink ref="W1054" r:id="rId1049"/>
    <hyperlink ref="W1055" r:id="rId1050"/>
    <hyperlink ref="W1056" r:id="rId1051"/>
    <hyperlink ref="W1057" r:id="rId1052"/>
    <hyperlink ref="W1058" r:id="rId1053"/>
    <hyperlink ref="W1059" r:id="rId1054"/>
    <hyperlink ref="W1060" r:id="rId1055"/>
    <hyperlink ref="W1061" r:id="rId1056"/>
    <hyperlink ref="W1062" r:id="rId1057"/>
    <hyperlink ref="W1063" r:id="rId1058"/>
    <hyperlink ref="W1064" r:id="rId1059"/>
    <hyperlink ref="W1065" r:id="rId1060"/>
    <hyperlink ref="W1066" r:id="rId1061"/>
    <hyperlink ref="W1067" r:id="rId1062"/>
    <hyperlink ref="W1068" r:id="rId1063"/>
    <hyperlink ref="W1069" r:id="rId1064"/>
    <hyperlink ref="W1070" r:id="rId1065"/>
    <hyperlink ref="W1071" r:id="rId1066"/>
    <hyperlink ref="W1072" r:id="rId1067"/>
    <hyperlink ref="W1073" r:id="rId1068"/>
    <hyperlink ref="W1074" r:id="rId1069"/>
    <hyperlink ref="W1075" r:id="rId1070"/>
    <hyperlink ref="W1076" r:id="rId1071"/>
    <hyperlink ref="W1077" r:id="rId1072"/>
    <hyperlink ref="W1078" r:id="rId1073"/>
    <hyperlink ref="W1079" r:id="rId1074"/>
    <hyperlink ref="W1080" r:id="rId1075"/>
    <hyperlink ref="W1081" r:id="rId1076"/>
    <hyperlink ref="W1082" r:id="rId1077"/>
    <hyperlink ref="W1083" r:id="rId1078"/>
    <hyperlink ref="W1084" r:id="rId1079"/>
    <hyperlink ref="W1085" r:id="rId1080"/>
    <hyperlink ref="W1086" r:id="rId1081"/>
    <hyperlink ref="W1087" r:id="rId1082"/>
    <hyperlink ref="W1088" r:id="rId1083"/>
    <hyperlink ref="W1089" r:id="rId1084"/>
    <hyperlink ref="W1090" r:id="rId1085"/>
    <hyperlink ref="W1091" r:id="rId1086"/>
    <hyperlink ref="W1092" r:id="rId1087"/>
    <hyperlink ref="W1093" r:id="rId1088"/>
    <hyperlink ref="W1094" r:id="rId1089"/>
    <hyperlink ref="W1095" r:id="rId1090"/>
    <hyperlink ref="W1096" r:id="rId1091"/>
    <hyperlink ref="W1097" r:id="rId1092"/>
    <hyperlink ref="W1098" r:id="rId1093"/>
    <hyperlink ref="W1099" r:id="rId1094"/>
    <hyperlink ref="W1100" r:id="rId1095"/>
    <hyperlink ref="W1101" r:id="rId1096"/>
    <hyperlink ref="W1102" r:id="rId1097"/>
    <hyperlink ref="W1103" r:id="rId1098"/>
    <hyperlink ref="W1104" r:id="rId1099"/>
    <hyperlink ref="W1105" r:id="rId1100"/>
    <hyperlink ref="W1106" r:id="rId1101"/>
    <hyperlink ref="W1107" r:id="rId1102"/>
    <hyperlink ref="W1108" r:id="rId1103"/>
    <hyperlink ref="W1109" r:id="rId1104"/>
    <hyperlink ref="W1110" r:id="rId1105"/>
    <hyperlink ref="W1111" r:id="rId1106"/>
    <hyperlink ref="W1112" r:id="rId1107"/>
    <hyperlink ref="W1113" r:id="rId1108"/>
    <hyperlink ref="W1114" r:id="rId1109"/>
    <hyperlink ref="W1115" r:id="rId1110"/>
    <hyperlink ref="W1116" r:id="rId1111"/>
    <hyperlink ref="W1117" r:id="rId1112"/>
    <hyperlink ref="W1118" r:id="rId1113"/>
    <hyperlink ref="W1119" r:id="rId1114"/>
    <hyperlink ref="W1120" r:id="rId1115"/>
    <hyperlink ref="W1121" r:id="rId1116"/>
    <hyperlink ref="W1122" r:id="rId1117"/>
    <hyperlink ref="W1123" r:id="rId1118"/>
    <hyperlink ref="W1124" r:id="rId1119"/>
    <hyperlink ref="W1125" r:id="rId1120"/>
    <hyperlink ref="W1126" r:id="rId1121"/>
    <hyperlink ref="W1127" r:id="rId1122"/>
    <hyperlink ref="W1128" r:id="rId1123"/>
    <hyperlink ref="W1129" r:id="rId1124"/>
    <hyperlink ref="W1130" r:id="rId1125"/>
    <hyperlink ref="W1131" r:id="rId1126"/>
    <hyperlink ref="W1132" r:id="rId1127"/>
    <hyperlink ref="W1133" r:id="rId1128"/>
    <hyperlink ref="W1134" r:id="rId1129"/>
    <hyperlink ref="W1135" r:id="rId1130"/>
    <hyperlink ref="W1136" r:id="rId1131"/>
    <hyperlink ref="W1137" r:id="rId1132"/>
    <hyperlink ref="W1138" r:id="rId1133"/>
    <hyperlink ref="W1139" r:id="rId1134"/>
    <hyperlink ref="W1140" r:id="rId1135"/>
    <hyperlink ref="W1141" r:id="rId1136"/>
    <hyperlink ref="W1142" r:id="rId1137"/>
    <hyperlink ref="W1143" r:id="rId1138"/>
    <hyperlink ref="W1144" r:id="rId1139"/>
    <hyperlink ref="W1145" r:id="rId1140"/>
    <hyperlink ref="W1146" r:id="rId1141"/>
    <hyperlink ref="W1147" r:id="rId1142"/>
    <hyperlink ref="W1148" r:id="rId1143"/>
    <hyperlink ref="W1149" r:id="rId1144"/>
    <hyperlink ref="W1150" r:id="rId1145"/>
    <hyperlink ref="W1151" r:id="rId1146"/>
    <hyperlink ref="W1152" r:id="rId1147"/>
    <hyperlink ref="W1153" r:id="rId1148"/>
    <hyperlink ref="W1154" r:id="rId1149"/>
    <hyperlink ref="W1155" r:id="rId1150"/>
    <hyperlink ref="W1156" r:id="rId1151"/>
    <hyperlink ref="W1157" r:id="rId1152"/>
    <hyperlink ref="W1158" r:id="rId1153"/>
    <hyperlink ref="W1159" r:id="rId1154"/>
    <hyperlink ref="W1160" r:id="rId1155"/>
    <hyperlink ref="W1161" r:id="rId1156"/>
    <hyperlink ref="W1162" r:id="rId1157"/>
    <hyperlink ref="W1163" r:id="rId1158"/>
    <hyperlink ref="W1164" r:id="rId1159"/>
    <hyperlink ref="W1165" r:id="rId1160"/>
    <hyperlink ref="W1166" r:id="rId1161"/>
    <hyperlink ref="W1167" r:id="rId1162"/>
    <hyperlink ref="W1168" r:id="rId1163"/>
    <hyperlink ref="W1169" r:id="rId1164"/>
    <hyperlink ref="W1170" r:id="rId1165"/>
    <hyperlink ref="W1171" r:id="rId1166"/>
    <hyperlink ref="W1172" r:id="rId1167"/>
    <hyperlink ref="W1173" r:id="rId1168"/>
    <hyperlink ref="W1174" r:id="rId1169"/>
    <hyperlink ref="W1175" r:id="rId1170"/>
    <hyperlink ref="W1176" r:id="rId1171"/>
    <hyperlink ref="W1177" r:id="rId1172"/>
    <hyperlink ref="W1178" r:id="rId1173"/>
    <hyperlink ref="W1179" r:id="rId1174"/>
    <hyperlink ref="W1180" r:id="rId1175"/>
    <hyperlink ref="W1181" r:id="rId1176"/>
    <hyperlink ref="W1182" r:id="rId1177"/>
    <hyperlink ref="W1183" r:id="rId1178"/>
    <hyperlink ref="W1184" r:id="rId1179"/>
    <hyperlink ref="W1185" r:id="rId1180"/>
    <hyperlink ref="W1186" r:id="rId1181"/>
    <hyperlink ref="W1187" r:id="rId1182"/>
    <hyperlink ref="W1188" r:id="rId1183"/>
    <hyperlink ref="W1189" r:id="rId1184"/>
    <hyperlink ref="W1190" r:id="rId1185"/>
    <hyperlink ref="W1191" r:id="rId1186"/>
    <hyperlink ref="W1192" r:id="rId1187"/>
    <hyperlink ref="W1193" r:id="rId1188"/>
    <hyperlink ref="W1194" r:id="rId1189"/>
    <hyperlink ref="W1195" r:id="rId1190"/>
    <hyperlink ref="W1196" r:id="rId1191"/>
    <hyperlink ref="W1197" r:id="rId1192"/>
    <hyperlink ref="W1198" r:id="rId1193"/>
    <hyperlink ref="W1199" r:id="rId1194"/>
    <hyperlink ref="W1200" r:id="rId1195"/>
    <hyperlink ref="W1201" r:id="rId1196"/>
    <hyperlink ref="W1202" r:id="rId1197"/>
    <hyperlink ref="W1203" r:id="rId1198"/>
    <hyperlink ref="W1204" r:id="rId1199"/>
    <hyperlink ref="W1205" r:id="rId1200"/>
    <hyperlink ref="W1206" r:id="rId1201"/>
    <hyperlink ref="W1207" r:id="rId1202"/>
    <hyperlink ref="W1208" r:id="rId1203"/>
    <hyperlink ref="W1209" r:id="rId1204"/>
    <hyperlink ref="W1210" r:id="rId1205"/>
    <hyperlink ref="W1211" r:id="rId1206"/>
    <hyperlink ref="W1212" r:id="rId1207"/>
    <hyperlink ref="W1213" r:id="rId1208"/>
    <hyperlink ref="W1214" r:id="rId1209"/>
    <hyperlink ref="W1215" r:id="rId1210"/>
    <hyperlink ref="W1216" r:id="rId1211"/>
    <hyperlink ref="W1217" r:id="rId1212"/>
    <hyperlink ref="W1218" r:id="rId1213"/>
    <hyperlink ref="W1219" r:id="rId1214"/>
    <hyperlink ref="W1220" r:id="rId1215"/>
    <hyperlink ref="W1221" r:id="rId1216"/>
    <hyperlink ref="W1222" r:id="rId1217"/>
    <hyperlink ref="W1223" r:id="rId1218"/>
    <hyperlink ref="W1224" r:id="rId1219"/>
    <hyperlink ref="W1225" r:id="rId1220"/>
    <hyperlink ref="W1226" r:id="rId1221"/>
    <hyperlink ref="W1227" r:id="rId1222"/>
    <hyperlink ref="W1228" r:id="rId1223"/>
    <hyperlink ref="W1229" r:id="rId1224"/>
    <hyperlink ref="W1230" r:id="rId1225"/>
    <hyperlink ref="W1231" r:id="rId1226"/>
    <hyperlink ref="W1232" r:id="rId1227"/>
    <hyperlink ref="W1233" r:id="rId1228"/>
    <hyperlink ref="W1234" r:id="rId1229"/>
    <hyperlink ref="W1235" r:id="rId1230"/>
    <hyperlink ref="W1236" r:id="rId1231"/>
    <hyperlink ref="W1237" r:id="rId1232"/>
    <hyperlink ref="W1238" r:id="rId1233"/>
    <hyperlink ref="W1239" r:id="rId1234"/>
    <hyperlink ref="W1240" r:id="rId1235"/>
    <hyperlink ref="W1241" r:id="rId1236"/>
    <hyperlink ref="W1242" r:id="rId1237"/>
    <hyperlink ref="W1243" r:id="rId1238"/>
    <hyperlink ref="W1244" r:id="rId1239"/>
    <hyperlink ref="W1245" r:id="rId1240"/>
    <hyperlink ref="W1246" r:id="rId1241"/>
    <hyperlink ref="W1247" r:id="rId1242"/>
    <hyperlink ref="W1248" r:id="rId1243"/>
    <hyperlink ref="W1249" r:id="rId1244"/>
    <hyperlink ref="W1250" r:id="rId1245"/>
    <hyperlink ref="W1251" r:id="rId1246"/>
    <hyperlink ref="W1252" r:id="rId1247"/>
    <hyperlink ref="W1253" r:id="rId1248"/>
    <hyperlink ref="W1254" r:id="rId1249"/>
    <hyperlink ref="W1255" r:id="rId1250"/>
    <hyperlink ref="W1256" r:id="rId1251"/>
    <hyperlink ref="W1257" r:id="rId1252"/>
    <hyperlink ref="W1258" r:id="rId1253"/>
    <hyperlink ref="W1259" r:id="rId1254"/>
    <hyperlink ref="W1260" r:id="rId1255"/>
    <hyperlink ref="W1261" r:id="rId1256"/>
    <hyperlink ref="W1262" r:id="rId1257"/>
    <hyperlink ref="W1263" r:id="rId1258"/>
    <hyperlink ref="W1264" r:id="rId1259"/>
    <hyperlink ref="W1265" r:id="rId1260"/>
    <hyperlink ref="W1266" r:id="rId1261"/>
    <hyperlink ref="W1267" r:id="rId1262"/>
    <hyperlink ref="W1268" r:id="rId1263"/>
    <hyperlink ref="W1269" r:id="rId1264"/>
    <hyperlink ref="W1270" r:id="rId1265"/>
    <hyperlink ref="W1271" r:id="rId1266"/>
    <hyperlink ref="W1272" r:id="rId1267"/>
    <hyperlink ref="W1273" r:id="rId1268"/>
    <hyperlink ref="W1274" r:id="rId1269"/>
    <hyperlink ref="W1275" r:id="rId1270"/>
    <hyperlink ref="W1276" r:id="rId1271"/>
    <hyperlink ref="W1277" r:id="rId1272"/>
    <hyperlink ref="W1278" r:id="rId1273"/>
    <hyperlink ref="W1279" r:id="rId1274"/>
    <hyperlink ref="W1280" r:id="rId1275"/>
    <hyperlink ref="W1281" r:id="rId1276"/>
    <hyperlink ref="W1282" r:id="rId1277"/>
    <hyperlink ref="W1283" r:id="rId1278"/>
    <hyperlink ref="W1284" r:id="rId1279"/>
    <hyperlink ref="W1285" r:id="rId1280"/>
    <hyperlink ref="W1286" r:id="rId1281"/>
    <hyperlink ref="W1287" r:id="rId1282"/>
    <hyperlink ref="W1288" r:id="rId1283"/>
    <hyperlink ref="W1289" r:id="rId1284"/>
    <hyperlink ref="W1290" r:id="rId1285"/>
    <hyperlink ref="W1291" r:id="rId1286"/>
    <hyperlink ref="W1292" r:id="rId1287"/>
    <hyperlink ref="W1293" r:id="rId1288"/>
    <hyperlink ref="W1294" r:id="rId1289"/>
    <hyperlink ref="W1295" r:id="rId1290"/>
    <hyperlink ref="W1296" r:id="rId1291"/>
    <hyperlink ref="W1297" r:id="rId1292"/>
    <hyperlink ref="W1298" r:id="rId1293"/>
    <hyperlink ref="W1299" r:id="rId1294"/>
    <hyperlink ref="W1300" r:id="rId1295"/>
    <hyperlink ref="W1301" r:id="rId1296"/>
    <hyperlink ref="W1302" r:id="rId1297"/>
    <hyperlink ref="W1303" r:id="rId1298"/>
    <hyperlink ref="W1304" r:id="rId1299"/>
    <hyperlink ref="W1305" r:id="rId1300"/>
    <hyperlink ref="W1306" r:id="rId1301"/>
    <hyperlink ref="W1307" r:id="rId1302"/>
    <hyperlink ref="W1308" r:id="rId1303"/>
    <hyperlink ref="W1309" r:id="rId1304"/>
    <hyperlink ref="W1310" r:id="rId1305"/>
    <hyperlink ref="W1311" r:id="rId1306"/>
    <hyperlink ref="W1312" r:id="rId1307"/>
    <hyperlink ref="W1313" r:id="rId1308"/>
    <hyperlink ref="W1314" r:id="rId1309"/>
    <hyperlink ref="W1315" r:id="rId1310"/>
    <hyperlink ref="W1316" r:id="rId1311"/>
    <hyperlink ref="W1317" r:id="rId1312"/>
    <hyperlink ref="W1318" r:id="rId1313"/>
    <hyperlink ref="W1319" r:id="rId1314"/>
    <hyperlink ref="W1320" r:id="rId1315"/>
    <hyperlink ref="W1321" r:id="rId1316"/>
    <hyperlink ref="W1322" r:id="rId1317"/>
    <hyperlink ref="W1323" r:id="rId1318"/>
    <hyperlink ref="W1324" r:id="rId1319"/>
    <hyperlink ref="W1325" r:id="rId1320"/>
    <hyperlink ref="W1326" r:id="rId1321"/>
    <hyperlink ref="W1327" r:id="rId1322"/>
    <hyperlink ref="W1328" r:id="rId1323"/>
    <hyperlink ref="W1329" r:id="rId1324"/>
    <hyperlink ref="W1330" r:id="rId1325"/>
    <hyperlink ref="W1331" r:id="rId1326"/>
    <hyperlink ref="W1332" r:id="rId1327"/>
    <hyperlink ref="W1333" r:id="rId1328"/>
    <hyperlink ref="W1334" r:id="rId1329"/>
    <hyperlink ref="W1335" r:id="rId1330"/>
    <hyperlink ref="W1336" r:id="rId1331"/>
    <hyperlink ref="W1337" r:id="rId1332"/>
    <hyperlink ref="W1338" r:id="rId1333"/>
    <hyperlink ref="W1339" r:id="rId1334"/>
    <hyperlink ref="W1340" r:id="rId1335"/>
    <hyperlink ref="W1341" r:id="rId1336"/>
    <hyperlink ref="W1342" r:id="rId1337"/>
    <hyperlink ref="W1343" r:id="rId1338"/>
    <hyperlink ref="W1344" r:id="rId1339"/>
    <hyperlink ref="W1345" r:id="rId1340"/>
    <hyperlink ref="W1346" r:id="rId1341"/>
    <hyperlink ref="W1347" r:id="rId1342"/>
    <hyperlink ref="W1348" r:id="rId1343"/>
    <hyperlink ref="W1349" r:id="rId1344"/>
    <hyperlink ref="W1350" r:id="rId1345"/>
    <hyperlink ref="W1351" r:id="rId1346"/>
    <hyperlink ref="W1352" r:id="rId1347"/>
    <hyperlink ref="W1353" r:id="rId1348"/>
    <hyperlink ref="W1354" r:id="rId1349"/>
    <hyperlink ref="W1355" r:id="rId1350"/>
    <hyperlink ref="W1356" r:id="rId1351"/>
    <hyperlink ref="W1357" r:id="rId1352"/>
    <hyperlink ref="W1358" r:id="rId1353"/>
    <hyperlink ref="W1359" r:id="rId1354"/>
    <hyperlink ref="W1360" r:id="rId1355"/>
    <hyperlink ref="W1361" r:id="rId1356"/>
    <hyperlink ref="W1362" r:id="rId1357"/>
    <hyperlink ref="W1363" r:id="rId1358"/>
    <hyperlink ref="W1364" r:id="rId1359"/>
    <hyperlink ref="W1365" r:id="rId1360"/>
    <hyperlink ref="W1366" r:id="rId1361"/>
    <hyperlink ref="W1367" r:id="rId1362"/>
    <hyperlink ref="W1368" r:id="rId1363"/>
    <hyperlink ref="W1369" r:id="rId1364"/>
    <hyperlink ref="W1370" r:id="rId1365"/>
    <hyperlink ref="W1371" r:id="rId1366"/>
    <hyperlink ref="W1372" r:id="rId1367"/>
    <hyperlink ref="W1373" r:id="rId1368"/>
    <hyperlink ref="W1374" r:id="rId1369"/>
    <hyperlink ref="W1375" r:id="rId1370"/>
    <hyperlink ref="W1376" r:id="rId1371"/>
    <hyperlink ref="W1377" r:id="rId1372"/>
    <hyperlink ref="W1378" r:id="rId1373"/>
    <hyperlink ref="W1379" r:id="rId1374"/>
    <hyperlink ref="W1380" r:id="rId1375"/>
    <hyperlink ref="W1381" r:id="rId1376"/>
    <hyperlink ref="W1382" r:id="rId1377"/>
    <hyperlink ref="W1383" r:id="rId1378"/>
  </hyperlinks>
  <pageMargins left="0.7" right="0.7" top="0.75" bottom="0.7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Q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17" width="11.7109375" customWidth="1"/>
  </cols>
  <sheetData>
    <row r="1" spans="1:17">
      <c r="A1" s="1" t="s">
        <v>5616</v>
      </c>
    </row>
    <row r="3" spans="1:17" ht="32" customHeight="1">
      <c r="A3" s="3" t="s">
        <v>3</v>
      </c>
      <c r="B3" s="3" t="s">
        <v>5617</v>
      </c>
      <c r="C3" s="3" t="s">
        <v>5618</v>
      </c>
      <c r="D3" s="3" t="s">
        <v>5619</v>
      </c>
      <c r="E3" s="3" t="s">
        <v>5620</v>
      </c>
      <c r="F3" s="3" t="s">
        <v>5621</v>
      </c>
      <c r="G3" s="3" t="s">
        <v>5556</v>
      </c>
      <c r="H3" s="3" t="s">
        <v>5622</v>
      </c>
      <c r="I3" s="3" t="s">
        <v>5623</v>
      </c>
      <c r="J3" s="3" t="s">
        <v>5624</v>
      </c>
      <c r="K3" s="3" t="s">
        <v>5625</v>
      </c>
      <c r="L3" s="3" t="s">
        <v>5626</v>
      </c>
      <c r="M3" s="3" t="s">
        <v>5627</v>
      </c>
      <c r="N3" s="3" t="s">
        <v>5628</v>
      </c>
      <c r="O3" s="3" t="s">
        <v>5629</v>
      </c>
      <c r="P3" s="3" t="s">
        <v>5630</v>
      </c>
      <c r="Q3" s="3" t="s">
        <v>5631</v>
      </c>
    </row>
    <row r="4" spans="1:17">
      <c r="A4" s="5" t="s">
        <v>17</v>
      </c>
      <c r="B4" s="5">
        <f>COUNTIF('架電リスト'!$B$5:$B$1382,A4)</f>
        <v>0</v>
      </c>
      <c r="C4" s="5">
        <f>COUNTIFS('架電リスト'!$B$5:$B$1382,A4,'架電リスト'!$E$5:$E$1382,"&lt;&gt;")</f>
        <v>0</v>
      </c>
      <c r="D4" s="5">
        <f>B4-COUNTIFS('架電リスト'!$B$5:$B$1382,A4,'架電リスト'!$J$5:$J$1382,"未架電")-COUNTIFS('架電リスト'!$B$5:$B$1382,A4,'架電リスト'!$J$5:$J$1382,"")</f>
        <v>0</v>
      </c>
      <c r="E4" s="5">
        <f>COUNTIFS('架電リスト'!$B$5:$B$1382,$A4,'架電リスト'!$J$5:$J$1382,"不在・折返し待ち")</f>
        <v>0</v>
      </c>
      <c r="F4" s="5">
        <f>COUNTIFS('架電リスト'!$B$5:$B$1382,$A4,'架電リスト'!$J$5:$J$1382,"担当者不在")</f>
        <v>0</v>
      </c>
      <c r="G4" s="5">
        <f>COUNTIFS('架電リスト'!$B$5:$B$1382,$A4,'架電リスト'!$J$5:$J$1382,"資料送付")</f>
        <v>0</v>
      </c>
      <c r="H4" s="5">
        <f>COUNTIFS('架電リスト'!$B$5:$B$1382,$A4,'架電リスト'!$J$5:$J$1382,"アポ獲得")</f>
        <v>0</v>
      </c>
      <c r="I4" s="5">
        <f>COUNTIFS('架電リスト'!$B$5:$B$1382,$A4,'架電リスト'!$J$5:$J$1382,"検討中")</f>
        <v>0</v>
      </c>
      <c r="J4" s="5">
        <f>COUNTIFS('架電リスト'!$B$5:$B$1382,$A4,'架電リスト'!$J$5:$J$1382,"NG")</f>
        <v>0</v>
      </c>
      <c r="K4" s="5">
        <f>COUNTIFS('架電リスト'!$B$5:$B$1382,$A4,'架電リスト'!$J$5:$J$1382,"番号不明")</f>
        <v>0</v>
      </c>
      <c r="L4" s="5">
        <f>SUMPRODUCT((MID('テレアポ管理（私立全国版）'!$A$6:$A$1383,3,4)=$A4)*'テレアポ管理（私立全国版）'!$N$6:$N$1383)</f>
        <v>0</v>
      </c>
      <c r="M4" s="5">
        <f>SUMPRODUCT((MID('テレアポ管理（私立全国版）'!$A$6:$A$1383,3,4)=$A4)*('テレアポ管理（私立全国版）'!$H$6:$H$1383=TRUE))</f>
        <v>0</v>
      </c>
      <c r="N4" s="5">
        <f>SUMPRODUCT((MID('テレアポ管理（私立全国版）'!$A$6:$A$1383,3,4)=$A4)*('テレアポ管理（私立全国版）'!$I$6:$I$1383=TRUE))</f>
        <v>0</v>
      </c>
      <c r="O4" s="5">
        <f>SUMPRODUCT((MID('テレアポ管理（私立全国版）'!$A$6:$A$1383,3,4)=$A4)*('テレアポ管理（私立全国版）'!$J$6:$J$1383=TRUE))</f>
        <v>0</v>
      </c>
      <c r="P4" s="5">
        <f>SUMPRODUCT((MID('テレアポ管理（私立全国版）'!$A$6:$A$1383,3,4)=$A4)*('テレアポ管理（私立全国版）'!$K$6:$K$1383=TRUE))</f>
        <v>0</v>
      </c>
      <c r="Q4" s="5">
        <f>SUMPRODUCT((MID('テレアポ管理（私立全国版）'!$A$6:$A$1383,3,4)=$A4)*('テレアポ管理（私立全国版）'!$L$6:$L$1383=TRUE))</f>
        <v>0</v>
      </c>
    </row>
    <row r="5" spans="1:17">
      <c r="A5" s="5" t="s">
        <v>268</v>
      </c>
      <c r="B5" s="5">
        <f>COUNTIF('架電リスト'!$B$5:$B$1382,A5)</f>
        <v>0</v>
      </c>
      <c r="C5" s="5">
        <f>COUNTIFS('架電リスト'!$B$5:$B$1382,A5,'架電リスト'!$E$5:$E$1382,"&lt;&gt;")</f>
        <v>0</v>
      </c>
      <c r="D5" s="5">
        <f>B5-COUNTIFS('架電リスト'!$B$5:$B$1382,A5,'架電リスト'!$J$5:$J$1382,"未架電")-COUNTIFS('架電リスト'!$B$5:$B$1382,A5,'架電リスト'!$J$5:$J$1382,"")</f>
        <v>0</v>
      </c>
      <c r="E5" s="5">
        <f>COUNTIFS('架電リスト'!$B$5:$B$1382,$A5,'架電リスト'!$J$5:$J$1382,"不在・折返し待ち")</f>
        <v>0</v>
      </c>
      <c r="F5" s="5">
        <f>COUNTIFS('架電リスト'!$B$5:$B$1382,$A5,'架電リスト'!$J$5:$J$1382,"担当者不在")</f>
        <v>0</v>
      </c>
      <c r="G5" s="5">
        <f>COUNTIFS('架電リスト'!$B$5:$B$1382,$A5,'架電リスト'!$J$5:$J$1382,"資料送付")</f>
        <v>0</v>
      </c>
      <c r="H5" s="5">
        <f>COUNTIFS('架電リスト'!$B$5:$B$1382,$A5,'架電リスト'!$J$5:$J$1382,"アポ獲得")</f>
        <v>0</v>
      </c>
      <c r="I5" s="5">
        <f>COUNTIFS('架電リスト'!$B$5:$B$1382,$A5,'架電リスト'!$J$5:$J$1382,"検討中")</f>
        <v>0</v>
      </c>
      <c r="J5" s="5">
        <f>COUNTIFS('架電リスト'!$B$5:$B$1382,$A5,'架電リスト'!$J$5:$J$1382,"NG")</f>
        <v>0</v>
      </c>
      <c r="K5" s="5">
        <f>COUNTIFS('架電リスト'!$B$5:$B$1382,$A5,'架電リスト'!$J$5:$J$1382,"番号不明")</f>
        <v>0</v>
      </c>
      <c r="L5" s="5">
        <f>SUMPRODUCT((MID('テレアポ管理（私立全国版）'!$A$6:$A$1383,3,4)=$A5)*'テレアポ管理（私立全国版）'!$N$6:$N$1383)</f>
        <v>0</v>
      </c>
      <c r="M5" s="5">
        <f>SUMPRODUCT((MID('テレアポ管理（私立全国版）'!$A$6:$A$1383,3,4)=$A5)*('テレアポ管理（私立全国版）'!$H$6:$H$1383=TRUE))</f>
        <v>0</v>
      </c>
      <c r="N5" s="5">
        <f>SUMPRODUCT((MID('テレアポ管理（私立全国版）'!$A$6:$A$1383,3,4)=$A5)*('テレアポ管理（私立全国版）'!$I$6:$I$1383=TRUE))</f>
        <v>0</v>
      </c>
      <c r="O5" s="5">
        <f>SUMPRODUCT((MID('テレアポ管理（私立全国版）'!$A$6:$A$1383,3,4)=$A5)*('テレアポ管理（私立全国版）'!$J$6:$J$1383=TRUE))</f>
        <v>0</v>
      </c>
      <c r="P5" s="5">
        <f>SUMPRODUCT((MID('テレアポ管理（私立全国版）'!$A$6:$A$1383,3,4)=$A5)*('テレアポ管理（私立全国版）'!$K$6:$K$1383=TRUE))</f>
        <v>0</v>
      </c>
      <c r="Q5" s="5">
        <f>SUMPRODUCT((MID('テレアポ管理（私立全国版）'!$A$6:$A$1383,3,4)=$A5)*('テレアポ管理（私立全国版）'!$L$6:$L$1383=TRUE))</f>
        <v>0</v>
      </c>
    </row>
    <row r="6" spans="1:17">
      <c r="A6" s="5" t="s">
        <v>344</v>
      </c>
      <c r="B6" s="5">
        <f>COUNTIF('架電リスト'!$B$5:$B$1382,A6)</f>
        <v>0</v>
      </c>
      <c r="C6" s="5">
        <f>COUNTIFS('架電リスト'!$B$5:$B$1382,A6,'架電リスト'!$E$5:$E$1382,"&lt;&gt;")</f>
        <v>0</v>
      </c>
      <c r="D6" s="5">
        <f>B6-COUNTIFS('架電リスト'!$B$5:$B$1382,A6,'架電リスト'!$J$5:$J$1382,"未架電")-COUNTIFS('架電リスト'!$B$5:$B$1382,A6,'架電リスト'!$J$5:$J$1382,"")</f>
        <v>0</v>
      </c>
      <c r="E6" s="5">
        <f>COUNTIFS('架電リスト'!$B$5:$B$1382,$A6,'架電リスト'!$J$5:$J$1382,"不在・折返し待ち")</f>
        <v>0</v>
      </c>
      <c r="F6" s="5">
        <f>COUNTIFS('架電リスト'!$B$5:$B$1382,$A6,'架電リスト'!$J$5:$J$1382,"担当者不在")</f>
        <v>0</v>
      </c>
      <c r="G6" s="5">
        <f>COUNTIFS('架電リスト'!$B$5:$B$1382,$A6,'架電リスト'!$J$5:$J$1382,"資料送付")</f>
        <v>0</v>
      </c>
      <c r="H6" s="5">
        <f>COUNTIFS('架電リスト'!$B$5:$B$1382,$A6,'架電リスト'!$J$5:$J$1382,"アポ獲得")</f>
        <v>0</v>
      </c>
      <c r="I6" s="5">
        <f>COUNTIFS('架電リスト'!$B$5:$B$1382,$A6,'架電リスト'!$J$5:$J$1382,"検討中")</f>
        <v>0</v>
      </c>
      <c r="J6" s="5">
        <f>COUNTIFS('架電リスト'!$B$5:$B$1382,$A6,'架電リスト'!$J$5:$J$1382,"NG")</f>
        <v>0</v>
      </c>
      <c r="K6" s="5">
        <f>COUNTIFS('架電リスト'!$B$5:$B$1382,$A6,'架電リスト'!$J$5:$J$1382,"番号不明")</f>
        <v>0</v>
      </c>
      <c r="L6" s="5">
        <f>SUMPRODUCT((MID('テレアポ管理（私立全国版）'!$A$6:$A$1383,3,4)=$A6)*'テレアポ管理（私立全国版）'!$N$6:$N$1383)</f>
        <v>0</v>
      </c>
      <c r="M6" s="5">
        <f>SUMPRODUCT((MID('テレアポ管理（私立全国版）'!$A$6:$A$1383,3,4)=$A6)*('テレアポ管理（私立全国版）'!$H$6:$H$1383=TRUE))</f>
        <v>0</v>
      </c>
      <c r="N6" s="5">
        <f>SUMPRODUCT((MID('テレアポ管理（私立全国版）'!$A$6:$A$1383,3,4)=$A6)*('テレアポ管理（私立全国版）'!$I$6:$I$1383=TRUE))</f>
        <v>0</v>
      </c>
      <c r="O6" s="5">
        <f>SUMPRODUCT((MID('テレアポ管理（私立全国版）'!$A$6:$A$1383,3,4)=$A6)*('テレアポ管理（私立全国版）'!$J$6:$J$1383=TRUE))</f>
        <v>0</v>
      </c>
      <c r="P6" s="5">
        <f>SUMPRODUCT((MID('テレアポ管理（私立全国版）'!$A$6:$A$1383,3,4)=$A6)*('テレアポ管理（私立全国版）'!$K$6:$K$1383=TRUE))</f>
        <v>0</v>
      </c>
      <c r="Q6" s="5">
        <f>SUMPRODUCT((MID('テレアポ管理（私立全国版）'!$A$6:$A$1383,3,4)=$A6)*('テレアポ管理（私立全国版）'!$L$6:$L$1383=TRUE))</f>
        <v>0</v>
      </c>
    </row>
    <row r="7" spans="1:17">
      <c r="A7" s="5" t="s">
        <v>401</v>
      </c>
      <c r="B7" s="5">
        <f>COUNTIF('架電リスト'!$B$5:$B$1382,A7)</f>
        <v>0</v>
      </c>
      <c r="C7" s="5">
        <f>COUNTIFS('架電リスト'!$B$5:$B$1382,A7,'架電リスト'!$E$5:$E$1382,"&lt;&gt;")</f>
        <v>0</v>
      </c>
      <c r="D7" s="5">
        <f>B7-COUNTIFS('架電リスト'!$B$5:$B$1382,A7,'架電リスト'!$J$5:$J$1382,"未架電")-COUNTIFS('架電リスト'!$B$5:$B$1382,A7,'架電リスト'!$J$5:$J$1382,"")</f>
        <v>0</v>
      </c>
      <c r="E7" s="5">
        <f>COUNTIFS('架電リスト'!$B$5:$B$1382,$A7,'架電リスト'!$J$5:$J$1382,"不在・折返し待ち")</f>
        <v>0</v>
      </c>
      <c r="F7" s="5">
        <f>COUNTIFS('架電リスト'!$B$5:$B$1382,$A7,'架電リスト'!$J$5:$J$1382,"担当者不在")</f>
        <v>0</v>
      </c>
      <c r="G7" s="5">
        <f>COUNTIFS('架電リスト'!$B$5:$B$1382,$A7,'架電リスト'!$J$5:$J$1382,"資料送付")</f>
        <v>0</v>
      </c>
      <c r="H7" s="5">
        <f>COUNTIFS('架電リスト'!$B$5:$B$1382,$A7,'架電リスト'!$J$5:$J$1382,"アポ獲得")</f>
        <v>0</v>
      </c>
      <c r="I7" s="5">
        <f>COUNTIFS('架電リスト'!$B$5:$B$1382,$A7,'架電リスト'!$J$5:$J$1382,"検討中")</f>
        <v>0</v>
      </c>
      <c r="J7" s="5">
        <f>COUNTIFS('架電リスト'!$B$5:$B$1382,$A7,'架電リスト'!$J$5:$J$1382,"NG")</f>
        <v>0</v>
      </c>
      <c r="K7" s="5">
        <f>COUNTIFS('架電リスト'!$B$5:$B$1382,$A7,'架電リスト'!$J$5:$J$1382,"番号不明")</f>
        <v>0</v>
      </c>
      <c r="L7" s="5">
        <f>SUMPRODUCT((MID('テレアポ管理（私立全国版）'!$A$6:$A$1383,3,4)=$A7)*'テレアポ管理（私立全国版）'!$N$6:$N$1383)</f>
        <v>0</v>
      </c>
      <c r="M7" s="5">
        <f>SUMPRODUCT((MID('テレアポ管理（私立全国版）'!$A$6:$A$1383,3,4)=$A7)*('テレアポ管理（私立全国版）'!$H$6:$H$1383=TRUE))</f>
        <v>0</v>
      </c>
      <c r="N7" s="5">
        <f>SUMPRODUCT((MID('テレアポ管理（私立全国版）'!$A$6:$A$1383,3,4)=$A7)*('テレアポ管理（私立全国版）'!$I$6:$I$1383=TRUE))</f>
        <v>0</v>
      </c>
      <c r="O7" s="5">
        <f>SUMPRODUCT((MID('テレアポ管理（私立全国版）'!$A$6:$A$1383,3,4)=$A7)*('テレアポ管理（私立全国版）'!$J$6:$J$1383=TRUE))</f>
        <v>0</v>
      </c>
      <c r="P7" s="5">
        <f>SUMPRODUCT((MID('テレアポ管理（私立全国版）'!$A$6:$A$1383,3,4)=$A7)*('テレアポ管理（私立全国版）'!$K$6:$K$1383=TRUE))</f>
        <v>0</v>
      </c>
      <c r="Q7" s="5">
        <f>SUMPRODUCT((MID('テレアポ管理（私立全国版）'!$A$6:$A$1383,3,4)=$A7)*('テレアポ管理（私立全国版）'!$L$6:$L$1383=TRUE))</f>
        <v>0</v>
      </c>
    </row>
    <row r="8" spans="1:17">
      <c r="A8" s="5" t="s">
        <v>481</v>
      </c>
      <c r="B8" s="5">
        <f>COUNTIF('架電リスト'!$B$5:$B$1382,A8)</f>
        <v>0</v>
      </c>
      <c r="C8" s="5">
        <f>COUNTIFS('架電リスト'!$B$5:$B$1382,A8,'架電リスト'!$E$5:$E$1382,"&lt;&gt;")</f>
        <v>0</v>
      </c>
      <c r="D8" s="5">
        <f>B8-COUNTIFS('架電リスト'!$B$5:$B$1382,A8,'架電リスト'!$J$5:$J$1382,"未架電")-COUNTIFS('架電リスト'!$B$5:$B$1382,A8,'架電リスト'!$J$5:$J$1382,"")</f>
        <v>0</v>
      </c>
      <c r="E8" s="5">
        <f>COUNTIFS('架電リスト'!$B$5:$B$1382,$A8,'架電リスト'!$J$5:$J$1382,"不在・折返し待ち")</f>
        <v>0</v>
      </c>
      <c r="F8" s="5">
        <f>COUNTIFS('架電リスト'!$B$5:$B$1382,$A8,'架電リスト'!$J$5:$J$1382,"担当者不在")</f>
        <v>0</v>
      </c>
      <c r="G8" s="5">
        <f>COUNTIFS('架電リスト'!$B$5:$B$1382,$A8,'架電リスト'!$J$5:$J$1382,"資料送付")</f>
        <v>0</v>
      </c>
      <c r="H8" s="5">
        <f>COUNTIFS('架電リスト'!$B$5:$B$1382,$A8,'架電リスト'!$J$5:$J$1382,"アポ獲得")</f>
        <v>0</v>
      </c>
      <c r="I8" s="5">
        <f>COUNTIFS('架電リスト'!$B$5:$B$1382,$A8,'架電リスト'!$J$5:$J$1382,"検討中")</f>
        <v>0</v>
      </c>
      <c r="J8" s="5">
        <f>COUNTIFS('架電リスト'!$B$5:$B$1382,$A8,'架電リスト'!$J$5:$J$1382,"NG")</f>
        <v>0</v>
      </c>
      <c r="K8" s="5">
        <f>COUNTIFS('架電リスト'!$B$5:$B$1382,$A8,'架電リスト'!$J$5:$J$1382,"番号不明")</f>
        <v>0</v>
      </c>
      <c r="L8" s="5">
        <f>SUMPRODUCT((MID('テレアポ管理（私立全国版）'!$A$6:$A$1383,3,4)=$A8)*'テレアポ管理（私立全国版）'!$N$6:$N$1383)</f>
        <v>0</v>
      </c>
      <c r="M8" s="5">
        <f>SUMPRODUCT((MID('テレアポ管理（私立全国版）'!$A$6:$A$1383,3,4)=$A8)*('テレアポ管理（私立全国版）'!$H$6:$H$1383=TRUE))</f>
        <v>0</v>
      </c>
      <c r="N8" s="5">
        <f>SUMPRODUCT((MID('テレアポ管理（私立全国版）'!$A$6:$A$1383,3,4)=$A8)*('テレアポ管理（私立全国版）'!$I$6:$I$1383=TRUE))</f>
        <v>0</v>
      </c>
      <c r="O8" s="5">
        <f>SUMPRODUCT((MID('テレアポ管理（私立全国版）'!$A$6:$A$1383,3,4)=$A8)*('テレアポ管理（私立全国版）'!$J$6:$J$1383=TRUE))</f>
        <v>0</v>
      </c>
      <c r="P8" s="5">
        <f>SUMPRODUCT((MID('テレアポ管理（私立全国版）'!$A$6:$A$1383,3,4)=$A8)*('テレアポ管理（私立全国版）'!$K$6:$K$1383=TRUE))</f>
        <v>0</v>
      </c>
      <c r="Q8" s="5">
        <f>SUMPRODUCT((MID('テレアポ管理（私立全国版）'!$A$6:$A$1383,3,4)=$A8)*('テレアポ管理（私立全国版）'!$L$6:$L$1383=TRUE))</f>
        <v>0</v>
      </c>
    </row>
    <row r="9" spans="1:17">
      <c r="A9" s="5" t="s">
        <v>503</v>
      </c>
      <c r="B9" s="5">
        <f>COUNTIF('架電リスト'!$B$5:$B$1382,A9)</f>
        <v>0</v>
      </c>
      <c r="C9" s="5">
        <f>COUNTIFS('架電リスト'!$B$5:$B$1382,A9,'架電リスト'!$E$5:$E$1382,"&lt;&gt;")</f>
        <v>0</v>
      </c>
      <c r="D9" s="5">
        <f>B9-COUNTIFS('架電リスト'!$B$5:$B$1382,A9,'架電リスト'!$J$5:$J$1382,"未架電")-COUNTIFS('架電リスト'!$B$5:$B$1382,A9,'架電リスト'!$J$5:$J$1382,"")</f>
        <v>0</v>
      </c>
      <c r="E9" s="5">
        <f>COUNTIFS('架電リスト'!$B$5:$B$1382,$A9,'架電リスト'!$J$5:$J$1382,"不在・折返し待ち")</f>
        <v>0</v>
      </c>
      <c r="F9" s="5">
        <f>COUNTIFS('架電リスト'!$B$5:$B$1382,$A9,'架電リスト'!$J$5:$J$1382,"担当者不在")</f>
        <v>0</v>
      </c>
      <c r="G9" s="5">
        <f>COUNTIFS('架電リスト'!$B$5:$B$1382,$A9,'架電リスト'!$J$5:$J$1382,"資料送付")</f>
        <v>0</v>
      </c>
      <c r="H9" s="5">
        <f>COUNTIFS('架電リスト'!$B$5:$B$1382,$A9,'架電リスト'!$J$5:$J$1382,"アポ獲得")</f>
        <v>0</v>
      </c>
      <c r="I9" s="5">
        <f>COUNTIFS('架電リスト'!$B$5:$B$1382,$A9,'架電リスト'!$J$5:$J$1382,"検討中")</f>
        <v>0</v>
      </c>
      <c r="J9" s="5">
        <f>COUNTIFS('架電リスト'!$B$5:$B$1382,$A9,'架電リスト'!$J$5:$J$1382,"NG")</f>
        <v>0</v>
      </c>
      <c r="K9" s="5">
        <f>COUNTIFS('架電リスト'!$B$5:$B$1382,$A9,'架電リスト'!$J$5:$J$1382,"番号不明")</f>
        <v>0</v>
      </c>
      <c r="L9" s="5">
        <f>SUMPRODUCT((MID('テレアポ管理（私立全国版）'!$A$6:$A$1383,3,4)=$A9)*'テレアポ管理（私立全国版）'!$N$6:$N$1383)</f>
        <v>0</v>
      </c>
      <c r="M9" s="5">
        <f>SUMPRODUCT((MID('テレアポ管理（私立全国版）'!$A$6:$A$1383,3,4)=$A9)*('テレアポ管理（私立全国版）'!$H$6:$H$1383=TRUE))</f>
        <v>0</v>
      </c>
      <c r="N9" s="5">
        <f>SUMPRODUCT((MID('テレアポ管理（私立全国版）'!$A$6:$A$1383,3,4)=$A9)*('テレアポ管理（私立全国版）'!$I$6:$I$1383=TRUE))</f>
        <v>0</v>
      </c>
      <c r="O9" s="5">
        <f>SUMPRODUCT((MID('テレアポ管理（私立全国版）'!$A$6:$A$1383,3,4)=$A9)*('テレアポ管理（私立全国版）'!$J$6:$J$1383=TRUE))</f>
        <v>0</v>
      </c>
      <c r="P9" s="5">
        <f>SUMPRODUCT((MID('テレアポ管理（私立全国版）'!$A$6:$A$1383,3,4)=$A9)*('テレアポ管理（私立全国版）'!$K$6:$K$1383=TRUE))</f>
        <v>0</v>
      </c>
      <c r="Q9" s="5">
        <f>SUMPRODUCT((MID('テレアポ管理（私立全国版）'!$A$6:$A$1383,3,4)=$A9)*('テレアポ管理（私立全国版）'!$L$6:$L$1383=TRUE))</f>
        <v>0</v>
      </c>
    </row>
    <row r="10" spans="1:17">
      <c r="A10" s="5" t="s">
        <v>568</v>
      </c>
      <c r="B10" s="5">
        <f>COUNTIF('架電リスト'!$B$5:$B$1382,A10)</f>
        <v>0</v>
      </c>
      <c r="C10" s="5">
        <f>COUNTIFS('架電リスト'!$B$5:$B$1382,A10,'架電リスト'!$E$5:$E$1382,"&lt;&gt;")</f>
        <v>0</v>
      </c>
      <c r="D10" s="5">
        <f>B10-COUNTIFS('架電リスト'!$B$5:$B$1382,A10,'架電リスト'!$J$5:$J$1382,"未架電")-COUNTIFS('架電リスト'!$B$5:$B$1382,A10,'架電リスト'!$J$5:$J$1382,"")</f>
        <v>0</v>
      </c>
      <c r="E10" s="5">
        <f>COUNTIFS('架電リスト'!$B$5:$B$1382,$A10,'架電リスト'!$J$5:$J$1382,"不在・折返し待ち")</f>
        <v>0</v>
      </c>
      <c r="F10" s="5">
        <f>COUNTIFS('架電リスト'!$B$5:$B$1382,$A10,'架電リスト'!$J$5:$J$1382,"担当者不在")</f>
        <v>0</v>
      </c>
      <c r="G10" s="5">
        <f>COUNTIFS('架電リスト'!$B$5:$B$1382,$A10,'架電リスト'!$J$5:$J$1382,"資料送付")</f>
        <v>0</v>
      </c>
      <c r="H10" s="5">
        <f>COUNTIFS('架電リスト'!$B$5:$B$1382,$A10,'架電リスト'!$J$5:$J$1382,"アポ獲得")</f>
        <v>0</v>
      </c>
      <c r="I10" s="5">
        <f>COUNTIFS('架電リスト'!$B$5:$B$1382,$A10,'架電リスト'!$J$5:$J$1382,"検討中")</f>
        <v>0</v>
      </c>
      <c r="J10" s="5">
        <f>COUNTIFS('架電リスト'!$B$5:$B$1382,$A10,'架電リスト'!$J$5:$J$1382,"NG")</f>
        <v>0</v>
      </c>
      <c r="K10" s="5">
        <f>COUNTIFS('架電リスト'!$B$5:$B$1382,$A10,'架電リスト'!$J$5:$J$1382,"番号不明")</f>
        <v>0</v>
      </c>
      <c r="L10" s="5">
        <f>SUMPRODUCT((MID('テレアポ管理（私立全国版）'!$A$6:$A$1383,3,4)=$A10)*'テレアポ管理（私立全国版）'!$N$6:$N$1383)</f>
        <v>0</v>
      </c>
      <c r="M10" s="5">
        <f>SUMPRODUCT((MID('テレアポ管理（私立全国版）'!$A$6:$A$1383,3,4)=$A10)*('テレアポ管理（私立全国版）'!$H$6:$H$1383=TRUE))</f>
        <v>0</v>
      </c>
      <c r="N10" s="5">
        <f>SUMPRODUCT((MID('テレアポ管理（私立全国版）'!$A$6:$A$1383,3,4)=$A10)*('テレアポ管理（私立全国版）'!$I$6:$I$1383=TRUE))</f>
        <v>0</v>
      </c>
      <c r="O10" s="5">
        <f>SUMPRODUCT((MID('テレアポ管理（私立全国版）'!$A$6:$A$1383,3,4)=$A10)*('テレアポ管理（私立全国版）'!$J$6:$J$1383=TRUE))</f>
        <v>0</v>
      </c>
      <c r="P10" s="5">
        <f>SUMPRODUCT((MID('テレアポ管理（私立全国版）'!$A$6:$A$1383,3,4)=$A10)*('テレアポ管理（私立全国版）'!$K$6:$K$1383=TRUE))</f>
        <v>0</v>
      </c>
      <c r="Q10" s="5">
        <f>SUMPRODUCT((MID('テレアポ管理（私立全国版）'!$A$6:$A$1383,3,4)=$A10)*('テレアポ管理（私立全国版）'!$L$6:$L$1383=TRUE))</f>
        <v>0</v>
      </c>
    </row>
    <row r="11" spans="1:17">
      <c r="A11" s="5" t="s">
        <v>637</v>
      </c>
      <c r="B11" s="5">
        <f>COUNTIF('架電リスト'!$B$5:$B$1382,A11)</f>
        <v>0</v>
      </c>
      <c r="C11" s="5">
        <f>COUNTIFS('架電リスト'!$B$5:$B$1382,A11,'架電リスト'!$E$5:$E$1382,"&lt;&gt;")</f>
        <v>0</v>
      </c>
      <c r="D11" s="5">
        <f>B11-COUNTIFS('架電リスト'!$B$5:$B$1382,A11,'架電リスト'!$J$5:$J$1382,"未架電")-COUNTIFS('架電リスト'!$B$5:$B$1382,A11,'架電リスト'!$J$5:$J$1382,"")</f>
        <v>0</v>
      </c>
      <c r="E11" s="5">
        <f>COUNTIFS('架電リスト'!$B$5:$B$1382,$A11,'架電リスト'!$J$5:$J$1382,"不在・折返し待ち")</f>
        <v>0</v>
      </c>
      <c r="F11" s="5">
        <f>COUNTIFS('架電リスト'!$B$5:$B$1382,$A11,'架電リスト'!$J$5:$J$1382,"担当者不在")</f>
        <v>0</v>
      </c>
      <c r="G11" s="5">
        <f>COUNTIFS('架電リスト'!$B$5:$B$1382,$A11,'架電リスト'!$J$5:$J$1382,"資料送付")</f>
        <v>0</v>
      </c>
      <c r="H11" s="5">
        <f>COUNTIFS('架電リスト'!$B$5:$B$1382,$A11,'架電リスト'!$J$5:$J$1382,"アポ獲得")</f>
        <v>0</v>
      </c>
      <c r="I11" s="5">
        <f>COUNTIFS('架電リスト'!$B$5:$B$1382,$A11,'架電リスト'!$J$5:$J$1382,"検討中")</f>
        <v>0</v>
      </c>
      <c r="J11" s="5">
        <f>COUNTIFS('架電リスト'!$B$5:$B$1382,$A11,'架電リスト'!$J$5:$J$1382,"NG")</f>
        <v>0</v>
      </c>
      <c r="K11" s="5">
        <f>COUNTIFS('架電リスト'!$B$5:$B$1382,$A11,'架電リスト'!$J$5:$J$1382,"番号不明")</f>
        <v>0</v>
      </c>
      <c r="L11" s="5">
        <f>SUMPRODUCT((MID('テレアポ管理（私立全国版）'!$A$6:$A$1383,3,4)=$A11)*'テレアポ管理（私立全国版）'!$N$6:$N$1383)</f>
        <v>0</v>
      </c>
      <c r="M11" s="5">
        <f>SUMPRODUCT((MID('テレアポ管理（私立全国版）'!$A$6:$A$1383,3,4)=$A11)*('テレアポ管理（私立全国版）'!$H$6:$H$1383=TRUE))</f>
        <v>0</v>
      </c>
      <c r="N11" s="5">
        <f>SUMPRODUCT((MID('テレアポ管理（私立全国版）'!$A$6:$A$1383,3,4)=$A11)*('テレアポ管理（私立全国版）'!$I$6:$I$1383=TRUE))</f>
        <v>0</v>
      </c>
      <c r="O11" s="5">
        <f>SUMPRODUCT((MID('テレアポ管理（私立全国版）'!$A$6:$A$1383,3,4)=$A11)*('テレアポ管理（私立全国版）'!$J$6:$J$1383=TRUE))</f>
        <v>0</v>
      </c>
      <c r="P11" s="5">
        <f>SUMPRODUCT((MID('テレアポ管理（私立全国版）'!$A$6:$A$1383,3,4)=$A11)*('テレアポ管理（私立全国版）'!$K$6:$K$1383=TRUE))</f>
        <v>0</v>
      </c>
      <c r="Q11" s="5">
        <f>SUMPRODUCT((MID('テレアポ管理（私立全国版）'!$A$6:$A$1383,3,4)=$A11)*('テレアポ管理（私立全国版）'!$L$6:$L$1383=TRUE))</f>
        <v>0</v>
      </c>
    </row>
    <row r="12" spans="1:17">
      <c r="A12" s="5" t="s">
        <v>769</v>
      </c>
      <c r="B12" s="5">
        <f>COUNTIF('架電リスト'!$B$5:$B$1382,A12)</f>
        <v>0</v>
      </c>
      <c r="C12" s="5">
        <f>COUNTIFS('架電リスト'!$B$5:$B$1382,A12,'架電リスト'!$E$5:$E$1382,"&lt;&gt;")</f>
        <v>0</v>
      </c>
      <c r="D12" s="5">
        <f>B12-COUNTIFS('架電リスト'!$B$5:$B$1382,A12,'架電リスト'!$J$5:$J$1382,"未架電")-COUNTIFS('架電リスト'!$B$5:$B$1382,A12,'架電リスト'!$J$5:$J$1382,"")</f>
        <v>0</v>
      </c>
      <c r="E12" s="5">
        <f>COUNTIFS('架電リスト'!$B$5:$B$1382,$A12,'架電リスト'!$J$5:$J$1382,"不在・折返し待ち")</f>
        <v>0</v>
      </c>
      <c r="F12" s="5">
        <f>COUNTIFS('架電リスト'!$B$5:$B$1382,$A12,'架電リスト'!$J$5:$J$1382,"担当者不在")</f>
        <v>0</v>
      </c>
      <c r="G12" s="5">
        <f>COUNTIFS('架電リスト'!$B$5:$B$1382,$A12,'架電リスト'!$J$5:$J$1382,"資料送付")</f>
        <v>0</v>
      </c>
      <c r="H12" s="5">
        <f>COUNTIFS('架電リスト'!$B$5:$B$1382,$A12,'架電リスト'!$J$5:$J$1382,"アポ獲得")</f>
        <v>0</v>
      </c>
      <c r="I12" s="5">
        <f>COUNTIFS('架電リスト'!$B$5:$B$1382,$A12,'架電リスト'!$J$5:$J$1382,"検討中")</f>
        <v>0</v>
      </c>
      <c r="J12" s="5">
        <f>COUNTIFS('架電リスト'!$B$5:$B$1382,$A12,'架電リスト'!$J$5:$J$1382,"NG")</f>
        <v>0</v>
      </c>
      <c r="K12" s="5">
        <f>COUNTIFS('架電リスト'!$B$5:$B$1382,$A12,'架電リスト'!$J$5:$J$1382,"番号不明")</f>
        <v>0</v>
      </c>
      <c r="L12" s="5">
        <f>SUMPRODUCT((MID('テレアポ管理（私立全国版）'!$A$6:$A$1383,3,4)=$A12)*'テレアポ管理（私立全国版）'!$N$6:$N$1383)</f>
        <v>0</v>
      </c>
      <c r="M12" s="5">
        <f>SUMPRODUCT((MID('テレアポ管理（私立全国版）'!$A$6:$A$1383,3,4)=$A12)*('テレアポ管理（私立全国版）'!$H$6:$H$1383=TRUE))</f>
        <v>0</v>
      </c>
      <c r="N12" s="5">
        <f>SUMPRODUCT((MID('テレアポ管理（私立全国版）'!$A$6:$A$1383,3,4)=$A12)*('テレアポ管理（私立全国版）'!$I$6:$I$1383=TRUE))</f>
        <v>0</v>
      </c>
      <c r="O12" s="5">
        <f>SUMPRODUCT((MID('テレアポ管理（私立全国版）'!$A$6:$A$1383,3,4)=$A12)*('テレアポ管理（私立全国版）'!$J$6:$J$1383=TRUE))</f>
        <v>0</v>
      </c>
      <c r="P12" s="5">
        <f>SUMPRODUCT((MID('テレアポ管理（私立全国版）'!$A$6:$A$1383,3,4)=$A12)*('テレアポ管理（私立全国版）'!$K$6:$K$1383=TRUE))</f>
        <v>0</v>
      </c>
      <c r="Q12" s="5">
        <f>SUMPRODUCT((MID('テレアポ管理（私立全国版）'!$A$6:$A$1383,3,4)=$A12)*('テレアポ管理（私立全国版）'!$L$6:$L$1383=TRUE))</f>
        <v>0</v>
      </c>
    </row>
    <row r="13" spans="1:17">
      <c r="A13" s="5" t="s">
        <v>835</v>
      </c>
      <c r="B13" s="5">
        <f>COUNTIF('架電リスト'!$B$5:$B$1382,A13)</f>
        <v>0</v>
      </c>
      <c r="C13" s="5">
        <f>COUNTIFS('架電リスト'!$B$5:$B$1382,A13,'架電リスト'!$E$5:$E$1382,"&lt;&gt;")</f>
        <v>0</v>
      </c>
      <c r="D13" s="5">
        <f>B13-COUNTIFS('架電リスト'!$B$5:$B$1382,A13,'架電リスト'!$J$5:$J$1382,"未架電")-COUNTIFS('架電リスト'!$B$5:$B$1382,A13,'架電リスト'!$J$5:$J$1382,"")</f>
        <v>0</v>
      </c>
      <c r="E13" s="5">
        <f>COUNTIFS('架電リスト'!$B$5:$B$1382,$A13,'架電リスト'!$J$5:$J$1382,"不在・折返し待ち")</f>
        <v>0</v>
      </c>
      <c r="F13" s="5">
        <f>COUNTIFS('架電リスト'!$B$5:$B$1382,$A13,'架電リスト'!$J$5:$J$1382,"担当者不在")</f>
        <v>0</v>
      </c>
      <c r="G13" s="5">
        <f>COUNTIFS('架電リスト'!$B$5:$B$1382,$A13,'架電リスト'!$J$5:$J$1382,"資料送付")</f>
        <v>0</v>
      </c>
      <c r="H13" s="5">
        <f>COUNTIFS('架電リスト'!$B$5:$B$1382,$A13,'架電リスト'!$J$5:$J$1382,"アポ獲得")</f>
        <v>0</v>
      </c>
      <c r="I13" s="5">
        <f>COUNTIFS('架電リスト'!$B$5:$B$1382,$A13,'架電リスト'!$J$5:$J$1382,"検討中")</f>
        <v>0</v>
      </c>
      <c r="J13" s="5">
        <f>COUNTIFS('架電リスト'!$B$5:$B$1382,$A13,'架電リスト'!$J$5:$J$1382,"NG")</f>
        <v>0</v>
      </c>
      <c r="K13" s="5">
        <f>COUNTIFS('架電リスト'!$B$5:$B$1382,$A13,'架電リスト'!$J$5:$J$1382,"番号不明")</f>
        <v>0</v>
      </c>
      <c r="L13" s="5">
        <f>SUMPRODUCT((MID('テレアポ管理（私立全国版）'!$A$6:$A$1383,3,4)=$A13)*'テレアポ管理（私立全国版）'!$N$6:$N$1383)</f>
        <v>0</v>
      </c>
      <c r="M13" s="5">
        <f>SUMPRODUCT((MID('テレアポ管理（私立全国版）'!$A$6:$A$1383,3,4)=$A13)*('テレアポ管理（私立全国版）'!$H$6:$H$1383=TRUE))</f>
        <v>0</v>
      </c>
      <c r="N13" s="5">
        <f>SUMPRODUCT((MID('テレアポ管理（私立全国版）'!$A$6:$A$1383,3,4)=$A13)*('テレアポ管理（私立全国版）'!$I$6:$I$1383=TRUE))</f>
        <v>0</v>
      </c>
      <c r="O13" s="5">
        <f>SUMPRODUCT((MID('テレアポ管理（私立全国版）'!$A$6:$A$1383,3,4)=$A13)*('テレアポ管理（私立全国版）'!$J$6:$J$1383=TRUE))</f>
        <v>0</v>
      </c>
      <c r="P13" s="5">
        <f>SUMPRODUCT((MID('テレアポ管理（私立全国版）'!$A$6:$A$1383,3,4)=$A13)*('テレアポ管理（私立全国版）'!$K$6:$K$1383=TRUE))</f>
        <v>0</v>
      </c>
      <c r="Q13" s="5">
        <f>SUMPRODUCT((MID('テレアポ管理（私立全国版）'!$A$6:$A$1383,3,4)=$A13)*('テレアポ管理（私立全国版）'!$L$6:$L$1383=TRUE))</f>
        <v>0</v>
      </c>
    </row>
    <row r="14" spans="1:17">
      <c r="A14" s="5" t="s">
        <v>892</v>
      </c>
      <c r="B14" s="5">
        <f>COUNTIF('架電リスト'!$B$5:$B$1382,A14)</f>
        <v>0</v>
      </c>
      <c r="C14" s="5">
        <f>COUNTIFS('架電リスト'!$B$5:$B$1382,A14,'架電リスト'!$E$5:$E$1382,"&lt;&gt;")</f>
        <v>0</v>
      </c>
      <c r="D14" s="5">
        <f>B14-COUNTIFS('架電リスト'!$B$5:$B$1382,A14,'架電リスト'!$J$5:$J$1382,"未架電")-COUNTIFS('架電リスト'!$B$5:$B$1382,A14,'架電リスト'!$J$5:$J$1382,"")</f>
        <v>0</v>
      </c>
      <c r="E14" s="5">
        <f>COUNTIFS('架電リスト'!$B$5:$B$1382,$A14,'架電リスト'!$J$5:$J$1382,"不在・折返し待ち")</f>
        <v>0</v>
      </c>
      <c r="F14" s="5">
        <f>COUNTIFS('架電リスト'!$B$5:$B$1382,$A14,'架電リスト'!$J$5:$J$1382,"担当者不在")</f>
        <v>0</v>
      </c>
      <c r="G14" s="5">
        <f>COUNTIFS('架電リスト'!$B$5:$B$1382,$A14,'架電リスト'!$J$5:$J$1382,"資料送付")</f>
        <v>0</v>
      </c>
      <c r="H14" s="5">
        <f>COUNTIFS('架電リスト'!$B$5:$B$1382,$A14,'架電リスト'!$J$5:$J$1382,"アポ獲得")</f>
        <v>0</v>
      </c>
      <c r="I14" s="5">
        <f>COUNTIFS('架電リスト'!$B$5:$B$1382,$A14,'架電リスト'!$J$5:$J$1382,"検討中")</f>
        <v>0</v>
      </c>
      <c r="J14" s="5">
        <f>COUNTIFS('架電リスト'!$B$5:$B$1382,$A14,'架電リスト'!$J$5:$J$1382,"NG")</f>
        <v>0</v>
      </c>
      <c r="K14" s="5">
        <f>COUNTIFS('架電リスト'!$B$5:$B$1382,$A14,'架電リスト'!$J$5:$J$1382,"番号不明")</f>
        <v>0</v>
      </c>
      <c r="L14" s="5">
        <f>SUMPRODUCT((MID('テレアポ管理（私立全国版）'!$A$6:$A$1383,3,4)=$A14)*'テレアポ管理（私立全国版）'!$N$6:$N$1383)</f>
        <v>0</v>
      </c>
      <c r="M14" s="5">
        <f>SUMPRODUCT((MID('テレアポ管理（私立全国版）'!$A$6:$A$1383,3,4)=$A14)*('テレアポ管理（私立全国版）'!$H$6:$H$1383=TRUE))</f>
        <v>0</v>
      </c>
      <c r="N14" s="5">
        <f>SUMPRODUCT((MID('テレアポ管理（私立全国版）'!$A$6:$A$1383,3,4)=$A14)*('テレアポ管理（私立全国版）'!$I$6:$I$1383=TRUE))</f>
        <v>0</v>
      </c>
      <c r="O14" s="5">
        <f>SUMPRODUCT((MID('テレアポ管理（私立全国版）'!$A$6:$A$1383,3,4)=$A14)*('テレアポ管理（私立全国版）'!$J$6:$J$1383=TRUE))</f>
        <v>0</v>
      </c>
      <c r="P14" s="5">
        <f>SUMPRODUCT((MID('テレアポ管理（私立全国版）'!$A$6:$A$1383,3,4)=$A14)*('テレアポ管理（私立全国版）'!$K$6:$K$1383=TRUE))</f>
        <v>0</v>
      </c>
      <c r="Q14" s="5">
        <f>SUMPRODUCT((MID('テレアポ管理（私立全国版）'!$A$6:$A$1383,3,4)=$A14)*('テレアポ管理（私立全国版）'!$L$6:$L$1383=TRUE))</f>
        <v>0</v>
      </c>
    </row>
    <row r="15" spans="1:17">
      <c r="A15" s="5" t="s">
        <v>1114</v>
      </c>
      <c r="B15" s="5">
        <f>COUNTIF('架電リスト'!$B$5:$B$1382,A15)</f>
        <v>0</v>
      </c>
      <c r="C15" s="5">
        <f>COUNTIFS('架電リスト'!$B$5:$B$1382,A15,'架電リスト'!$E$5:$E$1382,"&lt;&gt;")</f>
        <v>0</v>
      </c>
      <c r="D15" s="5">
        <f>B15-COUNTIFS('架電リスト'!$B$5:$B$1382,A15,'架電リスト'!$J$5:$J$1382,"未架電")-COUNTIFS('架電リスト'!$B$5:$B$1382,A15,'架電リスト'!$J$5:$J$1382,"")</f>
        <v>0</v>
      </c>
      <c r="E15" s="5">
        <f>COUNTIFS('架電リスト'!$B$5:$B$1382,$A15,'架電リスト'!$J$5:$J$1382,"不在・折返し待ち")</f>
        <v>0</v>
      </c>
      <c r="F15" s="5">
        <f>COUNTIFS('架電リスト'!$B$5:$B$1382,$A15,'架電リスト'!$J$5:$J$1382,"担当者不在")</f>
        <v>0</v>
      </c>
      <c r="G15" s="5">
        <f>COUNTIFS('架電リスト'!$B$5:$B$1382,$A15,'架電リスト'!$J$5:$J$1382,"資料送付")</f>
        <v>0</v>
      </c>
      <c r="H15" s="5">
        <f>COUNTIFS('架電リスト'!$B$5:$B$1382,$A15,'架電リスト'!$J$5:$J$1382,"アポ獲得")</f>
        <v>0</v>
      </c>
      <c r="I15" s="5">
        <f>COUNTIFS('架電リスト'!$B$5:$B$1382,$A15,'架電リスト'!$J$5:$J$1382,"検討中")</f>
        <v>0</v>
      </c>
      <c r="J15" s="5">
        <f>COUNTIFS('架電リスト'!$B$5:$B$1382,$A15,'架電リスト'!$J$5:$J$1382,"NG")</f>
        <v>0</v>
      </c>
      <c r="K15" s="5">
        <f>COUNTIFS('架電リスト'!$B$5:$B$1382,$A15,'架電リスト'!$J$5:$J$1382,"番号不明")</f>
        <v>0</v>
      </c>
      <c r="L15" s="5">
        <f>SUMPRODUCT((MID('テレアポ管理（私立全国版）'!$A$6:$A$1383,3,4)=$A15)*'テレアポ管理（私立全国版）'!$N$6:$N$1383)</f>
        <v>0</v>
      </c>
      <c r="M15" s="5">
        <f>SUMPRODUCT((MID('テレアポ管理（私立全国版）'!$A$6:$A$1383,3,4)=$A15)*('テレアポ管理（私立全国版）'!$H$6:$H$1383=TRUE))</f>
        <v>0</v>
      </c>
      <c r="N15" s="5">
        <f>SUMPRODUCT((MID('テレアポ管理（私立全国版）'!$A$6:$A$1383,3,4)=$A15)*('テレアポ管理（私立全国版）'!$I$6:$I$1383=TRUE))</f>
        <v>0</v>
      </c>
      <c r="O15" s="5">
        <f>SUMPRODUCT((MID('テレアポ管理（私立全国版）'!$A$6:$A$1383,3,4)=$A15)*('テレアポ管理（私立全国版）'!$J$6:$J$1383=TRUE))</f>
        <v>0</v>
      </c>
      <c r="P15" s="5">
        <f>SUMPRODUCT((MID('テレアポ管理（私立全国版）'!$A$6:$A$1383,3,4)=$A15)*('テレアポ管理（私立全国版）'!$K$6:$K$1383=TRUE))</f>
        <v>0</v>
      </c>
      <c r="Q15" s="5">
        <f>SUMPRODUCT((MID('テレアポ管理（私立全国版）'!$A$6:$A$1383,3,4)=$A15)*('テレアポ管理（私立全国版）'!$L$6:$L$1383=TRUE))</f>
        <v>0</v>
      </c>
    </row>
    <row r="16" spans="1:17">
      <c r="A16" s="5" t="s">
        <v>1340</v>
      </c>
      <c r="B16" s="5">
        <f>COUNTIF('架電リスト'!$B$5:$B$1382,A16)</f>
        <v>0</v>
      </c>
      <c r="C16" s="5">
        <f>COUNTIFS('架電リスト'!$B$5:$B$1382,A16,'架電リスト'!$E$5:$E$1382,"&lt;&gt;")</f>
        <v>0</v>
      </c>
      <c r="D16" s="5">
        <f>B16-COUNTIFS('架電リスト'!$B$5:$B$1382,A16,'架電リスト'!$J$5:$J$1382,"未架電")-COUNTIFS('架電リスト'!$B$5:$B$1382,A16,'架電リスト'!$J$5:$J$1382,"")</f>
        <v>0</v>
      </c>
      <c r="E16" s="5">
        <f>COUNTIFS('架電リスト'!$B$5:$B$1382,$A16,'架電リスト'!$J$5:$J$1382,"不在・折返し待ち")</f>
        <v>0</v>
      </c>
      <c r="F16" s="5">
        <f>COUNTIFS('架電リスト'!$B$5:$B$1382,$A16,'架電リスト'!$J$5:$J$1382,"担当者不在")</f>
        <v>0</v>
      </c>
      <c r="G16" s="5">
        <f>COUNTIFS('架電リスト'!$B$5:$B$1382,$A16,'架電リスト'!$J$5:$J$1382,"資料送付")</f>
        <v>0</v>
      </c>
      <c r="H16" s="5">
        <f>COUNTIFS('架電リスト'!$B$5:$B$1382,$A16,'架電リスト'!$J$5:$J$1382,"アポ獲得")</f>
        <v>0</v>
      </c>
      <c r="I16" s="5">
        <f>COUNTIFS('架電リスト'!$B$5:$B$1382,$A16,'架電リスト'!$J$5:$J$1382,"検討中")</f>
        <v>0</v>
      </c>
      <c r="J16" s="5">
        <f>COUNTIFS('架電リスト'!$B$5:$B$1382,$A16,'架電リスト'!$J$5:$J$1382,"NG")</f>
        <v>0</v>
      </c>
      <c r="K16" s="5">
        <f>COUNTIFS('架電リスト'!$B$5:$B$1382,$A16,'架電リスト'!$J$5:$J$1382,"番号不明")</f>
        <v>0</v>
      </c>
      <c r="L16" s="5">
        <f>SUMPRODUCT((MID('テレアポ管理（私立全国版）'!$A$6:$A$1383,3,4)=$A16)*'テレアポ管理（私立全国版）'!$N$6:$N$1383)</f>
        <v>0</v>
      </c>
      <c r="M16" s="5">
        <f>SUMPRODUCT((MID('テレアポ管理（私立全国版）'!$A$6:$A$1383,3,4)=$A16)*('テレアポ管理（私立全国版）'!$H$6:$H$1383=TRUE))</f>
        <v>0</v>
      </c>
      <c r="N16" s="5">
        <f>SUMPRODUCT((MID('テレアポ管理（私立全国版）'!$A$6:$A$1383,3,4)=$A16)*('テレアポ管理（私立全国版）'!$I$6:$I$1383=TRUE))</f>
        <v>0</v>
      </c>
      <c r="O16" s="5">
        <f>SUMPRODUCT((MID('テレアポ管理（私立全国版）'!$A$6:$A$1383,3,4)=$A16)*('テレアポ管理（私立全国版）'!$J$6:$J$1383=TRUE))</f>
        <v>0</v>
      </c>
      <c r="P16" s="5">
        <f>SUMPRODUCT((MID('テレアポ管理（私立全国版）'!$A$6:$A$1383,3,4)=$A16)*('テレアポ管理（私立全国版）'!$K$6:$K$1383=TRUE))</f>
        <v>0</v>
      </c>
      <c r="Q16" s="5">
        <f>SUMPRODUCT((MID('テレアポ管理（私立全国版）'!$A$6:$A$1383,3,4)=$A16)*('テレアポ管理（私立全国版）'!$L$6:$L$1383=TRUE))</f>
        <v>0</v>
      </c>
    </row>
    <row r="17" spans="1:17">
      <c r="A17" s="5" t="s">
        <v>2218</v>
      </c>
      <c r="B17" s="5">
        <f>COUNTIF('架電リスト'!$B$5:$B$1382,A17)</f>
        <v>0</v>
      </c>
      <c r="C17" s="5">
        <f>COUNTIFS('架電リスト'!$B$5:$B$1382,A17,'架電リスト'!$E$5:$E$1382,"&lt;&gt;")</f>
        <v>0</v>
      </c>
      <c r="D17" s="5">
        <f>B17-COUNTIFS('架電リスト'!$B$5:$B$1382,A17,'架電リスト'!$J$5:$J$1382,"未架電")-COUNTIFS('架電リスト'!$B$5:$B$1382,A17,'架電リスト'!$J$5:$J$1382,"")</f>
        <v>0</v>
      </c>
      <c r="E17" s="5">
        <f>COUNTIFS('架電リスト'!$B$5:$B$1382,$A17,'架電リスト'!$J$5:$J$1382,"不在・折返し待ち")</f>
        <v>0</v>
      </c>
      <c r="F17" s="5">
        <f>COUNTIFS('架電リスト'!$B$5:$B$1382,$A17,'架電リスト'!$J$5:$J$1382,"担当者不在")</f>
        <v>0</v>
      </c>
      <c r="G17" s="5">
        <f>COUNTIFS('架電リスト'!$B$5:$B$1382,$A17,'架電リスト'!$J$5:$J$1382,"資料送付")</f>
        <v>0</v>
      </c>
      <c r="H17" s="5">
        <f>COUNTIFS('架電リスト'!$B$5:$B$1382,$A17,'架電リスト'!$J$5:$J$1382,"アポ獲得")</f>
        <v>0</v>
      </c>
      <c r="I17" s="5">
        <f>COUNTIFS('架電リスト'!$B$5:$B$1382,$A17,'架電リスト'!$J$5:$J$1382,"検討中")</f>
        <v>0</v>
      </c>
      <c r="J17" s="5">
        <f>COUNTIFS('架電リスト'!$B$5:$B$1382,$A17,'架電リスト'!$J$5:$J$1382,"NG")</f>
        <v>0</v>
      </c>
      <c r="K17" s="5">
        <f>COUNTIFS('架電リスト'!$B$5:$B$1382,$A17,'架電リスト'!$J$5:$J$1382,"番号不明")</f>
        <v>0</v>
      </c>
      <c r="L17" s="5">
        <f>SUMPRODUCT((MID('テレアポ管理（私立全国版）'!$A$6:$A$1383,3,4)=$A17)*'テレアポ管理（私立全国版）'!$N$6:$N$1383)</f>
        <v>0</v>
      </c>
      <c r="M17" s="5">
        <f>SUMPRODUCT((MID('テレアポ管理（私立全国版）'!$A$6:$A$1383,3,4)=$A17)*('テレアポ管理（私立全国版）'!$H$6:$H$1383=TRUE))</f>
        <v>0</v>
      </c>
      <c r="N17" s="5">
        <f>SUMPRODUCT((MID('テレアポ管理（私立全国版）'!$A$6:$A$1383,3,4)=$A17)*('テレアポ管理（私立全国版）'!$I$6:$I$1383=TRUE))</f>
        <v>0</v>
      </c>
      <c r="O17" s="5">
        <f>SUMPRODUCT((MID('テレアポ管理（私立全国版）'!$A$6:$A$1383,3,4)=$A17)*('テレアポ管理（私立全国版）'!$J$6:$J$1383=TRUE))</f>
        <v>0</v>
      </c>
      <c r="P17" s="5">
        <f>SUMPRODUCT((MID('テレアポ管理（私立全国版）'!$A$6:$A$1383,3,4)=$A17)*('テレアポ管理（私立全国版）'!$K$6:$K$1383=TRUE))</f>
        <v>0</v>
      </c>
      <c r="Q17" s="5">
        <f>SUMPRODUCT((MID('テレアポ管理（私立全国版）'!$A$6:$A$1383,3,4)=$A17)*('テレアポ管理（私立全国版）'!$L$6:$L$1383=TRUE))</f>
        <v>0</v>
      </c>
    </row>
    <row r="18" spans="1:17">
      <c r="A18" s="5" t="s">
        <v>2518</v>
      </c>
      <c r="B18" s="5">
        <f>COUNTIF('架電リスト'!$B$5:$B$1382,A18)</f>
        <v>0</v>
      </c>
      <c r="C18" s="5">
        <f>COUNTIFS('架電リスト'!$B$5:$B$1382,A18,'架電リスト'!$E$5:$E$1382,"&lt;&gt;")</f>
        <v>0</v>
      </c>
      <c r="D18" s="5">
        <f>B18-COUNTIFS('架電リスト'!$B$5:$B$1382,A18,'架電リスト'!$J$5:$J$1382,"未架電")-COUNTIFS('架電リスト'!$B$5:$B$1382,A18,'架電リスト'!$J$5:$J$1382,"")</f>
        <v>0</v>
      </c>
      <c r="E18" s="5">
        <f>COUNTIFS('架電リスト'!$B$5:$B$1382,$A18,'架電リスト'!$J$5:$J$1382,"不在・折返し待ち")</f>
        <v>0</v>
      </c>
      <c r="F18" s="5">
        <f>COUNTIFS('架電リスト'!$B$5:$B$1382,$A18,'架電リスト'!$J$5:$J$1382,"担当者不在")</f>
        <v>0</v>
      </c>
      <c r="G18" s="5">
        <f>COUNTIFS('架電リスト'!$B$5:$B$1382,$A18,'架電リスト'!$J$5:$J$1382,"資料送付")</f>
        <v>0</v>
      </c>
      <c r="H18" s="5">
        <f>COUNTIFS('架電リスト'!$B$5:$B$1382,$A18,'架電リスト'!$J$5:$J$1382,"アポ獲得")</f>
        <v>0</v>
      </c>
      <c r="I18" s="5">
        <f>COUNTIFS('架電リスト'!$B$5:$B$1382,$A18,'架電リスト'!$J$5:$J$1382,"検討中")</f>
        <v>0</v>
      </c>
      <c r="J18" s="5">
        <f>COUNTIFS('架電リスト'!$B$5:$B$1382,$A18,'架電リスト'!$J$5:$J$1382,"NG")</f>
        <v>0</v>
      </c>
      <c r="K18" s="5">
        <f>COUNTIFS('架電リスト'!$B$5:$B$1382,$A18,'架電リスト'!$J$5:$J$1382,"番号不明")</f>
        <v>0</v>
      </c>
      <c r="L18" s="5">
        <f>SUMPRODUCT((MID('テレアポ管理（私立全国版）'!$A$6:$A$1383,3,4)=$A18)*'テレアポ管理（私立全国版）'!$N$6:$N$1383)</f>
        <v>0</v>
      </c>
      <c r="M18" s="5">
        <f>SUMPRODUCT((MID('テレアポ管理（私立全国版）'!$A$6:$A$1383,3,4)=$A18)*('テレアポ管理（私立全国版）'!$H$6:$H$1383=TRUE))</f>
        <v>0</v>
      </c>
      <c r="N18" s="5">
        <f>SUMPRODUCT((MID('テレアポ管理（私立全国版）'!$A$6:$A$1383,3,4)=$A18)*('テレアポ管理（私立全国版）'!$I$6:$I$1383=TRUE))</f>
        <v>0</v>
      </c>
      <c r="O18" s="5">
        <f>SUMPRODUCT((MID('テレアポ管理（私立全国版）'!$A$6:$A$1383,3,4)=$A18)*('テレアポ管理（私立全国版）'!$J$6:$J$1383=TRUE))</f>
        <v>0</v>
      </c>
      <c r="P18" s="5">
        <f>SUMPRODUCT((MID('テレアポ管理（私立全国版）'!$A$6:$A$1383,3,4)=$A18)*('テレアポ管理（私立全国版）'!$K$6:$K$1383=TRUE))</f>
        <v>0</v>
      </c>
      <c r="Q18" s="5">
        <f>SUMPRODUCT((MID('テレアポ管理（私立全国版）'!$A$6:$A$1383,3,4)=$A18)*('テレアポ管理（私立全国版）'!$L$6:$L$1383=TRUE))</f>
        <v>0</v>
      </c>
    </row>
    <row r="19" spans="1:17">
      <c r="A19" s="5" t="s">
        <v>2597</v>
      </c>
      <c r="B19" s="5">
        <f>COUNTIF('架電リスト'!$B$5:$B$1382,A19)</f>
        <v>0</v>
      </c>
      <c r="C19" s="5">
        <f>COUNTIFS('架電リスト'!$B$5:$B$1382,A19,'架電リスト'!$E$5:$E$1382,"&lt;&gt;")</f>
        <v>0</v>
      </c>
      <c r="D19" s="5">
        <f>B19-COUNTIFS('架電リスト'!$B$5:$B$1382,A19,'架電リスト'!$J$5:$J$1382,"未架電")-COUNTIFS('架電リスト'!$B$5:$B$1382,A19,'架電リスト'!$J$5:$J$1382,"")</f>
        <v>0</v>
      </c>
      <c r="E19" s="5">
        <f>COUNTIFS('架電リスト'!$B$5:$B$1382,$A19,'架電リスト'!$J$5:$J$1382,"不在・折返し待ち")</f>
        <v>0</v>
      </c>
      <c r="F19" s="5">
        <f>COUNTIFS('架電リスト'!$B$5:$B$1382,$A19,'架電リスト'!$J$5:$J$1382,"担当者不在")</f>
        <v>0</v>
      </c>
      <c r="G19" s="5">
        <f>COUNTIFS('架電リスト'!$B$5:$B$1382,$A19,'架電リスト'!$J$5:$J$1382,"資料送付")</f>
        <v>0</v>
      </c>
      <c r="H19" s="5">
        <f>COUNTIFS('架電リスト'!$B$5:$B$1382,$A19,'架電リスト'!$J$5:$J$1382,"アポ獲得")</f>
        <v>0</v>
      </c>
      <c r="I19" s="5">
        <f>COUNTIFS('架電リスト'!$B$5:$B$1382,$A19,'架電リスト'!$J$5:$J$1382,"検討中")</f>
        <v>0</v>
      </c>
      <c r="J19" s="5">
        <f>COUNTIFS('架電リスト'!$B$5:$B$1382,$A19,'架電リスト'!$J$5:$J$1382,"NG")</f>
        <v>0</v>
      </c>
      <c r="K19" s="5">
        <f>COUNTIFS('架電リスト'!$B$5:$B$1382,$A19,'架電リスト'!$J$5:$J$1382,"番号不明")</f>
        <v>0</v>
      </c>
      <c r="L19" s="5">
        <f>SUMPRODUCT((MID('テレアポ管理（私立全国版）'!$A$6:$A$1383,3,4)=$A19)*'テレアポ管理（私立全国版）'!$N$6:$N$1383)</f>
        <v>0</v>
      </c>
      <c r="M19" s="5">
        <f>SUMPRODUCT((MID('テレアポ管理（私立全国版）'!$A$6:$A$1383,3,4)=$A19)*('テレアポ管理（私立全国版）'!$H$6:$H$1383=TRUE))</f>
        <v>0</v>
      </c>
      <c r="N19" s="5">
        <f>SUMPRODUCT((MID('テレアポ管理（私立全国版）'!$A$6:$A$1383,3,4)=$A19)*('テレアポ管理（私立全国版）'!$I$6:$I$1383=TRUE))</f>
        <v>0</v>
      </c>
      <c r="O19" s="5">
        <f>SUMPRODUCT((MID('テレアポ管理（私立全国版）'!$A$6:$A$1383,3,4)=$A19)*('テレアポ管理（私立全国版）'!$J$6:$J$1383=TRUE))</f>
        <v>0</v>
      </c>
      <c r="P19" s="5">
        <f>SUMPRODUCT((MID('テレアポ管理（私立全国版）'!$A$6:$A$1383,3,4)=$A19)*('テレアポ管理（私立全国版）'!$K$6:$K$1383=TRUE))</f>
        <v>0</v>
      </c>
      <c r="Q19" s="5">
        <f>SUMPRODUCT((MID('テレアポ管理（私立全国版）'!$A$6:$A$1383,3,4)=$A19)*('テレアポ管理（私立全国版）'!$L$6:$L$1383=TRUE))</f>
        <v>0</v>
      </c>
    </row>
    <row r="20" spans="1:17">
      <c r="A20" s="5" t="s">
        <v>2638</v>
      </c>
      <c r="B20" s="5">
        <f>COUNTIF('架電リスト'!$B$5:$B$1382,A20)</f>
        <v>0</v>
      </c>
      <c r="C20" s="5">
        <f>COUNTIFS('架電リスト'!$B$5:$B$1382,A20,'架電リスト'!$E$5:$E$1382,"&lt;&gt;")</f>
        <v>0</v>
      </c>
      <c r="D20" s="5">
        <f>B20-COUNTIFS('架電リスト'!$B$5:$B$1382,A20,'架電リスト'!$J$5:$J$1382,"未架電")-COUNTIFS('架電リスト'!$B$5:$B$1382,A20,'架電リスト'!$J$5:$J$1382,"")</f>
        <v>0</v>
      </c>
      <c r="E20" s="5">
        <f>COUNTIFS('架電リスト'!$B$5:$B$1382,$A20,'架電リスト'!$J$5:$J$1382,"不在・折返し待ち")</f>
        <v>0</v>
      </c>
      <c r="F20" s="5">
        <f>COUNTIFS('架電リスト'!$B$5:$B$1382,$A20,'架電リスト'!$J$5:$J$1382,"担当者不在")</f>
        <v>0</v>
      </c>
      <c r="G20" s="5">
        <f>COUNTIFS('架電リスト'!$B$5:$B$1382,$A20,'架電リスト'!$J$5:$J$1382,"資料送付")</f>
        <v>0</v>
      </c>
      <c r="H20" s="5">
        <f>COUNTIFS('架電リスト'!$B$5:$B$1382,$A20,'架電リスト'!$J$5:$J$1382,"アポ獲得")</f>
        <v>0</v>
      </c>
      <c r="I20" s="5">
        <f>COUNTIFS('架電リスト'!$B$5:$B$1382,$A20,'架電リスト'!$J$5:$J$1382,"検討中")</f>
        <v>0</v>
      </c>
      <c r="J20" s="5">
        <f>COUNTIFS('架電リスト'!$B$5:$B$1382,$A20,'架電リスト'!$J$5:$J$1382,"NG")</f>
        <v>0</v>
      </c>
      <c r="K20" s="5">
        <f>COUNTIFS('架電リスト'!$B$5:$B$1382,$A20,'架電リスト'!$J$5:$J$1382,"番号不明")</f>
        <v>0</v>
      </c>
      <c r="L20" s="5">
        <f>SUMPRODUCT((MID('テレアポ管理（私立全国版）'!$A$6:$A$1383,3,4)=$A20)*'テレアポ管理（私立全国版）'!$N$6:$N$1383)</f>
        <v>0</v>
      </c>
      <c r="M20" s="5">
        <f>SUMPRODUCT((MID('テレアポ管理（私立全国版）'!$A$6:$A$1383,3,4)=$A20)*('テレアポ管理（私立全国版）'!$H$6:$H$1383=TRUE))</f>
        <v>0</v>
      </c>
      <c r="N20" s="5">
        <f>SUMPRODUCT((MID('テレアポ管理（私立全国版）'!$A$6:$A$1383,3,4)=$A20)*('テレアポ管理（私立全国版）'!$I$6:$I$1383=TRUE))</f>
        <v>0</v>
      </c>
      <c r="O20" s="5">
        <f>SUMPRODUCT((MID('テレアポ管理（私立全国版）'!$A$6:$A$1383,3,4)=$A20)*('テレアポ管理（私立全国版）'!$J$6:$J$1383=TRUE))</f>
        <v>0</v>
      </c>
      <c r="P20" s="5">
        <f>SUMPRODUCT((MID('テレアポ管理（私立全国版）'!$A$6:$A$1383,3,4)=$A20)*('テレアポ管理（私立全国版）'!$K$6:$K$1383=TRUE))</f>
        <v>0</v>
      </c>
      <c r="Q20" s="5">
        <f>SUMPRODUCT((MID('テレアポ管理（私立全国版）'!$A$6:$A$1383,3,4)=$A20)*('テレアポ管理（私立全国版）'!$L$6:$L$1383=TRUE))</f>
        <v>0</v>
      </c>
    </row>
    <row r="21" spans="1:17">
      <c r="A21" s="5" t="s">
        <v>2682</v>
      </c>
      <c r="B21" s="5">
        <f>COUNTIF('架電リスト'!$B$5:$B$1382,A21)</f>
        <v>0</v>
      </c>
      <c r="C21" s="5">
        <f>COUNTIFS('架電リスト'!$B$5:$B$1382,A21,'架電リスト'!$E$5:$E$1382,"&lt;&gt;")</f>
        <v>0</v>
      </c>
      <c r="D21" s="5">
        <f>B21-COUNTIFS('架電リスト'!$B$5:$B$1382,A21,'架電リスト'!$J$5:$J$1382,"未架電")-COUNTIFS('架電リスト'!$B$5:$B$1382,A21,'架電リスト'!$J$5:$J$1382,"")</f>
        <v>0</v>
      </c>
      <c r="E21" s="5">
        <f>COUNTIFS('架電リスト'!$B$5:$B$1382,$A21,'架電リスト'!$J$5:$J$1382,"不在・折返し待ち")</f>
        <v>0</v>
      </c>
      <c r="F21" s="5">
        <f>COUNTIFS('架電リスト'!$B$5:$B$1382,$A21,'架電リスト'!$J$5:$J$1382,"担当者不在")</f>
        <v>0</v>
      </c>
      <c r="G21" s="5">
        <f>COUNTIFS('架電リスト'!$B$5:$B$1382,$A21,'架電リスト'!$J$5:$J$1382,"資料送付")</f>
        <v>0</v>
      </c>
      <c r="H21" s="5">
        <f>COUNTIFS('架電リスト'!$B$5:$B$1382,$A21,'架電リスト'!$J$5:$J$1382,"アポ獲得")</f>
        <v>0</v>
      </c>
      <c r="I21" s="5">
        <f>COUNTIFS('架電リスト'!$B$5:$B$1382,$A21,'架電リスト'!$J$5:$J$1382,"検討中")</f>
        <v>0</v>
      </c>
      <c r="J21" s="5">
        <f>COUNTIFS('架電リスト'!$B$5:$B$1382,$A21,'架電リスト'!$J$5:$J$1382,"NG")</f>
        <v>0</v>
      </c>
      <c r="K21" s="5">
        <f>COUNTIFS('架電リスト'!$B$5:$B$1382,$A21,'架電リスト'!$J$5:$J$1382,"番号不明")</f>
        <v>0</v>
      </c>
      <c r="L21" s="5">
        <f>SUMPRODUCT((MID('テレアポ管理（私立全国版）'!$A$6:$A$1383,3,4)=$A21)*'テレアポ管理（私立全国版）'!$N$6:$N$1383)</f>
        <v>0</v>
      </c>
      <c r="M21" s="5">
        <f>SUMPRODUCT((MID('テレアポ管理（私立全国版）'!$A$6:$A$1383,3,4)=$A21)*('テレアポ管理（私立全国版）'!$H$6:$H$1383=TRUE))</f>
        <v>0</v>
      </c>
      <c r="N21" s="5">
        <f>SUMPRODUCT((MID('テレアポ管理（私立全国版）'!$A$6:$A$1383,3,4)=$A21)*('テレアポ管理（私立全国版）'!$I$6:$I$1383=TRUE))</f>
        <v>0</v>
      </c>
      <c r="O21" s="5">
        <f>SUMPRODUCT((MID('テレアポ管理（私立全国版）'!$A$6:$A$1383,3,4)=$A21)*('テレアポ管理（私立全国版）'!$J$6:$J$1383=TRUE))</f>
        <v>0</v>
      </c>
      <c r="P21" s="5">
        <f>SUMPRODUCT((MID('テレアポ管理（私立全国版）'!$A$6:$A$1383,3,4)=$A21)*('テレアポ管理（私立全国版）'!$K$6:$K$1383=TRUE))</f>
        <v>0</v>
      </c>
      <c r="Q21" s="5">
        <f>SUMPRODUCT((MID('テレアポ管理（私立全国版）'!$A$6:$A$1383,3,4)=$A21)*('テレアポ管理（私立全国版）'!$L$6:$L$1383=TRUE))</f>
        <v>0</v>
      </c>
    </row>
    <row r="22" spans="1:17">
      <c r="A22" s="5" t="s">
        <v>2707</v>
      </c>
      <c r="B22" s="5">
        <f>COUNTIF('架電リスト'!$B$5:$B$1382,A22)</f>
        <v>0</v>
      </c>
      <c r="C22" s="5">
        <f>COUNTIFS('架電リスト'!$B$5:$B$1382,A22,'架電リスト'!$E$5:$E$1382,"&lt;&gt;")</f>
        <v>0</v>
      </c>
      <c r="D22" s="5">
        <f>B22-COUNTIFS('架電リスト'!$B$5:$B$1382,A22,'架電リスト'!$J$5:$J$1382,"未架電")-COUNTIFS('架電リスト'!$B$5:$B$1382,A22,'架電リスト'!$J$5:$J$1382,"")</f>
        <v>0</v>
      </c>
      <c r="E22" s="5">
        <f>COUNTIFS('架電リスト'!$B$5:$B$1382,$A22,'架電リスト'!$J$5:$J$1382,"不在・折返し待ち")</f>
        <v>0</v>
      </c>
      <c r="F22" s="5">
        <f>COUNTIFS('架電リスト'!$B$5:$B$1382,$A22,'架電リスト'!$J$5:$J$1382,"担当者不在")</f>
        <v>0</v>
      </c>
      <c r="G22" s="5">
        <f>COUNTIFS('架電リスト'!$B$5:$B$1382,$A22,'架電リスト'!$J$5:$J$1382,"資料送付")</f>
        <v>0</v>
      </c>
      <c r="H22" s="5">
        <f>COUNTIFS('架電リスト'!$B$5:$B$1382,$A22,'架電リスト'!$J$5:$J$1382,"アポ獲得")</f>
        <v>0</v>
      </c>
      <c r="I22" s="5">
        <f>COUNTIFS('架電リスト'!$B$5:$B$1382,$A22,'架電リスト'!$J$5:$J$1382,"検討中")</f>
        <v>0</v>
      </c>
      <c r="J22" s="5">
        <f>COUNTIFS('架電リスト'!$B$5:$B$1382,$A22,'架電リスト'!$J$5:$J$1382,"NG")</f>
        <v>0</v>
      </c>
      <c r="K22" s="5">
        <f>COUNTIFS('架電リスト'!$B$5:$B$1382,$A22,'架電リスト'!$J$5:$J$1382,"番号不明")</f>
        <v>0</v>
      </c>
      <c r="L22" s="5">
        <f>SUMPRODUCT((MID('テレアポ管理（私立全国版）'!$A$6:$A$1383,3,4)=$A22)*'テレアポ管理（私立全国版）'!$N$6:$N$1383)</f>
        <v>0</v>
      </c>
      <c r="M22" s="5">
        <f>SUMPRODUCT((MID('テレアポ管理（私立全国版）'!$A$6:$A$1383,3,4)=$A22)*('テレアポ管理（私立全国版）'!$H$6:$H$1383=TRUE))</f>
        <v>0</v>
      </c>
      <c r="N22" s="5">
        <f>SUMPRODUCT((MID('テレアポ管理（私立全国版）'!$A$6:$A$1383,3,4)=$A22)*('テレアポ管理（私立全国版）'!$I$6:$I$1383=TRUE))</f>
        <v>0</v>
      </c>
      <c r="O22" s="5">
        <f>SUMPRODUCT((MID('テレアポ管理（私立全国版）'!$A$6:$A$1383,3,4)=$A22)*('テレアポ管理（私立全国版）'!$J$6:$J$1383=TRUE))</f>
        <v>0</v>
      </c>
      <c r="P22" s="5">
        <f>SUMPRODUCT((MID('テレアポ管理（私立全国版）'!$A$6:$A$1383,3,4)=$A22)*('テレアポ管理（私立全国版）'!$K$6:$K$1383=TRUE))</f>
        <v>0</v>
      </c>
      <c r="Q22" s="5">
        <f>SUMPRODUCT((MID('テレアポ管理（私立全国版）'!$A$6:$A$1383,3,4)=$A22)*('テレアポ管理（私立全国版）'!$L$6:$L$1383=TRUE))</f>
        <v>0</v>
      </c>
    </row>
    <row r="23" spans="1:17">
      <c r="A23" s="5" t="s">
        <v>2755</v>
      </c>
      <c r="B23" s="5">
        <f>COUNTIF('架電リスト'!$B$5:$B$1382,A23)</f>
        <v>0</v>
      </c>
      <c r="C23" s="5">
        <f>COUNTIFS('架電リスト'!$B$5:$B$1382,A23,'架電リスト'!$E$5:$E$1382,"&lt;&gt;")</f>
        <v>0</v>
      </c>
      <c r="D23" s="5">
        <f>B23-COUNTIFS('架電リスト'!$B$5:$B$1382,A23,'架電リスト'!$J$5:$J$1382,"未架電")-COUNTIFS('架電リスト'!$B$5:$B$1382,A23,'架電リスト'!$J$5:$J$1382,"")</f>
        <v>0</v>
      </c>
      <c r="E23" s="5">
        <f>COUNTIFS('架電リスト'!$B$5:$B$1382,$A23,'架電リスト'!$J$5:$J$1382,"不在・折返し待ち")</f>
        <v>0</v>
      </c>
      <c r="F23" s="5">
        <f>COUNTIFS('架電リスト'!$B$5:$B$1382,$A23,'架電リスト'!$J$5:$J$1382,"担当者不在")</f>
        <v>0</v>
      </c>
      <c r="G23" s="5">
        <f>COUNTIFS('架電リスト'!$B$5:$B$1382,$A23,'架電リスト'!$J$5:$J$1382,"資料送付")</f>
        <v>0</v>
      </c>
      <c r="H23" s="5">
        <f>COUNTIFS('架電リスト'!$B$5:$B$1382,$A23,'架電リスト'!$J$5:$J$1382,"アポ獲得")</f>
        <v>0</v>
      </c>
      <c r="I23" s="5">
        <f>COUNTIFS('架電リスト'!$B$5:$B$1382,$A23,'架電リスト'!$J$5:$J$1382,"検討中")</f>
        <v>0</v>
      </c>
      <c r="J23" s="5">
        <f>COUNTIFS('架電リスト'!$B$5:$B$1382,$A23,'架電リスト'!$J$5:$J$1382,"NG")</f>
        <v>0</v>
      </c>
      <c r="K23" s="5">
        <f>COUNTIFS('架電リスト'!$B$5:$B$1382,$A23,'架電リスト'!$J$5:$J$1382,"番号不明")</f>
        <v>0</v>
      </c>
      <c r="L23" s="5">
        <f>SUMPRODUCT((MID('テレアポ管理（私立全国版）'!$A$6:$A$1383,3,4)=$A23)*'テレアポ管理（私立全国版）'!$N$6:$N$1383)</f>
        <v>0</v>
      </c>
      <c r="M23" s="5">
        <f>SUMPRODUCT((MID('テレアポ管理（私立全国版）'!$A$6:$A$1383,3,4)=$A23)*('テレアポ管理（私立全国版）'!$H$6:$H$1383=TRUE))</f>
        <v>0</v>
      </c>
      <c r="N23" s="5">
        <f>SUMPRODUCT((MID('テレアポ管理（私立全国版）'!$A$6:$A$1383,3,4)=$A23)*('テレアポ管理（私立全国版）'!$I$6:$I$1383=TRUE))</f>
        <v>0</v>
      </c>
      <c r="O23" s="5">
        <f>SUMPRODUCT((MID('テレアポ管理（私立全国版）'!$A$6:$A$1383,3,4)=$A23)*('テレアポ管理（私立全国版）'!$J$6:$J$1383=TRUE))</f>
        <v>0</v>
      </c>
      <c r="P23" s="5">
        <f>SUMPRODUCT((MID('テレアポ管理（私立全国版）'!$A$6:$A$1383,3,4)=$A23)*('テレアポ管理（私立全国版）'!$K$6:$K$1383=TRUE))</f>
        <v>0</v>
      </c>
      <c r="Q23" s="5">
        <f>SUMPRODUCT((MID('テレアポ管理（私立全国版）'!$A$6:$A$1383,3,4)=$A23)*('テレアポ管理（私立全国版）'!$L$6:$L$1383=TRUE))</f>
        <v>0</v>
      </c>
    </row>
    <row r="24" spans="1:17">
      <c r="A24" s="5" t="s">
        <v>2832</v>
      </c>
      <c r="B24" s="5">
        <f>COUNTIF('架電リスト'!$B$5:$B$1382,A24)</f>
        <v>0</v>
      </c>
      <c r="C24" s="5">
        <f>COUNTIFS('架電リスト'!$B$5:$B$1382,A24,'架電リスト'!$E$5:$E$1382,"&lt;&gt;")</f>
        <v>0</v>
      </c>
      <c r="D24" s="5">
        <f>B24-COUNTIFS('架電リスト'!$B$5:$B$1382,A24,'架電リスト'!$J$5:$J$1382,"未架電")-COUNTIFS('架電リスト'!$B$5:$B$1382,A24,'架電リスト'!$J$5:$J$1382,"")</f>
        <v>0</v>
      </c>
      <c r="E24" s="5">
        <f>COUNTIFS('架電リスト'!$B$5:$B$1382,$A24,'架電リスト'!$J$5:$J$1382,"不在・折返し待ち")</f>
        <v>0</v>
      </c>
      <c r="F24" s="5">
        <f>COUNTIFS('架電リスト'!$B$5:$B$1382,$A24,'架電リスト'!$J$5:$J$1382,"担当者不在")</f>
        <v>0</v>
      </c>
      <c r="G24" s="5">
        <f>COUNTIFS('架電リスト'!$B$5:$B$1382,$A24,'架電リスト'!$J$5:$J$1382,"資料送付")</f>
        <v>0</v>
      </c>
      <c r="H24" s="5">
        <f>COUNTIFS('架電リスト'!$B$5:$B$1382,$A24,'架電リスト'!$J$5:$J$1382,"アポ獲得")</f>
        <v>0</v>
      </c>
      <c r="I24" s="5">
        <f>COUNTIFS('架電リスト'!$B$5:$B$1382,$A24,'架電リスト'!$J$5:$J$1382,"検討中")</f>
        <v>0</v>
      </c>
      <c r="J24" s="5">
        <f>COUNTIFS('架電リスト'!$B$5:$B$1382,$A24,'架電リスト'!$J$5:$J$1382,"NG")</f>
        <v>0</v>
      </c>
      <c r="K24" s="5">
        <f>COUNTIFS('架電リスト'!$B$5:$B$1382,$A24,'架電リスト'!$J$5:$J$1382,"番号不明")</f>
        <v>0</v>
      </c>
      <c r="L24" s="5">
        <f>SUMPRODUCT((MID('テレアポ管理（私立全国版）'!$A$6:$A$1383,3,4)=$A24)*'テレアポ管理（私立全国版）'!$N$6:$N$1383)</f>
        <v>0</v>
      </c>
      <c r="M24" s="5">
        <f>SUMPRODUCT((MID('テレアポ管理（私立全国版）'!$A$6:$A$1383,3,4)=$A24)*('テレアポ管理（私立全国版）'!$H$6:$H$1383=TRUE))</f>
        <v>0</v>
      </c>
      <c r="N24" s="5">
        <f>SUMPRODUCT((MID('テレアポ管理（私立全国版）'!$A$6:$A$1383,3,4)=$A24)*('テレアポ管理（私立全国版）'!$I$6:$I$1383=TRUE))</f>
        <v>0</v>
      </c>
      <c r="O24" s="5">
        <f>SUMPRODUCT((MID('テレアポ管理（私立全国版）'!$A$6:$A$1383,3,4)=$A24)*('テレアポ管理（私立全国版）'!$J$6:$J$1383=TRUE))</f>
        <v>0</v>
      </c>
      <c r="P24" s="5">
        <f>SUMPRODUCT((MID('テレアポ管理（私立全国版）'!$A$6:$A$1383,3,4)=$A24)*('テレアポ管理（私立全国版）'!$K$6:$K$1383=TRUE))</f>
        <v>0</v>
      </c>
      <c r="Q24" s="5">
        <f>SUMPRODUCT((MID('テレアポ管理（私立全国版）'!$A$6:$A$1383,3,4)=$A24)*('テレアポ管理（私立全国版）'!$L$6:$L$1383=TRUE))</f>
        <v>0</v>
      </c>
    </row>
    <row r="25" spans="1:17">
      <c r="A25" s="5" t="s">
        <v>2900</v>
      </c>
      <c r="B25" s="5">
        <f>COUNTIF('架電リスト'!$B$5:$B$1382,A25)</f>
        <v>0</v>
      </c>
      <c r="C25" s="5">
        <f>COUNTIFS('架電リスト'!$B$5:$B$1382,A25,'架電リスト'!$E$5:$E$1382,"&lt;&gt;")</f>
        <v>0</v>
      </c>
      <c r="D25" s="5">
        <f>B25-COUNTIFS('架電リスト'!$B$5:$B$1382,A25,'架電リスト'!$J$5:$J$1382,"未架電")-COUNTIFS('架電リスト'!$B$5:$B$1382,A25,'架電リスト'!$J$5:$J$1382,"")</f>
        <v>0</v>
      </c>
      <c r="E25" s="5">
        <f>COUNTIFS('架電リスト'!$B$5:$B$1382,$A25,'架電リスト'!$J$5:$J$1382,"不在・折返し待ち")</f>
        <v>0</v>
      </c>
      <c r="F25" s="5">
        <f>COUNTIFS('架電リスト'!$B$5:$B$1382,$A25,'架電リスト'!$J$5:$J$1382,"担当者不在")</f>
        <v>0</v>
      </c>
      <c r="G25" s="5">
        <f>COUNTIFS('架電リスト'!$B$5:$B$1382,$A25,'架電リスト'!$J$5:$J$1382,"資料送付")</f>
        <v>0</v>
      </c>
      <c r="H25" s="5">
        <f>COUNTIFS('架電リスト'!$B$5:$B$1382,$A25,'架電リスト'!$J$5:$J$1382,"アポ獲得")</f>
        <v>0</v>
      </c>
      <c r="I25" s="5">
        <f>COUNTIFS('架電リスト'!$B$5:$B$1382,$A25,'架電リスト'!$J$5:$J$1382,"検討中")</f>
        <v>0</v>
      </c>
      <c r="J25" s="5">
        <f>COUNTIFS('架電リスト'!$B$5:$B$1382,$A25,'架電リスト'!$J$5:$J$1382,"NG")</f>
        <v>0</v>
      </c>
      <c r="K25" s="5">
        <f>COUNTIFS('架電リスト'!$B$5:$B$1382,$A25,'架電リスト'!$J$5:$J$1382,"番号不明")</f>
        <v>0</v>
      </c>
      <c r="L25" s="5">
        <f>SUMPRODUCT((MID('テレアポ管理（私立全国版）'!$A$6:$A$1383,3,4)=$A25)*'テレアポ管理（私立全国版）'!$N$6:$N$1383)</f>
        <v>0</v>
      </c>
      <c r="M25" s="5">
        <f>SUMPRODUCT((MID('テレアポ管理（私立全国版）'!$A$6:$A$1383,3,4)=$A25)*('テレアポ管理（私立全国版）'!$H$6:$H$1383=TRUE))</f>
        <v>0</v>
      </c>
      <c r="N25" s="5">
        <f>SUMPRODUCT((MID('テレアポ管理（私立全国版）'!$A$6:$A$1383,3,4)=$A25)*('テレアポ管理（私立全国版）'!$I$6:$I$1383=TRUE))</f>
        <v>0</v>
      </c>
      <c r="O25" s="5">
        <f>SUMPRODUCT((MID('テレアポ管理（私立全国版）'!$A$6:$A$1383,3,4)=$A25)*('テレアポ管理（私立全国版）'!$J$6:$J$1383=TRUE))</f>
        <v>0</v>
      </c>
      <c r="P25" s="5">
        <f>SUMPRODUCT((MID('テレアポ管理（私立全国版）'!$A$6:$A$1383,3,4)=$A25)*('テレアポ管理（私立全国版）'!$K$6:$K$1383=TRUE))</f>
        <v>0</v>
      </c>
      <c r="Q25" s="5">
        <f>SUMPRODUCT((MID('テレアポ管理（私立全国版）'!$A$6:$A$1383,3,4)=$A25)*('テレアポ管理（私立全国版）'!$L$6:$L$1383=TRUE))</f>
        <v>0</v>
      </c>
    </row>
    <row r="26" spans="1:17">
      <c r="A26" s="5" t="s">
        <v>3064</v>
      </c>
      <c r="B26" s="5">
        <f>COUNTIF('架電リスト'!$B$5:$B$1382,A26)</f>
        <v>0</v>
      </c>
      <c r="C26" s="5">
        <f>COUNTIFS('架電リスト'!$B$5:$B$1382,A26,'架電リスト'!$E$5:$E$1382,"&lt;&gt;")</f>
        <v>0</v>
      </c>
      <c r="D26" s="5">
        <f>B26-COUNTIFS('架電リスト'!$B$5:$B$1382,A26,'架電リスト'!$J$5:$J$1382,"未架電")-COUNTIFS('架電リスト'!$B$5:$B$1382,A26,'架電リスト'!$J$5:$J$1382,"")</f>
        <v>0</v>
      </c>
      <c r="E26" s="5">
        <f>COUNTIFS('架電リスト'!$B$5:$B$1382,$A26,'架電リスト'!$J$5:$J$1382,"不在・折返し待ち")</f>
        <v>0</v>
      </c>
      <c r="F26" s="5">
        <f>COUNTIFS('架電リスト'!$B$5:$B$1382,$A26,'架電リスト'!$J$5:$J$1382,"担当者不在")</f>
        <v>0</v>
      </c>
      <c r="G26" s="5">
        <f>COUNTIFS('架電リスト'!$B$5:$B$1382,$A26,'架電リスト'!$J$5:$J$1382,"資料送付")</f>
        <v>0</v>
      </c>
      <c r="H26" s="5">
        <f>COUNTIFS('架電リスト'!$B$5:$B$1382,$A26,'架電リスト'!$J$5:$J$1382,"アポ獲得")</f>
        <v>0</v>
      </c>
      <c r="I26" s="5">
        <f>COUNTIFS('架電リスト'!$B$5:$B$1382,$A26,'架電リスト'!$J$5:$J$1382,"検討中")</f>
        <v>0</v>
      </c>
      <c r="J26" s="5">
        <f>COUNTIFS('架電リスト'!$B$5:$B$1382,$A26,'架電リスト'!$J$5:$J$1382,"NG")</f>
        <v>0</v>
      </c>
      <c r="K26" s="5">
        <f>COUNTIFS('架電リスト'!$B$5:$B$1382,$A26,'架電リスト'!$J$5:$J$1382,"番号不明")</f>
        <v>0</v>
      </c>
      <c r="L26" s="5">
        <f>SUMPRODUCT((MID('テレアポ管理（私立全国版）'!$A$6:$A$1383,3,4)=$A26)*'テレアポ管理（私立全国版）'!$N$6:$N$1383)</f>
        <v>0</v>
      </c>
      <c r="M26" s="5">
        <f>SUMPRODUCT((MID('テレアポ管理（私立全国版）'!$A$6:$A$1383,3,4)=$A26)*('テレアポ管理（私立全国版）'!$H$6:$H$1383=TRUE))</f>
        <v>0</v>
      </c>
      <c r="N26" s="5">
        <f>SUMPRODUCT((MID('テレアポ管理（私立全国版）'!$A$6:$A$1383,3,4)=$A26)*('テレアポ管理（私立全国版）'!$I$6:$I$1383=TRUE))</f>
        <v>0</v>
      </c>
      <c r="O26" s="5">
        <f>SUMPRODUCT((MID('テレアポ管理（私立全国版）'!$A$6:$A$1383,3,4)=$A26)*('テレアポ管理（私立全国版）'!$J$6:$J$1383=TRUE))</f>
        <v>0</v>
      </c>
      <c r="P26" s="5">
        <f>SUMPRODUCT((MID('テレアポ管理（私立全国版）'!$A$6:$A$1383,3,4)=$A26)*('テレアポ管理（私立全国版）'!$K$6:$K$1383=TRUE))</f>
        <v>0</v>
      </c>
      <c r="Q26" s="5">
        <f>SUMPRODUCT((MID('テレアポ管理（私立全国版）'!$A$6:$A$1383,3,4)=$A26)*('テレアポ管理（私立全国版）'!$L$6:$L$1383=TRUE))</f>
        <v>0</v>
      </c>
    </row>
    <row r="27" spans="1:17">
      <c r="A27" s="5" t="s">
        <v>3290</v>
      </c>
      <c r="B27" s="5">
        <f>COUNTIF('架電リスト'!$B$5:$B$1382,A27)</f>
        <v>0</v>
      </c>
      <c r="C27" s="5">
        <f>COUNTIFS('架電リスト'!$B$5:$B$1382,A27,'架電リスト'!$E$5:$E$1382,"&lt;&gt;")</f>
        <v>0</v>
      </c>
      <c r="D27" s="5">
        <f>B27-COUNTIFS('架電リスト'!$B$5:$B$1382,A27,'架電リスト'!$J$5:$J$1382,"未架電")-COUNTIFS('架電リスト'!$B$5:$B$1382,A27,'架電リスト'!$J$5:$J$1382,"")</f>
        <v>0</v>
      </c>
      <c r="E27" s="5">
        <f>COUNTIFS('架電リスト'!$B$5:$B$1382,$A27,'架電リスト'!$J$5:$J$1382,"不在・折返し待ち")</f>
        <v>0</v>
      </c>
      <c r="F27" s="5">
        <f>COUNTIFS('架電リスト'!$B$5:$B$1382,$A27,'架電リスト'!$J$5:$J$1382,"担当者不在")</f>
        <v>0</v>
      </c>
      <c r="G27" s="5">
        <f>COUNTIFS('架電リスト'!$B$5:$B$1382,$A27,'架電リスト'!$J$5:$J$1382,"資料送付")</f>
        <v>0</v>
      </c>
      <c r="H27" s="5">
        <f>COUNTIFS('架電リスト'!$B$5:$B$1382,$A27,'架電リスト'!$J$5:$J$1382,"アポ獲得")</f>
        <v>0</v>
      </c>
      <c r="I27" s="5">
        <f>COUNTIFS('架電リスト'!$B$5:$B$1382,$A27,'架電リスト'!$J$5:$J$1382,"検討中")</f>
        <v>0</v>
      </c>
      <c r="J27" s="5">
        <f>COUNTIFS('架電リスト'!$B$5:$B$1382,$A27,'架電リスト'!$J$5:$J$1382,"NG")</f>
        <v>0</v>
      </c>
      <c r="K27" s="5">
        <f>COUNTIFS('架電リスト'!$B$5:$B$1382,$A27,'架電リスト'!$J$5:$J$1382,"番号不明")</f>
        <v>0</v>
      </c>
      <c r="L27" s="5">
        <f>SUMPRODUCT((MID('テレアポ管理（私立全国版）'!$A$6:$A$1383,3,4)=$A27)*'テレアポ管理（私立全国版）'!$N$6:$N$1383)</f>
        <v>0</v>
      </c>
      <c r="M27" s="5">
        <f>SUMPRODUCT((MID('テレアポ管理（私立全国版）'!$A$6:$A$1383,3,4)=$A27)*('テレアポ管理（私立全国版）'!$H$6:$H$1383=TRUE))</f>
        <v>0</v>
      </c>
      <c r="N27" s="5">
        <f>SUMPRODUCT((MID('テレアポ管理（私立全国版）'!$A$6:$A$1383,3,4)=$A27)*('テレアポ管理（私立全国版）'!$I$6:$I$1383=TRUE))</f>
        <v>0</v>
      </c>
      <c r="O27" s="5">
        <f>SUMPRODUCT((MID('テレアポ管理（私立全国版）'!$A$6:$A$1383,3,4)=$A27)*('テレアポ管理（私立全国版）'!$J$6:$J$1383=TRUE))</f>
        <v>0</v>
      </c>
      <c r="P27" s="5">
        <f>SUMPRODUCT((MID('テレアポ管理（私立全国版）'!$A$6:$A$1383,3,4)=$A27)*('テレアポ管理（私立全国版）'!$K$6:$K$1383=TRUE))</f>
        <v>0</v>
      </c>
      <c r="Q27" s="5">
        <f>SUMPRODUCT((MID('テレアポ管理（私立全国版）'!$A$6:$A$1383,3,4)=$A27)*('テレアポ管理（私立全国版）'!$L$6:$L$1383=TRUE))</f>
        <v>0</v>
      </c>
    </row>
    <row r="28" spans="1:17">
      <c r="A28" s="5" t="s">
        <v>3364</v>
      </c>
      <c r="B28" s="5">
        <f>COUNTIF('架電リスト'!$B$5:$B$1382,A28)</f>
        <v>0</v>
      </c>
      <c r="C28" s="5">
        <f>COUNTIFS('架電リスト'!$B$5:$B$1382,A28,'架電リスト'!$E$5:$E$1382,"&lt;&gt;")</f>
        <v>0</v>
      </c>
      <c r="D28" s="5">
        <f>B28-COUNTIFS('架電リスト'!$B$5:$B$1382,A28,'架電リスト'!$J$5:$J$1382,"未架電")-COUNTIFS('架電リスト'!$B$5:$B$1382,A28,'架電リスト'!$J$5:$J$1382,"")</f>
        <v>0</v>
      </c>
      <c r="E28" s="5">
        <f>COUNTIFS('架電リスト'!$B$5:$B$1382,$A28,'架電リスト'!$J$5:$J$1382,"不在・折返し待ち")</f>
        <v>0</v>
      </c>
      <c r="F28" s="5">
        <f>COUNTIFS('架電リスト'!$B$5:$B$1382,$A28,'架電リスト'!$J$5:$J$1382,"担当者不在")</f>
        <v>0</v>
      </c>
      <c r="G28" s="5">
        <f>COUNTIFS('架電リスト'!$B$5:$B$1382,$A28,'架電リスト'!$J$5:$J$1382,"資料送付")</f>
        <v>0</v>
      </c>
      <c r="H28" s="5">
        <f>COUNTIFS('架電リスト'!$B$5:$B$1382,$A28,'架電リスト'!$J$5:$J$1382,"アポ獲得")</f>
        <v>0</v>
      </c>
      <c r="I28" s="5">
        <f>COUNTIFS('架電リスト'!$B$5:$B$1382,$A28,'架電リスト'!$J$5:$J$1382,"検討中")</f>
        <v>0</v>
      </c>
      <c r="J28" s="5">
        <f>COUNTIFS('架電リスト'!$B$5:$B$1382,$A28,'架電リスト'!$J$5:$J$1382,"NG")</f>
        <v>0</v>
      </c>
      <c r="K28" s="5">
        <f>COUNTIFS('架電リスト'!$B$5:$B$1382,$A28,'架電リスト'!$J$5:$J$1382,"番号不明")</f>
        <v>0</v>
      </c>
      <c r="L28" s="5">
        <f>SUMPRODUCT((MID('テレアポ管理（私立全国版）'!$A$6:$A$1383,3,4)=$A28)*'テレアポ管理（私立全国版）'!$N$6:$N$1383)</f>
        <v>0</v>
      </c>
      <c r="M28" s="5">
        <f>SUMPRODUCT((MID('テレアポ管理（私立全国版）'!$A$6:$A$1383,3,4)=$A28)*('テレアポ管理（私立全国版）'!$H$6:$H$1383=TRUE))</f>
        <v>0</v>
      </c>
      <c r="N28" s="5">
        <f>SUMPRODUCT((MID('テレアポ管理（私立全国版）'!$A$6:$A$1383,3,4)=$A28)*('テレアポ管理（私立全国版）'!$I$6:$I$1383=TRUE))</f>
        <v>0</v>
      </c>
      <c r="O28" s="5">
        <f>SUMPRODUCT((MID('テレアポ管理（私立全国版）'!$A$6:$A$1383,3,4)=$A28)*('テレアポ管理（私立全国版）'!$J$6:$J$1383=TRUE))</f>
        <v>0</v>
      </c>
      <c r="P28" s="5">
        <f>SUMPRODUCT((MID('テレアポ管理（私立全国版）'!$A$6:$A$1383,3,4)=$A28)*('テレアポ管理（私立全国版）'!$K$6:$K$1383=TRUE))</f>
        <v>0</v>
      </c>
      <c r="Q28" s="5">
        <f>SUMPRODUCT((MID('テレアポ管理（私立全国版）'!$A$6:$A$1383,3,4)=$A28)*('テレアポ管理（私立全国版）'!$L$6:$L$1383=TRUE))</f>
        <v>0</v>
      </c>
    </row>
    <row r="29" spans="1:17">
      <c r="A29" s="5" t="s">
        <v>3413</v>
      </c>
      <c r="B29" s="5">
        <f>COUNTIF('架電リスト'!$B$5:$B$1382,A29)</f>
        <v>0</v>
      </c>
      <c r="C29" s="5">
        <f>COUNTIFS('架電リスト'!$B$5:$B$1382,A29,'架電リスト'!$E$5:$E$1382,"&lt;&gt;")</f>
        <v>0</v>
      </c>
      <c r="D29" s="5">
        <f>B29-COUNTIFS('架電リスト'!$B$5:$B$1382,A29,'架電リスト'!$J$5:$J$1382,"未架電")-COUNTIFS('架電リスト'!$B$5:$B$1382,A29,'架電リスト'!$J$5:$J$1382,"")</f>
        <v>0</v>
      </c>
      <c r="E29" s="5">
        <f>COUNTIFS('架電リスト'!$B$5:$B$1382,$A29,'架電リスト'!$J$5:$J$1382,"不在・折返し待ち")</f>
        <v>0</v>
      </c>
      <c r="F29" s="5">
        <f>COUNTIFS('架電リスト'!$B$5:$B$1382,$A29,'架電リスト'!$J$5:$J$1382,"担当者不在")</f>
        <v>0</v>
      </c>
      <c r="G29" s="5">
        <f>COUNTIFS('架電リスト'!$B$5:$B$1382,$A29,'架電リスト'!$J$5:$J$1382,"資料送付")</f>
        <v>0</v>
      </c>
      <c r="H29" s="5">
        <f>COUNTIFS('架電リスト'!$B$5:$B$1382,$A29,'架電リスト'!$J$5:$J$1382,"アポ獲得")</f>
        <v>0</v>
      </c>
      <c r="I29" s="5">
        <f>COUNTIFS('架電リスト'!$B$5:$B$1382,$A29,'架電リスト'!$J$5:$J$1382,"検討中")</f>
        <v>0</v>
      </c>
      <c r="J29" s="5">
        <f>COUNTIFS('架電リスト'!$B$5:$B$1382,$A29,'架電リスト'!$J$5:$J$1382,"NG")</f>
        <v>0</v>
      </c>
      <c r="K29" s="5">
        <f>COUNTIFS('架電リスト'!$B$5:$B$1382,$A29,'架電リスト'!$J$5:$J$1382,"番号不明")</f>
        <v>0</v>
      </c>
      <c r="L29" s="5">
        <f>SUMPRODUCT((MID('テレアポ管理（私立全国版）'!$A$6:$A$1383,3,4)=$A29)*'テレアポ管理（私立全国版）'!$N$6:$N$1383)</f>
        <v>0</v>
      </c>
      <c r="M29" s="5">
        <f>SUMPRODUCT((MID('テレアポ管理（私立全国版）'!$A$6:$A$1383,3,4)=$A29)*('テレアポ管理（私立全国版）'!$H$6:$H$1383=TRUE))</f>
        <v>0</v>
      </c>
      <c r="N29" s="5">
        <f>SUMPRODUCT((MID('テレアポ管理（私立全国版）'!$A$6:$A$1383,3,4)=$A29)*('テレアポ管理（私立全国版）'!$I$6:$I$1383=TRUE))</f>
        <v>0</v>
      </c>
      <c r="O29" s="5">
        <f>SUMPRODUCT((MID('テレアポ管理（私立全国版）'!$A$6:$A$1383,3,4)=$A29)*('テレアポ管理（私立全国版）'!$J$6:$J$1383=TRUE))</f>
        <v>0</v>
      </c>
      <c r="P29" s="5">
        <f>SUMPRODUCT((MID('テレアポ管理（私立全国版）'!$A$6:$A$1383,3,4)=$A29)*('テレアポ管理（私立全国版）'!$K$6:$K$1383=TRUE))</f>
        <v>0</v>
      </c>
      <c r="Q29" s="5">
        <f>SUMPRODUCT((MID('テレアポ管理（私立全国版）'!$A$6:$A$1383,3,4)=$A29)*('テレアポ管理（私立全国版）'!$L$6:$L$1383=TRUE))</f>
        <v>0</v>
      </c>
    </row>
    <row r="30" spans="1:17">
      <c r="A30" s="5" t="s">
        <v>3576</v>
      </c>
      <c r="B30" s="5">
        <f>COUNTIF('架電リスト'!$B$5:$B$1382,A30)</f>
        <v>0</v>
      </c>
      <c r="C30" s="5">
        <f>COUNTIFS('架電リスト'!$B$5:$B$1382,A30,'架電リスト'!$E$5:$E$1382,"&lt;&gt;")</f>
        <v>0</v>
      </c>
      <c r="D30" s="5">
        <f>B30-COUNTIFS('架電リスト'!$B$5:$B$1382,A30,'架電リスト'!$J$5:$J$1382,"未架電")-COUNTIFS('架電リスト'!$B$5:$B$1382,A30,'架電リスト'!$J$5:$J$1382,"")</f>
        <v>0</v>
      </c>
      <c r="E30" s="5">
        <f>COUNTIFS('架電リスト'!$B$5:$B$1382,$A30,'架電リスト'!$J$5:$J$1382,"不在・折返し待ち")</f>
        <v>0</v>
      </c>
      <c r="F30" s="5">
        <f>COUNTIFS('架電リスト'!$B$5:$B$1382,$A30,'架電リスト'!$J$5:$J$1382,"担当者不在")</f>
        <v>0</v>
      </c>
      <c r="G30" s="5">
        <f>COUNTIFS('架電リスト'!$B$5:$B$1382,$A30,'架電リスト'!$J$5:$J$1382,"資料送付")</f>
        <v>0</v>
      </c>
      <c r="H30" s="5">
        <f>COUNTIFS('架電リスト'!$B$5:$B$1382,$A30,'架電リスト'!$J$5:$J$1382,"アポ獲得")</f>
        <v>0</v>
      </c>
      <c r="I30" s="5">
        <f>COUNTIFS('架電リスト'!$B$5:$B$1382,$A30,'架電リスト'!$J$5:$J$1382,"検討中")</f>
        <v>0</v>
      </c>
      <c r="J30" s="5">
        <f>COUNTIFS('架電リスト'!$B$5:$B$1382,$A30,'架電リスト'!$J$5:$J$1382,"NG")</f>
        <v>0</v>
      </c>
      <c r="K30" s="5">
        <f>COUNTIFS('架電リスト'!$B$5:$B$1382,$A30,'架電リスト'!$J$5:$J$1382,"番号不明")</f>
        <v>0</v>
      </c>
      <c r="L30" s="5">
        <f>SUMPRODUCT((MID('テレアポ管理（私立全国版）'!$A$6:$A$1383,3,4)=$A30)*'テレアポ管理（私立全国版）'!$N$6:$N$1383)</f>
        <v>0</v>
      </c>
      <c r="M30" s="5">
        <f>SUMPRODUCT((MID('テレアポ管理（私立全国版）'!$A$6:$A$1383,3,4)=$A30)*('テレアポ管理（私立全国版）'!$H$6:$H$1383=TRUE))</f>
        <v>0</v>
      </c>
      <c r="N30" s="5">
        <f>SUMPRODUCT((MID('テレアポ管理（私立全国版）'!$A$6:$A$1383,3,4)=$A30)*('テレアポ管理（私立全国版）'!$I$6:$I$1383=TRUE))</f>
        <v>0</v>
      </c>
      <c r="O30" s="5">
        <f>SUMPRODUCT((MID('テレアポ管理（私立全国版）'!$A$6:$A$1383,3,4)=$A30)*('テレアポ管理（私立全国版）'!$J$6:$J$1383=TRUE))</f>
        <v>0</v>
      </c>
      <c r="P30" s="5">
        <f>SUMPRODUCT((MID('テレアポ管理（私立全国版）'!$A$6:$A$1383,3,4)=$A30)*('テレアポ管理（私立全国版）'!$K$6:$K$1383=TRUE))</f>
        <v>0</v>
      </c>
      <c r="Q30" s="5">
        <f>SUMPRODUCT((MID('テレアポ管理（私立全国版）'!$A$6:$A$1383,3,4)=$A30)*('テレアポ管理（私立全国版）'!$L$6:$L$1383=TRUE))</f>
        <v>0</v>
      </c>
    </row>
    <row r="31" spans="1:17">
      <c r="A31" s="5" t="s">
        <v>3980</v>
      </c>
      <c r="B31" s="5">
        <f>COUNTIF('架電リスト'!$B$5:$B$1382,A31)</f>
        <v>0</v>
      </c>
      <c r="C31" s="5">
        <f>COUNTIFS('架電リスト'!$B$5:$B$1382,A31,'架電リスト'!$E$5:$E$1382,"&lt;&gt;")</f>
        <v>0</v>
      </c>
      <c r="D31" s="5">
        <f>B31-COUNTIFS('架電リスト'!$B$5:$B$1382,A31,'架電リスト'!$J$5:$J$1382,"未架電")-COUNTIFS('架電リスト'!$B$5:$B$1382,A31,'架電リスト'!$J$5:$J$1382,"")</f>
        <v>0</v>
      </c>
      <c r="E31" s="5">
        <f>COUNTIFS('架電リスト'!$B$5:$B$1382,$A31,'架電リスト'!$J$5:$J$1382,"不在・折返し待ち")</f>
        <v>0</v>
      </c>
      <c r="F31" s="5">
        <f>COUNTIFS('架電リスト'!$B$5:$B$1382,$A31,'架電リスト'!$J$5:$J$1382,"担当者不在")</f>
        <v>0</v>
      </c>
      <c r="G31" s="5">
        <f>COUNTIFS('架電リスト'!$B$5:$B$1382,$A31,'架電リスト'!$J$5:$J$1382,"資料送付")</f>
        <v>0</v>
      </c>
      <c r="H31" s="5">
        <f>COUNTIFS('架電リスト'!$B$5:$B$1382,$A31,'架電リスト'!$J$5:$J$1382,"アポ獲得")</f>
        <v>0</v>
      </c>
      <c r="I31" s="5">
        <f>COUNTIFS('架電リスト'!$B$5:$B$1382,$A31,'架電リスト'!$J$5:$J$1382,"検討中")</f>
        <v>0</v>
      </c>
      <c r="J31" s="5">
        <f>COUNTIFS('架電リスト'!$B$5:$B$1382,$A31,'架電リスト'!$J$5:$J$1382,"NG")</f>
        <v>0</v>
      </c>
      <c r="K31" s="5">
        <f>COUNTIFS('架電リスト'!$B$5:$B$1382,$A31,'架電リスト'!$J$5:$J$1382,"番号不明")</f>
        <v>0</v>
      </c>
      <c r="L31" s="5">
        <f>SUMPRODUCT((MID('テレアポ管理（私立全国版）'!$A$6:$A$1383,3,4)=$A31)*'テレアポ管理（私立全国版）'!$N$6:$N$1383)</f>
        <v>0</v>
      </c>
      <c r="M31" s="5">
        <f>SUMPRODUCT((MID('テレアポ管理（私立全国版）'!$A$6:$A$1383,3,4)=$A31)*('テレアポ管理（私立全国版）'!$H$6:$H$1383=TRUE))</f>
        <v>0</v>
      </c>
      <c r="N31" s="5">
        <f>SUMPRODUCT((MID('テレアポ管理（私立全国版）'!$A$6:$A$1383,3,4)=$A31)*('テレアポ管理（私立全国版）'!$I$6:$I$1383=TRUE))</f>
        <v>0</v>
      </c>
      <c r="O31" s="5">
        <f>SUMPRODUCT((MID('テレアポ管理（私立全国版）'!$A$6:$A$1383,3,4)=$A31)*('テレアポ管理（私立全国版）'!$J$6:$J$1383=TRUE))</f>
        <v>0</v>
      </c>
      <c r="P31" s="5">
        <f>SUMPRODUCT((MID('テレアポ管理（私立全国版）'!$A$6:$A$1383,3,4)=$A31)*('テレアポ管理（私立全国版）'!$K$6:$K$1383=TRUE))</f>
        <v>0</v>
      </c>
      <c r="Q31" s="5">
        <f>SUMPRODUCT((MID('テレアポ管理（私立全国版）'!$A$6:$A$1383,3,4)=$A31)*('テレアポ管理（私立全国版）'!$L$6:$L$1383=TRUE))</f>
        <v>0</v>
      </c>
    </row>
    <row r="32" spans="1:17">
      <c r="A32" s="5" t="s">
        <v>4190</v>
      </c>
      <c r="B32" s="5">
        <f>COUNTIF('架電リスト'!$B$5:$B$1382,A32)</f>
        <v>0</v>
      </c>
      <c r="C32" s="5">
        <f>COUNTIFS('架電リスト'!$B$5:$B$1382,A32,'架電リスト'!$E$5:$E$1382,"&lt;&gt;")</f>
        <v>0</v>
      </c>
      <c r="D32" s="5">
        <f>B32-COUNTIFS('架電リスト'!$B$5:$B$1382,A32,'架電リスト'!$J$5:$J$1382,"未架電")-COUNTIFS('架電リスト'!$B$5:$B$1382,A32,'架電リスト'!$J$5:$J$1382,"")</f>
        <v>0</v>
      </c>
      <c r="E32" s="5">
        <f>COUNTIFS('架電リスト'!$B$5:$B$1382,$A32,'架電リスト'!$J$5:$J$1382,"不在・折返し待ち")</f>
        <v>0</v>
      </c>
      <c r="F32" s="5">
        <f>COUNTIFS('架電リスト'!$B$5:$B$1382,$A32,'架電リスト'!$J$5:$J$1382,"担当者不在")</f>
        <v>0</v>
      </c>
      <c r="G32" s="5">
        <f>COUNTIFS('架電リスト'!$B$5:$B$1382,$A32,'架電リスト'!$J$5:$J$1382,"資料送付")</f>
        <v>0</v>
      </c>
      <c r="H32" s="5">
        <f>COUNTIFS('架電リスト'!$B$5:$B$1382,$A32,'架電リスト'!$J$5:$J$1382,"アポ獲得")</f>
        <v>0</v>
      </c>
      <c r="I32" s="5">
        <f>COUNTIFS('架電リスト'!$B$5:$B$1382,$A32,'架電リスト'!$J$5:$J$1382,"検討中")</f>
        <v>0</v>
      </c>
      <c r="J32" s="5">
        <f>COUNTIFS('架電リスト'!$B$5:$B$1382,$A32,'架電リスト'!$J$5:$J$1382,"NG")</f>
        <v>0</v>
      </c>
      <c r="K32" s="5">
        <f>COUNTIFS('架電リスト'!$B$5:$B$1382,$A32,'架電リスト'!$J$5:$J$1382,"番号不明")</f>
        <v>0</v>
      </c>
      <c r="L32" s="5">
        <f>SUMPRODUCT((MID('テレアポ管理（私立全国版）'!$A$6:$A$1383,3,4)=$A32)*'テレアポ管理（私立全国版）'!$N$6:$N$1383)</f>
        <v>0</v>
      </c>
      <c r="M32" s="5">
        <f>SUMPRODUCT((MID('テレアポ管理（私立全国版）'!$A$6:$A$1383,3,4)=$A32)*('テレアポ管理（私立全国版）'!$H$6:$H$1383=TRUE))</f>
        <v>0</v>
      </c>
      <c r="N32" s="5">
        <f>SUMPRODUCT((MID('テレアポ管理（私立全国版）'!$A$6:$A$1383,3,4)=$A32)*('テレアポ管理（私立全国版）'!$I$6:$I$1383=TRUE))</f>
        <v>0</v>
      </c>
      <c r="O32" s="5">
        <f>SUMPRODUCT((MID('テレアポ管理（私立全国版）'!$A$6:$A$1383,3,4)=$A32)*('テレアポ管理（私立全国版）'!$J$6:$J$1383=TRUE))</f>
        <v>0</v>
      </c>
      <c r="P32" s="5">
        <f>SUMPRODUCT((MID('テレアポ管理（私立全国版）'!$A$6:$A$1383,3,4)=$A32)*('テレアポ管理（私立全国版）'!$K$6:$K$1383=TRUE))</f>
        <v>0</v>
      </c>
      <c r="Q32" s="5">
        <f>SUMPRODUCT((MID('テレアポ管理（私立全国版）'!$A$6:$A$1383,3,4)=$A32)*('テレアポ管理（私立全国版）'!$L$6:$L$1383=TRUE))</f>
        <v>0</v>
      </c>
    </row>
    <row r="33" spans="1:17">
      <c r="A33" s="5" t="s">
        <v>4256</v>
      </c>
      <c r="B33" s="5">
        <f>COUNTIF('架電リスト'!$B$5:$B$1382,A33)</f>
        <v>0</v>
      </c>
      <c r="C33" s="5">
        <f>COUNTIFS('架電リスト'!$B$5:$B$1382,A33,'架電リスト'!$E$5:$E$1382,"&lt;&gt;")</f>
        <v>0</v>
      </c>
      <c r="D33" s="5">
        <f>B33-COUNTIFS('架電リスト'!$B$5:$B$1382,A33,'架電リスト'!$J$5:$J$1382,"未架電")-COUNTIFS('架電リスト'!$B$5:$B$1382,A33,'架電リスト'!$J$5:$J$1382,"")</f>
        <v>0</v>
      </c>
      <c r="E33" s="5">
        <f>COUNTIFS('架電リスト'!$B$5:$B$1382,$A33,'架電リスト'!$J$5:$J$1382,"不在・折返し待ち")</f>
        <v>0</v>
      </c>
      <c r="F33" s="5">
        <f>COUNTIFS('架電リスト'!$B$5:$B$1382,$A33,'架電リスト'!$J$5:$J$1382,"担当者不在")</f>
        <v>0</v>
      </c>
      <c r="G33" s="5">
        <f>COUNTIFS('架電リスト'!$B$5:$B$1382,$A33,'架電リスト'!$J$5:$J$1382,"資料送付")</f>
        <v>0</v>
      </c>
      <c r="H33" s="5">
        <f>COUNTIFS('架電リスト'!$B$5:$B$1382,$A33,'架電リスト'!$J$5:$J$1382,"アポ獲得")</f>
        <v>0</v>
      </c>
      <c r="I33" s="5">
        <f>COUNTIFS('架電リスト'!$B$5:$B$1382,$A33,'架電リスト'!$J$5:$J$1382,"検討中")</f>
        <v>0</v>
      </c>
      <c r="J33" s="5">
        <f>COUNTIFS('架電リスト'!$B$5:$B$1382,$A33,'架電リスト'!$J$5:$J$1382,"NG")</f>
        <v>0</v>
      </c>
      <c r="K33" s="5">
        <f>COUNTIFS('架電リスト'!$B$5:$B$1382,$A33,'架電リスト'!$J$5:$J$1382,"番号不明")</f>
        <v>0</v>
      </c>
      <c r="L33" s="5">
        <f>SUMPRODUCT((MID('テレアポ管理（私立全国版）'!$A$6:$A$1383,3,4)=$A33)*'テレアポ管理（私立全国版）'!$N$6:$N$1383)</f>
        <v>0</v>
      </c>
      <c r="M33" s="5">
        <f>SUMPRODUCT((MID('テレアポ管理（私立全国版）'!$A$6:$A$1383,3,4)=$A33)*('テレアポ管理（私立全国版）'!$H$6:$H$1383=TRUE))</f>
        <v>0</v>
      </c>
      <c r="N33" s="5">
        <f>SUMPRODUCT((MID('テレアポ管理（私立全国版）'!$A$6:$A$1383,3,4)=$A33)*('テレアポ管理（私立全国版）'!$I$6:$I$1383=TRUE))</f>
        <v>0</v>
      </c>
      <c r="O33" s="5">
        <f>SUMPRODUCT((MID('テレアポ管理（私立全国版）'!$A$6:$A$1383,3,4)=$A33)*('テレアポ管理（私立全国版）'!$J$6:$J$1383=TRUE))</f>
        <v>0</v>
      </c>
      <c r="P33" s="5">
        <f>SUMPRODUCT((MID('テレアポ管理（私立全国版）'!$A$6:$A$1383,3,4)=$A33)*('テレアポ管理（私立全国版）'!$K$6:$K$1383=TRUE))</f>
        <v>0</v>
      </c>
      <c r="Q33" s="5">
        <f>SUMPRODUCT((MID('テレアポ管理（私立全国版）'!$A$6:$A$1383,3,4)=$A33)*('テレアポ管理（私立全国版）'!$L$6:$L$1383=TRUE))</f>
        <v>0</v>
      </c>
    </row>
    <row r="34" spans="1:17">
      <c r="A34" s="5" t="s">
        <v>4294</v>
      </c>
      <c r="B34" s="5">
        <f>COUNTIF('架電リスト'!$B$5:$B$1382,A34)</f>
        <v>0</v>
      </c>
      <c r="C34" s="5">
        <f>COUNTIFS('架電リスト'!$B$5:$B$1382,A34,'架電リスト'!$E$5:$E$1382,"&lt;&gt;")</f>
        <v>0</v>
      </c>
      <c r="D34" s="5">
        <f>B34-COUNTIFS('架電リスト'!$B$5:$B$1382,A34,'架電リスト'!$J$5:$J$1382,"未架電")-COUNTIFS('架電リスト'!$B$5:$B$1382,A34,'架電リスト'!$J$5:$J$1382,"")</f>
        <v>0</v>
      </c>
      <c r="E34" s="5">
        <f>COUNTIFS('架電リスト'!$B$5:$B$1382,$A34,'架電リスト'!$J$5:$J$1382,"不在・折返し待ち")</f>
        <v>0</v>
      </c>
      <c r="F34" s="5">
        <f>COUNTIFS('架電リスト'!$B$5:$B$1382,$A34,'架電リスト'!$J$5:$J$1382,"担当者不在")</f>
        <v>0</v>
      </c>
      <c r="G34" s="5">
        <f>COUNTIFS('架電リスト'!$B$5:$B$1382,$A34,'架電リスト'!$J$5:$J$1382,"資料送付")</f>
        <v>0</v>
      </c>
      <c r="H34" s="5">
        <f>COUNTIFS('架電リスト'!$B$5:$B$1382,$A34,'架電リスト'!$J$5:$J$1382,"アポ獲得")</f>
        <v>0</v>
      </c>
      <c r="I34" s="5">
        <f>COUNTIFS('架電リスト'!$B$5:$B$1382,$A34,'架電リスト'!$J$5:$J$1382,"検討中")</f>
        <v>0</v>
      </c>
      <c r="J34" s="5">
        <f>COUNTIFS('架電リスト'!$B$5:$B$1382,$A34,'架電リスト'!$J$5:$J$1382,"NG")</f>
        <v>0</v>
      </c>
      <c r="K34" s="5">
        <f>COUNTIFS('架電リスト'!$B$5:$B$1382,$A34,'架電リスト'!$J$5:$J$1382,"番号不明")</f>
        <v>0</v>
      </c>
      <c r="L34" s="5">
        <f>SUMPRODUCT((MID('テレアポ管理（私立全国版）'!$A$6:$A$1383,3,4)=$A34)*'テレアポ管理（私立全国版）'!$N$6:$N$1383)</f>
        <v>0</v>
      </c>
      <c r="M34" s="5">
        <f>SUMPRODUCT((MID('テレアポ管理（私立全国版）'!$A$6:$A$1383,3,4)=$A34)*('テレアポ管理（私立全国版）'!$H$6:$H$1383=TRUE))</f>
        <v>0</v>
      </c>
      <c r="N34" s="5">
        <f>SUMPRODUCT((MID('テレアポ管理（私立全国版）'!$A$6:$A$1383,3,4)=$A34)*('テレアポ管理（私立全国版）'!$I$6:$I$1383=TRUE))</f>
        <v>0</v>
      </c>
      <c r="O34" s="5">
        <f>SUMPRODUCT((MID('テレアポ管理（私立全国版）'!$A$6:$A$1383,3,4)=$A34)*('テレアポ管理（私立全国版）'!$J$6:$J$1383=TRUE))</f>
        <v>0</v>
      </c>
      <c r="P34" s="5">
        <f>SUMPRODUCT((MID('テレアポ管理（私立全国版）'!$A$6:$A$1383,3,4)=$A34)*('テレアポ管理（私立全国版）'!$K$6:$K$1383=TRUE))</f>
        <v>0</v>
      </c>
      <c r="Q34" s="5">
        <f>SUMPRODUCT((MID('テレアポ管理（私立全国版）'!$A$6:$A$1383,3,4)=$A34)*('テレアポ管理（私立全国版）'!$L$6:$L$1383=TRUE))</f>
        <v>0</v>
      </c>
    </row>
    <row r="35" spans="1:17">
      <c r="A35" s="5" t="s">
        <v>4326</v>
      </c>
      <c r="B35" s="5">
        <f>COUNTIF('架電リスト'!$B$5:$B$1382,A35)</f>
        <v>0</v>
      </c>
      <c r="C35" s="5">
        <f>COUNTIFS('架電リスト'!$B$5:$B$1382,A35,'架電リスト'!$E$5:$E$1382,"&lt;&gt;")</f>
        <v>0</v>
      </c>
      <c r="D35" s="5">
        <f>B35-COUNTIFS('架電リスト'!$B$5:$B$1382,A35,'架電リスト'!$J$5:$J$1382,"未架電")-COUNTIFS('架電リスト'!$B$5:$B$1382,A35,'架電リスト'!$J$5:$J$1382,"")</f>
        <v>0</v>
      </c>
      <c r="E35" s="5">
        <f>COUNTIFS('架電リスト'!$B$5:$B$1382,$A35,'架電リスト'!$J$5:$J$1382,"不在・折返し待ち")</f>
        <v>0</v>
      </c>
      <c r="F35" s="5">
        <f>COUNTIFS('架電リスト'!$B$5:$B$1382,$A35,'架電リスト'!$J$5:$J$1382,"担当者不在")</f>
        <v>0</v>
      </c>
      <c r="G35" s="5">
        <f>COUNTIFS('架電リスト'!$B$5:$B$1382,$A35,'架電リスト'!$J$5:$J$1382,"資料送付")</f>
        <v>0</v>
      </c>
      <c r="H35" s="5">
        <f>COUNTIFS('架電リスト'!$B$5:$B$1382,$A35,'架電リスト'!$J$5:$J$1382,"アポ獲得")</f>
        <v>0</v>
      </c>
      <c r="I35" s="5">
        <f>COUNTIFS('架電リスト'!$B$5:$B$1382,$A35,'架電リスト'!$J$5:$J$1382,"検討中")</f>
        <v>0</v>
      </c>
      <c r="J35" s="5">
        <f>COUNTIFS('架電リスト'!$B$5:$B$1382,$A35,'架電リスト'!$J$5:$J$1382,"NG")</f>
        <v>0</v>
      </c>
      <c r="K35" s="5">
        <f>COUNTIFS('架電リスト'!$B$5:$B$1382,$A35,'架電リスト'!$J$5:$J$1382,"番号不明")</f>
        <v>0</v>
      </c>
      <c r="L35" s="5">
        <f>SUMPRODUCT((MID('テレアポ管理（私立全国版）'!$A$6:$A$1383,3,4)=$A35)*'テレアポ管理（私立全国版）'!$N$6:$N$1383)</f>
        <v>0</v>
      </c>
      <c r="M35" s="5">
        <f>SUMPRODUCT((MID('テレアポ管理（私立全国版）'!$A$6:$A$1383,3,4)=$A35)*('テレアポ管理（私立全国版）'!$H$6:$H$1383=TRUE))</f>
        <v>0</v>
      </c>
      <c r="N35" s="5">
        <f>SUMPRODUCT((MID('テレアポ管理（私立全国版）'!$A$6:$A$1383,3,4)=$A35)*('テレアポ管理（私立全国版）'!$I$6:$I$1383=TRUE))</f>
        <v>0</v>
      </c>
      <c r="O35" s="5">
        <f>SUMPRODUCT((MID('テレアポ管理（私立全国版）'!$A$6:$A$1383,3,4)=$A35)*('テレアポ管理（私立全国版）'!$J$6:$J$1383=TRUE))</f>
        <v>0</v>
      </c>
      <c r="P35" s="5">
        <f>SUMPRODUCT((MID('テレアポ管理（私立全国版）'!$A$6:$A$1383,3,4)=$A35)*('テレアポ管理（私立全国版）'!$K$6:$K$1383=TRUE))</f>
        <v>0</v>
      </c>
      <c r="Q35" s="5">
        <f>SUMPRODUCT((MID('テレアポ管理（私立全国版）'!$A$6:$A$1383,3,4)=$A35)*('テレアポ管理（私立全国版）'!$L$6:$L$1383=TRUE))</f>
        <v>0</v>
      </c>
    </row>
    <row r="36" spans="1:17">
      <c r="A36" s="5" t="s">
        <v>4365</v>
      </c>
      <c r="B36" s="5">
        <f>COUNTIF('架電リスト'!$B$5:$B$1382,A36)</f>
        <v>0</v>
      </c>
      <c r="C36" s="5">
        <f>COUNTIFS('架電リスト'!$B$5:$B$1382,A36,'架電リスト'!$E$5:$E$1382,"&lt;&gt;")</f>
        <v>0</v>
      </c>
      <c r="D36" s="5">
        <f>B36-COUNTIFS('架電リスト'!$B$5:$B$1382,A36,'架電リスト'!$J$5:$J$1382,"未架電")-COUNTIFS('架電リスト'!$B$5:$B$1382,A36,'架電リスト'!$J$5:$J$1382,"")</f>
        <v>0</v>
      </c>
      <c r="E36" s="5">
        <f>COUNTIFS('架電リスト'!$B$5:$B$1382,$A36,'架電リスト'!$J$5:$J$1382,"不在・折返し待ち")</f>
        <v>0</v>
      </c>
      <c r="F36" s="5">
        <f>COUNTIFS('架電リスト'!$B$5:$B$1382,$A36,'架電リスト'!$J$5:$J$1382,"担当者不在")</f>
        <v>0</v>
      </c>
      <c r="G36" s="5">
        <f>COUNTIFS('架電リスト'!$B$5:$B$1382,$A36,'架電リスト'!$J$5:$J$1382,"資料送付")</f>
        <v>0</v>
      </c>
      <c r="H36" s="5">
        <f>COUNTIFS('架電リスト'!$B$5:$B$1382,$A36,'架電リスト'!$J$5:$J$1382,"アポ獲得")</f>
        <v>0</v>
      </c>
      <c r="I36" s="5">
        <f>COUNTIFS('架電リスト'!$B$5:$B$1382,$A36,'架電リスト'!$J$5:$J$1382,"検討中")</f>
        <v>0</v>
      </c>
      <c r="J36" s="5">
        <f>COUNTIFS('架電リスト'!$B$5:$B$1382,$A36,'架電リスト'!$J$5:$J$1382,"NG")</f>
        <v>0</v>
      </c>
      <c r="K36" s="5">
        <f>COUNTIFS('架電リスト'!$B$5:$B$1382,$A36,'架電リスト'!$J$5:$J$1382,"番号不明")</f>
        <v>0</v>
      </c>
      <c r="L36" s="5">
        <f>SUMPRODUCT((MID('テレアポ管理（私立全国版）'!$A$6:$A$1383,3,4)=$A36)*'テレアポ管理（私立全国版）'!$N$6:$N$1383)</f>
        <v>0</v>
      </c>
      <c r="M36" s="5">
        <f>SUMPRODUCT((MID('テレアポ管理（私立全国版）'!$A$6:$A$1383,3,4)=$A36)*('テレアポ管理（私立全国版）'!$H$6:$H$1383=TRUE))</f>
        <v>0</v>
      </c>
      <c r="N36" s="5">
        <f>SUMPRODUCT((MID('テレアポ管理（私立全国版）'!$A$6:$A$1383,3,4)=$A36)*('テレアポ管理（私立全国版）'!$I$6:$I$1383=TRUE))</f>
        <v>0</v>
      </c>
      <c r="O36" s="5">
        <f>SUMPRODUCT((MID('テレアポ管理（私立全国版）'!$A$6:$A$1383,3,4)=$A36)*('テレアポ管理（私立全国版）'!$J$6:$J$1383=TRUE))</f>
        <v>0</v>
      </c>
      <c r="P36" s="5">
        <f>SUMPRODUCT((MID('テレアポ管理（私立全国版）'!$A$6:$A$1383,3,4)=$A36)*('テレアポ管理（私立全国版）'!$K$6:$K$1383=TRUE))</f>
        <v>0</v>
      </c>
      <c r="Q36" s="5">
        <f>SUMPRODUCT((MID('テレアポ管理（私立全国版）'!$A$6:$A$1383,3,4)=$A36)*('テレアポ管理（私立全国版）'!$L$6:$L$1383=TRUE))</f>
        <v>0</v>
      </c>
    </row>
    <row r="37" spans="1:17">
      <c r="A37" s="5" t="s">
        <v>4464</v>
      </c>
      <c r="B37" s="5">
        <f>COUNTIF('架電リスト'!$B$5:$B$1382,A37)</f>
        <v>0</v>
      </c>
      <c r="C37" s="5">
        <f>COUNTIFS('架電リスト'!$B$5:$B$1382,A37,'架電リスト'!$E$5:$E$1382,"&lt;&gt;")</f>
        <v>0</v>
      </c>
      <c r="D37" s="5">
        <f>B37-COUNTIFS('架電リスト'!$B$5:$B$1382,A37,'架電リスト'!$J$5:$J$1382,"未架電")-COUNTIFS('架電リスト'!$B$5:$B$1382,A37,'架電リスト'!$J$5:$J$1382,"")</f>
        <v>0</v>
      </c>
      <c r="E37" s="5">
        <f>COUNTIFS('架電リスト'!$B$5:$B$1382,$A37,'架電リスト'!$J$5:$J$1382,"不在・折返し待ち")</f>
        <v>0</v>
      </c>
      <c r="F37" s="5">
        <f>COUNTIFS('架電リスト'!$B$5:$B$1382,$A37,'架電リスト'!$J$5:$J$1382,"担当者不在")</f>
        <v>0</v>
      </c>
      <c r="G37" s="5">
        <f>COUNTIFS('架電リスト'!$B$5:$B$1382,$A37,'架電リスト'!$J$5:$J$1382,"資料送付")</f>
        <v>0</v>
      </c>
      <c r="H37" s="5">
        <f>COUNTIFS('架電リスト'!$B$5:$B$1382,$A37,'架電リスト'!$J$5:$J$1382,"アポ獲得")</f>
        <v>0</v>
      </c>
      <c r="I37" s="5">
        <f>COUNTIFS('架電リスト'!$B$5:$B$1382,$A37,'架電リスト'!$J$5:$J$1382,"検討中")</f>
        <v>0</v>
      </c>
      <c r="J37" s="5">
        <f>COUNTIFS('架電リスト'!$B$5:$B$1382,$A37,'架電リスト'!$J$5:$J$1382,"NG")</f>
        <v>0</v>
      </c>
      <c r="K37" s="5">
        <f>COUNTIFS('架電リスト'!$B$5:$B$1382,$A37,'架電リスト'!$J$5:$J$1382,"番号不明")</f>
        <v>0</v>
      </c>
      <c r="L37" s="5">
        <f>SUMPRODUCT((MID('テレアポ管理（私立全国版）'!$A$6:$A$1383,3,4)=$A37)*'テレアポ管理（私立全国版）'!$N$6:$N$1383)</f>
        <v>0</v>
      </c>
      <c r="M37" s="5">
        <f>SUMPRODUCT((MID('テレアポ管理（私立全国版）'!$A$6:$A$1383,3,4)=$A37)*('テレアポ管理（私立全国版）'!$H$6:$H$1383=TRUE))</f>
        <v>0</v>
      </c>
      <c r="N37" s="5">
        <f>SUMPRODUCT((MID('テレアポ管理（私立全国版）'!$A$6:$A$1383,3,4)=$A37)*('テレアポ管理（私立全国版）'!$I$6:$I$1383=TRUE))</f>
        <v>0</v>
      </c>
      <c r="O37" s="5">
        <f>SUMPRODUCT((MID('テレアポ管理（私立全国版）'!$A$6:$A$1383,3,4)=$A37)*('テレアポ管理（私立全国版）'!$J$6:$J$1383=TRUE))</f>
        <v>0</v>
      </c>
      <c r="P37" s="5">
        <f>SUMPRODUCT((MID('テレアポ管理（私立全国版）'!$A$6:$A$1383,3,4)=$A37)*('テレアポ管理（私立全国版）'!$K$6:$K$1383=TRUE))</f>
        <v>0</v>
      </c>
      <c r="Q37" s="5">
        <f>SUMPRODUCT((MID('テレアポ管理（私立全国版）'!$A$6:$A$1383,3,4)=$A37)*('テレアポ管理（私立全国版）'!$L$6:$L$1383=TRUE))</f>
        <v>0</v>
      </c>
    </row>
    <row r="38" spans="1:17">
      <c r="A38" s="5" t="s">
        <v>4608</v>
      </c>
      <c r="B38" s="5">
        <f>COUNTIF('架電リスト'!$B$5:$B$1382,A38)</f>
        <v>0</v>
      </c>
      <c r="C38" s="5">
        <f>COUNTIFS('架電リスト'!$B$5:$B$1382,A38,'架電リスト'!$E$5:$E$1382,"&lt;&gt;")</f>
        <v>0</v>
      </c>
      <c r="D38" s="5">
        <f>B38-COUNTIFS('架電リスト'!$B$5:$B$1382,A38,'架電リスト'!$J$5:$J$1382,"未架電")-COUNTIFS('架電リスト'!$B$5:$B$1382,A38,'架電リスト'!$J$5:$J$1382,"")</f>
        <v>0</v>
      </c>
      <c r="E38" s="5">
        <f>COUNTIFS('架電リスト'!$B$5:$B$1382,$A38,'架電リスト'!$J$5:$J$1382,"不在・折返し待ち")</f>
        <v>0</v>
      </c>
      <c r="F38" s="5">
        <f>COUNTIFS('架電リスト'!$B$5:$B$1382,$A38,'架電リスト'!$J$5:$J$1382,"担当者不在")</f>
        <v>0</v>
      </c>
      <c r="G38" s="5">
        <f>COUNTIFS('架電リスト'!$B$5:$B$1382,$A38,'架電リスト'!$J$5:$J$1382,"資料送付")</f>
        <v>0</v>
      </c>
      <c r="H38" s="5">
        <f>COUNTIFS('架電リスト'!$B$5:$B$1382,$A38,'架電リスト'!$J$5:$J$1382,"アポ獲得")</f>
        <v>0</v>
      </c>
      <c r="I38" s="5">
        <f>COUNTIFS('架電リスト'!$B$5:$B$1382,$A38,'架電リスト'!$J$5:$J$1382,"検討中")</f>
        <v>0</v>
      </c>
      <c r="J38" s="5">
        <f>COUNTIFS('架電リスト'!$B$5:$B$1382,$A38,'架電リスト'!$J$5:$J$1382,"NG")</f>
        <v>0</v>
      </c>
      <c r="K38" s="5">
        <f>COUNTIFS('架電リスト'!$B$5:$B$1382,$A38,'架電リスト'!$J$5:$J$1382,"番号不明")</f>
        <v>0</v>
      </c>
      <c r="L38" s="5">
        <f>SUMPRODUCT((MID('テレアポ管理（私立全国版）'!$A$6:$A$1383,3,4)=$A38)*'テレアポ管理（私立全国版）'!$N$6:$N$1383)</f>
        <v>0</v>
      </c>
      <c r="M38" s="5">
        <f>SUMPRODUCT((MID('テレアポ管理（私立全国版）'!$A$6:$A$1383,3,4)=$A38)*('テレアポ管理（私立全国版）'!$H$6:$H$1383=TRUE))</f>
        <v>0</v>
      </c>
      <c r="N38" s="5">
        <f>SUMPRODUCT((MID('テレアポ管理（私立全国版）'!$A$6:$A$1383,3,4)=$A38)*('テレアポ管理（私立全国版）'!$I$6:$I$1383=TRUE))</f>
        <v>0</v>
      </c>
      <c r="O38" s="5">
        <f>SUMPRODUCT((MID('テレアポ管理（私立全国版）'!$A$6:$A$1383,3,4)=$A38)*('テレアポ管理（私立全国版）'!$J$6:$J$1383=TRUE))</f>
        <v>0</v>
      </c>
      <c r="P38" s="5">
        <f>SUMPRODUCT((MID('テレアポ管理（私立全国版）'!$A$6:$A$1383,3,4)=$A38)*('テレアポ管理（私立全国版）'!$K$6:$K$1383=TRUE))</f>
        <v>0</v>
      </c>
      <c r="Q38" s="5">
        <f>SUMPRODUCT((MID('テレアポ管理（私立全国版）'!$A$6:$A$1383,3,4)=$A38)*('テレアポ管理（私立全国版）'!$L$6:$L$1383=TRUE))</f>
        <v>0</v>
      </c>
    </row>
    <row r="39" spans="1:17">
      <c r="A39" s="5" t="s">
        <v>4695</v>
      </c>
      <c r="B39" s="5">
        <f>COUNTIF('架電リスト'!$B$5:$B$1382,A39)</f>
        <v>0</v>
      </c>
      <c r="C39" s="5">
        <f>COUNTIFS('架電リスト'!$B$5:$B$1382,A39,'架電リスト'!$E$5:$E$1382,"&lt;&gt;")</f>
        <v>0</v>
      </c>
      <c r="D39" s="5">
        <f>B39-COUNTIFS('架電リスト'!$B$5:$B$1382,A39,'架電リスト'!$J$5:$J$1382,"未架電")-COUNTIFS('架電リスト'!$B$5:$B$1382,A39,'架電リスト'!$J$5:$J$1382,"")</f>
        <v>0</v>
      </c>
      <c r="E39" s="5">
        <f>COUNTIFS('架電リスト'!$B$5:$B$1382,$A39,'架電リスト'!$J$5:$J$1382,"不在・折返し待ち")</f>
        <v>0</v>
      </c>
      <c r="F39" s="5">
        <f>COUNTIFS('架電リスト'!$B$5:$B$1382,$A39,'架電リスト'!$J$5:$J$1382,"担当者不在")</f>
        <v>0</v>
      </c>
      <c r="G39" s="5">
        <f>COUNTIFS('架電リスト'!$B$5:$B$1382,$A39,'架電リスト'!$J$5:$J$1382,"資料送付")</f>
        <v>0</v>
      </c>
      <c r="H39" s="5">
        <f>COUNTIFS('架電リスト'!$B$5:$B$1382,$A39,'架電リスト'!$J$5:$J$1382,"アポ獲得")</f>
        <v>0</v>
      </c>
      <c r="I39" s="5">
        <f>COUNTIFS('架電リスト'!$B$5:$B$1382,$A39,'架電リスト'!$J$5:$J$1382,"検討中")</f>
        <v>0</v>
      </c>
      <c r="J39" s="5">
        <f>COUNTIFS('架電リスト'!$B$5:$B$1382,$A39,'架電リスト'!$J$5:$J$1382,"NG")</f>
        <v>0</v>
      </c>
      <c r="K39" s="5">
        <f>COUNTIFS('架電リスト'!$B$5:$B$1382,$A39,'架電リスト'!$J$5:$J$1382,"番号不明")</f>
        <v>0</v>
      </c>
      <c r="L39" s="5">
        <f>SUMPRODUCT((MID('テレアポ管理（私立全国版）'!$A$6:$A$1383,3,4)=$A39)*'テレアポ管理（私立全国版）'!$N$6:$N$1383)</f>
        <v>0</v>
      </c>
      <c r="M39" s="5">
        <f>SUMPRODUCT((MID('テレアポ管理（私立全国版）'!$A$6:$A$1383,3,4)=$A39)*('テレアポ管理（私立全国版）'!$H$6:$H$1383=TRUE))</f>
        <v>0</v>
      </c>
      <c r="N39" s="5">
        <f>SUMPRODUCT((MID('テレアポ管理（私立全国版）'!$A$6:$A$1383,3,4)=$A39)*('テレアポ管理（私立全国版）'!$I$6:$I$1383=TRUE))</f>
        <v>0</v>
      </c>
      <c r="O39" s="5">
        <f>SUMPRODUCT((MID('テレアポ管理（私立全国版）'!$A$6:$A$1383,3,4)=$A39)*('テレアポ管理（私立全国版）'!$J$6:$J$1383=TRUE))</f>
        <v>0</v>
      </c>
      <c r="P39" s="5">
        <f>SUMPRODUCT((MID('テレアポ管理（私立全国版）'!$A$6:$A$1383,3,4)=$A39)*('テレアポ管理（私立全国版）'!$K$6:$K$1383=TRUE))</f>
        <v>0</v>
      </c>
      <c r="Q39" s="5">
        <f>SUMPRODUCT((MID('テレアポ管理（私立全国版）'!$A$6:$A$1383,3,4)=$A39)*('テレアポ管理（私立全国版）'!$L$6:$L$1383=TRUE))</f>
        <v>0</v>
      </c>
    </row>
    <row r="40" spans="1:17">
      <c r="A40" s="5" t="s">
        <v>4707</v>
      </c>
      <c r="B40" s="5">
        <f>COUNTIF('架電リスト'!$B$5:$B$1382,A40)</f>
        <v>0</v>
      </c>
      <c r="C40" s="5">
        <f>COUNTIFS('架電リスト'!$B$5:$B$1382,A40,'架電リスト'!$E$5:$E$1382,"&lt;&gt;")</f>
        <v>0</v>
      </c>
      <c r="D40" s="5">
        <f>B40-COUNTIFS('架電リスト'!$B$5:$B$1382,A40,'架電リスト'!$J$5:$J$1382,"未架電")-COUNTIFS('架電リスト'!$B$5:$B$1382,A40,'架電リスト'!$J$5:$J$1382,"")</f>
        <v>0</v>
      </c>
      <c r="E40" s="5">
        <f>COUNTIFS('架電リスト'!$B$5:$B$1382,$A40,'架電リスト'!$J$5:$J$1382,"不在・折返し待ち")</f>
        <v>0</v>
      </c>
      <c r="F40" s="5">
        <f>COUNTIFS('架電リスト'!$B$5:$B$1382,$A40,'架電リスト'!$J$5:$J$1382,"担当者不在")</f>
        <v>0</v>
      </c>
      <c r="G40" s="5">
        <f>COUNTIFS('架電リスト'!$B$5:$B$1382,$A40,'架電リスト'!$J$5:$J$1382,"資料送付")</f>
        <v>0</v>
      </c>
      <c r="H40" s="5">
        <f>COUNTIFS('架電リスト'!$B$5:$B$1382,$A40,'架電リスト'!$J$5:$J$1382,"アポ獲得")</f>
        <v>0</v>
      </c>
      <c r="I40" s="5">
        <f>COUNTIFS('架電リスト'!$B$5:$B$1382,$A40,'架電リスト'!$J$5:$J$1382,"検討中")</f>
        <v>0</v>
      </c>
      <c r="J40" s="5">
        <f>COUNTIFS('架電リスト'!$B$5:$B$1382,$A40,'架電リスト'!$J$5:$J$1382,"NG")</f>
        <v>0</v>
      </c>
      <c r="K40" s="5">
        <f>COUNTIFS('架電リスト'!$B$5:$B$1382,$A40,'架電リスト'!$J$5:$J$1382,"番号不明")</f>
        <v>0</v>
      </c>
      <c r="L40" s="5">
        <f>SUMPRODUCT((MID('テレアポ管理（私立全国版）'!$A$6:$A$1383,3,4)=$A40)*'テレアポ管理（私立全国版）'!$N$6:$N$1383)</f>
        <v>0</v>
      </c>
      <c r="M40" s="5">
        <f>SUMPRODUCT((MID('テレアポ管理（私立全国版）'!$A$6:$A$1383,3,4)=$A40)*('テレアポ管理（私立全国版）'!$H$6:$H$1383=TRUE))</f>
        <v>0</v>
      </c>
      <c r="N40" s="5">
        <f>SUMPRODUCT((MID('テレアポ管理（私立全国版）'!$A$6:$A$1383,3,4)=$A40)*('テレアポ管理（私立全国版）'!$I$6:$I$1383=TRUE))</f>
        <v>0</v>
      </c>
      <c r="O40" s="5">
        <f>SUMPRODUCT((MID('テレアポ管理（私立全国版）'!$A$6:$A$1383,3,4)=$A40)*('テレアポ管理（私立全国版）'!$J$6:$J$1383=TRUE))</f>
        <v>0</v>
      </c>
      <c r="P40" s="5">
        <f>SUMPRODUCT((MID('テレアポ管理（私立全国版）'!$A$6:$A$1383,3,4)=$A40)*('テレアポ管理（私立全国版）'!$K$6:$K$1383=TRUE))</f>
        <v>0</v>
      </c>
      <c r="Q40" s="5">
        <f>SUMPRODUCT((MID('テレアポ管理（私立全国版）'!$A$6:$A$1383,3,4)=$A40)*('テレアポ管理（私立全国版）'!$L$6:$L$1383=TRUE))</f>
        <v>0</v>
      </c>
    </row>
    <row r="41" spans="1:17">
      <c r="A41" s="5" t="s">
        <v>4750</v>
      </c>
      <c r="B41" s="5">
        <f>COUNTIF('架電リスト'!$B$5:$B$1382,A41)</f>
        <v>0</v>
      </c>
      <c r="C41" s="5">
        <f>COUNTIFS('架電リスト'!$B$5:$B$1382,A41,'架電リスト'!$E$5:$E$1382,"&lt;&gt;")</f>
        <v>0</v>
      </c>
      <c r="D41" s="5">
        <f>B41-COUNTIFS('架電リスト'!$B$5:$B$1382,A41,'架電リスト'!$J$5:$J$1382,"未架電")-COUNTIFS('架電リスト'!$B$5:$B$1382,A41,'架電リスト'!$J$5:$J$1382,"")</f>
        <v>0</v>
      </c>
      <c r="E41" s="5">
        <f>COUNTIFS('架電リスト'!$B$5:$B$1382,$A41,'架電リスト'!$J$5:$J$1382,"不在・折返し待ち")</f>
        <v>0</v>
      </c>
      <c r="F41" s="5">
        <f>COUNTIFS('架電リスト'!$B$5:$B$1382,$A41,'架電リスト'!$J$5:$J$1382,"担当者不在")</f>
        <v>0</v>
      </c>
      <c r="G41" s="5">
        <f>COUNTIFS('架電リスト'!$B$5:$B$1382,$A41,'架電リスト'!$J$5:$J$1382,"資料送付")</f>
        <v>0</v>
      </c>
      <c r="H41" s="5">
        <f>COUNTIFS('架電リスト'!$B$5:$B$1382,$A41,'架電リスト'!$J$5:$J$1382,"アポ獲得")</f>
        <v>0</v>
      </c>
      <c r="I41" s="5">
        <f>COUNTIFS('架電リスト'!$B$5:$B$1382,$A41,'架電リスト'!$J$5:$J$1382,"検討中")</f>
        <v>0</v>
      </c>
      <c r="J41" s="5">
        <f>COUNTIFS('架電リスト'!$B$5:$B$1382,$A41,'架電リスト'!$J$5:$J$1382,"NG")</f>
        <v>0</v>
      </c>
      <c r="K41" s="5">
        <f>COUNTIFS('架電リスト'!$B$5:$B$1382,$A41,'架電リスト'!$J$5:$J$1382,"番号不明")</f>
        <v>0</v>
      </c>
      <c r="L41" s="5">
        <f>SUMPRODUCT((MID('テレアポ管理（私立全国版）'!$A$6:$A$1383,3,4)=$A41)*'テレアポ管理（私立全国版）'!$N$6:$N$1383)</f>
        <v>0</v>
      </c>
      <c r="M41" s="5">
        <f>SUMPRODUCT((MID('テレアポ管理（私立全国版）'!$A$6:$A$1383,3,4)=$A41)*('テレアポ管理（私立全国版）'!$H$6:$H$1383=TRUE))</f>
        <v>0</v>
      </c>
      <c r="N41" s="5">
        <f>SUMPRODUCT((MID('テレアポ管理（私立全国版）'!$A$6:$A$1383,3,4)=$A41)*('テレアポ管理（私立全国版）'!$I$6:$I$1383=TRUE))</f>
        <v>0</v>
      </c>
      <c r="O41" s="5">
        <f>SUMPRODUCT((MID('テレアポ管理（私立全国版）'!$A$6:$A$1383,3,4)=$A41)*('テレアポ管理（私立全国版）'!$J$6:$J$1383=TRUE))</f>
        <v>0</v>
      </c>
      <c r="P41" s="5">
        <f>SUMPRODUCT((MID('テレアポ管理（私立全国版）'!$A$6:$A$1383,3,4)=$A41)*('テレアポ管理（私立全国版）'!$K$6:$K$1383=TRUE))</f>
        <v>0</v>
      </c>
      <c r="Q41" s="5">
        <f>SUMPRODUCT((MID('テレアポ管理（私立全国版）'!$A$6:$A$1383,3,4)=$A41)*('テレアポ管理（私立全国版）'!$L$6:$L$1383=TRUE))</f>
        <v>0</v>
      </c>
    </row>
    <row r="42" spans="1:17">
      <c r="A42" s="5" t="s">
        <v>4808</v>
      </c>
      <c r="B42" s="5">
        <f>COUNTIF('架電リスト'!$B$5:$B$1382,A42)</f>
        <v>0</v>
      </c>
      <c r="C42" s="5">
        <f>COUNTIFS('架電リスト'!$B$5:$B$1382,A42,'架電リスト'!$E$5:$E$1382,"&lt;&gt;")</f>
        <v>0</v>
      </c>
      <c r="D42" s="5">
        <f>B42-COUNTIFS('架電リスト'!$B$5:$B$1382,A42,'架電リスト'!$J$5:$J$1382,"未架電")-COUNTIFS('架電リスト'!$B$5:$B$1382,A42,'架電リスト'!$J$5:$J$1382,"")</f>
        <v>0</v>
      </c>
      <c r="E42" s="5">
        <f>COUNTIFS('架電リスト'!$B$5:$B$1382,$A42,'架電リスト'!$J$5:$J$1382,"不在・折返し待ち")</f>
        <v>0</v>
      </c>
      <c r="F42" s="5">
        <f>COUNTIFS('架電リスト'!$B$5:$B$1382,$A42,'架電リスト'!$J$5:$J$1382,"担当者不在")</f>
        <v>0</v>
      </c>
      <c r="G42" s="5">
        <f>COUNTIFS('架電リスト'!$B$5:$B$1382,$A42,'架電リスト'!$J$5:$J$1382,"資料送付")</f>
        <v>0</v>
      </c>
      <c r="H42" s="5">
        <f>COUNTIFS('架電リスト'!$B$5:$B$1382,$A42,'架電リスト'!$J$5:$J$1382,"アポ獲得")</f>
        <v>0</v>
      </c>
      <c r="I42" s="5">
        <f>COUNTIFS('架電リスト'!$B$5:$B$1382,$A42,'架電リスト'!$J$5:$J$1382,"検討中")</f>
        <v>0</v>
      </c>
      <c r="J42" s="5">
        <f>COUNTIFS('架電リスト'!$B$5:$B$1382,$A42,'架電リスト'!$J$5:$J$1382,"NG")</f>
        <v>0</v>
      </c>
      <c r="K42" s="5">
        <f>COUNTIFS('架電リスト'!$B$5:$B$1382,$A42,'架電リスト'!$J$5:$J$1382,"番号不明")</f>
        <v>0</v>
      </c>
      <c r="L42" s="5">
        <f>SUMPRODUCT((MID('テレアポ管理（私立全国版）'!$A$6:$A$1383,3,4)=$A42)*'テレアポ管理（私立全国版）'!$N$6:$N$1383)</f>
        <v>0</v>
      </c>
      <c r="M42" s="5">
        <f>SUMPRODUCT((MID('テレアポ管理（私立全国版）'!$A$6:$A$1383,3,4)=$A42)*('テレアポ管理（私立全国版）'!$H$6:$H$1383=TRUE))</f>
        <v>0</v>
      </c>
      <c r="N42" s="5">
        <f>SUMPRODUCT((MID('テレアポ管理（私立全国版）'!$A$6:$A$1383,3,4)=$A42)*('テレアポ管理（私立全国版）'!$I$6:$I$1383=TRUE))</f>
        <v>0</v>
      </c>
      <c r="O42" s="5">
        <f>SUMPRODUCT((MID('テレアポ管理（私立全国版）'!$A$6:$A$1383,3,4)=$A42)*('テレアポ管理（私立全国版）'!$J$6:$J$1383=TRUE))</f>
        <v>0</v>
      </c>
      <c r="P42" s="5">
        <f>SUMPRODUCT((MID('テレアポ管理（私立全国版）'!$A$6:$A$1383,3,4)=$A42)*('テレアポ管理（私立全国版）'!$K$6:$K$1383=TRUE))</f>
        <v>0</v>
      </c>
      <c r="Q42" s="5">
        <f>SUMPRODUCT((MID('テレアポ管理（私立全国版）'!$A$6:$A$1383,3,4)=$A42)*('テレアポ管理（私立全国版）'!$L$6:$L$1383=TRUE))</f>
        <v>0</v>
      </c>
    </row>
    <row r="43" spans="1:17">
      <c r="A43" s="5" t="s">
        <v>4845</v>
      </c>
      <c r="B43" s="5">
        <f>COUNTIF('架電リスト'!$B$5:$B$1382,A43)</f>
        <v>0</v>
      </c>
      <c r="C43" s="5">
        <f>COUNTIFS('架電リスト'!$B$5:$B$1382,A43,'架電リスト'!$E$5:$E$1382,"&lt;&gt;")</f>
        <v>0</v>
      </c>
      <c r="D43" s="5">
        <f>B43-COUNTIFS('架電リスト'!$B$5:$B$1382,A43,'架電リスト'!$J$5:$J$1382,"未架電")-COUNTIFS('架電リスト'!$B$5:$B$1382,A43,'架電リスト'!$J$5:$J$1382,"")</f>
        <v>0</v>
      </c>
      <c r="E43" s="5">
        <f>COUNTIFS('架電リスト'!$B$5:$B$1382,$A43,'架電リスト'!$J$5:$J$1382,"不在・折返し待ち")</f>
        <v>0</v>
      </c>
      <c r="F43" s="5">
        <f>COUNTIFS('架電リスト'!$B$5:$B$1382,$A43,'架電リスト'!$J$5:$J$1382,"担当者不在")</f>
        <v>0</v>
      </c>
      <c r="G43" s="5">
        <f>COUNTIFS('架電リスト'!$B$5:$B$1382,$A43,'架電リスト'!$J$5:$J$1382,"資料送付")</f>
        <v>0</v>
      </c>
      <c r="H43" s="5">
        <f>COUNTIFS('架電リスト'!$B$5:$B$1382,$A43,'架電リスト'!$J$5:$J$1382,"アポ獲得")</f>
        <v>0</v>
      </c>
      <c r="I43" s="5">
        <f>COUNTIFS('架電リスト'!$B$5:$B$1382,$A43,'架電リスト'!$J$5:$J$1382,"検討中")</f>
        <v>0</v>
      </c>
      <c r="J43" s="5">
        <f>COUNTIFS('架電リスト'!$B$5:$B$1382,$A43,'架電リスト'!$J$5:$J$1382,"NG")</f>
        <v>0</v>
      </c>
      <c r="K43" s="5">
        <f>COUNTIFS('架電リスト'!$B$5:$B$1382,$A43,'架電リスト'!$J$5:$J$1382,"番号不明")</f>
        <v>0</v>
      </c>
      <c r="L43" s="5">
        <f>SUMPRODUCT((MID('テレアポ管理（私立全国版）'!$A$6:$A$1383,3,4)=$A43)*'テレアポ管理（私立全国版）'!$N$6:$N$1383)</f>
        <v>0</v>
      </c>
      <c r="M43" s="5">
        <f>SUMPRODUCT((MID('テレアポ管理（私立全国版）'!$A$6:$A$1383,3,4)=$A43)*('テレアポ管理（私立全国版）'!$H$6:$H$1383=TRUE))</f>
        <v>0</v>
      </c>
      <c r="N43" s="5">
        <f>SUMPRODUCT((MID('テレアポ管理（私立全国版）'!$A$6:$A$1383,3,4)=$A43)*('テレアポ管理（私立全国版）'!$I$6:$I$1383=TRUE))</f>
        <v>0</v>
      </c>
      <c r="O43" s="5">
        <f>SUMPRODUCT((MID('テレアポ管理（私立全国版）'!$A$6:$A$1383,3,4)=$A43)*('テレアポ管理（私立全国版）'!$J$6:$J$1383=TRUE))</f>
        <v>0</v>
      </c>
      <c r="P43" s="5">
        <f>SUMPRODUCT((MID('テレアポ管理（私立全国版）'!$A$6:$A$1383,3,4)=$A43)*('テレアポ管理（私立全国版）'!$K$6:$K$1383=TRUE))</f>
        <v>0</v>
      </c>
      <c r="Q43" s="5">
        <f>SUMPRODUCT((MID('テレアポ管理（私立全国版）'!$A$6:$A$1383,3,4)=$A43)*('テレアポ管理（私立全国版）'!$L$6:$L$1383=TRUE))</f>
        <v>0</v>
      </c>
    </row>
    <row r="44" spans="1:17">
      <c r="A44" s="5" t="s">
        <v>5075</v>
      </c>
      <c r="B44" s="5">
        <f>COUNTIF('架電リスト'!$B$5:$B$1382,A44)</f>
        <v>0</v>
      </c>
      <c r="C44" s="5">
        <f>COUNTIFS('架電リスト'!$B$5:$B$1382,A44,'架電リスト'!$E$5:$E$1382,"&lt;&gt;")</f>
        <v>0</v>
      </c>
      <c r="D44" s="5">
        <f>B44-COUNTIFS('架電リスト'!$B$5:$B$1382,A44,'架電リスト'!$J$5:$J$1382,"未架電")-COUNTIFS('架電リスト'!$B$5:$B$1382,A44,'架電リスト'!$J$5:$J$1382,"")</f>
        <v>0</v>
      </c>
      <c r="E44" s="5">
        <f>COUNTIFS('架電リスト'!$B$5:$B$1382,$A44,'架電リスト'!$J$5:$J$1382,"不在・折返し待ち")</f>
        <v>0</v>
      </c>
      <c r="F44" s="5">
        <f>COUNTIFS('架電リスト'!$B$5:$B$1382,$A44,'架電リスト'!$J$5:$J$1382,"担当者不在")</f>
        <v>0</v>
      </c>
      <c r="G44" s="5">
        <f>COUNTIFS('架電リスト'!$B$5:$B$1382,$A44,'架電リスト'!$J$5:$J$1382,"資料送付")</f>
        <v>0</v>
      </c>
      <c r="H44" s="5">
        <f>COUNTIFS('架電リスト'!$B$5:$B$1382,$A44,'架電リスト'!$J$5:$J$1382,"アポ獲得")</f>
        <v>0</v>
      </c>
      <c r="I44" s="5">
        <f>COUNTIFS('架電リスト'!$B$5:$B$1382,$A44,'架電リスト'!$J$5:$J$1382,"検討中")</f>
        <v>0</v>
      </c>
      <c r="J44" s="5">
        <f>COUNTIFS('架電リスト'!$B$5:$B$1382,$A44,'架電リスト'!$J$5:$J$1382,"NG")</f>
        <v>0</v>
      </c>
      <c r="K44" s="5">
        <f>COUNTIFS('架電リスト'!$B$5:$B$1382,$A44,'架電リスト'!$J$5:$J$1382,"番号不明")</f>
        <v>0</v>
      </c>
      <c r="L44" s="5">
        <f>SUMPRODUCT((MID('テレアポ管理（私立全国版）'!$A$6:$A$1383,3,4)=$A44)*'テレアポ管理（私立全国版）'!$N$6:$N$1383)</f>
        <v>0</v>
      </c>
      <c r="M44" s="5">
        <f>SUMPRODUCT((MID('テレアポ管理（私立全国版）'!$A$6:$A$1383,3,4)=$A44)*('テレアポ管理（私立全国版）'!$H$6:$H$1383=TRUE))</f>
        <v>0</v>
      </c>
      <c r="N44" s="5">
        <f>SUMPRODUCT((MID('テレアポ管理（私立全国版）'!$A$6:$A$1383,3,4)=$A44)*('テレアポ管理（私立全国版）'!$I$6:$I$1383=TRUE))</f>
        <v>0</v>
      </c>
      <c r="O44" s="5">
        <f>SUMPRODUCT((MID('テレアポ管理（私立全国版）'!$A$6:$A$1383,3,4)=$A44)*('テレアポ管理（私立全国版）'!$J$6:$J$1383=TRUE))</f>
        <v>0</v>
      </c>
      <c r="P44" s="5">
        <f>SUMPRODUCT((MID('テレアポ管理（私立全国版）'!$A$6:$A$1383,3,4)=$A44)*('テレアポ管理（私立全国版）'!$K$6:$K$1383=TRUE))</f>
        <v>0</v>
      </c>
      <c r="Q44" s="5">
        <f>SUMPRODUCT((MID('テレアポ管理（私立全国版）'!$A$6:$A$1383,3,4)=$A44)*('テレアポ管理（私立全国版）'!$L$6:$L$1383=TRUE))</f>
        <v>0</v>
      </c>
    </row>
    <row r="45" spans="1:17">
      <c r="A45" s="5" t="s">
        <v>5113</v>
      </c>
      <c r="B45" s="5">
        <f>COUNTIF('架電リスト'!$B$5:$B$1382,A45)</f>
        <v>0</v>
      </c>
      <c r="C45" s="5">
        <f>COUNTIFS('架電リスト'!$B$5:$B$1382,A45,'架電リスト'!$E$5:$E$1382,"&lt;&gt;")</f>
        <v>0</v>
      </c>
      <c r="D45" s="5">
        <f>B45-COUNTIFS('架電リスト'!$B$5:$B$1382,A45,'架電リスト'!$J$5:$J$1382,"未架電")-COUNTIFS('架電リスト'!$B$5:$B$1382,A45,'架電リスト'!$J$5:$J$1382,"")</f>
        <v>0</v>
      </c>
      <c r="E45" s="5">
        <f>COUNTIFS('架電リスト'!$B$5:$B$1382,$A45,'架電リスト'!$J$5:$J$1382,"不在・折返し待ち")</f>
        <v>0</v>
      </c>
      <c r="F45" s="5">
        <f>COUNTIFS('架電リスト'!$B$5:$B$1382,$A45,'架電リスト'!$J$5:$J$1382,"担当者不在")</f>
        <v>0</v>
      </c>
      <c r="G45" s="5">
        <f>COUNTIFS('架電リスト'!$B$5:$B$1382,$A45,'架電リスト'!$J$5:$J$1382,"資料送付")</f>
        <v>0</v>
      </c>
      <c r="H45" s="5">
        <f>COUNTIFS('架電リスト'!$B$5:$B$1382,$A45,'架電リスト'!$J$5:$J$1382,"アポ獲得")</f>
        <v>0</v>
      </c>
      <c r="I45" s="5">
        <f>COUNTIFS('架電リスト'!$B$5:$B$1382,$A45,'架電リスト'!$J$5:$J$1382,"検討中")</f>
        <v>0</v>
      </c>
      <c r="J45" s="5">
        <f>COUNTIFS('架電リスト'!$B$5:$B$1382,$A45,'架電リスト'!$J$5:$J$1382,"NG")</f>
        <v>0</v>
      </c>
      <c r="K45" s="5">
        <f>COUNTIFS('架電リスト'!$B$5:$B$1382,$A45,'架電リスト'!$J$5:$J$1382,"番号不明")</f>
        <v>0</v>
      </c>
      <c r="L45" s="5">
        <f>SUMPRODUCT((MID('テレアポ管理（私立全国版）'!$A$6:$A$1383,3,4)=$A45)*'テレアポ管理（私立全国版）'!$N$6:$N$1383)</f>
        <v>0</v>
      </c>
      <c r="M45" s="5">
        <f>SUMPRODUCT((MID('テレアポ管理（私立全国版）'!$A$6:$A$1383,3,4)=$A45)*('テレアポ管理（私立全国版）'!$H$6:$H$1383=TRUE))</f>
        <v>0</v>
      </c>
      <c r="N45" s="5">
        <f>SUMPRODUCT((MID('テレアポ管理（私立全国版）'!$A$6:$A$1383,3,4)=$A45)*('テレアポ管理（私立全国版）'!$I$6:$I$1383=TRUE))</f>
        <v>0</v>
      </c>
      <c r="O45" s="5">
        <f>SUMPRODUCT((MID('テレアポ管理（私立全国版）'!$A$6:$A$1383,3,4)=$A45)*('テレアポ管理（私立全国版）'!$J$6:$J$1383=TRUE))</f>
        <v>0</v>
      </c>
      <c r="P45" s="5">
        <f>SUMPRODUCT((MID('テレアポ管理（私立全国版）'!$A$6:$A$1383,3,4)=$A45)*('テレアポ管理（私立全国版）'!$K$6:$K$1383=TRUE))</f>
        <v>0</v>
      </c>
      <c r="Q45" s="5">
        <f>SUMPRODUCT((MID('テレアポ管理（私立全国版）'!$A$6:$A$1383,3,4)=$A45)*('テレアポ管理（私立全国版）'!$L$6:$L$1383=TRUE))</f>
        <v>0</v>
      </c>
    </row>
    <row r="46" spans="1:17">
      <c r="A46" s="5" t="s">
        <v>5197</v>
      </c>
      <c r="B46" s="5">
        <f>COUNTIF('架電リスト'!$B$5:$B$1382,A46)</f>
        <v>0</v>
      </c>
      <c r="C46" s="5">
        <f>COUNTIFS('架電リスト'!$B$5:$B$1382,A46,'架電リスト'!$E$5:$E$1382,"&lt;&gt;")</f>
        <v>0</v>
      </c>
      <c r="D46" s="5">
        <f>B46-COUNTIFS('架電リスト'!$B$5:$B$1382,A46,'架電リスト'!$J$5:$J$1382,"未架電")-COUNTIFS('架電リスト'!$B$5:$B$1382,A46,'架電リスト'!$J$5:$J$1382,"")</f>
        <v>0</v>
      </c>
      <c r="E46" s="5">
        <f>COUNTIFS('架電リスト'!$B$5:$B$1382,$A46,'架電リスト'!$J$5:$J$1382,"不在・折返し待ち")</f>
        <v>0</v>
      </c>
      <c r="F46" s="5">
        <f>COUNTIFS('架電リスト'!$B$5:$B$1382,$A46,'架電リスト'!$J$5:$J$1382,"担当者不在")</f>
        <v>0</v>
      </c>
      <c r="G46" s="5">
        <f>COUNTIFS('架電リスト'!$B$5:$B$1382,$A46,'架電リスト'!$J$5:$J$1382,"資料送付")</f>
        <v>0</v>
      </c>
      <c r="H46" s="5">
        <f>COUNTIFS('架電リスト'!$B$5:$B$1382,$A46,'架電リスト'!$J$5:$J$1382,"アポ獲得")</f>
        <v>0</v>
      </c>
      <c r="I46" s="5">
        <f>COUNTIFS('架電リスト'!$B$5:$B$1382,$A46,'架電リスト'!$J$5:$J$1382,"検討中")</f>
        <v>0</v>
      </c>
      <c r="J46" s="5">
        <f>COUNTIFS('架電リスト'!$B$5:$B$1382,$A46,'架電リスト'!$J$5:$J$1382,"NG")</f>
        <v>0</v>
      </c>
      <c r="K46" s="5">
        <f>COUNTIFS('架電リスト'!$B$5:$B$1382,$A46,'架電リスト'!$J$5:$J$1382,"番号不明")</f>
        <v>0</v>
      </c>
      <c r="L46" s="5">
        <f>SUMPRODUCT((MID('テレアポ管理（私立全国版）'!$A$6:$A$1383,3,4)=$A46)*'テレアポ管理（私立全国版）'!$N$6:$N$1383)</f>
        <v>0</v>
      </c>
      <c r="M46" s="5">
        <f>SUMPRODUCT((MID('テレアポ管理（私立全国版）'!$A$6:$A$1383,3,4)=$A46)*('テレアポ管理（私立全国版）'!$H$6:$H$1383=TRUE))</f>
        <v>0</v>
      </c>
      <c r="N46" s="5">
        <f>SUMPRODUCT((MID('テレアポ管理（私立全国版）'!$A$6:$A$1383,3,4)=$A46)*('テレアポ管理（私立全国版）'!$I$6:$I$1383=TRUE))</f>
        <v>0</v>
      </c>
      <c r="O46" s="5">
        <f>SUMPRODUCT((MID('テレアポ管理（私立全国版）'!$A$6:$A$1383,3,4)=$A46)*('テレアポ管理（私立全国版）'!$J$6:$J$1383=TRUE))</f>
        <v>0</v>
      </c>
      <c r="P46" s="5">
        <f>SUMPRODUCT((MID('テレアポ管理（私立全国版）'!$A$6:$A$1383,3,4)=$A46)*('テレアポ管理（私立全国版）'!$K$6:$K$1383=TRUE))</f>
        <v>0</v>
      </c>
      <c r="Q46" s="5">
        <f>SUMPRODUCT((MID('テレアポ管理（私立全国版）'!$A$6:$A$1383,3,4)=$A46)*('テレアポ管理（私立全国版）'!$L$6:$L$1383=TRUE))</f>
        <v>0</v>
      </c>
    </row>
    <row r="47" spans="1:17">
      <c r="A47" s="5" t="s">
        <v>5292</v>
      </c>
      <c r="B47" s="5">
        <f>COUNTIF('架電リスト'!$B$5:$B$1382,A47)</f>
        <v>0</v>
      </c>
      <c r="C47" s="5">
        <f>COUNTIFS('架電リスト'!$B$5:$B$1382,A47,'架電リスト'!$E$5:$E$1382,"&lt;&gt;")</f>
        <v>0</v>
      </c>
      <c r="D47" s="5">
        <f>B47-COUNTIFS('架電リスト'!$B$5:$B$1382,A47,'架電リスト'!$J$5:$J$1382,"未架電")-COUNTIFS('架電リスト'!$B$5:$B$1382,A47,'架電リスト'!$J$5:$J$1382,"")</f>
        <v>0</v>
      </c>
      <c r="E47" s="5">
        <f>COUNTIFS('架電リスト'!$B$5:$B$1382,$A47,'架電リスト'!$J$5:$J$1382,"不在・折返し待ち")</f>
        <v>0</v>
      </c>
      <c r="F47" s="5">
        <f>COUNTIFS('架電リスト'!$B$5:$B$1382,$A47,'架電リスト'!$J$5:$J$1382,"担当者不在")</f>
        <v>0</v>
      </c>
      <c r="G47" s="5">
        <f>COUNTIFS('架電リスト'!$B$5:$B$1382,$A47,'架電リスト'!$J$5:$J$1382,"資料送付")</f>
        <v>0</v>
      </c>
      <c r="H47" s="5">
        <f>COUNTIFS('架電リスト'!$B$5:$B$1382,$A47,'架電リスト'!$J$5:$J$1382,"アポ獲得")</f>
        <v>0</v>
      </c>
      <c r="I47" s="5">
        <f>COUNTIFS('架電リスト'!$B$5:$B$1382,$A47,'架電リスト'!$J$5:$J$1382,"検討中")</f>
        <v>0</v>
      </c>
      <c r="J47" s="5">
        <f>COUNTIFS('架電リスト'!$B$5:$B$1382,$A47,'架電リスト'!$J$5:$J$1382,"NG")</f>
        <v>0</v>
      </c>
      <c r="K47" s="5">
        <f>COUNTIFS('架電リスト'!$B$5:$B$1382,$A47,'架電リスト'!$J$5:$J$1382,"番号不明")</f>
        <v>0</v>
      </c>
      <c r="L47" s="5">
        <f>SUMPRODUCT((MID('テレアポ管理（私立全国版）'!$A$6:$A$1383,3,4)=$A47)*'テレアポ管理（私立全国版）'!$N$6:$N$1383)</f>
        <v>0</v>
      </c>
      <c r="M47" s="5">
        <f>SUMPRODUCT((MID('テレアポ管理（私立全国版）'!$A$6:$A$1383,3,4)=$A47)*('テレアポ管理（私立全国版）'!$H$6:$H$1383=TRUE))</f>
        <v>0</v>
      </c>
      <c r="N47" s="5">
        <f>SUMPRODUCT((MID('テレアポ管理（私立全国版）'!$A$6:$A$1383,3,4)=$A47)*('テレアポ管理（私立全国版）'!$I$6:$I$1383=TRUE))</f>
        <v>0</v>
      </c>
      <c r="O47" s="5">
        <f>SUMPRODUCT((MID('テレアポ管理（私立全国版）'!$A$6:$A$1383,3,4)=$A47)*('テレアポ管理（私立全国版）'!$J$6:$J$1383=TRUE))</f>
        <v>0</v>
      </c>
      <c r="P47" s="5">
        <f>SUMPRODUCT((MID('テレアポ管理（私立全国版）'!$A$6:$A$1383,3,4)=$A47)*('テレアポ管理（私立全国版）'!$K$6:$K$1383=TRUE))</f>
        <v>0</v>
      </c>
      <c r="Q47" s="5">
        <f>SUMPRODUCT((MID('テレアポ管理（私立全国版）'!$A$6:$A$1383,3,4)=$A47)*('テレアポ管理（私立全国版）'!$L$6:$L$1383=TRUE))</f>
        <v>0</v>
      </c>
    </row>
    <row r="48" spans="1:17">
      <c r="A48" s="5" t="s">
        <v>5350</v>
      </c>
      <c r="B48" s="5">
        <f>COUNTIF('架電リスト'!$B$5:$B$1382,A48)</f>
        <v>0</v>
      </c>
      <c r="C48" s="5">
        <f>COUNTIFS('架電リスト'!$B$5:$B$1382,A48,'架電リスト'!$E$5:$E$1382,"&lt;&gt;")</f>
        <v>0</v>
      </c>
      <c r="D48" s="5">
        <f>B48-COUNTIFS('架電リスト'!$B$5:$B$1382,A48,'架電リスト'!$J$5:$J$1382,"未架電")-COUNTIFS('架電リスト'!$B$5:$B$1382,A48,'架電リスト'!$J$5:$J$1382,"")</f>
        <v>0</v>
      </c>
      <c r="E48" s="5">
        <f>COUNTIFS('架電リスト'!$B$5:$B$1382,$A48,'架電リスト'!$J$5:$J$1382,"不在・折返し待ち")</f>
        <v>0</v>
      </c>
      <c r="F48" s="5">
        <f>COUNTIFS('架電リスト'!$B$5:$B$1382,$A48,'架電リスト'!$J$5:$J$1382,"担当者不在")</f>
        <v>0</v>
      </c>
      <c r="G48" s="5">
        <f>COUNTIFS('架電リスト'!$B$5:$B$1382,$A48,'架電リスト'!$J$5:$J$1382,"資料送付")</f>
        <v>0</v>
      </c>
      <c r="H48" s="5">
        <f>COUNTIFS('架電リスト'!$B$5:$B$1382,$A48,'架電リスト'!$J$5:$J$1382,"アポ獲得")</f>
        <v>0</v>
      </c>
      <c r="I48" s="5">
        <f>COUNTIFS('架電リスト'!$B$5:$B$1382,$A48,'架電リスト'!$J$5:$J$1382,"検討中")</f>
        <v>0</v>
      </c>
      <c r="J48" s="5">
        <f>COUNTIFS('架電リスト'!$B$5:$B$1382,$A48,'架電リスト'!$J$5:$J$1382,"NG")</f>
        <v>0</v>
      </c>
      <c r="K48" s="5">
        <f>COUNTIFS('架電リスト'!$B$5:$B$1382,$A48,'架電リスト'!$J$5:$J$1382,"番号不明")</f>
        <v>0</v>
      </c>
      <c r="L48" s="5">
        <f>SUMPRODUCT((MID('テレアポ管理（私立全国版）'!$A$6:$A$1383,3,4)=$A48)*'テレアポ管理（私立全国版）'!$N$6:$N$1383)</f>
        <v>0</v>
      </c>
      <c r="M48" s="5">
        <f>SUMPRODUCT((MID('テレアポ管理（私立全国版）'!$A$6:$A$1383,3,4)=$A48)*('テレアポ管理（私立全国版）'!$H$6:$H$1383=TRUE))</f>
        <v>0</v>
      </c>
      <c r="N48" s="5">
        <f>SUMPRODUCT((MID('テレアポ管理（私立全国版）'!$A$6:$A$1383,3,4)=$A48)*('テレアポ管理（私立全国版）'!$I$6:$I$1383=TRUE))</f>
        <v>0</v>
      </c>
      <c r="O48" s="5">
        <f>SUMPRODUCT((MID('テレアポ管理（私立全国版）'!$A$6:$A$1383,3,4)=$A48)*('テレアポ管理（私立全国版）'!$J$6:$J$1383=TRUE))</f>
        <v>0</v>
      </c>
      <c r="P48" s="5">
        <f>SUMPRODUCT((MID('テレアポ管理（私立全国版）'!$A$6:$A$1383,3,4)=$A48)*('テレアポ管理（私立全国版）'!$K$6:$K$1383=TRUE))</f>
        <v>0</v>
      </c>
      <c r="Q48" s="5">
        <f>SUMPRODUCT((MID('テレアポ管理（私立全国版）'!$A$6:$A$1383,3,4)=$A48)*('テレアポ管理（私立全国版）'!$L$6:$L$1383=TRUE))</f>
        <v>0</v>
      </c>
    </row>
    <row r="49" spans="1:17">
      <c r="A49" s="5" t="s">
        <v>5415</v>
      </c>
      <c r="B49" s="5">
        <f>COUNTIF('架電リスト'!$B$5:$B$1382,A49)</f>
        <v>0</v>
      </c>
      <c r="C49" s="5">
        <f>COUNTIFS('架電リスト'!$B$5:$B$1382,A49,'架電リスト'!$E$5:$E$1382,"&lt;&gt;")</f>
        <v>0</v>
      </c>
      <c r="D49" s="5">
        <f>B49-COUNTIFS('架電リスト'!$B$5:$B$1382,A49,'架電リスト'!$J$5:$J$1382,"未架電")-COUNTIFS('架電リスト'!$B$5:$B$1382,A49,'架電リスト'!$J$5:$J$1382,"")</f>
        <v>0</v>
      </c>
      <c r="E49" s="5">
        <f>COUNTIFS('架電リスト'!$B$5:$B$1382,$A49,'架電リスト'!$J$5:$J$1382,"不在・折返し待ち")</f>
        <v>0</v>
      </c>
      <c r="F49" s="5">
        <f>COUNTIFS('架電リスト'!$B$5:$B$1382,$A49,'架電リスト'!$J$5:$J$1382,"担当者不在")</f>
        <v>0</v>
      </c>
      <c r="G49" s="5">
        <f>COUNTIFS('架電リスト'!$B$5:$B$1382,$A49,'架電リスト'!$J$5:$J$1382,"資料送付")</f>
        <v>0</v>
      </c>
      <c r="H49" s="5">
        <f>COUNTIFS('架電リスト'!$B$5:$B$1382,$A49,'架電リスト'!$J$5:$J$1382,"アポ獲得")</f>
        <v>0</v>
      </c>
      <c r="I49" s="5">
        <f>COUNTIFS('架電リスト'!$B$5:$B$1382,$A49,'架電リスト'!$J$5:$J$1382,"検討中")</f>
        <v>0</v>
      </c>
      <c r="J49" s="5">
        <f>COUNTIFS('架電リスト'!$B$5:$B$1382,$A49,'架電リスト'!$J$5:$J$1382,"NG")</f>
        <v>0</v>
      </c>
      <c r="K49" s="5">
        <f>COUNTIFS('架電リスト'!$B$5:$B$1382,$A49,'架電リスト'!$J$5:$J$1382,"番号不明")</f>
        <v>0</v>
      </c>
      <c r="L49" s="5">
        <f>SUMPRODUCT((MID('テレアポ管理（私立全国版）'!$A$6:$A$1383,3,4)=$A49)*'テレアポ管理（私立全国版）'!$N$6:$N$1383)</f>
        <v>0</v>
      </c>
      <c r="M49" s="5">
        <f>SUMPRODUCT((MID('テレアポ管理（私立全国版）'!$A$6:$A$1383,3,4)=$A49)*('テレアポ管理（私立全国版）'!$H$6:$H$1383=TRUE))</f>
        <v>0</v>
      </c>
      <c r="N49" s="5">
        <f>SUMPRODUCT((MID('テレアポ管理（私立全国版）'!$A$6:$A$1383,3,4)=$A49)*('テレアポ管理（私立全国版）'!$I$6:$I$1383=TRUE))</f>
        <v>0</v>
      </c>
      <c r="O49" s="5">
        <f>SUMPRODUCT((MID('テレアポ管理（私立全国版）'!$A$6:$A$1383,3,4)=$A49)*('テレアポ管理（私立全国版）'!$J$6:$J$1383=TRUE))</f>
        <v>0</v>
      </c>
      <c r="P49" s="5">
        <f>SUMPRODUCT((MID('テレアポ管理（私立全国版）'!$A$6:$A$1383,3,4)=$A49)*('テレアポ管理（私立全国版）'!$K$6:$K$1383=TRUE))</f>
        <v>0</v>
      </c>
      <c r="Q49" s="5">
        <f>SUMPRODUCT((MID('テレアポ管理（私立全国版）'!$A$6:$A$1383,3,4)=$A49)*('テレアポ管理（私立全国版）'!$L$6:$L$1383=TRUE))</f>
        <v>0</v>
      </c>
    </row>
    <row r="50" spans="1:17">
      <c r="A50" s="5" t="s">
        <v>5510</v>
      </c>
      <c r="B50" s="5">
        <f>COUNTIF('架電リスト'!$B$5:$B$1382,A50)</f>
        <v>0</v>
      </c>
      <c r="C50" s="5">
        <f>COUNTIFS('架電リスト'!$B$5:$B$1382,A50,'架電リスト'!$E$5:$E$1382,"&lt;&gt;")</f>
        <v>0</v>
      </c>
      <c r="D50" s="5">
        <f>B50-COUNTIFS('架電リスト'!$B$5:$B$1382,A50,'架電リスト'!$J$5:$J$1382,"未架電")-COUNTIFS('架電リスト'!$B$5:$B$1382,A50,'架電リスト'!$J$5:$J$1382,"")</f>
        <v>0</v>
      </c>
      <c r="E50" s="5">
        <f>COUNTIFS('架電リスト'!$B$5:$B$1382,$A50,'架電リスト'!$J$5:$J$1382,"不在・折返し待ち")</f>
        <v>0</v>
      </c>
      <c r="F50" s="5">
        <f>COUNTIFS('架電リスト'!$B$5:$B$1382,$A50,'架電リスト'!$J$5:$J$1382,"担当者不在")</f>
        <v>0</v>
      </c>
      <c r="G50" s="5">
        <f>COUNTIFS('架電リスト'!$B$5:$B$1382,$A50,'架電リスト'!$J$5:$J$1382,"資料送付")</f>
        <v>0</v>
      </c>
      <c r="H50" s="5">
        <f>COUNTIFS('架電リスト'!$B$5:$B$1382,$A50,'架電リスト'!$J$5:$J$1382,"アポ獲得")</f>
        <v>0</v>
      </c>
      <c r="I50" s="5">
        <f>COUNTIFS('架電リスト'!$B$5:$B$1382,$A50,'架電リスト'!$J$5:$J$1382,"検討中")</f>
        <v>0</v>
      </c>
      <c r="J50" s="5">
        <f>COUNTIFS('架電リスト'!$B$5:$B$1382,$A50,'架電リスト'!$J$5:$J$1382,"NG")</f>
        <v>0</v>
      </c>
      <c r="K50" s="5">
        <f>COUNTIFS('架電リスト'!$B$5:$B$1382,$A50,'架電リスト'!$J$5:$J$1382,"番号不明")</f>
        <v>0</v>
      </c>
      <c r="L50" s="5">
        <f>SUMPRODUCT((MID('テレアポ管理（私立全国版）'!$A$6:$A$1383,3,4)=$A50)*'テレアポ管理（私立全国版）'!$N$6:$N$1383)</f>
        <v>0</v>
      </c>
      <c r="M50" s="5">
        <f>SUMPRODUCT((MID('テレアポ管理（私立全国版）'!$A$6:$A$1383,3,4)=$A50)*('テレアポ管理（私立全国版）'!$H$6:$H$1383=TRUE))</f>
        <v>0</v>
      </c>
      <c r="N50" s="5">
        <f>SUMPRODUCT((MID('テレアポ管理（私立全国版）'!$A$6:$A$1383,3,4)=$A50)*('テレアポ管理（私立全国版）'!$I$6:$I$1383=TRUE))</f>
        <v>0</v>
      </c>
      <c r="O50" s="5">
        <f>SUMPRODUCT((MID('テレアポ管理（私立全国版）'!$A$6:$A$1383,3,4)=$A50)*('テレアポ管理（私立全国版）'!$J$6:$J$1383=TRUE))</f>
        <v>0</v>
      </c>
      <c r="P50" s="5">
        <f>SUMPRODUCT((MID('テレアポ管理（私立全国版）'!$A$6:$A$1383,3,4)=$A50)*('テレアポ管理（私立全国版）'!$K$6:$K$1383=TRUE))</f>
        <v>0</v>
      </c>
      <c r="Q50" s="5">
        <f>SUMPRODUCT((MID('テレアポ管理（私立全国版）'!$A$6:$A$1383,3,4)=$A50)*('テレアポ管理（私立全国版）'!$L$6:$L$1383=TRUE))</f>
        <v>0</v>
      </c>
    </row>
    <row r="51" spans="1:17">
      <c r="A51" s="32" t="s">
        <v>5632</v>
      </c>
      <c r="B51" s="32">
        <f>SUM(B4:B50)</f>
        <v>0</v>
      </c>
      <c r="C51" s="32">
        <f>SUM(C4:C50)</f>
        <v>0</v>
      </c>
      <c r="D51" s="32">
        <f>SUM(D4:D50)</f>
        <v>0</v>
      </c>
      <c r="E51" s="32">
        <f>SUM(E4:E50)</f>
        <v>0</v>
      </c>
      <c r="F51" s="32">
        <f>SUM(F4:F50)</f>
        <v>0</v>
      </c>
      <c r="G51" s="32">
        <f>SUM(G4:G50)</f>
        <v>0</v>
      </c>
      <c r="H51" s="32">
        <f>SUM(H4:H50)</f>
        <v>0</v>
      </c>
      <c r="I51" s="32">
        <f>SUM(I4:I50)</f>
        <v>0</v>
      </c>
      <c r="J51" s="32">
        <f>SUM(J4:J50)</f>
        <v>0</v>
      </c>
      <c r="K51" s="32">
        <f>SUM(K4:K50)</f>
        <v>0</v>
      </c>
      <c r="L51" s="32">
        <f>SUM(L4:L50)</f>
        <v>0</v>
      </c>
      <c r="M51" s="32">
        <f>SUM(M4:M50)</f>
        <v>0</v>
      </c>
      <c r="N51" s="32">
        <f>SUM(N4:N50)</f>
        <v>0</v>
      </c>
      <c r="O51" s="32">
        <f>SUM(O4:O50)</f>
        <v>0</v>
      </c>
      <c r="P51" s="32">
        <f>SUM(P4:P50)</f>
        <v>0</v>
      </c>
      <c r="Q51" s="32">
        <f>SUM(Q4:Q50)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0"/>
  <sheetViews>
    <sheetView workbookViewId="0"/>
  </sheetViews>
  <sheetFormatPr defaultRowHeight="15"/>
  <cols>
    <col min="1" max="1" width="120.7109375" customWidth="1"/>
  </cols>
  <sheetData>
    <row r="1" spans="1:1">
      <c r="A1" s="33" t="s">
        <v>5633</v>
      </c>
    </row>
    <row r="2" spans="1:1">
      <c r="A2" s="34" t="s">
        <v>5634</v>
      </c>
    </row>
    <row r="3" spans="1:1">
      <c r="A3" s="34" t="s">
        <v>5635</v>
      </c>
    </row>
    <row r="4" spans="1:1">
      <c r="A4" s="34" t="s">
        <v>5636</v>
      </c>
    </row>
    <row r="5" spans="1:1">
      <c r="A5" s="34" t="s">
        <v>5637</v>
      </c>
    </row>
    <row r="6" spans="1:1">
      <c r="A6" s="34" t="s">
        <v>5638</v>
      </c>
    </row>
    <row r="7" spans="1:1">
      <c r="A7" s="34" t="s">
        <v>5639</v>
      </c>
    </row>
    <row r="8" spans="1:1">
      <c r="A8" s="34" t="s">
        <v>5640</v>
      </c>
    </row>
    <row r="9" spans="1:1">
      <c r="A9" s="34"/>
    </row>
    <row r="10" spans="1:1">
      <c r="A10" s="33" t="s">
        <v>5641</v>
      </c>
    </row>
    <row r="11" spans="1:1">
      <c r="A11" s="34" t="s">
        <v>5642</v>
      </c>
    </row>
    <row r="12" spans="1:1">
      <c r="A12" s="34" t="s">
        <v>5643</v>
      </c>
    </row>
    <row r="13" spans="1:1">
      <c r="A13" s="34" t="s">
        <v>5644</v>
      </c>
    </row>
    <row r="14" spans="1:1">
      <c r="A14" s="34" t="s">
        <v>5645</v>
      </c>
    </row>
    <row r="15" spans="1:1">
      <c r="A15" s="34" t="s">
        <v>5646</v>
      </c>
    </row>
    <row r="16" spans="1:1">
      <c r="A16" s="34"/>
    </row>
    <row r="17" spans="1:1">
      <c r="A17" s="33" t="s">
        <v>5647</v>
      </c>
    </row>
    <row r="18" spans="1:1">
      <c r="A18" s="34" t="s">
        <v>5648</v>
      </c>
    </row>
    <row r="19" spans="1:1">
      <c r="A19" s="34" t="s">
        <v>5649</v>
      </c>
    </row>
    <row r="20" spans="1:1">
      <c r="A20" s="34" t="s">
        <v>5650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架電リスト</vt:lpstr>
      <vt:lpstr>テレアポ管理（私立全国版）</vt:lpstr>
      <vt:lpstr>都道府県別集計</vt:lpstr>
      <vt:lpstr>使い方・注意事項</vt:lpstr>
      <vt:lpstr>'テレアポ管理（私立全国版）'!Print_Titles</vt:lpstr>
      <vt:lpstr>架電リスト!Print_Titles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2026-10-14T04:23:07Z</dcterms:created>
  <dcterms:modified xsi:type="dcterms:W3CDTF">2026-10-14T04:23:07Z</dcterms:modified>
</cp:coreProperties>
</file>