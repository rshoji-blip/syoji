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'架電リスト'!$A$4:$O$1196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Relationship Type="http://schemas.openxmlformats.org/officeDocument/2006/relationships/hyperlink" Target="https://www.gakkou.net/kou/view/index_305270.html" TargetMode="External" Id="rId1169" /><Relationship Type="http://schemas.openxmlformats.org/officeDocument/2006/relationships/hyperlink" Target="https://www.gakkou.net/kou/view/index_305290.html" TargetMode="External" Id="rId1170" /><Relationship Type="http://schemas.openxmlformats.org/officeDocument/2006/relationships/hyperlink" Target="https://www.gakkou.net/kou/view/index_305303.html" TargetMode="External" Id="rId1171" /><Relationship Type="http://schemas.openxmlformats.org/officeDocument/2006/relationships/hyperlink" Target="https://www.gakkou.net/kou/view/index_305305.html" TargetMode="External" Id="rId1172" /><Relationship Type="http://schemas.openxmlformats.org/officeDocument/2006/relationships/hyperlink" Target="https://www.gakkou.net/kou/view/index_305314.html" TargetMode="External" Id="rId1173" /><Relationship Type="http://schemas.openxmlformats.org/officeDocument/2006/relationships/hyperlink" Target="https://www.gakkou.net/kou/view/index_305295.html" TargetMode="External" Id="rId1174" /><Relationship Type="http://schemas.openxmlformats.org/officeDocument/2006/relationships/hyperlink" Target="https://www.gakkou.net/kou/view/index_305317.html" TargetMode="External" Id="rId1175" /><Relationship Type="http://schemas.openxmlformats.org/officeDocument/2006/relationships/hyperlink" Target="https://www.gakkou.net/kou/view/index_305313.html" TargetMode="External" Id="rId1176" /><Relationship Type="http://schemas.openxmlformats.org/officeDocument/2006/relationships/hyperlink" Target="https://www.gakkou.net/kou/view/index_305277.html" TargetMode="External" Id="rId1177" /><Relationship Type="http://schemas.openxmlformats.org/officeDocument/2006/relationships/hyperlink" Target="https://www.gakkou.net/kou/view/index_305327.html" TargetMode="External" Id="rId1178" /><Relationship Type="http://schemas.openxmlformats.org/officeDocument/2006/relationships/hyperlink" Target="https://www.gakkou.net/kou/view/index_305360.html" TargetMode="External" Id="rId1179" /><Relationship Type="http://schemas.openxmlformats.org/officeDocument/2006/relationships/hyperlink" Target="https://www.gakkou.net/kou/view/index_305377.html" TargetMode="External" Id="rId1180" /><Relationship Type="http://schemas.openxmlformats.org/officeDocument/2006/relationships/hyperlink" Target="https://www.gakkou.net/kou/view/index_306788.html" TargetMode="External" Id="rId1181" /><Relationship Type="http://schemas.openxmlformats.org/officeDocument/2006/relationships/hyperlink" Target="https://www.gakkou.net/kou/view/index_305374.html" TargetMode="External" Id="rId1182" /><Relationship Type="http://schemas.openxmlformats.org/officeDocument/2006/relationships/hyperlink" Target="https://www.gakkou.net/kou/view/index_305334.html" TargetMode="External" Id="rId1183" /><Relationship Type="http://schemas.openxmlformats.org/officeDocument/2006/relationships/hyperlink" Target="https://www.gakkou.net/kou/view/index_305337.html" TargetMode="External" Id="rId1184" /><Relationship Type="http://schemas.openxmlformats.org/officeDocument/2006/relationships/hyperlink" Target="https://www.gakkou.net/kou/view/index_305389.html" TargetMode="External" Id="rId1185" /><Relationship Type="http://schemas.openxmlformats.org/officeDocument/2006/relationships/hyperlink" Target="https://www.gakkou.net/kou/view/index_305361.html" TargetMode="External" Id="rId1186" /><Relationship Type="http://schemas.openxmlformats.org/officeDocument/2006/relationships/hyperlink" Target="https://www.gakkou.net/kou/view/index_306570.html" TargetMode="External" Id="rId1187" /><Relationship Type="http://schemas.openxmlformats.org/officeDocument/2006/relationships/hyperlink" Target="https://www.gakkou.net/kou/view/index_305346.html" TargetMode="External" Id="rId1188" /><Relationship Type="http://schemas.openxmlformats.org/officeDocument/2006/relationships/hyperlink" Target="https://www.gakkou.net/kou/view/index_305333.html" TargetMode="External" Id="rId1189" /><Relationship Type="http://schemas.openxmlformats.org/officeDocument/2006/relationships/hyperlink" Target="https://www.gakkou.net/kou/view/index_305359.html" TargetMode="External" Id="rId1190" /><Relationship Type="http://schemas.openxmlformats.org/officeDocument/2006/relationships/hyperlink" Target="https://www.gakkou.net/kou/view/index_306581.html" TargetMode="External" Id="rId1191" /><Relationship Type="http://schemas.openxmlformats.org/officeDocument/2006/relationships/hyperlink" Target="https://www.gakkou.net/kou/view/index_306659.html" TargetMode="External" Id="rId119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19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架電リスト（37都道府県／1192校）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  <row r="1173">
      <c r="A1173" s="4" t="n">
        <v>1169</v>
      </c>
      <c r="B1173" s="5" t="inlineStr">
        <is>
          <t>香川県</t>
        </is>
      </c>
      <c r="C1173" s="5" t="inlineStr">
        <is>
          <t>高松市</t>
        </is>
      </c>
      <c r="D1173" s="5" t="inlineStr">
        <is>
          <t>英明高等学校</t>
        </is>
      </c>
      <c r="E1173" s="6" t="inlineStr">
        <is>
          <t>087-833-3737</t>
        </is>
      </c>
      <c r="F1173" s="13" t="inlineStr">
        <is>
          <t>中</t>
        </is>
      </c>
      <c r="G1173" s="5" t="inlineStr">
        <is>
          <t>普通科</t>
        </is>
      </c>
      <c r="H1173" s="8" t="n"/>
      <c r="I1173" s="9" t="n"/>
      <c r="J1173" s="9" t="inlineStr">
        <is>
          <t>未架電</t>
        </is>
      </c>
      <c r="K1173" s="8" t="n"/>
      <c r="L1173" s="9" t="n"/>
      <c r="M1173" s="10" t="inlineStr">
        <is>
          <t>公式未確認。香川県私立中高連合会・複数サイトで一致。通信制課程も同じ番号</t>
        </is>
      </c>
      <c r="N1173" s="11" t="inlineStr">
        <is>
          <t>https://www.kagawa-shigaku.jp/eimei</t>
        </is>
      </c>
      <c r="O1173" s="12" t="inlineStr">
        <is>
          <t>開く</t>
        </is>
      </c>
    </row>
    <row r="1174">
      <c r="A1174" s="4" t="n">
        <v>1170</v>
      </c>
      <c r="B1174" s="5" t="inlineStr">
        <is>
          <t>香川県</t>
        </is>
      </c>
      <c r="C1174" s="5" t="inlineStr">
        <is>
          <t>高松市</t>
        </is>
      </c>
      <c r="D1174" s="5" t="inlineStr">
        <is>
          <t>大手前高松高等学校</t>
        </is>
      </c>
      <c r="E1174" s="6" t="inlineStr">
        <is>
          <t>087-867-5970</t>
        </is>
      </c>
      <c r="F1174" s="7" t="inlineStr">
        <is>
          <t>高</t>
        </is>
      </c>
      <c r="G1174" s="5" t="inlineStr">
        <is>
          <t>普通科</t>
        </is>
      </c>
      <c r="H1174" s="8" t="n"/>
      <c r="I1174" s="9" t="n"/>
      <c r="J1174" s="9" t="inlineStr">
        <is>
          <t>未架電</t>
        </is>
      </c>
      <c r="K1174" s="8" t="n"/>
      <c r="L1174" s="9" t="n"/>
      <c r="M1174" s="10" t="n"/>
      <c r="N1174" s="11" t="inlineStr">
        <is>
          <t>https://www.otemae.net/contact/</t>
        </is>
      </c>
      <c r="O1174" s="12" t="inlineStr">
        <is>
          <t>開く</t>
        </is>
      </c>
    </row>
    <row r="1175">
      <c r="A1175" s="4" t="n">
        <v>1171</v>
      </c>
      <c r="B1175" s="5" t="inlineStr">
        <is>
          <t>香川県</t>
        </is>
      </c>
      <c r="C1175" s="5" t="inlineStr">
        <is>
          <t>丸亀市</t>
        </is>
      </c>
      <c r="D1175" s="5" t="inlineStr">
        <is>
          <t>大手前丸亀高等学校</t>
        </is>
      </c>
      <c r="E1175" s="6" t="inlineStr">
        <is>
          <t>0877-23-3161</t>
        </is>
      </c>
      <c r="F1175" s="7" t="inlineStr">
        <is>
          <t>高</t>
        </is>
      </c>
      <c r="G1175" s="5" t="inlineStr">
        <is>
          <t>普通科</t>
        </is>
      </c>
      <c r="H1175" s="8" t="n"/>
      <c r="I1175" s="9" t="n"/>
      <c r="J1175" s="9" t="inlineStr">
        <is>
          <t>未架電</t>
        </is>
      </c>
      <c r="K1175" s="8" t="n"/>
      <c r="L1175" s="9" t="n"/>
      <c r="M1175" s="10" t="n"/>
      <c r="N1175" s="11" t="inlineStr">
        <is>
          <t>https://www.otemae.ed.jp/contact_form/otoiawase.html</t>
        </is>
      </c>
      <c r="O1175" s="12" t="inlineStr">
        <is>
          <t>開く</t>
        </is>
      </c>
    </row>
    <row r="1176">
      <c r="A1176" s="4" t="n">
        <v>1172</v>
      </c>
      <c r="B1176" s="5" t="inlineStr">
        <is>
          <t>香川県</t>
        </is>
      </c>
      <c r="C1176" s="5" t="inlineStr">
        <is>
          <t>丸亀市</t>
        </is>
      </c>
      <c r="D1176" s="5" t="inlineStr">
        <is>
          <t>香川県藤井高等学校</t>
        </is>
      </c>
      <c r="E1176" s="6" t="inlineStr">
        <is>
          <t>0877-22-2328</t>
        </is>
      </c>
      <c r="F1176" s="7" t="inlineStr">
        <is>
          <t>高</t>
        </is>
      </c>
      <c r="G1176" s="5" t="inlineStr">
        <is>
          <t>普通科・専門学科</t>
        </is>
      </c>
      <c r="H1176" s="8" t="n"/>
      <c r="I1176" s="9" t="n"/>
      <c r="J1176" s="9" t="inlineStr">
        <is>
          <t>未架電</t>
        </is>
      </c>
      <c r="K1176" s="8" t="n"/>
      <c r="L1176" s="9" t="n"/>
      <c r="M1176" s="10" t="inlineStr">
        <is>
          <t>2026年度から「蓬莱高等学校」に校名変更（法人も蓬莱学園に改称）</t>
        </is>
      </c>
      <c r="N1176" s="11" t="inlineStr">
        <is>
          <t>https://www.fujii.ed.jp/fujii/</t>
        </is>
      </c>
      <c r="O1176" s="12" t="inlineStr">
        <is>
          <t>開く</t>
        </is>
      </c>
    </row>
    <row r="1177">
      <c r="A1177" s="4" t="n">
        <v>1173</v>
      </c>
      <c r="B1177" s="5" t="inlineStr">
        <is>
          <t>香川県</t>
        </is>
      </c>
      <c r="C1177" s="5" t="inlineStr">
        <is>
          <t>高松市</t>
        </is>
      </c>
      <c r="D1177" s="5" t="inlineStr">
        <is>
          <t>香川誠陵高等学校</t>
        </is>
      </c>
      <c r="E1177" s="6" t="inlineStr">
        <is>
          <t>087-881-7800</t>
        </is>
      </c>
      <c r="F1177" s="7" t="inlineStr">
        <is>
          <t>高</t>
        </is>
      </c>
      <c r="G1177" s="5" t="inlineStr">
        <is>
          <t>普通科</t>
        </is>
      </c>
      <c r="H1177" s="8" t="n"/>
      <c r="I1177" s="9" t="n"/>
      <c r="J1177" s="9" t="inlineStr">
        <is>
          <t>未架電</t>
        </is>
      </c>
      <c r="K1177" s="8" t="n"/>
      <c r="L1177" s="9" t="n"/>
      <c r="M1177" s="10" t="inlineStr">
        <is>
          <t>中高共通番号</t>
        </is>
      </c>
      <c r="N1177" s="11" t="inlineStr">
        <is>
          <t>https://k-seiryo.ed.jp/</t>
        </is>
      </c>
      <c r="O1177" s="12" t="inlineStr">
        <is>
          <t>開く</t>
        </is>
      </c>
    </row>
    <row r="1178">
      <c r="A1178" s="4" t="n">
        <v>1174</v>
      </c>
      <c r="B1178" s="5" t="inlineStr">
        <is>
          <t>香川県</t>
        </is>
      </c>
      <c r="C1178" s="5" t="inlineStr">
        <is>
          <t>坂出市</t>
        </is>
      </c>
      <c r="D1178" s="5" t="inlineStr">
        <is>
          <t>坂出第一高等学校</t>
        </is>
      </c>
      <c r="E1178" s="6" t="inlineStr">
        <is>
          <t>0877-46-2157</t>
        </is>
      </c>
      <c r="F1178" s="7" t="inlineStr">
        <is>
          <t>高</t>
        </is>
      </c>
      <c r="G1178" s="5" t="inlineStr">
        <is>
          <t>普通科・専門学科</t>
        </is>
      </c>
      <c r="H1178" s="8" t="n"/>
      <c r="I1178" s="9" t="n"/>
      <c r="J1178" s="9" t="inlineStr">
        <is>
          <t>未架電</t>
        </is>
      </c>
      <c r="K1178" s="8" t="n"/>
      <c r="L1178" s="9" t="n"/>
      <c r="M1178" s="10" t="n"/>
      <c r="N1178" s="11" t="inlineStr">
        <is>
          <t>https://www.sakaide1-h.ed.jp/</t>
        </is>
      </c>
      <c r="O1178" s="12" t="inlineStr">
        <is>
          <t>開く</t>
        </is>
      </c>
    </row>
    <row r="1179">
      <c r="A1179" s="4" t="n">
        <v>1175</v>
      </c>
      <c r="B1179" s="5" t="inlineStr">
        <is>
          <t>香川県</t>
        </is>
      </c>
      <c r="C1179" s="5" t="inlineStr">
        <is>
          <t>三豊市</t>
        </is>
      </c>
      <c r="D1179" s="5" t="inlineStr">
        <is>
          <t>四国学院大学香川西高等学校</t>
        </is>
      </c>
      <c r="E1179" s="6" t="inlineStr">
        <is>
          <t>0875-72-5193</t>
        </is>
      </c>
      <c r="F1179" s="7" t="inlineStr">
        <is>
          <t>高</t>
        </is>
      </c>
      <c r="G1179" s="5" t="inlineStr">
        <is>
          <t>普通科・専門学科</t>
        </is>
      </c>
      <c r="H1179" s="8" t="n"/>
      <c r="I1179" s="9" t="n"/>
      <c r="J1179" s="9" t="inlineStr">
        <is>
          <t>未架電</t>
        </is>
      </c>
      <c r="K1179" s="8" t="n"/>
      <c r="L1179" s="9" t="n"/>
      <c r="M1179" s="10" t="inlineStr">
        <is>
          <t>三豊市HPとも一致</t>
        </is>
      </c>
      <c r="N1179" s="11" t="inlineStr">
        <is>
          <t>https://www.kagawanishikou.com/contact</t>
        </is>
      </c>
      <c r="O1179" s="12" t="inlineStr">
        <is>
          <t>開く</t>
        </is>
      </c>
    </row>
    <row r="1180">
      <c r="A1180" s="4" t="n">
        <v>1176</v>
      </c>
      <c r="B1180" s="5" t="inlineStr">
        <is>
          <t>香川県</t>
        </is>
      </c>
      <c r="C1180" s="5" t="inlineStr">
        <is>
          <t>善通寺市</t>
        </is>
      </c>
      <c r="D1180" s="5" t="inlineStr">
        <is>
          <t>尽誠学園高等学校</t>
        </is>
      </c>
      <c r="E1180" s="6" t="inlineStr">
        <is>
          <t>0877-62-1515</t>
        </is>
      </c>
      <c r="F1180" s="7" t="inlineStr">
        <is>
          <t>高</t>
        </is>
      </c>
      <c r="G1180" s="5" t="inlineStr">
        <is>
          <t>普通科・専門学科</t>
        </is>
      </c>
      <c r="H1180" s="8" t="n"/>
      <c r="I1180" s="9" t="n"/>
      <c r="J1180" s="9" t="inlineStr">
        <is>
          <t>未架電</t>
        </is>
      </c>
      <c r="K1180" s="8" t="n"/>
      <c r="L1180" s="9" t="n"/>
      <c r="M1180" s="10" t="inlineStr">
        <is>
          <t>県私立中高連合会とも一致。法人本部は0877-63-1717</t>
        </is>
      </c>
      <c r="N1180" s="11" t="inlineStr">
        <is>
          <t>https://sites.google.com/jinsei.ac.jp/jinseiopenschool2020</t>
        </is>
      </c>
      <c r="O1180" s="12" t="inlineStr">
        <is>
          <t>開く</t>
        </is>
      </c>
    </row>
    <row r="1181">
      <c r="A1181" s="4" t="n">
        <v>1177</v>
      </c>
      <c r="B1181" s="5" t="inlineStr">
        <is>
          <t>香川県</t>
        </is>
      </c>
      <c r="C1181" s="5" t="inlineStr">
        <is>
          <t>高松市</t>
        </is>
      </c>
      <c r="D1181" s="5" t="inlineStr">
        <is>
          <t>高松中央高等学校</t>
        </is>
      </c>
      <c r="E1181" s="6" t="inlineStr">
        <is>
          <t>087-831-1291</t>
        </is>
      </c>
      <c r="F1181" s="7" t="inlineStr">
        <is>
          <t>高</t>
        </is>
      </c>
      <c r="G1181" s="5" t="inlineStr">
        <is>
          <t>普通科・専門学科</t>
        </is>
      </c>
      <c r="H1181" s="8" t="n"/>
      <c r="I1181" s="9" t="n"/>
      <c r="J1181" s="9" t="inlineStr">
        <is>
          <t>未架電</t>
        </is>
      </c>
      <c r="K1181" s="8" t="n"/>
      <c r="L1181" s="9" t="n"/>
      <c r="M1181" s="10" t="inlineStr">
        <is>
          <t>全日制の番号。通信制課程は087-812-5285</t>
        </is>
      </c>
      <c r="N1181" s="11" t="inlineStr">
        <is>
          <t>https://www.ta-chuo.ed.jp/contact/</t>
        </is>
      </c>
      <c r="O1181" s="12" t="inlineStr">
        <is>
          <t>開く</t>
        </is>
      </c>
    </row>
    <row r="1182">
      <c r="A1182" s="4" t="n">
        <v>1178</v>
      </c>
      <c r="B1182" s="5" t="inlineStr">
        <is>
          <t>香川県</t>
        </is>
      </c>
      <c r="C1182" s="5" t="inlineStr">
        <is>
          <t>さぬき市</t>
        </is>
      </c>
      <c r="D1182" s="5" t="inlineStr">
        <is>
          <t>藤井学園寒川高等学校</t>
        </is>
      </c>
      <c r="E1182" s="6" t="inlineStr">
        <is>
          <t>0879-43-2571</t>
        </is>
      </c>
      <c r="F1182" s="7" t="inlineStr">
        <is>
          <t>高</t>
        </is>
      </c>
      <c r="G1182" s="5" t="inlineStr">
        <is>
          <t>普通科・専門学科</t>
        </is>
      </c>
      <c r="H1182" s="8" t="n"/>
      <c r="I1182" s="9" t="n"/>
      <c r="J1182" s="9" t="inlineStr">
        <is>
          <t>未架電</t>
        </is>
      </c>
      <c r="K1182" s="8" t="n"/>
      <c r="L1182" s="9" t="n"/>
      <c r="M1182" s="10" t="inlineStr">
        <is>
          <t>法人名は2026年に蓬莱学園へ改称</t>
        </is>
      </c>
      <c r="N1182" s="11" t="inlineStr">
        <is>
          <t>https://www.sangawa.ed.jp/wp/contact/</t>
        </is>
      </c>
      <c r="O1182" s="12" t="inlineStr">
        <is>
          <t>開く</t>
        </is>
      </c>
    </row>
    <row r="1183">
      <c r="A1183" s="4" t="n">
        <v>1179</v>
      </c>
      <c r="B1183" s="5" t="inlineStr">
        <is>
          <t>愛媛県</t>
        </is>
      </c>
      <c r="C1183" s="5" t="inlineStr">
        <is>
          <t>松山市</t>
        </is>
      </c>
      <c r="D1183" s="5" t="inlineStr">
        <is>
          <t>愛光高等学校</t>
        </is>
      </c>
      <c r="E1183" s="6" t="inlineStr">
        <is>
          <t>089-922-8980</t>
        </is>
      </c>
      <c r="F1183" s="7" t="inlineStr">
        <is>
          <t>高</t>
        </is>
      </c>
      <c r="G1183" s="5" t="inlineStr">
        <is>
          <t>普通科</t>
        </is>
      </c>
      <c r="H1183" s="8" t="n"/>
      <c r="I1183" s="9" t="n"/>
      <c r="J1183" s="9" t="inlineStr">
        <is>
          <t>未架電</t>
        </is>
      </c>
      <c r="K1183" s="8" t="n"/>
      <c r="L1183" s="9" t="n"/>
      <c r="M1183" s="10" t="inlineStr">
        <is>
          <t>中高共通番号</t>
        </is>
      </c>
      <c r="N1183" s="11" t="inlineStr">
        <is>
          <t>https://www.aiko.ed.jp/outline/shisetu.html</t>
        </is>
      </c>
      <c r="O1183" s="12" t="inlineStr">
        <is>
          <t>開く</t>
        </is>
      </c>
    </row>
    <row r="1184">
      <c r="A1184" s="4" t="n">
        <v>1180</v>
      </c>
      <c r="B1184" s="5" t="inlineStr">
        <is>
          <t>愛媛県</t>
        </is>
      </c>
      <c r="C1184" s="5" t="inlineStr">
        <is>
          <t>今治市</t>
        </is>
      </c>
      <c r="D1184" s="5" t="inlineStr">
        <is>
          <t>今治精華高等学校</t>
        </is>
      </c>
      <c r="E1184" s="6" t="inlineStr">
        <is>
          <t>0898-32-7100</t>
        </is>
      </c>
      <c r="F1184" s="7" t="inlineStr">
        <is>
          <t>高</t>
        </is>
      </c>
      <c r="G1184" s="5" t="inlineStr">
        <is>
          <t>普通科・専門学科</t>
        </is>
      </c>
      <c r="H1184" s="8" t="n"/>
      <c r="I1184" s="9" t="n"/>
      <c r="J1184" s="9" t="inlineStr">
        <is>
          <t>未架電</t>
        </is>
      </c>
      <c r="K1184" s="8" t="n"/>
      <c r="L1184" s="9" t="n"/>
      <c r="M1184" s="10" t="inlineStr">
        <is>
          <t>一部サイトに0898-32-7260の記載あり（旧情報の可能性）</t>
        </is>
      </c>
      <c r="N1184" s="11" t="inlineStr">
        <is>
          <t>https://highschool.imabariseika.ac.jp/summary/about/</t>
        </is>
      </c>
      <c r="O1184" s="12" t="inlineStr">
        <is>
          <t>開く</t>
        </is>
      </c>
    </row>
    <row r="1185">
      <c r="A1185" s="4" t="n">
        <v>1181</v>
      </c>
      <c r="B1185" s="5" t="inlineStr">
        <is>
          <t>愛媛県</t>
        </is>
      </c>
      <c r="C1185" s="5" t="inlineStr">
        <is>
          <t>今治市</t>
        </is>
      </c>
      <c r="D1185" s="5" t="inlineStr">
        <is>
          <t>FC今治高等学校 里山校</t>
        </is>
      </c>
      <c r="E1185" s="6" t="inlineStr">
        <is>
          <t>0898-22-1230</t>
        </is>
      </c>
      <c r="F1185" s="13" t="inlineStr">
        <is>
          <t>中</t>
        </is>
      </c>
      <c r="G1185" s="5" t="inlineStr"/>
      <c r="H1185" s="8" t="n"/>
      <c r="I1185" s="9" t="n"/>
      <c r="J1185" s="9" t="inlineStr">
        <is>
          <t>未架電</t>
        </is>
      </c>
      <c r="K1185" s="8" t="n"/>
      <c r="L1185" s="9" t="n"/>
      <c r="M1185" s="10" t="inlineStr">
        <is>
          <t>公式未確認。複数サイト・公式Facebookで一致。2024年に今治明徳高校矢田分校から改称</t>
        </is>
      </c>
      <c r="N1185" s="11" t="inlineStr">
        <is>
          <t>https://www.gakkou.net/kou/view/index_306788.html</t>
        </is>
      </c>
      <c r="O1185" s="12" t="inlineStr">
        <is>
          <t>開く</t>
        </is>
      </c>
    </row>
    <row r="1186">
      <c r="A1186" s="4" t="n">
        <v>1182</v>
      </c>
      <c r="B1186" s="5" t="inlineStr">
        <is>
          <t>愛媛県</t>
        </is>
      </c>
      <c r="C1186" s="5" t="inlineStr">
        <is>
          <t>今治市</t>
        </is>
      </c>
      <c r="D1186" s="5" t="inlineStr">
        <is>
          <t>FC今治高等学校 明徳校</t>
        </is>
      </c>
      <c r="E1186" s="6" t="inlineStr">
        <is>
          <t>0898-22-6767</t>
        </is>
      </c>
      <c r="F1186" s="7" t="inlineStr">
        <is>
          <t>高</t>
        </is>
      </c>
      <c r="G1186" s="5" t="inlineStr">
        <is>
          <t>普通科</t>
        </is>
      </c>
      <c r="H1186" s="8" t="n"/>
      <c r="I1186" s="9" t="n"/>
      <c r="J1186" s="9" t="inlineStr">
        <is>
          <t>未架電</t>
        </is>
      </c>
      <c r="K1186" s="8" t="n"/>
      <c r="L1186" s="9" t="n"/>
      <c r="M1186" s="10" t="inlineStr">
        <is>
          <t>旧・今治明徳高校本校（2024年改称）</t>
        </is>
      </c>
      <c r="N1186" s="11" t="inlineStr">
        <is>
          <t>https://www.meitokuhonko.com/</t>
        </is>
      </c>
      <c r="O1186" s="12" t="inlineStr">
        <is>
          <t>開く</t>
        </is>
      </c>
    </row>
    <row r="1187">
      <c r="A1187" s="4" t="n">
        <v>1183</v>
      </c>
      <c r="B1187" s="5" t="inlineStr">
        <is>
          <t>愛媛県</t>
        </is>
      </c>
      <c r="C1187" s="5" t="inlineStr">
        <is>
          <t>松山市</t>
        </is>
      </c>
      <c r="D1187" s="5" t="inlineStr">
        <is>
          <t>済美高等学校（愛媛県）</t>
        </is>
      </c>
      <c r="E1187" s="6" t="inlineStr">
        <is>
          <t>089-943-4185</t>
        </is>
      </c>
      <c r="F1187" s="7" t="inlineStr">
        <is>
          <t>高</t>
        </is>
      </c>
      <c r="G1187" s="5" t="inlineStr">
        <is>
          <t>普通科・専門学科</t>
        </is>
      </c>
      <c r="H1187" s="8" t="n"/>
      <c r="I1187" s="9" t="n"/>
      <c r="J1187" s="9" t="inlineStr">
        <is>
          <t>未架電</t>
        </is>
      </c>
      <c r="K1187" s="8" t="n"/>
      <c r="L1187" s="9" t="n"/>
      <c r="M1187" s="10" t="inlineStr">
        <is>
          <t>電話受付は平日7:30-16:55、土曜7:30-13:00</t>
        </is>
      </c>
      <c r="N1187" s="11" t="inlineStr">
        <is>
          <t>https://www.saibi.ac.jp/</t>
        </is>
      </c>
      <c r="O1187" s="12" t="inlineStr">
        <is>
          <t>開く</t>
        </is>
      </c>
    </row>
    <row r="1188">
      <c r="A1188" s="4" t="n">
        <v>1184</v>
      </c>
      <c r="B1188" s="5" t="inlineStr">
        <is>
          <t>愛媛県</t>
        </is>
      </c>
      <c r="C1188" s="5" t="inlineStr">
        <is>
          <t>松山市</t>
        </is>
      </c>
      <c r="D1188" s="5" t="inlineStr">
        <is>
          <t>聖カタリナ学園高等学校</t>
        </is>
      </c>
      <c r="E1188" s="6" t="inlineStr">
        <is>
          <t>089-933-3291</t>
        </is>
      </c>
      <c r="F1188" s="7" t="inlineStr">
        <is>
          <t>高</t>
        </is>
      </c>
      <c r="G1188" s="5" t="inlineStr">
        <is>
          <t>普通科・専門学科・総合学科</t>
        </is>
      </c>
      <c r="H1188" s="8" t="n"/>
      <c r="I1188" s="9" t="n"/>
      <c r="J1188" s="9" t="inlineStr">
        <is>
          <t>未架電</t>
        </is>
      </c>
      <c r="K1188" s="8" t="n"/>
      <c r="L1188" s="9" t="n"/>
      <c r="M1188" s="10" t="n"/>
      <c r="N1188" s="11" t="inlineStr">
        <is>
          <t>https://catalina.ed.jp/about/outline/</t>
        </is>
      </c>
      <c r="O1188" s="12" t="inlineStr">
        <is>
          <t>開く</t>
        </is>
      </c>
    </row>
    <row r="1189">
      <c r="A1189" s="4" t="n">
        <v>1185</v>
      </c>
      <c r="B1189" s="5" t="inlineStr">
        <is>
          <t>愛媛県</t>
        </is>
      </c>
      <c r="C1189" s="5" t="inlineStr">
        <is>
          <t>大洲市</t>
        </is>
      </c>
      <c r="D1189" s="5" t="inlineStr">
        <is>
          <t>帝京第五高等学校</t>
        </is>
      </c>
      <c r="E1189" s="6" t="inlineStr">
        <is>
          <t>0893-25-0511</t>
        </is>
      </c>
      <c r="F1189" s="7" t="inlineStr">
        <is>
          <t>高</t>
        </is>
      </c>
      <c r="G1189" s="5" t="inlineStr">
        <is>
          <t>普通科・専門学科・総合学科</t>
        </is>
      </c>
      <c r="H1189" s="8" t="n"/>
      <c r="I1189" s="9" t="n"/>
      <c r="J1189" s="9" t="inlineStr">
        <is>
          <t>未架電</t>
        </is>
      </c>
      <c r="K1189" s="8" t="n"/>
      <c r="L1189" s="9" t="n"/>
      <c r="M1189" s="10" t="inlineStr">
        <is>
          <t>代表番号。職員室0893-25-0566、通信制0893-57-6850</t>
        </is>
      </c>
      <c r="N1189" s="11" t="inlineStr">
        <is>
          <t>https://teikyo5-h.ed.jp/</t>
        </is>
      </c>
      <c r="O1189" s="12" t="inlineStr">
        <is>
          <t>開く</t>
        </is>
      </c>
    </row>
    <row r="1190">
      <c r="A1190" s="4" t="n">
        <v>1186</v>
      </c>
      <c r="B1190" s="5" t="inlineStr">
        <is>
          <t>愛媛県</t>
        </is>
      </c>
      <c r="C1190" s="5" t="inlineStr">
        <is>
          <t>松山市</t>
        </is>
      </c>
      <c r="D1190" s="5" t="inlineStr">
        <is>
          <t>新田高等学校</t>
        </is>
      </c>
      <c r="E1190" s="6" t="inlineStr">
        <is>
          <t>089-951-0188</t>
        </is>
      </c>
      <c r="F1190" s="7" t="inlineStr">
        <is>
          <t>高</t>
        </is>
      </c>
      <c r="G1190" s="5" t="inlineStr">
        <is>
          <t>普通科・専門学科</t>
        </is>
      </c>
      <c r="H1190" s="8" t="n"/>
      <c r="I1190" s="9" t="n"/>
      <c r="J1190" s="9" t="inlineStr">
        <is>
          <t>未架電</t>
        </is>
      </c>
      <c r="K1190" s="8" t="n"/>
      <c r="L1190" s="9" t="n"/>
      <c r="M1190" s="10" t="n"/>
      <c r="N1190" s="11" t="inlineStr">
        <is>
          <t>https://www.nitta.ac.jp/information/about/</t>
        </is>
      </c>
      <c r="O1190" s="12" t="inlineStr">
        <is>
          <t>開く</t>
        </is>
      </c>
    </row>
    <row r="1191">
      <c r="A1191" s="4" t="n">
        <v>1187</v>
      </c>
      <c r="B1191" s="5" t="inlineStr">
        <is>
          <t>愛媛県</t>
        </is>
      </c>
      <c r="C1191" s="5" t="inlineStr">
        <is>
          <t>今治市</t>
        </is>
      </c>
      <c r="D1191" s="5" t="inlineStr">
        <is>
          <t>日本ウェルネス高等学校</t>
        </is>
      </c>
      <c r="E1191" s="6" t="inlineStr">
        <is>
          <t>0897-74-1356</t>
        </is>
      </c>
      <c r="F1191" s="7" t="inlineStr">
        <is>
          <t>高</t>
        </is>
      </c>
      <c r="G1191" s="5" t="inlineStr">
        <is>
          <t>普通科</t>
        </is>
      </c>
      <c r="H1191" s="8" t="n"/>
      <c r="I1191" s="9" t="n"/>
      <c r="J1191" s="9" t="inlineStr">
        <is>
          <t>未架電</t>
        </is>
      </c>
      <c r="K1191" s="8" t="n"/>
      <c r="L1191" s="9" t="n"/>
      <c r="M1191" s="10" t="inlineStr">
        <is>
          <t>通信制・今治本校（大三島町）。総合案内は東京03-3938-7500</t>
        </is>
      </c>
      <c r="N1191" s="11" t="inlineStr">
        <is>
          <t>https://www.taiken.ac.jp/gakuin/school/index.html</t>
        </is>
      </c>
      <c r="O1191" s="12" t="inlineStr">
        <is>
          <t>開く</t>
        </is>
      </c>
    </row>
    <row r="1192">
      <c r="A1192" s="4" t="n">
        <v>1188</v>
      </c>
      <c r="B1192" s="5" t="inlineStr">
        <is>
          <t>愛媛県</t>
        </is>
      </c>
      <c r="C1192" s="5" t="inlineStr">
        <is>
          <t>松山市</t>
        </is>
      </c>
      <c r="D1192" s="5" t="inlineStr">
        <is>
          <t>松山学院高等学校</t>
        </is>
      </c>
      <c r="E1192" s="6" t="inlineStr">
        <is>
          <t>089-976-4343</t>
        </is>
      </c>
      <c r="F1192" s="7" t="inlineStr">
        <is>
          <t>高</t>
        </is>
      </c>
      <c r="G1192" s="5" t="inlineStr">
        <is>
          <t>普通科・専門学科</t>
        </is>
      </c>
      <c r="H1192" s="8" t="n"/>
      <c r="I1192" s="9" t="n"/>
      <c r="J1192" s="9" t="inlineStr">
        <is>
          <t>未架電</t>
        </is>
      </c>
      <c r="K1192" s="8" t="n"/>
      <c r="L1192" s="9" t="n"/>
      <c r="M1192" s="10" t="n"/>
      <c r="N1192" s="11" t="inlineStr">
        <is>
          <t>https://mg-h.ed.jp/form/contact/</t>
        </is>
      </c>
      <c r="O1192" s="12" t="inlineStr">
        <is>
          <t>開く</t>
        </is>
      </c>
    </row>
    <row r="1193">
      <c r="A1193" s="4" t="n">
        <v>1189</v>
      </c>
      <c r="B1193" s="5" t="inlineStr">
        <is>
          <t>愛媛県</t>
        </is>
      </c>
      <c r="C1193" s="5" t="inlineStr">
        <is>
          <t>松山市</t>
        </is>
      </c>
      <c r="D1193" s="5" t="inlineStr">
        <is>
          <t>松山東雲高等学校</t>
        </is>
      </c>
      <c r="E1193" s="6" t="inlineStr">
        <is>
          <t>089-941-4136</t>
        </is>
      </c>
      <c r="F1193" s="7" t="inlineStr">
        <is>
          <t>高</t>
        </is>
      </c>
      <c r="G1193" s="5" t="inlineStr">
        <is>
          <t>普通科</t>
        </is>
      </c>
      <c r="H1193" s="8" t="n"/>
      <c r="I1193" s="9" t="n"/>
      <c r="J1193" s="9" t="inlineStr">
        <is>
          <t>未架電</t>
        </is>
      </c>
      <c r="K1193" s="8" t="n"/>
      <c r="L1193" s="9" t="n"/>
      <c r="M1193" s="10" t="inlineStr">
        <is>
          <t>中高の番号。学園代表は089-931-6211</t>
        </is>
      </c>
      <c r="N1193" s="11" t="inlineStr">
        <is>
          <t>https://www.shinonome.ac.jp/overview/contact/</t>
        </is>
      </c>
      <c r="O1193" s="12" t="inlineStr">
        <is>
          <t>開く</t>
        </is>
      </c>
    </row>
    <row r="1194">
      <c r="A1194" s="4" t="n">
        <v>1190</v>
      </c>
      <c r="B1194" s="5" t="inlineStr">
        <is>
          <t>愛媛県</t>
        </is>
      </c>
      <c r="C1194" s="5" t="inlineStr">
        <is>
          <t>松山市</t>
        </is>
      </c>
      <c r="D1194" s="5" t="inlineStr">
        <is>
          <t>松山聖陵高等学校</t>
        </is>
      </c>
      <c r="E1194" s="6" t="inlineStr">
        <is>
          <t>089-924-8783</t>
        </is>
      </c>
      <c r="F1194" s="7" t="inlineStr">
        <is>
          <t>高</t>
        </is>
      </c>
      <c r="G1194" s="5" t="inlineStr">
        <is>
          <t>普通科・専門学科</t>
        </is>
      </c>
      <c r="H1194" s="8" t="n"/>
      <c r="I1194" s="9" t="n"/>
      <c r="J1194" s="9" t="inlineStr">
        <is>
          <t>未架電</t>
        </is>
      </c>
      <c r="K1194" s="8" t="n"/>
      <c r="L1194" s="9" t="n"/>
      <c r="M1194" s="10" t="inlineStr">
        <is>
          <t>事務室の電話対応は8:00-16:30</t>
        </is>
      </c>
      <c r="N1194" s="11" t="inlineStr">
        <is>
          <t>https://matsuyamaseiryo-h.ed.jp/guidance/about/</t>
        </is>
      </c>
      <c r="O1194" s="12" t="inlineStr">
        <is>
          <t>開く</t>
        </is>
      </c>
    </row>
    <row r="1195">
      <c r="A1195" s="4" t="n">
        <v>1191</v>
      </c>
      <c r="B1195" s="5" t="inlineStr">
        <is>
          <t>愛媛県</t>
        </is>
      </c>
      <c r="C1195" s="5" t="inlineStr">
        <is>
          <t>松山市</t>
        </is>
      </c>
      <c r="D1195" s="5" t="inlineStr">
        <is>
          <t>未来高等学校</t>
        </is>
      </c>
      <c r="E1195" s="6" t="inlineStr">
        <is>
          <t>089-947-4447</t>
        </is>
      </c>
      <c r="F1195" s="7" t="inlineStr">
        <is>
          <t>高</t>
        </is>
      </c>
      <c r="G1195" s="5" t="inlineStr">
        <is>
          <t>普通科</t>
        </is>
      </c>
      <c r="H1195" s="8" t="n"/>
      <c r="I1195" s="9" t="n"/>
      <c r="J1195" s="9" t="inlineStr">
        <is>
          <t>未架電</t>
        </is>
      </c>
      <c r="K1195" s="8" t="n"/>
      <c r="L1195" s="9" t="n"/>
      <c r="M1195" s="10" t="inlineStr">
        <is>
          <t>通信制・松山本校。フリーダイヤル0120-89-4447</t>
        </is>
      </c>
      <c r="N1195" s="11" t="inlineStr">
        <is>
          <t>https://mirai-hs.kawahara.ac.jp/</t>
        </is>
      </c>
      <c r="O1195" s="12" t="inlineStr">
        <is>
          <t>開く</t>
        </is>
      </c>
    </row>
    <row r="1196">
      <c r="A1196" s="4" t="n">
        <v>1192</v>
      </c>
      <c r="B1196" s="5" t="inlineStr">
        <is>
          <t>愛媛県</t>
        </is>
      </c>
      <c r="C1196" s="5" t="inlineStr">
        <is>
          <t>新居浜市</t>
        </is>
      </c>
      <c r="D1196" s="5" t="inlineStr">
        <is>
          <t>未来高等学校 新居浜分校</t>
        </is>
      </c>
      <c r="E1196" s="6" t="inlineStr">
        <is>
          <t>0897-34-9555</t>
        </is>
      </c>
      <c r="F1196" s="7" t="inlineStr">
        <is>
          <t>高</t>
        </is>
      </c>
      <c r="G1196" s="5" t="inlineStr">
        <is>
          <t>普通科</t>
        </is>
      </c>
      <c r="H1196" s="8" t="n"/>
      <c r="I1196" s="9" t="n"/>
      <c r="J1196" s="9" t="inlineStr">
        <is>
          <t>未架電</t>
        </is>
      </c>
      <c r="K1196" s="8" t="n"/>
      <c r="L1196" s="9" t="n"/>
      <c r="M1196" s="10" t="inlineStr">
        <is>
          <t>通信制・新居浜校</t>
        </is>
      </c>
      <c r="N1196" s="11" t="inlineStr">
        <is>
          <t>https://mirai-hs.kawahara.ac.jp/center/</t>
        </is>
      </c>
      <c r="O1196" s="12" t="inlineStr">
        <is>
          <t>開く</t>
        </is>
      </c>
    </row>
  </sheetData>
  <autoFilter ref="A4:O1196"/>
  <conditionalFormatting sqref="A5:O1196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196" showDropDown="0" showInputMessage="0" showErrorMessage="0" allowBlank="1" type="list">
      <formula1>"未架電,不在・折返し待ち,担当者不在,資料送付,アポ獲得,検討中,NG,番号不明"</formula1>
    </dataValidation>
    <dataValidation sqref="H5:H1196 K5:K1196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  <hyperlink xmlns:r="http://schemas.openxmlformats.org/officeDocument/2006/relationships" ref="O1173" r:id="rId1169"/>
    <hyperlink xmlns:r="http://schemas.openxmlformats.org/officeDocument/2006/relationships" ref="O1174" r:id="rId1170"/>
    <hyperlink xmlns:r="http://schemas.openxmlformats.org/officeDocument/2006/relationships" ref="O1175" r:id="rId1171"/>
    <hyperlink xmlns:r="http://schemas.openxmlformats.org/officeDocument/2006/relationships" ref="O1176" r:id="rId1172"/>
    <hyperlink xmlns:r="http://schemas.openxmlformats.org/officeDocument/2006/relationships" ref="O1177" r:id="rId1173"/>
    <hyperlink xmlns:r="http://schemas.openxmlformats.org/officeDocument/2006/relationships" ref="O1178" r:id="rId1174"/>
    <hyperlink xmlns:r="http://schemas.openxmlformats.org/officeDocument/2006/relationships" ref="O1179" r:id="rId1175"/>
    <hyperlink xmlns:r="http://schemas.openxmlformats.org/officeDocument/2006/relationships" ref="O1180" r:id="rId1176"/>
    <hyperlink xmlns:r="http://schemas.openxmlformats.org/officeDocument/2006/relationships" ref="O1181" r:id="rId1177"/>
    <hyperlink xmlns:r="http://schemas.openxmlformats.org/officeDocument/2006/relationships" ref="O1182" r:id="rId1178"/>
    <hyperlink xmlns:r="http://schemas.openxmlformats.org/officeDocument/2006/relationships" ref="O1183" r:id="rId1179"/>
    <hyperlink xmlns:r="http://schemas.openxmlformats.org/officeDocument/2006/relationships" ref="O1184" r:id="rId1180"/>
    <hyperlink xmlns:r="http://schemas.openxmlformats.org/officeDocument/2006/relationships" ref="O1185" r:id="rId1181"/>
    <hyperlink xmlns:r="http://schemas.openxmlformats.org/officeDocument/2006/relationships" ref="O1186" r:id="rId1182"/>
    <hyperlink xmlns:r="http://schemas.openxmlformats.org/officeDocument/2006/relationships" ref="O1187" r:id="rId1183"/>
    <hyperlink xmlns:r="http://schemas.openxmlformats.org/officeDocument/2006/relationships" ref="O1188" r:id="rId1184"/>
    <hyperlink xmlns:r="http://schemas.openxmlformats.org/officeDocument/2006/relationships" ref="O1189" r:id="rId1185"/>
    <hyperlink xmlns:r="http://schemas.openxmlformats.org/officeDocument/2006/relationships" ref="O1190" r:id="rId1186"/>
    <hyperlink xmlns:r="http://schemas.openxmlformats.org/officeDocument/2006/relationships" ref="O1191" r:id="rId1187"/>
    <hyperlink xmlns:r="http://schemas.openxmlformats.org/officeDocument/2006/relationships" ref="O1192" r:id="rId1188"/>
    <hyperlink xmlns:r="http://schemas.openxmlformats.org/officeDocument/2006/relationships" ref="O1193" r:id="rId1189"/>
    <hyperlink xmlns:r="http://schemas.openxmlformats.org/officeDocument/2006/relationships" ref="O1194" r:id="rId1190"/>
    <hyperlink xmlns:r="http://schemas.openxmlformats.org/officeDocument/2006/relationships" ref="O1195" r:id="rId1191"/>
    <hyperlink xmlns:r="http://schemas.openxmlformats.org/officeDocument/2006/relationships" ref="O1196" r:id="rId1192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COUNTIF('架電リスト'!$B$5:$B$1196,A4)</f>
        <v/>
      </c>
      <c r="C4" s="16">
        <f>COUNTIFS('架電リスト'!$B$5:$B$1196,A4,'架電リスト'!$E$5:$E$1196,"&lt;&gt;")</f>
        <v/>
      </c>
      <c r="D4" s="16">
        <f>B4-COUNTIFS('架電リスト'!$B$5:$B$1196,A4,'架電リスト'!$J$5:$J$1196,"未架電")-COUNTIFS('架電リスト'!$B$5:$B$1196,A4,'架電リスト'!$J$5:$J$1196,"")</f>
        <v/>
      </c>
      <c r="E4" s="16">
        <f>COUNTIFS('架電リスト'!$B$5:$B$1196,$A4,'架電リスト'!$J$5:$J$1196,"不在・折返し待ち")</f>
        <v/>
      </c>
      <c r="F4" s="16">
        <f>COUNTIFS('架電リスト'!$B$5:$B$1196,$A4,'架電リスト'!$J$5:$J$1196,"担当者不在")</f>
        <v/>
      </c>
      <c r="G4" s="16">
        <f>COUNTIFS('架電リスト'!$B$5:$B$1196,$A4,'架電リスト'!$J$5:$J$1196,"資料送付")</f>
        <v/>
      </c>
      <c r="H4" s="16">
        <f>COUNTIFS('架電リスト'!$B$5:$B$1196,$A4,'架電リスト'!$J$5:$J$1196,"アポ獲得")</f>
        <v/>
      </c>
      <c r="I4" s="16">
        <f>COUNTIFS('架電リスト'!$B$5:$B$1196,$A4,'架電リスト'!$J$5:$J$1196,"検討中")</f>
        <v/>
      </c>
      <c r="J4" s="16">
        <f>COUNTIFS('架電リスト'!$B$5:$B$1196,$A4,'架電リスト'!$J$5:$J$1196,"NG")</f>
        <v/>
      </c>
      <c r="K4" s="16">
        <f>COUNTIFS('架電リスト'!$B$5:$B$1196,$A4,'架電リスト'!$J$5:$J$1196,"番号不明")</f>
        <v/>
      </c>
    </row>
    <row r="5">
      <c r="A5" s="16" t="inlineStr">
        <is>
          <t>青森県</t>
        </is>
      </c>
      <c r="B5" s="16">
        <f>COUNTIF('架電リスト'!$B$5:$B$1196,A5)</f>
        <v/>
      </c>
      <c r="C5" s="16">
        <f>COUNTIFS('架電リスト'!$B$5:$B$1196,A5,'架電リスト'!$E$5:$E$1196,"&lt;&gt;")</f>
        <v/>
      </c>
      <c r="D5" s="16">
        <f>B5-COUNTIFS('架電リスト'!$B$5:$B$1196,A5,'架電リスト'!$J$5:$J$1196,"未架電")-COUNTIFS('架電リスト'!$B$5:$B$1196,A5,'架電リスト'!$J$5:$J$1196,"")</f>
        <v/>
      </c>
      <c r="E5" s="16">
        <f>COUNTIFS('架電リスト'!$B$5:$B$1196,$A5,'架電リスト'!$J$5:$J$1196,"不在・折返し待ち")</f>
        <v/>
      </c>
      <c r="F5" s="16">
        <f>COUNTIFS('架電リスト'!$B$5:$B$1196,$A5,'架電リスト'!$J$5:$J$1196,"担当者不在")</f>
        <v/>
      </c>
      <c r="G5" s="16">
        <f>COUNTIFS('架電リスト'!$B$5:$B$1196,$A5,'架電リスト'!$J$5:$J$1196,"資料送付")</f>
        <v/>
      </c>
      <c r="H5" s="16">
        <f>COUNTIFS('架電リスト'!$B$5:$B$1196,$A5,'架電リスト'!$J$5:$J$1196,"アポ獲得")</f>
        <v/>
      </c>
      <c r="I5" s="16">
        <f>COUNTIFS('架電リスト'!$B$5:$B$1196,$A5,'架電リスト'!$J$5:$J$1196,"検討中")</f>
        <v/>
      </c>
      <c r="J5" s="16">
        <f>COUNTIFS('架電リスト'!$B$5:$B$1196,$A5,'架電リスト'!$J$5:$J$1196,"NG")</f>
        <v/>
      </c>
      <c r="K5" s="16">
        <f>COUNTIFS('架電リスト'!$B$5:$B$1196,$A5,'架電リスト'!$J$5:$J$1196,"番号不明")</f>
        <v/>
      </c>
    </row>
    <row r="6">
      <c r="A6" s="16" t="inlineStr">
        <is>
          <t>岩手県</t>
        </is>
      </c>
      <c r="B6" s="16">
        <f>COUNTIF('架電リスト'!$B$5:$B$1196,A6)</f>
        <v/>
      </c>
      <c r="C6" s="16">
        <f>COUNTIFS('架電リスト'!$B$5:$B$1196,A6,'架電リスト'!$E$5:$E$1196,"&lt;&gt;")</f>
        <v/>
      </c>
      <c r="D6" s="16">
        <f>B6-COUNTIFS('架電リスト'!$B$5:$B$1196,A6,'架電リスト'!$J$5:$J$1196,"未架電")-COUNTIFS('架電リスト'!$B$5:$B$1196,A6,'架電リスト'!$J$5:$J$1196,"")</f>
        <v/>
      </c>
      <c r="E6" s="16">
        <f>COUNTIFS('架電リスト'!$B$5:$B$1196,$A6,'架電リスト'!$J$5:$J$1196,"不在・折返し待ち")</f>
        <v/>
      </c>
      <c r="F6" s="16">
        <f>COUNTIFS('架電リスト'!$B$5:$B$1196,$A6,'架電リスト'!$J$5:$J$1196,"担当者不在")</f>
        <v/>
      </c>
      <c r="G6" s="16">
        <f>COUNTIFS('架電リスト'!$B$5:$B$1196,$A6,'架電リスト'!$J$5:$J$1196,"資料送付")</f>
        <v/>
      </c>
      <c r="H6" s="16">
        <f>COUNTIFS('架電リスト'!$B$5:$B$1196,$A6,'架電リスト'!$J$5:$J$1196,"アポ獲得")</f>
        <v/>
      </c>
      <c r="I6" s="16">
        <f>COUNTIFS('架電リスト'!$B$5:$B$1196,$A6,'架電リスト'!$J$5:$J$1196,"検討中")</f>
        <v/>
      </c>
      <c r="J6" s="16">
        <f>COUNTIFS('架電リスト'!$B$5:$B$1196,$A6,'架電リスト'!$J$5:$J$1196,"NG")</f>
        <v/>
      </c>
      <c r="K6" s="16">
        <f>COUNTIFS('架電リスト'!$B$5:$B$1196,$A6,'架電リスト'!$J$5:$J$1196,"番号不明")</f>
        <v/>
      </c>
    </row>
    <row r="7">
      <c r="A7" s="16" t="inlineStr">
        <is>
          <t>宮城県</t>
        </is>
      </c>
      <c r="B7" s="16">
        <f>COUNTIF('架電リスト'!$B$5:$B$1196,A7)</f>
        <v/>
      </c>
      <c r="C7" s="16">
        <f>COUNTIFS('架電リスト'!$B$5:$B$1196,A7,'架電リスト'!$E$5:$E$1196,"&lt;&gt;")</f>
        <v/>
      </c>
      <c r="D7" s="16">
        <f>B7-COUNTIFS('架電リスト'!$B$5:$B$1196,A7,'架電リスト'!$J$5:$J$1196,"未架電")-COUNTIFS('架電リスト'!$B$5:$B$1196,A7,'架電リスト'!$J$5:$J$1196,"")</f>
        <v/>
      </c>
      <c r="E7" s="16">
        <f>COUNTIFS('架電リスト'!$B$5:$B$1196,$A7,'架電リスト'!$J$5:$J$1196,"不在・折返し待ち")</f>
        <v/>
      </c>
      <c r="F7" s="16">
        <f>COUNTIFS('架電リスト'!$B$5:$B$1196,$A7,'架電リスト'!$J$5:$J$1196,"担当者不在")</f>
        <v/>
      </c>
      <c r="G7" s="16">
        <f>COUNTIFS('架電リスト'!$B$5:$B$1196,$A7,'架電リスト'!$J$5:$J$1196,"資料送付")</f>
        <v/>
      </c>
      <c r="H7" s="16">
        <f>COUNTIFS('架電リスト'!$B$5:$B$1196,$A7,'架電リスト'!$J$5:$J$1196,"アポ獲得")</f>
        <v/>
      </c>
      <c r="I7" s="16">
        <f>COUNTIFS('架電リスト'!$B$5:$B$1196,$A7,'架電リスト'!$J$5:$J$1196,"検討中")</f>
        <v/>
      </c>
      <c r="J7" s="16">
        <f>COUNTIFS('架電リスト'!$B$5:$B$1196,$A7,'架電リスト'!$J$5:$J$1196,"NG")</f>
        <v/>
      </c>
      <c r="K7" s="16">
        <f>COUNTIFS('架電リスト'!$B$5:$B$1196,$A7,'架電リスト'!$J$5:$J$1196,"番号不明")</f>
        <v/>
      </c>
    </row>
    <row r="8">
      <c r="A8" s="16" t="inlineStr">
        <is>
          <t>秋田県</t>
        </is>
      </c>
      <c r="B8" s="16">
        <f>COUNTIF('架電リスト'!$B$5:$B$1196,A8)</f>
        <v/>
      </c>
      <c r="C8" s="16">
        <f>COUNTIFS('架電リスト'!$B$5:$B$1196,A8,'架電リスト'!$E$5:$E$1196,"&lt;&gt;")</f>
        <v/>
      </c>
      <c r="D8" s="16">
        <f>B8-COUNTIFS('架電リスト'!$B$5:$B$1196,A8,'架電リスト'!$J$5:$J$1196,"未架電")-COUNTIFS('架電リスト'!$B$5:$B$1196,A8,'架電リスト'!$J$5:$J$1196,"")</f>
        <v/>
      </c>
      <c r="E8" s="16">
        <f>COUNTIFS('架電リスト'!$B$5:$B$1196,$A8,'架電リスト'!$J$5:$J$1196,"不在・折返し待ち")</f>
        <v/>
      </c>
      <c r="F8" s="16">
        <f>COUNTIFS('架電リスト'!$B$5:$B$1196,$A8,'架電リスト'!$J$5:$J$1196,"担当者不在")</f>
        <v/>
      </c>
      <c r="G8" s="16">
        <f>COUNTIFS('架電リスト'!$B$5:$B$1196,$A8,'架電リスト'!$J$5:$J$1196,"資料送付")</f>
        <v/>
      </c>
      <c r="H8" s="16">
        <f>COUNTIFS('架電リスト'!$B$5:$B$1196,$A8,'架電リスト'!$J$5:$J$1196,"アポ獲得")</f>
        <v/>
      </c>
      <c r="I8" s="16">
        <f>COUNTIFS('架電リスト'!$B$5:$B$1196,$A8,'架電リスト'!$J$5:$J$1196,"検討中")</f>
        <v/>
      </c>
      <c r="J8" s="16">
        <f>COUNTIFS('架電リスト'!$B$5:$B$1196,$A8,'架電リスト'!$J$5:$J$1196,"NG")</f>
        <v/>
      </c>
      <c r="K8" s="16">
        <f>COUNTIFS('架電リスト'!$B$5:$B$1196,$A8,'架電リスト'!$J$5:$J$1196,"番号不明")</f>
        <v/>
      </c>
    </row>
    <row r="9">
      <c r="A9" s="16" t="inlineStr">
        <is>
          <t>山形県</t>
        </is>
      </c>
      <c r="B9" s="16">
        <f>COUNTIF('架電リスト'!$B$5:$B$1196,A9)</f>
        <v/>
      </c>
      <c r="C9" s="16">
        <f>COUNTIFS('架電リスト'!$B$5:$B$1196,A9,'架電リスト'!$E$5:$E$1196,"&lt;&gt;")</f>
        <v/>
      </c>
      <c r="D9" s="16">
        <f>B9-COUNTIFS('架電リスト'!$B$5:$B$1196,A9,'架電リスト'!$J$5:$J$1196,"未架電")-COUNTIFS('架電リスト'!$B$5:$B$1196,A9,'架電リスト'!$J$5:$J$1196,"")</f>
        <v/>
      </c>
      <c r="E9" s="16">
        <f>COUNTIFS('架電リスト'!$B$5:$B$1196,$A9,'架電リスト'!$J$5:$J$1196,"不在・折返し待ち")</f>
        <v/>
      </c>
      <c r="F9" s="16">
        <f>COUNTIFS('架電リスト'!$B$5:$B$1196,$A9,'架電リスト'!$J$5:$J$1196,"担当者不在")</f>
        <v/>
      </c>
      <c r="G9" s="16">
        <f>COUNTIFS('架電リスト'!$B$5:$B$1196,$A9,'架電リスト'!$J$5:$J$1196,"資料送付")</f>
        <v/>
      </c>
      <c r="H9" s="16">
        <f>COUNTIFS('架電リスト'!$B$5:$B$1196,$A9,'架電リスト'!$J$5:$J$1196,"アポ獲得")</f>
        <v/>
      </c>
      <c r="I9" s="16">
        <f>COUNTIFS('架電リスト'!$B$5:$B$1196,$A9,'架電リスト'!$J$5:$J$1196,"検討中")</f>
        <v/>
      </c>
      <c r="J9" s="16">
        <f>COUNTIFS('架電リスト'!$B$5:$B$1196,$A9,'架電リスト'!$J$5:$J$1196,"NG")</f>
        <v/>
      </c>
      <c r="K9" s="16">
        <f>COUNTIFS('架電リスト'!$B$5:$B$1196,$A9,'架電リスト'!$J$5:$J$1196,"番号不明")</f>
        <v/>
      </c>
    </row>
    <row r="10">
      <c r="A10" s="16" t="inlineStr">
        <is>
          <t>福島県</t>
        </is>
      </c>
      <c r="B10" s="16">
        <f>COUNTIF('架電リスト'!$B$5:$B$1196,A10)</f>
        <v/>
      </c>
      <c r="C10" s="16">
        <f>COUNTIFS('架電リスト'!$B$5:$B$1196,A10,'架電リスト'!$E$5:$E$1196,"&lt;&gt;")</f>
        <v/>
      </c>
      <c r="D10" s="16">
        <f>B10-COUNTIFS('架電リスト'!$B$5:$B$1196,A10,'架電リスト'!$J$5:$J$1196,"未架電")-COUNTIFS('架電リスト'!$B$5:$B$1196,A10,'架電リスト'!$J$5:$J$1196,"")</f>
        <v/>
      </c>
      <c r="E10" s="16">
        <f>COUNTIFS('架電リスト'!$B$5:$B$1196,$A10,'架電リスト'!$J$5:$J$1196,"不在・折返し待ち")</f>
        <v/>
      </c>
      <c r="F10" s="16">
        <f>COUNTIFS('架電リスト'!$B$5:$B$1196,$A10,'架電リスト'!$J$5:$J$1196,"担当者不在")</f>
        <v/>
      </c>
      <c r="G10" s="16">
        <f>COUNTIFS('架電リスト'!$B$5:$B$1196,$A10,'架電リスト'!$J$5:$J$1196,"資料送付")</f>
        <v/>
      </c>
      <c r="H10" s="16">
        <f>COUNTIFS('架電リスト'!$B$5:$B$1196,$A10,'架電リスト'!$J$5:$J$1196,"アポ獲得")</f>
        <v/>
      </c>
      <c r="I10" s="16">
        <f>COUNTIFS('架電リスト'!$B$5:$B$1196,$A10,'架電リスト'!$J$5:$J$1196,"検討中")</f>
        <v/>
      </c>
      <c r="J10" s="16">
        <f>COUNTIFS('架電リスト'!$B$5:$B$1196,$A10,'架電リスト'!$J$5:$J$1196,"NG")</f>
        <v/>
      </c>
      <c r="K10" s="16">
        <f>COUNTIFS('架電リスト'!$B$5:$B$1196,$A10,'架電リスト'!$J$5:$J$1196,"番号不明")</f>
        <v/>
      </c>
    </row>
    <row r="11">
      <c r="A11" s="16" t="inlineStr">
        <is>
          <t>茨城県</t>
        </is>
      </c>
      <c r="B11" s="16">
        <f>COUNTIF('架電リスト'!$B$5:$B$1196,A11)</f>
        <v/>
      </c>
      <c r="C11" s="16">
        <f>COUNTIFS('架電リスト'!$B$5:$B$1196,A11,'架電リスト'!$E$5:$E$1196,"&lt;&gt;")</f>
        <v/>
      </c>
      <c r="D11" s="16">
        <f>B11-COUNTIFS('架電リスト'!$B$5:$B$1196,A11,'架電リスト'!$J$5:$J$1196,"未架電")-COUNTIFS('架電リスト'!$B$5:$B$1196,A11,'架電リスト'!$J$5:$J$1196,"")</f>
        <v/>
      </c>
      <c r="E11" s="16">
        <f>COUNTIFS('架電リスト'!$B$5:$B$1196,$A11,'架電リスト'!$J$5:$J$1196,"不在・折返し待ち")</f>
        <v/>
      </c>
      <c r="F11" s="16">
        <f>COUNTIFS('架電リスト'!$B$5:$B$1196,$A11,'架電リスト'!$J$5:$J$1196,"担当者不在")</f>
        <v/>
      </c>
      <c r="G11" s="16">
        <f>COUNTIFS('架電リスト'!$B$5:$B$1196,$A11,'架電リスト'!$J$5:$J$1196,"資料送付")</f>
        <v/>
      </c>
      <c r="H11" s="16">
        <f>COUNTIFS('架電リスト'!$B$5:$B$1196,$A11,'架電リスト'!$J$5:$J$1196,"アポ獲得")</f>
        <v/>
      </c>
      <c r="I11" s="16">
        <f>COUNTIFS('架電リスト'!$B$5:$B$1196,$A11,'架電リスト'!$J$5:$J$1196,"検討中")</f>
        <v/>
      </c>
      <c r="J11" s="16">
        <f>COUNTIFS('架電リスト'!$B$5:$B$1196,$A11,'架電リスト'!$J$5:$J$1196,"NG")</f>
        <v/>
      </c>
      <c r="K11" s="16">
        <f>COUNTIFS('架電リスト'!$B$5:$B$1196,$A11,'架電リスト'!$J$5:$J$1196,"番号不明")</f>
        <v/>
      </c>
    </row>
    <row r="12">
      <c r="A12" s="16" t="inlineStr">
        <is>
          <t>栃木県</t>
        </is>
      </c>
      <c r="B12" s="16">
        <f>COUNTIF('架電リスト'!$B$5:$B$1196,A12)</f>
        <v/>
      </c>
      <c r="C12" s="16">
        <f>COUNTIFS('架電リスト'!$B$5:$B$1196,A12,'架電リスト'!$E$5:$E$1196,"&lt;&gt;")</f>
        <v/>
      </c>
      <c r="D12" s="16">
        <f>B12-COUNTIFS('架電リスト'!$B$5:$B$1196,A12,'架電リスト'!$J$5:$J$1196,"未架電")-COUNTIFS('架電リスト'!$B$5:$B$1196,A12,'架電リスト'!$J$5:$J$1196,"")</f>
        <v/>
      </c>
      <c r="E12" s="16">
        <f>COUNTIFS('架電リスト'!$B$5:$B$1196,$A12,'架電リスト'!$J$5:$J$1196,"不在・折返し待ち")</f>
        <v/>
      </c>
      <c r="F12" s="16">
        <f>COUNTIFS('架電リスト'!$B$5:$B$1196,$A12,'架電リスト'!$J$5:$J$1196,"担当者不在")</f>
        <v/>
      </c>
      <c r="G12" s="16">
        <f>COUNTIFS('架電リスト'!$B$5:$B$1196,$A12,'架電リスト'!$J$5:$J$1196,"資料送付")</f>
        <v/>
      </c>
      <c r="H12" s="16">
        <f>COUNTIFS('架電リスト'!$B$5:$B$1196,$A12,'架電リスト'!$J$5:$J$1196,"アポ獲得")</f>
        <v/>
      </c>
      <c r="I12" s="16">
        <f>COUNTIFS('架電リスト'!$B$5:$B$1196,$A12,'架電リスト'!$J$5:$J$1196,"検討中")</f>
        <v/>
      </c>
      <c r="J12" s="16">
        <f>COUNTIFS('架電リスト'!$B$5:$B$1196,$A12,'架電リスト'!$J$5:$J$1196,"NG")</f>
        <v/>
      </c>
      <c r="K12" s="16">
        <f>COUNTIFS('架電リスト'!$B$5:$B$1196,$A12,'架電リスト'!$J$5:$J$1196,"番号不明")</f>
        <v/>
      </c>
    </row>
    <row r="13">
      <c r="A13" s="16" t="inlineStr">
        <is>
          <t>群馬県</t>
        </is>
      </c>
      <c r="B13" s="16">
        <f>COUNTIF('架電リスト'!$B$5:$B$1196,A13)</f>
        <v/>
      </c>
      <c r="C13" s="16">
        <f>COUNTIFS('架電リスト'!$B$5:$B$1196,A13,'架電リスト'!$E$5:$E$1196,"&lt;&gt;")</f>
        <v/>
      </c>
      <c r="D13" s="16">
        <f>B13-COUNTIFS('架電リスト'!$B$5:$B$1196,A13,'架電リスト'!$J$5:$J$1196,"未架電")-COUNTIFS('架電リスト'!$B$5:$B$1196,A13,'架電リスト'!$J$5:$J$1196,"")</f>
        <v/>
      </c>
      <c r="E13" s="16">
        <f>COUNTIFS('架電リスト'!$B$5:$B$1196,$A13,'架電リスト'!$J$5:$J$1196,"不在・折返し待ち")</f>
        <v/>
      </c>
      <c r="F13" s="16">
        <f>COUNTIFS('架電リスト'!$B$5:$B$1196,$A13,'架電リスト'!$J$5:$J$1196,"担当者不在")</f>
        <v/>
      </c>
      <c r="G13" s="16">
        <f>COUNTIFS('架電リスト'!$B$5:$B$1196,$A13,'架電リスト'!$J$5:$J$1196,"資料送付")</f>
        <v/>
      </c>
      <c r="H13" s="16">
        <f>COUNTIFS('架電リスト'!$B$5:$B$1196,$A13,'架電リスト'!$J$5:$J$1196,"アポ獲得")</f>
        <v/>
      </c>
      <c r="I13" s="16">
        <f>COUNTIFS('架電リスト'!$B$5:$B$1196,$A13,'架電リスト'!$J$5:$J$1196,"検討中")</f>
        <v/>
      </c>
      <c r="J13" s="16">
        <f>COUNTIFS('架電リスト'!$B$5:$B$1196,$A13,'架電リスト'!$J$5:$J$1196,"NG")</f>
        <v/>
      </c>
      <c r="K13" s="16">
        <f>COUNTIFS('架電リスト'!$B$5:$B$1196,$A13,'架電リスト'!$J$5:$J$1196,"番号不明")</f>
        <v/>
      </c>
    </row>
    <row r="14">
      <c r="A14" s="16" t="inlineStr">
        <is>
          <t>埼玉県</t>
        </is>
      </c>
      <c r="B14" s="16">
        <f>COUNTIF('架電リスト'!$B$5:$B$1196,A14)</f>
        <v/>
      </c>
      <c r="C14" s="16">
        <f>COUNTIFS('架電リスト'!$B$5:$B$1196,A14,'架電リスト'!$E$5:$E$1196,"&lt;&gt;")</f>
        <v/>
      </c>
      <c r="D14" s="16">
        <f>B14-COUNTIFS('架電リスト'!$B$5:$B$1196,A14,'架電リスト'!$J$5:$J$1196,"未架電")-COUNTIFS('架電リスト'!$B$5:$B$1196,A14,'架電リスト'!$J$5:$J$1196,"")</f>
        <v/>
      </c>
      <c r="E14" s="16">
        <f>COUNTIFS('架電リスト'!$B$5:$B$1196,$A14,'架電リスト'!$J$5:$J$1196,"不在・折返し待ち")</f>
        <v/>
      </c>
      <c r="F14" s="16">
        <f>COUNTIFS('架電リスト'!$B$5:$B$1196,$A14,'架電リスト'!$J$5:$J$1196,"担当者不在")</f>
        <v/>
      </c>
      <c r="G14" s="16">
        <f>COUNTIFS('架電リスト'!$B$5:$B$1196,$A14,'架電リスト'!$J$5:$J$1196,"資料送付")</f>
        <v/>
      </c>
      <c r="H14" s="16">
        <f>COUNTIFS('架電リスト'!$B$5:$B$1196,$A14,'架電リスト'!$J$5:$J$1196,"アポ獲得")</f>
        <v/>
      </c>
      <c r="I14" s="16">
        <f>COUNTIFS('架電リスト'!$B$5:$B$1196,$A14,'架電リスト'!$J$5:$J$1196,"検討中")</f>
        <v/>
      </c>
      <c r="J14" s="16">
        <f>COUNTIFS('架電リスト'!$B$5:$B$1196,$A14,'架電リスト'!$J$5:$J$1196,"NG")</f>
        <v/>
      </c>
      <c r="K14" s="16">
        <f>COUNTIFS('架電リスト'!$B$5:$B$1196,$A14,'架電リスト'!$J$5:$J$1196,"番号不明")</f>
        <v/>
      </c>
    </row>
    <row r="15">
      <c r="A15" s="16" t="inlineStr">
        <is>
          <t>千葉県</t>
        </is>
      </c>
      <c r="B15" s="16">
        <f>COUNTIF('架電リスト'!$B$5:$B$1196,A15)</f>
        <v/>
      </c>
      <c r="C15" s="16">
        <f>COUNTIFS('架電リスト'!$B$5:$B$1196,A15,'架電リスト'!$E$5:$E$1196,"&lt;&gt;")</f>
        <v/>
      </c>
      <c r="D15" s="16">
        <f>B15-COUNTIFS('架電リスト'!$B$5:$B$1196,A15,'架電リスト'!$J$5:$J$1196,"未架電")-COUNTIFS('架電リスト'!$B$5:$B$1196,A15,'架電リスト'!$J$5:$J$1196,"")</f>
        <v/>
      </c>
      <c r="E15" s="16">
        <f>COUNTIFS('架電リスト'!$B$5:$B$1196,$A15,'架電リスト'!$J$5:$J$1196,"不在・折返し待ち")</f>
        <v/>
      </c>
      <c r="F15" s="16">
        <f>COUNTIFS('架電リスト'!$B$5:$B$1196,$A15,'架電リスト'!$J$5:$J$1196,"担当者不在")</f>
        <v/>
      </c>
      <c r="G15" s="16">
        <f>COUNTIFS('架電リスト'!$B$5:$B$1196,$A15,'架電リスト'!$J$5:$J$1196,"資料送付")</f>
        <v/>
      </c>
      <c r="H15" s="16">
        <f>COUNTIFS('架電リスト'!$B$5:$B$1196,$A15,'架電リスト'!$J$5:$J$1196,"アポ獲得")</f>
        <v/>
      </c>
      <c r="I15" s="16">
        <f>COUNTIFS('架電リスト'!$B$5:$B$1196,$A15,'架電リスト'!$J$5:$J$1196,"検討中")</f>
        <v/>
      </c>
      <c r="J15" s="16">
        <f>COUNTIFS('架電リスト'!$B$5:$B$1196,$A15,'架電リスト'!$J$5:$J$1196,"NG")</f>
        <v/>
      </c>
      <c r="K15" s="16">
        <f>COUNTIFS('架電リスト'!$B$5:$B$1196,$A15,'架電リスト'!$J$5:$J$1196,"番号不明")</f>
        <v/>
      </c>
    </row>
    <row r="16">
      <c r="A16" s="16" t="inlineStr">
        <is>
          <t>東京都</t>
        </is>
      </c>
      <c r="B16" s="16">
        <f>COUNTIF('架電リスト'!$B$5:$B$1196,A16)</f>
        <v/>
      </c>
      <c r="C16" s="16">
        <f>COUNTIFS('架電リスト'!$B$5:$B$1196,A16,'架電リスト'!$E$5:$E$1196,"&lt;&gt;")</f>
        <v/>
      </c>
      <c r="D16" s="16">
        <f>B16-COUNTIFS('架電リスト'!$B$5:$B$1196,A16,'架電リスト'!$J$5:$J$1196,"未架電")-COUNTIFS('架電リスト'!$B$5:$B$1196,A16,'架電リスト'!$J$5:$J$1196,"")</f>
        <v/>
      </c>
      <c r="E16" s="16">
        <f>COUNTIFS('架電リスト'!$B$5:$B$1196,$A16,'架電リスト'!$J$5:$J$1196,"不在・折返し待ち")</f>
        <v/>
      </c>
      <c r="F16" s="16">
        <f>COUNTIFS('架電リスト'!$B$5:$B$1196,$A16,'架電リスト'!$J$5:$J$1196,"担当者不在")</f>
        <v/>
      </c>
      <c r="G16" s="16">
        <f>COUNTIFS('架電リスト'!$B$5:$B$1196,$A16,'架電リスト'!$J$5:$J$1196,"資料送付")</f>
        <v/>
      </c>
      <c r="H16" s="16">
        <f>COUNTIFS('架電リスト'!$B$5:$B$1196,$A16,'架電リスト'!$J$5:$J$1196,"アポ獲得")</f>
        <v/>
      </c>
      <c r="I16" s="16">
        <f>COUNTIFS('架電リスト'!$B$5:$B$1196,$A16,'架電リスト'!$J$5:$J$1196,"検討中")</f>
        <v/>
      </c>
      <c r="J16" s="16">
        <f>COUNTIFS('架電リスト'!$B$5:$B$1196,$A16,'架電リスト'!$J$5:$J$1196,"NG")</f>
        <v/>
      </c>
      <c r="K16" s="16">
        <f>COUNTIFS('架電リスト'!$B$5:$B$1196,$A16,'架電リスト'!$J$5:$J$1196,"番号不明")</f>
        <v/>
      </c>
    </row>
    <row r="17">
      <c r="A17" s="16" t="inlineStr">
        <is>
          <t>神奈川県</t>
        </is>
      </c>
      <c r="B17" s="16">
        <f>COUNTIF('架電リスト'!$B$5:$B$1196,A17)</f>
        <v/>
      </c>
      <c r="C17" s="16">
        <f>COUNTIFS('架電リスト'!$B$5:$B$1196,A17,'架電リスト'!$E$5:$E$1196,"&lt;&gt;")</f>
        <v/>
      </c>
      <c r="D17" s="16">
        <f>B17-COUNTIFS('架電リスト'!$B$5:$B$1196,A17,'架電リスト'!$J$5:$J$1196,"未架電")-COUNTIFS('架電リスト'!$B$5:$B$1196,A17,'架電リスト'!$J$5:$J$1196,"")</f>
        <v/>
      </c>
      <c r="E17" s="16">
        <f>COUNTIFS('架電リスト'!$B$5:$B$1196,$A17,'架電リスト'!$J$5:$J$1196,"不在・折返し待ち")</f>
        <v/>
      </c>
      <c r="F17" s="16">
        <f>COUNTIFS('架電リスト'!$B$5:$B$1196,$A17,'架電リスト'!$J$5:$J$1196,"担当者不在")</f>
        <v/>
      </c>
      <c r="G17" s="16">
        <f>COUNTIFS('架電リスト'!$B$5:$B$1196,$A17,'架電リスト'!$J$5:$J$1196,"資料送付")</f>
        <v/>
      </c>
      <c r="H17" s="16">
        <f>COUNTIFS('架電リスト'!$B$5:$B$1196,$A17,'架電リスト'!$J$5:$J$1196,"アポ獲得")</f>
        <v/>
      </c>
      <c r="I17" s="16">
        <f>COUNTIFS('架電リスト'!$B$5:$B$1196,$A17,'架電リスト'!$J$5:$J$1196,"検討中")</f>
        <v/>
      </c>
      <c r="J17" s="16">
        <f>COUNTIFS('架電リスト'!$B$5:$B$1196,$A17,'架電リスト'!$J$5:$J$1196,"NG")</f>
        <v/>
      </c>
      <c r="K17" s="16">
        <f>COUNTIFS('架電リスト'!$B$5:$B$1196,$A17,'架電リスト'!$J$5:$J$1196,"番号不明")</f>
        <v/>
      </c>
    </row>
    <row r="18">
      <c r="A18" s="16" t="inlineStr">
        <is>
          <t>新潟県</t>
        </is>
      </c>
      <c r="B18" s="16">
        <f>COUNTIF('架電リスト'!$B$5:$B$1196,A18)</f>
        <v/>
      </c>
      <c r="C18" s="16">
        <f>COUNTIFS('架電リスト'!$B$5:$B$1196,A18,'架電リスト'!$E$5:$E$1196,"&lt;&gt;")</f>
        <v/>
      </c>
      <c r="D18" s="16">
        <f>B18-COUNTIFS('架電リスト'!$B$5:$B$1196,A18,'架電リスト'!$J$5:$J$1196,"未架電")-COUNTIFS('架電リスト'!$B$5:$B$1196,A18,'架電リスト'!$J$5:$J$1196,"")</f>
        <v/>
      </c>
      <c r="E18" s="16">
        <f>COUNTIFS('架電リスト'!$B$5:$B$1196,$A18,'架電リスト'!$J$5:$J$1196,"不在・折返し待ち")</f>
        <v/>
      </c>
      <c r="F18" s="16">
        <f>COUNTIFS('架電リスト'!$B$5:$B$1196,$A18,'架電リスト'!$J$5:$J$1196,"担当者不在")</f>
        <v/>
      </c>
      <c r="G18" s="16">
        <f>COUNTIFS('架電リスト'!$B$5:$B$1196,$A18,'架電リスト'!$J$5:$J$1196,"資料送付")</f>
        <v/>
      </c>
      <c r="H18" s="16">
        <f>COUNTIFS('架電リスト'!$B$5:$B$1196,$A18,'架電リスト'!$J$5:$J$1196,"アポ獲得")</f>
        <v/>
      </c>
      <c r="I18" s="16">
        <f>COUNTIFS('架電リスト'!$B$5:$B$1196,$A18,'架電リスト'!$J$5:$J$1196,"検討中")</f>
        <v/>
      </c>
      <c r="J18" s="16">
        <f>COUNTIFS('架電リスト'!$B$5:$B$1196,$A18,'架電リスト'!$J$5:$J$1196,"NG")</f>
        <v/>
      </c>
      <c r="K18" s="16">
        <f>COUNTIFS('架電リスト'!$B$5:$B$1196,$A18,'架電リスト'!$J$5:$J$1196,"番号不明")</f>
        <v/>
      </c>
    </row>
    <row r="19">
      <c r="A19" s="16" t="inlineStr">
        <is>
          <t>富山県</t>
        </is>
      </c>
      <c r="B19" s="16">
        <f>COUNTIF('架電リスト'!$B$5:$B$1196,A19)</f>
        <v/>
      </c>
      <c r="C19" s="16">
        <f>COUNTIFS('架電リスト'!$B$5:$B$1196,A19,'架電リスト'!$E$5:$E$1196,"&lt;&gt;")</f>
        <v/>
      </c>
      <c r="D19" s="16">
        <f>B19-COUNTIFS('架電リスト'!$B$5:$B$1196,A19,'架電リスト'!$J$5:$J$1196,"未架電")-COUNTIFS('架電リスト'!$B$5:$B$1196,A19,'架電リスト'!$J$5:$J$1196,"")</f>
        <v/>
      </c>
      <c r="E19" s="16">
        <f>COUNTIFS('架電リスト'!$B$5:$B$1196,$A19,'架電リスト'!$J$5:$J$1196,"不在・折返し待ち")</f>
        <v/>
      </c>
      <c r="F19" s="16">
        <f>COUNTIFS('架電リスト'!$B$5:$B$1196,$A19,'架電リスト'!$J$5:$J$1196,"担当者不在")</f>
        <v/>
      </c>
      <c r="G19" s="16">
        <f>COUNTIFS('架電リスト'!$B$5:$B$1196,$A19,'架電リスト'!$J$5:$J$1196,"資料送付")</f>
        <v/>
      </c>
      <c r="H19" s="16">
        <f>COUNTIFS('架電リスト'!$B$5:$B$1196,$A19,'架電リスト'!$J$5:$J$1196,"アポ獲得")</f>
        <v/>
      </c>
      <c r="I19" s="16">
        <f>COUNTIFS('架電リスト'!$B$5:$B$1196,$A19,'架電リスト'!$J$5:$J$1196,"検討中")</f>
        <v/>
      </c>
      <c r="J19" s="16">
        <f>COUNTIFS('架電リスト'!$B$5:$B$1196,$A19,'架電リスト'!$J$5:$J$1196,"NG")</f>
        <v/>
      </c>
      <c r="K19" s="16">
        <f>COUNTIFS('架電リスト'!$B$5:$B$1196,$A19,'架電リスト'!$J$5:$J$1196,"番号不明")</f>
        <v/>
      </c>
    </row>
    <row r="20">
      <c r="A20" s="16" t="inlineStr">
        <is>
          <t>石川県</t>
        </is>
      </c>
      <c r="B20" s="16">
        <f>COUNTIF('架電リスト'!$B$5:$B$1196,A20)</f>
        <v/>
      </c>
      <c r="C20" s="16">
        <f>COUNTIFS('架電リスト'!$B$5:$B$1196,A20,'架電リスト'!$E$5:$E$1196,"&lt;&gt;")</f>
        <v/>
      </c>
      <c r="D20" s="16">
        <f>B20-COUNTIFS('架電リスト'!$B$5:$B$1196,A20,'架電リスト'!$J$5:$J$1196,"未架電")-COUNTIFS('架電リスト'!$B$5:$B$1196,A20,'架電リスト'!$J$5:$J$1196,"")</f>
        <v/>
      </c>
      <c r="E20" s="16">
        <f>COUNTIFS('架電リスト'!$B$5:$B$1196,$A20,'架電リスト'!$J$5:$J$1196,"不在・折返し待ち")</f>
        <v/>
      </c>
      <c r="F20" s="16">
        <f>COUNTIFS('架電リスト'!$B$5:$B$1196,$A20,'架電リスト'!$J$5:$J$1196,"担当者不在")</f>
        <v/>
      </c>
      <c r="G20" s="16">
        <f>COUNTIFS('架電リスト'!$B$5:$B$1196,$A20,'架電リスト'!$J$5:$J$1196,"資料送付")</f>
        <v/>
      </c>
      <c r="H20" s="16">
        <f>COUNTIFS('架電リスト'!$B$5:$B$1196,$A20,'架電リスト'!$J$5:$J$1196,"アポ獲得")</f>
        <v/>
      </c>
      <c r="I20" s="16">
        <f>COUNTIFS('架電リスト'!$B$5:$B$1196,$A20,'架電リスト'!$J$5:$J$1196,"検討中")</f>
        <v/>
      </c>
      <c r="J20" s="16">
        <f>COUNTIFS('架電リスト'!$B$5:$B$1196,$A20,'架電リスト'!$J$5:$J$1196,"NG")</f>
        <v/>
      </c>
      <c r="K20" s="16">
        <f>COUNTIFS('架電リスト'!$B$5:$B$1196,$A20,'架電リスト'!$J$5:$J$1196,"番号不明")</f>
        <v/>
      </c>
    </row>
    <row r="21">
      <c r="A21" s="16" t="inlineStr">
        <is>
          <t>福井県</t>
        </is>
      </c>
      <c r="B21" s="16">
        <f>COUNTIF('架電リスト'!$B$5:$B$1196,A21)</f>
        <v/>
      </c>
      <c r="C21" s="16">
        <f>COUNTIFS('架電リスト'!$B$5:$B$1196,A21,'架電リスト'!$E$5:$E$1196,"&lt;&gt;")</f>
        <v/>
      </c>
      <c r="D21" s="16">
        <f>B21-COUNTIFS('架電リスト'!$B$5:$B$1196,A21,'架電リスト'!$J$5:$J$1196,"未架電")-COUNTIFS('架電リスト'!$B$5:$B$1196,A21,'架電リスト'!$J$5:$J$1196,"")</f>
        <v/>
      </c>
      <c r="E21" s="16">
        <f>COUNTIFS('架電リスト'!$B$5:$B$1196,$A21,'架電リスト'!$J$5:$J$1196,"不在・折返し待ち")</f>
        <v/>
      </c>
      <c r="F21" s="16">
        <f>COUNTIFS('架電リスト'!$B$5:$B$1196,$A21,'架電リスト'!$J$5:$J$1196,"担当者不在")</f>
        <v/>
      </c>
      <c r="G21" s="16">
        <f>COUNTIFS('架電リスト'!$B$5:$B$1196,$A21,'架電リスト'!$J$5:$J$1196,"資料送付")</f>
        <v/>
      </c>
      <c r="H21" s="16">
        <f>COUNTIFS('架電リスト'!$B$5:$B$1196,$A21,'架電リスト'!$J$5:$J$1196,"アポ獲得")</f>
        <v/>
      </c>
      <c r="I21" s="16">
        <f>COUNTIFS('架電リスト'!$B$5:$B$1196,$A21,'架電リスト'!$J$5:$J$1196,"検討中")</f>
        <v/>
      </c>
      <c r="J21" s="16">
        <f>COUNTIFS('架電リスト'!$B$5:$B$1196,$A21,'架電リスト'!$J$5:$J$1196,"NG")</f>
        <v/>
      </c>
      <c r="K21" s="16">
        <f>COUNTIFS('架電リスト'!$B$5:$B$1196,$A21,'架電リスト'!$J$5:$J$1196,"番号不明")</f>
        <v/>
      </c>
    </row>
    <row r="22">
      <c r="A22" s="16" t="inlineStr">
        <is>
          <t>山梨県</t>
        </is>
      </c>
      <c r="B22" s="16">
        <f>COUNTIF('架電リスト'!$B$5:$B$1196,A22)</f>
        <v/>
      </c>
      <c r="C22" s="16">
        <f>COUNTIFS('架電リスト'!$B$5:$B$1196,A22,'架電リスト'!$E$5:$E$1196,"&lt;&gt;")</f>
        <v/>
      </c>
      <c r="D22" s="16">
        <f>B22-COUNTIFS('架電リスト'!$B$5:$B$1196,A22,'架電リスト'!$J$5:$J$1196,"未架電")-COUNTIFS('架電リスト'!$B$5:$B$1196,A22,'架電リスト'!$J$5:$J$1196,"")</f>
        <v/>
      </c>
      <c r="E22" s="16">
        <f>COUNTIFS('架電リスト'!$B$5:$B$1196,$A22,'架電リスト'!$J$5:$J$1196,"不在・折返し待ち")</f>
        <v/>
      </c>
      <c r="F22" s="16">
        <f>COUNTIFS('架電リスト'!$B$5:$B$1196,$A22,'架電リスト'!$J$5:$J$1196,"担当者不在")</f>
        <v/>
      </c>
      <c r="G22" s="16">
        <f>COUNTIFS('架電リスト'!$B$5:$B$1196,$A22,'架電リスト'!$J$5:$J$1196,"資料送付")</f>
        <v/>
      </c>
      <c r="H22" s="16">
        <f>COUNTIFS('架電リスト'!$B$5:$B$1196,$A22,'架電リスト'!$J$5:$J$1196,"アポ獲得")</f>
        <v/>
      </c>
      <c r="I22" s="16">
        <f>COUNTIFS('架電リスト'!$B$5:$B$1196,$A22,'架電リスト'!$J$5:$J$1196,"検討中")</f>
        <v/>
      </c>
      <c r="J22" s="16">
        <f>COUNTIFS('架電リスト'!$B$5:$B$1196,$A22,'架電リスト'!$J$5:$J$1196,"NG")</f>
        <v/>
      </c>
      <c r="K22" s="16">
        <f>COUNTIFS('架電リスト'!$B$5:$B$1196,$A22,'架電リスト'!$J$5:$J$1196,"番号不明")</f>
        <v/>
      </c>
    </row>
    <row r="23">
      <c r="A23" s="16" t="inlineStr">
        <is>
          <t>長野県</t>
        </is>
      </c>
      <c r="B23" s="16">
        <f>COUNTIF('架電リスト'!$B$5:$B$1196,A23)</f>
        <v/>
      </c>
      <c r="C23" s="16">
        <f>COUNTIFS('架電リスト'!$B$5:$B$1196,A23,'架電リスト'!$E$5:$E$1196,"&lt;&gt;")</f>
        <v/>
      </c>
      <c r="D23" s="16">
        <f>B23-COUNTIFS('架電リスト'!$B$5:$B$1196,A23,'架電リスト'!$J$5:$J$1196,"未架電")-COUNTIFS('架電リスト'!$B$5:$B$1196,A23,'架電リスト'!$J$5:$J$1196,"")</f>
        <v/>
      </c>
      <c r="E23" s="16">
        <f>COUNTIFS('架電リスト'!$B$5:$B$1196,$A23,'架電リスト'!$J$5:$J$1196,"不在・折返し待ち")</f>
        <v/>
      </c>
      <c r="F23" s="16">
        <f>COUNTIFS('架電リスト'!$B$5:$B$1196,$A23,'架電リスト'!$J$5:$J$1196,"担当者不在")</f>
        <v/>
      </c>
      <c r="G23" s="16">
        <f>COUNTIFS('架電リスト'!$B$5:$B$1196,$A23,'架電リスト'!$J$5:$J$1196,"資料送付")</f>
        <v/>
      </c>
      <c r="H23" s="16">
        <f>COUNTIFS('架電リスト'!$B$5:$B$1196,$A23,'架電リスト'!$J$5:$J$1196,"アポ獲得")</f>
        <v/>
      </c>
      <c r="I23" s="16">
        <f>COUNTIFS('架電リスト'!$B$5:$B$1196,$A23,'架電リスト'!$J$5:$J$1196,"検討中")</f>
        <v/>
      </c>
      <c r="J23" s="16">
        <f>COUNTIFS('架電リスト'!$B$5:$B$1196,$A23,'架電リスト'!$J$5:$J$1196,"NG")</f>
        <v/>
      </c>
      <c r="K23" s="16">
        <f>COUNTIFS('架電リスト'!$B$5:$B$1196,$A23,'架電リスト'!$J$5:$J$1196,"番号不明")</f>
        <v/>
      </c>
    </row>
    <row r="24">
      <c r="A24" s="16" t="inlineStr">
        <is>
          <t>岐阜県</t>
        </is>
      </c>
      <c r="B24" s="16">
        <f>COUNTIF('架電リスト'!$B$5:$B$1196,A24)</f>
        <v/>
      </c>
      <c r="C24" s="16">
        <f>COUNTIFS('架電リスト'!$B$5:$B$1196,A24,'架電リスト'!$E$5:$E$1196,"&lt;&gt;")</f>
        <v/>
      </c>
      <c r="D24" s="16">
        <f>B24-COUNTIFS('架電リスト'!$B$5:$B$1196,A24,'架電リスト'!$J$5:$J$1196,"未架電")-COUNTIFS('架電リスト'!$B$5:$B$1196,A24,'架電リスト'!$J$5:$J$1196,"")</f>
        <v/>
      </c>
      <c r="E24" s="16">
        <f>COUNTIFS('架電リスト'!$B$5:$B$1196,$A24,'架電リスト'!$J$5:$J$1196,"不在・折返し待ち")</f>
        <v/>
      </c>
      <c r="F24" s="16">
        <f>COUNTIFS('架電リスト'!$B$5:$B$1196,$A24,'架電リスト'!$J$5:$J$1196,"担当者不在")</f>
        <v/>
      </c>
      <c r="G24" s="16">
        <f>COUNTIFS('架電リスト'!$B$5:$B$1196,$A24,'架電リスト'!$J$5:$J$1196,"資料送付")</f>
        <v/>
      </c>
      <c r="H24" s="16">
        <f>COUNTIFS('架電リスト'!$B$5:$B$1196,$A24,'架電リスト'!$J$5:$J$1196,"アポ獲得")</f>
        <v/>
      </c>
      <c r="I24" s="16">
        <f>COUNTIFS('架電リスト'!$B$5:$B$1196,$A24,'架電リスト'!$J$5:$J$1196,"検討中")</f>
        <v/>
      </c>
      <c r="J24" s="16">
        <f>COUNTIFS('架電リスト'!$B$5:$B$1196,$A24,'架電リスト'!$J$5:$J$1196,"NG")</f>
        <v/>
      </c>
      <c r="K24" s="16">
        <f>COUNTIFS('架電リスト'!$B$5:$B$1196,$A24,'架電リスト'!$J$5:$J$1196,"番号不明")</f>
        <v/>
      </c>
    </row>
    <row r="25">
      <c r="A25" s="16" t="inlineStr">
        <is>
          <t>静岡県</t>
        </is>
      </c>
      <c r="B25" s="16">
        <f>COUNTIF('架電リスト'!$B$5:$B$1196,A25)</f>
        <v/>
      </c>
      <c r="C25" s="16">
        <f>COUNTIFS('架電リスト'!$B$5:$B$1196,A25,'架電リスト'!$E$5:$E$1196,"&lt;&gt;")</f>
        <v/>
      </c>
      <c r="D25" s="16">
        <f>B25-COUNTIFS('架電リスト'!$B$5:$B$1196,A25,'架電リスト'!$J$5:$J$1196,"未架電")-COUNTIFS('架電リスト'!$B$5:$B$1196,A25,'架電リスト'!$J$5:$J$1196,"")</f>
        <v/>
      </c>
      <c r="E25" s="16">
        <f>COUNTIFS('架電リスト'!$B$5:$B$1196,$A25,'架電リスト'!$J$5:$J$1196,"不在・折返し待ち")</f>
        <v/>
      </c>
      <c r="F25" s="16">
        <f>COUNTIFS('架電リスト'!$B$5:$B$1196,$A25,'架電リスト'!$J$5:$J$1196,"担当者不在")</f>
        <v/>
      </c>
      <c r="G25" s="16">
        <f>COUNTIFS('架電リスト'!$B$5:$B$1196,$A25,'架電リスト'!$J$5:$J$1196,"資料送付")</f>
        <v/>
      </c>
      <c r="H25" s="16">
        <f>COUNTIFS('架電リスト'!$B$5:$B$1196,$A25,'架電リスト'!$J$5:$J$1196,"アポ獲得")</f>
        <v/>
      </c>
      <c r="I25" s="16">
        <f>COUNTIFS('架電リスト'!$B$5:$B$1196,$A25,'架電リスト'!$J$5:$J$1196,"検討中")</f>
        <v/>
      </c>
      <c r="J25" s="16">
        <f>COUNTIFS('架電リスト'!$B$5:$B$1196,$A25,'架電リスト'!$J$5:$J$1196,"NG")</f>
        <v/>
      </c>
      <c r="K25" s="16">
        <f>COUNTIFS('架電リスト'!$B$5:$B$1196,$A25,'架電リスト'!$J$5:$J$1196,"番号不明")</f>
        <v/>
      </c>
    </row>
    <row r="26">
      <c r="A26" s="16" t="inlineStr">
        <is>
          <t>愛知県</t>
        </is>
      </c>
      <c r="B26" s="16">
        <f>COUNTIF('架電リスト'!$B$5:$B$1196,A26)</f>
        <v/>
      </c>
      <c r="C26" s="16">
        <f>COUNTIFS('架電リスト'!$B$5:$B$1196,A26,'架電リスト'!$E$5:$E$1196,"&lt;&gt;")</f>
        <v/>
      </c>
      <c r="D26" s="16">
        <f>B26-COUNTIFS('架電リスト'!$B$5:$B$1196,A26,'架電リスト'!$J$5:$J$1196,"未架電")-COUNTIFS('架電リスト'!$B$5:$B$1196,A26,'架電リスト'!$J$5:$J$1196,"")</f>
        <v/>
      </c>
      <c r="E26" s="16">
        <f>COUNTIFS('架電リスト'!$B$5:$B$1196,$A26,'架電リスト'!$J$5:$J$1196,"不在・折返し待ち")</f>
        <v/>
      </c>
      <c r="F26" s="16">
        <f>COUNTIFS('架電リスト'!$B$5:$B$1196,$A26,'架電リスト'!$J$5:$J$1196,"担当者不在")</f>
        <v/>
      </c>
      <c r="G26" s="16">
        <f>COUNTIFS('架電リスト'!$B$5:$B$1196,$A26,'架電リスト'!$J$5:$J$1196,"資料送付")</f>
        <v/>
      </c>
      <c r="H26" s="16">
        <f>COUNTIFS('架電リスト'!$B$5:$B$1196,$A26,'架電リスト'!$J$5:$J$1196,"アポ獲得")</f>
        <v/>
      </c>
      <c r="I26" s="16">
        <f>COUNTIFS('架電リスト'!$B$5:$B$1196,$A26,'架電リスト'!$J$5:$J$1196,"検討中")</f>
        <v/>
      </c>
      <c r="J26" s="16">
        <f>COUNTIFS('架電リスト'!$B$5:$B$1196,$A26,'架電リスト'!$J$5:$J$1196,"NG")</f>
        <v/>
      </c>
      <c r="K26" s="16">
        <f>COUNTIFS('架電リスト'!$B$5:$B$1196,$A26,'架電リスト'!$J$5:$J$1196,"番号不明")</f>
        <v/>
      </c>
    </row>
    <row r="27">
      <c r="A27" s="16" t="inlineStr">
        <is>
          <t>三重県</t>
        </is>
      </c>
      <c r="B27" s="16">
        <f>COUNTIF('架電リスト'!$B$5:$B$1196,A27)</f>
        <v/>
      </c>
      <c r="C27" s="16">
        <f>COUNTIFS('架電リスト'!$B$5:$B$1196,A27,'架電リスト'!$E$5:$E$1196,"&lt;&gt;")</f>
        <v/>
      </c>
      <c r="D27" s="16">
        <f>B27-COUNTIFS('架電リスト'!$B$5:$B$1196,A27,'架電リスト'!$J$5:$J$1196,"未架電")-COUNTIFS('架電リスト'!$B$5:$B$1196,A27,'架電リスト'!$J$5:$J$1196,"")</f>
        <v/>
      </c>
      <c r="E27" s="16">
        <f>COUNTIFS('架電リスト'!$B$5:$B$1196,$A27,'架電リスト'!$J$5:$J$1196,"不在・折返し待ち")</f>
        <v/>
      </c>
      <c r="F27" s="16">
        <f>COUNTIFS('架電リスト'!$B$5:$B$1196,$A27,'架電リスト'!$J$5:$J$1196,"担当者不在")</f>
        <v/>
      </c>
      <c r="G27" s="16">
        <f>COUNTIFS('架電リスト'!$B$5:$B$1196,$A27,'架電リスト'!$J$5:$J$1196,"資料送付")</f>
        <v/>
      </c>
      <c r="H27" s="16">
        <f>COUNTIFS('架電リスト'!$B$5:$B$1196,$A27,'架電リスト'!$J$5:$J$1196,"アポ獲得")</f>
        <v/>
      </c>
      <c r="I27" s="16">
        <f>COUNTIFS('架電リスト'!$B$5:$B$1196,$A27,'架電リスト'!$J$5:$J$1196,"検討中")</f>
        <v/>
      </c>
      <c r="J27" s="16">
        <f>COUNTIFS('架電リスト'!$B$5:$B$1196,$A27,'架電リスト'!$J$5:$J$1196,"NG")</f>
        <v/>
      </c>
      <c r="K27" s="16">
        <f>COUNTIFS('架電リスト'!$B$5:$B$1196,$A27,'架電リスト'!$J$5:$J$1196,"番号不明")</f>
        <v/>
      </c>
    </row>
    <row r="28">
      <c r="A28" s="16" t="inlineStr">
        <is>
          <t>滋賀県</t>
        </is>
      </c>
      <c r="B28" s="16">
        <f>COUNTIF('架電リスト'!$B$5:$B$1196,A28)</f>
        <v/>
      </c>
      <c r="C28" s="16">
        <f>COUNTIFS('架電リスト'!$B$5:$B$1196,A28,'架電リスト'!$E$5:$E$1196,"&lt;&gt;")</f>
        <v/>
      </c>
      <c r="D28" s="16">
        <f>B28-COUNTIFS('架電リスト'!$B$5:$B$1196,A28,'架電リスト'!$J$5:$J$1196,"未架電")-COUNTIFS('架電リスト'!$B$5:$B$1196,A28,'架電リスト'!$J$5:$J$1196,"")</f>
        <v/>
      </c>
      <c r="E28" s="16">
        <f>COUNTIFS('架電リスト'!$B$5:$B$1196,$A28,'架電リスト'!$J$5:$J$1196,"不在・折返し待ち")</f>
        <v/>
      </c>
      <c r="F28" s="16">
        <f>COUNTIFS('架電リスト'!$B$5:$B$1196,$A28,'架電リスト'!$J$5:$J$1196,"担当者不在")</f>
        <v/>
      </c>
      <c r="G28" s="16">
        <f>COUNTIFS('架電リスト'!$B$5:$B$1196,$A28,'架電リスト'!$J$5:$J$1196,"資料送付")</f>
        <v/>
      </c>
      <c r="H28" s="16">
        <f>COUNTIFS('架電リスト'!$B$5:$B$1196,$A28,'架電リスト'!$J$5:$J$1196,"アポ獲得")</f>
        <v/>
      </c>
      <c r="I28" s="16">
        <f>COUNTIFS('架電リスト'!$B$5:$B$1196,$A28,'架電リスト'!$J$5:$J$1196,"検討中")</f>
        <v/>
      </c>
      <c r="J28" s="16">
        <f>COUNTIFS('架電リスト'!$B$5:$B$1196,$A28,'架電リスト'!$J$5:$J$1196,"NG")</f>
        <v/>
      </c>
      <c r="K28" s="16">
        <f>COUNTIFS('架電リスト'!$B$5:$B$1196,$A28,'架電リスト'!$J$5:$J$1196,"番号不明")</f>
        <v/>
      </c>
    </row>
    <row r="29">
      <c r="A29" s="16" t="inlineStr">
        <is>
          <t>京都府</t>
        </is>
      </c>
      <c r="B29" s="16">
        <f>COUNTIF('架電リスト'!$B$5:$B$1196,A29)</f>
        <v/>
      </c>
      <c r="C29" s="16">
        <f>COUNTIFS('架電リスト'!$B$5:$B$1196,A29,'架電リスト'!$E$5:$E$1196,"&lt;&gt;")</f>
        <v/>
      </c>
      <c r="D29" s="16">
        <f>B29-COUNTIFS('架電リスト'!$B$5:$B$1196,A29,'架電リスト'!$J$5:$J$1196,"未架電")-COUNTIFS('架電リスト'!$B$5:$B$1196,A29,'架電リスト'!$J$5:$J$1196,"")</f>
        <v/>
      </c>
      <c r="E29" s="16">
        <f>COUNTIFS('架電リスト'!$B$5:$B$1196,$A29,'架電リスト'!$J$5:$J$1196,"不在・折返し待ち")</f>
        <v/>
      </c>
      <c r="F29" s="16">
        <f>COUNTIFS('架電リスト'!$B$5:$B$1196,$A29,'架電リスト'!$J$5:$J$1196,"担当者不在")</f>
        <v/>
      </c>
      <c r="G29" s="16">
        <f>COUNTIFS('架電リスト'!$B$5:$B$1196,$A29,'架電リスト'!$J$5:$J$1196,"資料送付")</f>
        <v/>
      </c>
      <c r="H29" s="16">
        <f>COUNTIFS('架電リスト'!$B$5:$B$1196,$A29,'架電リスト'!$J$5:$J$1196,"アポ獲得")</f>
        <v/>
      </c>
      <c r="I29" s="16">
        <f>COUNTIFS('架電リスト'!$B$5:$B$1196,$A29,'架電リスト'!$J$5:$J$1196,"検討中")</f>
        <v/>
      </c>
      <c r="J29" s="16">
        <f>COUNTIFS('架電リスト'!$B$5:$B$1196,$A29,'架電リスト'!$J$5:$J$1196,"NG")</f>
        <v/>
      </c>
      <c r="K29" s="16">
        <f>COUNTIFS('架電リスト'!$B$5:$B$1196,$A29,'架電リスト'!$J$5:$J$1196,"番号不明")</f>
        <v/>
      </c>
    </row>
    <row r="30">
      <c r="A30" s="16" t="inlineStr">
        <is>
          <t>大阪府</t>
        </is>
      </c>
      <c r="B30" s="16">
        <f>COUNTIF('架電リスト'!$B$5:$B$1196,A30)</f>
        <v/>
      </c>
      <c r="C30" s="16">
        <f>COUNTIFS('架電リスト'!$B$5:$B$1196,A30,'架電リスト'!$E$5:$E$1196,"&lt;&gt;")</f>
        <v/>
      </c>
      <c r="D30" s="16">
        <f>B30-COUNTIFS('架電リスト'!$B$5:$B$1196,A30,'架電リスト'!$J$5:$J$1196,"未架電")-COUNTIFS('架電リスト'!$B$5:$B$1196,A30,'架電リスト'!$J$5:$J$1196,"")</f>
        <v/>
      </c>
      <c r="E30" s="16">
        <f>COUNTIFS('架電リスト'!$B$5:$B$1196,$A30,'架電リスト'!$J$5:$J$1196,"不在・折返し待ち")</f>
        <v/>
      </c>
      <c r="F30" s="16">
        <f>COUNTIFS('架電リスト'!$B$5:$B$1196,$A30,'架電リスト'!$J$5:$J$1196,"担当者不在")</f>
        <v/>
      </c>
      <c r="G30" s="16">
        <f>COUNTIFS('架電リスト'!$B$5:$B$1196,$A30,'架電リスト'!$J$5:$J$1196,"資料送付")</f>
        <v/>
      </c>
      <c r="H30" s="16">
        <f>COUNTIFS('架電リスト'!$B$5:$B$1196,$A30,'架電リスト'!$J$5:$J$1196,"アポ獲得")</f>
        <v/>
      </c>
      <c r="I30" s="16">
        <f>COUNTIFS('架電リスト'!$B$5:$B$1196,$A30,'架電リスト'!$J$5:$J$1196,"検討中")</f>
        <v/>
      </c>
      <c r="J30" s="16">
        <f>COUNTIFS('架電リスト'!$B$5:$B$1196,$A30,'架電リスト'!$J$5:$J$1196,"NG")</f>
        <v/>
      </c>
      <c r="K30" s="16">
        <f>COUNTIFS('架電リスト'!$B$5:$B$1196,$A30,'架電リスト'!$J$5:$J$1196,"番号不明")</f>
        <v/>
      </c>
    </row>
    <row r="31">
      <c r="A31" s="16" t="inlineStr">
        <is>
          <t>兵庫県</t>
        </is>
      </c>
      <c r="B31" s="16">
        <f>COUNTIF('架電リスト'!$B$5:$B$1196,A31)</f>
        <v/>
      </c>
      <c r="C31" s="16">
        <f>COUNTIFS('架電リスト'!$B$5:$B$1196,A31,'架電リスト'!$E$5:$E$1196,"&lt;&gt;")</f>
        <v/>
      </c>
      <c r="D31" s="16">
        <f>B31-COUNTIFS('架電リスト'!$B$5:$B$1196,A31,'架電リスト'!$J$5:$J$1196,"未架電")-COUNTIFS('架電リスト'!$B$5:$B$1196,A31,'架電リスト'!$J$5:$J$1196,"")</f>
        <v/>
      </c>
      <c r="E31" s="16">
        <f>COUNTIFS('架電リスト'!$B$5:$B$1196,$A31,'架電リスト'!$J$5:$J$1196,"不在・折返し待ち")</f>
        <v/>
      </c>
      <c r="F31" s="16">
        <f>COUNTIFS('架電リスト'!$B$5:$B$1196,$A31,'架電リスト'!$J$5:$J$1196,"担当者不在")</f>
        <v/>
      </c>
      <c r="G31" s="16">
        <f>COUNTIFS('架電リスト'!$B$5:$B$1196,$A31,'架電リスト'!$J$5:$J$1196,"資料送付")</f>
        <v/>
      </c>
      <c r="H31" s="16">
        <f>COUNTIFS('架電リスト'!$B$5:$B$1196,$A31,'架電リスト'!$J$5:$J$1196,"アポ獲得")</f>
        <v/>
      </c>
      <c r="I31" s="16">
        <f>COUNTIFS('架電リスト'!$B$5:$B$1196,$A31,'架電リスト'!$J$5:$J$1196,"検討中")</f>
        <v/>
      </c>
      <c r="J31" s="16">
        <f>COUNTIFS('架電リスト'!$B$5:$B$1196,$A31,'架電リスト'!$J$5:$J$1196,"NG")</f>
        <v/>
      </c>
      <c r="K31" s="16">
        <f>COUNTIFS('架電リスト'!$B$5:$B$1196,$A31,'架電リスト'!$J$5:$J$1196,"番号不明")</f>
        <v/>
      </c>
    </row>
    <row r="32">
      <c r="A32" s="16" t="inlineStr">
        <is>
          <t>奈良県</t>
        </is>
      </c>
      <c r="B32" s="16">
        <f>COUNTIF('架電リスト'!$B$5:$B$1196,A32)</f>
        <v/>
      </c>
      <c r="C32" s="16">
        <f>COUNTIFS('架電リスト'!$B$5:$B$1196,A32,'架電リスト'!$E$5:$E$1196,"&lt;&gt;")</f>
        <v/>
      </c>
      <c r="D32" s="16">
        <f>B32-COUNTIFS('架電リスト'!$B$5:$B$1196,A32,'架電リスト'!$J$5:$J$1196,"未架電")-COUNTIFS('架電リスト'!$B$5:$B$1196,A32,'架電リスト'!$J$5:$J$1196,"")</f>
        <v/>
      </c>
      <c r="E32" s="16">
        <f>COUNTIFS('架電リスト'!$B$5:$B$1196,$A32,'架電リスト'!$J$5:$J$1196,"不在・折返し待ち")</f>
        <v/>
      </c>
      <c r="F32" s="16">
        <f>COUNTIFS('架電リスト'!$B$5:$B$1196,$A32,'架電リスト'!$J$5:$J$1196,"担当者不在")</f>
        <v/>
      </c>
      <c r="G32" s="16">
        <f>COUNTIFS('架電リスト'!$B$5:$B$1196,$A32,'架電リスト'!$J$5:$J$1196,"資料送付")</f>
        <v/>
      </c>
      <c r="H32" s="16">
        <f>COUNTIFS('架電リスト'!$B$5:$B$1196,$A32,'架電リスト'!$J$5:$J$1196,"アポ獲得")</f>
        <v/>
      </c>
      <c r="I32" s="16">
        <f>COUNTIFS('架電リスト'!$B$5:$B$1196,$A32,'架電リスト'!$J$5:$J$1196,"検討中")</f>
        <v/>
      </c>
      <c r="J32" s="16">
        <f>COUNTIFS('架電リスト'!$B$5:$B$1196,$A32,'架電リスト'!$J$5:$J$1196,"NG")</f>
        <v/>
      </c>
      <c r="K32" s="16">
        <f>COUNTIFS('架電リスト'!$B$5:$B$1196,$A32,'架電リスト'!$J$5:$J$1196,"番号不明")</f>
        <v/>
      </c>
    </row>
    <row r="33">
      <c r="A33" s="16" t="inlineStr">
        <is>
          <t>和歌山県</t>
        </is>
      </c>
      <c r="B33" s="16">
        <f>COUNTIF('架電リスト'!$B$5:$B$1196,A33)</f>
        <v/>
      </c>
      <c r="C33" s="16">
        <f>COUNTIFS('架電リスト'!$B$5:$B$1196,A33,'架電リスト'!$E$5:$E$1196,"&lt;&gt;")</f>
        <v/>
      </c>
      <c r="D33" s="16">
        <f>B33-COUNTIFS('架電リスト'!$B$5:$B$1196,A33,'架電リスト'!$J$5:$J$1196,"未架電")-COUNTIFS('架電リスト'!$B$5:$B$1196,A33,'架電リスト'!$J$5:$J$1196,"")</f>
        <v/>
      </c>
      <c r="E33" s="16">
        <f>COUNTIFS('架電リスト'!$B$5:$B$1196,$A33,'架電リスト'!$J$5:$J$1196,"不在・折返し待ち")</f>
        <v/>
      </c>
      <c r="F33" s="16">
        <f>COUNTIFS('架電リスト'!$B$5:$B$1196,$A33,'架電リスト'!$J$5:$J$1196,"担当者不在")</f>
        <v/>
      </c>
      <c r="G33" s="16">
        <f>COUNTIFS('架電リスト'!$B$5:$B$1196,$A33,'架電リスト'!$J$5:$J$1196,"資料送付")</f>
        <v/>
      </c>
      <c r="H33" s="16">
        <f>COUNTIFS('架電リスト'!$B$5:$B$1196,$A33,'架電リスト'!$J$5:$J$1196,"アポ獲得")</f>
        <v/>
      </c>
      <c r="I33" s="16">
        <f>COUNTIFS('架電リスト'!$B$5:$B$1196,$A33,'架電リスト'!$J$5:$J$1196,"検討中")</f>
        <v/>
      </c>
      <c r="J33" s="16">
        <f>COUNTIFS('架電リスト'!$B$5:$B$1196,$A33,'架電リスト'!$J$5:$J$1196,"NG")</f>
        <v/>
      </c>
      <c r="K33" s="16">
        <f>COUNTIFS('架電リスト'!$B$5:$B$1196,$A33,'架電リスト'!$J$5:$J$1196,"番号不明")</f>
        <v/>
      </c>
    </row>
    <row r="34">
      <c r="A34" s="16" t="inlineStr">
        <is>
          <t>鳥取県</t>
        </is>
      </c>
      <c r="B34" s="16">
        <f>COUNTIF('架電リスト'!$B$5:$B$1196,A34)</f>
        <v/>
      </c>
      <c r="C34" s="16">
        <f>COUNTIFS('架電リスト'!$B$5:$B$1196,A34,'架電リスト'!$E$5:$E$1196,"&lt;&gt;")</f>
        <v/>
      </c>
      <c r="D34" s="16">
        <f>B34-COUNTIFS('架電リスト'!$B$5:$B$1196,A34,'架電リスト'!$J$5:$J$1196,"未架電")-COUNTIFS('架電リスト'!$B$5:$B$1196,A34,'架電リスト'!$J$5:$J$1196,"")</f>
        <v/>
      </c>
      <c r="E34" s="16">
        <f>COUNTIFS('架電リスト'!$B$5:$B$1196,$A34,'架電リスト'!$J$5:$J$1196,"不在・折返し待ち")</f>
        <v/>
      </c>
      <c r="F34" s="16">
        <f>COUNTIFS('架電リスト'!$B$5:$B$1196,$A34,'架電リスト'!$J$5:$J$1196,"担当者不在")</f>
        <v/>
      </c>
      <c r="G34" s="16">
        <f>COUNTIFS('架電リスト'!$B$5:$B$1196,$A34,'架電リスト'!$J$5:$J$1196,"資料送付")</f>
        <v/>
      </c>
      <c r="H34" s="16">
        <f>COUNTIFS('架電リスト'!$B$5:$B$1196,$A34,'架電リスト'!$J$5:$J$1196,"アポ獲得")</f>
        <v/>
      </c>
      <c r="I34" s="16">
        <f>COUNTIFS('架電リスト'!$B$5:$B$1196,$A34,'架電リスト'!$J$5:$J$1196,"検討中")</f>
        <v/>
      </c>
      <c r="J34" s="16">
        <f>COUNTIFS('架電リスト'!$B$5:$B$1196,$A34,'架電リスト'!$J$5:$J$1196,"NG")</f>
        <v/>
      </c>
      <c r="K34" s="16">
        <f>COUNTIFS('架電リスト'!$B$5:$B$1196,$A34,'架電リスト'!$J$5:$J$1196,"番号不明")</f>
        <v/>
      </c>
    </row>
    <row r="35">
      <c r="A35" s="16" t="inlineStr">
        <is>
          <t>島根県</t>
        </is>
      </c>
      <c r="B35" s="16">
        <f>COUNTIF('架電リスト'!$B$5:$B$1196,A35)</f>
        <v/>
      </c>
      <c r="C35" s="16">
        <f>COUNTIFS('架電リスト'!$B$5:$B$1196,A35,'架電リスト'!$E$5:$E$1196,"&lt;&gt;")</f>
        <v/>
      </c>
      <c r="D35" s="16">
        <f>B35-COUNTIFS('架電リスト'!$B$5:$B$1196,A35,'架電リスト'!$J$5:$J$1196,"未架電")-COUNTIFS('架電リスト'!$B$5:$B$1196,A35,'架電リスト'!$J$5:$J$1196,"")</f>
        <v/>
      </c>
      <c r="E35" s="16">
        <f>COUNTIFS('架電リスト'!$B$5:$B$1196,$A35,'架電リスト'!$J$5:$J$1196,"不在・折返し待ち")</f>
        <v/>
      </c>
      <c r="F35" s="16">
        <f>COUNTIFS('架電リスト'!$B$5:$B$1196,$A35,'架電リスト'!$J$5:$J$1196,"担当者不在")</f>
        <v/>
      </c>
      <c r="G35" s="16">
        <f>COUNTIFS('架電リスト'!$B$5:$B$1196,$A35,'架電リスト'!$J$5:$J$1196,"資料送付")</f>
        <v/>
      </c>
      <c r="H35" s="16">
        <f>COUNTIFS('架電リスト'!$B$5:$B$1196,$A35,'架電リスト'!$J$5:$J$1196,"アポ獲得")</f>
        <v/>
      </c>
      <c r="I35" s="16">
        <f>COUNTIFS('架電リスト'!$B$5:$B$1196,$A35,'架電リスト'!$J$5:$J$1196,"検討中")</f>
        <v/>
      </c>
      <c r="J35" s="16">
        <f>COUNTIFS('架電リスト'!$B$5:$B$1196,$A35,'架電リスト'!$J$5:$J$1196,"NG")</f>
        <v/>
      </c>
      <c r="K35" s="16">
        <f>COUNTIFS('架電リスト'!$B$5:$B$1196,$A35,'架電リスト'!$J$5:$J$1196,"番号不明")</f>
        <v/>
      </c>
    </row>
    <row r="36">
      <c r="A36" s="16" t="inlineStr">
        <is>
          <t>岡山県</t>
        </is>
      </c>
      <c r="B36" s="16">
        <f>COUNTIF('架電リスト'!$B$5:$B$1196,A36)</f>
        <v/>
      </c>
      <c r="C36" s="16">
        <f>COUNTIFS('架電リスト'!$B$5:$B$1196,A36,'架電リスト'!$E$5:$E$1196,"&lt;&gt;")</f>
        <v/>
      </c>
      <c r="D36" s="16">
        <f>B36-COUNTIFS('架電リスト'!$B$5:$B$1196,A36,'架電リスト'!$J$5:$J$1196,"未架電")-COUNTIFS('架電リスト'!$B$5:$B$1196,A36,'架電リスト'!$J$5:$J$1196,"")</f>
        <v/>
      </c>
      <c r="E36" s="16">
        <f>COUNTIFS('架電リスト'!$B$5:$B$1196,$A36,'架電リスト'!$J$5:$J$1196,"不在・折返し待ち")</f>
        <v/>
      </c>
      <c r="F36" s="16">
        <f>COUNTIFS('架電リスト'!$B$5:$B$1196,$A36,'架電リスト'!$J$5:$J$1196,"担当者不在")</f>
        <v/>
      </c>
      <c r="G36" s="16">
        <f>COUNTIFS('架電リスト'!$B$5:$B$1196,$A36,'架電リスト'!$J$5:$J$1196,"資料送付")</f>
        <v/>
      </c>
      <c r="H36" s="16">
        <f>COUNTIFS('架電リスト'!$B$5:$B$1196,$A36,'架電リスト'!$J$5:$J$1196,"アポ獲得")</f>
        <v/>
      </c>
      <c r="I36" s="16">
        <f>COUNTIFS('架電リスト'!$B$5:$B$1196,$A36,'架電リスト'!$J$5:$J$1196,"検討中")</f>
        <v/>
      </c>
      <c r="J36" s="16">
        <f>COUNTIFS('架電リスト'!$B$5:$B$1196,$A36,'架電リスト'!$J$5:$J$1196,"NG")</f>
        <v/>
      </c>
      <c r="K36" s="16">
        <f>COUNTIFS('架電リスト'!$B$5:$B$1196,$A36,'架電リスト'!$J$5:$J$1196,"番号不明")</f>
        <v/>
      </c>
    </row>
    <row r="37">
      <c r="A37" s="16" t="inlineStr">
        <is>
          <t>広島県</t>
        </is>
      </c>
      <c r="B37" s="16">
        <f>COUNTIF('架電リスト'!$B$5:$B$1196,A37)</f>
        <v/>
      </c>
      <c r="C37" s="16">
        <f>COUNTIFS('架電リスト'!$B$5:$B$1196,A37,'架電リスト'!$E$5:$E$1196,"&lt;&gt;")</f>
        <v/>
      </c>
      <c r="D37" s="16">
        <f>B37-COUNTIFS('架電リスト'!$B$5:$B$1196,A37,'架電リスト'!$J$5:$J$1196,"未架電")-COUNTIFS('架電リスト'!$B$5:$B$1196,A37,'架電リスト'!$J$5:$J$1196,"")</f>
        <v/>
      </c>
      <c r="E37" s="16">
        <f>COUNTIFS('架電リスト'!$B$5:$B$1196,$A37,'架電リスト'!$J$5:$J$1196,"不在・折返し待ち")</f>
        <v/>
      </c>
      <c r="F37" s="16">
        <f>COUNTIFS('架電リスト'!$B$5:$B$1196,$A37,'架電リスト'!$J$5:$J$1196,"担当者不在")</f>
        <v/>
      </c>
      <c r="G37" s="16">
        <f>COUNTIFS('架電リスト'!$B$5:$B$1196,$A37,'架電リスト'!$J$5:$J$1196,"資料送付")</f>
        <v/>
      </c>
      <c r="H37" s="16">
        <f>COUNTIFS('架電リスト'!$B$5:$B$1196,$A37,'架電リスト'!$J$5:$J$1196,"アポ獲得")</f>
        <v/>
      </c>
      <c r="I37" s="16">
        <f>COUNTIFS('架電リスト'!$B$5:$B$1196,$A37,'架電リスト'!$J$5:$J$1196,"検討中")</f>
        <v/>
      </c>
      <c r="J37" s="16">
        <f>COUNTIFS('架電リスト'!$B$5:$B$1196,$A37,'架電リスト'!$J$5:$J$1196,"NG")</f>
        <v/>
      </c>
      <c r="K37" s="16">
        <f>COUNTIFS('架電リスト'!$B$5:$B$1196,$A37,'架電リスト'!$J$5:$J$1196,"番号不明")</f>
        <v/>
      </c>
    </row>
    <row r="38">
      <c r="A38" s="16" t="inlineStr">
        <is>
          <t>山口県</t>
        </is>
      </c>
      <c r="B38" s="16">
        <f>COUNTIF('架電リスト'!$B$5:$B$1196,A38)</f>
        <v/>
      </c>
      <c r="C38" s="16">
        <f>COUNTIFS('架電リスト'!$B$5:$B$1196,A38,'架電リスト'!$E$5:$E$1196,"&lt;&gt;")</f>
        <v/>
      </c>
      <c r="D38" s="16">
        <f>B38-COUNTIFS('架電リスト'!$B$5:$B$1196,A38,'架電リスト'!$J$5:$J$1196,"未架電")-COUNTIFS('架電リスト'!$B$5:$B$1196,A38,'架電リスト'!$J$5:$J$1196,"")</f>
        <v/>
      </c>
      <c r="E38" s="16">
        <f>COUNTIFS('架電リスト'!$B$5:$B$1196,$A38,'架電リスト'!$J$5:$J$1196,"不在・折返し待ち")</f>
        <v/>
      </c>
      <c r="F38" s="16">
        <f>COUNTIFS('架電リスト'!$B$5:$B$1196,$A38,'架電リスト'!$J$5:$J$1196,"担当者不在")</f>
        <v/>
      </c>
      <c r="G38" s="16">
        <f>COUNTIFS('架電リスト'!$B$5:$B$1196,$A38,'架電リスト'!$J$5:$J$1196,"資料送付")</f>
        <v/>
      </c>
      <c r="H38" s="16">
        <f>COUNTIFS('架電リスト'!$B$5:$B$1196,$A38,'架電リスト'!$J$5:$J$1196,"アポ獲得")</f>
        <v/>
      </c>
      <c r="I38" s="16">
        <f>COUNTIFS('架電リスト'!$B$5:$B$1196,$A38,'架電リスト'!$J$5:$J$1196,"検討中")</f>
        <v/>
      </c>
      <c r="J38" s="16">
        <f>COUNTIFS('架電リスト'!$B$5:$B$1196,$A38,'架電リスト'!$J$5:$J$1196,"NG")</f>
        <v/>
      </c>
      <c r="K38" s="16">
        <f>COUNTIFS('架電リスト'!$B$5:$B$1196,$A38,'架電リスト'!$J$5:$J$1196,"番号不明")</f>
        <v/>
      </c>
    </row>
    <row r="39">
      <c r="A39" s="16" t="inlineStr">
        <is>
          <t>香川県</t>
        </is>
      </c>
      <c r="B39" s="16">
        <f>COUNTIF('架電リスト'!$B$5:$B$1196,A39)</f>
        <v/>
      </c>
      <c r="C39" s="16">
        <f>COUNTIFS('架電リスト'!$B$5:$B$1196,A39,'架電リスト'!$E$5:$E$1196,"&lt;&gt;")</f>
        <v/>
      </c>
      <c r="D39" s="16">
        <f>B39-COUNTIFS('架電リスト'!$B$5:$B$1196,A39,'架電リスト'!$J$5:$J$1196,"未架電")-COUNTIFS('架電リスト'!$B$5:$B$1196,A39,'架電リスト'!$J$5:$J$1196,"")</f>
        <v/>
      </c>
      <c r="E39" s="16">
        <f>COUNTIFS('架電リスト'!$B$5:$B$1196,$A39,'架電リスト'!$J$5:$J$1196,"不在・折返し待ち")</f>
        <v/>
      </c>
      <c r="F39" s="16">
        <f>COUNTIFS('架電リスト'!$B$5:$B$1196,$A39,'架電リスト'!$J$5:$J$1196,"担当者不在")</f>
        <v/>
      </c>
      <c r="G39" s="16">
        <f>COUNTIFS('架電リスト'!$B$5:$B$1196,$A39,'架電リスト'!$J$5:$J$1196,"資料送付")</f>
        <v/>
      </c>
      <c r="H39" s="16">
        <f>COUNTIFS('架電リスト'!$B$5:$B$1196,$A39,'架電リスト'!$J$5:$J$1196,"アポ獲得")</f>
        <v/>
      </c>
      <c r="I39" s="16">
        <f>COUNTIFS('架電リスト'!$B$5:$B$1196,$A39,'架電リスト'!$J$5:$J$1196,"検討中")</f>
        <v/>
      </c>
      <c r="J39" s="16">
        <f>COUNTIFS('架電リスト'!$B$5:$B$1196,$A39,'架電リスト'!$J$5:$J$1196,"NG")</f>
        <v/>
      </c>
      <c r="K39" s="16">
        <f>COUNTIFS('架電リスト'!$B$5:$B$1196,$A39,'架電リスト'!$J$5:$J$1196,"番号不明")</f>
        <v/>
      </c>
    </row>
    <row r="40">
      <c r="A40" s="16" t="inlineStr">
        <is>
          <t>愛媛県</t>
        </is>
      </c>
      <c r="B40" s="16">
        <f>COUNTIF('架電リスト'!$B$5:$B$1196,A40)</f>
        <v/>
      </c>
      <c r="C40" s="16">
        <f>COUNTIFS('架電リスト'!$B$5:$B$1196,A40,'架電リスト'!$E$5:$E$1196,"&lt;&gt;")</f>
        <v/>
      </c>
      <c r="D40" s="16">
        <f>B40-COUNTIFS('架電リスト'!$B$5:$B$1196,A40,'架電リスト'!$J$5:$J$1196,"未架電")-COUNTIFS('架電リスト'!$B$5:$B$1196,A40,'架電リスト'!$J$5:$J$1196,"")</f>
        <v/>
      </c>
      <c r="E40" s="16">
        <f>COUNTIFS('架電リスト'!$B$5:$B$1196,$A40,'架電リスト'!$J$5:$J$1196,"不在・折返し待ち")</f>
        <v/>
      </c>
      <c r="F40" s="16">
        <f>COUNTIFS('架電リスト'!$B$5:$B$1196,$A40,'架電リスト'!$J$5:$J$1196,"担当者不在")</f>
        <v/>
      </c>
      <c r="G40" s="16">
        <f>COUNTIFS('架電リスト'!$B$5:$B$1196,$A40,'架電リスト'!$J$5:$J$1196,"資料送付")</f>
        <v/>
      </c>
      <c r="H40" s="16">
        <f>COUNTIFS('架電リスト'!$B$5:$B$1196,$A40,'架電リスト'!$J$5:$J$1196,"アポ獲得")</f>
        <v/>
      </c>
      <c r="I40" s="16">
        <f>COUNTIFS('架電リスト'!$B$5:$B$1196,$A40,'架電リスト'!$J$5:$J$1196,"検討中")</f>
        <v/>
      </c>
      <c r="J40" s="16">
        <f>COUNTIFS('架電リスト'!$B$5:$B$1196,$A40,'架電リスト'!$J$5:$J$1196,"NG")</f>
        <v/>
      </c>
      <c r="K40" s="16">
        <f>COUNTIFS('架電リスト'!$B$5:$B$1196,$A40,'架電リスト'!$J$5:$J$1196,"番号不明")</f>
        <v/>
      </c>
    </row>
    <row r="41">
      <c r="A41" s="17" t="inlineStr">
        <is>
          <t>合計</t>
        </is>
      </c>
      <c r="B41" s="17">
        <f>SUM(B4:B40)</f>
        <v/>
      </c>
      <c r="C41" s="17">
        <f>SUM(C4:C40)</f>
        <v/>
      </c>
      <c r="D41" s="17">
        <f>SUM(D4:D40)</f>
        <v/>
      </c>
      <c r="E41" s="17">
        <f>SUM(E4:E40)</f>
        <v/>
      </c>
      <c r="F41" s="17">
        <f>SUM(F4:F40)</f>
        <v/>
      </c>
      <c r="G41" s="17">
        <f>SUM(G4:G40)</f>
        <v/>
      </c>
      <c r="H41" s="17">
        <f>SUM(H4:H40)</f>
        <v/>
      </c>
      <c r="I41" s="17">
        <f>SUM(I4:I40)</f>
        <v/>
      </c>
      <c r="J41" s="17">
        <f>SUM(J4:J40)</f>
        <v/>
      </c>
      <c r="K41" s="17">
        <f>SUM(K4:K40)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・出典：ご提供いただいた学校ネットの検索結果（私立高校・37都道府県、1192校）の貼り付けデータ。並び順は都道府県ごとに元データの掲載順です。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2026-10-14T01:55:07Z</dcterms:created>
  <dcterms:modified xsi:type="dcterms:W3CDTF">2026-10-14T01:55:09Z</dcterms:modified>
</cp:coreProperties>
</file>