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'架電リスト'!$A$4:$O$59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269.html" TargetMode="External" Id="rId1" /><Relationship Type="http://schemas.openxmlformats.org/officeDocument/2006/relationships/hyperlink" Target="https://www.gakkou.net/kou/view/index_300224.html" TargetMode="External" Id="rId2" /><Relationship Type="http://schemas.openxmlformats.org/officeDocument/2006/relationships/hyperlink" Target="https://www.gakkou.net/kou/view/index_300215.html" TargetMode="External" Id="rId3" /><Relationship Type="http://schemas.openxmlformats.org/officeDocument/2006/relationships/hyperlink" Target="https://www.gakkou.net/kou/view/index_300258.html" TargetMode="External" Id="rId4" /><Relationship Type="http://schemas.openxmlformats.org/officeDocument/2006/relationships/hyperlink" Target="https://www.gakkou.net/kou/view/index_300257.html" TargetMode="External" Id="rId5" /><Relationship Type="http://schemas.openxmlformats.org/officeDocument/2006/relationships/hyperlink" Target="https://www.gakkou.net/kou/view/index_300035.html" TargetMode="External" Id="rId6" /><Relationship Type="http://schemas.openxmlformats.org/officeDocument/2006/relationships/hyperlink" Target="https://www.gakkou.net/kou/view/index_306474.html" TargetMode="External" Id="rId7" /><Relationship Type="http://schemas.openxmlformats.org/officeDocument/2006/relationships/hyperlink" Target="https://www.gakkou.net/kou/view/index_300073.html" TargetMode="External" Id="rId8" /><Relationship Type="http://schemas.openxmlformats.org/officeDocument/2006/relationships/hyperlink" Target="https://www.gakkou.net/kou/view/index_300077.html" TargetMode="External" Id="rId9" /><Relationship Type="http://schemas.openxmlformats.org/officeDocument/2006/relationships/hyperlink" Target="https://www.gakkou.net/kou/view/index_300273.html" TargetMode="External" Id="rId10" /><Relationship Type="http://schemas.openxmlformats.org/officeDocument/2006/relationships/hyperlink" Target="https://www.gakkou.net/kou/view/index_300279.html" TargetMode="External" Id="rId11" /><Relationship Type="http://schemas.openxmlformats.org/officeDocument/2006/relationships/hyperlink" Target="https://www.gakkou.net/kou/view/index_300107.html" TargetMode="External" Id="rId12" /><Relationship Type="http://schemas.openxmlformats.org/officeDocument/2006/relationships/hyperlink" Target="https://www.gakkou.net/kou/view/index_300332.html" TargetMode="External" Id="rId13" /><Relationship Type="http://schemas.openxmlformats.org/officeDocument/2006/relationships/hyperlink" Target="https://www.gakkou.net/kou/view/index_306309.html" TargetMode="External" Id="rId14" /><Relationship Type="http://schemas.openxmlformats.org/officeDocument/2006/relationships/hyperlink" Target="https://www.gakkou.net/kou/view/index_300119.html" TargetMode="External" Id="rId15" /><Relationship Type="http://schemas.openxmlformats.org/officeDocument/2006/relationships/hyperlink" Target="https://www.gakkou.net/kou/view/index_300030.html" TargetMode="External" Id="rId16" /><Relationship Type="http://schemas.openxmlformats.org/officeDocument/2006/relationships/hyperlink" Target="https://www.gakkou.net/kou/view/index_300032.html" TargetMode="External" Id="rId17" /><Relationship Type="http://schemas.openxmlformats.org/officeDocument/2006/relationships/hyperlink" Target="https://www.gakkou.net/kou/view/index_300015.html" TargetMode="External" Id="rId18" /><Relationship Type="http://schemas.openxmlformats.org/officeDocument/2006/relationships/hyperlink" Target="https://www.gakkou.net/kou/view/index_306723.html" TargetMode="External" Id="rId19" /><Relationship Type="http://schemas.openxmlformats.org/officeDocument/2006/relationships/hyperlink" Target="https://www.gakkou.net/kou/view/index_300147.html" TargetMode="External" Id="rId20" /><Relationship Type="http://schemas.openxmlformats.org/officeDocument/2006/relationships/hyperlink" Target="https://www.gakkou.net/kou/view/index_300153.html" TargetMode="External" Id="rId21" /><Relationship Type="http://schemas.openxmlformats.org/officeDocument/2006/relationships/hyperlink" Target="https://www.gakkou.net/kou/view/index_300170.html" TargetMode="External" Id="rId22" /><Relationship Type="http://schemas.openxmlformats.org/officeDocument/2006/relationships/hyperlink" Target="https://www.gakkou.net/kou/view/index_300159.html" TargetMode="External" Id="rId23" /><Relationship Type="http://schemas.openxmlformats.org/officeDocument/2006/relationships/hyperlink" Target="https://www.gakkou.net/kou/view/index_300031.html" TargetMode="External" Id="rId24" /><Relationship Type="http://schemas.openxmlformats.org/officeDocument/2006/relationships/hyperlink" Target="https://www.gakkou.net/kou/view/index_300178.html" TargetMode="External" Id="rId25" /><Relationship Type="http://schemas.openxmlformats.org/officeDocument/2006/relationships/hyperlink" Target="https://www.gakkou.net/kou/view/index_300142.html" TargetMode="External" Id="rId26" /><Relationship Type="http://schemas.openxmlformats.org/officeDocument/2006/relationships/hyperlink" Target="https://www.gakkou.net/kou/view/index_300290.html" TargetMode="External" Id="rId27" /><Relationship Type="http://schemas.openxmlformats.org/officeDocument/2006/relationships/hyperlink" Target="https://www.gakkou.net/kou/view/index_306406.html" TargetMode="External" Id="rId28" /><Relationship Type="http://schemas.openxmlformats.org/officeDocument/2006/relationships/hyperlink" Target="https://www.gakkou.net/kou/view/index_300044.html" TargetMode="External" Id="rId29" /><Relationship Type="http://schemas.openxmlformats.org/officeDocument/2006/relationships/hyperlink" Target="https://www.gakkou.net/kou/view/index_300017.html" TargetMode="External" Id="rId30" /><Relationship Type="http://schemas.openxmlformats.org/officeDocument/2006/relationships/hyperlink" Target="https://www.gakkou.net/kou/view/index_300122.html" TargetMode="External" Id="rId31" /><Relationship Type="http://schemas.openxmlformats.org/officeDocument/2006/relationships/hyperlink" Target="https://www.gakkou.net/kou/view/index_306787.html" TargetMode="External" Id="rId32" /><Relationship Type="http://schemas.openxmlformats.org/officeDocument/2006/relationships/hyperlink" Target="https://www.gakkou.net/kou/view/index_300050.html" TargetMode="External" Id="rId33" /><Relationship Type="http://schemas.openxmlformats.org/officeDocument/2006/relationships/hyperlink" Target="https://www.gakkou.net/kou/view/index_300034.html" TargetMode="External" Id="rId34" /><Relationship Type="http://schemas.openxmlformats.org/officeDocument/2006/relationships/hyperlink" Target="https://www.gakkou.net/kou/view/index_300045.html" TargetMode="External" Id="rId35" /><Relationship Type="http://schemas.openxmlformats.org/officeDocument/2006/relationships/hyperlink" Target="https://www.gakkou.net/kou/view/index_300055.html" TargetMode="External" Id="rId36" /><Relationship Type="http://schemas.openxmlformats.org/officeDocument/2006/relationships/hyperlink" Target="https://www.gakkou.net/kou/view/index_300054.html" TargetMode="External" Id="rId37" /><Relationship Type="http://schemas.openxmlformats.org/officeDocument/2006/relationships/hyperlink" Target="https://www.gakkou.net/kou/view/index_300047.html" TargetMode="External" Id="rId38" /><Relationship Type="http://schemas.openxmlformats.org/officeDocument/2006/relationships/hyperlink" Target="https://www.gakkou.net/kou/view/index_300154.html" TargetMode="External" Id="rId39" /><Relationship Type="http://schemas.openxmlformats.org/officeDocument/2006/relationships/hyperlink" Target="https://www.gakkou.net/kou/view/index_300301.html" TargetMode="External" Id="rId40" /><Relationship Type="http://schemas.openxmlformats.org/officeDocument/2006/relationships/hyperlink" Target="https://www.gakkou.net/kou/view/index_300076.html" TargetMode="External" Id="rId41" /><Relationship Type="http://schemas.openxmlformats.org/officeDocument/2006/relationships/hyperlink" Target="https://www.gakkou.net/kou/view/index_300148.html" TargetMode="External" Id="rId42" /><Relationship Type="http://schemas.openxmlformats.org/officeDocument/2006/relationships/hyperlink" Target="https://www.gakkou.net/kou/view/index_300012.html" TargetMode="External" Id="rId43" /><Relationship Type="http://schemas.openxmlformats.org/officeDocument/2006/relationships/hyperlink" Target="https://www.gakkou.net/kou/view/index_300066.html" TargetMode="External" Id="rId44" /><Relationship Type="http://schemas.openxmlformats.org/officeDocument/2006/relationships/hyperlink" Target="https://www.gakkou.net/kou/view/index_300169.html" TargetMode="External" Id="rId45" /><Relationship Type="http://schemas.openxmlformats.org/officeDocument/2006/relationships/hyperlink" Target="https://www.gakkou.net/kou/view/index_300174.html" TargetMode="External" Id="rId46" /><Relationship Type="http://schemas.openxmlformats.org/officeDocument/2006/relationships/hyperlink" Target="https://www.gakkou.net/kou/view/index_300173.html" TargetMode="External" Id="rId47" /><Relationship Type="http://schemas.openxmlformats.org/officeDocument/2006/relationships/hyperlink" Target="https://www.gakkou.net/kou/view/index_300105.html" TargetMode="External" Id="rId48" /><Relationship Type="http://schemas.openxmlformats.org/officeDocument/2006/relationships/hyperlink" Target="https://www.gakkou.net/kou/view/index_300175.html" TargetMode="External" Id="rId49" /><Relationship Type="http://schemas.openxmlformats.org/officeDocument/2006/relationships/hyperlink" Target="https://www.gakkou.net/kou/view/index_306548.html" TargetMode="External" Id="rId50" /><Relationship Type="http://schemas.openxmlformats.org/officeDocument/2006/relationships/hyperlink" Target="https://www.gakkou.net/kou/view/index_300137.html" TargetMode="External" Id="rId51" /><Relationship Type="http://schemas.openxmlformats.org/officeDocument/2006/relationships/hyperlink" Target="https://www.gakkou.net/kou/view/index_300021.html" TargetMode="External" Id="rId52" /><Relationship Type="http://schemas.openxmlformats.org/officeDocument/2006/relationships/hyperlink" Target="https://www.gakkou.net/kou/view/index_300202.html" TargetMode="External" Id="rId53" /><Relationship Type="http://schemas.openxmlformats.org/officeDocument/2006/relationships/hyperlink" Target="https://www.gakkou.net/kou/view/index_300201.html" TargetMode="External" Id="rId54" /><Relationship Type="http://schemas.openxmlformats.org/officeDocument/2006/relationships/hyperlink" Target="https://www.gakkou.net/kou/view/index_300355.html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架電リスト（北海道／55校）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北海道</t>
        </is>
      </c>
      <c r="C5" s="5" t="inlineStr">
        <is>
          <t>旭川市</t>
        </is>
      </c>
      <c r="D5" s="5" t="inlineStr">
        <is>
          <t>旭川志峯高等学校</t>
        </is>
      </c>
      <c r="E5" s="6" t="inlineStr">
        <is>
          <t>0166-48-1221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旧称は旭川大学高校。ハローワーク旭川の名簿（R7.6）とJS日本の学校の番号が一致</t>
        </is>
      </c>
      <c r="N5" s="11" t="inlineStr">
        <is>
          <t>https://jsite.mhlw.go.jp/hokkaido-hellowork/content/contents/002280302.pdf ; https://school.js88.com/scl_h/22052950</t>
        </is>
      </c>
      <c r="O5" s="12" t="inlineStr">
        <is>
          <t>開く</t>
        </is>
      </c>
    </row>
    <row r="6">
      <c r="A6" s="4" t="n">
        <v>2</v>
      </c>
      <c r="B6" s="5" t="inlineStr">
        <is>
          <t>北海道</t>
        </is>
      </c>
      <c r="C6" s="5" t="inlineStr">
        <is>
          <t>旭川市</t>
        </is>
      </c>
      <c r="D6" s="5" t="inlineStr">
        <is>
          <t>旭川実業高等学校</t>
        </is>
      </c>
      <c r="E6" s="6" t="inlineStr">
        <is>
          <t>0166-51-1246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ハローワーク名簿とJS日本の学校・みんなの高校情報の番号が一致</t>
        </is>
      </c>
      <c r="N6" s="11" t="inlineStr">
        <is>
          <t>https://jsite.mhlw.go.jp/hokkaido-hellowork/content/contents/002280302.pdf ; https://school.js88.com/scl_h/22052940</t>
        </is>
      </c>
      <c r="O6" s="12" t="inlineStr">
        <is>
          <t>開く</t>
        </is>
      </c>
    </row>
    <row r="7">
      <c r="A7" s="4" t="n">
        <v>3</v>
      </c>
      <c r="B7" s="5" t="inlineStr">
        <is>
          <t>北海道</t>
        </is>
      </c>
      <c r="C7" s="5" t="inlineStr">
        <is>
          <t>旭川市</t>
        </is>
      </c>
      <c r="D7" s="5" t="inlineStr">
        <is>
          <t>旭川藤星高等学校</t>
        </is>
      </c>
      <c r="E7" s="6" t="inlineStr">
        <is>
          <t>0166-51-8125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JS日本の学校のみで確認。公式サイトは asahikawa-tosei.jp</t>
        </is>
      </c>
      <c r="N7" s="11" t="inlineStr">
        <is>
          <t>https://school.js88.com/scl_h/22052920</t>
        </is>
      </c>
      <c r="O7" s="12" t="inlineStr">
        <is>
          <t>開く</t>
        </is>
      </c>
    </row>
    <row r="8">
      <c r="A8" s="4" t="n">
        <v>4</v>
      </c>
      <c r="B8" s="5" t="inlineStr">
        <is>
          <t>北海道</t>
        </is>
      </c>
      <c r="C8" s="5" t="inlineStr">
        <is>
          <t>旭川市</t>
        </is>
      </c>
      <c r="D8" s="5" t="inlineStr">
        <is>
          <t>旭川明成高等学校</t>
        </is>
      </c>
      <c r="E8" s="6" t="inlineStr">
        <is>
          <t>0166-51-3220</t>
        </is>
      </c>
      <c r="F8" s="7" t="inlineStr">
        <is>
          <t>高</t>
        </is>
      </c>
      <c r="G8" s="5" t="inlineStr">
        <is>
          <t>総合学科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ハローワーク名簿とJS日本の学校の番号が一致</t>
        </is>
      </c>
      <c r="N8" s="11" t="inlineStr">
        <is>
          <t>https://jsite.mhlw.go.jp/hokkaido-hellowork/content/contents/002280302.pdf ; https://school.js88.com/scl_h/22053120</t>
        </is>
      </c>
      <c r="O8" s="12" t="inlineStr">
        <is>
          <t>開く</t>
        </is>
      </c>
    </row>
    <row r="9">
      <c r="A9" s="4" t="n">
        <v>5</v>
      </c>
      <c r="B9" s="5" t="inlineStr">
        <is>
          <t>北海道</t>
        </is>
      </c>
      <c r="C9" s="5" t="inlineStr">
        <is>
          <t>旭川市</t>
        </is>
      </c>
      <c r="D9" s="5" t="inlineStr">
        <is>
          <t>旭川龍谷高等学校</t>
        </is>
      </c>
      <c r="E9" s="6" t="inlineStr">
        <is>
          <t>0166-39-2700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JS日本の学校と道私学協会の資料（2023）の番号が一致</t>
        </is>
      </c>
      <c r="N9" s="11" t="inlineStr">
        <is>
          <t>https://school.js88.com/scl_h/22052930 ; https://www.doshigaku.jp/pdf/2023_transfe_10.pdf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北海道</t>
        </is>
      </c>
      <c r="C10" s="5" t="inlineStr">
        <is>
          <t>函館市</t>
        </is>
      </c>
      <c r="D10" s="5" t="inlineStr">
        <is>
          <t>遺愛女子高等学校（青山学院大学教育提携校）</t>
        </is>
      </c>
      <c r="E10" s="6" t="inlineStr">
        <is>
          <t>0138-51-0418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公式パンフレットで確認。学院の代表番号（中学校と共通）</t>
        </is>
      </c>
      <c r="N10" s="11" t="inlineStr">
        <is>
          <t>https://www.iaijoshi-h.ed.jp/wp-content/uploads/2022/07/2023遺愛女子高校パンフレット.pdf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北海道</t>
        </is>
      </c>
      <c r="C11" s="5" t="inlineStr">
        <is>
          <t>札幌市豊平区</t>
        </is>
      </c>
      <c r="D11" s="5" t="inlineStr">
        <is>
          <t>池上学院高等学校</t>
        </is>
      </c>
      <c r="E11" s="6" t="inlineStr">
        <is>
          <t>011-811-5297</t>
        </is>
      </c>
      <c r="F11" s="13" t="inlineStr">
        <is>
          <t>中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通信制・札幌本校の番号。入学相談用フリーダイヤル0120-195-315の記載もあり</t>
        </is>
      </c>
      <c r="N11" s="11" t="inlineStr">
        <is>
          <t>https://www.minkou.jp/hischool/school/330/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北海道</t>
        </is>
      </c>
      <c r="C12" s="5" t="inlineStr">
        <is>
          <t>小樽市</t>
        </is>
      </c>
      <c r="D12" s="5" t="inlineStr">
        <is>
          <t>小樽双葉高等学校</t>
        </is>
      </c>
      <c r="E12" s="6" t="inlineStr">
        <is>
          <t>0134-32-1828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JS日本の学校と道私学協会の資料の番号が一致。通信制課程の職員室は0134-31-3100</t>
        </is>
      </c>
      <c r="N12" s="11" t="inlineStr">
        <is>
          <t>https://school.js88.com/scl_h/22052880 ; https://www.doshigaku.jp/pdf/2023_transfe_10.pdf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北海道</t>
        </is>
      </c>
      <c r="C13" s="5" t="inlineStr">
        <is>
          <t>小樽市</t>
        </is>
      </c>
      <c r="D13" s="5" t="inlineStr">
        <is>
          <t>小樽明峰高等学校</t>
        </is>
      </c>
      <c r="E13" s="6" t="inlineStr">
        <is>
          <t>0134-22-7755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JS日本の学校と札幌市中学校の資料の番号が一致</t>
        </is>
      </c>
      <c r="N13" s="11" t="inlineStr">
        <is>
          <t>https://school.js88.com/scl_h/22052890/ ; https://www16.sapporo-c.ed.jp/sakaeminami-j/attach/get2/4692/0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北海道</t>
        </is>
      </c>
      <c r="C14" s="5" t="inlineStr">
        <is>
          <t>帯広市</t>
        </is>
      </c>
      <c r="D14" s="5" t="inlineStr">
        <is>
          <t>帯広大谷高等学校</t>
        </is>
      </c>
      <c r="E14" s="6" t="inlineStr">
        <is>
          <t>0155-33-5811</t>
        </is>
      </c>
      <c r="F14" s="13" t="inlineStr">
        <is>
          <t>中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2018年の高文連資料のみで確認。最新かは未確認</t>
        </is>
      </c>
      <c r="N14" s="11" t="inlineStr">
        <is>
          <t>https://www.koubunren-volunteer.hokkaido-c.ed.jp/wysiwyg/file/download/1/16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北海道</t>
        </is>
      </c>
      <c r="C15" s="5" t="inlineStr">
        <is>
          <t>帯広市</t>
        </is>
      </c>
      <c r="D15" s="5" t="inlineStr">
        <is>
          <t>帯広北高等学校</t>
        </is>
      </c>
      <c r="E15" s="6" t="inlineStr">
        <is>
          <t>0155-47-0121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JS日本の学校とみんなの高校情報の番号が一致</t>
        </is>
      </c>
      <c r="N15" s="11" t="inlineStr">
        <is>
          <t>https://school.js88.com/scl_h/22053070 ; https://www.minkou.jp/hischool/school/1042/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北海道</t>
        </is>
      </c>
      <c r="C16" s="5" t="inlineStr">
        <is>
          <t>室蘭市</t>
        </is>
      </c>
      <c r="D16" s="5" t="inlineStr">
        <is>
          <t>海星学院高等学校</t>
        </is>
      </c>
      <c r="E16" s="6" t="inlineStr">
        <is>
          <t>0143-46-8888</t>
        </is>
      </c>
      <c r="F16" s="13" t="inlineStr">
        <is>
          <t>中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JS日本の学校のみで確認</t>
        </is>
      </c>
      <c r="N16" s="11" t="inlineStr">
        <is>
          <t>https://school.js88.com/scl_h/22053040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北海道</t>
        </is>
      </c>
      <c r="C17" s="5" t="inlineStr">
        <is>
          <t>北見市</t>
        </is>
      </c>
      <c r="D17" s="5" t="inlineStr">
        <is>
          <t>北見藤高等学校</t>
        </is>
      </c>
      <c r="E17" s="6" t="inlineStr">
        <is>
          <t>0157-23-3212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JS日本の学校とYahoo!マップで一致</t>
        </is>
      </c>
      <c r="N17" s="11" t="inlineStr">
        <is>
          <t>https://school.js88.com/scl_h/22052980 ; https://map.yahoo.co.jp/v3/place/F1bCf-OH6f6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北海道</t>
        </is>
      </c>
      <c r="C18" s="5" t="inlineStr">
        <is>
          <t>深川市</t>
        </is>
      </c>
      <c r="D18" s="5" t="inlineStr">
        <is>
          <t>クラーク記念国際高等学校</t>
        </is>
      </c>
      <c r="E18" s="6" t="inlineStr">
        <is>
          <t>0164-24-2001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深川市の本校の番号。全国にキャンパスあり</t>
        </is>
      </c>
      <c r="N18" s="11" t="inlineStr">
        <is>
          <t>https://www.minkou.jp/hischool/school/1635/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北海道</t>
        </is>
      </c>
      <c r="C19" s="5" t="inlineStr">
        <is>
          <t>苫小牧市</t>
        </is>
      </c>
      <c r="D19" s="5" t="inlineStr">
        <is>
          <t>駒澤大学附属苫小牧高等学校</t>
        </is>
      </c>
      <c r="E19" s="6" t="inlineStr">
        <is>
          <t>0144-32-6291</t>
        </is>
      </c>
      <c r="F19" s="13" t="inlineStr">
        <is>
          <t>中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JS日本の学校のみで確認</t>
        </is>
      </c>
      <c r="N19" s="11" t="inlineStr">
        <is>
          <t>https://school.js88.com/scl_h/22053010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北海道</t>
        </is>
      </c>
      <c r="C20" s="5" t="inlineStr">
        <is>
          <t>札幌市東区</t>
        </is>
      </c>
      <c r="D20" s="5" t="inlineStr">
        <is>
          <t>札幌大谷高等学校</t>
        </is>
      </c>
      <c r="E20" s="6" t="inlineStr">
        <is>
          <t>011-731-2451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札幌市の一覧とJS日本の学校で一致。中学校と共通</t>
        </is>
      </c>
      <c r="N20" s="11" t="inlineStr">
        <is>
          <t>https://www.city.sapporo.jp/higashi/about/ins_school.html ; https://school.js88.com/scl_h/22052680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北海道</t>
        </is>
      </c>
      <c r="C21" s="5" t="inlineStr">
        <is>
          <t>札幌市東区</t>
        </is>
      </c>
      <c r="D21" s="5" t="inlineStr">
        <is>
          <t>札幌光星高等学校</t>
        </is>
      </c>
      <c r="E21" s="6" t="inlineStr">
        <is>
          <t>011-711-7161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公式資料に「代表」と記載</t>
        </is>
      </c>
      <c r="N21" s="11" t="inlineStr">
        <is>
          <t>https://www.sapporokosei.ac.jp/common/img/content/content_20260428_165448.pdf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北海道</t>
        </is>
      </c>
      <c r="C22" s="5" t="inlineStr">
        <is>
          <t>札幌市南区</t>
        </is>
      </c>
      <c r="D22" s="5" t="inlineStr">
        <is>
          <t>札幌新陽高等学校</t>
        </is>
      </c>
      <c r="E22" s="6" t="inlineStr">
        <is>
          <t>011-821-6161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札幌市の一覧とJS日本の学校で一致</t>
        </is>
      </c>
      <c r="N22" s="11" t="inlineStr">
        <is>
          <t>https://www.city.sapporo.jp/minami/shisetsu/sonota.html ; https://school.js88.com/scl_h/22052720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北海道</t>
        </is>
      </c>
      <c r="C23" s="5" t="inlineStr">
        <is>
          <t>和寒町</t>
        </is>
      </c>
      <c r="D23" s="5" t="inlineStr">
        <is>
          <t>札幌自由が丘学園三和高等学校</t>
        </is>
      </c>
      <c r="E23" s="14" t="n"/>
      <c r="F23" s="15" t="inlineStr">
        <is>
          <t>要調査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和寒本校の番号を特定できず。候補：011-792-1468（公式では札幌学習センター）／011-743-1267。校名変更の可能性あり</t>
        </is>
      </c>
      <c r="N23" s="11" t="inlineStr">
        <is>
          <t>https://sanwa71.sakura.ne.jp/contact/ ; https://www.mapion.co.jp/phonebook/M11004/01464/ILSP0000041214_ipclm/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北海道</t>
        </is>
      </c>
      <c r="C24" s="5" t="inlineStr">
        <is>
          <t>札幌市中央区</t>
        </is>
      </c>
      <c r="D24" s="5" t="inlineStr">
        <is>
          <t>札幌静修高等学校</t>
        </is>
      </c>
      <c r="E24" s="6" t="inlineStr">
        <is>
          <t>011-521-0234</t>
        </is>
      </c>
      <c r="F24" s="13" t="inlineStr">
        <is>
          <t>中</t>
        </is>
      </c>
      <c r="G24" s="5" t="inlineStr">
        <is>
          <t>普通科・専門学科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JS日本の学校のみで確認</t>
        </is>
      </c>
      <c r="N24" s="11" t="inlineStr">
        <is>
          <t>https://school.js88.com/scl_h/22052690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北海道</t>
        </is>
      </c>
      <c r="C25" s="5" t="inlineStr">
        <is>
          <t>札幌市北区</t>
        </is>
      </c>
      <c r="D25" s="5" t="inlineStr">
        <is>
          <t>札幌創成高等学校</t>
        </is>
      </c>
      <c r="E25" s="6" t="inlineStr">
        <is>
          <t>011-726-1578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道私学協会の資料と札幌市中学校の配布資料で一致</t>
        </is>
      </c>
      <c r="N25" s="11" t="inlineStr">
        <is>
          <t>https://www.doshigaku.jp/pdf/2023_transfe_10.pdf ; https://school.js88.com/scl_h/22049910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北海道</t>
        </is>
      </c>
      <c r="C26" s="5" t="inlineStr">
        <is>
          <t>札幌市豊平区</t>
        </is>
      </c>
      <c r="D26" s="5" t="inlineStr">
        <is>
          <t>札幌第一高等学校</t>
        </is>
      </c>
      <c r="E26" s="6" t="inlineStr">
        <is>
          <t>011-851-9361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公式サイトで「代表」と確認。入試事務局は011-851-6729</t>
        </is>
      </c>
      <c r="N26" s="11" t="inlineStr">
        <is>
          <t>https://www.kibou.ac.jp/daiichi/introduction/access/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北海道</t>
        </is>
      </c>
      <c r="C27" s="5" t="inlineStr">
        <is>
          <t>北広島市</t>
        </is>
      </c>
      <c r="D27" s="5" t="inlineStr">
        <is>
          <t>札幌日本大学高等学校</t>
        </is>
      </c>
      <c r="E27" s="6" t="inlineStr">
        <is>
          <t>011-375-2611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複数資料で一致。中高併設</t>
        </is>
      </c>
      <c r="N27" s="11" t="inlineStr">
        <is>
          <t>https://school.js88.com/scl_h/22053100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北海道</t>
        </is>
      </c>
      <c r="C28" s="5" t="inlineStr">
        <is>
          <t>札幌市東区</t>
        </is>
      </c>
      <c r="D28" s="5" t="inlineStr">
        <is>
          <t>札幌北斗高等学校</t>
        </is>
      </c>
      <c r="E28" s="6" t="inlineStr">
        <is>
          <t>011-711-6121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札幌市東区の学校一覧と地図サイトで一致</t>
        </is>
      </c>
      <c r="N28" s="11" t="inlineStr">
        <is>
          <t>https://www.city.sapporo.jp/higashi/about/ins_school.html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北海道</t>
        </is>
      </c>
      <c r="C29" s="5" t="inlineStr">
        <is>
          <t>札幌市西区</t>
        </is>
      </c>
      <c r="D29" s="5" t="inlineStr">
        <is>
          <t>札幌山の手高等学校</t>
        </is>
      </c>
      <c r="E29" s="6" t="inlineStr">
        <is>
          <t>011-611-7301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代表番号。札幌市立中学校の配布資料と一致</t>
        </is>
      </c>
      <c r="N29" s="11" t="inlineStr">
        <is>
          <t>https://school.js88.com/scl_h/22052710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北海道</t>
        </is>
      </c>
      <c r="C30" s="5" t="inlineStr">
        <is>
          <t>札幌市中央区</t>
        </is>
      </c>
      <c r="D30" s="5" t="inlineStr">
        <is>
          <t>札幌龍谷学園高等学校</t>
        </is>
      </c>
      <c r="E30" s="6" t="inlineStr">
        <is>
          <t>011-631-4386</t>
        </is>
      </c>
      <c r="F30" s="13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札幌市立中学校の配布チラシで確認。公式サイトでは未確認</t>
        </is>
      </c>
      <c r="N30" s="11" t="inlineStr">
        <is>
          <t>https://www16.sapporo-c.ed.jp/kiyota-j/attach/get2/2208/0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北海道</t>
        </is>
      </c>
      <c r="C31" s="5" t="inlineStr">
        <is>
          <t>芽室町</t>
        </is>
      </c>
      <c r="D31" s="5" t="inlineStr">
        <is>
          <t>白樺学園高等学校</t>
        </is>
      </c>
      <c r="E31" s="6" t="inlineStr">
        <is>
          <t>0155-62-7411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中高併設</t>
        </is>
      </c>
      <c r="N31" s="11" t="inlineStr">
        <is>
          <t>https://school.js88.com/scl_h/22053060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北海道</t>
        </is>
      </c>
      <c r="C32" s="5" t="inlineStr">
        <is>
          <t>芦別市</t>
        </is>
      </c>
      <c r="D32" s="5" t="inlineStr">
        <is>
          <t>星槎国際高等学校</t>
        </is>
      </c>
      <c r="E32" s="6" t="inlineStr">
        <is>
          <t>0124-24-6101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芦別の本部校の番号（公式サイト）。全国にキャンパスあり</t>
        </is>
      </c>
      <c r="N32" s="11" t="inlineStr">
        <is>
          <t>https://seisa.ed.jp/ashibetsu/access/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北海道</t>
        </is>
      </c>
      <c r="C33" s="5" t="inlineStr">
        <is>
          <t>函館市</t>
        </is>
      </c>
      <c r="D33" s="5" t="inlineStr">
        <is>
          <t>清尚学院高等学校</t>
        </is>
      </c>
      <c r="E33" s="6" t="inlineStr">
        <is>
          <t>0138-41-6584</t>
        </is>
      </c>
      <c r="F33" s="13" t="inlineStr">
        <is>
          <t>中</t>
        </is>
      </c>
      <c r="G33" s="5" t="inlineStr">
        <is>
          <t>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JS日本の学校のみで確認</t>
        </is>
      </c>
      <c r="N33" s="11" t="inlineStr">
        <is>
          <t>https://school.js88.com/scl_h/22052840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北海道</t>
        </is>
      </c>
      <c r="C34" s="5" t="inlineStr">
        <is>
          <t>札幌市南区</t>
        </is>
      </c>
      <c r="D34" s="5" t="inlineStr">
        <is>
          <t>東海大学付属札幌高等学校</t>
        </is>
      </c>
      <c r="E34" s="6" t="inlineStr">
        <is>
          <t>011-571-5175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複数資料で一致</t>
        </is>
      </c>
      <c r="N34" s="11" t="inlineStr">
        <is>
          <t>https://school.js88.com/scl_h/22052760/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北海道</t>
        </is>
      </c>
      <c r="C35" s="5" t="inlineStr">
        <is>
          <t>苫小牧市</t>
        </is>
      </c>
      <c r="D35" s="5" t="inlineStr">
        <is>
          <t>苫小牧中央高等学校</t>
        </is>
      </c>
      <c r="E35" s="6" t="inlineStr">
        <is>
          <t>0144-74-4200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公式サイト：事務室。職員室は0144-74-4300</t>
        </is>
      </c>
      <c r="N35" s="11" t="inlineStr">
        <is>
          <t>https://haragakuen.ac.jp/access/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北海道</t>
        </is>
      </c>
      <c r="C36" s="5" t="inlineStr">
        <is>
          <t>千歳市</t>
        </is>
      </c>
      <c r="D36" s="5" t="inlineStr">
        <is>
          <t>日本航空高等学校 北海道</t>
        </is>
      </c>
      <c r="E36" s="6" t="inlineStr">
        <is>
          <t>0123-28-1155</t>
        </is>
      </c>
      <c r="F36" s="7" t="inlineStr">
        <is>
          <t>高</t>
        </is>
      </c>
      <c r="G36" s="5" t="inlineStr">
        <is>
          <t>専門学科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千歳市の北海道キャンパスの番号。日本航空大学校とは別</t>
        </is>
      </c>
      <c r="N36" s="11" t="inlineStr">
        <is>
          <t>https://school.js88.com/scl_h/34055718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北海道</t>
        </is>
      </c>
      <c r="C37" s="5" t="inlineStr">
        <is>
          <t>函館市</t>
        </is>
      </c>
      <c r="D37" s="5" t="inlineStr">
        <is>
          <t>函館大谷高等学校</t>
        </is>
      </c>
      <c r="E37" s="6" t="inlineStr">
        <is>
          <t>0138-52-1834</t>
        </is>
      </c>
      <c r="F37" s="13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JS日本の学校のみで確認</t>
        </is>
      </c>
      <c r="N37" s="11" t="inlineStr">
        <is>
          <t>https://school.js88.com/scl_h/22052800/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北海道</t>
        </is>
      </c>
      <c r="C38" s="5" t="inlineStr">
        <is>
          <t>函館市</t>
        </is>
      </c>
      <c r="D38" s="5" t="inlineStr">
        <is>
          <t>函館大妻高等学校</t>
        </is>
      </c>
      <c r="E38" s="6" t="inlineStr">
        <is>
          <t>0138-52-1890</t>
        </is>
      </c>
      <c r="F38" s="13" t="inlineStr">
        <is>
          <t>中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みんなの高校情報のみで確認</t>
        </is>
      </c>
      <c r="N38" s="11" t="inlineStr">
        <is>
          <t>https://www.minkou.jp/hischool/school/deviation/3622/?c=1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北海道</t>
        </is>
      </c>
      <c r="C39" s="5" t="inlineStr">
        <is>
          <t>函館市</t>
        </is>
      </c>
      <c r="D39" s="5" t="inlineStr">
        <is>
          <t>函館白百合学園高等学校</t>
        </is>
      </c>
      <c r="E39" s="6" t="inlineStr">
        <is>
          <t>0138-55-6682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中高共通の代表番号</t>
        </is>
      </c>
      <c r="N39" s="11" t="inlineStr">
        <is>
          <t>https://school.js88.com/scl_h/22052830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北海道</t>
        </is>
      </c>
      <c r="C40" s="5" t="inlineStr">
        <is>
          <t>函館市</t>
        </is>
      </c>
      <c r="D40" s="5" t="inlineStr">
        <is>
          <t>函館大学付属柏稜高等学校</t>
        </is>
      </c>
      <c r="E40" s="6" t="inlineStr">
        <is>
          <t>0138-51-1481</t>
        </is>
      </c>
      <c r="F40" s="7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JS日本の学校とみんなの高校情報で一致</t>
        </is>
      </c>
      <c r="N40" s="11" t="inlineStr">
        <is>
          <t>https://school.js88.com/scl_h/22052850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北海道</t>
        </is>
      </c>
      <c r="C41" s="5" t="inlineStr">
        <is>
          <t>函館市</t>
        </is>
      </c>
      <c r="D41" s="5" t="inlineStr">
        <is>
          <t>函館大学付属有斗高等学校</t>
        </is>
      </c>
      <c r="E41" s="6" t="inlineStr">
        <is>
          <t>0138-57-1381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複数の進学情報サイトで一致</t>
        </is>
      </c>
      <c r="N41" s="11" t="inlineStr">
        <is>
          <t>https://school.js88.com/scl_h/22052810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北海道</t>
        </is>
      </c>
      <c r="C42" s="5" t="inlineStr">
        <is>
          <t>函館市</t>
        </is>
      </c>
      <c r="D42" s="5" t="inlineStr">
        <is>
          <t>函館ラ・サール高等学校</t>
        </is>
      </c>
      <c r="E42" s="6" t="inlineStr">
        <is>
          <t>0138-52-0365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中高共通。複数サイトで一致</t>
        </is>
      </c>
      <c r="N42" s="11" t="inlineStr">
        <is>
          <t>https://school.js88.com/scl_h/22052860?page=6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北海道</t>
        </is>
      </c>
      <c r="C43" s="5" t="inlineStr">
        <is>
          <t>札幌市北区</t>
        </is>
      </c>
      <c r="D43" s="5" t="inlineStr">
        <is>
          <t>藤女子高等学校</t>
        </is>
      </c>
      <c r="E43" s="6" t="inlineStr">
        <is>
          <t>011-707-5001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公式の募集要項PDFと道私学協会の資料で一致</t>
        </is>
      </c>
      <c r="N43" s="11" t="inlineStr">
        <is>
          <t>https://www.fuji-gjshs.jp/20020/files/2026kou_youkou.pdf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北海道</t>
        </is>
      </c>
      <c r="C44" s="5" t="inlineStr">
        <is>
          <t>釧路市</t>
        </is>
      </c>
      <c r="D44" s="5" t="inlineStr">
        <is>
          <t>武修館高等学校</t>
        </is>
      </c>
      <c r="E44" s="6" t="inlineStr">
        <is>
          <t>0154-47-3211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JS日本の学校とみんなの高校情報で一致。中学校は別番号（0154-47-3220）</t>
        </is>
      </c>
      <c r="N44" s="11" t="inlineStr">
        <is>
          <t>https://school.js88.com/scl_h/22053090/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北海道</t>
        </is>
      </c>
      <c r="C45" s="5" t="inlineStr">
        <is>
          <t>小樽市</t>
        </is>
      </c>
      <c r="D45" s="5" t="inlineStr">
        <is>
          <t>北照高等学校</t>
        </is>
      </c>
      <c r="E45" s="6" t="inlineStr">
        <is>
          <t>0134-32-0331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複数サイトと公式PDFで一致</t>
        </is>
      </c>
      <c r="N45" s="11" t="inlineStr">
        <is>
          <t>https://school.js88.com/scl_h/22052870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北海道</t>
        </is>
      </c>
      <c r="C46" s="5" t="inlineStr">
        <is>
          <t>札幌市中央区</t>
        </is>
      </c>
      <c r="D46" s="5" t="inlineStr">
        <is>
          <t>北星学園女子高等学校</t>
        </is>
      </c>
      <c r="E46" s="6" t="inlineStr">
        <is>
          <t>011-561-7153</t>
        </is>
      </c>
      <c r="F46" s="7" t="inlineStr">
        <is>
          <t>高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学校情報サイトと札幌市中学校の掲載資料で一致</t>
        </is>
      </c>
      <c r="N46" s="11" t="inlineStr">
        <is>
          <t>https://school.js88.com/scl_h/22052670?page=9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北海道</t>
        </is>
      </c>
      <c r="C47" s="5" t="inlineStr">
        <is>
          <t>札幌市厚別区</t>
        </is>
      </c>
      <c r="D47" s="5" t="inlineStr">
        <is>
          <t>北星学園大学附属高等学校</t>
        </is>
      </c>
      <c r="E47" s="6" t="inlineStr">
        <is>
          <t>011-897-2881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JS日本の学校とみんなの高校情報で一致</t>
        </is>
      </c>
      <c r="N47" s="11" t="inlineStr">
        <is>
          <t>https://school.js88.com/scl_h/22052660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北海道</t>
        </is>
      </c>
      <c r="C48" s="5" t="inlineStr">
        <is>
          <t>余市町</t>
        </is>
      </c>
      <c r="D48" s="5" t="inlineStr">
        <is>
          <t>北星学園余市高等学校</t>
        </is>
      </c>
      <c r="E48" s="6" t="inlineStr">
        <is>
          <t>0135-23-2165</t>
        </is>
      </c>
      <c r="F48" s="13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公式PDF（2026年5月）では「事務室 0135-23-2166」の記載あり。要確認</t>
        </is>
      </c>
      <c r="N48" s="11" t="inlineStr">
        <is>
          <t>https://school.js88.com/scl_h/22052900/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北海道</t>
        </is>
      </c>
      <c r="C49" s="5" t="inlineStr">
        <is>
          <t>札幌市清田区</t>
        </is>
      </c>
      <c r="D49" s="5" t="inlineStr">
        <is>
          <t>北嶺高等学校</t>
        </is>
      </c>
      <c r="E49" s="6" t="inlineStr">
        <is>
          <t>011-883-4651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中高共通。複数サイトで一致</t>
        </is>
      </c>
      <c r="N49" s="11" t="inlineStr">
        <is>
          <t>https://school.js88.com/scl_h/22053110 ; https://www.inter-edu.com/schools/school/321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北海道</t>
        </is>
      </c>
      <c r="C50" s="5" t="inlineStr">
        <is>
          <t>札幌市豊平区</t>
        </is>
      </c>
      <c r="D50" s="5" t="inlineStr">
        <is>
          <t>北海学園札幌高等学校</t>
        </is>
      </c>
      <c r="E50" s="6" t="inlineStr">
        <is>
          <t>011-841-1161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公式サイトで「代表」と確認。北海高校・北海学園大学と同じ代表番号のため、学校名を伝えて取り次ぎを依頼</t>
        </is>
      </c>
      <c r="N50" s="11" t="inlineStr">
        <is>
          <t>https://www.hgs.ed.jp/about/index.html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北海道</t>
        </is>
      </c>
      <c r="C51" s="5" t="inlineStr">
        <is>
          <t>札幌市豊平区</t>
        </is>
      </c>
      <c r="D51" s="5" t="inlineStr">
        <is>
          <t>北海高等学校</t>
        </is>
      </c>
      <c r="E51" s="6" t="inlineStr">
        <is>
          <t>011-841-1161</t>
        </is>
      </c>
      <c r="F51" s="13" t="inlineStr">
        <is>
          <t>中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北海学園の共通代表番号。学校名を伝えて取り次ぎを依頼</t>
        </is>
      </c>
      <c r="N51" s="11" t="inlineStr">
        <is>
          <t>https://school.js88.com/scl_h/22052590 ; https://www.hokkai.ed.jp/sub/access.html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北海道</t>
        </is>
      </c>
      <c r="C52" s="5" t="inlineStr">
        <is>
          <t>室蘭市</t>
        </is>
      </c>
      <c r="D52" s="5" t="inlineStr">
        <is>
          <t>北海道大谷室蘭高等学校</t>
        </is>
      </c>
      <c r="E52" s="6" t="inlineStr">
        <is>
          <t>0143-44-5641</t>
        </is>
      </c>
      <c r="F52" s="13" t="inlineStr">
        <is>
          <t>中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学校情報サイト1件のみで確認</t>
        </is>
      </c>
      <c r="N52" s="11" t="inlineStr">
        <is>
          <t>https://school.js88.com/scl_h/22052990?page=6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北海道</t>
        </is>
      </c>
      <c r="C53" s="5" t="inlineStr">
        <is>
          <t>札幌市手稲区</t>
        </is>
      </c>
      <c r="D53" s="5" t="inlineStr">
        <is>
          <t>北海道科学大学高等学校</t>
        </is>
      </c>
      <c r="E53" s="6" t="inlineStr">
        <is>
          <t>011-699-6987</t>
        </is>
      </c>
      <c r="F53" s="7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札幌市の一覧で確認。大学の番号とは別</t>
        </is>
      </c>
      <c r="N53" s="11" t="inlineStr">
        <is>
          <t>https://www.city.sapporo.jp/teine/shisetsu/school.html ; https://school.js88.com/scl_h/22052630/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北海道</t>
        </is>
      </c>
      <c r="C54" s="5" t="inlineStr">
        <is>
          <t>清水町</t>
        </is>
      </c>
      <c r="D54" s="5" t="inlineStr">
        <is>
          <t>北海道芸術高等学校</t>
        </is>
      </c>
      <c r="E54" s="6" t="inlineStr">
        <is>
          <t>0135-48-5131</t>
        </is>
      </c>
      <c r="F54" s="13" t="inlineStr">
        <is>
          <t>中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【所在地注意】本校は2015年に清水町から仁木町へ移転済み。番号は仁木本校のもの</t>
        </is>
      </c>
      <c r="N54" s="11" t="inlineStr">
        <is>
          <t>https://www.kyokei.ac.jp/contact/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北海道</t>
        </is>
      </c>
      <c r="C55" s="5" t="inlineStr">
        <is>
          <t>白老町</t>
        </is>
      </c>
      <c r="D55" s="5" t="inlineStr">
        <is>
          <t>北海道栄高等学校</t>
        </is>
      </c>
      <c r="E55" s="6" t="inlineStr">
        <is>
          <t>0144-82-2185</t>
        </is>
      </c>
      <c r="F55" s="13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白老町。苫小牧市への移転計画の報道あり（移転後は番号が変わる可能性）</t>
        </is>
      </c>
      <c r="N55" s="11" t="inlineStr">
        <is>
          <t>https://school.js88.com/scl_h/22053020/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北海道</t>
        </is>
      </c>
      <c r="C56" s="5" t="inlineStr">
        <is>
          <t>恵庭市</t>
        </is>
      </c>
      <c r="D56" s="5" t="inlineStr">
        <is>
          <t>北海道文教大学附属高等学校</t>
        </is>
      </c>
      <c r="E56" s="6" t="inlineStr">
        <is>
          <t>0123-25-5570</t>
        </is>
      </c>
      <c r="F56" s="7" t="inlineStr">
        <is>
          <t>高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複数サイトで一致</t>
        </is>
      </c>
      <c r="N56" s="11" t="inlineStr">
        <is>
          <t>https://school.js88.com/scl_h/22052730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北海道</t>
        </is>
      </c>
      <c r="C57" s="5" t="inlineStr">
        <is>
          <t>江別市</t>
        </is>
      </c>
      <c r="D57" s="5" t="inlineStr">
        <is>
          <t>酪農学園大学附属とわの森三愛高等学校</t>
        </is>
      </c>
      <c r="E57" s="6" t="inlineStr">
        <is>
          <t>011-386-3111</t>
        </is>
      </c>
      <c r="F57" s="13" t="inlineStr">
        <is>
          <t>中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代表番号。通信制課程は011-388-4831</t>
        </is>
      </c>
      <c r="N57" s="11" t="inlineStr">
        <is>
          <t>https://school.js88.com/scl_h/22052750/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北海道</t>
        </is>
      </c>
      <c r="C58" s="5" t="inlineStr">
        <is>
          <t>江別市</t>
        </is>
      </c>
      <c r="D58" s="5" t="inlineStr">
        <is>
          <t>立命館慶祥高等学校</t>
        </is>
      </c>
      <c r="E58" s="6" t="inlineStr">
        <is>
          <t>011-381-8888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中高共通。札幌市立中学校の配布資料と一致</t>
        </is>
      </c>
      <c r="N58" s="11" t="inlineStr">
        <is>
          <t>https://www.minkou.jp/junior/school/6019/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北海道</t>
        </is>
      </c>
      <c r="C59" s="5" t="inlineStr">
        <is>
          <t>稚内市</t>
        </is>
      </c>
      <c r="D59" s="5" t="inlineStr">
        <is>
          <t>稚内大谷高等学校</t>
        </is>
      </c>
      <c r="E59" s="6" t="inlineStr">
        <is>
          <t>0162-32-2660</t>
        </is>
      </c>
      <c r="F59" s="13" t="inlineStr">
        <is>
          <t>中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学校情報サイト1件のみで確認</t>
        </is>
      </c>
      <c r="N59" s="11" t="inlineStr">
        <is>
          <t>https://school.js88.com/scl_h/22052960</t>
        </is>
      </c>
      <c r="O59" s="12" t="inlineStr">
        <is>
          <t>開く</t>
        </is>
      </c>
    </row>
  </sheetData>
  <autoFilter ref="A4:O59"/>
  <conditionalFormatting sqref="A5:O5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59" showDropDown="0" showInputMessage="0" showErrorMessage="0" allowBlank="1" type="list">
      <formula1>"未架電,不在・折返し待ち,担当者不在,資料送付,アポ獲得,検討中,NG,番号不明"</formula1>
    </dataValidation>
    <dataValidation sqref="H5:H59 K5:K5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函館市</t>
        </is>
      </c>
      <c r="B4" s="16">
        <f>COUNTIF('架電リスト'!$C$5:$C$59,A4)</f>
        <v/>
      </c>
      <c r="C4" s="16">
        <f>COUNTIFS('架電リスト'!$C$5:$C$59,A4,'架電リスト'!$E$5:$E$59,"&lt;&gt;")</f>
        <v/>
      </c>
      <c r="D4" s="16">
        <f>B4-COUNTIFS('架電リスト'!$C$5:$C$59,A4,'架電リスト'!$J$5:$J$59,"未架電")-COUNTIFS('架電リスト'!$C$5:$C$59,A4,'架電リスト'!$J$5:$J$59,"")</f>
        <v/>
      </c>
      <c r="E4" s="16">
        <f>COUNTIFS('架電リスト'!$C$5:$C$59,$A4,'架電リスト'!$J$5:$J$59,"不在・折返し待ち")</f>
        <v/>
      </c>
      <c r="F4" s="16">
        <f>COUNTIFS('架電リスト'!$C$5:$C$59,$A4,'架電リスト'!$J$5:$J$59,"担当者不在")</f>
        <v/>
      </c>
      <c r="G4" s="16">
        <f>COUNTIFS('架電リスト'!$C$5:$C$59,$A4,'架電リスト'!$J$5:$J$59,"資料送付")</f>
        <v/>
      </c>
      <c r="H4" s="16">
        <f>COUNTIFS('架電リスト'!$C$5:$C$59,$A4,'架電リスト'!$J$5:$J$59,"アポ獲得")</f>
        <v/>
      </c>
      <c r="I4" s="16">
        <f>COUNTIFS('架電リスト'!$C$5:$C$59,$A4,'架電リスト'!$J$5:$J$59,"検討中")</f>
        <v/>
      </c>
      <c r="J4" s="16">
        <f>COUNTIFS('架電リスト'!$C$5:$C$59,$A4,'架電リスト'!$J$5:$J$59,"NG")</f>
        <v/>
      </c>
      <c r="K4" s="16">
        <f>COUNTIFS('架電リスト'!$C$5:$C$59,$A4,'架電リスト'!$J$5:$J$59,"番号不明")</f>
        <v/>
      </c>
    </row>
    <row r="5">
      <c r="A5" s="16" t="inlineStr">
        <is>
          <t>旭川市</t>
        </is>
      </c>
      <c r="B5" s="16">
        <f>COUNTIF('架電リスト'!$C$5:$C$59,A5)</f>
        <v/>
      </c>
      <c r="C5" s="16">
        <f>COUNTIFS('架電リスト'!$C$5:$C$59,A5,'架電リスト'!$E$5:$E$59,"&lt;&gt;")</f>
        <v/>
      </c>
      <c r="D5" s="16">
        <f>B5-COUNTIFS('架電リスト'!$C$5:$C$59,A5,'架電リスト'!$J$5:$J$59,"未架電")-COUNTIFS('架電リスト'!$C$5:$C$59,A5,'架電リスト'!$J$5:$J$59,"")</f>
        <v/>
      </c>
      <c r="E5" s="16">
        <f>COUNTIFS('架電リスト'!$C$5:$C$59,$A5,'架電リスト'!$J$5:$J$59,"不在・折返し待ち")</f>
        <v/>
      </c>
      <c r="F5" s="16">
        <f>COUNTIFS('架電リスト'!$C$5:$C$59,$A5,'架電リスト'!$J$5:$J$59,"担当者不在")</f>
        <v/>
      </c>
      <c r="G5" s="16">
        <f>COUNTIFS('架電リスト'!$C$5:$C$59,$A5,'架電リスト'!$J$5:$J$59,"資料送付")</f>
        <v/>
      </c>
      <c r="H5" s="16">
        <f>COUNTIFS('架電リスト'!$C$5:$C$59,$A5,'架電リスト'!$J$5:$J$59,"アポ獲得")</f>
        <v/>
      </c>
      <c r="I5" s="16">
        <f>COUNTIFS('架電リスト'!$C$5:$C$59,$A5,'架電リスト'!$J$5:$J$59,"検討中")</f>
        <v/>
      </c>
      <c r="J5" s="16">
        <f>COUNTIFS('架電リスト'!$C$5:$C$59,$A5,'架電リスト'!$J$5:$J$59,"NG")</f>
        <v/>
      </c>
      <c r="K5" s="16">
        <f>COUNTIFS('架電リスト'!$C$5:$C$59,$A5,'架電リスト'!$J$5:$J$59,"番号不明")</f>
        <v/>
      </c>
    </row>
    <row r="6">
      <c r="A6" s="16" t="inlineStr">
        <is>
          <t>札幌市豊平区</t>
        </is>
      </c>
      <c r="B6" s="16">
        <f>COUNTIF('架電リスト'!$C$5:$C$59,A6)</f>
        <v/>
      </c>
      <c r="C6" s="16">
        <f>COUNTIFS('架電リスト'!$C$5:$C$59,A6,'架電リスト'!$E$5:$E$59,"&lt;&gt;")</f>
        <v/>
      </c>
      <c r="D6" s="16">
        <f>B6-COUNTIFS('架電リスト'!$C$5:$C$59,A6,'架電リスト'!$J$5:$J$59,"未架電")-COUNTIFS('架電リスト'!$C$5:$C$59,A6,'架電リスト'!$J$5:$J$59,"")</f>
        <v/>
      </c>
      <c r="E6" s="16">
        <f>COUNTIFS('架電リスト'!$C$5:$C$59,$A6,'架電リスト'!$J$5:$J$59,"不在・折返し待ち")</f>
        <v/>
      </c>
      <c r="F6" s="16">
        <f>COUNTIFS('架電リスト'!$C$5:$C$59,$A6,'架電リスト'!$J$5:$J$59,"担当者不在")</f>
        <v/>
      </c>
      <c r="G6" s="16">
        <f>COUNTIFS('架電リスト'!$C$5:$C$59,$A6,'架電リスト'!$J$5:$J$59,"資料送付")</f>
        <v/>
      </c>
      <c r="H6" s="16">
        <f>COUNTIFS('架電リスト'!$C$5:$C$59,$A6,'架電リスト'!$J$5:$J$59,"アポ獲得")</f>
        <v/>
      </c>
      <c r="I6" s="16">
        <f>COUNTIFS('架電リスト'!$C$5:$C$59,$A6,'架電リスト'!$J$5:$J$59,"検討中")</f>
        <v/>
      </c>
      <c r="J6" s="16">
        <f>COUNTIFS('架電リスト'!$C$5:$C$59,$A6,'架電リスト'!$J$5:$J$59,"NG")</f>
        <v/>
      </c>
      <c r="K6" s="16">
        <f>COUNTIFS('架電リスト'!$C$5:$C$59,$A6,'架電リスト'!$J$5:$J$59,"番号不明")</f>
        <v/>
      </c>
    </row>
    <row r="7">
      <c r="A7" s="16" t="inlineStr">
        <is>
          <t>小樽市</t>
        </is>
      </c>
      <c r="B7" s="16">
        <f>COUNTIF('架電リスト'!$C$5:$C$59,A7)</f>
        <v/>
      </c>
      <c r="C7" s="16">
        <f>COUNTIFS('架電リスト'!$C$5:$C$59,A7,'架電リスト'!$E$5:$E$59,"&lt;&gt;")</f>
        <v/>
      </c>
      <c r="D7" s="16">
        <f>B7-COUNTIFS('架電リスト'!$C$5:$C$59,A7,'架電リスト'!$J$5:$J$59,"未架電")-COUNTIFS('架電リスト'!$C$5:$C$59,A7,'架電リスト'!$J$5:$J$59,"")</f>
        <v/>
      </c>
      <c r="E7" s="16">
        <f>COUNTIFS('架電リスト'!$C$5:$C$59,$A7,'架電リスト'!$J$5:$J$59,"不在・折返し待ち")</f>
        <v/>
      </c>
      <c r="F7" s="16">
        <f>COUNTIFS('架電リスト'!$C$5:$C$59,$A7,'架電リスト'!$J$5:$J$59,"担当者不在")</f>
        <v/>
      </c>
      <c r="G7" s="16">
        <f>COUNTIFS('架電リスト'!$C$5:$C$59,$A7,'架電リスト'!$J$5:$J$59,"資料送付")</f>
        <v/>
      </c>
      <c r="H7" s="16">
        <f>COUNTIFS('架電リスト'!$C$5:$C$59,$A7,'架電リスト'!$J$5:$J$59,"アポ獲得")</f>
        <v/>
      </c>
      <c r="I7" s="16">
        <f>COUNTIFS('架電リスト'!$C$5:$C$59,$A7,'架電リスト'!$J$5:$J$59,"検討中")</f>
        <v/>
      </c>
      <c r="J7" s="16">
        <f>COUNTIFS('架電リスト'!$C$5:$C$59,$A7,'架電リスト'!$J$5:$J$59,"NG")</f>
        <v/>
      </c>
      <c r="K7" s="16">
        <f>COUNTIFS('架電リスト'!$C$5:$C$59,$A7,'架電リスト'!$J$5:$J$59,"番号不明")</f>
        <v/>
      </c>
    </row>
    <row r="8">
      <c r="A8" s="16" t="inlineStr">
        <is>
          <t>札幌市東区</t>
        </is>
      </c>
      <c r="B8" s="16">
        <f>COUNTIF('架電リスト'!$C$5:$C$59,A8)</f>
        <v/>
      </c>
      <c r="C8" s="16">
        <f>COUNTIFS('架電リスト'!$C$5:$C$59,A8,'架電リスト'!$E$5:$E$59,"&lt;&gt;")</f>
        <v/>
      </c>
      <c r="D8" s="16">
        <f>B8-COUNTIFS('架電リスト'!$C$5:$C$59,A8,'架電リスト'!$J$5:$J$59,"未架電")-COUNTIFS('架電リスト'!$C$5:$C$59,A8,'架電リスト'!$J$5:$J$59,"")</f>
        <v/>
      </c>
      <c r="E8" s="16">
        <f>COUNTIFS('架電リスト'!$C$5:$C$59,$A8,'架電リスト'!$J$5:$J$59,"不在・折返し待ち")</f>
        <v/>
      </c>
      <c r="F8" s="16">
        <f>COUNTIFS('架電リスト'!$C$5:$C$59,$A8,'架電リスト'!$J$5:$J$59,"担当者不在")</f>
        <v/>
      </c>
      <c r="G8" s="16">
        <f>COUNTIFS('架電リスト'!$C$5:$C$59,$A8,'架電リスト'!$J$5:$J$59,"資料送付")</f>
        <v/>
      </c>
      <c r="H8" s="16">
        <f>COUNTIFS('架電リスト'!$C$5:$C$59,$A8,'架電リスト'!$J$5:$J$59,"アポ獲得")</f>
        <v/>
      </c>
      <c r="I8" s="16">
        <f>COUNTIFS('架電リスト'!$C$5:$C$59,$A8,'架電リスト'!$J$5:$J$59,"検討中")</f>
        <v/>
      </c>
      <c r="J8" s="16">
        <f>COUNTIFS('架電リスト'!$C$5:$C$59,$A8,'架電リスト'!$J$5:$J$59,"NG")</f>
        <v/>
      </c>
      <c r="K8" s="16">
        <f>COUNTIFS('架電リスト'!$C$5:$C$59,$A8,'架電リスト'!$J$5:$J$59,"番号不明")</f>
        <v/>
      </c>
    </row>
    <row r="9">
      <c r="A9" s="16" t="inlineStr">
        <is>
          <t>札幌市中央区</t>
        </is>
      </c>
      <c r="B9" s="16">
        <f>COUNTIF('架電リスト'!$C$5:$C$59,A9)</f>
        <v/>
      </c>
      <c r="C9" s="16">
        <f>COUNTIFS('架電リスト'!$C$5:$C$59,A9,'架電リスト'!$E$5:$E$59,"&lt;&gt;")</f>
        <v/>
      </c>
      <c r="D9" s="16">
        <f>B9-COUNTIFS('架電リスト'!$C$5:$C$59,A9,'架電リスト'!$J$5:$J$59,"未架電")-COUNTIFS('架電リスト'!$C$5:$C$59,A9,'架電リスト'!$J$5:$J$59,"")</f>
        <v/>
      </c>
      <c r="E9" s="16">
        <f>COUNTIFS('架電リスト'!$C$5:$C$59,$A9,'架電リスト'!$J$5:$J$59,"不在・折返し待ち")</f>
        <v/>
      </c>
      <c r="F9" s="16">
        <f>COUNTIFS('架電リスト'!$C$5:$C$59,$A9,'架電リスト'!$J$5:$J$59,"担当者不在")</f>
        <v/>
      </c>
      <c r="G9" s="16">
        <f>COUNTIFS('架電リスト'!$C$5:$C$59,$A9,'架電リスト'!$J$5:$J$59,"資料送付")</f>
        <v/>
      </c>
      <c r="H9" s="16">
        <f>COUNTIFS('架電リスト'!$C$5:$C$59,$A9,'架電リスト'!$J$5:$J$59,"アポ獲得")</f>
        <v/>
      </c>
      <c r="I9" s="16">
        <f>COUNTIFS('架電リスト'!$C$5:$C$59,$A9,'架電リスト'!$J$5:$J$59,"検討中")</f>
        <v/>
      </c>
      <c r="J9" s="16">
        <f>COUNTIFS('架電リスト'!$C$5:$C$59,$A9,'架電リスト'!$J$5:$J$59,"NG")</f>
        <v/>
      </c>
      <c r="K9" s="16">
        <f>COUNTIFS('架電リスト'!$C$5:$C$59,$A9,'架電リスト'!$J$5:$J$59,"番号不明")</f>
        <v/>
      </c>
    </row>
    <row r="10">
      <c r="A10" s="16" t="inlineStr">
        <is>
          <t>帯広市</t>
        </is>
      </c>
      <c r="B10" s="16">
        <f>COUNTIF('架電リスト'!$C$5:$C$59,A10)</f>
        <v/>
      </c>
      <c r="C10" s="16">
        <f>COUNTIFS('架電リスト'!$C$5:$C$59,A10,'架電リスト'!$E$5:$E$59,"&lt;&gt;")</f>
        <v/>
      </c>
      <c r="D10" s="16">
        <f>B10-COUNTIFS('架電リスト'!$C$5:$C$59,A10,'架電リスト'!$J$5:$J$59,"未架電")-COUNTIFS('架電リスト'!$C$5:$C$59,A10,'架電リスト'!$J$5:$J$59,"")</f>
        <v/>
      </c>
      <c r="E10" s="16">
        <f>COUNTIFS('架電リスト'!$C$5:$C$59,$A10,'架電リスト'!$J$5:$J$59,"不在・折返し待ち")</f>
        <v/>
      </c>
      <c r="F10" s="16">
        <f>COUNTIFS('架電リスト'!$C$5:$C$59,$A10,'架電リスト'!$J$5:$J$59,"担当者不在")</f>
        <v/>
      </c>
      <c r="G10" s="16">
        <f>COUNTIFS('架電リスト'!$C$5:$C$59,$A10,'架電リスト'!$J$5:$J$59,"資料送付")</f>
        <v/>
      </c>
      <c r="H10" s="16">
        <f>COUNTIFS('架電リスト'!$C$5:$C$59,$A10,'架電リスト'!$J$5:$J$59,"アポ獲得")</f>
        <v/>
      </c>
      <c r="I10" s="16">
        <f>COUNTIFS('架電リスト'!$C$5:$C$59,$A10,'架電リスト'!$J$5:$J$59,"検討中")</f>
        <v/>
      </c>
      <c r="J10" s="16">
        <f>COUNTIFS('架電リスト'!$C$5:$C$59,$A10,'架電リスト'!$J$5:$J$59,"NG")</f>
        <v/>
      </c>
      <c r="K10" s="16">
        <f>COUNTIFS('架電リスト'!$C$5:$C$59,$A10,'架電リスト'!$J$5:$J$59,"番号不明")</f>
        <v/>
      </c>
    </row>
    <row r="11">
      <c r="A11" s="16" t="inlineStr">
        <is>
          <t>室蘭市</t>
        </is>
      </c>
      <c r="B11" s="16">
        <f>COUNTIF('架電リスト'!$C$5:$C$59,A11)</f>
        <v/>
      </c>
      <c r="C11" s="16">
        <f>COUNTIFS('架電リスト'!$C$5:$C$59,A11,'架電リスト'!$E$5:$E$59,"&lt;&gt;")</f>
        <v/>
      </c>
      <c r="D11" s="16">
        <f>B11-COUNTIFS('架電リスト'!$C$5:$C$59,A11,'架電リスト'!$J$5:$J$59,"未架電")-COUNTIFS('架電リスト'!$C$5:$C$59,A11,'架電リスト'!$J$5:$J$59,"")</f>
        <v/>
      </c>
      <c r="E11" s="16">
        <f>COUNTIFS('架電リスト'!$C$5:$C$59,$A11,'架電リスト'!$J$5:$J$59,"不在・折返し待ち")</f>
        <v/>
      </c>
      <c r="F11" s="16">
        <f>COUNTIFS('架電リスト'!$C$5:$C$59,$A11,'架電リスト'!$J$5:$J$59,"担当者不在")</f>
        <v/>
      </c>
      <c r="G11" s="16">
        <f>COUNTIFS('架電リスト'!$C$5:$C$59,$A11,'架電リスト'!$J$5:$J$59,"資料送付")</f>
        <v/>
      </c>
      <c r="H11" s="16">
        <f>COUNTIFS('架電リスト'!$C$5:$C$59,$A11,'架電リスト'!$J$5:$J$59,"アポ獲得")</f>
        <v/>
      </c>
      <c r="I11" s="16">
        <f>COUNTIFS('架電リスト'!$C$5:$C$59,$A11,'架電リスト'!$J$5:$J$59,"検討中")</f>
        <v/>
      </c>
      <c r="J11" s="16">
        <f>COUNTIFS('架電リスト'!$C$5:$C$59,$A11,'架電リスト'!$J$5:$J$59,"NG")</f>
        <v/>
      </c>
      <c r="K11" s="16">
        <f>COUNTIFS('架電リスト'!$C$5:$C$59,$A11,'架電リスト'!$J$5:$J$59,"番号不明")</f>
        <v/>
      </c>
    </row>
    <row r="12">
      <c r="A12" s="16" t="inlineStr">
        <is>
          <t>苫小牧市</t>
        </is>
      </c>
      <c r="B12" s="16">
        <f>COUNTIF('架電リスト'!$C$5:$C$59,A12)</f>
        <v/>
      </c>
      <c r="C12" s="16">
        <f>COUNTIFS('架電リスト'!$C$5:$C$59,A12,'架電リスト'!$E$5:$E$59,"&lt;&gt;")</f>
        <v/>
      </c>
      <c r="D12" s="16">
        <f>B12-COUNTIFS('架電リスト'!$C$5:$C$59,A12,'架電リスト'!$J$5:$J$59,"未架電")-COUNTIFS('架電リスト'!$C$5:$C$59,A12,'架電リスト'!$J$5:$J$59,"")</f>
        <v/>
      </c>
      <c r="E12" s="16">
        <f>COUNTIFS('架電リスト'!$C$5:$C$59,$A12,'架電リスト'!$J$5:$J$59,"不在・折返し待ち")</f>
        <v/>
      </c>
      <c r="F12" s="16">
        <f>COUNTIFS('架電リスト'!$C$5:$C$59,$A12,'架電リスト'!$J$5:$J$59,"担当者不在")</f>
        <v/>
      </c>
      <c r="G12" s="16">
        <f>COUNTIFS('架電リスト'!$C$5:$C$59,$A12,'架電リスト'!$J$5:$J$59,"資料送付")</f>
        <v/>
      </c>
      <c r="H12" s="16">
        <f>COUNTIFS('架電リスト'!$C$5:$C$59,$A12,'架電リスト'!$J$5:$J$59,"アポ獲得")</f>
        <v/>
      </c>
      <c r="I12" s="16">
        <f>COUNTIFS('架電リスト'!$C$5:$C$59,$A12,'架電リスト'!$J$5:$J$59,"検討中")</f>
        <v/>
      </c>
      <c r="J12" s="16">
        <f>COUNTIFS('架電リスト'!$C$5:$C$59,$A12,'架電リスト'!$J$5:$J$59,"NG")</f>
        <v/>
      </c>
      <c r="K12" s="16">
        <f>COUNTIFS('架電リスト'!$C$5:$C$59,$A12,'架電リスト'!$J$5:$J$59,"番号不明")</f>
        <v/>
      </c>
    </row>
    <row r="13">
      <c r="A13" s="16" t="inlineStr">
        <is>
          <t>札幌市南区</t>
        </is>
      </c>
      <c r="B13" s="16">
        <f>COUNTIF('架電リスト'!$C$5:$C$59,A13)</f>
        <v/>
      </c>
      <c r="C13" s="16">
        <f>COUNTIFS('架電リスト'!$C$5:$C$59,A13,'架電リスト'!$E$5:$E$59,"&lt;&gt;")</f>
        <v/>
      </c>
      <c r="D13" s="16">
        <f>B13-COUNTIFS('架電リスト'!$C$5:$C$59,A13,'架電リスト'!$J$5:$J$59,"未架電")-COUNTIFS('架電リスト'!$C$5:$C$59,A13,'架電リスト'!$J$5:$J$59,"")</f>
        <v/>
      </c>
      <c r="E13" s="16">
        <f>COUNTIFS('架電リスト'!$C$5:$C$59,$A13,'架電リスト'!$J$5:$J$59,"不在・折返し待ち")</f>
        <v/>
      </c>
      <c r="F13" s="16">
        <f>COUNTIFS('架電リスト'!$C$5:$C$59,$A13,'架電リスト'!$J$5:$J$59,"担当者不在")</f>
        <v/>
      </c>
      <c r="G13" s="16">
        <f>COUNTIFS('架電リスト'!$C$5:$C$59,$A13,'架電リスト'!$J$5:$J$59,"資料送付")</f>
        <v/>
      </c>
      <c r="H13" s="16">
        <f>COUNTIFS('架電リスト'!$C$5:$C$59,$A13,'架電リスト'!$J$5:$J$59,"アポ獲得")</f>
        <v/>
      </c>
      <c r="I13" s="16">
        <f>COUNTIFS('架電リスト'!$C$5:$C$59,$A13,'架電リスト'!$J$5:$J$59,"検討中")</f>
        <v/>
      </c>
      <c r="J13" s="16">
        <f>COUNTIFS('架電リスト'!$C$5:$C$59,$A13,'架電リスト'!$J$5:$J$59,"NG")</f>
        <v/>
      </c>
      <c r="K13" s="16">
        <f>COUNTIFS('架電リスト'!$C$5:$C$59,$A13,'架電リスト'!$J$5:$J$59,"番号不明")</f>
        <v/>
      </c>
    </row>
    <row r="14">
      <c r="A14" s="16" t="inlineStr">
        <is>
          <t>札幌市北区</t>
        </is>
      </c>
      <c r="B14" s="16">
        <f>COUNTIF('架電リスト'!$C$5:$C$59,A14)</f>
        <v/>
      </c>
      <c r="C14" s="16">
        <f>COUNTIFS('架電リスト'!$C$5:$C$59,A14,'架電リスト'!$E$5:$E$59,"&lt;&gt;")</f>
        <v/>
      </c>
      <c r="D14" s="16">
        <f>B14-COUNTIFS('架電リスト'!$C$5:$C$59,A14,'架電リスト'!$J$5:$J$59,"未架電")-COUNTIFS('架電リスト'!$C$5:$C$59,A14,'架電リスト'!$J$5:$J$59,"")</f>
        <v/>
      </c>
      <c r="E14" s="16">
        <f>COUNTIFS('架電リスト'!$C$5:$C$59,$A14,'架電リスト'!$J$5:$J$59,"不在・折返し待ち")</f>
        <v/>
      </c>
      <c r="F14" s="16">
        <f>COUNTIFS('架電リスト'!$C$5:$C$59,$A14,'架電リスト'!$J$5:$J$59,"担当者不在")</f>
        <v/>
      </c>
      <c r="G14" s="16">
        <f>COUNTIFS('架電リスト'!$C$5:$C$59,$A14,'架電リスト'!$J$5:$J$59,"資料送付")</f>
        <v/>
      </c>
      <c r="H14" s="16">
        <f>COUNTIFS('架電リスト'!$C$5:$C$59,$A14,'架電リスト'!$J$5:$J$59,"アポ獲得")</f>
        <v/>
      </c>
      <c r="I14" s="16">
        <f>COUNTIFS('架電リスト'!$C$5:$C$59,$A14,'架電リスト'!$J$5:$J$59,"検討中")</f>
        <v/>
      </c>
      <c r="J14" s="16">
        <f>COUNTIFS('架電リスト'!$C$5:$C$59,$A14,'架電リスト'!$J$5:$J$59,"NG")</f>
        <v/>
      </c>
      <c r="K14" s="16">
        <f>COUNTIFS('架電リスト'!$C$5:$C$59,$A14,'架電リスト'!$J$5:$J$59,"番号不明")</f>
        <v/>
      </c>
    </row>
    <row r="15">
      <c r="A15" s="16" t="inlineStr">
        <is>
          <t>江別市</t>
        </is>
      </c>
      <c r="B15" s="16">
        <f>COUNTIF('架電リスト'!$C$5:$C$59,A15)</f>
        <v/>
      </c>
      <c r="C15" s="16">
        <f>COUNTIFS('架電リスト'!$C$5:$C$59,A15,'架電リスト'!$E$5:$E$59,"&lt;&gt;")</f>
        <v/>
      </c>
      <c r="D15" s="16">
        <f>B15-COUNTIFS('架電リスト'!$C$5:$C$59,A15,'架電リスト'!$J$5:$J$59,"未架電")-COUNTIFS('架電リスト'!$C$5:$C$59,A15,'架電リスト'!$J$5:$J$59,"")</f>
        <v/>
      </c>
      <c r="E15" s="16">
        <f>COUNTIFS('架電リスト'!$C$5:$C$59,$A15,'架電リスト'!$J$5:$J$59,"不在・折返し待ち")</f>
        <v/>
      </c>
      <c r="F15" s="16">
        <f>COUNTIFS('架電リスト'!$C$5:$C$59,$A15,'架電リスト'!$J$5:$J$59,"担当者不在")</f>
        <v/>
      </c>
      <c r="G15" s="16">
        <f>COUNTIFS('架電リスト'!$C$5:$C$59,$A15,'架電リスト'!$J$5:$J$59,"資料送付")</f>
        <v/>
      </c>
      <c r="H15" s="16">
        <f>COUNTIFS('架電リスト'!$C$5:$C$59,$A15,'架電リスト'!$J$5:$J$59,"アポ獲得")</f>
        <v/>
      </c>
      <c r="I15" s="16">
        <f>COUNTIFS('架電リスト'!$C$5:$C$59,$A15,'架電リスト'!$J$5:$J$59,"検討中")</f>
        <v/>
      </c>
      <c r="J15" s="16">
        <f>COUNTIFS('架電リスト'!$C$5:$C$59,$A15,'架電リスト'!$J$5:$J$59,"NG")</f>
        <v/>
      </c>
      <c r="K15" s="16">
        <f>COUNTIFS('架電リスト'!$C$5:$C$59,$A15,'架電リスト'!$J$5:$J$59,"番号不明")</f>
        <v/>
      </c>
    </row>
    <row r="16">
      <c r="A16" s="16" t="inlineStr">
        <is>
          <t>北見市</t>
        </is>
      </c>
      <c r="B16" s="16">
        <f>COUNTIF('架電リスト'!$C$5:$C$59,A16)</f>
        <v/>
      </c>
      <c r="C16" s="16">
        <f>COUNTIFS('架電リスト'!$C$5:$C$59,A16,'架電リスト'!$E$5:$E$59,"&lt;&gt;")</f>
        <v/>
      </c>
      <c r="D16" s="16">
        <f>B16-COUNTIFS('架電リスト'!$C$5:$C$59,A16,'架電リスト'!$J$5:$J$59,"未架電")-COUNTIFS('架電リスト'!$C$5:$C$59,A16,'架電リスト'!$J$5:$J$59,"")</f>
        <v/>
      </c>
      <c r="E16" s="16">
        <f>COUNTIFS('架電リスト'!$C$5:$C$59,$A16,'架電リスト'!$J$5:$J$59,"不在・折返し待ち")</f>
        <v/>
      </c>
      <c r="F16" s="16">
        <f>COUNTIFS('架電リスト'!$C$5:$C$59,$A16,'架電リスト'!$J$5:$J$59,"担当者不在")</f>
        <v/>
      </c>
      <c r="G16" s="16">
        <f>COUNTIFS('架電リスト'!$C$5:$C$59,$A16,'架電リスト'!$J$5:$J$59,"資料送付")</f>
        <v/>
      </c>
      <c r="H16" s="16">
        <f>COUNTIFS('架電リスト'!$C$5:$C$59,$A16,'架電リスト'!$J$5:$J$59,"アポ獲得")</f>
        <v/>
      </c>
      <c r="I16" s="16">
        <f>COUNTIFS('架電リスト'!$C$5:$C$59,$A16,'架電リスト'!$J$5:$J$59,"検討中")</f>
        <v/>
      </c>
      <c r="J16" s="16">
        <f>COUNTIFS('架電リスト'!$C$5:$C$59,$A16,'架電リスト'!$J$5:$J$59,"NG")</f>
        <v/>
      </c>
      <c r="K16" s="16">
        <f>COUNTIFS('架電リスト'!$C$5:$C$59,$A16,'架電リスト'!$J$5:$J$59,"番号不明")</f>
        <v/>
      </c>
    </row>
    <row r="17">
      <c r="A17" s="16" t="inlineStr">
        <is>
          <t>深川市</t>
        </is>
      </c>
      <c r="B17" s="16">
        <f>COUNTIF('架電リスト'!$C$5:$C$59,A17)</f>
        <v/>
      </c>
      <c r="C17" s="16">
        <f>COUNTIFS('架電リスト'!$C$5:$C$59,A17,'架電リスト'!$E$5:$E$59,"&lt;&gt;")</f>
        <v/>
      </c>
      <c r="D17" s="16">
        <f>B17-COUNTIFS('架電リスト'!$C$5:$C$59,A17,'架電リスト'!$J$5:$J$59,"未架電")-COUNTIFS('架電リスト'!$C$5:$C$59,A17,'架電リスト'!$J$5:$J$59,"")</f>
        <v/>
      </c>
      <c r="E17" s="16">
        <f>COUNTIFS('架電リスト'!$C$5:$C$59,$A17,'架電リスト'!$J$5:$J$59,"不在・折返し待ち")</f>
        <v/>
      </c>
      <c r="F17" s="16">
        <f>COUNTIFS('架電リスト'!$C$5:$C$59,$A17,'架電リスト'!$J$5:$J$59,"担当者不在")</f>
        <v/>
      </c>
      <c r="G17" s="16">
        <f>COUNTIFS('架電リスト'!$C$5:$C$59,$A17,'架電リスト'!$J$5:$J$59,"資料送付")</f>
        <v/>
      </c>
      <c r="H17" s="16">
        <f>COUNTIFS('架電リスト'!$C$5:$C$59,$A17,'架電リスト'!$J$5:$J$59,"アポ獲得")</f>
        <v/>
      </c>
      <c r="I17" s="16">
        <f>COUNTIFS('架電リスト'!$C$5:$C$59,$A17,'架電リスト'!$J$5:$J$59,"検討中")</f>
        <v/>
      </c>
      <c r="J17" s="16">
        <f>COUNTIFS('架電リスト'!$C$5:$C$59,$A17,'架電リスト'!$J$5:$J$59,"NG")</f>
        <v/>
      </c>
      <c r="K17" s="16">
        <f>COUNTIFS('架電リスト'!$C$5:$C$59,$A17,'架電リスト'!$J$5:$J$59,"番号不明")</f>
        <v/>
      </c>
    </row>
    <row r="18">
      <c r="A18" s="16" t="inlineStr">
        <is>
          <t>和寒町</t>
        </is>
      </c>
      <c r="B18" s="16">
        <f>COUNTIF('架電リスト'!$C$5:$C$59,A18)</f>
        <v/>
      </c>
      <c r="C18" s="16">
        <f>COUNTIFS('架電リスト'!$C$5:$C$59,A18,'架電リスト'!$E$5:$E$59,"&lt;&gt;")</f>
        <v/>
      </c>
      <c r="D18" s="16">
        <f>B18-COUNTIFS('架電リスト'!$C$5:$C$59,A18,'架電リスト'!$J$5:$J$59,"未架電")-COUNTIFS('架電リスト'!$C$5:$C$59,A18,'架電リスト'!$J$5:$J$59,"")</f>
        <v/>
      </c>
      <c r="E18" s="16">
        <f>COUNTIFS('架電リスト'!$C$5:$C$59,$A18,'架電リスト'!$J$5:$J$59,"不在・折返し待ち")</f>
        <v/>
      </c>
      <c r="F18" s="16">
        <f>COUNTIFS('架電リスト'!$C$5:$C$59,$A18,'架電リスト'!$J$5:$J$59,"担当者不在")</f>
        <v/>
      </c>
      <c r="G18" s="16">
        <f>COUNTIFS('架電リスト'!$C$5:$C$59,$A18,'架電リスト'!$J$5:$J$59,"資料送付")</f>
        <v/>
      </c>
      <c r="H18" s="16">
        <f>COUNTIFS('架電リスト'!$C$5:$C$59,$A18,'架電リスト'!$J$5:$J$59,"アポ獲得")</f>
        <v/>
      </c>
      <c r="I18" s="16">
        <f>COUNTIFS('架電リスト'!$C$5:$C$59,$A18,'架電リスト'!$J$5:$J$59,"検討中")</f>
        <v/>
      </c>
      <c r="J18" s="16">
        <f>COUNTIFS('架電リスト'!$C$5:$C$59,$A18,'架電リスト'!$J$5:$J$59,"NG")</f>
        <v/>
      </c>
      <c r="K18" s="16">
        <f>COUNTIFS('架電リスト'!$C$5:$C$59,$A18,'架電リスト'!$J$5:$J$59,"番号不明")</f>
        <v/>
      </c>
    </row>
    <row r="19">
      <c r="A19" s="16" t="inlineStr">
        <is>
          <t>北広島市</t>
        </is>
      </c>
      <c r="B19" s="16">
        <f>COUNTIF('架電リスト'!$C$5:$C$59,A19)</f>
        <v/>
      </c>
      <c r="C19" s="16">
        <f>COUNTIFS('架電リスト'!$C$5:$C$59,A19,'架電リスト'!$E$5:$E$59,"&lt;&gt;")</f>
        <v/>
      </c>
      <c r="D19" s="16">
        <f>B19-COUNTIFS('架電リスト'!$C$5:$C$59,A19,'架電リスト'!$J$5:$J$59,"未架電")-COUNTIFS('架電リスト'!$C$5:$C$59,A19,'架電リスト'!$J$5:$J$59,"")</f>
        <v/>
      </c>
      <c r="E19" s="16">
        <f>COUNTIFS('架電リスト'!$C$5:$C$59,$A19,'架電リスト'!$J$5:$J$59,"不在・折返し待ち")</f>
        <v/>
      </c>
      <c r="F19" s="16">
        <f>COUNTIFS('架電リスト'!$C$5:$C$59,$A19,'架電リスト'!$J$5:$J$59,"担当者不在")</f>
        <v/>
      </c>
      <c r="G19" s="16">
        <f>COUNTIFS('架電リスト'!$C$5:$C$59,$A19,'架電リスト'!$J$5:$J$59,"資料送付")</f>
        <v/>
      </c>
      <c r="H19" s="16">
        <f>COUNTIFS('架電リスト'!$C$5:$C$59,$A19,'架電リスト'!$J$5:$J$59,"アポ獲得")</f>
        <v/>
      </c>
      <c r="I19" s="16">
        <f>COUNTIFS('架電リスト'!$C$5:$C$59,$A19,'架電リスト'!$J$5:$J$59,"検討中")</f>
        <v/>
      </c>
      <c r="J19" s="16">
        <f>COUNTIFS('架電リスト'!$C$5:$C$59,$A19,'架電リスト'!$J$5:$J$59,"NG")</f>
        <v/>
      </c>
      <c r="K19" s="16">
        <f>COUNTIFS('架電リスト'!$C$5:$C$59,$A19,'架電リスト'!$J$5:$J$59,"番号不明")</f>
        <v/>
      </c>
    </row>
    <row r="20">
      <c r="A20" s="16" t="inlineStr">
        <is>
          <t>札幌市西区</t>
        </is>
      </c>
      <c r="B20" s="16">
        <f>COUNTIF('架電リスト'!$C$5:$C$59,A20)</f>
        <v/>
      </c>
      <c r="C20" s="16">
        <f>COUNTIFS('架電リスト'!$C$5:$C$59,A20,'架電リスト'!$E$5:$E$59,"&lt;&gt;")</f>
        <v/>
      </c>
      <c r="D20" s="16">
        <f>B20-COUNTIFS('架電リスト'!$C$5:$C$59,A20,'架電リスト'!$J$5:$J$59,"未架電")-COUNTIFS('架電リスト'!$C$5:$C$59,A20,'架電リスト'!$J$5:$J$59,"")</f>
        <v/>
      </c>
      <c r="E20" s="16">
        <f>COUNTIFS('架電リスト'!$C$5:$C$59,$A20,'架電リスト'!$J$5:$J$59,"不在・折返し待ち")</f>
        <v/>
      </c>
      <c r="F20" s="16">
        <f>COUNTIFS('架電リスト'!$C$5:$C$59,$A20,'架電リスト'!$J$5:$J$59,"担当者不在")</f>
        <v/>
      </c>
      <c r="G20" s="16">
        <f>COUNTIFS('架電リスト'!$C$5:$C$59,$A20,'架電リスト'!$J$5:$J$59,"資料送付")</f>
        <v/>
      </c>
      <c r="H20" s="16">
        <f>COUNTIFS('架電リスト'!$C$5:$C$59,$A20,'架電リスト'!$J$5:$J$59,"アポ獲得")</f>
        <v/>
      </c>
      <c r="I20" s="16">
        <f>COUNTIFS('架電リスト'!$C$5:$C$59,$A20,'架電リスト'!$J$5:$J$59,"検討中")</f>
        <v/>
      </c>
      <c r="J20" s="16">
        <f>COUNTIFS('架電リスト'!$C$5:$C$59,$A20,'架電リスト'!$J$5:$J$59,"NG")</f>
        <v/>
      </c>
      <c r="K20" s="16">
        <f>COUNTIFS('架電リスト'!$C$5:$C$59,$A20,'架電リスト'!$J$5:$J$59,"番号不明")</f>
        <v/>
      </c>
    </row>
    <row r="21">
      <c r="A21" s="16" t="inlineStr">
        <is>
          <t>芽室町</t>
        </is>
      </c>
      <c r="B21" s="16">
        <f>COUNTIF('架電リスト'!$C$5:$C$59,A21)</f>
        <v/>
      </c>
      <c r="C21" s="16">
        <f>COUNTIFS('架電リスト'!$C$5:$C$59,A21,'架電リスト'!$E$5:$E$59,"&lt;&gt;")</f>
        <v/>
      </c>
      <c r="D21" s="16">
        <f>B21-COUNTIFS('架電リスト'!$C$5:$C$59,A21,'架電リスト'!$J$5:$J$59,"未架電")-COUNTIFS('架電リスト'!$C$5:$C$59,A21,'架電リスト'!$J$5:$J$59,"")</f>
        <v/>
      </c>
      <c r="E21" s="16">
        <f>COUNTIFS('架電リスト'!$C$5:$C$59,$A21,'架電リスト'!$J$5:$J$59,"不在・折返し待ち")</f>
        <v/>
      </c>
      <c r="F21" s="16">
        <f>COUNTIFS('架電リスト'!$C$5:$C$59,$A21,'架電リスト'!$J$5:$J$59,"担当者不在")</f>
        <v/>
      </c>
      <c r="G21" s="16">
        <f>COUNTIFS('架電リスト'!$C$5:$C$59,$A21,'架電リスト'!$J$5:$J$59,"資料送付")</f>
        <v/>
      </c>
      <c r="H21" s="16">
        <f>COUNTIFS('架電リスト'!$C$5:$C$59,$A21,'架電リスト'!$J$5:$J$59,"アポ獲得")</f>
        <v/>
      </c>
      <c r="I21" s="16">
        <f>COUNTIFS('架電リスト'!$C$5:$C$59,$A21,'架電リスト'!$J$5:$J$59,"検討中")</f>
        <v/>
      </c>
      <c r="J21" s="16">
        <f>COUNTIFS('架電リスト'!$C$5:$C$59,$A21,'架電リスト'!$J$5:$J$59,"NG")</f>
        <v/>
      </c>
      <c r="K21" s="16">
        <f>COUNTIFS('架電リスト'!$C$5:$C$59,$A21,'架電リスト'!$J$5:$J$59,"番号不明")</f>
        <v/>
      </c>
    </row>
    <row r="22">
      <c r="A22" s="16" t="inlineStr">
        <is>
          <t>芦別市</t>
        </is>
      </c>
      <c r="B22" s="16">
        <f>COUNTIF('架電リスト'!$C$5:$C$59,A22)</f>
        <v/>
      </c>
      <c r="C22" s="16">
        <f>COUNTIFS('架電リスト'!$C$5:$C$59,A22,'架電リスト'!$E$5:$E$59,"&lt;&gt;")</f>
        <v/>
      </c>
      <c r="D22" s="16">
        <f>B22-COUNTIFS('架電リスト'!$C$5:$C$59,A22,'架電リスト'!$J$5:$J$59,"未架電")-COUNTIFS('架電リスト'!$C$5:$C$59,A22,'架電リスト'!$J$5:$J$59,"")</f>
        <v/>
      </c>
      <c r="E22" s="16">
        <f>COUNTIFS('架電リスト'!$C$5:$C$59,$A22,'架電リスト'!$J$5:$J$59,"不在・折返し待ち")</f>
        <v/>
      </c>
      <c r="F22" s="16">
        <f>COUNTIFS('架電リスト'!$C$5:$C$59,$A22,'架電リスト'!$J$5:$J$59,"担当者不在")</f>
        <v/>
      </c>
      <c r="G22" s="16">
        <f>COUNTIFS('架電リスト'!$C$5:$C$59,$A22,'架電リスト'!$J$5:$J$59,"資料送付")</f>
        <v/>
      </c>
      <c r="H22" s="16">
        <f>COUNTIFS('架電リスト'!$C$5:$C$59,$A22,'架電リスト'!$J$5:$J$59,"アポ獲得")</f>
        <v/>
      </c>
      <c r="I22" s="16">
        <f>COUNTIFS('架電リスト'!$C$5:$C$59,$A22,'架電リスト'!$J$5:$J$59,"検討中")</f>
        <v/>
      </c>
      <c r="J22" s="16">
        <f>COUNTIFS('架電リスト'!$C$5:$C$59,$A22,'架電リスト'!$J$5:$J$59,"NG")</f>
        <v/>
      </c>
      <c r="K22" s="16">
        <f>COUNTIFS('架電リスト'!$C$5:$C$59,$A22,'架電リスト'!$J$5:$J$59,"番号不明")</f>
        <v/>
      </c>
    </row>
    <row r="23">
      <c r="A23" s="16" t="inlineStr">
        <is>
          <t>千歳市</t>
        </is>
      </c>
      <c r="B23" s="16">
        <f>COUNTIF('架電リスト'!$C$5:$C$59,A23)</f>
        <v/>
      </c>
      <c r="C23" s="16">
        <f>COUNTIFS('架電リスト'!$C$5:$C$59,A23,'架電リスト'!$E$5:$E$59,"&lt;&gt;")</f>
        <v/>
      </c>
      <c r="D23" s="16">
        <f>B23-COUNTIFS('架電リスト'!$C$5:$C$59,A23,'架電リスト'!$J$5:$J$59,"未架電")-COUNTIFS('架電リスト'!$C$5:$C$59,A23,'架電リスト'!$J$5:$J$59,"")</f>
        <v/>
      </c>
      <c r="E23" s="16">
        <f>COUNTIFS('架電リスト'!$C$5:$C$59,$A23,'架電リスト'!$J$5:$J$59,"不在・折返し待ち")</f>
        <v/>
      </c>
      <c r="F23" s="16">
        <f>COUNTIFS('架電リスト'!$C$5:$C$59,$A23,'架電リスト'!$J$5:$J$59,"担当者不在")</f>
        <v/>
      </c>
      <c r="G23" s="16">
        <f>COUNTIFS('架電リスト'!$C$5:$C$59,$A23,'架電リスト'!$J$5:$J$59,"資料送付")</f>
        <v/>
      </c>
      <c r="H23" s="16">
        <f>COUNTIFS('架電リスト'!$C$5:$C$59,$A23,'架電リスト'!$J$5:$J$59,"アポ獲得")</f>
        <v/>
      </c>
      <c r="I23" s="16">
        <f>COUNTIFS('架電リスト'!$C$5:$C$59,$A23,'架電リスト'!$J$5:$J$59,"検討中")</f>
        <v/>
      </c>
      <c r="J23" s="16">
        <f>COUNTIFS('架電リスト'!$C$5:$C$59,$A23,'架電リスト'!$J$5:$J$59,"NG")</f>
        <v/>
      </c>
      <c r="K23" s="16">
        <f>COUNTIFS('架電リスト'!$C$5:$C$59,$A23,'架電リスト'!$J$5:$J$59,"番号不明")</f>
        <v/>
      </c>
    </row>
    <row r="24">
      <c r="A24" s="16" t="inlineStr">
        <is>
          <t>釧路市</t>
        </is>
      </c>
      <c r="B24" s="16">
        <f>COUNTIF('架電リスト'!$C$5:$C$59,A24)</f>
        <v/>
      </c>
      <c r="C24" s="16">
        <f>COUNTIFS('架電リスト'!$C$5:$C$59,A24,'架電リスト'!$E$5:$E$59,"&lt;&gt;")</f>
        <v/>
      </c>
      <c r="D24" s="16">
        <f>B24-COUNTIFS('架電リスト'!$C$5:$C$59,A24,'架電リスト'!$J$5:$J$59,"未架電")-COUNTIFS('架電リスト'!$C$5:$C$59,A24,'架電リスト'!$J$5:$J$59,"")</f>
        <v/>
      </c>
      <c r="E24" s="16">
        <f>COUNTIFS('架電リスト'!$C$5:$C$59,$A24,'架電リスト'!$J$5:$J$59,"不在・折返し待ち")</f>
        <v/>
      </c>
      <c r="F24" s="16">
        <f>COUNTIFS('架電リスト'!$C$5:$C$59,$A24,'架電リスト'!$J$5:$J$59,"担当者不在")</f>
        <v/>
      </c>
      <c r="G24" s="16">
        <f>COUNTIFS('架電リスト'!$C$5:$C$59,$A24,'架電リスト'!$J$5:$J$59,"資料送付")</f>
        <v/>
      </c>
      <c r="H24" s="16">
        <f>COUNTIFS('架電リスト'!$C$5:$C$59,$A24,'架電リスト'!$J$5:$J$59,"アポ獲得")</f>
        <v/>
      </c>
      <c r="I24" s="16">
        <f>COUNTIFS('架電リスト'!$C$5:$C$59,$A24,'架電リスト'!$J$5:$J$59,"検討中")</f>
        <v/>
      </c>
      <c r="J24" s="16">
        <f>COUNTIFS('架電リスト'!$C$5:$C$59,$A24,'架電リスト'!$J$5:$J$59,"NG")</f>
        <v/>
      </c>
      <c r="K24" s="16">
        <f>COUNTIFS('架電リスト'!$C$5:$C$59,$A24,'架電リスト'!$J$5:$J$59,"番号不明")</f>
        <v/>
      </c>
    </row>
    <row r="25">
      <c r="A25" s="16" t="inlineStr">
        <is>
          <t>札幌市厚別区</t>
        </is>
      </c>
      <c r="B25" s="16">
        <f>COUNTIF('架電リスト'!$C$5:$C$59,A25)</f>
        <v/>
      </c>
      <c r="C25" s="16">
        <f>COUNTIFS('架電リスト'!$C$5:$C$59,A25,'架電リスト'!$E$5:$E$59,"&lt;&gt;")</f>
        <v/>
      </c>
      <c r="D25" s="16">
        <f>B25-COUNTIFS('架電リスト'!$C$5:$C$59,A25,'架電リスト'!$J$5:$J$59,"未架電")-COUNTIFS('架電リスト'!$C$5:$C$59,A25,'架電リスト'!$J$5:$J$59,"")</f>
        <v/>
      </c>
      <c r="E25" s="16">
        <f>COUNTIFS('架電リスト'!$C$5:$C$59,$A25,'架電リスト'!$J$5:$J$59,"不在・折返し待ち")</f>
        <v/>
      </c>
      <c r="F25" s="16">
        <f>COUNTIFS('架電リスト'!$C$5:$C$59,$A25,'架電リスト'!$J$5:$J$59,"担当者不在")</f>
        <v/>
      </c>
      <c r="G25" s="16">
        <f>COUNTIFS('架電リスト'!$C$5:$C$59,$A25,'架電リスト'!$J$5:$J$59,"資料送付")</f>
        <v/>
      </c>
      <c r="H25" s="16">
        <f>COUNTIFS('架電リスト'!$C$5:$C$59,$A25,'架電リスト'!$J$5:$J$59,"アポ獲得")</f>
        <v/>
      </c>
      <c r="I25" s="16">
        <f>COUNTIFS('架電リスト'!$C$5:$C$59,$A25,'架電リスト'!$J$5:$J$59,"検討中")</f>
        <v/>
      </c>
      <c r="J25" s="16">
        <f>COUNTIFS('架電リスト'!$C$5:$C$59,$A25,'架電リスト'!$J$5:$J$59,"NG")</f>
        <v/>
      </c>
      <c r="K25" s="16">
        <f>COUNTIFS('架電リスト'!$C$5:$C$59,$A25,'架電リスト'!$J$5:$J$59,"番号不明")</f>
        <v/>
      </c>
    </row>
    <row r="26">
      <c r="A26" s="16" t="inlineStr">
        <is>
          <t>余市町</t>
        </is>
      </c>
      <c r="B26" s="16">
        <f>COUNTIF('架電リスト'!$C$5:$C$59,A26)</f>
        <v/>
      </c>
      <c r="C26" s="16">
        <f>COUNTIFS('架電リスト'!$C$5:$C$59,A26,'架電リスト'!$E$5:$E$59,"&lt;&gt;")</f>
        <v/>
      </c>
      <c r="D26" s="16">
        <f>B26-COUNTIFS('架電リスト'!$C$5:$C$59,A26,'架電リスト'!$J$5:$J$59,"未架電")-COUNTIFS('架電リスト'!$C$5:$C$59,A26,'架電リスト'!$J$5:$J$59,"")</f>
        <v/>
      </c>
      <c r="E26" s="16">
        <f>COUNTIFS('架電リスト'!$C$5:$C$59,$A26,'架電リスト'!$J$5:$J$59,"不在・折返し待ち")</f>
        <v/>
      </c>
      <c r="F26" s="16">
        <f>COUNTIFS('架電リスト'!$C$5:$C$59,$A26,'架電リスト'!$J$5:$J$59,"担当者不在")</f>
        <v/>
      </c>
      <c r="G26" s="16">
        <f>COUNTIFS('架電リスト'!$C$5:$C$59,$A26,'架電リスト'!$J$5:$J$59,"資料送付")</f>
        <v/>
      </c>
      <c r="H26" s="16">
        <f>COUNTIFS('架電リスト'!$C$5:$C$59,$A26,'架電リスト'!$J$5:$J$59,"アポ獲得")</f>
        <v/>
      </c>
      <c r="I26" s="16">
        <f>COUNTIFS('架電リスト'!$C$5:$C$59,$A26,'架電リスト'!$J$5:$J$59,"検討中")</f>
        <v/>
      </c>
      <c r="J26" s="16">
        <f>COUNTIFS('架電リスト'!$C$5:$C$59,$A26,'架電リスト'!$J$5:$J$59,"NG")</f>
        <v/>
      </c>
      <c r="K26" s="16">
        <f>COUNTIFS('架電リスト'!$C$5:$C$59,$A26,'架電リスト'!$J$5:$J$59,"番号不明")</f>
        <v/>
      </c>
    </row>
    <row r="27">
      <c r="A27" s="16" t="inlineStr">
        <is>
          <t>札幌市清田区</t>
        </is>
      </c>
      <c r="B27" s="16">
        <f>COUNTIF('架電リスト'!$C$5:$C$59,A27)</f>
        <v/>
      </c>
      <c r="C27" s="16">
        <f>COUNTIFS('架電リスト'!$C$5:$C$59,A27,'架電リスト'!$E$5:$E$59,"&lt;&gt;")</f>
        <v/>
      </c>
      <c r="D27" s="16">
        <f>B27-COUNTIFS('架電リスト'!$C$5:$C$59,A27,'架電リスト'!$J$5:$J$59,"未架電")-COUNTIFS('架電リスト'!$C$5:$C$59,A27,'架電リスト'!$J$5:$J$59,"")</f>
        <v/>
      </c>
      <c r="E27" s="16">
        <f>COUNTIFS('架電リスト'!$C$5:$C$59,$A27,'架電リスト'!$J$5:$J$59,"不在・折返し待ち")</f>
        <v/>
      </c>
      <c r="F27" s="16">
        <f>COUNTIFS('架電リスト'!$C$5:$C$59,$A27,'架電リスト'!$J$5:$J$59,"担当者不在")</f>
        <v/>
      </c>
      <c r="G27" s="16">
        <f>COUNTIFS('架電リスト'!$C$5:$C$59,$A27,'架電リスト'!$J$5:$J$59,"資料送付")</f>
        <v/>
      </c>
      <c r="H27" s="16">
        <f>COUNTIFS('架電リスト'!$C$5:$C$59,$A27,'架電リスト'!$J$5:$J$59,"アポ獲得")</f>
        <v/>
      </c>
      <c r="I27" s="16">
        <f>COUNTIFS('架電リスト'!$C$5:$C$59,$A27,'架電リスト'!$J$5:$J$59,"検討中")</f>
        <v/>
      </c>
      <c r="J27" s="16">
        <f>COUNTIFS('架電リスト'!$C$5:$C$59,$A27,'架電リスト'!$J$5:$J$59,"NG")</f>
        <v/>
      </c>
      <c r="K27" s="16">
        <f>COUNTIFS('架電リスト'!$C$5:$C$59,$A27,'架電リスト'!$J$5:$J$59,"番号不明")</f>
        <v/>
      </c>
    </row>
    <row r="28">
      <c r="A28" s="16" t="inlineStr">
        <is>
          <t>札幌市手稲区</t>
        </is>
      </c>
      <c r="B28" s="16">
        <f>COUNTIF('架電リスト'!$C$5:$C$59,A28)</f>
        <v/>
      </c>
      <c r="C28" s="16">
        <f>COUNTIFS('架電リスト'!$C$5:$C$59,A28,'架電リスト'!$E$5:$E$59,"&lt;&gt;")</f>
        <v/>
      </c>
      <c r="D28" s="16">
        <f>B28-COUNTIFS('架電リスト'!$C$5:$C$59,A28,'架電リスト'!$J$5:$J$59,"未架電")-COUNTIFS('架電リスト'!$C$5:$C$59,A28,'架電リスト'!$J$5:$J$59,"")</f>
        <v/>
      </c>
      <c r="E28" s="16">
        <f>COUNTIFS('架電リスト'!$C$5:$C$59,$A28,'架電リスト'!$J$5:$J$59,"不在・折返し待ち")</f>
        <v/>
      </c>
      <c r="F28" s="16">
        <f>COUNTIFS('架電リスト'!$C$5:$C$59,$A28,'架電リスト'!$J$5:$J$59,"担当者不在")</f>
        <v/>
      </c>
      <c r="G28" s="16">
        <f>COUNTIFS('架電リスト'!$C$5:$C$59,$A28,'架電リスト'!$J$5:$J$59,"資料送付")</f>
        <v/>
      </c>
      <c r="H28" s="16">
        <f>COUNTIFS('架電リスト'!$C$5:$C$59,$A28,'架電リスト'!$J$5:$J$59,"アポ獲得")</f>
        <v/>
      </c>
      <c r="I28" s="16">
        <f>COUNTIFS('架電リスト'!$C$5:$C$59,$A28,'架電リスト'!$J$5:$J$59,"検討中")</f>
        <v/>
      </c>
      <c r="J28" s="16">
        <f>COUNTIFS('架電リスト'!$C$5:$C$59,$A28,'架電リスト'!$J$5:$J$59,"NG")</f>
        <v/>
      </c>
      <c r="K28" s="16">
        <f>COUNTIFS('架電リスト'!$C$5:$C$59,$A28,'架電リスト'!$J$5:$J$59,"番号不明")</f>
        <v/>
      </c>
    </row>
    <row r="29">
      <c r="A29" s="16" t="inlineStr">
        <is>
          <t>清水町</t>
        </is>
      </c>
      <c r="B29" s="16">
        <f>COUNTIF('架電リスト'!$C$5:$C$59,A29)</f>
        <v/>
      </c>
      <c r="C29" s="16">
        <f>COUNTIFS('架電リスト'!$C$5:$C$59,A29,'架電リスト'!$E$5:$E$59,"&lt;&gt;")</f>
        <v/>
      </c>
      <c r="D29" s="16">
        <f>B29-COUNTIFS('架電リスト'!$C$5:$C$59,A29,'架電リスト'!$J$5:$J$59,"未架電")-COUNTIFS('架電リスト'!$C$5:$C$59,A29,'架電リスト'!$J$5:$J$59,"")</f>
        <v/>
      </c>
      <c r="E29" s="16">
        <f>COUNTIFS('架電リスト'!$C$5:$C$59,$A29,'架電リスト'!$J$5:$J$59,"不在・折返し待ち")</f>
        <v/>
      </c>
      <c r="F29" s="16">
        <f>COUNTIFS('架電リスト'!$C$5:$C$59,$A29,'架電リスト'!$J$5:$J$59,"担当者不在")</f>
        <v/>
      </c>
      <c r="G29" s="16">
        <f>COUNTIFS('架電リスト'!$C$5:$C$59,$A29,'架電リスト'!$J$5:$J$59,"資料送付")</f>
        <v/>
      </c>
      <c r="H29" s="16">
        <f>COUNTIFS('架電リスト'!$C$5:$C$59,$A29,'架電リスト'!$J$5:$J$59,"アポ獲得")</f>
        <v/>
      </c>
      <c r="I29" s="16">
        <f>COUNTIFS('架電リスト'!$C$5:$C$59,$A29,'架電リスト'!$J$5:$J$59,"検討中")</f>
        <v/>
      </c>
      <c r="J29" s="16">
        <f>COUNTIFS('架電リスト'!$C$5:$C$59,$A29,'架電リスト'!$J$5:$J$59,"NG")</f>
        <v/>
      </c>
      <c r="K29" s="16">
        <f>COUNTIFS('架電リスト'!$C$5:$C$59,$A29,'架電リスト'!$J$5:$J$59,"番号不明")</f>
        <v/>
      </c>
    </row>
    <row r="30">
      <c r="A30" s="16" t="inlineStr">
        <is>
          <t>白老町</t>
        </is>
      </c>
      <c r="B30" s="16">
        <f>COUNTIF('架電リスト'!$C$5:$C$59,A30)</f>
        <v/>
      </c>
      <c r="C30" s="16">
        <f>COUNTIFS('架電リスト'!$C$5:$C$59,A30,'架電リスト'!$E$5:$E$59,"&lt;&gt;")</f>
        <v/>
      </c>
      <c r="D30" s="16">
        <f>B30-COUNTIFS('架電リスト'!$C$5:$C$59,A30,'架電リスト'!$J$5:$J$59,"未架電")-COUNTIFS('架電リスト'!$C$5:$C$59,A30,'架電リスト'!$J$5:$J$59,"")</f>
        <v/>
      </c>
      <c r="E30" s="16">
        <f>COUNTIFS('架電リスト'!$C$5:$C$59,$A30,'架電リスト'!$J$5:$J$59,"不在・折返し待ち")</f>
        <v/>
      </c>
      <c r="F30" s="16">
        <f>COUNTIFS('架電リスト'!$C$5:$C$59,$A30,'架電リスト'!$J$5:$J$59,"担当者不在")</f>
        <v/>
      </c>
      <c r="G30" s="16">
        <f>COUNTIFS('架電リスト'!$C$5:$C$59,$A30,'架電リスト'!$J$5:$J$59,"資料送付")</f>
        <v/>
      </c>
      <c r="H30" s="16">
        <f>COUNTIFS('架電リスト'!$C$5:$C$59,$A30,'架電リスト'!$J$5:$J$59,"アポ獲得")</f>
        <v/>
      </c>
      <c r="I30" s="16">
        <f>COUNTIFS('架電リスト'!$C$5:$C$59,$A30,'架電リスト'!$J$5:$J$59,"検討中")</f>
        <v/>
      </c>
      <c r="J30" s="16">
        <f>COUNTIFS('架電リスト'!$C$5:$C$59,$A30,'架電リスト'!$J$5:$J$59,"NG")</f>
        <v/>
      </c>
      <c r="K30" s="16">
        <f>COUNTIFS('架電リスト'!$C$5:$C$59,$A30,'架電リスト'!$J$5:$J$59,"番号不明")</f>
        <v/>
      </c>
    </row>
    <row r="31">
      <c r="A31" s="16" t="inlineStr">
        <is>
          <t>恵庭市</t>
        </is>
      </c>
      <c r="B31" s="16">
        <f>COUNTIF('架電リスト'!$C$5:$C$59,A31)</f>
        <v/>
      </c>
      <c r="C31" s="16">
        <f>COUNTIFS('架電リスト'!$C$5:$C$59,A31,'架電リスト'!$E$5:$E$59,"&lt;&gt;")</f>
        <v/>
      </c>
      <c r="D31" s="16">
        <f>B31-COUNTIFS('架電リスト'!$C$5:$C$59,A31,'架電リスト'!$J$5:$J$59,"未架電")-COUNTIFS('架電リスト'!$C$5:$C$59,A31,'架電リスト'!$J$5:$J$59,"")</f>
        <v/>
      </c>
      <c r="E31" s="16">
        <f>COUNTIFS('架電リスト'!$C$5:$C$59,$A31,'架電リスト'!$J$5:$J$59,"不在・折返し待ち")</f>
        <v/>
      </c>
      <c r="F31" s="16">
        <f>COUNTIFS('架電リスト'!$C$5:$C$59,$A31,'架電リスト'!$J$5:$J$59,"担当者不在")</f>
        <v/>
      </c>
      <c r="G31" s="16">
        <f>COUNTIFS('架電リスト'!$C$5:$C$59,$A31,'架電リスト'!$J$5:$J$59,"資料送付")</f>
        <v/>
      </c>
      <c r="H31" s="16">
        <f>COUNTIFS('架電リスト'!$C$5:$C$59,$A31,'架電リスト'!$J$5:$J$59,"アポ獲得")</f>
        <v/>
      </c>
      <c r="I31" s="16">
        <f>COUNTIFS('架電リスト'!$C$5:$C$59,$A31,'架電リスト'!$J$5:$J$59,"検討中")</f>
        <v/>
      </c>
      <c r="J31" s="16">
        <f>COUNTIFS('架電リスト'!$C$5:$C$59,$A31,'架電リスト'!$J$5:$J$59,"NG")</f>
        <v/>
      </c>
      <c r="K31" s="16">
        <f>COUNTIFS('架電リスト'!$C$5:$C$59,$A31,'架電リスト'!$J$5:$J$59,"番号不明")</f>
        <v/>
      </c>
    </row>
    <row r="32">
      <c r="A32" s="16" t="inlineStr">
        <is>
          <t>稚内市</t>
        </is>
      </c>
      <c r="B32" s="16">
        <f>COUNTIF('架電リスト'!$C$5:$C$59,A32)</f>
        <v/>
      </c>
      <c r="C32" s="16">
        <f>COUNTIFS('架電リスト'!$C$5:$C$59,A32,'架電リスト'!$E$5:$E$59,"&lt;&gt;")</f>
        <v/>
      </c>
      <c r="D32" s="16">
        <f>B32-COUNTIFS('架電リスト'!$C$5:$C$59,A32,'架電リスト'!$J$5:$J$59,"未架電")-COUNTIFS('架電リスト'!$C$5:$C$59,A32,'架電リスト'!$J$5:$J$59,"")</f>
        <v/>
      </c>
      <c r="E32" s="16">
        <f>COUNTIFS('架電リスト'!$C$5:$C$59,$A32,'架電リスト'!$J$5:$J$59,"不在・折返し待ち")</f>
        <v/>
      </c>
      <c r="F32" s="16">
        <f>COUNTIFS('架電リスト'!$C$5:$C$59,$A32,'架電リスト'!$J$5:$J$59,"担当者不在")</f>
        <v/>
      </c>
      <c r="G32" s="16">
        <f>COUNTIFS('架電リスト'!$C$5:$C$59,$A32,'架電リスト'!$J$5:$J$59,"資料送付")</f>
        <v/>
      </c>
      <c r="H32" s="16">
        <f>COUNTIFS('架電リスト'!$C$5:$C$59,$A32,'架電リスト'!$J$5:$J$59,"アポ獲得")</f>
        <v/>
      </c>
      <c r="I32" s="16">
        <f>COUNTIFS('架電リスト'!$C$5:$C$59,$A32,'架電リスト'!$J$5:$J$59,"検討中")</f>
        <v/>
      </c>
      <c r="J32" s="16">
        <f>COUNTIFS('架電リスト'!$C$5:$C$59,$A32,'架電リスト'!$J$5:$J$59,"NG")</f>
        <v/>
      </c>
      <c r="K32" s="16">
        <f>COUNTIFS('架電リスト'!$C$5:$C$59,$A32,'架電リスト'!$J$5:$J$59,"番号不明")</f>
        <v/>
      </c>
    </row>
    <row r="33">
      <c r="A33" s="17" t="inlineStr">
        <is>
          <t>合計</t>
        </is>
      </c>
      <c r="B33" s="17">
        <f>SUM(B4:B32)</f>
        <v/>
      </c>
      <c r="C33" s="17">
        <f>SUM(C4:C32)</f>
        <v/>
      </c>
      <c r="D33" s="17">
        <f>SUM(D4:D32)</f>
        <v/>
      </c>
      <c r="E33" s="17">
        <f>SUM(E4:E32)</f>
        <v/>
      </c>
      <c r="F33" s="17">
        <f>SUM(F4:F32)</f>
        <v/>
      </c>
      <c r="G33" s="17">
        <f>SUM(G4:G32)</f>
        <v/>
      </c>
      <c r="H33" s="17">
        <f>SUM(H4:H32)</f>
        <v/>
      </c>
      <c r="I33" s="17">
        <f>SUM(I4:I32)</f>
        <v/>
      </c>
      <c r="J33" s="17">
        <f>SUM(J4:J32)</f>
        <v/>
      </c>
      <c r="K33" s="17">
        <f>SUM(K4:K32)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・「番号の確度」：高＝公式サイト、または2つ以上の情報源で一致／中＝情報サイト1件のみで確認／低・要調査＝特定できず。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・市区町村で絞り込む場合は、見出し行「所在地（市区町村）」の▼（フィルター）を使用してください。</t>
        </is>
      </c>
    </row>
    <row r="8">
      <c r="A8" s="19" t="inlineStr">
        <is>
          <t>・「市区町村別集計」は入力内容に連動して自動で集計されます（学校数の多い順）。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・出典：ご提供いただいた学校ネットの検索結果（私立高校・北海道、55校）の貼り付けデータ。並び順は元データの掲載順です。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道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2026-10-09T00:58:00Z</dcterms:created>
  <dcterms:modified xsi:type="dcterms:W3CDTF">2026-10-09T00:58:01Z</dcterms:modified>
</cp:coreProperties>
</file>