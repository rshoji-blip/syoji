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市区町村別集計" sheetId="2" state="visible" r:id="rId2"/>
    <sheet name="使い方・注意事項" sheetId="3" state="visible" r:id="rId3"/>
  </sheets>
  <definedNames>
    <definedName name="_xlnm._FilterDatabase" localSheetId="0" hidden="1">'架電リスト'!$A$4:$L$59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8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center"/>
    </xf>
    <xf numFmtId="49" fontId="4" fillId="3" borderId="1" applyAlignment="1" pivotButton="0" quotePrefix="0" xfId="0">
      <alignment vertical="center"/>
    </xf>
    <xf numFmtId="0" fontId="5" fillId="0" borderId="1" applyAlignment="1" pivotButton="0" quotePrefix="0" xfId="0">
      <alignment horizont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40" customWidth="1" min="4" max="4"/>
    <col width="16" customWidth="1" min="5" max="5"/>
    <col width="18" customWidth="1" min="6" max="6"/>
    <col width="14" customWidth="1" min="7" max="7"/>
    <col width="12" customWidth="1" min="8" max="8"/>
    <col width="12" customWidth="1" min="9" max="9"/>
    <col width="16" customWidth="1" min="10" max="10"/>
    <col width="12" customWidth="1" min="11" max="11"/>
    <col width="36" customWidth="1" min="12" max="12"/>
  </cols>
  <sheetData>
    <row r="1">
      <c r="A1" s="1" t="inlineStr">
        <is>
          <t>私立高等学校 架電リスト（北海道／55校）</t>
        </is>
      </c>
    </row>
    <row r="2">
      <c r="A2" s="2" t="inlineStr">
        <is>
          <t>出典：学校ネット 私立高校検索結果（ご提供の貼り付けデータ）。電話番号は元データに記載がないため空欄です。黄色の列に入力してください。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学科</t>
        </is>
      </c>
      <c r="G4" s="3" t="inlineStr">
        <is>
          <t>学校情報ページ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</row>
    <row r="5">
      <c r="A5" s="4" t="n">
        <v>1</v>
      </c>
      <c r="B5" s="5" t="inlineStr">
        <is>
          <t>北海道</t>
        </is>
      </c>
      <c r="C5" s="5" t="inlineStr">
        <is>
          <t>旭川市</t>
        </is>
      </c>
      <c r="D5" s="5" t="inlineStr">
        <is>
          <t>旭川志峯高等学校</t>
        </is>
      </c>
      <c r="E5" s="6" t="n"/>
      <c r="F5" s="5" t="inlineStr">
        <is>
          <t>普通科</t>
        </is>
      </c>
      <c r="G5" s="7" t="inlineStr">
        <is>
          <t>開く</t>
        </is>
      </c>
      <c r="H5" s="8" t="n"/>
      <c r="I5" s="9" t="n"/>
      <c r="J5" s="9" t="inlineStr">
        <is>
          <t>未架電</t>
        </is>
      </c>
      <c r="K5" s="8" t="n"/>
      <c r="L5" s="9" t="n"/>
    </row>
    <row r="6">
      <c r="A6" s="4" t="n">
        <v>2</v>
      </c>
      <c r="B6" s="5" t="inlineStr">
        <is>
          <t>北海道</t>
        </is>
      </c>
      <c r="C6" s="5" t="inlineStr">
        <is>
          <t>旭川市</t>
        </is>
      </c>
      <c r="D6" s="5" t="inlineStr">
        <is>
          <t>旭川実業高等学校</t>
        </is>
      </c>
      <c r="E6" s="6" t="n"/>
      <c r="F6" s="5" t="inlineStr">
        <is>
          <t>普通科・専門学科</t>
        </is>
      </c>
      <c r="G6" s="7" t="inlineStr">
        <is>
          <t>開く</t>
        </is>
      </c>
      <c r="H6" s="8" t="n"/>
      <c r="I6" s="9" t="n"/>
      <c r="J6" s="9" t="inlineStr">
        <is>
          <t>未架電</t>
        </is>
      </c>
      <c r="K6" s="8" t="n"/>
      <c r="L6" s="9" t="n"/>
    </row>
    <row r="7">
      <c r="A7" s="4" t="n">
        <v>3</v>
      </c>
      <c r="B7" s="5" t="inlineStr">
        <is>
          <t>北海道</t>
        </is>
      </c>
      <c r="C7" s="5" t="inlineStr">
        <is>
          <t>旭川市</t>
        </is>
      </c>
      <c r="D7" s="5" t="inlineStr">
        <is>
          <t>旭川藤星高等学校</t>
        </is>
      </c>
      <c r="E7" s="6" t="n"/>
      <c r="F7" s="5" t="inlineStr">
        <is>
          <t>普通科</t>
        </is>
      </c>
      <c r="G7" s="7" t="inlineStr">
        <is>
          <t>開く</t>
        </is>
      </c>
      <c r="H7" s="8" t="n"/>
      <c r="I7" s="9" t="n"/>
      <c r="J7" s="9" t="inlineStr">
        <is>
          <t>未架電</t>
        </is>
      </c>
      <c r="K7" s="8" t="n"/>
      <c r="L7" s="9" t="n"/>
    </row>
    <row r="8">
      <c r="A8" s="4" t="n">
        <v>4</v>
      </c>
      <c r="B8" s="5" t="inlineStr">
        <is>
          <t>北海道</t>
        </is>
      </c>
      <c r="C8" s="5" t="inlineStr">
        <is>
          <t>旭川市</t>
        </is>
      </c>
      <c r="D8" s="5" t="inlineStr">
        <is>
          <t>旭川明成高等学校</t>
        </is>
      </c>
      <c r="E8" s="6" t="n"/>
      <c r="F8" s="5" t="inlineStr">
        <is>
          <t>総合学科</t>
        </is>
      </c>
      <c r="G8" s="7" t="inlineStr">
        <is>
          <t>開く</t>
        </is>
      </c>
      <c r="H8" s="8" t="n"/>
      <c r="I8" s="9" t="n"/>
      <c r="J8" s="9" t="inlineStr">
        <is>
          <t>未架電</t>
        </is>
      </c>
      <c r="K8" s="8" t="n"/>
      <c r="L8" s="9" t="n"/>
    </row>
    <row r="9">
      <c r="A9" s="4" t="n">
        <v>5</v>
      </c>
      <c r="B9" s="5" t="inlineStr">
        <is>
          <t>北海道</t>
        </is>
      </c>
      <c r="C9" s="5" t="inlineStr">
        <is>
          <t>旭川市</t>
        </is>
      </c>
      <c r="D9" s="5" t="inlineStr">
        <is>
          <t>旭川龍谷高等学校</t>
        </is>
      </c>
      <c r="E9" s="6" t="n"/>
      <c r="F9" s="5" t="inlineStr">
        <is>
          <t>普通科</t>
        </is>
      </c>
      <c r="G9" s="7" t="inlineStr">
        <is>
          <t>開く</t>
        </is>
      </c>
      <c r="H9" s="8" t="n"/>
      <c r="I9" s="9" t="n"/>
      <c r="J9" s="9" t="inlineStr">
        <is>
          <t>未架電</t>
        </is>
      </c>
      <c r="K9" s="8" t="n"/>
      <c r="L9" s="9" t="n"/>
    </row>
    <row r="10">
      <c r="A10" s="4" t="n">
        <v>6</v>
      </c>
      <c r="B10" s="5" t="inlineStr">
        <is>
          <t>北海道</t>
        </is>
      </c>
      <c r="C10" s="5" t="inlineStr">
        <is>
          <t>函館市</t>
        </is>
      </c>
      <c r="D10" s="5" t="inlineStr">
        <is>
          <t>遺愛女子高等学校（青山学院大学教育提携校）</t>
        </is>
      </c>
      <c r="E10" s="6" t="n"/>
      <c r="F10" s="5" t="inlineStr">
        <is>
          <t>普通科・専門学科</t>
        </is>
      </c>
      <c r="G10" s="7" t="inlineStr">
        <is>
          <t>開く</t>
        </is>
      </c>
      <c r="H10" s="8" t="n"/>
      <c r="I10" s="9" t="n"/>
      <c r="J10" s="9" t="inlineStr">
        <is>
          <t>未架電</t>
        </is>
      </c>
      <c r="K10" s="8" t="n"/>
      <c r="L10" s="9" t="n"/>
    </row>
    <row r="11">
      <c r="A11" s="4" t="n">
        <v>7</v>
      </c>
      <c r="B11" s="5" t="inlineStr">
        <is>
          <t>北海道</t>
        </is>
      </c>
      <c r="C11" s="5" t="inlineStr">
        <is>
          <t>札幌市豊平区</t>
        </is>
      </c>
      <c r="D11" s="5" t="inlineStr">
        <is>
          <t>池上学院高等学校</t>
        </is>
      </c>
      <c r="E11" s="6" t="n"/>
      <c r="F11" s="5" t="inlineStr">
        <is>
          <t>普通科</t>
        </is>
      </c>
      <c r="G11" s="7" t="inlineStr">
        <is>
          <t>開く</t>
        </is>
      </c>
      <c r="H11" s="8" t="n"/>
      <c r="I11" s="9" t="n"/>
      <c r="J11" s="9" t="inlineStr">
        <is>
          <t>未架電</t>
        </is>
      </c>
      <c r="K11" s="8" t="n"/>
      <c r="L11" s="9" t="n"/>
    </row>
    <row r="12">
      <c r="A12" s="4" t="n">
        <v>8</v>
      </c>
      <c r="B12" s="5" t="inlineStr">
        <is>
          <t>北海道</t>
        </is>
      </c>
      <c r="C12" s="5" t="inlineStr">
        <is>
          <t>小樽市</t>
        </is>
      </c>
      <c r="D12" s="5" t="inlineStr">
        <is>
          <t>小樽双葉高等学校</t>
        </is>
      </c>
      <c r="E12" s="6" t="n"/>
      <c r="F12" s="5" t="inlineStr">
        <is>
          <t>普通科</t>
        </is>
      </c>
      <c r="G12" s="7" t="inlineStr">
        <is>
          <t>開く</t>
        </is>
      </c>
      <c r="H12" s="8" t="n"/>
      <c r="I12" s="9" t="n"/>
      <c r="J12" s="9" t="inlineStr">
        <is>
          <t>未架電</t>
        </is>
      </c>
      <c r="K12" s="8" t="n"/>
      <c r="L12" s="9" t="n"/>
    </row>
    <row r="13">
      <c r="A13" s="4" t="n">
        <v>9</v>
      </c>
      <c r="B13" s="5" t="inlineStr">
        <is>
          <t>北海道</t>
        </is>
      </c>
      <c r="C13" s="5" t="inlineStr">
        <is>
          <t>小樽市</t>
        </is>
      </c>
      <c r="D13" s="5" t="inlineStr">
        <is>
          <t>小樽明峰高等学校</t>
        </is>
      </c>
      <c r="E13" s="6" t="n"/>
      <c r="F13" s="5" t="inlineStr">
        <is>
          <t>普通科</t>
        </is>
      </c>
      <c r="G13" s="7" t="inlineStr">
        <is>
          <t>開く</t>
        </is>
      </c>
      <c r="H13" s="8" t="n"/>
      <c r="I13" s="9" t="n"/>
      <c r="J13" s="9" t="inlineStr">
        <is>
          <t>未架電</t>
        </is>
      </c>
      <c r="K13" s="8" t="n"/>
      <c r="L13" s="9" t="n"/>
    </row>
    <row r="14">
      <c r="A14" s="4" t="n">
        <v>10</v>
      </c>
      <c r="B14" s="5" t="inlineStr">
        <is>
          <t>北海道</t>
        </is>
      </c>
      <c r="C14" s="5" t="inlineStr">
        <is>
          <t>帯広市</t>
        </is>
      </c>
      <c r="D14" s="5" t="inlineStr">
        <is>
          <t>帯広大谷高等学校</t>
        </is>
      </c>
      <c r="E14" s="6" t="n"/>
      <c r="F14" s="5" t="inlineStr">
        <is>
          <t>普通科</t>
        </is>
      </c>
      <c r="G14" s="7" t="inlineStr">
        <is>
          <t>開く</t>
        </is>
      </c>
      <c r="H14" s="8" t="n"/>
      <c r="I14" s="9" t="n"/>
      <c r="J14" s="9" t="inlineStr">
        <is>
          <t>未架電</t>
        </is>
      </c>
      <c r="K14" s="8" t="n"/>
      <c r="L14" s="9" t="n"/>
    </row>
    <row r="15">
      <c r="A15" s="4" t="n">
        <v>11</v>
      </c>
      <c r="B15" s="5" t="inlineStr">
        <is>
          <t>北海道</t>
        </is>
      </c>
      <c r="C15" s="5" t="inlineStr">
        <is>
          <t>帯広市</t>
        </is>
      </c>
      <c r="D15" s="5" t="inlineStr">
        <is>
          <t>帯広北高等学校</t>
        </is>
      </c>
      <c r="E15" s="6" t="n"/>
      <c r="F15" s="5" t="inlineStr">
        <is>
          <t>普通科</t>
        </is>
      </c>
      <c r="G15" s="7" t="inlineStr">
        <is>
          <t>開く</t>
        </is>
      </c>
      <c r="H15" s="8" t="n"/>
      <c r="I15" s="9" t="n"/>
      <c r="J15" s="9" t="inlineStr">
        <is>
          <t>未架電</t>
        </is>
      </c>
      <c r="K15" s="8" t="n"/>
      <c r="L15" s="9" t="n"/>
    </row>
    <row r="16">
      <c r="A16" s="4" t="n">
        <v>12</v>
      </c>
      <c r="B16" s="5" t="inlineStr">
        <is>
          <t>北海道</t>
        </is>
      </c>
      <c r="C16" s="5" t="inlineStr">
        <is>
          <t>室蘭市</t>
        </is>
      </c>
      <c r="D16" s="5" t="inlineStr">
        <is>
          <t>海星学院高等学校</t>
        </is>
      </c>
      <c r="E16" s="6" t="n"/>
      <c r="F16" s="5" t="inlineStr">
        <is>
          <t>普通科</t>
        </is>
      </c>
      <c r="G16" s="7" t="inlineStr">
        <is>
          <t>開く</t>
        </is>
      </c>
      <c r="H16" s="8" t="n"/>
      <c r="I16" s="9" t="n"/>
      <c r="J16" s="9" t="inlineStr">
        <is>
          <t>未架電</t>
        </is>
      </c>
      <c r="K16" s="8" t="n"/>
      <c r="L16" s="9" t="n"/>
    </row>
    <row r="17">
      <c r="A17" s="4" t="n">
        <v>13</v>
      </c>
      <c r="B17" s="5" t="inlineStr">
        <is>
          <t>北海道</t>
        </is>
      </c>
      <c r="C17" s="5" t="inlineStr">
        <is>
          <t>北見市</t>
        </is>
      </c>
      <c r="D17" s="5" t="inlineStr">
        <is>
          <t>北見藤高等学校</t>
        </is>
      </c>
      <c r="E17" s="6" t="n"/>
      <c r="F17" s="5" t="inlineStr">
        <is>
          <t>普通科</t>
        </is>
      </c>
      <c r="G17" s="7" t="inlineStr">
        <is>
          <t>開く</t>
        </is>
      </c>
      <c r="H17" s="8" t="n"/>
      <c r="I17" s="9" t="n"/>
      <c r="J17" s="9" t="inlineStr">
        <is>
          <t>未架電</t>
        </is>
      </c>
      <c r="K17" s="8" t="n"/>
      <c r="L17" s="9" t="n"/>
    </row>
    <row r="18">
      <c r="A18" s="4" t="n">
        <v>14</v>
      </c>
      <c r="B18" s="5" t="inlineStr">
        <is>
          <t>北海道</t>
        </is>
      </c>
      <c r="C18" s="5" t="inlineStr">
        <is>
          <t>深川市</t>
        </is>
      </c>
      <c r="D18" s="5" t="inlineStr">
        <is>
          <t>クラーク記念国際高等学校</t>
        </is>
      </c>
      <c r="E18" s="6" t="n"/>
      <c r="F18" s="5" t="inlineStr">
        <is>
          <t>普通科</t>
        </is>
      </c>
      <c r="G18" s="7" t="inlineStr">
        <is>
          <t>開く</t>
        </is>
      </c>
      <c r="H18" s="8" t="n"/>
      <c r="I18" s="9" t="n"/>
      <c r="J18" s="9" t="inlineStr">
        <is>
          <t>未架電</t>
        </is>
      </c>
      <c r="K18" s="8" t="n"/>
      <c r="L18" s="9" t="n"/>
    </row>
    <row r="19">
      <c r="A19" s="4" t="n">
        <v>15</v>
      </c>
      <c r="B19" s="5" t="inlineStr">
        <is>
          <t>北海道</t>
        </is>
      </c>
      <c r="C19" s="5" t="inlineStr">
        <is>
          <t>苫小牧市</t>
        </is>
      </c>
      <c r="D19" s="5" t="inlineStr">
        <is>
          <t>駒澤大学附属苫小牧高等学校</t>
        </is>
      </c>
      <c r="E19" s="6" t="n"/>
      <c r="F19" s="5" t="inlineStr">
        <is>
          <t>普通科</t>
        </is>
      </c>
      <c r="G19" s="7" t="inlineStr">
        <is>
          <t>開く</t>
        </is>
      </c>
      <c r="H19" s="8" t="n"/>
      <c r="I19" s="9" t="n"/>
      <c r="J19" s="9" t="inlineStr">
        <is>
          <t>未架電</t>
        </is>
      </c>
      <c r="K19" s="8" t="n"/>
      <c r="L19" s="9" t="n"/>
    </row>
    <row r="20">
      <c r="A20" s="4" t="n">
        <v>16</v>
      </c>
      <c r="B20" s="5" t="inlineStr">
        <is>
          <t>北海道</t>
        </is>
      </c>
      <c r="C20" s="5" t="inlineStr">
        <is>
          <t>札幌市東区</t>
        </is>
      </c>
      <c r="D20" s="5" t="inlineStr">
        <is>
          <t>札幌大谷高等学校</t>
        </is>
      </c>
      <c r="E20" s="6" t="n"/>
      <c r="F20" s="5" t="inlineStr">
        <is>
          <t>普通科・専門学科</t>
        </is>
      </c>
      <c r="G20" s="7" t="inlineStr">
        <is>
          <t>開く</t>
        </is>
      </c>
      <c r="H20" s="8" t="n"/>
      <c r="I20" s="9" t="n"/>
      <c r="J20" s="9" t="inlineStr">
        <is>
          <t>未架電</t>
        </is>
      </c>
      <c r="K20" s="8" t="n"/>
      <c r="L20" s="9" t="n"/>
    </row>
    <row r="21">
      <c r="A21" s="4" t="n">
        <v>17</v>
      </c>
      <c r="B21" s="5" t="inlineStr">
        <is>
          <t>北海道</t>
        </is>
      </c>
      <c r="C21" s="5" t="inlineStr">
        <is>
          <t>札幌市東区</t>
        </is>
      </c>
      <c r="D21" s="5" t="inlineStr">
        <is>
          <t>札幌光星高等学校</t>
        </is>
      </c>
      <c r="E21" s="6" t="n"/>
      <c r="F21" s="5" t="inlineStr">
        <is>
          <t>普通科</t>
        </is>
      </c>
      <c r="G21" s="7" t="inlineStr">
        <is>
          <t>開く</t>
        </is>
      </c>
      <c r="H21" s="8" t="n"/>
      <c r="I21" s="9" t="n"/>
      <c r="J21" s="9" t="inlineStr">
        <is>
          <t>未架電</t>
        </is>
      </c>
      <c r="K21" s="8" t="n"/>
      <c r="L21" s="9" t="n"/>
    </row>
    <row r="22">
      <c r="A22" s="4" t="n">
        <v>18</v>
      </c>
      <c r="B22" s="5" t="inlineStr">
        <is>
          <t>北海道</t>
        </is>
      </c>
      <c r="C22" s="5" t="inlineStr">
        <is>
          <t>札幌市南区</t>
        </is>
      </c>
      <c r="D22" s="5" t="inlineStr">
        <is>
          <t>札幌新陽高等学校</t>
        </is>
      </c>
      <c r="E22" s="6" t="n"/>
      <c r="F22" s="5" t="inlineStr">
        <is>
          <t>普通科</t>
        </is>
      </c>
      <c r="G22" s="7" t="inlineStr">
        <is>
          <t>開く</t>
        </is>
      </c>
      <c r="H22" s="8" t="n"/>
      <c r="I22" s="9" t="n"/>
      <c r="J22" s="9" t="inlineStr">
        <is>
          <t>未架電</t>
        </is>
      </c>
      <c r="K22" s="8" t="n"/>
      <c r="L22" s="9" t="n"/>
    </row>
    <row r="23">
      <c r="A23" s="4" t="n">
        <v>19</v>
      </c>
      <c r="B23" s="5" t="inlineStr">
        <is>
          <t>北海道</t>
        </is>
      </c>
      <c r="C23" s="5" t="inlineStr">
        <is>
          <t>和寒町</t>
        </is>
      </c>
      <c r="D23" s="5" t="inlineStr">
        <is>
          <t>札幌自由が丘学園三和高等学校</t>
        </is>
      </c>
      <c r="E23" s="6" t="n"/>
      <c r="F23" s="5" t="inlineStr">
        <is>
          <t>普通科</t>
        </is>
      </c>
      <c r="G23" s="7" t="inlineStr">
        <is>
          <t>開く</t>
        </is>
      </c>
      <c r="H23" s="8" t="n"/>
      <c r="I23" s="9" t="n"/>
      <c r="J23" s="9" t="inlineStr">
        <is>
          <t>未架電</t>
        </is>
      </c>
      <c r="K23" s="8" t="n"/>
      <c r="L23" s="9" t="n"/>
    </row>
    <row r="24">
      <c r="A24" s="4" t="n">
        <v>20</v>
      </c>
      <c r="B24" s="5" t="inlineStr">
        <is>
          <t>北海道</t>
        </is>
      </c>
      <c r="C24" s="5" t="inlineStr">
        <is>
          <t>札幌市中央区</t>
        </is>
      </c>
      <c r="D24" s="5" t="inlineStr">
        <is>
          <t>札幌静修高等学校</t>
        </is>
      </c>
      <c r="E24" s="6" t="n"/>
      <c r="F24" s="5" t="inlineStr">
        <is>
          <t>普通科・専門学科</t>
        </is>
      </c>
      <c r="G24" s="7" t="inlineStr">
        <is>
          <t>開く</t>
        </is>
      </c>
      <c r="H24" s="8" t="n"/>
      <c r="I24" s="9" t="n"/>
      <c r="J24" s="9" t="inlineStr">
        <is>
          <t>未架電</t>
        </is>
      </c>
      <c r="K24" s="8" t="n"/>
      <c r="L24" s="9" t="n"/>
    </row>
    <row r="25">
      <c r="A25" s="4" t="n">
        <v>21</v>
      </c>
      <c r="B25" s="5" t="inlineStr">
        <is>
          <t>北海道</t>
        </is>
      </c>
      <c r="C25" s="5" t="inlineStr">
        <is>
          <t>札幌市北区</t>
        </is>
      </c>
      <c r="D25" s="5" t="inlineStr">
        <is>
          <t>札幌創成高等学校</t>
        </is>
      </c>
      <c r="E25" s="6" t="n"/>
      <c r="F25" s="5" t="inlineStr">
        <is>
          <t>普通科</t>
        </is>
      </c>
      <c r="G25" s="7" t="inlineStr">
        <is>
          <t>開く</t>
        </is>
      </c>
      <c r="H25" s="8" t="n"/>
      <c r="I25" s="9" t="n"/>
      <c r="J25" s="9" t="inlineStr">
        <is>
          <t>未架電</t>
        </is>
      </c>
      <c r="K25" s="8" t="n"/>
      <c r="L25" s="9" t="n"/>
    </row>
    <row r="26">
      <c r="A26" s="4" t="n">
        <v>22</v>
      </c>
      <c r="B26" s="5" t="inlineStr">
        <is>
          <t>北海道</t>
        </is>
      </c>
      <c r="C26" s="5" t="inlineStr">
        <is>
          <t>札幌市豊平区</t>
        </is>
      </c>
      <c r="D26" s="5" t="inlineStr">
        <is>
          <t>札幌第一高等学校</t>
        </is>
      </c>
      <c r="E26" s="6" t="n"/>
      <c r="F26" s="5" t="inlineStr">
        <is>
          <t>普通科</t>
        </is>
      </c>
      <c r="G26" s="7" t="inlineStr">
        <is>
          <t>開く</t>
        </is>
      </c>
      <c r="H26" s="8" t="n"/>
      <c r="I26" s="9" t="n"/>
      <c r="J26" s="9" t="inlineStr">
        <is>
          <t>未架電</t>
        </is>
      </c>
      <c r="K26" s="8" t="n"/>
      <c r="L26" s="9" t="n"/>
    </row>
    <row r="27">
      <c r="A27" s="4" t="n">
        <v>23</v>
      </c>
      <c r="B27" s="5" t="inlineStr">
        <is>
          <t>北海道</t>
        </is>
      </c>
      <c r="C27" s="5" t="inlineStr">
        <is>
          <t>北広島市</t>
        </is>
      </c>
      <c r="D27" s="5" t="inlineStr">
        <is>
          <t>札幌日本大学高等学校</t>
        </is>
      </c>
      <c r="E27" s="6" t="n"/>
      <c r="F27" s="5" t="inlineStr">
        <is>
          <t>普通科</t>
        </is>
      </c>
      <c r="G27" s="7" t="inlineStr">
        <is>
          <t>開く</t>
        </is>
      </c>
      <c r="H27" s="8" t="n"/>
      <c r="I27" s="9" t="n"/>
      <c r="J27" s="9" t="inlineStr">
        <is>
          <t>未架電</t>
        </is>
      </c>
      <c r="K27" s="8" t="n"/>
      <c r="L27" s="9" t="n"/>
    </row>
    <row r="28">
      <c r="A28" s="4" t="n">
        <v>24</v>
      </c>
      <c r="B28" s="5" t="inlineStr">
        <is>
          <t>北海道</t>
        </is>
      </c>
      <c r="C28" s="5" t="inlineStr">
        <is>
          <t>札幌市東区</t>
        </is>
      </c>
      <c r="D28" s="5" t="inlineStr">
        <is>
          <t>札幌北斗高等学校</t>
        </is>
      </c>
      <c r="E28" s="6" t="n"/>
      <c r="F28" s="5" t="inlineStr">
        <is>
          <t>普通科</t>
        </is>
      </c>
      <c r="G28" s="7" t="inlineStr">
        <is>
          <t>開く</t>
        </is>
      </c>
      <c r="H28" s="8" t="n"/>
      <c r="I28" s="9" t="n"/>
      <c r="J28" s="9" t="inlineStr">
        <is>
          <t>未架電</t>
        </is>
      </c>
      <c r="K28" s="8" t="n"/>
      <c r="L28" s="9" t="n"/>
    </row>
    <row r="29">
      <c r="A29" s="4" t="n">
        <v>25</v>
      </c>
      <c r="B29" s="5" t="inlineStr">
        <is>
          <t>北海道</t>
        </is>
      </c>
      <c r="C29" s="5" t="inlineStr">
        <is>
          <t>札幌市西区</t>
        </is>
      </c>
      <c r="D29" s="5" t="inlineStr">
        <is>
          <t>札幌山の手高等学校</t>
        </is>
      </c>
      <c r="E29" s="6" t="n"/>
      <c r="F29" s="5" t="inlineStr">
        <is>
          <t>普通科</t>
        </is>
      </c>
      <c r="G29" s="7" t="inlineStr">
        <is>
          <t>開く</t>
        </is>
      </c>
      <c r="H29" s="8" t="n"/>
      <c r="I29" s="9" t="n"/>
      <c r="J29" s="9" t="inlineStr">
        <is>
          <t>未架電</t>
        </is>
      </c>
      <c r="K29" s="8" t="n"/>
      <c r="L29" s="9" t="n"/>
    </row>
    <row r="30">
      <c r="A30" s="4" t="n">
        <v>26</v>
      </c>
      <c r="B30" s="5" t="inlineStr">
        <is>
          <t>北海道</t>
        </is>
      </c>
      <c r="C30" s="5" t="inlineStr">
        <is>
          <t>札幌市中央区</t>
        </is>
      </c>
      <c r="D30" s="5" t="inlineStr">
        <is>
          <t>札幌龍谷学園高等学校</t>
        </is>
      </c>
      <c r="E30" s="6" t="n"/>
      <c r="F30" s="5" t="inlineStr">
        <is>
          <t>普通科</t>
        </is>
      </c>
      <c r="G30" s="7" t="inlineStr">
        <is>
          <t>開く</t>
        </is>
      </c>
      <c r="H30" s="8" t="n"/>
      <c r="I30" s="9" t="n"/>
      <c r="J30" s="9" t="inlineStr">
        <is>
          <t>未架電</t>
        </is>
      </c>
      <c r="K30" s="8" t="n"/>
      <c r="L30" s="9" t="n"/>
    </row>
    <row r="31">
      <c r="A31" s="4" t="n">
        <v>27</v>
      </c>
      <c r="B31" s="5" t="inlineStr">
        <is>
          <t>北海道</t>
        </is>
      </c>
      <c r="C31" s="5" t="inlineStr">
        <is>
          <t>芽室町</t>
        </is>
      </c>
      <c r="D31" s="5" t="inlineStr">
        <is>
          <t>白樺学園高等学校</t>
        </is>
      </c>
      <c r="E31" s="6" t="n"/>
      <c r="F31" s="5" t="inlineStr">
        <is>
          <t>普通科</t>
        </is>
      </c>
      <c r="G31" s="7" t="inlineStr">
        <is>
          <t>開く</t>
        </is>
      </c>
      <c r="H31" s="8" t="n"/>
      <c r="I31" s="9" t="n"/>
      <c r="J31" s="9" t="inlineStr">
        <is>
          <t>未架電</t>
        </is>
      </c>
      <c r="K31" s="8" t="n"/>
      <c r="L31" s="9" t="n"/>
    </row>
    <row r="32">
      <c r="A32" s="4" t="n">
        <v>28</v>
      </c>
      <c r="B32" s="5" t="inlineStr">
        <is>
          <t>北海道</t>
        </is>
      </c>
      <c r="C32" s="5" t="inlineStr">
        <is>
          <t>芦別市</t>
        </is>
      </c>
      <c r="D32" s="5" t="inlineStr">
        <is>
          <t>星槎国際高等学校</t>
        </is>
      </c>
      <c r="E32" s="6" t="n"/>
      <c r="F32" s="5" t="inlineStr">
        <is>
          <t>普通科</t>
        </is>
      </c>
      <c r="G32" s="7" t="inlineStr">
        <is>
          <t>開く</t>
        </is>
      </c>
      <c r="H32" s="8" t="n"/>
      <c r="I32" s="9" t="n"/>
      <c r="J32" s="9" t="inlineStr">
        <is>
          <t>未架電</t>
        </is>
      </c>
      <c r="K32" s="8" t="n"/>
      <c r="L32" s="9" t="n"/>
    </row>
    <row r="33">
      <c r="A33" s="4" t="n">
        <v>29</v>
      </c>
      <c r="B33" s="5" t="inlineStr">
        <is>
          <t>北海道</t>
        </is>
      </c>
      <c r="C33" s="5" t="inlineStr">
        <is>
          <t>函館市</t>
        </is>
      </c>
      <c r="D33" s="5" t="inlineStr">
        <is>
          <t>清尚学院高等学校</t>
        </is>
      </c>
      <c r="E33" s="6" t="n"/>
      <c r="F33" s="5" t="inlineStr">
        <is>
          <t>専門学科</t>
        </is>
      </c>
      <c r="G33" s="7" t="inlineStr">
        <is>
          <t>開く</t>
        </is>
      </c>
      <c r="H33" s="8" t="n"/>
      <c r="I33" s="9" t="n"/>
      <c r="J33" s="9" t="inlineStr">
        <is>
          <t>未架電</t>
        </is>
      </c>
      <c r="K33" s="8" t="n"/>
      <c r="L33" s="9" t="n"/>
    </row>
    <row r="34">
      <c r="A34" s="4" t="n">
        <v>30</v>
      </c>
      <c r="B34" s="5" t="inlineStr">
        <is>
          <t>北海道</t>
        </is>
      </c>
      <c r="C34" s="5" t="inlineStr">
        <is>
          <t>札幌市南区</t>
        </is>
      </c>
      <c r="D34" s="5" t="inlineStr">
        <is>
          <t>東海大学付属札幌高等学校</t>
        </is>
      </c>
      <c r="E34" s="6" t="n"/>
      <c r="F34" s="5" t="inlineStr">
        <is>
          <t>普通科</t>
        </is>
      </c>
      <c r="G34" s="7" t="inlineStr">
        <is>
          <t>開く</t>
        </is>
      </c>
      <c r="H34" s="8" t="n"/>
      <c r="I34" s="9" t="n"/>
      <c r="J34" s="9" t="inlineStr">
        <is>
          <t>未架電</t>
        </is>
      </c>
      <c r="K34" s="8" t="n"/>
      <c r="L34" s="9" t="n"/>
    </row>
    <row r="35">
      <c r="A35" s="4" t="n">
        <v>31</v>
      </c>
      <c r="B35" s="5" t="inlineStr">
        <is>
          <t>北海道</t>
        </is>
      </c>
      <c r="C35" s="5" t="inlineStr">
        <is>
          <t>苫小牧市</t>
        </is>
      </c>
      <c r="D35" s="5" t="inlineStr">
        <is>
          <t>苫小牧中央高等学校</t>
        </is>
      </c>
      <c r="E35" s="6" t="n"/>
      <c r="F35" s="5" t="inlineStr">
        <is>
          <t>普通科</t>
        </is>
      </c>
      <c r="G35" s="7" t="inlineStr">
        <is>
          <t>開く</t>
        </is>
      </c>
      <c r="H35" s="8" t="n"/>
      <c r="I35" s="9" t="n"/>
      <c r="J35" s="9" t="inlineStr">
        <is>
          <t>未架電</t>
        </is>
      </c>
      <c r="K35" s="8" t="n"/>
      <c r="L35" s="9" t="n"/>
    </row>
    <row r="36">
      <c r="A36" s="4" t="n">
        <v>32</v>
      </c>
      <c r="B36" s="5" t="inlineStr">
        <is>
          <t>北海道</t>
        </is>
      </c>
      <c r="C36" s="5" t="inlineStr">
        <is>
          <t>千歳市</t>
        </is>
      </c>
      <c r="D36" s="5" t="inlineStr">
        <is>
          <t>日本航空高等学校 北海道</t>
        </is>
      </c>
      <c r="E36" s="6" t="n"/>
      <c r="F36" s="5" t="inlineStr">
        <is>
          <t>専門学科</t>
        </is>
      </c>
      <c r="G36" s="7" t="inlineStr">
        <is>
          <t>開く</t>
        </is>
      </c>
      <c r="H36" s="8" t="n"/>
      <c r="I36" s="9" t="n"/>
      <c r="J36" s="9" t="inlineStr">
        <is>
          <t>未架電</t>
        </is>
      </c>
      <c r="K36" s="8" t="n"/>
      <c r="L36" s="9" t="n"/>
    </row>
    <row r="37">
      <c r="A37" s="4" t="n">
        <v>33</v>
      </c>
      <c r="B37" s="5" t="inlineStr">
        <is>
          <t>北海道</t>
        </is>
      </c>
      <c r="C37" s="5" t="inlineStr">
        <is>
          <t>函館市</t>
        </is>
      </c>
      <c r="D37" s="5" t="inlineStr">
        <is>
          <t>函館大谷高等学校</t>
        </is>
      </c>
      <c r="E37" s="6" t="n"/>
      <c r="F37" s="5" t="inlineStr">
        <is>
          <t>普通科</t>
        </is>
      </c>
      <c r="G37" s="7" t="inlineStr">
        <is>
          <t>開く</t>
        </is>
      </c>
      <c r="H37" s="8" t="n"/>
      <c r="I37" s="9" t="n"/>
      <c r="J37" s="9" t="inlineStr">
        <is>
          <t>未架電</t>
        </is>
      </c>
      <c r="K37" s="8" t="n"/>
      <c r="L37" s="9" t="n"/>
    </row>
    <row r="38">
      <c r="A38" s="4" t="n">
        <v>34</v>
      </c>
      <c r="B38" s="5" t="inlineStr">
        <is>
          <t>北海道</t>
        </is>
      </c>
      <c r="C38" s="5" t="inlineStr">
        <is>
          <t>函館市</t>
        </is>
      </c>
      <c r="D38" s="5" t="inlineStr">
        <is>
          <t>函館大妻高等学校</t>
        </is>
      </c>
      <c r="E38" s="6" t="n"/>
      <c r="F38" s="5" t="inlineStr">
        <is>
          <t>普通科・専門学科</t>
        </is>
      </c>
      <c r="G38" s="7" t="inlineStr">
        <is>
          <t>開く</t>
        </is>
      </c>
      <c r="H38" s="8" t="n"/>
      <c r="I38" s="9" t="n"/>
      <c r="J38" s="9" t="inlineStr">
        <is>
          <t>未架電</t>
        </is>
      </c>
      <c r="K38" s="8" t="n"/>
      <c r="L38" s="9" t="n"/>
    </row>
    <row r="39">
      <c r="A39" s="4" t="n">
        <v>35</v>
      </c>
      <c r="B39" s="5" t="inlineStr">
        <is>
          <t>北海道</t>
        </is>
      </c>
      <c r="C39" s="5" t="inlineStr">
        <is>
          <t>函館市</t>
        </is>
      </c>
      <c r="D39" s="5" t="inlineStr">
        <is>
          <t>函館白百合学園高等学校</t>
        </is>
      </c>
      <c r="E39" s="6" t="n"/>
      <c r="F39" s="5" t="inlineStr">
        <is>
          <t>普通科</t>
        </is>
      </c>
      <c r="G39" s="7" t="inlineStr">
        <is>
          <t>開く</t>
        </is>
      </c>
      <c r="H39" s="8" t="n"/>
      <c r="I39" s="9" t="n"/>
      <c r="J39" s="9" t="inlineStr">
        <is>
          <t>未架電</t>
        </is>
      </c>
      <c r="K39" s="8" t="n"/>
      <c r="L39" s="9" t="n"/>
    </row>
    <row r="40">
      <c r="A40" s="4" t="n">
        <v>36</v>
      </c>
      <c r="B40" s="5" t="inlineStr">
        <is>
          <t>北海道</t>
        </is>
      </c>
      <c r="C40" s="5" t="inlineStr">
        <is>
          <t>函館市</t>
        </is>
      </c>
      <c r="D40" s="5" t="inlineStr">
        <is>
          <t>函館大学付属柏稜高等学校</t>
        </is>
      </c>
      <c r="E40" s="6" t="n"/>
      <c r="F40" s="5" t="inlineStr">
        <is>
          <t>普通科・専門学科</t>
        </is>
      </c>
      <c r="G40" s="7" t="inlineStr">
        <is>
          <t>開く</t>
        </is>
      </c>
      <c r="H40" s="8" t="n"/>
      <c r="I40" s="9" t="n"/>
      <c r="J40" s="9" t="inlineStr">
        <is>
          <t>未架電</t>
        </is>
      </c>
      <c r="K40" s="8" t="n"/>
      <c r="L40" s="9" t="n"/>
    </row>
    <row r="41">
      <c r="A41" s="4" t="n">
        <v>37</v>
      </c>
      <c r="B41" s="5" t="inlineStr">
        <is>
          <t>北海道</t>
        </is>
      </c>
      <c r="C41" s="5" t="inlineStr">
        <is>
          <t>函館市</t>
        </is>
      </c>
      <c r="D41" s="5" t="inlineStr">
        <is>
          <t>函館大学付属有斗高等学校</t>
        </is>
      </c>
      <c r="E41" s="6" t="n"/>
      <c r="F41" s="5" t="inlineStr">
        <is>
          <t>普通科</t>
        </is>
      </c>
      <c r="G41" s="7" t="inlineStr">
        <is>
          <t>開く</t>
        </is>
      </c>
      <c r="H41" s="8" t="n"/>
      <c r="I41" s="9" t="n"/>
      <c r="J41" s="9" t="inlineStr">
        <is>
          <t>未架電</t>
        </is>
      </c>
      <c r="K41" s="8" t="n"/>
      <c r="L41" s="9" t="n"/>
    </row>
    <row r="42">
      <c r="A42" s="4" t="n">
        <v>38</v>
      </c>
      <c r="B42" s="5" t="inlineStr">
        <is>
          <t>北海道</t>
        </is>
      </c>
      <c r="C42" s="5" t="inlineStr">
        <is>
          <t>函館市</t>
        </is>
      </c>
      <c r="D42" s="5" t="inlineStr">
        <is>
          <t>函館ラ・サール高等学校</t>
        </is>
      </c>
      <c r="E42" s="6" t="n"/>
      <c r="F42" s="5" t="inlineStr">
        <is>
          <t>普通科</t>
        </is>
      </c>
      <c r="G42" s="7" t="inlineStr">
        <is>
          <t>開く</t>
        </is>
      </c>
      <c r="H42" s="8" t="n"/>
      <c r="I42" s="9" t="n"/>
      <c r="J42" s="9" t="inlineStr">
        <is>
          <t>未架電</t>
        </is>
      </c>
      <c r="K42" s="8" t="n"/>
      <c r="L42" s="9" t="n"/>
    </row>
    <row r="43">
      <c r="A43" s="4" t="n">
        <v>39</v>
      </c>
      <c r="B43" s="5" t="inlineStr">
        <is>
          <t>北海道</t>
        </is>
      </c>
      <c r="C43" s="5" t="inlineStr">
        <is>
          <t>札幌市北区</t>
        </is>
      </c>
      <c r="D43" s="5" t="inlineStr">
        <is>
          <t>藤女子高等学校</t>
        </is>
      </c>
      <c r="E43" s="6" t="n"/>
      <c r="F43" s="5" t="inlineStr">
        <is>
          <t>普通科</t>
        </is>
      </c>
      <c r="G43" s="7" t="inlineStr">
        <is>
          <t>開く</t>
        </is>
      </c>
      <c r="H43" s="8" t="n"/>
      <c r="I43" s="9" t="n"/>
      <c r="J43" s="9" t="inlineStr">
        <is>
          <t>未架電</t>
        </is>
      </c>
      <c r="K43" s="8" t="n"/>
      <c r="L43" s="9" t="n"/>
    </row>
    <row r="44">
      <c r="A44" s="4" t="n">
        <v>40</v>
      </c>
      <c r="B44" s="5" t="inlineStr">
        <is>
          <t>北海道</t>
        </is>
      </c>
      <c r="C44" s="5" t="inlineStr">
        <is>
          <t>釧路市</t>
        </is>
      </c>
      <c r="D44" s="5" t="inlineStr">
        <is>
          <t>武修館高等学校</t>
        </is>
      </c>
      <c r="E44" s="6" t="n"/>
      <c r="F44" s="5" t="inlineStr">
        <is>
          <t>普通科</t>
        </is>
      </c>
      <c r="G44" s="7" t="inlineStr">
        <is>
          <t>開く</t>
        </is>
      </c>
      <c r="H44" s="8" t="n"/>
      <c r="I44" s="9" t="n"/>
      <c r="J44" s="9" t="inlineStr">
        <is>
          <t>未架電</t>
        </is>
      </c>
      <c r="K44" s="8" t="n"/>
      <c r="L44" s="9" t="n"/>
    </row>
    <row r="45">
      <c r="A45" s="4" t="n">
        <v>41</v>
      </c>
      <c r="B45" s="5" t="inlineStr">
        <is>
          <t>北海道</t>
        </is>
      </c>
      <c r="C45" s="5" t="inlineStr">
        <is>
          <t>小樽市</t>
        </is>
      </c>
      <c r="D45" s="5" t="inlineStr">
        <is>
          <t>北照高等学校</t>
        </is>
      </c>
      <c r="E45" s="6" t="n"/>
      <c r="F45" s="5" t="inlineStr">
        <is>
          <t>普通科</t>
        </is>
      </c>
      <c r="G45" s="7" t="inlineStr">
        <is>
          <t>開く</t>
        </is>
      </c>
      <c r="H45" s="8" t="n"/>
      <c r="I45" s="9" t="n"/>
      <c r="J45" s="9" t="inlineStr">
        <is>
          <t>未架電</t>
        </is>
      </c>
      <c r="K45" s="8" t="n"/>
      <c r="L45" s="9" t="n"/>
    </row>
    <row r="46">
      <c r="A46" s="4" t="n">
        <v>42</v>
      </c>
      <c r="B46" s="5" t="inlineStr">
        <is>
          <t>北海道</t>
        </is>
      </c>
      <c r="C46" s="5" t="inlineStr">
        <is>
          <t>札幌市中央区</t>
        </is>
      </c>
      <c r="D46" s="5" t="inlineStr">
        <is>
          <t>北星学園女子高等学校</t>
        </is>
      </c>
      <c r="E46" s="6" t="n"/>
      <c r="F46" s="5" t="inlineStr">
        <is>
          <t>普通科・専門学科</t>
        </is>
      </c>
      <c r="G46" s="7" t="inlineStr">
        <is>
          <t>開く</t>
        </is>
      </c>
      <c r="H46" s="8" t="n"/>
      <c r="I46" s="9" t="n"/>
      <c r="J46" s="9" t="inlineStr">
        <is>
          <t>未架電</t>
        </is>
      </c>
      <c r="K46" s="8" t="n"/>
      <c r="L46" s="9" t="n"/>
    </row>
    <row r="47">
      <c r="A47" s="4" t="n">
        <v>43</v>
      </c>
      <c r="B47" s="5" t="inlineStr">
        <is>
          <t>北海道</t>
        </is>
      </c>
      <c r="C47" s="5" t="inlineStr">
        <is>
          <t>札幌市厚別区</t>
        </is>
      </c>
      <c r="D47" s="5" t="inlineStr">
        <is>
          <t>北星学園大学附属高等学校</t>
        </is>
      </c>
      <c r="E47" s="6" t="n"/>
      <c r="F47" s="5" t="inlineStr">
        <is>
          <t>普通科</t>
        </is>
      </c>
      <c r="G47" s="7" t="inlineStr">
        <is>
          <t>開く</t>
        </is>
      </c>
      <c r="H47" s="8" t="n"/>
      <c r="I47" s="9" t="n"/>
      <c r="J47" s="9" t="inlineStr">
        <is>
          <t>未架電</t>
        </is>
      </c>
      <c r="K47" s="8" t="n"/>
      <c r="L47" s="9" t="n"/>
    </row>
    <row r="48">
      <c r="A48" s="4" t="n">
        <v>44</v>
      </c>
      <c r="B48" s="5" t="inlineStr">
        <is>
          <t>北海道</t>
        </is>
      </c>
      <c r="C48" s="5" t="inlineStr">
        <is>
          <t>余市町</t>
        </is>
      </c>
      <c r="D48" s="5" t="inlineStr">
        <is>
          <t>北星学園余市高等学校</t>
        </is>
      </c>
      <c r="E48" s="6" t="n"/>
      <c r="F48" s="5" t="inlineStr">
        <is>
          <t>普通科</t>
        </is>
      </c>
      <c r="G48" s="7" t="inlineStr">
        <is>
          <t>開く</t>
        </is>
      </c>
      <c r="H48" s="8" t="n"/>
      <c r="I48" s="9" t="n"/>
      <c r="J48" s="9" t="inlineStr">
        <is>
          <t>未架電</t>
        </is>
      </c>
      <c r="K48" s="8" t="n"/>
      <c r="L48" s="9" t="n"/>
    </row>
    <row r="49">
      <c r="A49" s="4" t="n">
        <v>45</v>
      </c>
      <c r="B49" s="5" t="inlineStr">
        <is>
          <t>北海道</t>
        </is>
      </c>
      <c r="C49" s="5" t="inlineStr">
        <is>
          <t>札幌市清田区</t>
        </is>
      </c>
      <c r="D49" s="5" t="inlineStr">
        <is>
          <t>北嶺高等学校</t>
        </is>
      </c>
      <c r="E49" s="6" t="n"/>
      <c r="F49" s="5" t="inlineStr">
        <is>
          <t>普通科</t>
        </is>
      </c>
      <c r="G49" s="7" t="inlineStr">
        <is>
          <t>開く</t>
        </is>
      </c>
      <c r="H49" s="8" t="n"/>
      <c r="I49" s="9" t="n"/>
      <c r="J49" s="9" t="inlineStr">
        <is>
          <t>未架電</t>
        </is>
      </c>
      <c r="K49" s="8" t="n"/>
      <c r="L49" s="9" t="n"/>
    </row>
    <row r="50">
      <c r="A50" s="4" t="n">
        <v>46</v>
      </c>
      <c r="B50" s="5" t="inlineStr">
        <is>
          <t>北海道</t>
        </is>
      </c>
      <c r="C50" s="5" t="inlineStr">
        <is>
          <t>札幌市豊平区</t>
        </is>
      </c>
      <c r="D50" s="5" t="inlineStr">
        <is>
          <t>北海学園札幌高等学校</t>
        </is>
      </c>
      <c r="E50" s="6" t="n"/>
      <c r="F50" s="5" t="inlineStr">
        <is>
          <t>普通科</t>
        </is>
      </c>
      <c r="G50" s="7" t="inlineStr">
        <is>
          <t>開く</t>
        </is>
      </c>
      <c r="H50" s="8" t="n"/>
      <c r="I50" s="9" t="n"/>
      <c r="J50" s="9" t="inlineStr">
        <is>
          <t>未架電</t>
        </is>
      </c>
      <c r="K50" s="8" t="n"/>
      <c r="L50" s="9" t="n"/>
    </row>
    <row r="51">
      <c r="A51" s="4" t="n">
        <v>47</v>
      </c>
      <c r="B51" s="5" t="inlineStr">
        <is>
          <t>北海道</t>
        </is>
      </c>
      <c r="C51" s="5" t="inlineStr">
        <is>
          <t>札幌市豊平区</t>
        </is>
      </c>
      <c r="D51" s="5" t="inlineStr">
        <is>
          <t>北海高等学校</t>
        </is>
      </c>
      <c r="E51" s="6" t="n"/>
      <c r="F51" s="5" t="inlineStr">
        <is>
          <t>普通科</t>
        </is>
      </c>
      <c r="G51" s="7" t="inlineStr">
        <is>
          <t>開く</t>
        </is>
      </c>
      <c r="H51" s="8" t="n"/>
      <c r="I51" s="9" t="n"/>
      <c r="J51" s="9" t="inlineStr">
        <is>
          <t>未架電</t>
        </is>
      </c>
      <c r="K51" s="8" t="n"/>
      <c r="L51" s="9" t="n"/>
    </row>
    <row r="52">
      <c r="A52" s="4" t="n">
        <v>48</v>
      </c>
      <c r="B52" s="5" t="inlineStr">
        <is>
          <t>北海道</t>
        </is>
      </c>
      <c r="C52" s="5" t="inlineStr">
        <is>
          <t>室蘭市</t>
        </is>
      </c>
      <c r="D52" s="5" t="inlineStr">
        <is>
          <t>北海道大谷室蘭高等学校</t>
        </is>
      </c>
      <c r="E52" s="6" t="n"/>
      <c r="F52" s="5" t="inlineStr">
        <is>
          <t>普通科</t>
        </is>
      </c>
      <c r="G52" s="7" t="inlineStr">
        <is>
          <t>開く</t>
        </is>
      </c>
      <c r="H52" s="8" t="n"/>
      <c r="I52" s="9" t="n"/>
      <c r="J52" s="9" t="inlineStr">
        <is>
          <t>未架電</t>
        </is>
      </c>
      <c r="K52" s="8" t="n"/>
      <c r="L52" s="9" t="n"/>
    </row>
    <row r="53">
      <c r="A53" s="4" t="n">
        <v>49</v>
      </c>
      <c r="B53" s="5" t="inlineStr">
        <is>
          <t>北海道</t>
        </is>
      </c>
      <c r="C53" s="5" t="inlineStr">
        <is>
          <t>札幌市手稲区</t>
        </is>
      </c>
      <c r="D53" s="5" t="inlineStr">
        <is>
          <t>北海道科学大学高等学校</t>
        </is>
      </c>
      <c r="E53" s="6" t="n"/>
      <c r="F53" s="5" t="inlineStr">
        <is>
          <t>普通科・専門学科</t>
        </is>
      </c>
      <c r="G53" s="7" t="inlineStr">
        <is>
          <t>開く</t>
        </is>
      </c>
      <c r="H53" s="8" t="n"/>
      <c r="I53" s="9" t="n"/>
      <c r="J53" s="9" t="inlineStr">
        <is>
          <t>未架電</t>
        </is>
      </c>
      <c r="K53" s="8" t="n"/>
      <c r="L53" s="9" t="n"/>
    </row>
    <row r="54">
      <c r="A54" s="4" t="n">
        <v>50</v>
      </c>
      <c r="B54" s="5" t="inlineStr">
        <is>
          <t>北海道</t>
        </is>
      </c>
      <c r="C54" s="5" t="inlineStr">
        <is>
          <t>清水町</t>
        </is>
      </c>
      <c r="D54" s="5" t="inlineStr">
        <is>
          <t>北海道芸術高等学校</t>
        </is>
      </c>
      <c r="E54" s="6" t="n"/>
      <c r="F54" s="5" t="inlineStr">
        <is>
          <t>普通科</t>
        </is>
      </c>
      <c r="G54" s="7" t="inlineStr">
        <is>
          <t>開く</t>
        </is>
      </c>
      <c r="H54" s="8" t="n"/>
      <c r="I54" s="9" t="n"/>
      <c r="J54" s="9" t="inlineStr">
        <is>
          <t>未架電</t>
        </is>
      </c>
      <c r="K54" s="8" t="n"/>
      <c r="L54" s="9" t="n"/>
    </row>
    <row r="55">
      <c r="A55" s="4" t="n">
        <v>51</v>
      </c>
      <c r="B55" s="5" t="inlineStr">
        <is>
          <t>北海道</t>
        </is>
      </c>
      <c r="C55" s="5" t="inlineStr">
        <is>
          <t>白老町</t>
        </is>
      </c>
      <c r="D55" s="5" t="inlineStr">
        <is>
          <t>北海道栄高等学校</t>
        </is>
      </c>
      <c r="E55" s="6" t="n"/>
      <c r="F55" s="5" t="inlineStr">
        <is>
          <t>普通科</t>
        </is>
      </c>
      <c r="G55" s="7" t="inlineStr">
        <is>
          <t>開く</t>
        </is>
      </c>
      <c r="H55" s="8" t="n"/>
      <c r="I55" s="9" t="n"/>
      <c r="J55" s="9" t="inlineStr">
        <is>
          <t>未架電</t>
        </is>
      </c>
      <c r="K55" s="8" t="n"/>
      <c r="L55" s="9" t="n"/>
    </row>
    <row r="56">
      <c r="A56" s="4" t="n">
        <v>52</v>
      </c>
      <c r="B56" s="5" t="inlineStr">
        <is>
          <t>北海道</t>
        </is>
      </c>
      <c r="C56" s="5" t="inlineStr">
        <is>
          <t>恵庭市</t>
        </is>
      </c>
      <c r="D56" s="5" t="inlineStr">
        <is>
          <t>北海道文教大学附属高等学校</t>
        </is>
      </c>
      <c r="E56" s="6" t="n"/>
      <c r="F56" s="5" t="inlineStr">
        <is>
          <t>普通科・専門学科</t>
        </is>
      </c>
      <c r="G56" s="7" t="inlineStr">
        <is>
          <t>開く</t>
        </is>
      </c>
      <c r="H56" s="8" t="n"/>
      <c r="I56" s="9" t="n"/>
      <c r="J56" s="9" t="inlineStr">
        <is>
          <t>未架電</t>
        </is>
      </c>
      <c r="K56" s="8" t="n"/>
      <c r="L56" s="9" t="n"/>
    </row>
    <row r="57">
      <c r="A57" s="4" t="n">
        <v>53</v>
      </c>
      <c r="B57" s="5" t="inlineStr">
        <is>
          <t>北海道</t>
        </is>
      </c>
      <c r="C57" s="5" t="inlineStr">
        <is>
          <t>江別市</t>
        </is>
      </c>
      <c r="D57" s="5" t="inlineStr">
        <is>
          <t>酪農学園大学附属とわの森三愛高等学校</t>
        </is>
      </c>
      <c r="E57" s="6" t="n"/>
      <c r="F57" s="5" t="inlineStr">
        <is>
          <t>普通科・専門学科</t>
        </is>
      </c>
      <c r="G57" s="7" t="inlineStr">
        <is>
          <t>開く</t>
        </is>
      </c>
      <c r="H57" s="8" t="n"/>
      <c r="I57" s="9" t="n"/>
      <c r="J57" s="9" t="inlineStr">
        <is>
          <t>未架電</t>
        </is>
      </c>
      <c r="K57" s="8" t="n"/>
      <c r="L57" s="9" t="n"/>
    </row>
    <row r="58">
      <c r="A58" s="4" t="n">
        <v>54</v>
      </c>
      <c r="B58" s="5" t="inlineStr">
        <is>
          <t>北海道</t>
        </is>
      </c>
      <c r="C58" s="5" t="inlineStr">
        <is>
          <t>江別市</t>
        </is>
      </c>
      <c r="D58" s="5" t="inlineStr">
        <is>
          <t>立命館慶祥高等学校</t>
        </is>
      </c>
      <c r="E58" s="6" t="n"/>
      <c r="F58" s="5" t="inlineStr">
        <is>
          <t>普通科</t>
        </is>
      </c>
      <c r="G58" s="7" t="inlineStr">
        <is>
          <t>開く</t>
        </is>
      </c>
      <c r="H58" s="8" t="n"/>
      <c r="I58" s="9" t="n"/>
      <c r="J58" s="9" t="inlineStr">
        <is>
          <t>未架電</t>
        </is>
      </c>
      <c r="K58" s="8" t="n"/>
      <c r="L58" s="9" t="n"/>
    </row>
    <row r="59">
      <c r="A59" s="4" t="n">
        <v>55</v>
      </c>
      <c r="B59" s="5" t="inlineStr">
        <is>
          <t>北海道</t>
        </is>
      </c>
      <c r="C59" s="5" t="inlineStr">
        <is>
          <t>稚内市</t>
        </is>
      </c>
      <c r="D59" s="5" t="inlineStr">
        <is>
          <t>稚内大谷高等学校</t>
        </is>
      </c>
      <c r="E59" s="6" t="n"/>
      <c r="F59" s="5" t="inlineStr">
        <is>
          <t>普通科</t>
        </is>
      </c>
      <c r="G59" s="7" t="inlineStr">
        <is>
          <t>開く</t>
        </is>
      </c>
      <c r="H59" s="8" t="n"/>
      <c r="I59" s="9" t="n"/>
      <c r="J59" s="9" t="inlineStr">
        <is>
          <t>未架電</t>
        </is>
      </c>
      <c r="K59" s="8" t="n"/>
      <c r="L59" s="9" t="n"/>
    </row>
  </sheetData>
  <autoFilter ref="A4:L59"/>
  <conditionalFormatting sqref="A5:L59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59" showDropDown="0" showInputMessage="0" showErrorMessage="0" allowBlank="1" type="list">
      <formula1>"未架電,不在・折返し待ち,担当者不在,資料送付,アポ獲得,検討中,NG,番号不明"</formula1>
    </dataValidation>
    <dataValidation sqref="H5:H59 K5:K59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市区町村別 進捗集計（架電リストの入力に連動して自動計算）</t>
        </is>
      </c>
    </row>
    <row r="3" ht="30" customHeight="1">
      <c r="A3" s="10" t="inlineStr">
        <is>
          <t>所在地</t>
        </is>
      </c>
      <c r="B3" s="10" t="inlineStr">
        <is>
          <t>学校数</t>
        </is>
      </c>
      <c r="C3" s="10" t="inlineStr">
        <is>
          <t>電話番号入力済</t>
        </is>
      </c>
      <c r="D3" s="10" t="inlineStr">
        <is>
          <t>架電済</t>
        </is>
      </c>
      <c r="E3" s="10" t="inlineStr">
        <is>
          <t>不在・折返し待ち</t>
        </is>
      </c>
      <c r="F3" s="10" t="inlineStr">
        <is>
          <t>担当者不在</t>
        </is>
      </c>
      <c r="G3" s="10" t="inlineStr">
        <is>
          <t>資料送付</t>
        </is>
      </c>
      <c r="H3" s="10" t="inlineStr">
        <is>
          <t>アポ獲得</t>
        </is>
      </c>
      <c r="I3" s="10" t="inlineStr">
        <is>
          <t>検討中</t>
        </is>
      </c>
      <c r="J3" s="10" t="inlineStr">
        <is>
          <t>NG</t>
        </is>
      </c>
      <c r="K3" s="10" t="inlineStr">
        <is>
          <t>番号不明</t>
        </is>
      </c>
    </row>
    <row r="4">
      <c r="A4" s="11" t="inlineStr">
        <is>
          <t>函館市</t>
        </is>
      </c>
      <c r="B4" s="11">
        <f>COUNTIF('架電リスト'!$C$5:$C$59,A4)</f>
        <v/>
      </c>
      <c r="C4" s="11">
        <f>COUNTIFS('架電リスト'!$C$5:$C$59,A4,'架電リスト'!$E$5:$E$59,"&lt;&gt;")</f>
        <v/>
      </c>
      <c r="D4" s="11">
        <f>B4-COUNTIFS('架電リスト'!$C$5:$C$59,A4,'架電リスト'!$J$5:$J$59,"未架電")-COUNTIFS('架電リスト'!$C$5:$C$59,A4,'架電リスト'!$J$5:$J$59,"")</f>
        <v/>
      </c>
      <c r="E4" s="11">
        <f>COUNTIFS('架電リスト'!$C$5:$C$59,$A4,'架電リスト'!$J$5:$J$59,"不在・折返し待ち")</f>
        <v/>
      </c>
      <c r="F4" s="11">
        <f>COUNTIFS('架電リスト'!$C$5:$C$59,$A4,'架電リスト'!$J$5:$J$59,"担当者不在")</f>
        <v/>
      </c>
      <c r="G4" s="11">
        <f>COUNTIFS('架電リスト'!$C$5:$C$59,$A4,'架電リスト'!$J$5:$J$59,"資料送付")</f>
        <v/>
      </c>
      <c r="H4" s="11">
        <f>COUNTIFS('架電リスト'!$C$5:$C$59,$A4,'架電リスト'!$J$5:$J$59,"アポ獲得")</f>
        <v/>
      </c>
      <c r="I4" s="11">
        <f>COUNTIFS('架電リスト'!$C$5:$C$59,$A4,'架電リスト'!$J$5:$J$59,"検討中")</f>
        <v/>
      </c>
      <c r="J4" s="11">
        <f>COUNTIFS('架電リスト'!$C$5:$C$59,$A4,'架電リスト'!$J$5:$J$59,"NG")</f>
        <v/>
      </c>
      <c r="K4" s="11">
        <f>COUNTIFS('架電リスト'!$C$5:$C$59,$A4,'架電リスト'!$J$5:$J$59,"番号不明")</f>
        <v/>
      </c>
    </row>
    <row r="5">
      <c r="A5" s="11" t="inlineStr">
        <is>
          <t>旭川市</t>
        </is>
      </c>
      <c r="B5" s="11">
        <f>COUNTIF('架電リスト'!$C$5:$C$59,A5)</f>
        <v/>
      </c>
      <c r="C5" s="11">
        <f>COUNTIFS('架電リスト'!$C$5:$C$59,A5,'架電リスト'!$E$5:$E$59,"&lt;&gt;")</f>
        <v/>
      </c>
      <c r="D5" s="11">
        <f>B5-COUNTIFS('架電リスト'!$C$5:$C$59,A5,'架電リスト'!$J$5:$J$59,"未架電")-COUNTIFS('架電リスト'!$C$5:$C$59,A5,'架電リスト'!$J$5:$J$59,"")</f>
        <v/>
      </c>
      <c r="E5" s="11">
        <f>COUNTIFS('架電リスト'!$C$5:$C$59,$A5,'架電リスト'!$J$5:$J$59,"不在・折返し待ち")</f>
        <v/>
      </c>
      <c r="F5" s="11">
        <f>COUNTIFS('架電リスト'!$C$5:$C$59,$A5,'架電リスト'!$J$5:$J$59,"担当者不在")</f>
        <v/>
      </c>
      <c r="G5" s="11">
        <f>COUNTIFS('架電リスト'!$C$5:$C$59,$A5,'架電リスト'!$J$5:$J$59,"資料送付")</f>
        <v/>
      </c>
      <c r="H5" s="11">
        <f>COUNTIFS('架電リスト'!$C$5:$C$59,$A5,'架電リスト'!$J$5:$J$59,"アポ獲得")</f>
        <v/>
      </c>
      <c r="I5" s="11">
        <f>COUNTIFS('架電リスト'!$C$5:$C$59,$A5,'架電リスト'!$J$5:$J$59,"検討中")</f>
        <v/>
      </c>
      <c r="J5" s="11">
        <f>COUNTIFS('架電リスト'!$C$5:$C$59,$A5,'架電リスト'!$J$5:$J$59,"NG")</f>
        <v/>
      </c>
      <c r="K5" s="11">
        <f>COUNTIFS('架電リスト'!$C$5:$C$59,$A5,'架電リスト'!$J$5:$J$59,"番号不明")</f>
        <v/>
      </c>
    </row>
    <row r="6">
      <c r="A6" s="11" t="inlineStr">
        <is>
          <t>札幌市豊平区</t>
        </is>
      </c>
      <c r="B6" s="11">
        <f>COUNTIF('架電リスト'!$C$5:$C$59,A6)</f>
        <v/>
      </c>
      <c r="C6" s="11">
        <f>COUNTIFS('架電リスト'!$C$5:$C$59,A6,'架電リスト'!$E$5:$E$59,"&lt;&gt;")</f>
        <v/>
      </c>
      <c r="D6" s="11">
        <f>B6-COUNTIFS('架電リスト'!$C$5:$C$59,A6,'架電リスト'!$J$5:$J$59,"未架電")-COUNTIFS('架電リスト'!$C$5:$C$59,A6,'架電リスト'!$J$5:$J$59,"")</f>
        <v/>
      </c>
      <c r="E6" s="11">
        <f>COUNTIFS('架電リスト'!$C$5:$C$59,$A6,'架電リスト'!$J$5:$J$59,"不在・折返し待ち")</f>
        <v/>
      </c>
      <c r="F6" s="11">
        <f>COUNTIFS('架電リスト'!$C$5:$C$59,$A6,'架電リスト'!$J$5:$J$59,"担当者不在")</f>
        <v/>
      </c>
      <c r="G6" s="11">
        <f>COUNTIFS('架電リスト'!$C$5:$C$59,$A6,'架電リスト'!$J$5:$J$59,"資料送付")</f>
        <v/>
      </c>
      <c r="H6" s="11">
        <f>COUNTIFS('架電リスト'!$C$5:$C$59,$A6,'架電リスト'!$J$5:$J$59,"アポ獲得")</f>
        <v/>
      </c>
      <c r="I6" s="11">
        <f>COUNTIFS('架電リスト'!$C$5:$C$59,$A6,'架電リスト'!$J$5:$J$59,"検討中")</f>
        <v/>
      </c>
      <c r="J6" s="11">
        <f>COUNTIFS('架電リスト'!$C$5:$C$59,$A6,'架電リスト'!$J$5:$J$59,"NG")</f>
        <v/>
      </c>
      <c r="K6" s="11">
        <f>COUNTIFS('架電リスト'!$C$5:$C$59,$A6,'架電リスト'!$J$5:$J$59,"番号不明")</f>
        <v/>
      </c>
    </row>
    <row r="7">
      <c r="A7" s="11" t="inlineStr">
        <is>
          <t>小樽市</t>
        </is>
      </c>
      <c r="B7" s="11">
        <f>COUNTIF('架電リスト'!$C$5:$C$59,A7)</f>
        <v/>
      </c>
      <c r="C7" s="11">
        <f>COUNTIFS('架電リスト'!$C$5:$C$59,A7,'架電リスト'!$E$5:$E$59,"&lt;&gt;")</f>
        <v/>
      </c>
      <c r="D7" s="11">
        <f>B7-COUNTIFS('架電リスト'!$C$5:$C$59,A7,'架電リスト'!$J$5:$J$59,"未架電")-COUNTIFS('架電リスト'!$C$5:$C$59,A7,'架電リスト'!$J$5:$J$59,"")</f>
        <v/>
      </c>
      <c r="E7" s="11">
        <f>COUNTIFS('架電リスト'!$C$5:$C$59,$A7,'架電リスト'!$J$5:$J$59,"不在・折返し待ち")</f>
        <v/>
      </c>
      <c r="F7" s="11">
        <f>COUNTIFS('架電リスト'!$C$5:$C$59,$A7,'架電リスト'!$J$5:$J$59,"担当者不在")</f>
        <v/>
      </c>
      <c r="G7" s="11">
        <f>COUNTIFS('架電リスト'!$C$5:$C$59,$A7,'架電リスト'!$J$5:$J$59,"資料送付")</f>
        <v/>
      </c>
      <c r="H7" s="11">
        <f>COUNTIFS('架電リスト'!$C$5:$C$59,$A7,'架電リスト'!$J$5:$J$59,"アポ獲得")</f>
        <v/>
      </c>
      <c r="I7" s="11">
        <f>COUNTIFS('架電リスト'!$C$5:$C$59,$A7,'架電リスト'!$J$5:$J$59,"検討中")</f>
        <v/>
      </c>
      <c r="J7" s="11">
        <f>COUNTIFS('架電リスト'!$C$5:$C$59,$A7,'架電リスト'!$J$5:$J$59,"NG")</f>
        <v/>
      </c>
      <c r="K7" s="11">
        <f>COUNTIFS('架電リスト'!$C$5:$C$59,$A7,'架電リスト'!$J$5:$J$59,"番号不明")</f>
        <v/>
      </c>
    </row>
    <row r="8">
      <c r="A8" s="11" t="inlineStr">
        <is>
          <t>札幌市東区</t>
        </is>
      </c>
      <c r="B8" s="11">
        <f>COUNTIF('架電リスト'!$C$5:$C$59,A8)</f>
        <v/>
      </c>
      <c r="C8" s="11">
        <f>COUNTIFS('架電リスト'!$C$5:$C$59,A8,'架電リスト'!$E$5:$E$59,"&lt;&gt;")</f>
        <v/>
      </c>
      <c r="D8" s="11">
        <f>B8-COUNTIFS('架電リスト'!$C$5:$C$59,A8,'架電リスト'!$J$5:$J$59,"未架電")-COUNTIFS('架電リスト'!$C$5:$C$59,A8,'架電リスト'!$J$5:$J$59,"")</f>
        <v/>
      </c>
      <c r="E8" s="11">
        <f>COUNTIFS('架電リスト'!$C$5:$C$59,$A8,'架電リスト'!$J$5:$J$59,"不在・折返し待ち")</f>
        <v/>
      </c>
      <c r="F8" s="11">
        <f>COUNTIFS('架電リスト'!$C$5:$C$59,$A8,'架電リスト'!$J$5:$J$59,"担当者不在")</f>
        <v/>
      </c>
      <c r="G8" s="11">
        <f>COUNTIFS('架電リスト'!$C$5:$C$59,$A8,'架電リスト'!$J$5:$J$59,"資料送付")</f>
        <v/>
      </c>
      <c r="H8" s="11">
        <f>COUNTIFS('架電リスト'!$C$5:$C$59,$A8,'架電リスト'!$J$5:$J$59,"アポ獲得")</f>
        <v/>
      </c>
      <c r="I8" s="11">
        <f>COUNTIFS('架電リスト'!$C$5:$C$59,$A8,'架電リスト'!$J$5:$J$59,"検討中")</f>
        <v/>
      </c>
      <c r="J8" s="11">
        <f>COUNTIFS('架電リスト'!$C$5:$C$59,$A8,'架電リスト'!$J$5:$J$59,"NG")</f>
        <v/>
      </c>
      <c r="K8" s="11">
        <f>COUNTIFS('架電リスト'!$C$5:$C$59,$A8,'架電リスト'!$J$5:$J$59,"番号不明")</f>
        <v/>
      </c>
    </row>
    <row r="9">
      <c r="A9" s="11" t="inlineStr">
        <is>
          <t>札幌市中央区</t>
        </is>
      </c>
      <c r="B9" s="11">
        <f>COUNTIF('架電リスト'!$C$5:$C$59,A9)</f>
        <v/>
      </c>
      <c r="C9" s="11">
        <f>COUNTIFS('架電リスト'!$C$5:$C$59,A9,'架電リスト'!$E$5:$E$59,"&lt;&gt;")</f>
        <v/>
      </c>
      <c r="D9" s="11">
        <f>B9-COUNTIFS('架電リスト'!$C$5:$C$59,A9,'架電リスト'!$J$5:$J$59,"未架電")-COUNTIFS('架電リスト'!$C$5:$C$59,A9,'架電リスト'!$J$5:$J$59,"")</f>
        <v/>
      </c>
      <c r="E9" s="11">
        <f>COUNTIFS('架電リスト'!$C$5:$C$59,$A9,'架電リスト'!$J$5:$J$59,"不在・折返し待ち")</f>
        <v/>
      </c>
      <c r="F9" s="11">
        <f>COUNTIFS('架電リスト'!$C$5:$C$59,$A9,'架電リスト'!$J$5:$J$59,"担当者不在")</f>
        <v/>
      </c>
      <c r="G9" s="11">
        <f>COUNTIFS('架電リスト'!$C$5:$C$59,$A9,'架電リスト'!$J$5:$J$59,"資料送付")</f>
        <v/>
      </c>
      <c r="H9" s="11">
        <f>COUNTIFS('架電リスト'!$C$5:$C$59,$A9,'架電リスト'!$J$5:$J$59,"アポ獲得")</f>
        <v/>
      </c>
      <c r="I9" s="11">
        <f>COUNTIFS('架電リスト'!$C$5:$C$59,$A9,'架電リスト'!$J$5:$J$59,"検討中")</f>
        <v/>
      </c>
      <c r="J9" s="11">
        <f>COUNTIFS('架電リスト'!$C$5:$C$59,$A9,'架電リスト'!$J$5:$J$59,"NG")</f>
        <v/>
      </c>
      <c r="K9" s="11">
        <f>COUNTIFS('架電リスト'!$C$5:$C$59,$A9,'架電リスト'!$J$5:$J$59,"番号不明")</f>
        <v/>
      </c>
    </row>
    <row r="10">
      <c r="A10" s="11" t="inlineStr">
        <is>
          <t>帯広市</t>
        </is>
      </c>
      <c r="B10" s="11">
        <f>COUNTIF('架電リスト'!$C$5:$C$59,A10)</f>
        <v/>
      </c>
      <c r="C10" s="11">
        <f>COUNTIFS('架電リスト'!$C$5:$C$59,A10,'架電リスト'!$E$5:$E$59,"&lt;&gt;")</f>
        <v/>
      </c>
      <c r="D10" s="11">
        <f>B10-COUNTIFS('架電リスト'!$C$5:$C$59,A10,'架電リスト'!$J$5:$J$59,"未架電")-COUNTIFS('架電リスト'!$C$5:$C$59,A10,'架電リスト'!$J$5:$J$59,"")</f>
        <v/>
      </c>
      <c r="E10" s="11">
        <f>COUNTIFS('架電リスト'!$C$5:$C$59,$A10,'架電リスト'!$J$5:$J$59,"不在・折返し待ち")</f>
        <v/>
      </c>
      <c r="F10" s="11">
        <f>COUNTIFS('架電リスト'!$C$5:$C$59,$A10,'架電リスト'!$J$5:$J$59,"担当者不在")</f>
        <v/>
      </c>
      <c r="G10" s="11">
        <f>COUNTIFS('架電リスト'!$C$5:$C$59,$A10,'架電リスト'!$J$5:$J$59,"資料送付")</f>
        <v/>
      </c>
      <c r="H10" s="11">
        <f>COUNTIFS('架電リスト'!$C$5:$C$59,$A10,'架電リスト'!$J$5:$J$59,"アポ獲得")</f>
        <v/>
      </c>
      <c r="I10" s="11">
        <f>COUNTIFS('架電リスト'!$C$5:$C$59,$A10,'架電リスト'!$J$5:$J$59,"検討中")</f>
        <v/>
      </c>
      <c r="J10" s="11">
        <f>COUNTIFS('架電リスト'!$C$5:$C$59,$A10,'架電リスト'!$J$5:$J$59,"NG")</f>
        <v/>
      </c>
      <c r="K10" s="11">
        <f>COUNTIFS('架電リスト'!$C$5:$C$59,$A10,'架電リスト'!$J$5:$J$59,"番号不明")</f>
        <v/>
      </c>
    </row>
    <row r="11">
      <c r="A11" s="11" t="inlineStr">
        <is>
          <t>室蘭市</t>
        </is>
      </c>
      <c r="B11" s="11">
        <f>COUNTIF('架電リスト'!$C$5:$C$59,A11)</f>
        <v/>
      </c>
      <c r="C11" s="11">
        <f>COUNTIFS('架電リスト'!$C$5:$C$59,A11,'架電リスト'!$E$5:$E$59,"&lt;&gt;")</f>
        <v/>
      </c>
      <c r="D11" s="11">
        <f>B11-COUNTIFS('架電リスト'!$C$5:$C$59,A11,'架電リスト'!$J$5:$J$59,"未架電")-COUNTIFS('架電リスト'!$C$5:$C$59,A11,'架電リスト'!$J$5:$J$59,"")</f>
        <v/>
      </c>
      <c r="E11" s="11">
        <f>COUNTIFS('架電リスト'!$C$5:$C$59,$A11,'架電リスト'!$J$5:$J$59,"不在・折返し待ち")</f>
        <v/>
      </c>
      <c r="F11" s="11">
        <f>COUNTIFS('架電リスト'!$C$5:$C$59,$A11,'架電リスト'!$J$5:$J$59,"担当者不在")</f>
        <v/>
      </c>
      <c r="G11" s="11">
        <f>COUNTIFS('架電リスト'!$C$5:$C$59,$A11,'架電リスト'!$J$5:$J$59,"資料送付")</f>
        <v/>
      </c>
      <c r="H11" s="11">
        <f>COUNTIFS('架電リスト'!$C$5:$C$59,$A11,'架電リスト'!$J$5:$J$59,"アポ獲得")</f>
        <v/>
      </c>
      <c r="I11" s="11">
        <f>COUNTIFS('架電リスト'!$C$5:$C$59,$A11,'架電リスト'!$J$5:$J$59,"検討中")</f>
        <v/>
      </c>
      <c r="J11" s="11">
        <f>COUNTIFS('架電リスト'!$C$5:$C$59,$A11,'架電リスト'!$J$5:$J$59,"NG")</f>
        <v/>
      </c>
      <c r="K11" s="11">
        <f>COUNTIFS('架電リスト'!$C$5:$C$59,$A11,'架電リスト'!$J$5:$J$59,"番号不明")</f>
        <v/>
      </c>
    </row>
    <row r="12">
      <c r="A12" s="11" t="inlineStr">
        <is>
          <t>苫小牧市</t>
        </is>
      </c>
      <c r="B12" s="11">
        <f>COUNTIF('架電リスト'!$C$5:$C$59,A12)</f>
        <v/>
      </c>
      <c r="C12" s="11">
        <f>COUNTIFS('架電リスト'!$C$5:$C$59,A12,'架電リスト'!$E$5:$E$59,"&lt;&gt;")</f>
        <v/>
      </c>
      <c r="D12" s="11">
        <f>B12-COUNTIFS('架電リスト'!$C$5:$C$59,A12,'架電リスト'!$J$5:$J$59,"未架電")-COUNTIFS('架電リスト'!$C$5:$C$59,A12,'架電リスト'!$J$5:$J$59,"")</f>
        <v/>
      </c>
      <c r="E12" s="11">
        <f>COUNTIFS('架電リスト'!$C$5:$C$59,$A12,'架電リスト'!$J$5:$J$59,"不在・折返し待ち")</f>
        <v/>
      </c>
      <c r="F12" s="11">
        <f>COUNTIFS('架電リスト'!$C$5:$C$59,$A12,'架電リスト'!$J$5:$J$59,"担当者不在")</f>
        <v/>
      </c>
      <c r="G12" s="11">
        <f>COUNTIFS('架電リスト'!$C$5:$C$59,$A12,'架電リスト'!$J$5:$J$59,"資料送付")</f>
        <v/>
      </c>
      <c r="H12" s="11">
        <f>COUNTIFS('架電リスト'!$C$5:$C$59,$A12,'架電リスト'!$J$5:$J$59,"アポ獲得")</f>
        <v/>
      </c>
      <c r="I12" s="11">
        <f>COUNTIFS('架電リスト'!$C$5:$C$59,$A12,'架電リスト'!$J$5:$J$59,"検討中")</f>
        <v/>
      </c>
      <c r="J12" s="11">
        <f>COUNTIFS('架電リスト'!$C$5:$C$59,$A12,'架電リスト'!$J$5:$J$59,"NG")</f>
        <v/>
      </c>
      <c r="K12" s="11">
        <f>COUNTIFS('架電リスト'!$C$5:$C$59,$A12,'架電リスト'!$J$5:$J$59,"番号不明")</f>
        <v/>
      </c>
    </row>
    <row r="13">
      <c r="A13" s="11" t="inlineStr">
        <is>
          <t>札幌市南区</t>
        </is>
      </c>
      <c r="B13" s="11">
        <f>COUNTIF('架電リスト'!$C$5:$C$59,A13)</f>
        <v/>
      </c>
      <c r="C13" s="11">
        <f>COUNTIFS('架電リスト'!$C$5:$C$59,A13,'架電リスト'!$E$5:$E$59,"&lt;&gt;")</f>
        <v/>
      </c>
      <c r="D13" s="11">
        <f>B13-COUNTIFS('架電リスト'!$C$5:$C$59,A13,'架電リスト'!$J$5:$J$59,"未架電")-COUNTIFS('架電リスト'!$C$5:$C$59,A13,'架電リスト'!$J$5:$J$59,"")</f>
        <v/>
      </c>
      <c r="E13" s="11">
        <f>COUNTIFS('架電リスト'!$C$5:$C$59,$A13,'架電リスト'!$J$5:$J$59,"不在・折返し待ち")</f>
        <v/>
      </c>
      <c r="F13" s="11">
        <f>COUNTIFS('架電リスト'!$C$5:$C$59,$A13,'架電リスト'!$J$5:$J$59,"担当者不在")</f>
        <v/>
      </c>
      <c r="G13" s="11">
        <f>COUNTIFS('架電リスト'!$C$5:$C$59,$A13,'架電リスト'!$J$5:$J$59,"資料送付")</f>
        <v/>
      </c>
      <c r="H13" s="11">
        <f>COUNTIFS('架電リスト'!$C$5:$C$59,$A13,'架電リスト'!$J$5:$J$59,"アポ獲得")</f>
        <v/>
      </c>
      <c r="I13" s="11">
        <f>COUNTIFS('架電リスト'!$C$5:$C$59,$A13,'架電リスト'!$J$5:$J$59,"検討中")</f>
        <v/>
      </c>
      <c r="J13" s="11">
        <f>COUNTIFS('架電リスト'!$C$5:$C$59,$A13,'架電リスト'!$J$5:$J$59,"NG")</f>
        <v/>
      </c>
      <c r="K13" s="11">
        <f>COUNTIFS('架電リスト'!$C$5:$C$59,$A13,'架電リスト'!$J$5:$J$59,"番号不明")</f>
        <v/>
      </c>
    </row>
    <row r="14">
      <c r="A14" s="11" t="inlineStr">
        <is>
          <t>札幌市北区</t>
        </is>
      </c>
      <c r="B14" s="11">
        <f>COUNTIF('架電リスト'!$C$5:$C$59,A14)</f>
        <v/>
      </c>
      <c r="C14" s="11">
        <f>COUNTIFS('架電リスト'!$C$5:$C$59,A14,'架電リスト'!$E$5:$E$59,"&lt;&gt;")</f>
        <v/>
      </c>
      <c r="D14" s="11">
        <f>B14-COUNTIFS('架電リスト'!$C$5:$C$59,A14,'架電リスト'!$J$5:$J$59,"未架電")-COUNTIFS('架電リスト'!$C$5:$C$59,A14,'架電リスト'!$J$5:$J$59,"")</f>
        <v/>
      </c>
      <c r="E14" s="11">
        <f>COUNTIFS('架電リスト'!$C$5:$C$59,$A14,'架電リスト'!$J$5:$J$59,"不在・折返し待ち")</f>
        <v/>
      </c>
      <c r="F14" s="11">
        <f>COUNTIFS('架電リスト'!$C$5:$C$59,$A14,'架電リスト'!$J$5:$J$59,"担当者不在")</f>
        <v/>
      </c>
      <c r="G14" s="11">
        <f>COUNTIFS('架電リスト'!$C$5:$C$59,$A14,'架電リスト'!$J$5:$J$59,"資料送付")</f>
        <v/>
      </c>
      <c r="H14" s="11">
        <f>COUNTIFS('架電リスト'!$C$5:$C$59,$A14,'架電リスト'!$J$5:$J$59,"アポ獲得")</f>
        <v/>
      </c>
      <c r="I14" s="11">
        <f>COUNTIFS('架電リスト'!$C$5:$C$59,$A14,'架電リスト'!$J$5:$J$59,"検討中")</f>
        <v/>
      </c>
      <c r="J14" s="11">
        <f>COUNTIFS('架電リスト'!$C$5:$C$59,$A14,'架電リスト'!$J$5:$J$59,"NG")</f>
        <v/>
      </c>
      <c r="K14" s="11">
        <f>COUNTIFS('架電リスト'!$C$5:$C$59,$A14,'架電リスト'!$J$5:$J$59,"番号不明")</f>
        <v/>
      </c>
    </row>
    <row r="15">
      <c r="A15" s="11" t="inlineStr">
        <is>
          <t>江別市</t>
        </is>
      </c>
      <c r="B15" s="11">
        <f>COUNTIF('架電リスト'!$C$5:$C$59,A15)</f>
        <v/>
      </c>
      <c r="C15" s="11">
        <f>COUNTIFS('架電リスト'!$C$5:$C$59,A15,'架電リスト'!$E$5:$E$59,"&lt;&gt;")</f>
        <v/>
      </c>
      <c r="D15" s="11">
        <f>B15-COUNTIFS('架電リスト'!$C$5:$C$59,A15,'架電リスト'!$J$5:$J$59,"未架電")-COUNTIFS('架電リスト'!$C$5:$C$59,A15,'架電リスト'!$J$5:$J$59,"")</f>
        <v/>
      </c>
      <c r="E15" s="11">
        <f>COUNTIFS('架電リスト'!$C$5:$C$59,$A15,'架電リスト'!$J$5:$J$59,"不在・折返し待ち")</f>
        <v/>
      </c>
      <c r="F15" s="11">
        <f>COUNTIFS('架電リスト'!$C$5:$C$59,$A15,'架電リスト'!$J$5:$J$59,"担当者不在")</f>
        <v/>
      </c>
      <c r="G15" s="11">
        <f>COUNTIFS('架電リスト'!$C$5:$C$59,$A15,'架電リスト'!$J$5:$J$59,"資料送付")</f>
        <v/>
      </c>
      <c r="H15" s="11">
        <f>COUNTIFS('架電リスト'!$C$5:$C$59,$A15,'架電リスト'!$J$5:$J$59,"アポ獲得")</f>
        <v/>
      </c>
      <c r="I15" s="11">
        <f>COUNTIFS('架電リスト'!$C$5:$C$59,$A15,'架電リスト'!$J$5:$J$59,"検討中")</f>
        <v/>
      </c>
      <c r="J15" s="11">
        <f>COUNTIFS('架電リスト'!$C$5:$C$59,$A15,'架電リスト'!$J$5:$J$59,"NG")</f>
        <v/>
      </c>
      <c r="K15" s="11">
        <f>COUNTIFS('架電リスト'!$C$5:$C$59,$A15,'架電リスト'!$J$5:$J$59,"番号不明")</f>
        <v/>
      </c>
    </row>
    <row r="16">
      <c r="A16" s="11" t="inlineStr">
        <is>
          <t>北見市</t>
        </is>
      </c>
      <c r="B16" s="11">
        <f>COUNTIF('架電リスト'!$C$5:$C$59,A16)</f>
        <v/>
      </c>
      <c r="C16" s="11">
        <f>COUNTIFS('架電リスト'!$C$5:$C$59,A16,'架電リスト'!$E$5:$E$59,"&lt;&gt;")</f>
        <v/>
      </c>
      <c r="D16" s="11">
        <f>B16-COUNTIFS('架電リスト'!$C$5:$C$59,A16,'架電リスト'!$J$5:$J$59,"未架電")-COUNTIFS('架電リスト'!$C$5:$C$59,A16,'架電リスト'!$J$5:$J$59,"")</f>
        <v/>
      </c>
      <c r="E16" s="11">
        <f>COUNTIFS('架電リスト'!$C$5:$C$59,$A16,'架電リスト'!$J$5:$J$59,"不在・折返し待ち")</f>
        <v/>
      </c>
      <c r="F16" s="11">
        <f>COUNTIFS('架電リスト'!$C$5:$C$59,$A16,'架電リスト'!$J$5:$J$59,"担当者不在")</f>
        <v/>
      </c>
      <c r="G16" s="11">
        <f>COUNTIFS('架電リスト'!$C$5:$C$59,$A16,'架電リスト'!$J$5:$J$59,"資料送付")</f>
        <v/>
      </c>
      <c r="H16" s="11">
        <f>COUNTIFS('架電リスト'!$C$5:$C$59,$A16,'架電リスト'!$J$5:$J$59,"アポ獲得")</f>
        <v/>
      </c>
      <c r="I16" s="11">
        <f>COUNTIFS('架電リスト'!$C$5:$C$59,$A16,'架電リスト'!$J$5:$J$59,"検討中")</f>
        <v/>
      </c>
      <c r="J16" s="11">
        <f>COUNTIFS('架電リスト'!$C$5:$C$59,$A16,'架電リスト'!$J$5:$J$59,"NG")</f>
        <v/>
      </c>
      <c r="K16" s="11">
        <f>COUNTIFS('架電リスト'!$C$5:$C$59,$A16,'架電リスト'!$J$5:$J$59,"番号不明")</f>
        <v/>
      </c>
    </row>
    <row r="17">
      <c r="A17" s="11" t="inlineStr">
        <is>
          <t>深川市</t>
        </is>
      </c>
      <c r="B17" s="11">
        <f>COUNTIF('架電リスト'!$C$5:$C$59,A17)</f>
        <v/>
      </c>
      <c r="C17" s="11">
        <f>COUNTIFS('架電リスト'!$C$5:$C$59,A17,'架電リスト'!$E$5:$E$59,"&lt;&gt;")</f>
        <v/>
      </c>
      <c r="D17" s="11">
        <f>B17-COUNTIFS('架電リスト'!$C$5:$C$59,A17,'架電リスト'!$J$5:$J$59,"未架電")-COUNTIFS('架電リスト'!$C$5:$C$59,A17,'架電リスト'!$J$5:$J$59,"")</f>
        <v/>
      </c>
      <c r="E17" s="11">
        <f>COUNTIFS('架電リスト'!$C$5:$C$59,$A17,'架電リスト'!$J$5:$J$59,"不在・折返し待ち")</f>
        <v/>
      </c>
      <c r="F17" s="11">
        <f>COUNTIFS('架電リスト'!$C$5:$C$59,$A17,'架電リスト'!$J$5:$J$59,"担当者不在")</f>
        <v/>
      </c>
      <c r="G17" s="11">
        <f>COUNTIFS('架電リスト'!$C$5:$C$59,$A17,'架電リスト'!$J$5:$J$59,"資料送付")</f>
        <v/>
      </c>
      <c r="H17" s="11">
        <f>COUNTIFS('架電リスト'!$C$5:$C$59,$A17,'架電リスト'!$J$5:$J$59,"アポ獲得")</f>
        <v/>
      </c>
      <c r="I17" s="11">
        <f>COUNTIFS('架電リスト'!$C$5:$C$59,$A17,'架電リスト'!$J$5:$J$59,"検討中")</f>
        <v/>
      </c>
      <c r="J17" s="11">
        <f>COUNTIFS('架電リスト'!$C$5:$C$59,$A17,'架電リスト'!$J$5:$J$59,"NG")</f>
        <v/>
      </c>
      <c r="K17" s="11">
        <f>COUNTIFS('架電リスト'!$C$5:$C$59,$A17,'架電リスト'!$J$5:$J$59,"番号不明")</f>
        <v/>
      </c>
    </row>
    <row r="18">
      <c r="A18" s="11" t="inlineStr">
        <is>
          <t>和寒町</t>
        </is>
      </c>
      <c r="B18" s="11">
        <f>COUNTIF('架電リスト'!$C$5:$C$59,A18)</f>
        <v/>
      </c>
      <c r="C18" s="11">
        <f>COUNTIFS('架電リスト'!$C$5:$C$59,A18,'架電リスト'!$E$5:$E$59,"&lt;&gt;")</f>
        <v/>
      </c>
      <c r="D18" s="11">
        <f>B18-COUNTIFS('架電リスト'!$C$5:$C$59,A18,'架電リスト'!$J$5:$J$59,"未架電")-COUNTIFS('架電リスト'!$C$5:$C$59,A18,'架電リスト'!$J$5:$J$59,"")</f>
        <v/>
      </c>
      <c r="E18" s="11">
        <f>COUNTIFS('架電リスト'!$C$5:$C$59,$A18,'架電リスト'!$J$5:$J$59,"不在・折返し待ち")</f>
        <v/>
      </c>
      <c r="F18" s="11">
        <f>COUNTIFS('架電リスト'!$C$5:$C$59,$A18,'架電リスト'!$J$5:$J$59,"担当者不在")</f>
        <v/>
      </c>
      <c r="G18" s="11">
        <f>COUNTIFS('架電リスト'!$C$5:$C$59,$A18,'架電リスト'!$J$5:$J$59,"資料送付")</f>
        <v/>
      </c>
      <c r="H18" s="11">
        <f>COUNTIFS('架電リスト'!$C$5:$C$59,$A18,'架電リスト'!$J$5:$J$59,"アポ獲得")</f>
        <v/>
      </c>
      <c r="I18" s="11">
        <f>COUNTIFS('架電リスト'!$C$5:$C$59,$A18,'架電リスト'!$J$5:$J$59,"検討中")</f>
        <v/>
      </c>
      <c r="J18" s="11">
        <f>COUNTIFS('架電リスト'!$C$5:$C$59,$A18,'架電リスト'!$J$5:$J$59,"NG")</f>
        <v/>
      </c>
      <c r="K18" s="11">
        <f>COUNTIFS('架電リスト'!$C$5:$C$59,$A18,'架電リスト'!$J$5:$J$59,"番号不明")</f>
        <v/>
      </c>
    </row>
    <row r="19">
      <c r="A19" s="11" t="inlineStr">
        <is>
          <t>北広島市</t>
        </is>
      </c>
      <c r="B19" s="11">
        <f>COUNTIF('架電リスト'!$C$5:$C$59,A19)</f>
        <v/>
      </c>
      <c r="C19" s="11">
        <f>COUNTIFS('架電リスト'!$C$5:$C$59,A19,'架電リスト'!$E$5:$E$59,"&lt;&gt;")</f>
        <v/>
      </c>
      <c r="D19" s="11">
        <f>B19-COUNTIFS('架電リスト'!$C$5:$C$59,A19,'架電リスト'!$J$5:$J$59,"未架電")-COUNTIFS('架電リスト'!$C$5:$C$59,A19,'架電リスト'!$J$5:$J$59,"")</f>
        <v/>
      </c>
      <c r="E19" s="11">
        <f>COUNTIFS('架電リスト'!$C$5:$C$59,$A19,'架電リスト'!$J$5:$J$59,"不在・折返し待ち")</f>
        <v/>
      </c>
      <c r="F19" s="11">
        <f>COUNTIFS('架電リスト'!$C$5:$C$59,$A19,'架電リスト'!$J$5:$J$59,"担当者不在")</f>
        <v/>
      </c>
      <c r="G19" s="11">
        <f>COUNTIFS('架電リスト'!$C$5:$C$59,$A19,'架電リスト'!$J$5:$J$59,"資料送付")</f>
        <v/>
      </c>
      <c r="H19" s="11">
        <f>COUNTIFS('架電リスト'!$C$5:$C$59,$A19,'架電リスト'!$J$5:$J$59,"アポ獲得")</f>
        <v/>
      </c>
      <c r="I19" s="11">
        <f>COUNTIFS('架電リスト'!$C$5:$C$59,$A19,'架電リスト'!$J$5:$J$59,"検討中")</f>
        <v/>
      </c>
      <c r="J19" s="11">
        <f>COUNTIFS('架電リスト'!$C$5:$C$59,$A19,'架電リスト'!$J$5:$J$59,"NG")</f>
        <v/>
      </c>
      <c r="K19" s="11">
        <f>COUNTIFS('架電リスト'!$C$5:$C$59,$A19,'架電リスト'!$J$5:$J$59,"番号不明")</f>
        <v/>
      </c>
    </row>
    <row r="20">
      <c r="A20" s="11" t="inlineStr">
        <is>
          <t>札幌市西区</t>
        </is>
      </c>
      <c r="B20" s="11">
        <f>COUNTIF('架電リスト'!$C$5:$C$59,A20)</f>
        <v/>
      </c>
      <c r="C20" s="11">
        <f>COUNTIFS('架電リスト'!$C$5:$C$59,A20,'架電リスト'!$E$5:$E$59,"&lt;&gt;")</f>
        <v/>
      </c>
      <c r="D20" s="11">
        <f>B20-COUNTIFS('架電リスト'!$C$5:$C$59,A20,'架電リスト'!$J$5:$J$59,"未架電")-COUNTIFS('架電リスト'!$C$5:$C$59,A20,'架電リスト'!$J$5:$J$59,"")</f>
        <v/>
      </c>
      <c r="E20" s="11">
        <f>COUNTIFS('架電リスト'!$C$5:$C$59,$A20,'架電リスト'!$J$5:$J$59,"不在・折返し待ち")</f>
        <v/>
      </c>
      <c r="F20" s="11">
        <f>COUNTIFS('架電リスト'!$C$5:$C$59,$A20,'架電リスト'!$J$5:$J$59,"担当者不在")</f>
        <v/>
      </c>
      <c r="G20" s="11">
        <f>COUNTIFS('架電リスト'!$C$5:$C$59,$A20,'架電リスト'!$J$5:$J$59,"資料送付")</f>
        <v/>
      </c>
      <c r="H20" s="11">
        <f>COUNTIFS('架電リスト'!$C$5:$C$59,$A20,'架電リスト'!$J$5:$J$59,"アポ獲得")</f>
        <v/>
      </c>
      <c r="I20" s="11">
        <f>COUNTIFS('架電リスト'!$C$5:$C$59,$A20,'架電リスト'!$J$5:$J$59,"検討中")</f>
        <v/>
      </c>
      <c r="J20" s="11">
        <f>COUNTIFS('架電リスト'!$C$5:$C$59,$A20,'架電リスト'!$J$5:$J$59,"NG")</f>
        <v/>
      </c>
      <c r="K20" s="11">
        <f>COUNTIFS('架電リスト'!$C$5:$C$59,$A20,'架電リスト'!$J$5:$J$59,"番号不明")</f>
        <v/>
      </c>
    </row>
    <row r="21">
      <c r="A21" s="11" t="inlineStr">
        <is>
          <t>芽室町</t>
        </is>
      </c>
      <c r="B21" s="11">
        <f>COUNTIF('架電リスト'!$C$5:$C$59,A21)</f>
        <v/>
      </c>
      <c r="C21" s="11">
        <f>COUNTIFS('架電リスト'!$C$5:$C$59,A21,'架電リスト'!$E$5:$E$59,"&lt;&gt;")</f>
        <v/>
      </c>
      <c r="D21" s="11">
        <f>B21-COUNTIFS('架電リスト'!$C$5:$C$59,A21,'架電リスト'!$J$5:$J$59,"未架電")-COUNTIFS('架電リスト'!$C$5:$C$59,A21,'架電リスト'!$J$5:$J$59,"")</f>
        <v/>
      </c>
      <c r="E21" s="11">
        <f>COUNTIFS('架電リスト'!$C$5:$C$59,$A21,'架電リスト'!$J$5:$J$59,"不在・折返し待ち")</f>
        <v/>
      </c>
      <c r="F21" s="11">
        <f>COUNTIFS('架電リスト'!$C$5:$C$59,$A21,'架電リスト'!$J$5:$J$59,"担当者不在")</f>
        <v/>
      </c>
      <c r="G21" s="11">
        <f>COUNTIFS('架電リスト'!$C$5:$C$59,$A21,'架電リスト'!$J$5:$J$59,"資料送付")</f>
        <v/>
      </c>
      <c r="H21" s="11">
        <f>COUNTIFS('架電リスト'!$C$5:$C$59,$A21,'架電リスト'!$J$5:$J$59,"アポ獲得")</f>
        <v/>
      </c>
      <c r="I21" s="11">
        <f>COUNTIFS('架電リスト'!$C$5:$C$59,$A21,'架電リスト'!$J$5:$J$59,"検討中")</f>
        <v/>
      </c>
      <c r="J21" s="11">
        <f>COUNTIFS('架電リスト'!$C$5:$C$59,$A21,'架電リスト'!$J$5:$J$59,"NG")</f>
        <v/>
      </c>
      <c r="K21" s="11">
        <f>COUNTIFS('架電リスト'!$C$5:$C$59,$A21,'架電リスト'!$J$5:$J$59,"番号不明")</f>
        <v/>
      </c>
    </row>
    <row r="22">
      <c r="A22" s="11" t="inlineStr">
        <is>
          <t>芦別市</t>
        </is>
      </c>
      <c r="B22" s="11">
        <f>COUNTIF('架電リスト'!$C$5:$C$59,A22)</f>
        <v/>
      </c>
      <c r="C22" s="11">
        <f>COUNTIFS('架電リスト'!$C$5:$C$59,A22,'架電リスト'!$E$5:$E$59,"&lt;&gt;")</f>
        <v/>
      </c>
      <c r="D22" s="11">
        <f>B22-COUNTIFS('架電リスト'!$C$5:$C$59,A22,'架電リスト'!$J$5:$J$59,"未架電")-COUNTIFS('架電リスト'!$C$5:$C$59,A22,'架電リスト'!$J$5:$J$59,"")</f>
        <v/>
      </c>
      <c r="E22" s="11">
        <f>COUNTIFS('架電リスト'!$C$5:$C$59,$A22,'架電リスト'!$J$5:$J$59,"不在・折返し待ち")</f>
        <v/>
      </c>
      <c r="F22" s="11">
        <f>COUNTIFS('架電リスト'!$C$5:$C$59,$A22,'架電リスト'!$J$5:$J$59,"担当者不在")</f>
        <v/>
      </c>
      <c r="G22" s="11">
        <f>COUNTIFS('架電リスト'!$C$5:$C$59,$A22,'架電リスト'!$J$5:$J$59,"資料送付")</f>
        <v/>
      </c>
      <c r="H22" s="11">
        <f>COUNTIFS('架電リスト'!$C$5:$C$59,$A22,'架電リスト'!$J$5:$J$59,"アポ獲得")</f>
        <v/>
      </c>
      <c r="I22" s="11">
        <f>COUNTIFS('架電リスト'!$C$5:$C$59,$A22,'架電リスト'!$J$5:$J$59,"検討中")</f>
        <v/>
      </c>
      <c r="J22" s="11">
        <f>COUNTIFS('架電リスト'!$C$5:$C$59,$A22,'架電リスト'!$J$5:$J$59,"NG")</f>
        <v/>
      </c>
      <c r="K22" s="11">
        <f>COUNTIFS('架電リスト'!$C$5:$C$59,$A22,'架電リスト'!$J$5:$J$59,"番号不明")</f>
        <v/>
      </c>
    </row>
    <row r="23">
      <c r="A23" s="11" t="inlineStr">
        <is>
          <t>千歳市</t>
        </is>
      </c>
      <c r="B23" s="11">
        <f>COUNTIF('架電リスト'!$C$5:$C$59,A23)</f>
        <v/>
      </c>
      <c r="C23" s="11">
        <f>COUNTIFS('架電リスト'!$C$5:$C$59,A23,'架電リスト'!$E$5:$E$59,"&lt;&gt;")</f>
        <v/>
      </c>
      <c r="D23" s="11">
        <f>B23-COUNTIFS('架電リスト'!$C$5:$C$59,A23,'架電リスト'!$J$5:$J$59,"未架電")-COUNTIFS('架電リスト'!$C$5:$C$59,A23,'架電リスト'!$J$5:$J$59,"")</f>
        <v/>
      </c>
      <c r="E23" s="11">
        <f>COUNTIFS('架電リスト'!$C$5:$C$59,$A23,'架電リスト'!$J$5:$J$59,"不在・折返し待ち")</f>
        <v/>
      </c>
      <c r="F23" s="11">
        <f>COUNTIFS('架電リスト'!$C$5:$C$59,$A23,'架電リスト'!$J$5:$J$59,"担当者不在")</f>
        <v/>
      </c>
      <c r="G23" s="11">
        <f>COUNTIFS('架電リスト'!$C$5:$C$59,$A23,'架電リスト'!$J$5:$J$59,"資料送付")</f>
        <v/>
      </c>
      <c r="H23" s="11">
        <f>COUNTIFS('架電リスト'!$C$5:$C$59,$A23,'架電リスト'!$J$5:$J$59,"アポ獲得")</f>
        <v/>
      </c>
      <c r="I23" s="11">
        <f>COUNTIFS('架電リスト'!$C$5:$C$59,$A23,'架電リスト'!$J$5:$J$59,"検討中")</f>
        <v/>
      </c>
      <c r="J23" s="11">
        <f>COUNTIFS('架電リスト'!$C$5:$C$59,$A23,'架電リスト'!$J$5:$J$59,"NG")</f>
        <v/>
      </c>
      <c r="K23" s="11">
        <f>COUNTIFS('架電リスト'!$C$5:$C$59,$A23,'架電リスト'!$J$5:$J$59,"番号不明")</f>
        <v/>
      </c>
    </row>
    <row r="24">
      <c r="A24" s="11" t="inlineStr">
        <is>
          <t>釧路市</t>
        </is>
      </c>
      <c r="B24" s="11">
        <f>COUNTIF('架電リスト'!$C$5:$C$59,A24)</f>
        <v/>
      </c>
      <c r="C24" s="11">
        <f>COUNTIFS('架電リスト'!$C$5:$C$59,A24,'架電リスト'!$E$5:$E$59,"&lt;&gt;")</f>
        <v/>
      </c>
      <c r="D24" s="11">
        <f>B24-COUNTIFS('架電リスト'!$C$5:$C$59,A24,'架電リスト'!$J$5:$J$59,"未架電")-COUNTIFS('架電リスト'!$C$5:$C$59,A24,'架電リスト'!$J$5:$J$59,"")</f>
        <v/>
      </c>
      <c r="E24" s="11">
        <f>COUNTIFS('架電リスト'!$C$5:$C$59,$A24,'架電リスト'!$J$5:$J$59,"不在・折返し待ち")</f>
        <v/>
      </c>
      <c r="F24" s="11">
        <f>COUNTIFS('架電リスト'!$C$5:$C$59,$A24,'架電リスト'!$J$5:$J$59,"担当者不在")</f>
        <v/>
      </c>
      <c r="G24" s="11">
        <f>COUNTIFS('架電リスト'!$C$5:$C$59,$A24,'架電リスト'!$J$5:$J$59,"資料送付")</f>
        <v/>
      </c>
      <c r="H24" s="11">
        <f>COUNTIFS('架電リスト'!$C$5:$C$59,$A24,'架電リスト'!$J$5:$J$59,"アポ獲得")</f>
        <v/>
      </c>
      <c r="I24" s="11">
        <f>COUNTIFS('架電リスト'!$C$5:$C$59,$A24,'架電リスト'!$J$5:$J$59,"検討中")</f>
        <v/>
      </c>
      <c r="J24" s="11">
        <f>COUNTIFS('架電リスト'!$C$5:$C$59,$A24,'架電リスト'!$J$5:$J$59,"NG")</f>
        <v/>
      </c>
      <c r="K24" s="11">
        <f>COUNTIFS('架電リスト'!$C$5:$C$59,$A24,'架電リスト'!$J$5:$J$59,"番号不明")</f>
        <v/>
      </c>
    </row>
    <row r="25">
      <c r="A25" s="11" t="inlineStr">
        <is>
          <t>札幌市厚別区</t>
        </is>
      </c>
      <c r="B25" s="11">
        <f>COUNTIF('架電リスト'!$C$5:$C$59,A25)</f>
        <v/>
      </c>
      <c r="C25" s="11">
        <f>COUNTIFS('架電リスト'!$C$5:$C$59,A25,'架電リスト'!$E$5:$E$59,"&lt;&gt;")</f>
        <v/>
      </c>
      <c r="D25" s="11">
        <f>B25-COUNTIFS('架電リスト'!$C$5:$C$59,A25,'架電リスト'!$J$5:$J$59,"未架電")-COUNTIFS('架電リスト'!$C$5:$C$59,A25,'架電リスト'!$J$5:$J$59,"")</f>
        <v/>
      </c>
      <c r="E25" s="11">
        <f>COUNTIFS('架電リスト'!$C$5:$C$59,$A25,'架電リスト'!$J$5:$J$59,"不在・折返し待ち")</f>
        <v/>
      </c>
      <c r="F25" s="11">
        <f>COUNTIFS('架電リスト'!$C$5:$C$59,$A25,'架電リスト'!$J$5:$J$59,"担当者不在")</f>
        <v/>
      </c>
      <c r="G25" s="11">
        <f>COUNTIFS('架電リスト'!$C$5:$C$59,$A25,'架電リスト'!$J$5:$J$59,"資料送付")</f>
        <v/>
      </c>
      <c r="H25" s="11">
        <f>COUNTIFS('架電リスト'!$C$5:$C$59,$A25,'架電リスト'!$J$5:$J$59,"アポ獲得")</f>
        <v/>
      </c>
      <c r="I25" s="11">
        <f>COUNTIFS('架電リスト'!$C$5:$C$59,$A25,'架電リスト'!$J$5:$J$59,"検討中")</f>
        <v/>
      </c>
      <c r="J25" s="11">
        <f>COUNTIFS('架電リスト'!$C$5:$C$59,$A25,'架電リスト'!$J$5:$J$59,"NG")</f>
        <v/>
      </c>
      <c r="K25" s="11">
        <f>COUNTIFS('架電リスト'!$C$5:$C$59,$A25,'架電リスト'!$J$5:$J$59,"番号不明")</f>
        <v/>
      </c>
    </row>
    <row r="26">
      <c r="A26" s="11" t="inlineStr">
        <is>
          <t>余市町</t>
        </is>
      </c>
      <c r="B26" s="11">
        <f>COUNTIF('架電リスト'!$C$5:$C$59,A26)</f>
        <v/>
      </c>
      <c r="C26" s="11">
        <f>COUNTIFS('架電リスト'!$C$5:$C$59,A26,'架電リスト'!$E$5:$E$59,"&lt;&gt;")</f>
        <v/>
      </c>
      <c r="D26" s="11">
        <f>B26-COUNTIFS('架電リスト'!$C$5:$C$59,A26,'架電リスト'!$J$5:$J$59,"未架電")-COUNTIFS('架電リスト'!$C$5:$C$59,A26,'架電リスト'!$J$5:$J$59,"")</f>
        <v/>
      </c>
      <c r="E26" s="11">
        <f>COUNTIFS('架電リスト'!$C$5:$C$59,$A26,'架電リスト'!$J$5:$J$59,"不在・折返し待ち")</f>
        <v/>
      </c>
      <c r="F26" s="11">
        <f>COUNTIFS('架電リスト'!$C$5:$C$59,$A26,'架電リスト'!$J$5:$J$59,"担当者不在")</f>
        <v/>
      </c>
      <c r="G26" s="11">
        <f>COUNTIFS('架電リスト'!$C$5:$C$59,$A26,'架電リスト'!$J$5:$J$59,"資料送付")</f>
        <v/>
      </c>
      <c r="H26" s="11">
        <f>COUNTIFS('架電リスト'!$C$5:$C$59,$A26,'架電リスト'!$J$5:$J$59,"アポ獲得")</f>
        <v/>
      </c>
      <c r="I26" s="11">
        <f>COUNTIFS('架電リスト'!$C$5:$C$59,$A26,'架電リスト'!$J$5:$J$59,"検討中")</f>
        <v/>
      </c>
      <c r="J26" s="11">
        <f>COUNTIFS('架電リスト'!$C$5:$C$59,$A26,'架電リスト'!$J$5:$J$59,"NG")</f>
        <v/>
      </c>
      <c r="K26" s="11">
        <f>COUNTIFS('架電リスト'!$C$5:$C$59,$A26,'架電リスト'!$J$5:$J$59,"番号不明")</f>
        <v/>
      </c>
    </row>
    <row r="27">
      <c r="A27" s="11" t="inlineStr">
        <is>
          <t>札幌市清田区</t>
        </is>
      </c>
      <c r="B27" s="11">
        <f>COUNTIF('架電リスト'!$C$5:$C$59,A27)</f>
        <v/>
      </c>
      <c r="C27" s="11">
        <f>COUNTIFS('架電リスト'!$C$5:$C$59,A27,'架電リスト'!$E$5:$E$59,"&lt;&gt;")</f>
        <v/>
      </c>
      <c r="D27" s="11">
        <f>B27-COUNTIFS('架電リスト'!$C$5:$C$59,A27,'架電リスト'!$J$5:$J$59,"未架電")-COUNTIFS('架電リスト'!$C$5:$C$59,A27,'架電リスト'!$J$5:$J$59,"")</f>
        <v/>
      </c>
      <c r="E27" s="11">
        <f>COUNTIFS('架電リスト'!$C$5:$C$59,$A27,'架電リスト'!$J$5:$J$59,"不在・折返し待ち")</f>
        <v/>
      </c>
      <c r="F27" s="11">
        <f>COUNTIFS('架電リスト'!$C$5:$C$59,$A27,'架電リスト'!$J$5:$J$59,"担当者不在")</f>
        <v/>
      </c>
      <c r="G27" s="11">
        <f>COUNTIFS('架電リスト'!$C$5:$C$59,$A27,'架電リスト'!$J$5:$J$59,"資料送付")</f>
        <v/>
      </c>
      <c r="H27" s="11">
        <f>COUNTIFS('架電リスト'!$C$5:$C$59,$A27,'架電リスト'!$J$5:$J$59,"アポ獲得")</f>
        <v/>
      </c>
      <c r="I27" s="11">
        <f>COUNTIFS('架電リスト'!$C$5:$C$59,$A27,'架電リスト'!$J$5:$J$59,"検討中")</f>
        <v/>
      </c>
      <c r="J27" s="11">
        <f>COUNTIFS('架電リスト'!$C$5:$C$59,$A27,'架電リスト'!$J$5:$J$59,"NG")</f>
        <v/>
      </c>
      <c r="K27" s="11">
        <f>COUNTIFS('架電リスト'!$C$5:$C$59,$A27,'架電リスト'!$J$5:$J$59,"番号不明")</f>
        <v/>
      </c>
    </row>
    <row r="28">
      <c r="A28" s="11" t="inlineStr">
        <is>
          <t>札幌市手稲区</t>
        </is>
      </c>
      <c r="B28" s="11">
        <f>COUNTIF('架電リスト'!$C$5:$C$59,A28)</f>
        <v/>
      </c>
      <c r="C28" s="11">
        <f>COUNTIFS('架電リスト'!$C$5:$C$59,A28,'架電リスト'!$E$5:$E$59,"&lt;&gt;")</f>
        <v/>
      </c>
      <c r="D28" s="11">
        <f>B28-COUNTIFS('架電リスト'!$C$5:$C$59,A28,'架電リスト'!$J$5:$J$59,"未架電")-COUNTIFS('架電リスト'!$C$5:$C$59,A28,'架電リスト'!$J$5:$J$59,"")</f>
        <v/>
      </c>
      <c r="E28" s="11">
        <f>COUNTIFS('架電リスト'!$C$5:$C$59,$A28,'架電リスト'!$J$5:$J$59,"不在・折返し待ち")</f>
        <v/>
      </c>
      <c r="F28" s="11">
        <f>COUNTIFS('架電リスト'!$C$5:$C$59,$A28,'架電リスト'!$J$5:$J$59,"担当者不在")</f>
        <v/>
      </c>
      <c r="G28" s="11">
        <f>COUNTIFS('架電リスト'!$C$5:$C$59,$A28,'架電リスト'!$J$5:$J$59,"資料送付")</f>
        <v/>
      </c>
      <c r="H28" s="11">
        <f>COUNTIFS('架電リスト'!$C$5:$C$59,$A28,'架電リスト'!$J$5:$J$59,"アポ獲得")</f>
        <v/>
      </c>
      <c r="I28" s="11">
        <f>COUNTIFS('架電リスト'!$C$5:$C$59,$A28,'架電リスト'!$J$5:$J$59,"検討中")</f>
        <v/>
      </c>
      <c r="J28" s="11">
        <f>COUNTIFS('架電リスト'!$C$5:$C$59,$A28,'架電リスト'!$J$5:$J$59,"NG")</f>
        <v/>
      </c>
      <c r="K28" s="11">
        <f>COUNTIFS('架電リスト'!$C$5:$C$59,$A28,'架電リスト'!$J$5:$J$59,"番号不明")</f>
        <v/>
      </c>
    </row>
    <row r="29">
      <c r="A29" s="11" t="inlineStr">
        <is>
          <t>清水町</t>
        </is>
      </c>
      <c r="B29" s="11">
        <f>COUNTIF('架電リスト'!$C$5:$C$59,A29)</f>
        <v/>
      </c>
      <c r="C29" s="11">
        <f>COUNTIFS('架電リスト'!$C$5:$C$59,A29,'架電リスト'!$E$5:$E$59,"&lt;&gt;")</f>
        <v/>
      </c>
      <c r="D29" s="11">
        <f>B29-COUNTIFS('架電リスト'!$C$5:$C$59,A29,'架電リスト'!$J$5:$J$59,"未架電")-COUNTIFS('架電リスト'!$C$5:$C$59,A29,'架電リスト'!$J$5:$J$59,"")</f>
        <v/>
      </c>
      <c r="E29" s="11">
        <f>COUNTIFS('架電リスト'!$C$5:$C$59,$A29,'架電リスト'!$J$5:$J$59,"不在・折返し待ち")</f>
        <v/>
      </c>
      <c r="F29" s="11">
        <f>COUNTIFS('架電リスト'!$C$5:$C$59,$A29,'架電リスト'!$J$5:$J$59,"担当者不在")</f>
        <v/>
      </c>
      <c r="G29" s="11">
        <f>COUNTIFS('架電リスト'!$C$5:$C$59,$A29,'架電リスト'!$J$5:$J$59,"資料送付")</f>
        <v/>
      </c>
      <c r="H29" s="11">
        <f>COUNTIFS('架電リスト'!$C$5:$C$59,$A29,'架電リスト'!$J$5:$J$59,"アポ獲得")</f>
        <v/>
      </c>
      <c r="I29" s="11">
        <f>COUNTIFS('架電リスト'!$C$5:$C$59,$A29,'架電リスト'!$J$5:$J$59,"検討中")</f>
        <v/>
      </c>
      <c r="J29" s="11">
        <f>COUNTIFS('架電リスト'!$C$5:$C$59,$A29,'架電リスト'!$J$5:$J$59,"NG")</f>
        <v/>
      </c>
      <c r="K29" s="11">
        <f>COUNTIFS('架電リスト'!$C$5:$C$59,$A29,'架電リスト'!$J$5:$J$59,"番号不明")</f>
        <v/>
      </c>
    </row>
    <row r="30">
      <c r="A30" s="11" t="inlineStr">
        <is>
          <t>白老町</t>
        </is>
      </c>
      <c r="B30" s="11">
        <f>COUNTIF('架電リスト'!$C$5:$C$59,A30)</f>
        <v/>
      </c>
      <c r="C30" s="11">
        <f>COUNTIFS('架電リスト'!$C$5:$C$59,A30,'架電リスト'!$E$5:$E$59,"&lt;&gt;")</f>
        <v/>
      </c>
      <c r="D30" s="11">
        <f>B30-COUNTIFS('架電リスト'!$C$5:$C$59,A30,'架電リスト'!$J$5:$J$59,"未架電")-COUNTIFS('架電リスト'!$C$5:$C$59,A30,'架電リスト'!$J$5:$J$59,"")</f>
        <v/>
      </c>
      <c r="E30" s="11">
        <f>COUNTIFS('架電リスト'!$C$5:$C$59,$A30,'架電リスト'!$J$5:$J$59,"不在・折返し待ち")</f>
        <v/>
      </c>
      <c r="F30" s="11">
        <f>COUNTIFS('架電リスト'!$C$5:$C$59,$A30,'架電リスト'!$J$5:$J$59,"担当者不在")</f>
        <v/>
      </c>
      <c r="G30" s="11">
        <f>COUNTIFS('架電リスト'!$C$5:$C$59,$A30,'架電リスト'!$J$5:$J$59,"資料送付")</f>
        <v/>
      </c>
      <c r="H30" s="11">
        <f>COUNTIFS('架電リスト'!$C$5:$C$59,$A30,'架電リスト'!$J$5:$J$59,"アポ獲得")</f>
        <v/>
      </c>
      <c r="I30" s="11">
        <f>COUNTIFS('架電リスト'!$C$5:$C$59,$A30,'架電リスト'!$J$5:$J$59,"検討中")</f>
        <v/>
      </c>
      <c r="J30" s="11">
        <f>COUNTIFS('架電リスト'!$C$5:$C$59,$A30,'架電リスト'!$J$5:$J$59,"NG")</f>
        <v/>
      </c>
      <c r="K30" s="11">
        <f>COUNTIFS('架電リスト'!$C$5:$C$59,$A30,'架電リスト'!$J$5:$J$59,"番号不明")</f>
        <v/>
      </c>
    </row>
    <row r="31">
      <c r="A31" s="11" t="inlineStr">
        <is>
          <t>恵庭市</t>
        </is>
      </c>
      <c r="B31" s="11">
        <f>COUNTIF('架電リスト'!$C$5:$C$59,A31)</f>
        <v/>
      </c>
      <c r="C31" s="11">
        <f>COUNTIFS('架電リスト'!$C$5:$C$59,A31,'架電リスト'!$E$5:$E$59,"&lt;&gt;")</f>
        <v/>
      </c>
      <c r="D31" s="11">
        <f>B31-COUNTIFS('架電リスト'!$C$5:$C$59,A31,'架電リスト'!$J$5:$J$59,"未架電")-COUNTIFS('架電リスト'!$C$5:$C$59,A31,'架電リスト'!$J$5:$J$59,"")</f>
        <v/>
      </c>
      <c r="E31" s="11">
        <f>COUNTIFS('架電リスト'!$C$5:$C$59,$A31,'架電リスト'!$J$5:$J$59,"不在・折返し待ち")</f>
        <v/>
      </c>
      <c r="F31" s="11">
        <f>COUNTIFS('架電リスト'!$C$5:$C$59,$A31,'架電リスト'!$J$5:$J$59,"担当者不在")</f>
        <v/>
      </c>
      <c r="G31" s="11">
        <f>COUNTIFS('架電リスト'!$C$5:$C$59,$A31,'架電リスト'!$J$5:$J$59,"資料送付")</f>
        <v/>
      </c>
      <c r="H31" s="11">
        <f>COUNTIFS('架電リスト'!$C$5:$C$59,$A31,'架電リスト'!$J$5:$J$59,"アポ獲得")</f>
        <v/>
      </c>
      <c r="I31" s="11">
        <f>COUNTIFS('架電リスト'!$C$5:$C$59,$A31,'架電リスト'!$J$5:$J$59,"検討中")</f>
        <v/>
      </c>
      <c r="J31" s="11">
        <f>COUNTIFS('架電リスト'!$C$5:$C$59,$A31,'架電リスト'!$J$5:$J$59,"NG")</f>
        <v/>
      </c>
      <c r="K31" s="11">
        <f>COUNTIFS('架電リスト'!$C$5:$C$59,$A31,'架電リスト'!$J$5:$J$59,"番号不明")</f>
        <v/>
      </c>
    </row>
    <row r="32">
      <c r="A32" s="11" t="inlineStr">
        <is>
          <t>稚内市</t>
        </is>
      </c>
      <c r="B32" s="11">
        <f>COUNTIF('架電リスト'!$C$5:$C$59,A32)</f>
        <v/>
      </c>
      <c r="C32" s="11">
        <f>COUNTIFS('架電リスト'!$C$5:$C$59,A32,'架電リスト'!$E$5:$E$59,"&lt;&gt;")</f>
        <v/>
      </c>
      <c r="D32" s="11">
        <f>B32-COUNTIFS('架電リスト'!$C$5:$C$59,A32,'架電リスト'!$J$5:$J$59,"未架電")-COUNTIFS('架電リスト'!$C$5:$C$59,A32,'架電リスト'!$J$5:$J$59,"")</f>
        <v/>
      </c>
      <c r="E32" s="11">
        <f>COUNTIFS('架電リスト'!$C$5:$C$59,$A32,'架電リスト'!$J$5:$J$59,"不在・折返し待ち")</f>
        <v/>
      </c>
      <c r="F32" s="11">
        <f>COUNTIFS('架電リスト'!$C$5:$C$59,$A32,'架電リスト'!$J$5:$J$59,"担当者不在")</f>
        <v/>
      </c>
      <c r="G32" s="11">
        <f>COUNTIFS('架電リスト'!$C$5:$C$59,$A32,'架電リスト'!$J$5:$J$59,"資料送付")</f>
        <v/>
      </c>
      <c r="H32" s="11">
        <f>COUNTIFS('架電リスト'!$C$5:$C$59,$A32,'架電リスト'!$J$5:$J$59,"アポ獲得")</f>
        <v/>
      </c>
      <c r="I32" s="11">
        <f>COUNTIFS('架電リスト'!$C$5:$C$59,$A32,'架電リスト'!$J$5:$J$59,"検討中")</f>
        <v/>
      </c>
      <c r="J32" s="11">
        <f>COUNTIFS('架電リスト'!$C$5:$C$59,$A32,'架電リスト'!$J$5:$J$59,"NG")</f>
        <v/>
      </c>
      <c r="K32" s="11">
        <f>COUNTIFS('架電リスト'!$C$5:$C$59,$A32,'架電リスト'!$J$5:$J$59,"番号不明")</f>
        <v/>
      </c>
    </row>
    <row r="33">
      <c r="A33" s="12" t="inlineStr">
        <is>
          <t>合計</t>
        </is>
      </c>
      <c r="B33" s="12">
        <f>SUM(B4:B32)</f>
        <v/>
      </c>
      <c r="C33" s="12">
        <f>SUM(C4:C32)</f>
        <v/>
      </c>
      <c r="D33" s="12">
        <f>SUM(D4:D32)</f>
        <v/>
      </c>
      <c r="E33" s="12">
        <f>SUM(E4:E32)</f>
        <v/>
      </c>
      <c r="F33" s="12">
        <f>SUM(F4:F32)</f>
        <v/>
      </c>
      <c r="G33" s="12">
        <f>SUM(G4:G32)</f>
        <v/>
      </c>
      <c r="H33" s="12">
        <f>SUM(H4:H32)</f>
        <v/>
      </c>
      <c r="I33" s="12">
        <f>SUM(I4:I32)</f>
        <v/>
      </c>
      <c r="J33" s="12">
        <f>SUM(J4:J32)</f>
        <v/>
      </c>
      <c r="K33" s="12">
        <f>SUM(K4:K32)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3" t="inlineStr">
        <is>
          <t>■ 使い方</t>
        </is>
      </c>
    </row>
    <row r="2">
      <c r="A2" s="14" t="inlineStr">
        <is>
          <t>・「架電リスト」の黄色の列（電話番号・架電日・担当者・架電結果・次回連絡日・メモ）に入力してください。</t>
        </is>
      </c>
    </row>
    <row r="3">
      <c r="A3" s="14" t="inlineStr">
        <is>
          <t>・架電結果はプルダウンから選択します（アポ獲得＝緑、NG＝グレーで行が自動着色）。</t>
        </is>
      </c>
    </row>
    <row r="4">
      <c r="A4" s="14" t="inlineStr">
        <is>
          <t>・「学校情報ページ」の「開く」をクリックすると、学校ネットの各校ページが開きます。電話番号の確認にご利用ください。</t>
        </is>
      </c>
    </row>
    <row r="5">
      <c r="A5" s="14" t="inlineStr">
        <is>
          <t>・市区町村で絞り込む場合は、見出し行「所在地（市区町村）」の▼（フィルター）を使用してください。</t>
        </is>
      </c>
    </row>
    <row r="6">
      <c r="A6" s="14" t="inlineStr">
        <is>
          <t>・「市区町村別集計」は入力内容に連動して自動で集計されます（学校数の多い順）。</t>
        </is>
      </c>
    </row>
    <row r="7">
      <c r="A7" s="14" t="inlineStr"/>
    </row>
    <row r="8">
      <c r="A8" s="13" t="inlineStr">
        <is>
          <t>■ 元データについての注意</t>
        </is>
      </c>
    </row>
    <row r="9">
      <c r="A9" s="14" t="inlineStr">
        <is>
          <t>・出典：ご提供いただいた学校ネットの検索結果（私立高校・北海道、55校）の貼り付けデータ。並び順は元データの掲載順です。</t>
        </is>
      </c>
    </row>
    <row r="10">
      <c r="A10" s="14" t="inlineStr">
        <is>
          <t>・元データには電話番号の記載がないため、電話番号欄は空欄です。</t>
        </is>
      </c>
    </row>
    <row r="11">
      <c r="A11" s="14" t="inlineStr">
        <is>
          <t>・クラーク記念国際・星槎国際など広域通信制の学校は、所在地が本校のみの表記です。架電先（本校／各キャンパス）にご注意ください。</t>
        </is>
      </c>
    </row>
    <row r="12">
      <c r="A12" s="14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2026-10-09T00:38:31Z</dcterms:created>
  <dcterms:modified xsi:type="dcterms:W3CDTF">2026-10-09T00:38:31Z</dcterms:modified>
</cp:coreProperties>
</file>