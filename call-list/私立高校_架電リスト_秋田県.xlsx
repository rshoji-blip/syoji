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'架電リスト'!$A$4:$O$9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765.html" TargetMode="External" Id="rId1" /><Relationship Type="http://schemas.openxmlformats.org/officeDocument/2006/relationships/hyperlink" Target="https://www.gakkou.net/kou/view/index_300744.html" TargetMode="External" Id="rId2" /><Relationship Type="http://schemas.openxmlformats.org/officeDocument/2006/relationships/hyperlink" Target="https://www.gakkou.net/kou/view/index_300742.html" TargetMode="External" Id="rId3" /><Relationship Type="http://schemas.openxmlformats.org/officeDocument/2006/relationships/hyperlink" Target="https://www.gakkou.net/kou/view/index_300733.html" TargetMode="External" Id="rId4" /><Relationship Type="http://schemas.openxmlformats.org/officeDocument/2006/relationships/hyperlink" Target="https://www.gakkou.net/kou/view/index_300734.html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架電リスト（秋田県／5校）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秋田県</t>
        </is>
      </c>
      <c r="C5" s="5" t="inlineStr">
        <is>
          <t>大仙市</t>
        </is>
      </c>
      <c r="D5" s="5" t="inlineStr">
        <is>
          <t>秋田修英高等学校</t>
        </is>
      </c>
      <c r="E5" s="6" t="inlineStr">
        <is>
          <t>0187-63-2622</t>
        </is>
      </c>
      <c r="F5" s="7" t="inlineStr">
        <is>
          <t>高</t>
        </is>
      </c>
      <c r="G5" s="5" t="inlineStr">
        <is>
          <t>普通科・総合学科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Yahoo!マップと学校情報サイトで一致</t>
        </is>
      </c>
      <c r="N5" s="11" t="inlineStr">
        <is>
          <t>https://map.yahoo.co.jp/v3/place/bojoJz7KkxU ; https://school.js88.com/scl_h/22030520</t>
        </is>
      </c>
      <c r="O5" s="12" t="inlineStr">
        <is>
          <t>開く</t>
        </is>
      </c>
    </row>
    <row r="6">
      <c r="A6" s="4" t="n">
        <v>2</v>
      </c>
      <c r="B6" s="5" t="inlineStr">
        <is>
          <t>秋田県</t>
        </is>
      </c>
      <c r="C6" s="5" t="inlineStr">
        <is>
          <t>秋田市</t>
        </is>
      </c>
      <c r="D6" s="5" t="inlineStr">
        <is>
          <t>秋田令和高等学校</t>
        </is>
      </c>
      <c r="E6" s="6" t="inlineStr">
        <is>
          <t>018-833-1353</t>
        </is>
      </c>
      <c r="F6" s="13" t="inlineStr">
        <is>
          <t>中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秋田県の高等学校一覧（R5）で確認。最新版では未確認</t>
        </is>
      </c>
      <c r="N6" s="11" t="inlineStr">
        <is>
          <t>https://www.pref.akita.lg.jp/uploads/public/archive_0000049957_00/R5秋田県高等学校一覧.pdf</t>
        </is>
      </c>
      <c r="O6" s="12" t="inlineStr">
        <is>
          <t>開く</t>
        </is>
      </c>
    </row>
    <row r="7">
      <c r="A7" s="4" t="n">
        <v>3</v>
      </c>
      <c r="B7" s="5" t="inlineStr">
        <is>
          <t>秋田県</t>
        </is>
      </c>
      <c r="C7" s="5" t="inlineStr">
        <is>
          <t>秋田市</t>
        </is>
      </c>
      <c r="D7" s="5" t="inlineStr">
        <is>
          <t>国学館高等学校</t>
        </is>
      </c>
      <c r="E7" s="6" t="inlineStr">
        <is>
          <t>018-833-6361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秋田県の高等学校一覧（複数年度）で一致</t>
        </is>
      </c>
      <c r="N7" s="11" t="inlineStr">
        <is>
          <t>https://www.pref.akita.lg.jp/uploads/public/archive_0000049957_00/R5秋田県高等学校一覧.pdf</t>
        </is>
      </c>
      <c r="O7" s="12" t="inlineStr">
        <is>
          <t>開く</t>
        </is>
      </c>
    </row>
    <row r="8">
      <c r="A8" s="4" t="n">
        <v>4</v>
      </c>
      <c r="B8" s="5" t="inlineStr">
        <is>
          <t>秋田県</t>
        </is>
      </c>
      <c r="C8" s="5" t="inlineStr">
        <is>
          <t>秋田市</t>
        </is>
      </c>
      <c r="D8" s="5" t="inlineStr">
        <is>
          <t>聖霊女子短期大学付属高等学校</t>
        </is>
      </c>
      <c r="E8" s="6" t="inlineStr">
        <is>
          <t>018-833-7311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【校名変更】2024年4月から「聖霊学園高等学校」。018-845-4111は短大の番号なので注意</t>
        </is>
      </c>
      <c r="N8" s="11" t="inlineStr">
        <is>
          <t>https://school.js88.com/scl_h/22030490 ; https://akitajet.com/wiki/Seirei_Senior_High_School</t>
        </is>
      </c>
      <c r="O8" s="12" t="inlineStr">
        <is>
          <t>開く</t>
        </is>
      </c>
    </row>
    <row r="9">
      <c r="A9" s="4" t="n">
        <v>5</v>
      </c>
      <c r="B9" s="5" t="inlineStr">
        <is>
          <t>秋田県</t>
        </is>
      </c>
      <c r="C9" s="5" t="inlineStr">
        <is>
          <t>秋田市</t>
        </is>
      </c>
      <c r="D9" s="5" t="inlineStr">
        <is>
          <t>明桜高等学校</t>
        </is>
      </c>
      <c r="E9" s="6" t="inlineStr">
        <is>
          <t>018-836-2471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正式名称は「ノースアジア大学明桜高等学校」。秋田県の一覧（複数年度）で一致</t>
        </is>
      </c>
      <c r="N9" s="11" t="inlineStr">
        <is>
          <t>https://www.pref.akita.lg.jp/uploads/public/archive_0000049957_00/R5秋田県高等学校一覧.pdf</t>
        </is>
      </c>
      <c r="O9" s="12" t="inlineStr">
        <is>
          <t>開く</t>
        </is>
      </c>
    </row>
  </sheetData>
  <autoFilter ref="A4:O9"/>
  <conditionalFormatting sqref="A5:O9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9" showDropDown="0" showInputMessage="0" showErrorMessage="0" allowBlank="1" type="list">
      <formula1>"未架電,不在・折返し待ち,担当者不在,資料送付,アポ獲得,検討中,NG,番号不明"</formula1>
    </dataValidation>
    <dataValidation sqref="H5:H9 K5:K9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秋田市</t>
        </is>
      </c>
      <c r="B4" s="14">
        <f>COUNTIF('架電リスト'!$C$5:$C$9,A4)</f>
        <v/>
      </c>
      <c r="C4" s="14">
        <f>COUNTIFS('架電リスト'!$C$5:$C$9,A4,'架電リスト'!$E$5:$E$9,"&lt;&gt;")</f>
        <v/>
      </c>
      <c r="D4" s="14">
        <f>B4-COUNTIFS('架電リスト'!$C$5:$C$9,A4,'架電リスト'!$J$5:$J$9,"未架電")-COUNTIFS('架電リスト'!$C$5:$C$9,A4,'架電リスト'!$J$5:$J$9,"")</f>
        <v/>
      </c>
      <c r="E4" s="14">
        <f>COUNTIFS('架電リスト'!$C$5:$C$9,$A4,'架電リスト'!$J$5:$J$9,"不在・折返し待ち")</f>
        <v/>
      </c>
      <c r="F4" s="14">
        <f>COUNTIFS('架電リスト'!$C$5:$C$9,$A4,'架電リスト'!$J$5:$J$9,"担当者不在")</f>
        <v/>
      </c>
      <c r="G4" s="14">
        <f>COUNTIFS('架電リスト'!$C$5:$C$9,$A4,'架電リスト'!$J$5:$J$9,"資料送付")</f>
        <v/>
      </c>
      <c r="H4" s="14">
        <f>COUNTIFS('架電リスト'!$C$5:$C$9,$A4,'架電リスト'!$J$5:$J$9,"アポ獲得")</f>
        <v/>
      </c>
      <c r="I4" s="14">
        <f>COUNTIFS('架電リスト'!$C$5:$C$9,$A4,'架電リスト'!$J$5:$J$9,"検討中")</f>
        <v/>
      </c>
      <c r="J4" s="14">
        <f>COUNTIFS('架電リスト'!$C$5:$C$9,$A4,'架電リスト'!$J$5:$J$9,"NG")</f>
        <v/>
      </c>
      <c r="K4" s="14">
        <f>COUNTIFS('架電リスト'!$C$5:$C$9,$A4,'架電リスト'!$J$5:$J$9,"番号不明")</f>
        <v/>
      </c>
    </row>
    <row r="5">
      <c r="A5" s="14" t="inlineStr">
        <is>
          <t>大仙市</t>
        </is>
      </c>
      <c r="B5" s="14">
        <f>COUNTIF('架電リスト'!$C$5:$C$9,A5)</f>
        <v/>
      </c>
      <c r="C5" s="14">
        <f>COUNTIFS('架電リスト'!$C$5:$C$9,A5,'架電リスト'!$E$5:$E$9,"&lt;&gt;")</f>
        <v/>
      </c>
      <c r="D5" s="14">
        <f>B5-COUNTIFS('架電リスト'!$C$5:$C$9,A5,'架電リスト'!$J$5:$J$9,"未架電")-COUNTIFS('架電リスト'!$C$5:$C$9,A5,'架電リスト'!$J$5:$J$9,"")</f>
        <v/>
      </c>
      <c r="E5" s="14">
        <f>COUNTIFS('架電リスト'!$C$5:$C$9,$A5,'架電リスト'!$J$5:$J$9,"不在・折返し待ち")</f>
        <v/>
      </c>
      <c r="F5" s="14">
        <f>COUNTIFS('架電リスト'!$C$5:$C$9,$A5,'架電リスト'!$J$5:$J$9,"担当者不在")</f>
        <v/>
      </c>
      <c r="G5" s="14">
        <f>COUNTIFS('架電リスト'!$C$5:$C$9,$A5,'架電リスト'!$J$5:$J$9,"資料送付")</f>
        <v/>
      </c>
      <c r="H5" s="14">
        <f>COUNTIFS('架電リスト'!$C$5:$C$9,$A5,'架電リスト'!$J$5:$J$9,"アポ獲得")</f>
        <v/>
      </c>
      <c r="I5" s="14">
        <f>COUNTIFS('架電リスト'!$C$5:$C$9,$A5,'架電リスト'!$J$5:$J$9,"検討中")</f>
        <v/>
      </c>
      <c r="J5" s="14">
        <f>COUNTIFS('架電リスト'!$C$5:$C$9,$A5,'架電リスト'!$J$5:$J$9,"NG")</f>
        <v/>
      </c>
      <c r="K5" s="14">
        <f>COUNTIFS('架電リスト'!$C$5:$C$9,$A5,'架電リスト'!$J$5:$J$9,"番号不明")</f>
        <v/>
      </c>
    </row>
    <row r="6">
      <c r="A6" s="15" t="inlineStr">
        <is>
          <t>合計</t>
        </is>
      </c>
      <c r="B6" s="15">
        <f>SUM(B4:B5)</f>
        <v/>
      </c>
      <c r="C6" s="15">
        <f>SUM(C4:C5)</f>
        <v/>
      </c>
      <c r="D6" s="15">
        <f>SUM(D4:D5)</f>
        <v/>
      </c>
      <c r="E6" s="15">
        <f>SUM(E4:E5)</f>
        <v/>
      </c>
      <c r="F6" s="15">
        <f>SUM(F4:F5)</f>
        <v/>
      </c>
      <c r="G6" s="15">
        <f>SUM(G4:G5)</f>
        <v/>
      </c>
      <c r="H6" s="15">
        <f>SUM(H4:H5)</f>
        <v/>
      </c>
      <c r="I6" s="15">
        <f>SUM(I4:I5)</f>
        <v/>
      </c>
      <c r="J6" s="15">
        <f>SUM(J4:J5)</f>
        <v/>
      </c>
      <c r="K6" s="15">
        <f>SUM(K4:K5)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・「番号の確度」：高＝公式サイト、または2つ以上の情報源で一致／中＝情報サイト1件のみで確認／低・要調査＝特定できず。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・市区町村で絞り込む場合は、見出し行「所在地（市区町村）」の▼（フィルター）を使用してください。</t>
        </is>
      </c>
    </row>
    <row r="8">
      <c r="A8" s="17" t="inlineStr">
        <is>
          <t>・「市区町村別集計」は入力内容に連動して自動で集計されます（学校数の多い順）。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・出典：ご提供いただいた学校ネットの検索結果（私立高校・秋田県、5校）の貼り付けデータ。並び順は元データの掲載順です。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道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2026-10-09T01:00:23Z</dcterms:created>
  <dcterms:modified xsi:type="dcterms:W3CDTF">2026-10-09T01:00:23Z</dcterms:modified>
</cp:coreProperties>
</file>