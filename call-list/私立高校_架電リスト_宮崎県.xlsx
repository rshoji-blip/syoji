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107.html" TargetMode="External" Id="rId1" /><Relationship Type="http://schemas.openxmlformats.org/officeDocument/2006/relationships/hyperlink" Target="https://www.gakkou.net/kou/view/index_306114.html" TargetMode="External" Id="rId2" /><Relationship Type="http://schemas.openxmlformats.org/officeDocument/2006/relationships/hyperlink" Target="https://www.gakkou.net/kou/view/index_306078.html" TargetMode="External" Id="rId3" /><Relationship Type="http://schemas.openxmlformats.org/officeDocument/2006/relationships/hyperlink" Target="https://www.gakkou.net/kou/view/index_306100.html" TargetMode="External" Id="rId4" /><Relationship Type="http://schemas.openxmlformats.org/officeDocument/2006/relationships/hyperlink" Target="https://www.gakkou.net/kou/view/index_306105.html" TargetMode="External" Id="rId5" /><Relationship Type="http://schemas.openxmlformats.org/officeDocument/2006/relationships/hyperlink" Target="https://www.gakkou.net/kou/view/index_306112.html" TargetMode="External" Id="rId6" /><Relationship Type="http://schemas.openxmlformats.org/officeDocument/2006/relationships/hyperlink" Target="https://www.gakkou.net/kou/view/index_306056.html" TargetMode="External" Id="rId7" /><Relationship Type="http://schemas.openxmlformats.org/officeDocument/2006/relationships/hyperlink" Target="https://www.gakkou.net/kou/view/index_306072.html" TargetMode="External" Id="rId8" /><Relationship Type="http://schemas.openxmlformats.org/officeDocument/2006/relationships/hyperlink" Target="https://www.gakkou.net/kou/view/index_306060.html" TargetMode="External" Id="rId9" /><Relationship Type="http://schemas.openxmlformats.org/officeDocument/2006/relationships/hyperlink" Target="https://www.gakkou.net/kou/view/index_306063.html" TargetMode="External" Id="rId10" /><Relationship Type="http://schemas.openxmlformats.org/officeDocument/2006/relationships/hyperlink" Target="https://www.gakkou.net/kou/view/index_306095.html" TargetMode="External" Id="rId11" /><Relationship Type="http://schemas.openxmlformats.org/officeDocument/2006/relationships/hyperlink" Target="https://www.gakkou.net/kou/view/index_306092.html" TargetMode="External" Id="rId12" /><Relationship Type="http://schemas.openxmlformats.org/officeDocument/2006/relationships/hyperlink" Target="https://www.gakkou.net/kou/view/index_306059.html" TargetMode="External" Id="rId13" /><Relationship Type="http://schemas.openxmlformats.org/officeDocument/2006/relationships/hyperlink" Target="https://www.gakkou.net/kou/view/index_306061.html" TargetMode="External" Id="rId14" /><Relationship Type="http://schemas.openxmlformats.org/officeDocument/2006/relationships/hyperlink" Target="https://www.gakkou.net/kou/view/index_306054.html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架電リスト（宮崎県／15校）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宮崎県</t>
        </is>
      </c>
      <c r="C5" s="5" t="inlineStr">
        <is>
          <t>三股町</t>
        </is>
      </c>
      <c r="D5" s="5" t="inlineStr">
        <is>
          <t>櫻美学園高等学校</t>
        </is>
      </c>
      <c r="E5" s="6" t="inlineStr">
        <is>
          <t>0986-52-1010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2025年4月に都城東高等学校から校名変更</t>
        </is>
      </c>
      <c r="N5" s="11" t="inlineStr">
        <is>
          <t>https://oubi.ed.jp/</t>
        </is>
      </c>
      <c r="O5" s="12" t="inlineStr">
        <is>
          <t>開く</t>
        </is>
      </c>
    </row>
    <row r="6">
      <c r="A6" s="4" t="n">
        <v>2</v>
      </c>
      <c r="B6" s="5" t="inlineStr">
        <is>
          <t>宮崎県</t>
        </is>
      </c>
      <c r="C6" s="5" t="inlineStr">
        <is>
          <t>小林市</t>
        </is>
      </c>
      <c r="D6" s="5" t="inlineStr">
        <is>
          <t>小林西高等学校</t>
        </is>
      </c>
      <c r="E6" s="6" t="inlineStr">
        <is>
          <t>0984-22-5155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県サイトとも一致</t>
        </is>
      </c>
      <c r="N6" s="11" t="inlineStr">
        <is>
          <t>https://www.kobayashi-nishi.net/</t>
        </is>
      </c>
      <c r="O6" s="12" t="inlineStr">
        <is>
          <t>開く</t>
        </is>
      </c>
    </row>
    <row r="7">
      <c r="A7" s="4" t="n">
        <v>3</v>
      </c>
      <c r="B7" s="5" t="inlineStr">
        <is>
          <t>宮崎県</t>
        </is>
      </c>
      <c r="C7" s="5" t="inlineStr">
        <is>
          <t>延岡市</t>
        </is>
      </c>
      <c r="D7" s="5" t="inlineStr">
        <is>
          <t>聖心ウルスラ学園高等学校</t>
        </is>
      </c>
      <c r="E7" s="6" t="inlineStr">
        <is>
          <t>0982-33-3472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電話帳サイトの0982-31-3058は公式と不一致</t>
        </is>
      </c>
      <c r="N7" s="11" t="inlineStr">
        <is>
          <t>https://ursula.ed.jp/high/</t>
        </is>
      </c>
      <c r="O7" s="12" t="inlineStr">
        <is>
          <t>開く</t>
        </is>
      </c>
    </row>
    <row r="8">
      <c r="A8" s="4" t="n">
        <v>4</v>
      </c>
      <c r="B8" s="5" t="inlineStr">
        <is>
          <t>宮崎県</t>
        </is>
      </c>
      <c r="C8" s="5" t="inlineStr">
        <is>
          <t>日南市</t>
        </is>
      </c>
      <c r="D8" s="5" t="inlineStr">
        <is>
          <t>日南学園高等学校</t>
        </is>
      </c>
      <c r="E8" s="6" t="inlineStr">
        <is>
          <t>0987-23-1311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日南本校の番号</t>
        </is>
      </c>
      <c r="N8" s="11" t="inlineStr">
        <is>
          <t>https://www.nichigaku-highschool.info/</t>
        </is>
      </c>
      <c r="O8" s="12" t="inlineStr">
        <is>
          <t>開く</t>
        </is>
      </c>
    </row>
    <row r="9">
      <c r="A9" s="4" t="n">
        <v>5</v>
      </c>
      <c r="B9" s="5" t="inlineStr">
        <is>
          <t>宮崎県</t>
        </is>
      </c>
      <c r="C9" s="5" t="inlineStr">
        <is>
          <t>宮崎市</t>
        </is>
      </c>
      <c r="D9" s="5" t="inlineStr">
        <is>
          <t>日南学園高等学校 宮崎穎学館</t>
        </is>
      </c>
      <c r="E9" s="6" t="inlineStr">
        <is>
          <t>0985-86-1021</t>
        </is>
      </c>
      <c r="F9" s="7" t="inlineStr">
        <is>
          <t>高</t>
        </is>
      </c>
      <c r="G9" s="5" t="inlineStr">
        <is>
          <t>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宮崎市田野町の校舎（本校とは別番号）</t>
        </is>
      </c>
      <c r="N9" s="11" t="inlineStr">
        <is>
          <t>https://www.eigakukan.ed.jp/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宮崎県</t>
        </is>
      </c>
      <c r="C10" s="5" t="inlineStr">
        <is>
          <t>えびの市</t>
        </is>
      </c>
      <c r="D10" s="5" t="inlineStr">
        <is>
          <t>日章学園九州国際高等学校</t>
        </is>
      </c>
      <c r="E10" s="6" t="inlineStr">
        <is>
          <t>0984-35-3500</t>
        </is>
      </c>
      <c r="F10" s="13" t="inlineStr">
        <is>
          <t>中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公式未確認。私学協会・学校情報サイトで一致</t>
        </is>
      </c>
      <c r="N10" s="11" t="inlineStr">
        <is>
          <t>https://www.miyazaki-shigaku.jp/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宮崎県</t>
        </is>
      </c>
      <c r="C11" s="5" t="inlineStr">
        <is>
          <t>宮崎市</t>
        </is>
      </c>
      <c r="D11" s="5" t="inlineStr">
        <is>
          <t>日章学園高等学校</t>
        </is>
      </c>
      <c r="E11" s="6" t="inlineStr">
        <is>
          <t>0985-39-1321</t>
        </is>
      </c>
      <c r="F11" s="7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宮崎市・県サイトとも一致</t>
        </is>
      </c>
      <c r="N11" s="11" t="inlineStr">
        <is>
          <t>https://nissho.ed.jp/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宮崎県</t>
        </is>
      </c>
      <c r="C12" s="5" t="inlineStr">
        <is>
          <t>延岡市</t>
        </is>
      </c>
      <c r="D12" s="5" t="inlineStr">
        <is>
          <t>延岡学園高等学校</t>
        </is>
      </c>
      <c r="E12" s="6" t="inlineStr">
        <is>
          <t>0982-33-3227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代表番号</t>
        </is>
      </c>
      <c r="N12" s="11" t="inlineStr">
        <is>
          <t>https://nobeokagakuen-ed.jp/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宮崎県</t>
        </is>
      </c>
      <c r="C13" s="5" t="inlineStr">
        <is>
          <t>宮崎市</t>
        </is>
      </c>
      <c r="D13" s="5" t="inlineStr">
        <is>
          <t>日向学院高等学校</t>
        </is>
      </c>
      <c r="E13" s="6" t="inlineStr">
        <is>
          <t>0985-22-8296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代表番号</t>
        </is>
      </c>
      <c r="N13" s="11" t="inlineStr">
        <is>
          <t>https://www.hyugagakuin.ac.jp/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宮崎県</t>
        </is>
      </c>
      <c r="C14" s="5" t="inlineStr">
        <is>
          <t>宮崎市</t>
        </is>
      </c>
      <c r="D14" s="5" t="inlineStr">
        <is>
          <t>鵬翔高等学校</t>
        </is>
      </c>
      <c r="E14" s="6" t="inlineStr">
        <is>
          <t>0985-52-2020</t>
        </is>
      </c>
      <c r="F14" s="7" t="inlineStr">
        <is>
          <t>高</t>
        </is>
      </c>
      <c r="G14" s="5" t="inlineStr">
        <is>
          <t>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事務室代表。入試広報部直通は0985-52-3312</t>
        </is>
      </c>
      <c r="N14" s="11" t="inlineStr">
        <is>
          <t>https://www.hosho.ed.jp/contact/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宮崎県</t>
        </is>
      </c>
      <c r="C15" s="5" t="inlineStr">
        <is>
          <t>都城市</t>
        </is>
      </c>
      <c r="D15" s="5" t="inlineStr">
        <is>
          <t>都城高等学校</t>
        </is>
      </c>
      <c r="E15" s="6" t="inlineStr">
        <is>
          <t>0986-23-2477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県サイトとも一致</t>
        </is>
      </c>
      <c r="N15" s="11" t="inlineStr">
        <is>
          <t>https://kubogakuen.ac.jp/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宮崎県</t>
        </is>
      </c>
      <c r="C16" s="5" t="inlineStr">
        <is>
          <t>都城市</t>
        </is>
      </c>
      <c r="D16" s="5" t="inlineStr">
        <is>
          <t>都城聖ドミニコ学園高等学校</t>
        </is>
      </c>
      <c r="E16" s="6" t="inlineStr">
        <is>
          <t>0986-39-1303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私学協会とも一致</t>
        </is>
      </c>
      <c r="N16" s="11" t="inlineStr">
        <is>
          <t>https://www.mdominico.com/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宮崎県</t>
        </is>
      </c>
      <c r="C17" s="5" t="inlineStr">
        <is>
          <t>宮崎市</t>
        </is>
      </c>
      <c r="D17" s="5" t="inlineStr">
        <is>
          <t>宮崎学園高等学校</t>
        </is>
      </c>
      <c r="E17" s="6" t="inlineStr">
        <is>
          <t>0985-23-5318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法人サイト・宮崎市サイトで一致</t>
        </is>
      </c>
      <c r="N17" s="11" t="inlineStr">
        <is>
          <t>https://www.miyagaku.ed.jp/houjinhonbu/access.html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宮崎県</t>
        </is>
      </c>
      <c r="C18" s="5" t="inlineStr">
        <is>
          <t>宮崎市</t>
        </is>
      </c>
      <c r="D18" s="5" t="inlineStr">
        <is>
          <t>宮崎第一高等学校</t>
        </is>
      </c>
      <c r="E18" s="6" t="inlineStr">
        <is>
          <t>0985-56-2626</t>
        </is>
      </c>
      <c r="F18" s="13" t="inlineStr">
        <is>
          <t>中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公式未確認。県・宮崎市・私学協会で一致</t>
        </is>
      </c>
      <c r="N18" s="11" t="inlineStr">
        <is>
          <t>https://www.sun.pref.miyazaki.lg.jp/facilities_view/58.html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宮崎県</t>
        </is>
      </c>
      <c r="C19" s="5" t="inlineStr">
        <is>
          <t>宮崎市</t>
        </is>
      </c>
      <c r="D19" s="5" t="inlineStr">
        <is>
          <t>宮崎日本大学高等学校</t>
        </is>
      </c>
      <c r="E19" s="6" t="inlineStr">
        <is>
          <t>0985-39-1121</t>
        </is>
      </c>
      <c r="F19" s="7" t="inlineStr">
        <is>
          <t>高</t>
        </is>
      </c>
      <c r="G19" s="5" t="inlineStr">
        <is>
          <t>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代表番号。県サイトとも一致</t>
        </is>
      </c>
      <c r="N19" s="11" t="inlineStr">
        <is>
          <t>https://www.m-nichidai.com/</t>
        </is>
      </c>
      <c r="O19" s="12" t="inlineStr">
        <is>
          <t>開く</t>
        </is>
      </c>
    </row>
  </sheetData>
  <autoFilter ref="A4:O19"/>
  <conditionalFormatting sqref="A5:O1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9" showDropDown="0" showInputMessage="0" showErrorMessage="0" allowBlank="1" type="list">
      <formula1>"未架電,不在・折返し待ち,担当者不在,資料送付,アポ獲得,検討中,NG,番号不明"</formula1>
    </dataValidation>
    <dataValidation sqref="H5:H19 K5:K1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宮崎市</t>
        </is>
      </c>
      <c r="B4" s="14">
        <f>COUNTIF('架電リスト'!$C$5:$C$19,A4)</f>
        <v/>
      </c>
      <c r="C4" s="14">
        <f>COUNTIFS('架電リスト'!$C$5:$C$19,A4,'架電リスト'!$E$5:$E$19,"&lt;&gt;")</f>
        <v/>
      </c>
      <c r="D4" s="14">
        <f>B4-COUNTIFS('架電リスト'!$C$5:$C$19,A4,'架電リスト'!$J$5:$J$19,"未架電")-COUNTIFS('架電リスト'!$C$5:$C$19,A4,'架電リスト'!$J$5:$J$19,"")</f>
        <v/>
      </c>
      <c r="E4" s="14">
        <f>COUNTIFS('架電リスト'!$C$5:$C$19,$A4,'架電リスト'!$J$5:$J$19,"不在・折返し待ち")</f>
        <v/>
      </c>
      <c r="F4" s="14">
        <f>COUNTIFS('架電リスト'!$C$5:$C$19,$A4,'架電リスト'!$J$5:$J$19,"担当者不在")</f>
        <v/>
      </c>
      <c r="G4" s="14">
        <f>COUNTIFS('架電リスト'!$C$5:$C$19,$A4,'架電リスト'!$J$5:$J$19,"資料送付")</f>
        <v/>
      </c>
      <c r="H4" s="14">
        <f>COUNTIFS('架電リスト'!$C$5:$C$19,$A4,'架電リスト'!$J$5:$J$19,"アポ獲得")</f>
        <v/>
      </c>
      <c r="I4" s="14">
        <f>COUNTIFS('架電リスト'!$C$5:$C$19,$A4,'架電リスト'!$J$5:$J$19,"検討中")</f>
        <v/>
      </c>
      <c r="J4" s="14">
        <f>COUNTIFS('架電リスト'!$C$5:$C$19,$A4,'架電リスト'!$J$5:$J$19,"NG")</f>
        <v/>
      </c>
      <c r="K4" s="14">
        <f>COUNTIFS('架電リスト'!$C$5:$C$19,$A4,'架電リスト'!$J$5:$J$19,"番号不明")</f>
        <v/>
      </c>
    </row>
    <row r="5">
      <c r="A5" s="14" t="inlineStr">
        <is>
          <t>延岡市</t>
        </is>
      </c>
      <c r="B5" s="14">
        <f>COUNTIF('架電リスト'!$C$5:$C$19,A5)</f>
        <v/>
      </c>
      <c r="C5" s="14">
        <f>COUNTIFS('架電リスト'!$C$5:$C$19,A5,'架電リスト'!$E$5:$E$19,"&lt;&gt;")</f>
        <v/>
      </c>
      <c r="D5" s="14">
        <f>B5-COUNTIFS('架電リスト'!$C$5:$C$19,A5,'架電リスト'!$J$5:$J$19,"未架電")-COUNTIFS('架電リスト'!$C$5:$C$19,A5,'架電リスト'!$J$5:$J$19,"")</f>
        <v/>
      </c>
      <c r="E5" s="14">
        <f>COUNTIFS('架電リスト'!$C$5:$C$19,$A5,'架電リスト'!$J$5:$J$19,"不在・折返し待ち")</f>
        <v/>
      </c>
      <c r="F5" s="14">
        <f>COUNTIFS('架電リスト'!$C$5:$C$19,$A5,'架電リスト'!$J$5:$J$19,"担当者不在")</f>
        <v/>
      </c>
      <c r="G5" s="14">
        <f>COUNTIFS('架電リスト'!$C$5:$C$19,$A5,'架電リスト'!$J$5:$J$19,"資料送付")</f>
        <v/>
      </c>
      <c r="H5" s="14">
        <f>COUNTIFS('架電リスト'!$C$5:$C$19,$A5,'架電リスト'!$J$5:$J$19,"アポ獲得")</f>
        <v/>
      </c>
      <c r="I5" s="14">
        <f>COUNTIFS('架電リスト'!$C$5:$C$19,$A5,'架電リスト'!$J$5:$J$19,"検討中")</f>
        <v/>
      </c>
      <c r="J5" s="14">
        <f>COUNTIFS('架電リスト'!$C$5:$C$19,$A5,'架電リスト'!$J$5:$J$19,"NG")</f>
        <v/>
      </c>
      <c r="K5" s="14">
        <f>COUNTIFS('架電リスト'!$C$5:$C$19,$A5,'架電リスト'!$J$5:$J$19,"番号不明")</f>
        <v/>
      </c>
    </row>
    <row r="6">
      <c r="A6" s="14" t="inlineStr">
        <is>
          <t>都城市</t>
        </is>
      </c>
      <c r="B6" s="14">
        <f>COUNTIF('架電リスト'!$C$5:$C$19,A6)</f>
        <v/>
      </c>
      <c r="C6" s="14">
        <f>COUNTIFS('架電リスト'!$C$5:$C$19,A6,'架電リスト'!$E$5:$E$19,"&lt;&gt;")</f>
        <v/>
      </c>
      <c r="D6" s="14">
        <f>B6-COUNTIFS('架電リスト'!$C$5:$C$19,A6,'架電リスト'!$J$5:$J$19,"未架電")-COUNTIFS('架電リスト'!$C$5:$C$19,A6,'架電リスト'!$J$5:$J$19,"")</f>
        <v/>
      </c>
      <c r="E6" s="14">
        <f>COUNTIFS('架電リスト'!$C$5:$C$19,$A6,'架電リスト'!$J$5:$J$19,"不在・折返し待ち")</f>
        <v/>
      </c>
      <c r="F6" s="14">
        <f>COUNTIFS('架電リスト'!$C$5:$C$19,$A6,'架電リスト'!$J$5:$J$19,"担当者不在")</f>
        <v/>
      </c>
      <c r="G6" s="14">
        <f>COUNTIFS('架電リスト'!$C$5:$C$19,$A6,'架電リスト'!$J$5:$J$19,"資料送付")</f>
        <v/>
      </c>
      <c r="H6" s="14">
        <f>COUNTIFS('架電リスト'!$C$5:$C$19,$A6,'架電リスト'!$J$5:$J$19,"アポ獲得")</f>
        <v/>
      </c>
      <c r="I6" s="14">
        <f>COUNTIFS('架電リスト'!$C$5:$C$19,$A6,'架電リスト'!$J$5:$J$19,"検討中")</f>
        <v/>
      </c>
      <c r="J6" s="14">
        <f>COUNTIFS('架電リスト'!$C$5:$C$19,$A6,'架電リスト'!$J$5:$J$19,"NG")</f>
        <v/>
      </c>
      <c r="K6" s="14">
        <f>COUNTIFS('架電リスト'!$C$5:$C$19,$A6,'架電リスト'!$J$5:$J$19,"番号不明")</f>
        <v/>
      </c>
    </row>
    <row r="7">
      <c r="A7" s="14" t="inlineStr">
        <is>
          <t>三股町</t>
        </is>
      </c>
      <c r="B7" s="14">
        <f>COUNTIF('架電リスト'!$C$5:$C$19,A7)</f>
        <v/>
      </c>
      <c r="C7" s="14">
        <f>COUNTIFS('架電リスト'!$C$5:$C$19,A7,'架電リスト'!$E$5:$E$19,"&lt;&gt;")</f>
        <v/>
      </c>
      <c r="D7" s="14">
        <f>B7-COUNTIFS('架電リスト'!$C$5:$C$19,A7,'架電リスト'!$J$5:$J$19,"未架電")-COUNTIFS('架電リスト'!$C$5:$C$19,A7,'架電リスト'!$J$5:$J$19,"")</f>
        <v/>
      </c>
      <c r="E7" s="14">
        <f>COUNTIFS('架電リスト'!$C$5:$C$19,$A7,'架電リスト'!$J$5:$J$19,"不在・折返し待ち")</f>
        <v/>
      </c>
      <c r="F7" s="14">
        <f>COUNTIFS('架電リスト'!$C$5:$C$19,$A7,'架電リスト'!$J$5:$J$19,"担当者不在")</f>
        <v/>
      </c>
      <c r="G7" s="14">
        <f>COUNTIFS('架電リスト'!$C$5:$C$19,$A7,'架電リスト'!$J$5:$J$19,"資料送付")</f>
        <v/>
      </c>
      <c r="H7" s="14">
        <f>COUNTIFS('架電リスト'!$C$5:$C$19,$A7,'架電リスト'!$J$5:$J$19,"アポ獲得")</f>
        <v/>
      </c>
      <c r="I7" s="14">
        <f>COUNTIFS('架電リスト'!$C$5:$C$19,$A7,'架電リスト'!$J$5:$J$19,"検討中")</f>
        <v/>
      </c>
      <c r="J7" s="14">
        <f>COUNTIFS('架電リスト'!$C$5:$C$19,$A7,'架電リスト'!$J$5:$J$19,"NG")</f>
        <v/>
      </c>
      <c r="K7" s="14">
        <f>COUNTIFS('架電リスト'!$C$5:$C$19,$A7,'架電リスト'!$J$5:$J$19,"番号不明")</f>
        <v/>
      </c>
    </row>
    <row r="8">
      <c r="A8" s="14" t="inlineStr">
        <is>
          <t>小林市</t>
        </is>
      </c>
      <c r="B8" s="14">
        <f>COUNTIF('架電リスト'!$C$5:$C$19,A8)</f>
        <v/>
      </c>
      <c r="C8" s="14">
        <f>COUNTIFS('架電リスト'!$C$5:$C$19,A8,'架電リスト'!$E$5:$E$19,"&lt;&gt;")</f>
        <v/>
      </c>
      <c r="D8" s="14">
        <f>B8-COUNTIFS('架電リスト'!$C$5:$C$19,A8,'架電リスト'!$J$5:$J$19,"未架電")-COUNTIFS('架電リスト'!$C$5:$C$19,A8,'架電リスト'!$J$5:$J$19,"")</f>
        <v/>
      </c>
      <c r="E8" s="14">
        <f>COUNTIFS('架電リスト'!$C$5:$C$19,$A8,'架電リスト'!$J$5:$J$19,"不在・折返し待ち")</f>
        <v/>
      </c>
      <c r="F8" s="14">
        <f>COUNTIFS('架電リスト'!$C$5:$C$19,$A8,'架電リスト'!$J$5:$J$19,"担当者不在")</f>
        <v/>
      </c>
      <c r="G8" s="14">
        <f>COUNTIFS('架電リスト'!$C$5:$C$19,$A8,'架電リスト'!$J$5:$J$19,"資料送付")</f>
        <v/>
      </c>
      <c r="H8" s="14">
        <f>COUNTIFS('架電リスト'!$C$5:$C$19,$A8,'架電リスト'!$J$5:$J$19,"アポ獲得")</f>
        <v/>
      </c>
      <c r="I8" s="14">
        <f>COUNTIFS('架電リスト'!$C$5:$C$19,$A8,'架電リスト'!$J$5:$J$19,"検討中")</f>
        <v/>
      </c>
      <c r="J8" s="14">
        <f>COUNTIFS('架電リスト'!$C$5:$C$19,$A8,'架電リスト'!$J$5:$J$19,"NG")</f>
        <v/>
      </c>
      <c r="K8" s="14">
        <f>COUNTIFS('架電リスト'!$C$5:$C$19,$A8,'架電リスト'!$J$5:$J$19,"番号不明")</f>
        <v/>
      </c>
    </row>
    <row r="9">
      <c r="A9" s="14" t="inlineStr">
        <is>
          <t>日南市</t>
        </is>
      </c>
      <c r="B9" s="14">
        <f>COUNTIF('架電リスト'!$C$5:$C$19,A9)</f>
        <v/>
      </c>
      <c r="C9" s="14">
        <f>COUNTIFS('架電リスト'!$C$5:$C$19,A9,'架電リスト'!$E$5:$E$19,"&lt;&gt;")</f>
        <v/>
      </c>
      <c r="D9" s="14">
        <f>B9-COUNTIFS('架電リスト'!$C$5:$C$19,A9,'架電リスト'!$J$5:$J$19,"未架電")-COUNTIFS('架電リスト'!$C$5:$C$19,A9,'架電リスト'!$J$5:$J$19,"")</f>
        <v/>
      </c>
      <c r="E9" s="14">
        <f>COUNTIFS('架電リスト'!$C$5:$C$19,$A9,'架電リスト'!$J$5:$J$19,"不在・折返し待ち")</f>
        <v/>
      </c>
      <c r="F9" s="14">
        <f>COUNTIFS('架電リスト'!$C$5:$C$19,$A9,'架電リスト'!$J$5:$J$19,"担当者不在")</f>
        <v/>
      </c>
      <c r="G9" s="14">
        <f>COUNTIFS('架電リスト'!$C$5:$C$19,$A9,'架電リスト'!$J$5:$J$19,"資料送付")</f>
        <v/>
      </c>
      <c r="H9" s="14">
        <f>COUNTIFS('架電リスト'!$C$5:$C$19,$A9,'架電リスト'!$J$5:$J$19,"アポ獲得")</f>
        <v/>
      </c>
      <c r="I9" s="14">
        <f>COUNTIFS('架電リスト'!$C$5:$C$19,$A9,'架電リスト'!$J$5:$J$19,"検討中")</f>
        <v/>
      </c>
      <c r="J9" s="14">
        <f>COUNTIFS('架電リスト'!$C$5:$C$19,$A9,'架電リスト'!$J$5:$J$19,"NG")</f>
        <v/>
      </c>
      <c r="K9" s="14">
        <f>COUNTIFS('架電リスト'!$C$5:$C$19,$A9,'架電リスト'!$J$5:$J$19,"番号不明")</f>
        <v/>
      </c>
    </row>
    <row r="10">
      <c r="A10" s="14" t="inlineStr">
        <is>
          <t>えびの市</t>
        </is>
      </c>
      <c r="B10" s="14">
        <f>COUNTIF('架電リスト'!$C$5:$C$19,A10)</f>
        <v/>
      </c>
      <c r="C10" s="14">
        <f>COUNTIFS('架電リスト'!$C$5:$C$19,A10,'架電リスト'!$E$5:$E$19,"&lt;&gt;")</f>
        <v/>
      </c>
      <c r="D10" s="14">
        <f>B10-COUNTIFS('架電リスト'!$C$5:$C$19,A10,'架電リスト'!$J$5:$J$19,"未架電")-COUNTIFS('架電リスト'!$C$5:$C$19,A10,'架電リスト'!$J$5:$J$19,"")</f>
        <v/>
      </c>
      <c r="E10" s="14">
        <f>COUNTIFS('架電リスト'!$C$5:$C$19,$A10,'架電リスト'!$J$5:$J$19,"不在・折返し待ち")</f>
        <v/>
      </c>
      <c r="F10" s="14">
        <f>COUNTIFS('架電リスト'!$C$5:$C$19,$A10,'架電リスト'!$J$5:$J$19,"担当者不在")</f>
        <v/>
      </c>
      <c r="G10" s="14">
        <f>COUNTIFS('架電リスト'!$C$5:$C$19,$A10,'架電リスト'!$J$5:$J$19,"資料送付")</f>
        <v/>
      </c>
      <c r="H10" s="14">
        <f>COUNTIFS('架電リスト'!$C$5:$C$19,$A10,'架電リスト'!$J$5:$J$19,"アポ獲得")</f>
        <v/>
      </c>
      <c r="I10" s="14">
        <f>COUNTIFS('架電リスト'!$C$5:$C$19,$A10,'架電リスト'!$J$5:$J$19,"検討中")</f>
        <v/>
      </c>
      <c r="J10" s="14">
        <f>COUNTIFS('架電リスト'!$C$5:$C$19,$A10,'架電リスト'!$J$5:$J$19,"NG")</f>
        <v/>
      </c>
      <c r="K10" s="14">
        <f>COUNTIFS('架電リスト'!$C$5:$C$19,$A10,'架電リスト'!$J$5:$J$19,"番号不明")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・出典：ご提供いただいた学校ネットの検索結果（私立高校・宮崎県、15校）の貼り付けデータ。並び順は都道府県ごとに元データの掲載順です。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2026-10-14T02:16:07Z</dcterms:created>
  <dcterms:modified xsi:type="dcterms:W3CDTF">2026-10-14T02:16:07Z</dcterms:modified>
</cp:coreProperties>
</file>